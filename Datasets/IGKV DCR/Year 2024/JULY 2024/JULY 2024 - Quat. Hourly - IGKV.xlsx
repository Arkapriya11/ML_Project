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814" firstSheet="3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31" sheetId="41" r:id="rId31"/>
    <sheet name="MONTHLY 31" sheetId="39" r:id="rId32"/>
    <sheet name="CALIBRATION REPORT" sheetId="6" r:id="rId33"/>
    <sheet name="POWER OFF" sheetId="5" r:id="rId34"/>
    <sheet name="MUX SIGNALS" sheetId="43" r:id="rId35"/>
    <sheet name="Sheet1" sheetId="45" r:id="rId36"/>
  </sheets>
  <calcPr calcId="124519"/>
</workbook>
</file>

<file path=xl/calcChain.xml><?xml version="1.0" encoding="utf-8"?>
<calcChain xmlns="http://schemas.openxmlformats.org/spreadsheetml/2006/main">
  <c r="Q106" i="20"/>
  <c r="Q107"/>
  <c r="Q108"/>
  <c r="Q109"/>
  <c r="D44" i="5"/>
  <c r="D24"/>
  <c r="D23"/>
  <c r="D22"/>
  <c r="D21"/>
  <c r="D20"/>
  <c r="D19"/>
  <c r="D18"/>
  <c r="D17"/>
  <c r="D16"/>
  <c r="D15"/>
  <c r="D14"/>
  <c r="D13"/>
  <c r="D12"/>
  <c r="D11"/>
  <c r="D10"/>
  <c r="D9"/>
  <c r="D8"/>
  <c r="I119" i="6"/>
  <c r="K115"/>
  <c r="J115"/>
  <c r="I115"/>
  <c r="K114"/>
  <c r="J114"/>
  <c r="I114"/>
  <c r="K113"/>
  <c r="J113"/>
  <c r="I113"/>
  <c r="K112"/>
  <c r="J112"/>
  <c r="I112"/>
  <c r="K111"/>
  <c r="J111"/>
  <c r="I111"/>
  <c r="K110"/>
  <c r="J110"/>
  <c r="I110"/>
  <c r="K109"/>
  <c r="J109"/>
  <c r="I109"/>
  <c r="K108"/>
  <c r="J108"/>
  <c r="I108"/>
  <c r="K107"/>
  <c r="J107"/>
  <c r="I107"/>
  <c r="J101"/>
  <c r="K92"/>
  <c r="J92"/>
  <c r="K91"/>
  <c r="J91"/>
  <c r="K90"/>
  <c r="J90"/>
  <c r="K89"/>
  <c r="J89"/>
  <c r="K88"/>
  <c r="J88"/>
  <c r="K87"/>
  <c r="J87"/>
  <c r="J81"/>
  <c r="K73"/>
  <c r="J73"/>
  <c r="K72"/>
  <c r="J72"/>
  <c r="K71"/>
  <c r="J71"/>
  <c r="K70"/>
  <c r="J70"/>
  <c r="K69"/>
  <c r="J69"/>
  <c r="K68"/>
  <c r="J68"/>
  <c r="K67"/>
  <c r="J67"/>
  <c r="J61"/>
  <c r="K51"/>
  <c r="J51"/>
  <c r="K50"/>
  <c r="J50"/>
  <c r="K49"/>
  <c r="J49"/>
  <c r="K48"/>
  <c r="J48"/>
  <c r="K47"/>
  <c r="J47"/>
  <c r="J41"/>
  <c r="T40"/>
  <c r="K33"/>
  <c r="J33"/>
  <c r="K32"/>
  <c r="J32"/>
  <c r="K31"/>
  <c r="J31"/>
  <c r="K30"/>
  <c r="J30"/>
  <c r="K29"/>
  <c r="J29"/>
  <c r="K28"/>
  <c r="J28"/>
  <c r="K27"/>
  <c r="J27"/>
  <c r="T21"/>
  <c r="I21"/>
  <c r="K14"/>
  <c r="J14"/>
  <c r="K13"/>
  <c r="J13"/>
  <c r="K12"/>
  <c r="J12"/>
  <c r="K11"/>
  <c r="J11"/>
  <c r="K10"/>
  <c r="J10"/>
  <c r="K9"/>
  <c r="J9"/>
  <c r="K8"/>
  <c r="J8"/>
  <c r="N39" i="39"/>
  <c r="M39"/>
  <c r="K39"/>
  <c r="J39"/>
  <c r="F39"/>
  <c r="E39"/>
  <c r="P38"/>
  <c r="J38"/>
  <c r="G38"/>
  <c r="J37"/>
  <c r="G37"/>
  <c r="E37"/>
  <c r="P36"/>
  <c r="J36"/>
  <c r="G36"/>
  <c r="J35"/>
  <c r="I35"/>
  <c r="M34"/>
  <c r="J34"/>
  <c r="B34"/>
  <c r="P33"/>
  <c r="N33"/>
  <c r="J33"/>
  <c r="F33"/>
  <c r="E33"/>
  <c r="D32"/>
  <c r="F31"/>
  <c r="F30"/>
  <c r="E30"/>
  <c r="Q29"/>
  <c r="I29"/>
  <c r="F29"/>
  <c r="E29"/>
  <c r="F28"/>
  <c r="E28"/>
  <c r="L27"/>
  <c r="F27"/>
  <c r="F26"/>
  <c r="F25"/>
  <c r="E25"/>
  <c r="F24"/>
  <c r="E24"/>
  <c r="F23"/>
  <c r="F22"/>
  <c r="F21"/>
  <c r="F20"/>
  <c r="E20"/>
  <c r="F19"/>
  <c r="E19"/>
  <c r="F18"/>
  <c r="F17"/>
  <c r="B17"/>
  <c r="F16"/>
  <c r="E16"/>
  <c r="K15"/>
  <c r="J15"/>
  <c r="F15"/>
  <c r="B15"/>
  <c r="F14"/>
  <c r="F13"/>
  <c r="F12"/>
  <c r="E12"/>
  <c r="F11"/>
  <c r="F10"/>
  <c r="Q110" i="4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9" i="39" s="1"/>
  <c r="P108" i="41"/>
  <c r="P39" i="39" s="1"/>
  <c r="O108" i="41"/>
  <c r="O39" i="39" s="1"/>
  <c r="N108" i="41"/>
  <c r="M108"/>
  <c r="L108"/>
  <c r="L39" i="39" s="1"/>
  <c r="K108" i="41"/>
  <c r="J108"/>
  <c r="I108"/>
  <c r="I39" i="39" s="1"/>
  <c r="H108" i="41"/>
  <c r="H39" i="39" s="1"/>
  <c r="G108" i="41"/>
  <c r="G39" i="39" s="1"/>
  <c r="F108" i="41"/>
  <c r="E108"/>
  <c r="D108"/>
  <c r="D39" i="39" s="1"/>
  <c r="C108" i="41"/>
  <c r="C39" i="39" s="1"/>
  <c r="B108" i="41"/>
  <c r="B39" i="39" s="1"/>
  <c r="Q107" i="4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9" i="39" s="1"/>
  <c r="B112" i="40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1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8" i="39" s="1"/>
  <c r="P108" i="40"/>
  <c r="O108"/>
  <c r="O38" i="39" s="1"/>
  <c r="N108" i="40"/>
  <c r="N38" i="39" s="1"/>
  <c r="M108" i="40"/>
  <c r="M38" i="39" s="1"/>
  <c r="L108" i="40"/>
  <c r="L38" i="39" s="1"/>
  <c r="K108" i="40"/>
  <c r="K38" i="39" s="1"/>
  <c r="J108" i="40"/>
  <c r="I108"/>
  <c r="I38" i="39" s="1"/>
  <c r="H108" i="40"/>
  <c r="H38" i="39" s="1"/>
  <c r="G108" i="40"/>
  <c r="F108"/>
  <c r="F38" i="39" s="1"/>
  <c r="E108" i="40"/>
  <c r="E38" i="39" s="1"/>
  <c r="D108" i="40"/>
  <c r="D38" i="39" s="1"/>
  <c r="C108" i="40"/>
  <c r="C38" i="39" s="1"/>
  <c r="B108" i="40"/>
  <c r="B38" i="39" s="1"/>
  <c r="Q107" i="4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8" i="39" s="1"/>
  <c r="Q110" i="4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7" i="39" s="1"/>
  <c r="P108" i="44"/>
  <c r="P37" i="39" s="1"/>
  <c r="O108" i="44"/>
  <c r="O37" i="39" s="1"/>
  <c r="N108" i="44"/>
  <c r="N37" i="39" s="1"/>
  <c r="M108" i="44"/>
  <c r="M37" i="39" s="1"/>
  <c r="L108" i="44"/>
  <c r="L37" i="39" s="1"/>
  <c r="K108" i="44"/>
  <c r="K37" i="39" s="1"/>
  <c r="J108" i="44"/>
  <c r="I108"/>
  <c r="I37" i="39" s="1"/>
  <c r="H108" i="44"/>
  <c r="H37" i="39" s="1"/>
  <c r="G108" i="44"/>
  <c r="F108"/>
  <c r="F37" i="39" s="1"/>
  <c r="E108" i="44"/>
  <c r="D108"/>
  <c r="D37" i="39" s="1"/>
  <c r="C108" i="44"/>
  <c r="C37" i="39" s="1"/>
  <c r="B108" i="44"/>
  <c r="B37" i="39" s="1"/>
  <c r="Q107" i="4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7" i="39" s="1"/>
  <c r="Q110" i="3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6" i="39" s="1"/>
  <c r="P108" i="33"/>
  <c r="O108"/>
  <c r="O36" i="39" s="1"/>
  <c r="N108" i="33"/>
  <c r="N36" i="39" s="1"/>
  <c r="M108" i="33"/>
  <c r="M36" i="39" s="1"/>
  <c r="L108" i="33"/>
  <c r="L36" i="39" s="1"/>
  <c r="K108" i="33"/>
  <c r="K36" i="39" s="1"/>
  <c r="J108" i="33"/>
  <c r="I108"/>
  <c r="I36" i="39" s="1"/>
  <c r="H108" i="33"/>
  <c r="H36" i="39" s="1"/>
  <c r="G108" i="33"/>
  <c r="F108"/>
  <c r="F36" i="39" s="1"/>
  <c r="E108" i="33"/>
  <c r="E36" i="39" s="1"/>
  <c r="D108" i="33"/>
  <c r="D36" i="39" s="1"/>
  <c r="C108" i="33"/>
  <c r="C36" i="39" s="1"/>
  <c r="B108" i="33"/>
  <c r="B36" i="39" s="1"/>
  <c r="Q107" i="3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6" i="39" s="1"/>
  <c r="Q110" i="32"/>
  <c r="Q112" s="1"/>
  <c r="P110"/>
  <c r="P112" s="1"/>
  <c r="O110"/>
  <c r="O112" s="1"/>
  <c r="N110"/>
  <c r="N112" s="1"/>
  <c r="M110"/>
  <c r="M112" s="1"/>
  <c r="L110"/>
  <c r="L111" s="1"/>
  <c r="K110"/>
  <c r="K112" s="1"/>
  <c r="J110"/>
  <c r="J112" s="1"/>
  <c r="I110"/>
  <c r="I112" s="1"/>
  <c r="H112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5" i="39" s="1"/>
  <c r="P108" i="32"/>
  <c r="P35" i="39" s="1"/>
  <c r="O108" i="32"/>
  <c r="O35" i="39" s="1"/>
  <c r="N108" i="32"/>
  <c r="N35" i="39" s="1"/>
  <c r="M108" i="32"/>
  <c r="M35" i="39" s="1"/>
  <c r="L108" i="32"/>
  <c r="L35" i="39" s="1"/>
  <c r="K108" i="32"/>
  <c r="K35" i="39" s="1"/>
  <c r="J108" i="32"/>
  <c r="I108"/>
  <c r="H108"/>
  <c r="H35" i="39" s="1"/>
  <c r="G108" i="32"/>
  <c r="G35" i="39" s="1"/>
  <c r="F108" i="32"/>
  <c r="F35" i="39" s="1"/>
  <c r="E108" i="32"/>
  <c r="E35" i="39" s="1"/>
  <c r="D108" i="32"/>
  <c r="D35" i="39" s="1"/>
  <c r="C108" i="32"/>
  <c r="C35" i="39" s="1"/>
  <c r="B108" i="32"/>
  <c r="B35" i="39" s="1"/>
  <c r="Q107" i="3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5" i="39" s="1"/>
  <c r="Q110" i="31"/>
  <c r="Q112" s="1"/>
  <c r="P110"/>
  <c r="P112" s="1"/>
  <c r="O110"/>
  <c r="O112" s="1"/>
  <c r="N110"/>
  <c r="N112" s="1"/>
  <c r="M110"/>
  <c r="M112" s="1"/>
  <c r="L110"/>
  <c r="L112" s="1"/>
  <c r="K110"/>
  <c r="K111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4" i="39" s="1"/>
  <c r="P108" i="31"/>
  <c r="P34" i="39" s="1"/>
  <c r="O108" i="31"/>
  <c r="O34" i="39" s="1"/>
  <c r="N108" i="31"/>
  <c r="N34" i="39" s="1"/>
  <c r="M108" i="31"/>
  <c r="L108"/>
  <c r="L34" i="39" s="1"/>
  <c r="K108" i="31"/>
  <c r="K34" i="39" s="1"/>
  <c r="J108" i="31"/>
  <c r="I108"/>
  <c r="I34" i="39" s="1"/>
  <c r="H108" i="31"/>
  <c r="H34" i="39" s="1"/>
  <c r="G108" i="31"/>
  <c r="G34" i="39" s="1"/>
  <c r="F108" i="31"/>
  <c r="F34" i="39" s="1"/>
  <c r="E108" i="31"/>
  <c r="E34" i="39" s="1"/>
  <c r="D108" i="31"/>
  <c r="D34" i="39" s="1"/>
  <c r="C108" i="31"/>
  <c r="C34" i="39" s="1"/>
  <c r="B108" i="31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4" i="39" s="1"/>
  <c r="Q110" i="3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3" i="39" s="1"/>
  <c r="P108" i="30"/>
  <c r="O108"/>
  <c r="O33" i="39" s="1"/>
  <c r="N108" i="30"/>
  <c r="M108"/>
  <c r="M33" i="39" s="1"/>
  <c r="L108" i="30"/>
  <c r="L33" i="39" s="1"/>
  <c r="K108" i="30"/>
  <c r="K33" i="39" s="1"/>
  <c r="J108" i="30"/>
  <c r="I108"/>
  <c r="I33" i="39" s="1"/>
  <c r="H108" i="30"/>
  <c r="H33" i="39" s="1"/>
  <c r="G108" i="30"/>
  <c r="G33" i="39" s="1"/>
  <c r="F108" i="30"/>
  <c r="E108"/>
  <c r="D108"/>
  <c r="D33" i="39" s="1"/>
  <c r="C108" i="30"/>
  <c r="C33" i="39" s="1"/>
  <c r="B108" i="30"/>
  <c r="B33" i="39" s="1"/>
  <c r="Q107" i="3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3" i="39" s="1"/>
  <c r="Q110" i="2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2" i="39" s="1"/>
  <c r="P108" i="29"/>
  <c r="P32" i="39" s="1"/>
  <c r="O108" i="29"/>
  <c r="O32" i="39" s="1"/>
  <c r="N108" i="29"/>
  <c r="N32" i="39" s="1"/>
  <c r="M108" i="29"/>
  <c r="M32" i="39" s="1"/>
  <c r="L108" i="29"/>
  <c r="L32" i="39" s="1"/>
  <c r="K108" i="29"/>
  <c r="K32" i="39" s="1"/>
  <c r="J108" i="29"/>
  <c r="J32" i="39" s="1"/>
  <c r="I108" i="29"/>
  <c r="I32" i="39" s="1"/>
  <c r="H108" i="29"/>
  <c r="H32" i="39" s="1"/>
  <c r="G108" i="29"/>
  <c r="G32" i="39" s="1"/>
  <c r="F108" i="29"/>
  <c r="F32" i="39" s="1"/>
  <c r="E108" i="29"/>
  <c r="E32" i="39" s="1"/>
  <c r="D108" i="29"/>
  <c r="C108"/>
  <c r="C32" i="39" s="1"/>
  <c r="B108" i="29"/>
  <c r="B32" i="39" s="1"/>
  <c r="Q107" i="2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2" i="39" s="1"/>
  <c r="Q110" i="2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1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1" i="39" s="1"/>
  <c r="P108" i="28"/>
  <c r="P31" i="39" s="1"/>
  <c r="O108" i="28"/>
  <c r="O31" i="39" s="1"/>
  <c r="N108" i="28"/>
  <c r="N31" i="39" s="1"/>
  <c r="M108" i="28"/>
  <c r="M31" i="39" s="1"/>
  <c r="L108" i="28"/>
  <c r="L31" i="39" s="1"/>
  <c r="K108" i="28"/>
  <c r="K31" i="39" s="1"/>
  <c r="J108" i="28"/>
  <c r="J31" i="39" s="1"/>
  <c r="I108" i="28"/>
  <c r="I31" i="39" s="1"/>
  <c r="H108" i="28"/>
  <c r="H31" i="39" s="1"/>
  <c r="G108" i="28"/>
  <c r="G31" i="39" s="1"/>
  <c r="F108" i="28"/>
  <c r="E108"/>
  <c r="E31" i="39" s="1"/>
  <c r="D108" i="28"/>
  <c r="D31" i="39" s="1"/>
  <c r="C108" i="28"/>
  <c r="C31" i="39" s="1"/>
  <c r="B108" i="28"/>
  <c r="B31" i="39" s="1"/>
  <c r="Q107" i="2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1" i="39" s="1"/>
  <c r="Q110" i="27"/>
  <c r="Q111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1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0" i="39" s="1"/>
  <c r="P108" i="27"/>
  <c r="P30" i="39" s="1"/>
  <c r="O108" i="27"/>
  <c r="O30" i="39" s="1"/>
  <c r="N108" i="27"/>
  <c r="N30" i="39" s="1"/>
  <c r="M108" i="27"/>
  <c r="M30" i="39" s="1"/>
  <c r="L108" i="27"/>
  <c r="L30" i="39" s="1"/>
  <c r="K108" i="27"/>
  <c r="K30" i="39" s="1"/>
  <c r="J108" i="27"/>
  <c r="J30" i="39" s="1"/>
  <c r="I108" i="27"/>
  <c r="I30" i="39" s="1"/>
  <c r="H108" i="27"/>
  <c r="H30" i="39" s="1"/>
  <c r="G108" i="27"/>
  <c r="G30" i="39" s="1"/>
  <c r="F108" i="27"/>
  <c r="E108"/>
  <c r="D108"/>
  <c r="D30" i="39" s="1"/>
  <c r="C108" i="27"/>
  <c r="C30" i="39" s="1"/>
  <c r="B108" i="27"/>
  <c r="B30" i="39" s="1"/>
  <c r="Q107" i="2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0" i="39" s="1"/>
  <c r="Q110" i="26"/>
  <c r="Q112" s="1"/>
  <c r="P110"/>
  <c r="P112" s="1"/>
  <c r="O110"/>
  <c r="O111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29" i="39" s="1"/>
  <c r="O108" i="26"/>
  <c r="O29" i="39" s="1"/>
  <c r="N108" i="26"/>
  <c r="N29" i="39" s="1"/>
  <c r="M108" i="26"/>
  <c r="M29" i="39" s="1"/>
  <c r="L108" i="26"/>
  <c r="L29" i="39" s="1"/>
  <c r="K108" i="26"/>
  <c r="K29" i="39" s="1"/>
  <c r="J108" i="26"/>
  <c r="J29" i="39" s="1"/>
  <c r="I108" i="26"/>
  <c r="H108"/>
  <c r="H29" i="39" s="1"/>
  <c r="G108" i="26"/>
  <c r="G29" i="39" s="1"/>
  <c r="F108" i="26"/>
  <c r="E108"/>
  <c r="D108"/>
  <c r="D29" i="39" s="1"/>
  <c r="C108" i="26"/>
  <c r="C29" i="39" s="1"/>
  <c r="B108" i="26"/>
  <c r="B29" i="39" s="1"/>
  <c r="Q107" i="2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9" i="39" s="1"/>
  <c r="N112" i="25"/>
  <c r="Q110"/>
  <c r="Q112" s="1"/>
  <c r="P110"/>
  <c r="P112" s="1"/>
  <c r="O110"/>
  <c r="O112" s="1"/>
  <c r="N110"/>
  <c r="N111" s="1"/>
  <c r="M110"/>
  <c r="M111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8" i="39" s="1"/>
  <c r="P108" i="25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E108"/>
  <c r="D108"/>
  <c r="D28" i="39" s="1"/>
  <c r="C108" i="25"/>
  <c r="C28" i="39" s="1"/>
  <c r="B108" i="25"/>
  <c r="B28" i="39" s="1"/>
  <c r="Q107" i="2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8" i="39" s="1"/>
  <c r="M111" i="24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7" i="39" s="1"/>
  <c r="P108" i="24"/>
  <c r="P27" i="39" s="1"/>
  <c r="O108" i="24"/>
  <c r="O27" i="39" s="1"/>
  <c r="N108" i="24"/>
  <c r="N27" i="39" s="1"/>
  <c r="M108" i="24"/>
  <c r="M27" i="39" s="1"/>
  <c r="L108" i="24"/>
  <c r="K108"/>
  <c r="K27" i="39" s="1"/>
  <c r="J108" i="24"/>
  <c r="J27" i="39" s="1"/>
  <c r="I108" i="24"/>
  <c r="I27" i="39" s="1"/>
  <c r="H108" i="24"/>
  <c r="H27" i="39" s="1"/>
  <c r="G108" i="24"/>
  <c r="G27" i="39" s="1"/>
  <c r="F108" i="24"/>
  <c r="E108"/>
  <c r="E27" i="39" s="1"/>
  <c r="D108" i="24"/>
  <c r="D27" i="39" s="1"/>
  <c r="C108" i="24"/>
  <c r="C27" i="39" s="1"/>
  <c r="B108" i="24"/>
  <c r="B27" i="39" s="1"/>
  <c r="Q107" i="2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7" i="39" s="1"/>
  <c r="Q110" i="2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2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6" i="39" s="1"/>
  <c r="P108" i="23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E108"/>
  <c r="E26" i="39" s="1"/>
  <c r="D108" i="23"/>
  <c r="D26" i="39" s="1"/>
  <c r="C108" i="23"/>
  <c r="C26" i="39" s="1"/>
  <c r="B108" i="23"/>
  <c r="B26" i="39" s="1"/>
  <c r="Q107" i="2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6" i="39" s="1"/>
  <c r="Q110" i="22"/>
  <c r="Q112" s="1"/>
  <c r="P110"/>
  <c r="P112" s="1"/>
  <c r="O110"/>
  <c r="O112" s="1"/>
  <c r="N110"/>
  <c r="N112" s="1"/>
  <c r="M110"/>
  <c r="M112" s="1"/>
  <c r="L110"/>
  <c r="L112" s="1"/>
  <c r="K110"/>
  <c r="K111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5" i="39" s="1"/>
  <c r="P108" i="22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G25" i="39" s="1"/>
  <c r="F108" i="22"/>
  <c r="E108"/>
  <c r="D108"/>
  <c r="D25" i="39" s="1"/>
  <c r="C108" i="22"/>
  <c r="C25" i="39" s="1"/>
  <c r="B108" i="22"/>
  <c r="B25" i="39" s="1"/>
  <c r="Q107" i="2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5" i="39" s="1"/>
  <c r="Q112" i="21"/>
  <c r="P110"/>
  <c r="P112" s="1"/>
  <c r="O110"/>
  <c r="O112" s="1"/>
  <c r="N110"/>
  <c r="N112" s="1"/>
  <c r="M110"/>
  <c r="M112" s="1"/>
  <c r="L110"/>
  <c r="L112" s="1"/>
  <c r="K110"/>
  <c r="K112" s="1"/>
  <c r="J110"/>
  <c r="J111" s="1"/>
  <c r="I110"/>
  <c r="I112" s="1"/>
  <c r="H112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4" i="39" s="1"/>
  <c r="P108" i="21"/>
  <c r="P24" i="39" s="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E108"/>
  <c r="D108"/>
  <c r="D24" i="39" s="1"/>
  <c r="C108" i="21"/>
  <c r="C24" i="39" s="1"/>
  <c r="B108" i="21"/>
  <c r="B24" i="39" s="1"/>
  <c r="Q107" i="2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4" i="39" s="1"/>
  <c r="Q110" i="20"/>
  <c r="Q112" s="1"/>
  <c r="P110"/>
  <c r="P112" s="1"/>
  <c r="O110"/>
  <c r="O112" s="1"/>
  <c r="N110"/>
  <c r="N112" s="1"/>
  <c r="M110"/>
  <c r="M112" s="1"/>
  <c r="L110"/>
  <c r="L112" s="1"/>
  <c r="K110"/>
  <c r="K111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P109"/>
  <c r="O109"/>
  <c r="N109"/>
  <c r="M109"/>
  <c r="L109"/>
  <c r="K109"/>
  <c r="J109"/>
  <c r="I109"/>
  <c r="H109"/>
  <c r="G109"/>
  <c r="F109"/>
  <c r="E109"/>
  <c r="D109"/>
  <c r="C109"/>
  <c r="B109"/>
  <c r="Q23" i="39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E108"/>
  <c r="E23" i="39" s="1"/>
  <c r="D108" i="20"/>
  <c r="D23" i="39" s="1"/>
  <c r="C108" i="20"/>
  <c r="C23" i="39" s="1"/>
  <c r="B108" i="20"/>
  <c r="B23" i="39" s="1"/>
  <c r="P107" i="20"/>
  <c r="O107"/>
  <c r="N107"/>
  <c r="M107"/>
  <c r="L107"/>
  <c r="K107"/>
  <c r="J107"/>
  <c r="I107"/>
  <c r="H107"/>
  <c r="G107"/>
  <c r="F107"/>
  <c r="E107"/>
  <c r="D107"/>
  <c r="C107"/>
  <c r="B107"/>
  <c r="P106"/>
  <c r="O106"/>
  <c r="N106"/>
  <c r="M106"/>
  <c r="L106"/>
  <c r="K106"/>
  <c r="J106"/>
  <c r="I106"/>
  <c r="H106"/>
  <c r="G106"/>
  <c r="F106"/>
  <c r="E106"/>
  <c r="D106"/>
  <c r="C106"/>
  <c r="B106"/>
  <c r="B2"/>
  <c r="A23" i="39" s="1"/>
  <c r="K112" i="19"/>
  <c r="Q110"/>
  <c r="Q112" s="1"/>
  <c r="P110"/>
  <c r="P112" s="1"/>
  <c r="O110"/>
  <c r="O112" s="1"/>
  <c r="N110"/>
  <c r="N112" s="1"/>
  <c r="M110"/>
  <c r="M112" s="1"/>
  <c r="L110"/>
  <c r="L112" s="1"/>
  <c r="K110"/>
  <c r="K111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I22" i="39" s="1"/>
  <c r="H108" i="19"/>
  <c r="H22" i="39" s="1"/>
  <c r="G108" i="19"/>
  <c r="G22" i="39" s="1"/>
  <c r="F108" i="19"/>
  <c r="E108"/>
  <c r="E22" i="39" s="1"/>
  <c r="D108" i="19"/>
  <c r="D22" i="39" s="1"/>
  <c r="C108" i="19"/>
  <c r="C22" i="39" s="1"/>
  <c r="B108" i="19"/>
  <c r="B22" i="39" s="1"/>
  <c r="Q107" i="1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2" i="39" s="1"/>
  <c r="Q110" i="1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E108"/>
  <c r="E21" i="39" s="1"/>
  <c r="D108" i="18"/>
  <c r="D21" i="39" s="1"/>
  <c r="C108" i="18"/>
  <c r="C21" i="39" s="1"/>
  <c r="B108" i="18"/>
  <c r="B21" i="39" s="1"/>
  <c r="Q107" i="1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1" i="39" s="1"/>
  <c r="Q110" i="17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1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E108"/>
  <c r="D108"/>
  <c r="D20" i="39" s="1"/>
  <c r="C108" i="17"/>
  <c r="C20" i="39" s="1"/>
  <c r="B108" i="17"/>
  <c r="B20" i="39" s="1"/>
  <c r="Q107" i="1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0" i="39" s="1"/>
  <c r="Q110" i="16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1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I19" i="39" s="1"/>
  <c r="H108" i="16"/>
  <c r="H19" i="39" s="1"/>
  <c r="G108" i="16"/>
  <c r="G19" i="39" s="1"/>
  <c r="F108" i="16"/>
  <c r="E108"/>
  <c r="D108"/>
  <c r="D19" i="39" s="1"/>
  <c r="C108" i="16"/>
  <c r="C19" i="39" s="1"/>
  <c r="B108" i="16"/>
  <c r="B19" i="39" s="1"/>
  <c r="Q107" i="1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9" i="39" s="1"/>
  <c r="Q110" i="15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E108"/>
  <c r="E18" i="39" s="1"/>
  <c r="D108" i="15"/>
  <c r="D18" i="39" s="1"/>
  <c r="C108" i="15"/>
  <c r="C18" i="39" s="1"/>
  <c r="B108" i="15"/>
  <c r="B18" i="39" s="1"/>
  <c r="Q107" i="1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8" i="39" s="1"/>
  <c r="P111" i="14"/>
  <c r="K111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1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E108"/>
  <c r="E17" i="39" s="1"/>
  <c r="D108" i="14"/>
  <c r="D17" i="39" s="1"/>
  <c r="C108" i="14"/>
  <c r="C17" i="39" s="1"/>
  <c r="B108" i="14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7" i="39" s="1"/>
  <c r="Q110" i="1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E108"/>
  <c r="D108"/>
  <c r="D16" i="39" s="1"/>
  <c r="C108" i="13"/>
  <c r="C16" i="39" s="1"/>
  <c r="B108" i="13"/>
  <c r="B16" i="39" s="1"/>
  <c r="Q107" i="1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6" i="39" s="1"/>
  <c r="Q110" i="12"/>
  <c r="Q112" s="1"/>
  <c r="P110"/>
  <c r="P112" s="1"/>
  <c r="O110"/>
  <c r="O111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J108"/>
  <c r="I108"/>
  <c r="I15" i="39" s="1"/>
  <c r="H108" i="12"/>
  <c r="H15" i="39" s="1"/>
  <c r="G108" i="12"/>
  <c r="G15" i="39" s="1"/>
  <c r="F108" i="12"/>
  <c r="E108"/>
  <c r="E15" i="39" s="1"/>
  <c r="D108" i="12"/>
  <c r="D15" i="39" s="1"/>
  <c r="C108" i="12"/>
  <c r="C15" i="39" s="1"/>
  <c r="B108" i="12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5" i="39" s="1"/>
  <c r="Q110" i="1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E108"/>
  <c r="E14" i="39" s="1"/>
  <c r="D108" i="11"/>
  <c r="D14" i="39" s="1"/>
  <c r="C108" i="11"/>
  <c r="C14" i="39" s="1"/>
  <c r="B108" i="11"/>
  <c r="B14" i="39" s="1"/>
  <c r="Q107" i="1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4" i="39" s="1"/>
  <c r="Q110" i="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E108"/>
  <c r="E13" i="39" s="1"/>
  <c r="D108" i="10"/>
  <c r="D13" i="39" s="1"/>
  <c r="C108" i="10"/>
  <c r="C13" i="39" s="1"/>
  <c r="B108" i="10"/>
  <c r="B13" i="39" s="1"/>
  <c r="Q107" i="1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3" i="39" s="1"/>
  <c r="Q110" i="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1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E108"/>
  <c r="D108"/>
  <c r="D12" i="39" s="1"/>
  <c r="C108" i="9"/>
  <c r="C12" i="39" s="1"/>
  <c r="B108" i="9"/>
  <c r="B12" i="39" s="1"/>
  <c r="Q107" i="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2" i="39" s="1"/>
  <c r="Q110" i="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E108"/>
  <c r="E11" i="39" s="1"/>
  <c r="D108" i="8"/>
  <c r="D11" i="39" s="1"/>
  <c r="C108" i="8"/>
  <c r="C11" i="39" s="1"/>
  <c r="B108" i="8"/>
  <c r="B11" i="39" s="1"/>
  <c r="Q107" i="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1" i="39" s="1"/>
  <c r="Q110" i="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2"/>
  <c r="G112"/>
  <c r="F110"/>
  <c r="F112" s="1"/>
  <c r="E110"/>
  <c r="E112" s="1"/>
  <c r="D110"/>
  <c r="D112" s="1"/>
  <c r="C110"/>
  <c r="C111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E108"/>
  <c r="E10" i="39" s="1"/>
  <c r="D108" i="3"/>
  <c r="D10" i="39" s="1"/>
  <c r="C108" i="3"/>
  <c r="C10" i="39" s="1"/>
  <c r="B108" i="3"/>
  <c r="B10" i="39" s="1"/>
  <c r="Q107" i="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0" i="39" s="1"/>
  <c r="Q110" i="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F9" i="39" s="1"/>
  <c r="E108" i="2"/>
  <c r="E9" i="39" s="1"/>
  <c r="D108" i="2"/>
  <c r="D9" i="39" s="1"/>
  <c r="C108" i="2"/>
  <c r="C9" i="39" s="1"/>
  <c r="B108" i="2"/>
  <c r="B9" i="39" s="1"/>
  <c r="Q107" i="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9" i="39" s="1"/>
  <c r="B2" s="1"/>
  <c r="D2" i="5" s="1"/>
  <c r="D111" i="41" l="1"/>
  <c r="C111"/>
  <c r="B111"/>
  <c r="Q111"/>
  <c r="P111"/>
  <c r="O111"/>
  <c r="N111"/>
  <c r="M111"/>
  <c r="L111"/>
  <c r="K111"/>
  <c r="J111"/>
  <c r="I111"/>
  <c r="H111"/>
  <c r="G111"/>
  <c r="F111"/>
  <c r="E111"/>
  <c r="Q111" i="40"/>
  <c r="P111"/>
  <c r="O111"/>
  <c r="N111"/>
  <c r="M111"/>
  <c r="L111"/>
  <c r="K111"/>
  <c r="J111"/>
  <c r="I111"/>
  <c r="H111"/>
  <c r="G111"/>
  <c r="F111"/>
  <c r="E111"/>
  <c r="D111"/>
  <c r="C111"/>
  <c r="P111" i="44"/>
  <c r="O111"/>
  <c r="N111"/>
  <c r="M111"/>
  <c r="L111"/>
  <c r="K111"/>
  <c r="J111"/>
  <c r="I111"/>
  <c r="H111"/>
  <c r="G111"/>
  <c r="F111"/>
  <c r="E111"/>
  <c r="D111"/>
  <c r="C111"/>
  <c r="B111"/>
  <c r="Q111"/>
  <c r="N111" i="33"/>
  <c r="M111"/>
  <c r="L111"/>
  <c r="K111"/>
  <c r="J111"/>
  <c r="I111"/>
  <c r="H111"/>
  <c r="G111"/>
  <c r="F111"/>
  <c r="E111"/>
  <c r="D111"/>
  <c r="C111"/>
  <c r="B111"/>
  <c r="Q111"/>
  <c r="P111"/>
  <c r="O111"/>
  <c r="M111" i="32"/>
  <c r="L112"/>
  <c r="J111"/>
  <c r="I111"/>
  <c r="H111"/>
  <c r="G111"/>
  <c r="F111"/>
  <c r="E111"/>
  <c r="K111"/>
  <c r="D111"/>
  <c r="C111"/>
  <c r="B111"/>
  <c r="Q111"/>
  <c r="P111"/>
  <c r="O111"/>
  <c r="N111"/>
  <c r="K112" i="31"/>
  <c r="J111"/>
  <c r="I111"/>
  <c r="H111"/>
  <c r="G111"/>
  <c r="F111"/>
  <c r="E111"/>
  <c r="D111"/>
  <c r="C111"/>
  <c r="B111"/>
  <c r="Q111"/>
  <c r="P111"/>
  <c r="O111"/>
  <c r="N111"/>
  <c r="M111"/>
  <c r="L111"/>
  <c r="G111" i="30"/>
  <c r="F111"/>
  <c r="E111"/>
  <c r="D111"/>
  <c r="C111"/>
  <c r="B111"/>
  <c r="Q111"/>
  <c r="P111"/>
  <c r="O111"/>
  <c r="N111"/>
  <c r="M111"/>
  <c r="L111"/>
  <c r="K111"/>
  <c r="J111"/>
  <c r="I111"/>
  <c r="H111"/>
  <c r="G111" i="29"/>
  <c r="F111"/>
  <c r="E111"/>
  <c r="D111"/>
  <c r="C111"/>
  <c r="B111"/>
  <c r="P111"/>
  <c r="O111"/>
  <c r="Q111"/>
  <c r="N111"/>
  <c r="M111"/>
  <c r="L111"/>
  <c r="K111"/>
  <c r="J111"/>
  <c r="I111"/>
  <c r="H111"/>
  <c r="B111" i="28"/>
  <c r="Q111"/>
  <c r="P111"/>
  <c r="O111"/>
  <c r="N111"/>
  <c r="M111"/>
  <c r="L111"/>
  <c r="K111"/>
  <c r="J111"/>
  <c r="C112"/>
  <c r="I111"/>
  <c r="H111"/>
  <c r="G111"/>
  <c r="F111"/>
  <c r="E111"/>
  <c r="D111"/>
  <c r="P111" i="27"/>
  <c r="O111"/>
  <c r="N111"/>
  <c r="M111"/>
  <c r="B112"/>
  <c r="L111"/>
  <c r="K111"/>
  <c r="J111"/>
  <c r="I111"/>
  <c r="H111"/>
  <c r="G111"/>
  <c r="F111"/>
  <c r="Q112"/>
  <c r="E111"/>
  <c r="D111"/>
  <c r="C111"/>
  <c r="N111" i="26"/>
  <c r="M111"/>
  <c r="O112"/>
  <c r="L111"/>
  <c r="K111"/>
  <c r="J111"/>
  <c r="I111"/>
  <c r="H111"/>
  <c r="G111"/>
  <c r="F111"/>
  <c r="E111"/>
  <c r="D111"/>
  <c r="C111"/>
  <c r="B111"/>
  <c r="Q111"/>
  <c r="P111"/>
  <c r="M112" i="25"/>
  <c r="L111"/>
  <c r="K111"/>
  <c r="J111"/>
  <c r="I111"/>
  <c r="H111"/>
  <c r="G111"/>
  <c r="F111"/>
  <c r="E111"/>
  <c r="D111"/>
  <c r="C111"/>
  <c r="B111"/>
  <c r="Q111"/>
  <c r="P111"/>
  <c r="O111"/>
  <c r="L111" i="24"/>
  <c r="K111"/>
  <c r="J111"/>
  <c r="I111"/>
  <c r="H111"/>
  <c r="G111"/>
  <c r="F111"/>
  <c r="E111"/>
  <c r="D111"/>
  <c r="C111"/>
  <c r="B111"/>
  <c r="Q111"/>
  <c r="P111"/>
  <c r="O111"/>
  <c r="N111"/>
  <c r="M111" i="23"/>
  <c r="L111"/>
  <c r="K111"/>
  <c r="J111"/>
  <c r="I111"/>
  <c r="H111"/>
  <c r="G111"/>
  <c r="F111"/>
  <c r="E111"/>
  <c r="D111"/>
  <c r="C111"/>
  <c r="B111"/>
  <c r="Q111"/>
  <c r="P111"/>
  <c r="O111"/>
  <c r="N111"/>
  <c r="J111" i="22"/>
  <c r="I111"/>
  <c r="K112"/>
  <c r="H111"/>
  <c r="G111"/>
  <c r="F111"/>
  <c r="E111"/>
  <c r="D111"/>
  <c r="C111"/>
  <c r="B111"/>
  <c r="Q111"/>
  <c r="P111"/>
  <c r="O111"/>
  <c r="L111"/>
  <c r="N111"/>
  <c r="M111"/>
  <c r="K111" i="21"/>
  <c r="I111"/>
  <c r="H111"/>
  <c r="G111"/>
  <c r="F111"/>
  <c r="E111"/>
  <c r="D111"/>
  <c r="C111"/>
  <c r="B111"/>
  <c r="Q111"/>
  <c r="P111"/>
  <c r="O111"/>
  <c r="J112"/>
  <c r="N111"/>
  <c r="M111"/>
  <c r="L111"/>
  <c r="J111" i="20"/>
  <c r="I111"/>
  <c r="H111"/>
  <c r="G111"/>
  <c r="F111"/>
  <c r="K112"/>
  <c r="E111"/>
  <c r="D111"/>
  <c r="C111"/>
  <c r="B111"/>
  <c r="Q111"/>
  <c r="P111"/>
  <c r="O111"/>
  <c r="N111"/>
  <c r="M111"/>
  <c r="L111"/>
  <c r="J111" i="19"/>
  <c r="I111"/>
  <c r="H111"/>
  <c r="G111"/>
  <c r="F111"/>
  <c r="E111"/>
  <c r="D111"/>
  <c r="C111"/>
  <c r="B111"/>
  <c r="Q111"/>
  <c r="P111"/>
  <c r="O111"/>
  <c r="N111"/>
  <c r="M111"/>
  <c r="L111"/>
  <c r="K111" i="18"/>
  <c r="J111"/>
  <c r="I111"/>
  <c r="H111"/>
  <c r="G111"/>
  <c r="F111"/>
  <c r="E111"/>
  <c r="D111"/>
  <c r="C111"/>
  <c r="B111"/>
  <c r="Q111"/>
  <c r="P111"/>
  <c r="O111"/>
  <c r="N111"/>
  <c r="M111"/>
  <c r="L111"/>
  <c r="H111" i="17"/>
  <c r="G111"/>
  <c r="F111"/>
  <c r="E111"/>
  <c r="D111"/>
  <c r="C111"/>
  <c r="B111"/>
  <c r="Q111"/>
  <c r="P111"/>
  <c r="O111"/>
  <c r="J112"/>
  <c r="I111"/>
  <c r="N111"/>
  <c r="M111"/>
  <c r="L111"/>
  <c r="K111"/>
  <c r="H112" i="16"/>
  <c r="G111"/>
  <c r="F111"/>
  <c r="E111"/>
  <c r="D111"/>
  <c r="C111"/>
  <c r="I111"/>
  <c r="B111"/>
  <c r="Q111"/>
  <c r="P111"/>
  <c r="O111"/>
  <c r="N111"/>
  <c r="M111"/>
  <c r="L111"/>
  <c r="K111"/>
  <c r="J111"/>
  <c r="I111" i="15"/>
  <c r="H111"/>
  <c r="G111"/>
  <c r="F111"/>
  <c r="E111"/>
  <c r="D111"/>
  <c r="C111"/>
  <c r="B111"/>
  <c r="Q111"/>
  <c r="P111"/>
  <c r="O111"/>
  <c r="N111"/>
  <c r="M111"/>
  <c r="L111"/>
  <c r="K111"/>
  <c r="J111"/>
  <c r="H112" i="14"/>
  <c r="G111"/>
  <c r="F111"/>
  <c r="E111"/>
  <c r="D111"/>
  <c r="C111"/>
  <c r="B111"/>
  <c r="Q111"/>
  <c r="O111"/>
  <c r="N111"/>
  <c r="M111"/>
  <c r="L111"/>
  <c r="J111"/>
  <c r="I111"/>
  <c r="F111" i="13"/>
  <c r="E111"/>
  <c r="D111"/>
  <c r="G111"/>
  <c r="C111"/>
  <c r="B111"/>
  <c r="Q111"/>
  <c r="P111"/>
  <c r="O111"/>
  <c r="N111"/>
  <c r="M111"/>
  <c r="L111"/>
  <c r="K111"/>
  <c r="J111"/>
  <c r="I111"/>
  <c r="H111"/>
  <c r="D111" i="12"/>
  <c r="C111"/>
  <c r="B111"/>
  <c r="Q111"/>
  <c r="P111"/>
  <c r="O112"/>
  <c r="N111"/>
  <c r="M111"/>
  <c r="L111"/>
  <c r="K111"/>
  <c r="J111"/>
  <c r="I111"/>
  <c r="H111"/>
  <c r="G111"/>
  <c r="F111"/>
  <c r="E111"/>
  <c r="D111" i="11"/>
  <c r="C111"/>
  <c r="B111"/>
  <c r="Q111"/>
  <c r="P111"/>
  <c r="O111"/>
  <c r="N111"/>
  <c r="M111"/>
  <c r="L111"/>
  <c r="K111"/>
  <c r="J111"/>
  <c r="I111"/>
  <c r="H111"/>
  <c r="G111"/>
  <c r="F111"/>
  <c r="E111"/>
  <c r="D111" i="10"/>
  <c r="C111"/>
  <c r="B111"/>
  <c r="Q111"/>
  <c r="P111"/>
  <c r="O111"/>
  <c r="N111"/>
  <c r="M111"/>
  <c r="L111"/>
  <c r="K111"/>
  <c r="J111"/>
  <c r="I111"/>
  <c r="H111"/>
  <c r="G111"/>
  <c r="F111"/>
  <c r="E111"/>
  <c r="B112" i="9"/>
  <c r="Q111"/>
  <c r="P111"/>
  <c r="O111"/>
  <c r="N111"/>
  <c r="C111"/>
  <c r="M111"/>
  <c r="L111"/>
  <c r="K111"/>
  <c r="J111"/>
  <c r="I111"/>
  <c r="H111"/>
  <c r="G111"/>
  <c r="F111"/>
  <c r="E111"/>
  <c r="D111"/>
  <c r="B111" i="8"/>
  <c r="Q111"/>
  <c r="P111"/>
  <c r="O111"/>
  <c r="C111"/>
  <c r="N111"/>
  <c r="M111"/>
  <c r="L111"/>
  <c r="K111"/>
  <c r="J111"/>
  <c r="I111"/>
  <c r="H111"/>
  <c r="G111"/>
  <c r="F111"/>
  <c r="E111"/>
  <c r="D111"/>
  <c r="B111" i="3"/>
  <c r="Q111"/>
  <c r="P111"/>
  <c r="C112"/>
  <c r="O111"/>
  <c r="N111"/>
  <c r="M111"/>
  <c r="L111"/>
  <c r="K111"/>
  <c r="J111"/>
  <c r="I111"/>
  <c r="H111"/>
  <c r="G111"/>
  <c r="F111"/>
  <c r="E111"/>
  <c r="D111"/>
  <c r="D45" i="39"/>
  <c r="D44"/>
  <c r="D43"/>
  <c r="D42"/>
  <c r="D41"/>
  <c r="C45"/>
  <c r="C44"/>
  <c r="C43"/>
  <c r="C42"/>
  <c r="C41"/>
  <c r="B45"/>
  <c r="B44"/>
  <c r="B43"/>
  <c r="B42"/>
  <c r="B41"/>
  <c r="Q45"/>
  <c r="Q44"/>
  <c r="Q43"/>
  <c r="Q42"/>
  <c r="Q41"/>
  <c r="O45"/>
  <c r="O44"/>
  <c r="O43"/>
  <c r="O42"/>
  <c r="O41"/>
  <c r="N45"/>
  <c r="N44"/>
  <c r="N43"/>
  <c r="N42"/>
  <c r="N41"/>
  <c r="M45"/>
  <c r="M44"/>
  <c r="M43"/>
  <c r="M42"/>
  <c r="M41"/>
  <c r="P45"/>
  <c r="P44"/>
  <c r="P43"/>
  <c r="P42"/>
  <c r="P41"/>
  <c r="L45"/>
  <c r="L44"/>
  <c r="L43"/>
  <c r="L42"/>
  <c r="L41"/>
  <c r="K45"/>
  <c r="K44"/>
  <c r="K43"/>
  <c r="K42"/>
  <c r="K41"/>
  <c r="J45"/>
  <c r="J44"/>
  <c r="J43"/>
  <c r="J42"/>
  <c r="J41"/>
  <c r="H45"/>
  <c r="H44"/>
  <c r="H43"/>
  <c r="H42"/>
  <c r="H41"/>
  <c r="G45"/>
  <c r="G44"/>
  <c r="G43"/>
  <c r="G42"/>
  <c r="G41"/>
  <c r="F45"/>
  <c r="F44"/>
  <c r="F43"/>
  <c r="F42"/>
  <c r="F41"/>
  <c r="I45"/>
  <c r="I44"/>
  <c r="I43"/>
  <c r="I42"/>
  <c r="I41"/>
  <c r="E45"/>
  <c r="E44"/>
  <c r="E43"/>
  <c r="E42"/>
  <c r="E41"/>
  <c r="D111" i="2"/>
  <c r="C111"/>
  <c r="B111"/>
  <c r="Q111"/>
  <c r="P111"/>
  <c r="O111"/>
  <c r="N111"/>
  <c r="M111"/>
  <c r="L111"/>
  <c r="K111"/>
  <c r="J111"/>
  <c r="I111"/>
  <c r="H111"/>
  <c r="G111"/>
  <c r="F111"/>
  <c r="E111"/>
  <c r="F47" i="39" l="1"/>
  <c r="F46"/>
  <c r="J47"/>
  <c r="J46"/>
  <c r="Q47"/>
  <c r="Q46"/>
  <c r="I47"/>
  <c r="I46"/>
  <c r="H47"/>
  <c r="H46"/>
  <c r="C47"/>
  <c r="C46"/>
  <c r="L47"/>
  <c r="L46"/>
  <c r="D47"/>
  <c r="D46"/>
  <c r="O47"/>
  <c r="O46"/>
  <c r="N47"/>
  <c r="N46"/>
  <c r="P47"/>
  <c r="P46"/>
  <c r="B47"/>
  <c r="B46"/>
  <c r="E47"/>
  <c r="E46"/>
  <c r="G47"/>
  <c r="G46"/>
  <c r="K47"/>
  <c r="K46"/>
  <c r="M47"/>
  <c r="M46"/>
</calcChain>
</file>

<file path=xl/sharedStrings.xml><?xml version="1.0" encoding="utf-8"?>
<sst xmlns="http://schemas.openxmlformats.org/spreadsheetml/2006/main" count="2952" uniqueCount="246">
  <si>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</si>
  <si>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</si>
  <si>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</si>
  <si>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</si>
  <si>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</si>
  <si>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</si>
  <si>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</si>
  <si>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</si>
  <si>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</si>
  <si>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</si>
  <si>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</si>
  <si>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</si>
  <si>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</si>
  <si>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</si>
  <si>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</si>
  <si>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</si>
  <si>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</si>
  <si>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</si>
  <si>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</si>
  <si>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</si>
  <si>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</si>
  <si>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</si>
  <si>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</si>
  <si>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</si>
  <si>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</si>
  <si>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</si>
  <si>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</si>
  <si>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</si>
  <si>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</si>
  <si>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</si>
  <si>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</si>
  <si>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</si>
  <si>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</si>
  <si>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</si>
  <si>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</si>
  <si>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</si>
  <si>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</si>
  <si>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</si>
  <si>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</si>
  <si>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</si>
  <si>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</si>
  <si>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</si>
  <si>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</si>
  <si>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</si>
  <si>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</si>
  <si>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</si>
  <si>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</si>
  <si>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</si>
  <si>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</si>
  <si>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</si>
  <si>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</si>
  <si>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</si>
  <si>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</si>
  <si>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</si>
  <si>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</si>
  <si>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</si>
  <si>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</si>
  <si>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</si>
  <si>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</si>
  <si>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</si>
  <si>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</si>
  <si>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</si>
  <si>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</si>
  <si>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</si>
  <si>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</si>
  <si>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</si>
  <si>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</si>
  <si>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</si>
  <si>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</si>
  <si>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</si>
  <si>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</si>
  <si>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</si>
  <si>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</si>
  <si>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</si>
  <si>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</si>
  <si>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</si>
  <si>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</si>
  <si>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</si>
  <si>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</si>
  <si>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</si>
  <si>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</si>
  <si>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</si>
  <si>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family val="2"/>
      </rP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</si>
  <si>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</si>
  <si>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</si>
  <si>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</si>
  <si>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</si>
  <si>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family val="2"/>
      </rP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</si>
  <si>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</si>
  <si>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</si>
  <si>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CO</t>
    </r>
    <r>
      <rPr>
        <b/>
        <sz val="10"/>
        <color indexed="9"/>
        <rFont val="Arial"/>
        <family val="2"/>
      </rPr>
      <t xml:space="preserve"> ARE </t>
    </r>
  </si>
  <si>
    <t>VOC</t>
  </si>
  <si>
    <r>
      <rPr>
        <b/>
        <sz val="10"/>
        <color theme="0"/>
        <rFont val="Arial"/>
        <family val="2"/>
      </rP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</si>
  <si>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O3</t>
  </si>
  <si>
    <r>
      <rPr>
        <b/>
        <sz val="10"/>
        <color theme="0"/>
        <rFont val="Arial"/>
        <family val="2"/>
      </rP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</si>
  <si>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</si>
  <si>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</si>
  <si>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</si>
  <si>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</si>
  <si>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</si>
  <si>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</si>
  <si>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</si>
  <si>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</si>
  <si>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</si>
  <si>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</si>
  <si>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</si>
  <si>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</si>
  <si>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</si>
  <si>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</si>
  <si>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</si>
  <si>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</si>
  <si>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</si>
  <si>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</si>
  <si>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</si>
  <si>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</si>
  <si>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</si>
  <si>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</si>
  <si>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</si>
  <si>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</si>
  <si>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</si>
  <si>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</si>
  <si>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</si>
  <si>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</si>
  <si>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</si>
  <si>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</si>
  <si>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</si>
  <si>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</si>
  <si>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</si>
  <si>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</si>
  <si>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</si>
  <si>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</si>
  <si>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</si>
  <si>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</si>
  <si>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</si>
  <si>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</si>
  <si>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</si>
  <si>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</si>
  <si>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</si>
  <si>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</si>
  <si>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</si>
  <si>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</si>
  <si>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</si>
  <si>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</si>
  <si>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</si>
  <si>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</si>
  <si>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</si>
  <si>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</si>
  <si>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</si>
  <si>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</si>
  <si>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</si>
  <si>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</si>
  <si>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</si>
  <si>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</si>
  <si>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</si>
  <si>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</si>
  <si>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</si>
  <si>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</si>
  <si>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</si>
  <si>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</si>
  <si>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</si>
  <si>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</si>
  <si>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</si>
  <si>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</si>
  <si>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</si>
  <si>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</si>
  <si>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</si>
  <si>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</si>
  <si>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</si>
  <si>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</si>
  <si>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</si>
  <si>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</si>
  <si>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</si>
  <si>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</si>
  <si>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</si>
  <si>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</si>
  <si>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</si>
  <si>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</si>
  <si>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</si>
  <si>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</si>
  <si>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</si>
  <si>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</si>
  <si>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</si>
  <si>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</si>
  <si>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</si>
  <si>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</si>
  <si>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</si>
  <si>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</si>
  <si>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</si>
  <si>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</si>
  <si>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</si>
  <si>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</si>
  <si>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</si>
  <si>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</si>
  <si>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</si>
  <si>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</si>
  <si>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</si>
  <si>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</si>
  <si>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</si>
  <si>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</si>
  <si>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</si>
  <si>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</si>
  <si>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</si>
  <si>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</si>
  <si>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</si>
  <si>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</si>
  <si>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</si>
  <si>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</si>
  <si>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</si>
  <si>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</si>
  <si>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</si>
  <si>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</si>
  <si>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</si>
  <si>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</si>
  <si>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</si>
  <si>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</si>
  <si>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</si>
  <si>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</si>
  <si>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</si>
  <si>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</si>
  <si>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</si>
  <si>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</si>
  <si>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</si>
  <si>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</si>
  <si>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</si>
  <si>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</si>
  <si>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</si>
  <si>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</si>
  <si>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</si>
  <si>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</si>
  <si>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</si>
  <si>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</si>
  <si>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</si>
  <si>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</si>
  <si>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</si>
  <si>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</si>
  <si>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</si>
  <si>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</si>
  <si>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</si>
  <si>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01/07/2024 00:15 - 31/07/2024 00:00</t>
  </si>
  <si>
    <t>02.07.2024 11:54</t>
  </si>
  <si>
    <t>02.07.2024 11:55</t>
  </si>
  <si>
    <t>16.07.2024 11:27</t>
  </si>
  <si>
    <t>18.07.2024 11:31</t>
  </si>
  <si>
    <t>18.07.2024 12:07</t>
  </si>
  <si>
    <t>18.07.2024 12:59</t>
  </si>
  <si>
    <t>18.07.2024 13:17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</si>
</sst>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mmmm\-yyyy"/>
    <numFmt numFmtId="166" formatCode="0.0000"/>
  </numFmts>
  <fonts count="4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6"/>
      <color theme="0"/>
      <name val="Arial Black"/>
      <family val="2"/>
    </font>
    <font>
      <b/>
      <sz val="16"/>
      <color theme="0"/>
      <name val="Arial Black"/>
      <family val="2"/>
    </font>
    <font>
      <b/>
      <sz val="24"/>
      <color theme="1"/>
      <name val="Arial Black"/>
      <family val="2"/>
    </font>
    <font>
      <b/>
      <sz val="11"/>
      <name val="Arial"/>
      <family val="2"/>
    </font>
    <font>
      <b/>
      <sz val="11"/>
      <color rgb="FFFF0000"/>
      <name val="Calibri"/>
      <family val="2"/>
      <scheme val="minor"/>
    </font>
    <font>
      <b/>
      <sz val="22"/>
      <color theme="1"/>
      <name val="Arial Black"/>
      <family val="2"/>
    </font>
    <font>
      <b/>
      <sz val="9"/>
      <color rgb="FFFF0000"/>
      <name val="Calibri"/>
      <family val="2"/>
      <scheme val="minor"/>
    </font>
    <font>
      <b/>
      <sz val="9"/>
      <color rgb="FFFF0000"/>
      <name val="Arial"/>
      <family val="2"/>
    </font>
    <font>
      <sz val="10"/>
      <name val="Arial"/>
      <family val="2"/>
    </font>
    <font>
      <b/>
      <sz val="26"/>
      <color theme="1"/>
      <name val="Arial Black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2"/>
      <name val="Arial"/>
      <family val="2"/>
    </font>
    <font>
      <b/>
      <sz val="10"/>
      <color theme="2" tint="-0.89996032593768116"/>
      <name val="Arial Black"/>
      <family val="2"/>
    </font>
    <font>
      <b/>
      <sz val="10"/>
      <name val="Calibri"/>
      <family val="2"/>
      <scheme val="minor"/>
    </font>
    <font>
      <b/>
      <sz val="10"/>
      <color theme="2" tint="-0.89996032593768116"/>
      <name val="Arial"/>
      <family val="2"/>
    </font>
    <font>
      <b/>
      <sz val="12"/>
      <name val="Calibri"/>
      <family val="2"/>
      <scheme val="minor"/>
    </font>
    <font>
      <b/>
      <i/>
      <sz val="12"/>
      <name val="Arial"/>
      <family val="2"/>
    </font>
    <font>
      <b/>
      <i/>
      <sz val="10"/>
      <name val="Arial"/>
      <family val="2"/>
    </font>
    <font>
      <sz val="9"/>
      <color theme="3" tint="0.3999450666829432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2" tint="-0.89996032593768116"/>
      <name val="Arial Black"/>
      <family val="2"/>
    </font>
    <font>
      <sz val="11"/>
      <color theme="3" tint="0.39994506668294322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indexed="12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sz val="10"/>
      <color indexed="12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rgb="FF00B050"/>
      <name val="Arial"/>
      <family val="2"/>
    </font>
    <font>
      <b/>
      <sz val="10"/>
      <color theme="5" tint="-0.249977111117893"/>
      <name val="Arial"/>
      <family val="2"/>
    </font>
    <font>
      <b/>
      <sz val="10"/>
      <color indexed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2" fillId="0" borderId="0" xfId="0" applyNumberFormat="1" applyFont="1" applyAlignment="1">
      <alignment horizontal="center"/>
    </xf>
    <xf numFmtId="0" fontId="8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14" fontId="12" fillId="0" borderId="0" xfId="0" applyNumberFormat="1" applyFon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0" fillId="0" borderId="13" xfId="0" applyFont="1" applyBorder="1" applyAlignment="1">
      <alignment horizontal="center" wrapText="1"/>
    </xf>
    <xf numFmtId="0" fontId="11" fillId="0" borderId="0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16" fillId="0" borderId="0" xfId="0" applyFont="1" applyFill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19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17" fillId="4" borderId="22" xfId="0" applyFont="1" applyFill="1" applyBorder="1" applyAlignment="1">
      <alignment horizontal="center"/>
    </xf>
    <xf numFmtId="0" fontId="18" fillId="4" borderId="7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20" fillId="4" borderId="22" xfId="0" applyFont="1" applyFill="1" applyBorder="1" applyAlignment="1">
      <alignment horizontal="center"/>
    </xf>
    <xf numFmtId="0" fontId="21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7" fillId="3" borderId="24" xfId="0" applyFont="1" applyFill="1" applyBorder="1" applyAlignment="1">
      <alignment horizontal="center"/>
    </xf>
    <xf numFmtId="0" fontId="8" fillId="0" borderId="23" xfId="0" applyFont="1" applyFill="1" applyBorder="1"/>
    <xf numFmtId="0" fontId="22" fillId="0" borderId="0" xfId="0" applyFont="1" applyAlignment="1">
      <alignment horizontal="center"/>
    </xf>
    <xf numFmtId="0" fontId="17" fillId="4" borderId="25" xfId="0" applyFont="1" applyFill="1" applyBorder="1" applyAlignment="1">
      <alignment horizontal="center"/>
    </xf>
    <xf numFmtId="0" fontId="20" fillId="4" borderId="11" xfId="0" applyFont="1" applyFill="1" applyBorder="1" applyAlignment="1">
      <alignment horizontal="center"/>
    </xf>
    <xf numFmtId="0" fontId="20" fillId="0" borderId="23" xfId="0" applyFont="1" applyFill="1" applyBorder="1" applyAlignment="1">
      <alignment horizontal="center"/>
    </xf>
    <xf numFmtId="0" fontId="17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0" fontId="0" fillId="0" borderId="0" xfId="0" applyBorder="1"/>
    <xf numFmtId="0" fontId="23" fillId="3" borderId="27" xfId="0" applyFont="1" applyFill="1" applyBorder="1" applyAlignment="1">
      <alignment horizontal="center"/>
    </xf>
    <xf numFmtId="0" fontId="24" fillId="3" borderId="11" xfId="0" applyFont="1" applyFill="1" applyBorder="1" applyAlignment="1">
      <alignment horizontal="center"/>
    </xf>
    <xf numFmtId="0" fontId="25" fillId="4" borderId="6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5" fillId="4" borderId="7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8" fillId="0" borderId="0" xfId="0" applyFont="1" applyFill="1" applyBorder="1"/>
    <xf numFmtId="0" fontId="0" fillId="0" borderId="0" xfId="0" applyFill="1" applyBorder="1"/>
    <xf numFmtId="0" fontId="15" fillId="3" borderId="28" xfId="0" applyFont="1" applyFill="1" applyBorder="1" applyAlignment="1">
      <alignment horizontal="center"/>
    </xf>
    <xf numFmtId="0" fontId="26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0" fillId="0" borderId="13" xfId="0" applyFont="1" applyFill="1" applyBorder="1" applyAlignment="1">
      <alignment horizontal="center" wrapText="1"/>
    </xf>
    <xf numFmtId="0" fontId="24" fillId="0" borderId="0" xfId="0" applyFont="1" applyBorder="1" applyAlignment="1">
      <alignment horizontal="center"/>
    </xf>
    <xf numFmtId="0" fontId="10" fillId="0" borderId="7" xfId="0" applyFont="1" applyBorder="1" applyAlignment="1">
      <alignment horizontal="center" wrapText="1"/>
    </xf>
    <xf numFmtId="0" fontId="7" fillId="3" borderId="27" xfId="0" applyFont="1" applyFill="1" applyBorder="1" applyAlignment="1">
      <alignment horizontal="center"/>
    </xf>
    <xf numFmtId="0" fontId="10" fillId="0" borderId="6" xfId="0" applyFont="1" applyBorder="1" applyAlignment="1">
      <alignment horizontal="center" wrapText="1"/>
    </xf>
    <xf numFmtId="0" fontId="24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10" fillId="0" borderId="7" xfId="0" applyFont="1" applyFill="1" applyBorder="1" applyAlignment="1">
      <alignment horizontal="center" wrapText="1"/>
    </xf>
    <xf numFmtId="0" fontId="27" fillId="0" borderId="0" xfId="0" applyFont="1" applyFill="1" applyBorder="1" applyAlignment="1">
      <alignment horizontal="center"/>
    </xf>
    <xf numFmtId="0" fontId="24" fillId="0" borderId="31" xfId="0" applyFont="1" applyBorder="1" applyAlignment="1">
      <alignment horizontal="center"/>
    </xf>
    <xf numFmtId="0" fontId="29" fillId="0" borderId="7" xfId="0" applyFont="1" applyBorder="1" applyAlignment="1">
      <alignment horizontal="center" vertical="center" wrapText="1"/>
    </xf>
    <xf numFmtId="46" fontId="7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30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0" fillId="0" borderId="7" xfId="0" applyNumberFormat="1" applyFill="1" applyBorder="1" applyAlignment="1">
      <alignment horizontal="center"/>
    </xf>
    <xf numFmtId="22" fontId="3" fillId="0" borderId="7" xfId="0" applyNumberFormat="1" applyFont="1" applyFill="1" applyBorder="1" applyAlignment="1">
      <alignment horizontal="center"/>
    </xf>
    <xf numFmtId="22" fontId="0" fillId="0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46" fontId="30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9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9" fillId="0" borderId="8" xfId="0" applyNumberFormat="1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2" fontId="29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5" fillId="0" borderId="0" xfId="0" applyFont="1" applyAlignment="1">
      <alignment horizontal="center"/>
    </xf>
    <xf numFmtId="2" fontId="35" fillId="0" borderId="0" xfId="0" applyNumberFormat="1" applyFont="1" applyAlignment="1">
      <alignment horizontal="center"/>
    </xf>
    <xf numFmtId="0" fontId="35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5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9" fillId="0" borderId="7" xfId="0" applyNumberFormat="1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16" fillId="4" borderId="22" xfId="0" applyFont="1" applyFill="1" applyBorder="1" applyAlignment="1">
      <alignment horizontal="center" vertical="center"/>
    </xf>
    <xf numFmtId="0" fontId="16" fillId="4" borderId="22" xfId="0" applyFont="1" applyFill="1" applyBorder="1" applyAlignment="1">
      <alignment horizontal="center"/>
    </xf>
    <xf numFmtId="22" fontId="0" fillId="0" borderId="7" xfId="0" applyNumberFormat="1" applyFill="1" applyBorder="1" applyAlignment="1">
      <alignment horizontal="center" vertical="center"/>
    </xf>
    <xf numFmtId="22" fontId="0" fillId="0" borderId="8" xfId="0" applyNumberFormat="1" applyBorder="1" applyAlignment="1">
      <alignment horizontal="center" vertical="center"/>
    </xf>
    <xf numFmtId="0" fontId="34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6" fillId="6" borderId="36" xfId="0" applyNumberFormat="1" applyFont="1" applyFill="1" applyBorder="1" applyAlignment="1">
      <alignment horizontal="center"/>
    </xf>
    <xf numFmtId="0" fontId="33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9" fillId="0" borderId="7" xfId="0" applyNumberFormat="1" applyFont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" fontId="36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9" fillId="0" borderId="7" xfId="0" applyNumberFormat="1" applyFont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0" fillId="0" borderId="0" xfId="0" applyFont="1"/>
    <xf numFmtId="14" fontId="0" fillId="0" borderId="0" xfId="0" applyNumberFormat="1"/>
    <xf numFmtId="14" fontId="29" fillId="0" borderId="0" xfId="0" applyNumberFormat="1" applyFont="1" applyFill="1" applyAlignment="1">
      <alignment horizontal="center"/>
    </xf>
    <xf numFmtId="0" fontId="29" fillId="0" borderId="0" xfId="0" applyFont="1" applyAlignment="1">
      <alignment horizontal="center" wrapText="1"/>
    </xf>
    <xf numFmtId="17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14" fontId="29" fillId="0" borderId="0" xfId="0" applyNumberFormat="1" applyFont="1" applyAlignment="1">
      <alignment horizontal="center"/>
    </xf>
    <xf numFmtId="0" fontId="34" fillId="7" borderId="0" xfId="0" applyFont="1" applyFill="1" applyAlignment="1">
      <alignment horizontal="center"/>
    </xf>
    <xf numFmtId="0" fontId="34" fillId="0" borderId="0" xfId="0" applyFont="1" applyFill="1" applyAlignment="1">
      <alignment horizontal="center"/>
    </xf>
    <xf numFmtId="0" fontId="34" fillId="5" borderId="0" xfId="0" applyFont="1" applyFill="1" applyAlignment="1">
      <alignment horizontal="center"/>
    </xf>
    <xf numFmtId="0" fontId="34" fillId="8" borderId="0" xfId="0" applyFont="1" applyFill="1" applyAlignment="1">
      <alignment horizontal="center"/>
    </xf>
    <xf numFmtId="0" fontId="29" fillId="0" borderId="0" xfId="0" applyFont="1" applyFill="1" applyAlignment="1">
      <alignment horizontal="center"/>
    </xf>
    <xf numFmtId="14" fontId="29" fillId="0" borderId="7" xfId="0" applyNumberFormat="1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22" fontId="29" fillId="0" borderId="0" xfId="0" applyNumberFormat="1" applyFont="1" applyFill="1" applyAlignment="1">
      <alignment horizontal="center"/>
    </xf>
    <xf numFmtId="2" fontId="0" fillId="0" borderId="7" xfId="0" applyNumberFormat="1" applyFont="1" applyBorder="1" applyAlignment="1">
      <alignment horizontal="center"/>
    </xf>
    <xf numFmtId="2" fontId="37" fillId="0" borderId="7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29" fillId="0" borderId="0" xfId="0" applyNumberFormat="1" applyFont="1" applyAlignment="1">
      <alignment horizontal="center"/>
    </xf>
    <xf numFmtId="14" fontId="0" fillId="0" borderId="0" xfId="0" applyNumberFormat="1" applyFill="1" applyAlignment="1">
      <alignment horizontal="center"/>
    </xf>
    <xf numFmtId="0" fontId="39" fillId="0" borderId="0" xfId="0" applyFont="1" applyFill="1" applyAlignment="1">
      <alignment horizontal="center"/>
    </xf>
    <xf numFmtId="14" fontId="14" fillId="0" borderId="0" xfId="0" applyNumberFormat="1" applyFont="1" applyFill="1" applyAlignment="1">
      <alignment horizontal="center"/>
    </xf>
    <xf numFmtId="0" fontId="41" fillId="9" borderId="0" xfId="0" applyFont="1" applyFill="1" applyAlignment="1">
      <alignment horizontal="center"/>
    </xf>
    <xf numFmtId="0" fontId="29" fillId="0" borderId="0" xfId="0" applyFont="1" applyAlignment="1"/>
    <xf numFmtId="0" fontId="34" fillId="10" borderId="0" xfId="0" applyFont="1" applyFill="1" applyAlignment="1">
      <alignment horizontal="center"/>
    </xf>
    <xf numFmtId="0" fontId="29" fillId="0" borderId="0" xfId="0" applyFont="1" applyAlignment="1">
      <alignment horizontal="left"/>
    </xf>
    <xf numFmtId="0" fontId="29" fillId="0" borderId="0" xfId="0" applyFont="1" applyAlignment="1">
      <alignment horizontal="right"/>
    </xf>
    <xf numFmtId="0" fontId="34" fillId="11" borderId="0" xfId="0" applyFont="1" applyFill="1" applyAlignment="1">
      <alignment horizontal="center"/>
    </xf>
    <xf numFmtId="0" fontId="29" fillId="0" borderId="7" xfId="0" applyFont="1" applyFill="1" applyBorder="1" applyAlignment="1">
      <alignment horizontal="center" vertical="center"/>
    </xf>
    <xf numFmtId="0" fontId="34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29" fillId="0" borderId="0" xfId="0" applyFont="1" applyFill="1" applyBorder="1" applyAlignment="1">
      <alignment horizontal="center"/>
    </xf>
    <xf numFmtId="0" fontId="29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37" fillId="0" borderId="0" xfId="0" applyNumberFormat="1" applyFont="1" applyBorder="1" applyAlignment="1">
      <alignment horizontal="center"/>
    </xf>
    <xf numFmtId="2" fontId="12" fillId="0" borderId="0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29" fillId="0" borderId="7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2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4" fillId="0" borderId="0" xfId="0" applyFont="1" applyFill="1" applyAlignment="1">
      <alignment horizontal="center"/>
    </xf>
    <xf numFmtId="0" fontId="42" fillId="0" borderId="0" xfId="0" applyFont="1" applyAlignment="1">
      <alignment horizontal="center"/>
    </xf>
    <xf numFmtId="2" fontId="29" fillId="0" borderId="0" xfId="0" applyNumberFormat="1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22" fontId="1" fillId="0" borderId="7" xfId="0" applyNumberFormat="1" applyFont="1" applyBorder="1" applyAlignment="1">
      <alignment horizontal="center"/>
    </xf>
    <xf numFmtId="0" fontId="22" fillId="0" borderId="0" xfId="0" applyFont="1" applyAlignment="1">
      <alignment horizontal="center"/>
    </xf>
    <xf numFmtId="0" fontId="38" fillId="5" borderId="0" xfId="0" applyFont="1" applyFill="1" applyAlignment="1">
      <alignment horizontal="center"/>
    </xf>
    <xf numFmtId="0" fontId="40" fillId="5" borderId="0" xfId="0" applyFont="1" applyFill="1" applyAlignment="1">
      <alignment horizontal="center"/>
    </xf>
    <xf numFmtId="0" fontId="40" fillId="5" borderId="0" xfId="0" applyFont="1" applyFill="1" applyAlignment="1">
      <alignment horizontal="left"/>
    </xf>
    <xf numFmtId="49" fontId="32" fillId="3" borderId="3" xfId="0" applyNumberFormat="1" applyFont="1" applyFill="1" applyBorder="1" applyAlignment="1">
      <alignment horizontal="center" vertical="center"/>
    </xf>
    <xf numFmtId="49" fontId="32" fillId="3" borderId="24" xfId="0" applyNumberFormat="1" applyFont="1" applyFill="1" applyBorder="1" applyAlignment="1">
      <alignment horizontal="center" vertical="center"/>
    </xf>
    <xf numFmtId="49" fontId="29" fillId="0" borderId="2" xfId="0" applyNumberFormat="1" applyFont="1" applyBorder="1" applyAlignment="1">
      <alignment horizontal="center" vertical="center"/>
    </xf>
    <xf numFmtId="49" fontId="29" fillId="0" borderId="3" xfId="0" applyNumberFormat="1" applyFont="1" applyBorder="1" applyAlignment="1">
      <alignment horizontal="center" vertical="center"/>
    </xf>
    <xf numFmtId="49" fontId="29" fillId="0" borderId="24" xfId="0" applyNumberFormat="1" applyFont="1" applyBorder="1" applyAlignment="1">
      <alignment horizontal="center" vertical="center"/>
    </xf>
    <xf numFmtId="0" fontId="33" fillId="3" borderId="34" xfId="0" applyFont="1" applyFill="1" applyBorder="1" applyAlignment="1">
      <alignment horizontal="center"/>
    </xf>
    <xf numFmtId="0" fontId="34" fillId="3" borderId="36" xfId="0" applyFont="1" applyFill="1" applyBorder="1" applyAlignment="1">
      <alignment horizontal="center"/>
    </xf>
    <xf numFmtId="0" fontId="34" fillId="3" borderId="36" xfId="0" applyFont="1" applyFill="1" applyBorder="1" applyAlignment="1">
      <alignment horizontal="center" vertical="center"/>
    </xf>
    <xf numFmtId="0" fontId="34" fillId="3" borderId="3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22" fontId="31" fillId="0" borderId="0" xfId="0" applyNumberFormat="1" applyFont="1" applyFill="1" applyAlignment="1">
      <alignment horizontal="center" wrapText="1"/>
    </xf>
    <xf numFmtId="165" fontId="28" fillId="5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3" borderId="19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7"/>
  <sheetViews>
    <sheetView zoomScale="80" zoomScaleNormal="80" workbookViewId="0">
      <pane xSplit="1" ySplit="8" topLeftCell="B9" activePane="bottomRight" state="frozen"/>
      <selection pane="topRight"/>
      <selection pane="bottomLeft"/>
      <selection pane="bottomRight" activeCell="Q104" sqref="Q9:Q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45474.010416666664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45474.010416666664</v>
      </c>
      <c r="B9" s="112">
        <v>9.2100000000000009</v>
      </c>
      <c r="C9" s="112">
        <v>4.1500000000000004</v>
      </c>
      <c r="D9" s="112">
        <v>14.01</v>
      </c>
      <c r="E9" s="112">
        <v>7.07</v>
      </c>
      <c r="F9" s="112">
        <v>5.79</v>
      </c>
      <c r="G9" s="112">
        <v>8.26</v>
      </c>
      <c r="H9" s="112">
        <v>4.6100000000000003</v>
      </c>
      <c r="I9" s="112">
        <v>3.62</v>
      </c>
      <c r="J9" s="112">
        <v>0.1</v>
      </c>
      <c r="K9" s="112">
        <v>259.89999999999998</v>
      </c>
      <c r="L9" s="112">
        <v>25.74</v>
      </c>
      <c r="M9" s="112">
        <v>101.35</v>
      </c>
      <c r="N9" s="112">
        <v>2.1</v>
      </c>
      <c r="O9" s="112">
        <v>0</v>
      </c>
      <c r="P9" s="112">
        <v>0.33</v>
      </c>
      <c r="Q9" s="112">
        <v>4.62</v>
      </c>
    </row>
    <row r="10" spans="1:21" customFormat="1">
      <c r="A10" s="80">
        <v>45474.020833333336</v>
      </c>
      <c r="B10" s="112">
        <v>9.23</v>
      </c>
      <c r="C10" s="112">
        <v>4.07</v>
      </c>
      <c r="D10" s="112">
        <v>13.98</v>
      </c>
      <c r="E10" s="112">
        <v>7.55</v>
      </c>
      <c r="F10" s="112">
        <v>6.11</v>
      </c>
      <c r="G10" s="112">
        <v>8.93</v>
      </c>
      <c r="H10" s="112">
        <v>3.89</v>
      </c>
      <c r="I10" s="112">
        <v>3.69</v>
      </c>
      <c r="J10" s="112">
        <v>0.11</v>
      </c>
      <c r="K10" s="112">
        <v>229.17</v>
      </c>
      <c r="L10" s="112">
        <v>25.84</v>
      </c>
      <c r="M10" s="112">
        <v>101.9</v>
      </c>
      <c r="N10" s="112">
        <v>2.1</v>
      </c>
      <c r="O10" s="112">
        <v>0</v>
      </c>
      <c r="P10" s="112">
        <v>0.33</v>
      </c>
      <c r="Q10" s="112">
        <v>4.62</v>
      </c>
    </row>
    <row r="11" spans="1:21" customFormat="1">
      <c r="A11" s="80">
        <v>45474.03125</v>
      </c>
      <c r="B11" s="112">
        <v>9.24</v>
      </c>
      <c r="C11" s="112">
        <v>4.0599999999999996</v>
      </c>
      <c r="D11" s="112">
        <v>13.98</v>
      </c>
      <c r="E11" s="112">
        <v>7.95</v>
      </c>
      <c r="F11" s="112">
        <v>5.27</v>
      </c>
      <c r="G11" s="112">
        <v>9.94</v>
      </c>
      <c r="H11" s="112">
        <v>3.24</v>
      </c>
      <c r="I11" s="112">
        <v>3.64</v>
      </c>
      <c r="J11" s="112">
        <v>0.12</v>
      </c>
      <c r="K11" s="112">
        <v>236.75</v>
      </c>
      <c r="L11" s="112">
        <v>25.88</v>
      </c>
      <c r="M11" s="112">
        <v>98.89</v>
      </c>
      <c r="N11" s="112">
        <v>2.1</v>
      </c>
      <c r="O11" s="112">
        <v>0</v>
      </c>
      <c r="P11" s="112">
        <v>0.33</v>
      </c>
      <c r="Q11" s="112">
        <v>4.62</v>
      </c>
    </row>
    <row r="12" spans="1:21" customFormat="1">
      <c r="A12" s="80">
        <v>45474.041666666664</v>
      </c>
      <c r="B12" s="112">
        <v>9.2200000000000006</v>
      </c>
      <c r="C12" s="112">
        <v>4.07</v>
      </c>
      <c r="D12" s="112">
        <v>13.97</v>
      </c>
      <c r="E12" s="112">
        <v>7.66</v>
      </c>
      <c r="F12" s="112">
        <v>5.22</v>
      </c>
      <c r="G12" s="112">
        <v>9.94</v>
      </c>
      <c r="H12" s="112">
        <v>3.24</v>
      </c>
      <c r="I12" s="112">
        <v>3.62</v>
      </c>
      <c r="J12" s="112">
        <v>0.1</v>
      </c>
      <c r="K12" s="112">
        <v>270.82</v>
      </c>
      <c r="L12" s="112">
        <v>25.83</v>
      </c>
      <c r="M12" s="112">
        <v>98.79</v>
      </c>
      <c r="N12" s="112">
        <v>2.1</v>
      </c>
      <c r="O12" s="112">
        <v>0</v>
      </c>
      <c r="P12" s="112">
        <v>0.32</v>
      </c>
      <c r="Q12" s="112">
        <v>4.6100000000000003</v>
      </c>
    </row>
    <row r="13" spans="1:21" customFormat="1">
      <c r="A13" s="80">
        <v>45474.052083333336</v>
      </c>
      <c r="B13" s="112">
        <v>9.23</v>
      </c>
      <c r="C13" s="112">
        <v>4.08</v>
      </c>
      <c r="D13" s="112">
        <v>13.98</v>
      </c>
      <c r="E13" s="112">
        <v>7.85</v>
      </c>
      <c r="F13" s="112">
        <v>4.6500000000000004</v>
      </c>
      <c r="G13" s="112">
        <v>9.94</v>
      </c>
      <c r="H13" s="112">
        <v>3.24</v>
      </c>
      <c r="I13" s="112">
        <v>3.58</v>
      </c>
      <c r="J13" s="112">
        <v>0.15</v>
      </c>
      <c r="K13" s="112">
        <v>231.87</v>
      </c>
      <c r="L13" s="112">
        <v>25.85</v>
      </c>
      <c r="M13" s="112">
        <v>98.84</v>
      </c>
      <c r="N13" s="112">
        <v>2.1</v>
      </c>
      <c r="O13" s="112">
        <v>0</v>
      </c>
      <c r="P13" s="112">
        <v>0.32</v>
      </c>
      <c r="Q13" s="112">
        <v>4.62</v>
      </c>
    </row>
    <row r="14" spans="1:21" customFormat="1">
      <c r="A14" s="80">
        <v>45474.0625</v>
      </c>
      <c r="B14" s="112">
        <v>9.23</v>
      </c>
      <c r="C14" s="112">
        <v>4.0599999999999996</v>
      </c>
      <c r="D14" s="112">
        <v>13.97</v>
      </c>
      <c r="E14" s="112">
        <v>7.91</v>
      </c>
      <c r="F14" s="112">
        <v>4.93</v>
      </c>
      <c r="G14" s="112">
        <v>9.66</v>
      </c>
      <c r="H14" s="112">
        <v>2.83</v>
      </c>
      <c r="I14" s="112">
        <v>3.56</v>
      </c>
      <c r="J14" s="112">
        <v>0.18</v>
      </c>
      <c r="K14" s="112">
        <v>252.47</v>
      </c>
      <c r="L14" s="112">
        <v>25.87</v>
      </c>
      <c r="M14" s="112">
        <v>97.47</v>
      </c>
      <c r="N14" s="112">
        <v>2.2999999999999998</v>
      </c>
      <c r="O14" s="112">
        <v>0</v>
      </c>
      <c r="P14" s="112">
        <v>0.31</v>
      </c>
      <c r="Q14" s="112">
        <v>4.6100000000000003</v>
      </c>
    </row>
    <row r="15" spans="1:21" customFormat="1">
      <c r="A15" s="80">
        <v>45474.072916666664</v>
      </c>
      <c r="B15" s="112">
        <v>9.23</v>
      </c>
      <c r="C15" s="112">
        <v>4.0599999999999996</v>
      </c>
      <c r="D15" s="112">
        <v>13.97</v>
      </c>
      <c r="E15" s="112">
        <v>8.34</v>
      </c>
      <c r="F15" s="112">
        <v>5.23</v>
      </c>
      <c r="G15" s="112">
        <v>9.25</v>
      </c>
      <c r="H15" s="112">
        <v>2.4700000000000002</v>
      </c>
      <c r="I15" s="112">
        <v>3.51</v>
      </c>
      <c r="J15" s="112">
        <v>0.37</v>
      </c>
      <c r="K15" s="112">
        <v>251.43</v>
      </c>
      <c r="L15" s="112">
        <v>25.94</v>
      </c>
      <c r="M15" s="112">
        <v>96.07</v>
      </c>
      <c r="N15" s="112">
        <v>2.7</v>
      </c>
      <c r="O15" s="112">
        <v>0</v>
      </c>
      <c r="P15" s="112">
        <v>0.31</v>
      </c>
      <c r="Q15" s="112">
        <v>4.5999999999999996</v>
      </c>
    </row>
    <row r="16" spans="1:21" customFormat="1">
      <c r="A16" s="80">
        <v>45474.083333333336</v>
      </c>
      <c r="B16" s="112">
        <v>9.23</v>
      </c>
      <c r="C16" s="112">
        <v>4.0599999999999996</v>
      </c>
      <c r="D16" s="112">
        <v>13.97</v>
      </c>
      <c r="E16" s="112">
        <v>8.8800000000000008</v>
      </c>
      <c r="F16" s="112">
        <v>4.59</v>
      </c>
      <c r="G16" s="112">
        <v>9.25</v>
      </c>
      <c r="H16" s="112">
        <v>2.4700000000000002</v>
      </c>
      <c r="I16" s="112">
        <v>3.47</v>
      </c>
      <c r="J16" s="112">
        <v>0.48</v>
      </c>
      <c r="K16" s="112">
        <v>246.14</v>
      </c>
      <c r="L16" s="112">
        <v>26.06</v>
      </c>
      <c r="M16" s="112">
        <v>94.45</v>
      </c>
      <c r="N16" s="112">
        <v>2.6</v>
      </c>
      <c r="O16" s="112">
        <v>0</v>
      </c>
      <c r="P16" s="112">
        <v>0.31</v>
      </c>
      <c r="Q16" s="112">
        <v>4.6100000000000003</v>
      </c>
    </row>
    <row r="17" spans="1:17" customFormat="1">
      <c r="A17" s="80">
        <v>45474.09375</v>
      </c>
      <c r="B17" s="112">
        <v>9.25</v>
      </c>
      <c r="C17" s="112">
        <v>4.07</v>
      </c>
      <c r="D17" s="112">
        <v>14</v>
      </c>
      <c r="E17" s="112">
        <v>6.4</v>
      </c>
      <c r="F17" s="112">
        <v>4.13</v>
      </c>
      <c r="G17" s="112">
        <v>9.25</v>
      </c>
      <c r="H17" s="112">
        <v>2.4700000000000002</v>
      </c>
      <c r="I17" s="112">
        <v>3.48</v>
      </c>
      <c r="J17" s="112">
        <v>0.56999999999999995</v>
      </c>
      <c r="K17" s="112">
        <v>248.68</v>
      </c>
      <c r="L17" s="112">
        <v>26.12</v>
      </c>
      <c r="M17" s="112">
        <v>94.51</v>
      </c>
      <c r="N17" s="112">
        <v>2.8</v>
      </c>
      <c r="O17" s="112">
        <v>0</v>
      </c>
      <c r="P17" s="112">
        <v>0.3</v>
      </c>
      <c r="Q17" s="112">
        <v>4.6399999999999997</v>
      </c>
    </row>
    <row r="18" spans="1:17" customFormat="1">
      <c r="A18" s="80">
        <v>45474.104166666664</v>
      </c>
      <c r="B18" s="112">
        <v>9.25</v>
      </c>
      <c r="C18" s="112">
        <v>4.05</v>
      </c>
      <c r="D18" s="112">
        <v>13.98</v>
      </c>
      <c r="E18" s="112">
        <v>8.59</v>
      </c>
      <c r="F18" s="112">
        <v>4.1500000000000004</v>
      </c>
      <c r="G18" s="112">
        <v>10.36</v>
      </c>
      <c r="H18" s="112">
        <v>2.89</v>
      </c>
      <c r="I18" s="112">
        <v>3.45</v>
      </c>
      <c r="J18" s="112">
        <v>0.56000000000000005</v>
      </c>
      <c r="K18" s="112">
        <v>254.59</v>
      </c>
      <c r="L18" s="112">
        <v>26.22</v>
      </c>
      <c r="M18" s="112">
        <v>95.28</v>
      </c>
      <c r="N18" s="112">
        <v>2.8</v>
      </c>
      <c r="O18" s="112">
        <v>0</v>
      </c>
      <c r="P18" s="112">
        <v>0.3</v>
      </c>
      <c r="Q18" s="112">
        <v>4.63</v>
      </c>
    </row>
    <row r="19" spans="1:17" customFormat="1">
      <c r="A19" s="80">
        <v>45474.114583333336</v>
      </c>
      <c r="B19" s="112">
        <v>9.24</v>
      </c>
      <c r="C19" s="112">
        <v>4.05</v>
      </c>
      <c r="D19" s="112">
        <v>13.98</v>
      </c>
      <c r="E19" s="112">
        <v>8.4</v>
      </c>
      <c r="F19" s="112">
        <v>3.74</v>
      </c>
      <c r="G19" s="112">
        <v>12.04</v>
      </c>
      <c r="H19" s="112">
        <v>3.28</v>
      </c>
      <c r="I19" s="112">
        <v>3.46</v>
      </c>
      <c r="J19" s="112">
        <v>0.74</v>
      </c>
      <c r="K19" s="112">
        <v>260.75</v>
      </c>
      <c r="L19" s="112">
        <v>26.29</v>
      </c>
      <c r="M19" s="112">
        <v>95.21</v>
      </c>
      <c r="N19" s="112">
        <v>3.1</v>
      </c>
      <c r="O19" s="112">
        <v>0</v>
      </c>
      <c r="P19" s="112">
        <v>0.31</v>
      </c>
      <c r="Q19" s="112">
        <v>4.63</v>
      </c>
    </row>
    <row r="20" spans="1:17" customFormat="1">
      <c r="A20" s="80">
        <v>45474.125</v>
      </c>
      <c r="B20" s="112">
        <v>9.23</v>
      </c>
      <c r="C20" s="112">
        <v>4.0599999999999996</v>
      </c>
      <c r="D20" s="112">
        <v>13.97</v>
      </c>
      <c r="E20" s="112">
        <v>8.24</v>
      </c>
      <c r="F20" s="112">
        <v>4.0199999999999996</v>
      </c>
      <c r="G20" s="112">
        <v>12.04</v>
      </c>
      <c r="H20" s="112">
        <v>3.28</v>
      </c>
      <c r="I20" s="112">
        <v>3.38</v>
      </c>
      <c r="J20" s="112">
        <v>0.86</v>
      </c>
      <c r="K20" s="112">
        <v>260.14</v>
      </c>
      <c r="L20" s="112">
        <v>26.42</v>
      </c>
      <c r="M20" s="112">
        <v>94.25</v>
      </c>
      <c r="N20" s="112">
        <v>3</v>
      </c>
      <c r="O20" s="112">
        <v>0</v>
      </c>
      <c r="P20" s="112">
        <v>0.3</v>
      </c>
      <c r="Q20" s="112">
        <v>4.63</v>
      </c>
    </row>
    <row r="21" spans="1:17" customFormat="1">
      <c r="A21" s="80">
        <v>45474.135416666664</v>
      </c>
      <c r="B21" s="112">
        <v>9.24</v>
      </c>
      <c r="C21" s="112">
        <v>4.07</v>
      </c>
      <c r="D21" s="112">
        <v>13.99</v>
      </c>
      <c r="E21" s="112">
        <v>8.9499999999999993</v>
      </c>
      <c r="F21" s="112">
        <v>3.86</v>
      </c>
      <c r="G21" s="112">
        <v>12.04</v>
      </c>
      <c r="H21" s="112">
        <v>3.28</v>
      </c>
      <c r="I21" s="112">
        <v>3.36</v>
      </c>
      <c r="J21" s="112">
        <v>0.8</v>
      </c>
      <c r="K21" s="112">
        <v>253.7</v>
      </c>
      <c r="L21" s="112">
        <v>26.45</v>
      </c>
      <c r="M21" s="112">
        <v>92.71</v>
      </c>
      <c r="N21" s="112">
        <v>3.3</v>
      </c>
      <c r="O21" s="112">
        <v>0</v>
      </c>
      <c r="P21" s="112">
        <v>0.28999999999999998</v>
      </c>
      <c r="Q21" s="112">
        <v>4.6399999999999997</v>
      </c>
    </row>
    <row r="22" spans="1:17" customFormat="1">
      <c r="A22" s="80">
        <v>45474.145833333336</v>
      </c>
      <c r="B22" s="112">
        <v>9.24</v>
      </c>
      <c r="C22" s="112">
        <v>4.08</v>
      </c>
      <c r="D22" s="112">
        <v>13.99</v>
      </c>
      <c r="E22" s="112">
        <v>8.75</v>
      </c>
      <c r="F22" s="112">
        <v>3.97</v>
      </c>
      <c r="G22" s="112">
        <v>11.77</v>
      </c>
      <c r="H22" s="112">
        <v>5.13</v>
      </c>
      <c r="I22" s="112">
        <v>3.36</v>
      </c>
      <c r="J22" s="112">
        <v>0.96</v>
      </c>
      <c r="K22" s="112">
        <v>259.64999999999998</v>
      </c>
      <c r="L22" s="112">
        <v>26.52</v>
      </c>
      <c r="M22" s="112">
        <v>91.21</v>
      </c>
      <c r="N22" s="112">
        <v>3.4</v>
      </c>
      <c r="O22" s="112">
        <v>0</v>
      </c>
      <c r="P22" s="112">
        <v>0.28999999999999998</v>
      </c>
      <c r="Q22" s="112">
        <v>4.6399999999999997</v>
      </c>
    </row>
    <row r="23" spans="1:17" customFormat="1">
      <c r="A23" s="80">
        <v>45474.15625</v>
      </c>
      <c r="B23" s="112">
        <v>9.23</v>
      </c>
      <c r="C23" s="112">
        <v>4.09</v>
      </c>
      <c r="D23" s="112">
        <v>13.99</v>
      </c>
      <c r="E23" s="112">
        <v>8.77</v>
      </c>
      <c r="F23" s="112">
        <v>4.22</v>
      </c>
      <c r="G23" s="112">
        <v>11.36</v>
      </c>
      <c r="H23" s="112">
        <v>6.76</v>
      </c>
      <c r="I23" s="112">
        <v>3.33</v>
      </c>
      <c r="J23" s="112">
        <v>1.05</v>
      </c>
      <c r="K23" s="112">
        <v>266.45999999999998</v>
      </c>
      <c r="L23" s="112">
        <v>26.37</v>
      </c>
      <c r="M23" s="112">
        <v>92.19</v>
      </c>
      <c r="N23" s="112">
        <v>3.1</v>
      </c>
      <c r="O23" s="112">
        <v>0</v>
      </c>
      <c r="P23" s="112">
        <v>0.28000000000000003</v>
      </c>
      <c r="Q23" s="112">
        <v>4.63</v>
      </c>
    </row>
    <row r="24" spans="1:17" customFormat="1">
      <c r="A24" s="80">
        <v>45474.166666666664</v>
      </c>
      <c r="B24" s="112">
        <v>9.23</v>
      </c>
      <c r="C24" s="112">
        <v>4.08</v>
      </c>
      <c r="D24" s="112">
        <v>13.99</v>
      </c>
      <c r="E24" s="112">
        <v>8.99</v>
      </c>
      <c r="F24" s="112">
        <v>3.88</v>
      </c>
      <c r="G24" s="112">
        <v>11.36</v>
      </c>
      <c r="H24" s="112">
        <v>6.76</v>
      </c>
      <c r="I24" s="112">
        <v>3.28</v>
      </c>
      <c r="J24" s="112">
        <v>0.75</v>
      </c>
      <c r="K24" s="112">
        <v>266.57</v>
      </c>
      <c r="L24" s="112">
        <v>26.24</v>
      </c>
      <c r="M24" s="112">
        <v>92.64</v>
      </c>
      <c r="N24" s="112">
        <v>2.4</v>
      </c>
      <c r="O24" s="112">
        <v>0</v>
      </c>
      <c r="P24" s="112">
        <v>0.28999999999999998</v>
      </c>
      <c r="Q24" s="112">
        <v>4.62</v>
      </c>
    </row>
    <row r="25" spans="1:17" customFormat="1">
      <c r="A25" s="80">
        <v>45474.177083333336</v>
      </c>
      <c r="B25" s="112">
        <v>9.26</v>
      </c>
      <c r="C25" s="112">
        <v>4.08</v>
      </c>
      <c r="D25" s="112">
        <v>14.01</v>
      </c>
      <c r="E25" s="112">
        <v>8.98</v>
      </c>
      <c r="F25" s="112">
        <v>3.9</v>
      </c>
      <c r="G25" s="112">
        <v>11.36</v>
      </c>
      <c r="H25" s="112">
        <v>6.76</v>
      </c>
      <c r="I25" s="112">
        <v>3.22</v>
      </c>
      <c r="J25" s="112">
        <v>0.8</v>
      </c>
      <c r="K25" s="112">
        <v>265</v>
      </c>
      <c r="L25" s="112">
        <v>26.23</v>
      </c>
      <c r="M25" s="112">
        <v>92.57</v>
      </c>
      <c r="N25" s="112">
        <v>2.5</v>
      </c>
      <c r="O25" s="112">
        <v>0</v>
      </c>
      <c r="P25" s="112">
        <v>0.27</v>
      </c>
      <c r="Q25" s="112">
        <v>4.62</v>
      </c>
    </row>
    <row r="26" spans="1:17" customFormat="1">
      <c r="A26" s="80">
        <v>45474.1875</v>
      </c>
      <c r="B26" s="112">
        <v>9.25</v>
      </c>
      <c r="C26" s="112">
        <v>4.09</v>
      </c>
      <c r="D26" s="112">
        <v>14.01</v>
      </c>
      <c r="E26" s="112">
        <v>9.3000000000000007</v>
      </c>
      <c r="F26" s="112">
        <v>3.88</v>
      </c>
      <c r="G26" s="112">
        <v>10.26</v>
      </c>
      <c r="H26" s="112">
        <v>6.32</v>
      </c>
      <c r="I26" s="112">
        <v>3.18</v>
      </c>
      <c r="J26" s="112">
        <v>1.1200000000000001</v>
      </c>
      <c r="K26" s="112">
        <v>276.7</v>
      </c>
      <c r="L26" s="112">
        <v>26.26</v>
      </c>
      <c r="M26" s="112">
        <v>90.29</v>
      </c>
      <c r="N26" s="112">
        <v>2.2999999999999998</v>
      </c>
      <c r="O26" s="112">
        <v>0</v>
      </c>
      <c r="P26" s="112">
        <v>0.3</v>
      </c>
      <c r="Q26" s="112">
        <v>4.6399999999999997</v>
      </c>
    </row>
    <row r="27" spans="1:17" customFormat="1">
      <c r="A27" s="80">
        <v>45474.197916666664</v>
      </c>
      <c r="B27" s="112">
        <v>9.24</v>
      </c>
      <c r="C27" s="112">
        <v>4.07</v>
      </c>
      <c r="D27" s="112">
        <v>13.99</v>
      </c>
      <c r="E27" s="112">
        <v>9.52</v>
      </c>
      <c r="F27" s="112">
        <v>3.53</v>
      </c>
      <c r="G27" s="112">
        <v>8.6199999999999992</v>
      </c>
      <c r="H27" s="112">
        <v>5.07</v>
      </c>
      <c r="I27" s="112">
        <v>3.17</v>
      </c>
      <c r="J27" s="112">
        <v>0.94</v>
      </c>
      <c r="K27" s="112">
        <v>269.23</v>
      </c>
      <c r="L27" s="112">
        <v>26.17</v>
      </c>
      <c r="M27" s="112">
        <v>90.2</v>
      </c>
      <c r="N27" s="112">
        <v>2.5</v>
      </c>
      <c r="O27" s="112">
        <v>0</v>
      </c>
      <c r="P27" s="112">
        <v>0.36</v>
      </c>
      <c r="Q27" s="112">
        <v>4.6399999999999997</v>
      </c>
    </row>
    <row r="28" spans="1:17" customFormat="1">
      <c r="A28" s="80">
        <v>45474.208333333336</v>
      </c>
      <c r="B28" s="112">
        <v>9.23</v>
      </c>
      <c r="C28" s="112">
        <v>4.07</v>
      </c>
      <c r="D28" s="112">
        <v>13.98</v>
      </c>
      <c r="E28" s="112">
        <v>9.51</v>
      </c>
      <c r="F28" s="112">
        <v>4.1399999999999997</v>
      </c>
      <c r="G28" s="112">
        <v>8.6199999999999992</v>
      </c>
      <c r="H28" s="112">
        <v>5.07</v>
      </c>
      <c r="I28" s="112">
        <v>3.26</v>
      </c>
      <c r="J28" s="112">
        <v>0.69</v>
      </c>
      <c r="K28" s="112">
        <v>267.02999999999997</v>
      </c>
      <c r="L28" s="112">
        <v>26.03</v>
      </c>
      <c r="M28" s="112">
        <v>90.46</v>
      </c>
      <c r="N28" s="112">
        <v>2.5</v>
      </c>
      <c r="O28" s="112">
        <v>0</v>
      </c>
      <c r="P28" s="112">
        <v>0.39</v>
      </c>
      <c r="Q28" s="112">
        <v>4.6399999999999997</v>
      </c>
    </row>
    <row r="29" spans="1:17" customFormat="1">
      <c r="A29" s="80">
        <v>45474.21875</v>
      </c>
      <c r="B29" s="112">
        <v>9.2200000000000006</v>
      </c>
      <c r="C29" s="112">
        <v>4.04</v>
      </c>
      <c r="D29" s="112">
        <v>13.96</v>
      </c>
      <c r="E29" s="112">
        <v>8.9600000000000009</v>
      </c>
      <c r="F29" s="112">
        <v>6.26</v>
      </c>
      <c r="G29" s="112">
        <v>8.6199999999999992</v>
      </c>
      <c r="H29" s="112">
        <v>5.07</v>
      </c>
      <c r="I29" s="112">
        <v>3.71</v>
      </c>
      <c r="J29" s="112">
        <v>0.56000000000000005</v>
      </c>
      <c r="K29" s="112">
        <v>267.12</v>
      </c>
      <c r="L29" s="112">
        <v>25.88</v>
      </c>
      <c r="M29" s="112">
        <v>89.19</v>
      </c>
      <c r="N29" s="112">
        <v>3.3</v>
      </c>
      <c r="O29" s="112">
        <v>0</v>
      </c>
      <c r="P29" s="112">
        <v>0.39</v>
      </c>
      <c r="Q29" s="112">
        <v>4.6399999999999997</v>
      </c>
    </row>
    <row r="30" spans="1:17" customFormat="1">
      <c r="A30" s="80">
        <v>45474.229166666664</v>
      </c>
      <c r="B30" s="112">
        <v>9.2100000000000009</v>
      </c>
      <c r="C30" s="112">
        <v>4.07</v>
      </c>
      <c r="D30" s="112">
        <v>13.96</v>
      </c>
      <c r="E30" s="112">
        <v>8.4600000000000009</v>
      </c>
      <c r="F30" s="112">
        <v>8.0399999999999991</v>
      </c>
      <c r="G30" s="112">
        <v>8.51</v>
      </c>
      <c r="H30" s="112">
        <v>4.3</v>
      </c>
      <c r="I30" s="112">
        <v>4.4000000000000004</v>
      </c>
      <c r="J30" s="112">
        <v>0.65</v>
      </c>
      <c r="K30" s="112">
        <v>264.76</v>
      </c>
      <c r="L30" s="112">
        <v>25.83</v>
      </c>
      <c r="M30" s="112">
        <v>88.65</v>
      </c>
      <c r="N30" s="112">
        <v>6.5</v>
      </c>
      <c r="O30" s="112">
        <v>0</v>
      </c>
      <c r="P30" s="112">
        <v>0.4</v>
      </c>
      <c r="Q30" s="112">
        <v>4.6399999999999997</v>
      </c>
    </row>
    <row r="31" spans="1:17" customFormat="1">
      <c r="A31" s="80">
        <v>45474.239583333336</v>
      </c>
      <c r="B31" s="112">
        <v>9.2100000000000009</v>
      </c>
      <c r="C31" s="112">
        <v>4.12</v>
      </c>
      <c r="D31" s="112">
        <v>13.98</v>
      </c>
      <c r="E31" s="112">
        <v>8.94</v>
      </c>
      <c r="F31" s="112">
        <v>7.38</v>
      </c>
      <c r="G31" s="112">
        <v>8.35</v>
      </c>
      <c r="H31" s="112">
        <v>3.6</v>
      </c>
      <c r="I31" s="112">
        <v>4.7</v>
      </c>
      <c r="J31" s="112">
        <v>0.55000000000000004</v>
      </c>
      <c r="K31" s="112">
        <v>268.32</v>
      </c>
      <c r="L31" s="112">
        <v>25.78</v>
      </c>
      <c r="M31" s="112">
        <v>89.26</v>
      </c>
      <c r="N31" s="112">
        <v>9.9</v>
      </c>
      <c r="O31" s="112">
        <v>0</v>
      </c>
      <c r="P31" s="112">
        <v>0.36</v>
      </c>
      <c r="Q31" s="112">
        <v>4.6399999999999997</v>
      </c>
    </row>
    <row r="32" spans="1:17" customFormat="1">
      <c r="A32" s="80">
        <v>45474.25</v>
      </c>
      <c r="B32" s="112">
        <v>9.2100000000000009</v>
      </c>
      <c r="C32" s="112">
        <v>4.07</v>
      </c>
      <c r="D32" s="112">
        <v>13.96</v>
      </c>
      <c r="E32" s="112">
        <v>7.48</v>
      </c>
      <c r="F32" s="112">
        <v>6.2</v>
      </c>
      <c r="G32" s="112">
        <v>8.35</v>
      </c>
      <c r="H32" s="112">
        <v>3.6</v>
      </c>
      <c r="I32" s="112">
        <v>4.8499999999999996</v>
      </c>
      <c r="J32" s="112">
        <v>0.86</v>
      </c>
      <c r="K32" s="112">
        <v>271.45</v>
      </c>
      <c r="L32" s="112">
        <v>25.73</v>
      </c>
      <c r="M32" s="112">
        <v>90</v>
      </c>
      <c r="N32" s="112">
        <v>12.4</v>
      </c>
      <c r="O32" s="112">
        <v>0</v>
      </c>
      <c r="P32" s="112">
        <v>0.35</v>
      </c>
      <c r="Q32" s="112">
        <v>4.62</v>
      </c>
    </row>
    <row r="33" spans="1:17" customFormat="1">
      <c r="A33" s="80">
        <v>45474.260416666664</v>
      </c>
      <c r="B33" s="112">
        <v>9.19</v>
      </c>
      <c r="C33" s="112">
        <v>4.0599999999999996</v>
      </c>
      <c r="D33" s="112">
        <v>13.94</v>
      </c>
      <c r="E33" s="112">
        <v>7.03</v>
      </c>
      <c r="F33" s="112">
        <v>5.0999999999999996</v>
      </c>
      <c r="G33" s="112">
        <v>8.35</v>
      </c>
      <c r="H33" s="112">
        <v>3.6</v>
      </c>
      <c r="I33" s="112">
        <v>4.4000000000000004</v>
      </c>
      <c r="J33" s="112">
        <v>0.73</v>
      </c>
      <c r="K33" s="112">
        <v>267.41000000000003</v>
      </c>
      <c r="L33" s="112">
        <v>25.77</v>
      </c>
      <c r="M33" s="112">
        <v>89.94</v>
      </c>
      <c r="N33" s="112">
        <v>16.5</v>
      </c>
      <c r="O33" s="112">
        <v>0</v>
      </c>
      <c r="P33" s="112">
        <v>0.36</v>
      </c>
      <c r="Q33" s="112">
        <v>4.62</v>
      </c>
    </row>
    <row r="34" spans="1:17" customFormat="1">
      <c r="A34" s="80">
        <v>45474.270833333336</v>
      </c>
      <c r="B34" s="112">
        <v>9.19</v>
      </c>
      <c r="C34" s="112">
        <v>4.09</v>
      </c>
      <c r="D34" s="112">
        <v>13.95</v>
      </c>
      <c r="E34" s="112">
        <v>7.52</v>
      </c>
      <c r="F34" s="112">
        <v>5.88</v>
      </c>
      <c r="G34" s="112">
        <v>8.18</v>
      </c>
      <c r="H34" s="112">
        <v>3.71</v>
      </c>
      <c r="I34" s="112">
        <v>4.24</v>
      </c>
      <c r="J34" s="112">
        <v>0.8</v>
      </c>
      <c r="K34" s="112">
        <v>259.52999999999997</v>
      </c>
      <c r="L34" s="112">
        <v>25.73</v>
      </c>
      <c r="M34" s="112">
        <v>92.03</v>
      </c>
      <c r="N34" s="112">
        <v>24.8</v>
      </c>
      <c r="O34" s="112">
        <v>0</v>
      </c>
      <c r="P34" s="112">
        <v>0.35</v>
      </c>
      <c r="Q34" s="112">
        <v>4.63</v>
      </c>
    </row>
    <row r="35" spans="1:17" customFormat="1">
      <c r="A35" s="80">
        <v>45474.28125</v>
      </c>
      <c r="B35" s="112">
        <v>9.2200000000000006</v>
      </c>
      <c r="C35" s="112">
        <v>4.03</v>
      </c>
      <c r="D35" s="112">
        <v>13.95</v>
      </c>
      <c r="E35" s="112">
        <v>7.15</v>
      </c>
      <c r="F35" s="112">
        <v>6</v>
      </c>
      <c r="G35" s="112">
        <v>7.93</v>
      </c>
      <c r="H35" s="112">
        <v>3.8</v>
      </c>
      <c r="I35" s="112">
        <v>4.2300000000000004</v>
      </c>
      <c r="J35" s="112">
        <v>0.81</v>
      </c>
      <c r="K35" s="112">
        <v>260.39</v>
      </c>
      <c r="L35" s="112">
        <v>25.77</v>
      </c>
      <c r="M35" s="112">
        <v>94.89</v>
      </c>
      <c r="N35" s="112">
        <v>28.1</v>
      </c>
      <c r="O35" s="112">
        <v>0</v>
      </c>
      <c r="P35" s="112">
        <v>0.35</v>
      </c>
      <c r="Q35" s="112">
        <v>4.6399999999999997</v>
      </c>
    </row>
    <row r="36" spans="1:17" customFormat="1">
      <c r="A36" s="80">
        <v>45474.291666666664</v>
      </c>
      <c r="B36" s="112">
        <v>9.1999999999999993</v>
      </c>
      <c r="C36" s="112">
        <v>4.05</v>
      </c>
      <c r="D36" s="112">
        <v>13.94</v>
      </c>
      <c r="E36" s="112">
        <v>6.47</v>
      </c>
      <c r="F36" s="112">
        <v>6.37</v>
      </c>
      <c r="G36" s="112">
        <v>7.93</v>
      </c>
      <c r="H36" s="112">
        <v>3.8</v>
      </c>
      <c r="I36" s="112">
        <v>4.1399999999999997</v>
      </c>
      <c r="J36" s="112">
        <v>0.57999999999999996</v>
      </c>
      <c r="K36" s="112">
        <v>256.54000000000002</v>
      </c>
      <c r="L36" s="112">
        <v>25.82</v>
      </c>
      <c r="M36" s="112">
        <v>95.69</v>
      </c>
      <c r="N36" s="112">
        <v>45.7</v>
      </c>
      <c r="O36" s="112">
        <v>0</v>
      </c>
      <c r="P36" s="112">
        <v>0.34</v>
      </c>
      <c r="Q36" s="112">
        <v>4.6399999999999997</v>
      </c>
    </row>
    <row r="37" spans="1:17" customFormat="1">
      <c r="A37" s="80">
        <v>45474.302083333336</v>
      </c>
      <c r="B37" s="112">
        <v>9.19</v>
      </c>
      <c r="C37" s="112">
        <v>4.05</v>
      </c>
      <c r="D37" s="112">
        <v>13.94</v>
      </c>
      <c r="E37" s="112">
        <v>6.64</v>
      </c>
      <c r="F37" s="112">
        <v>6.6</v>
      </c>
      <c r="G37" s="112">
        <v>7.93</v>
      </c>
      <c r="H37" s="112">
        <v>3.8</v>
      </c>
      <c r="I37" s="112">
        <v>4.13</v>
      </c>
      <c r="J37" s="112">
        <v>0.61</v>
      </c>
      <c r="K37" s="112">
        <v>258.14</v>
      </c>
      <c r="L37" s="112">
        <v>25.88</v>
      </c>
      <c r="M37" s="112">
        <v>94.7</v>
      </c>
      <c r="N37" s="112">
        <v>42.7</v>
      </c>
      <c r="O37" s="112">
        <v>0</v>
      </c>
      <c r="P37" s="112">
        <v>0.34</v>
      </c>
      <c r="Q37" s="112">
        <v>4.6399999999999997</v>
      </c>
    </row>
    <row r="38" spans="1:17" customFormat="1">
      <c r="A38" s="80">
        <v>45474.3125</v>
      </c>
      <c r="B38" s="112">
        <v>9.18</v>
      </c>
      <c r="C38" s="112">
        <v>4.08</v>
      </c>
      <c r="D38" s="112">
        <v>13.95</v>
      </c>
      <c r="E38" s="112">
        <v>6.17</v>
      </c>
      <c r="F38" s="112">
        <v>7.55</v>
      </c>
      <c r="G38" s="112">
        <v>8.25</v>
      </c>
      <c r="H38" s="112">
        <v>3.3</v>
      </c>
      <c r="I38" s="112">
        <v>4.03</v>
      </c>
      <c r="J38" s="112">
        <v>0.78</v>
      </c>
      <c r="K38" s="112">
        <v>258.39</v>
      </c>
      <c r="L38" s="112">
        <v>25.9</v>
      </c>
      <c r="M38" s="112">
        <v>93.45</v>
      </c>
      <c r="N38" s="112">
        <v>38.700000000000003</v>
      </c>
      <c r="O38" s="112">
        <v>0</v>
      </c>
      <c r="P38" s="112">
        <v>0.33</v>
      </c>
      <c r="Q38" s="112">
        <v>4.63</v>
      </c>
    </row>
    <row r="39" spans="1:17" customFormat="1">
      <c r="A39" s="80">
        <v>45474.322916666664</v>
      </c>
      <c r="B39" s="112">
        <v>9.19</v>
      </c>
      <c r="C39" s="112">
        <v>4.05</v>
      </c>
      <c r="D39" s="112">
        <v>13.93</v>
      </c>
      <c r="E39" s="112">
        <v>6.08</v>
      </c>
      <c r="F39" s="112">
        <v>7.59</v>
      </c>
      <c r="G39" s="112">
        <v>8.7200000000000006</v>
      </c>
      <c r="H39" s="112">
        <v>2.87</v>
      </c>
      <c r="I39" s="112">
        <v>3.9</v>
      </c>
      <c r="J39" s="112">
        <v>0.71</v>
      </c>
      <c r="K39" s="112">
        <v>256.24</v>
      </c>
      <c r="L39" s="112">
        <v>25.89</v>
      </c>
      <c r="M39" s="112">
        <v>94.2</v>
      </c>
      <c r="N39" s="112">
        <v>39.200000000000003</v>
      </c>
      <c r="O39" s="112">
        <v>0</v>
      </c>
      <c r="P39" s="112">
        <v>0.33</v>
      </c>
      <c r="Q39" s="112">
        <v>4.63</v>
      </c>
    </row>
    <row r="40" spans="1:17" customFormat="1">
      <c r="A40" s="80">
        <v>45474.333333333336</v>
      </c>
      <c r="B40" s="112">
        <v>9.18</v>
      </c>
      <c r="C40" s="112">
        <v>4.08</v>
      </c>
      <c r="D40" s="112">
        <v>13.95</v>
      </c>
      <c r="E40" s="112">
        <v>6.48</v>
      </c>
      <c r="F40" s="112">
        <v>6.94</v>
      </c>
      <c r="G40" s="112">
        <v>8.7200000000000006</v>
      </c>
      <c r="H40" s="112">
        <v>2.87</v>
      </c>
      <c r="I40" s="112">
        <v>3.87</v>
      </c>
      <c r="J40" s="112">
        <v>0.63</v>
      </c>
      <c r="K40" s="112">
        <v>263.25</v>
      </c>
      <c r="L40" s="112">
        <v>25.99</v>
      </c>
      <c r="M40" s="112">
        <v>93.97</v>
      </c>
      <c r="N40" s="112">
        <v>52.5</v>
      </c>
      <c r="O40" s="112">
        <v>0</v>
      </c>
      <c r="P40" s="112">
        <v>0.32</v>
      </c>
      <c r="Q40" s="112">
        <v>4.6399999999999997</v>
      </c>
    </row>
    <row r="41" spans="1:17" customFormat="1">
      <c r="A41" s="80">
        <v>45474.34375</v>
      </c>
      <c r="B41" s="112">
        <v>9.18</v>
      </c>
      <c r="C41" s="112">
        <v>4.0599999999999996</v>
      </c>
      <c r="D41" s="112">
        <v>13.94</v>
      </c>
      <c r="E41" s="112">
        <v>6.14</v>
      </c>
      <c r="F41" s="112">
        <v>6.77</v>
      </c>
      <c r="G41" s="112">
        <v>8.7200000000000006</v>
      </c>
      <c r="H41" s="112">
        <v>2.87</v>
      </c>
      <c r="I41" s="112">
        <v>3.81</v>
      </c>
      <c r="J41" s="112">
        <v>0.73</v>
      </c>
      <c r="K41" s="112">
        <v>260.98</v>
      </c>
      <c r="L41" s="112">
        <v>26.01</v>
      </c>
      <c r="M41" s="112">
        <v>93.15</v>
      </c>
      <c r="N41" s="112">
        <v>40.799999999999997</v>
      </c>
      <c r="O41" s="112">
        <v>0</v>
      </c>
      <c r="P41" s="112">
        <v>0.32</v>
      </c>
      <c r="Q41" s="112">
        <v>4.63</v>
      </c>
    </row>
    <row r="42" spans="1:17" customFormat="1">
      <c r="A42" s="80">
        <v>45474.354166666664</v>
      </c>
      <c r="B42" s="112">
        <v>9.19</v>
      </c>
      <c r="C42" s="112">
        <v>4.0599999999999996</v>
      </c>
      <c r="D42" s="112">
        <v>13.94</v>
      </c>
      <c r="E42" s="112">
        <v>6.16</v>
      </c>
      <c r="F42" s="112">
        <v>6.16</v>
      </c>
      <c r="G42" s="112">
        <v>7.83</v>
      </c>
      <c r="H42" s="112">
        <v>2.6</v>
      </c>
      <c r="I42" s="112">
        <v>3.72</v>
      </c>
      <c r="J42" s="112">
        <v>0.78</v>
      </c>
      <c r="K42" s="112">
        <v>264.02999999999997</v>
      </c>
      <c r="L42" s="112">
        <v>26.03</v>
      </c>
      <c r="M42" s="112">
        <v>92.17</v>
      </c>
      <c r="N42" s="112">
        <v>64.3</v>
      </c>
      <c r="O42" s="112">
        <v>0</v>
      </c>
      <c r="P42" s="112">
        <v>0.31</v>
      </c>
      <c r="Q42" s="112">
        <v>4.63</v>
      </c>
    </row>
    <row r="43" spans="1:17" customFormat="1">
      <c r="A43" s="80">
        <v>45474.364583333336</v>
      </c>
      <c r="B43" s="112">
        <v>9.19</v>
      </c>
      <c r="C43" s="112">
        <v>4.0599999999999996</v>
      </c>
      <c r="D43" s="112">
        <v>13.94</v>
      </c>
      <c r="E43" s="112">
        <v>6.18</v>
      </c>
      <c r="F43" s="112">
        <v>6.25</v>
      </c>
      <c r="G43" s="112">
        <v>6.49</v>
      </c>
      <c r="H43" s="112">
        <v>2.36</v>
      </c>
      <c r="I43" s="112">
        <v>3.8</v>
      </c>
      <c r="J43" s="112">
        <v>0.87</v>
      </c>
      <c r="K43" s="112">
        <v>265.17</v>
      </c>
      <c r="L43" s="112">
        <v>26.13</v>
      </c>
      <c r="M43" s="112">
        <v>92.3</v>
      </c>
      <c r="N43" s="112">
        <v>75.900000000000006</v>
      </c>
      <c r="O43" s="112">
        <v>0</v>
      </c>
      <c r="P43" s="112">
        <v>0.31</v>
      </c>
      <c r="Q43" s="112">
        <v>4.66</v>
      </c>
    </row>
    <row r="44" spans="1:17" customFormat="1">
      <c r="A44" s="80">
        <v>45474.375</v>
      </c>
      <c r="B44" s="112">
        <v>9.1999999999999993</v>
      </c>
      <c r="C44" s="112">
        <v>4.05</v>
      </c>
      <c r="D44" s="112">
        <v>13.95</v>
      </c>
      <c r="E44" s="112">
        <v>5.42</v>
      </c>
      <c r="F44" s="112">
        <v>6.32</v>
      </c>
      <c r="G44" s="112">
        <v>6.49</v>
      </c>
      <c r="H44" s="112">
        <v>2.36</v>
      </c>
      <c r="I44" s="112">
        <v>3.75</v>
      </c>
      <c r="J44" s="112">
        <v>0.87</v>
      </c>
      <c r="K44" s="112">
        <v>259.99</v>
      </c>
      <c r="L44" s="112">
        <v>26.24</v>
      </c>
      <c r="M44" s="112">
        <v>91.09</v>
      </c>
      <c r="N44" s="112">
        <v>81.400000000000006</v>
      </c>
      <c r="O44" s="112">
        <v>0</v>
      </c>
      <c r="P44" s="112">
        <v>0.31</v>
      </c>
      <c r="Q44" s="112">
        <v>4.6399999999999997</v>
      </c>
    </row>
    <row r="45" spans="1:17" customFormat="1">
      <c r="A45" s="80">
        <v>45474.385416666664</v>
      </c>
      <c r="B45" s="112">
        <v>9.19</v>
      </c>
      <c r="C45" s="112">
        <v>4.0599999999999996</v>
      </c>
      <c r="D45" s="112">
        <v>13.94</v>
      </c>
      <c r="E45" s="112">
        <v>6.03</v>
      </c>
      <c r="F45" s="112">
        <v>5.61</v>
      </c>
      <c r="G45" s="112">
        <v>6.49</v>
      </c>
      <c r="H45" s="112">
        <v>2.36</v>
      </c>
      <c r="I45" s="112">
        <v>3.68</v>
      </c>
      <c r="J45" s="112">
        <v>0.8</v>
      </c>
      <c r="K45" s="112">
        <v>257.83</v>
      </c>
      <c r="L45" s="112">
        <v>26.38</v>
      </c>
      <c r="M45" s="112">
        <v>90.43</v>
      </c>
      <c r="N45" s="112">
        <v>96.1</v>
      </c>
      <c r="O45" s="112">
        <v>0</v>
      </c>
      <c r="P45" s="112">
        <v>0.3</v>
      </c>
      <c r="Q45" s="112">
        <v>4.63</v>
      </c>
    </row>
    <row r="46" spans="1:17" customFormat="1">
      <c r="A46" s="80">
        <v>45474.395833333336</v>
      </c>
      <c r="B46" s="112">
        <v>9.19</v>
      </c>
      <c r="C46" s="112">
        <v>4.0199999999999996</v>
      </c>
      <c r="D46" s="112">
        <v>13.92</v>
      </c>
      <c r="E46" s="112">
        <v>5.76</v>
      </c>
      <c r="F46" s="112">
        <v>3.47</v>
      </c>
      <c r="G46" s="112">
        <v>7.37</v>
      </c>
      <c r="H46" s="112">
        <v>3.23</v>
      </c>
      <c r="I46" s="112">
        <v>3.62</v>
      </c>
      <c r="J46" s="112">
        <v>0.69</v>
      </c>
      <c r="K46" s="112">
        <v>261.11</v>
      </c>
      <c r="L46" s="112">
        <v>26.65</v>
      </c>
      <c r="M46" s="112">
        <v>89.79</v>
      </c>
      <c r="N46" s="112">
        <v>99</v>
      </c>
      <c r="O46" s="112">
        <v>0</v>
      </c>
      <c r="P46" s="112">
        <v>0.3</v>
      </c>
      <c r="Q46" s="112">
        <v>4.5999999999999996</v>
      </c>
    </row>
    <row r="47" spans="1:17" customFormat="1">
      <c r="A47" s="80">
        <v>45474.40625</v>
      </c>
      <c r="B47" s="112">
        <v>9.19</v>
      </c>
      <c r="C47" s="112">
        <v>4.03</v>
      </c>
      <c r="D47" s="112">
        <v>13.93</v>
      </c>
      <c r="E47" s="112">
        <v>6.08</v>
      </c>
      <c r="F47" s="112">
        <v>4.9000000000000004</v>
      </c>
      <c r="G47" s="112">
        <v>8.68</v>
      </c>
      <c r="H47" s="112">
        <v>4.01</v>
      </c>
      <c r="I47" s="112">
        <v>3.68</v>
      </c>
      <c r="J47" s="112">
        <v>0.71</v>
      </c>
      <c r="K47" s="112">
        <v>264.63</v>
      </c>
      <c r="L47" s="112">
        <v>26.79</v>
      </c>
      <c r="M47" s="112">
        <v>89.35</v>
      </c>
      <c r="N47" s="112">
        <v>112.1</v>
      </c>
      <c r="O47" s="112">
        <v>0</v>
      </c>
      <c r="P47" s="112">
        <v>0.3</v>
      </c>
      <c r="Q47" s="112">
        <v>4.6100000000000003</v>
      </c>
    </row>
    <row r="48" spans="1:17" customFormat="1">
      <c r="A48" s="80">
        <v>45474.416666666664</v>
      </c>
      <c r="B48" s="112">
        <v>9.1999999999999993</v>
      </c>
      <c r="C48" s="112">
        <v>4.0599999999999996</v>
      </c>
      <c r="D48" s="112">
        <v>13.95</v>
      </c>
      <c r="E48" s="112">
        <v>5.92</v>
      </c>
      <c r="F48" s="112">
        <v>4.46</v>
      </c>
      <c r="G48" s="112">
        <v>8.68</v>
      </c>
      <c r="H48" s="112">
        <v>4.01</v>
      </c>
      <c r="I48" s="112">
        <v>3.63</v>
      </c>
      <c r="J48" s="112">
        <v>1.27</v>
      </c>
      <c r="K48" s="112">
        <v>262.92</v>
      </c>
      <c r="L48" s="112">
        <v>27</v>
      </c>
      <c r="M48" s="112">
        <v>86.58</v>
      </c>
      <c r="N48" s="112">
        <v>148.1</v>
      </c>
      <c r="O48" s="112">
        <v>0</v>
      </c>
      <c r="P48" s="112">
        <v>0.3</v>
      </c>
      <c r="Q48" s="112">
        <v>4.6399999999999997</v>
      </c>
    </row>
    <row r="49" spans="1:17" customFormat="1">
      <c r="A49" s="80">
        <v>45474.427083333336</v>
      </c>
      <c r="B49" s="112">
        <v>9.2100000000000009</v>
      </c>
      <c r="C49" s="112">
        <v>4.04</v>
      </c>
      <c r="D49" s="112">
        <v>13.94</v>
      </c>
      <c r="E49" s="112">
        <v>6.79</v>
      </c>
      <c r="F49" s="112">
        <v>5.05</v>
      </c>
      <c r="G49" s="112">
        <v>8.68</v>
      </c>
      <c r="H49" s="112">
        <v>4.01</v>
      </c>
      <c r="I49" s="112">
        <v>3.55</v>
      </c>
      <c r="J49" s="112">
        <v>1.0900000000000001</v>
      </c>
      <c r="K49" s="112">
        <v>270.48</v>
      </c>
      <c r="L49" s="112">
        <v>27.37</v>
      </c>
      <c r="M49" s="112">
        <v>84.59</v>
      </c>
      <c r="N49" s="112">
        <v>203.8</v>
      </c>
      <c r="O49" s="112">
        <v>0</v>
      </c>
      <c r="P49" s="112">
        <v>0.3</v>
      </c>
      <c r="Q49" s="112">
        <v>4.63</v>
      </c>
    </row>
    <row r="50" spans="1:17" customFormat="1">
      <c r="A50" s="80">
        <v>45474.4375</v>
      </c>
      <c r="B50" s="112">
        <v>9.2100000000000009</v>
      </c>
      <c r="C50" s="112">
        <v>4.05</v>
      </c>
      <c r="D50" s="112">
        <v>13.95</v>
      </c>
      <c r="E50" s="112">
        <v>8.4600000000000009</v>
      </c>
      <c r="F50" s="112">
        <v>5.25</v>
      </c>
      <c r="G50" s="112">
        <v>9.27</v>
      </c>
      <c r="H50" s="112">
        <v>4.3499999999999996</v>
      </c>
      <c r="I50" s="112">
        <v>3.49</v>
      </c>
      <c r="J50" s="112">
        <v>1.1000000000000001</v>
      </c>
      <c r="K50" s="112">
        <v>269.47000000000003</v>
      </c>
      <c r="L50" s="112">
        <v>27.88</v>
      </c>
      <c r="M50" s="112">
        <v>83.73</v>
      </c>
      <c r="N50" s="112">
        <v>253.5</v>
      </c>
      <c r="O50" s="112">
        <v>0</v>
      </c>
      <c r="P50" s="112">
        <v>0.3</v>
      </c>
      <c r="Q50" s="112">
        <v>4.6399999999999997</v>
      </c>
    </row>
    <row r="51" spans="1:17" customFormat="1">
      <c r="A51" s="80">
        <v>45474.447916666664</v>
      </c>
      <c r="B51" s="112">
        <v>9.19</v>
      </c>
      <c r="C51" s="112">
        <v>4.0599999999999996</v>
      </c>
      <c r="D51" s="112">
        <v>13.94</v>
      </c>
      <c r="E51" s="112">
        <v>8.6999999999999993</v>
      </c>
      <c r="F51" s="112">
        <v>3.67</v>
      </c>
      <c r="G51" s="112">
        <v>10.15</v>
      </c>
      <c r="H51" s="112">
        <v>5.3</v>
      </c>
      <c r="I51" s="112">
        <v>3.46</v>
      </c>
      <c r="J51" s="112">
        <v>1.06</v>
      </c>
      <c r="K51" s="112">
        <v>271.69</v>
      </c>
      <c r="L51" s="112">
        <v>28.2</v>
      </c>
      <c r="M51" s="112">
        <v>82.88</v>
      </c>
      <c r="N51" s="112">
        <v>251.6</v>
      </c>
      <c r="O51" s="112">
        <v>0</v>
      </c>
      <c r="P51" s="112">
        <v>0.28999999999999998</v>
      </c>
      <c r="Q51" s="112">
        <v>4.62</v>
      </c>
    </row>
    <row r="52" spans="1:17" customFormat="1">
      <c r="A52" s="80">
        <v>45474.458333333336</v>
      </c>
      <c r="B52" s="112">
        <v>9.2100000000000009</v>
      </c>
      <c r="C52" s="112">
        <v>4.04</v>
      </c>
      <c r="D52" s="112">
        <v>13.94</v>
      </c>
      <c r="E52" s="112">
        <v>8.99</v>
      </c>
      <c r="F52" s="112">
        <v>5.56</v>
      </c>
      <c r="G52" s="112">
        <v>10.15</v>
      </c>
      <c r="H52" s="112">
        <v>5.3</v>
      </c>
      <c r="I52" s="112">
        <v>3.38</v>
      </c>
      <c r="J52" s="112">
        <v>1.1499999999999999</v>
      </c>
      <c r="K52" s="112">
        <v>275.95</v>
      </c>
      <c r="L52" s="112">
        <v>28.63</v>
      </c>
      <c r="M52" s="112">
        <v>81.12</v>
      </c>
      <c r="N52" s="112">
        <v>317.2</v>
      </c>
      <c r="O52" s="112">
        <v>0</v>
      </c>
      <c r="P52" s="112">
        <v>0.28999999999999998</v>
      </c>
      <c r="Q52" s="112">
        <v>4.6500000000000004</v>
      </c>
    </row>
    <row r="53" spans="1:17" customFormat="1">
      <c r="A53" s="80">
        <v>45474.46875</v>
      </c>
      <c r="B53" s="112">
        <v>9.2100000000000009</v>
      </c>
      <c r="C53" s="112">
        <v>4.05</v>
      </c>
      <c r="D53" s="112">
        <v>13.95</v>
      </c>
      <c r="E53" s="112">
        <v>9.2200000000000006</v>
      </c>
      <c r="F53" s="112">
        <v>5.14</v>
      </c>
      <c r="G53" s="112">
        <v>10.15</v>
      </c>
      <c r="H53" s="112">
        <v>5.3</v>
      </c>
      <c r="I53" s="112">
        <v>3.37</v>
      </c>
      <c r="J53" s="112">
        <v>1.03</v>
      </c>
      <c r="K53" s="112">
        <v>273.98</v>
      </c>
      <c r="L53" s="112">
        <v>29.29</v>
      </c>
      <c r="M53" s="112">
        <v>80.33</v>
      </c>
      <c r="N53" s="112">
        <v>371.2</v>
      </c>
      <c r="O53" s="112">
        <v>0</v>
      </c>
      <c r="P53" s="112">
        <v>0.28999999999999998</v>
      </c>
      <c r="Q53" s="112">
        <v>4.6500000000000004</v>
      </c>
    </row>
    <row r="54" spans="1:17" customFormat="1">
      <c r="A54" s="80">
        <v>45474.479166666664</v>
      </c>
      <c r="B54" s="112">
        <v>9.1999999999999993</v>
      </c>
      <c r="C54" s="112">
        <v>4.07</v>
      </c>
      <c r="D54" s="112">
        <v>13.96</v>
      </c>
      <c r="E54" s="112">
        <v>9.14</v>
      </c>
      <c r="F54" s="112">
        <v>4.83</v>
      </c>
      <c r="G54" s="112">
        <v>9.8699999999999992</v>
      </c>
      <c r="H54" s="112">
        <v>5.24</v>
      </c>
      <c r="I54" s="112">
        <v>3.34</v>
      </c>
      <c r="J54" s="112">
        <v>1.4</v>
      </c>
      <c r="K54" s="112">
        <v>266.20999999999998</v>
      </c>
      <c r="L54" s="112">
        <v>29.39</v>
      </c>
      <c r="M54" s="112">
        <v>77.83</v>
      </c>
      <c r="N54" s="112">
        <v>356</v>
      </c>
      <c r="O54" s="112">
        <v>0</v>
      </c>
      <c r="P54" s="112">
        <v>0.3</v>
      </c>
      <c r="Q54" s="112">
        <v>4.63</v>
      </c>
    </row>
    <row r="55" spans="1:17" customFormat="1">
      <c r="A55" s="80">
        <v>45474.489583333336</v>
      </c>
      <c r="B55" s="112">
        <v>9.2200000000000006</v>
      </c>
      <c r="C55" s="112">
        <v>4.07</v>
      </c>
      <c r="D55" s="112">
        <v>13.97</v>
      </c>
      <c r="E55" s="112">
        <v>9.41</v>
      </c>
      <c r="F55" s="112">
        <v>4.8499999999999996</v>
      </c>
      <c r="G55" s="112">
        <v>9.4499999999999993</v>
      </c>
      <c r="H55" s="112">
        <v>5.18</v>
      </c>
      <c r="I55" s="112">
        <v>3.31</v>
      </c>
      <c r="J55" s="112">
        <v>0.92</v>
      </c>
      <c r="K55" s="112">
        <v>267.43</v>
      </c>
      <c r="L55" s="112">
        <v>29.61</v>
      </c>
      <c r="M55" s="112">
        <v>77.489999999999995</v>
      </c>
      <c r="N55" s="112">
        <v>315.8</v>
      </c>
      <c r="O55" s="112">
        <v>0</v>
      </c>
      <c r="P55" s="112">
        <v>0.28000000000000003</v>
      </c>
      <c r="Q55" s="112">
        <v>4.6399999999999997</v>
      </c>
    </row>
    <row r="56" spans="1:17" customFormat="1">
      <c r="A56" s="80">
        <v>45474.5</v>
      </c>
      <c r="B56" s="112">
        <v>9.1999999999999993</v>
      </c>
      <c r="C56" s="112">
        <v>4.09</v>
      </c>
      <c r="D56" s="112">
        <v>13.97</v>
      </c>
      <c r="E56" s="112">
        <v>9.25</v>
      </c>
      <c r="F56" s="112">
        <v>4.9400000000000004</v>
      </c>
      <c r="G56" s="112">
        <v>9.4499999999999993</v>
      </c>
      <c r="H56" s="112">
        <v>5.18</v>
      </c>
      <c r="I56" s="112">
        <v>3.29</v>
      </c>
      <c r="J56" s="112">
        <v>1.17</v>
      </c>
      <c r="K56" s="112">
        <v>272.64999999999998</v>
      </c>
      <c r="L56" s="112">
        <v>29.41</v>
      </c>
      <c r="M56" s="112">
        <v>76.56</v>
      </c>
      <c r="N56" s="112">
        <v>272</v>
      </c>
      <c r="O56" s="112">
        <v>0</v>
      </c>
      <c r="P56" s="112">
        <v>0.28999999999999998</v>
      </c>
      <c r="Q56" s="112">
        <v>4.6500000000000004</v>
      </c>
    </row>
    <row r="57" spans="1:17" customFormat="1">
      <c r="A57" s="80">
        <v>45474.510416666664</v>
      </c>
      <c r="B57" s="112">
        <v>9.2200000000000006</v>
      </c>
      <c r="C57" s="112">
        <v>4.0599999999999996</v>
      </c>
      <c r="D57" s="112">
        <v>13.97</v>
      </c>
      <c r="E57" s="112">
        <v>9.57</v>
      </c>
      <c r="F57" s="112">
        <v>5.46</v>
      </c>
      <c r="G57" s="112">
        <v>9.4499999999999993</v>
      </c>
      <c r="H57" s="112">
        <v>5.18</v>
      </c>
      <c r="I57" s="112">
        <v>3.26</v>
      </c>
      <c r="J57" s="112">
        <v>1.1000000000000001</v>
      </c>
      <c r="K57" s="112">
        <v>266.74</v>
      </c>
      <c r="L57" s="112">
        <v>29.32</v>
      </c>
      <c r="M57" s="112">
        <v>76.33</v>
      </c>
      <c r="N57" s="112">
        <v>251.8</v>
      </c>
      <c r="O57" s="112">
        <v>0</v>
      </c>
      <c r="P57" s="112">
        <v>0.28000000000000003</v>
      </c>
      <c r="Q57" s="112">
        <v>4.6500000000000004</v>
      </c>
    </row>
    <row r="58" spans="1:17" customFormat="1">
      <c r="A58" s="80">
        <v>45474.520833333336</v>
      </c>
      <c r="B58" s="112">
        <v>9.24</v>
      </c>
      <c r="C58" s="112">
        <v>4.08</v>
      </c>
      <c r="D58" s="112">
        <v>13.98</v>
      </c>
      <c r="E58" s="112">
        <v>10.07</v>
      </c>
      <c r="F58" s="112">
        <v>5.12</v>
      </c>
      <c r="G58" s="112">
        <v>10.65</v>
      </c>
      <c r="H58" s="112">
        <v>4.7300000000000004</v>
      </c>
      <c r="I58" s="112">
        <v>3.23</v>
      </c>
      <c r="J58" s="112">
        <v>0.85</v>
      </c>
      <c r="K58" s="112">
        <v>263.39999999999998</v>
      </c>
      <c r="L58" s="112">
        <v>29.44</v>
      </c>
      <c r="M58" s="112">
        <v>79.260000000000005</v>
      </c>
      <c r="N58" s="112">
        <v>209.2</v>
      </c>
      <c r="O58" s="112">
        <v>0</v>
      </c>
      <c r="P58" s="112">
        <v>0.28000000000000003</v>
      </c>
      <c r="Q58" s="112">
        <v>4.6399999999999997</v>
      </c>
    </row>
    <row r="59" spans="1:17" customFormat="1">
      <c r="A59" s="80">
        <v>45474.53125</v>
      </c>
      <c r="B59" s="112">
        <v>9.24</v>
      </c>
      <c r="C59" s="112">
        <v>4.05</v>
      </c>
      <c r="D59" s="112">
        <v>13.97</v>
      </c>
      <c r="E59" s="112">
        <v>9.51</v>
      </c>
      <c r="F59" s="112">
        <v>4.82</v>
      </c>
      <c r="G59" s="112">
        <v>12.44</v>
      </c>
      <c r="H59" s="112">
        <v>4.33</v>
      </c>
      <c r="I59" s="112">
        <v>3.21</v>
      </c>
      <c r="J59" s="112">
        <v>0.81</v>
      </c>
      <c r="K59" s="112">
        <v>263.98</v>
      </c>
      <c r="L59" s="112">
        <v>29.26</v>
      </c>
      <c r="M59" s="112">
        <v>79.900000000000006</v>
      </c>
      <c r="N59" s="112">
        <v>216.8</v>
      </c>
      <c r="O59" s="112">
        <v>0</v>
      </c>
      <c r="P59" s="112">
        <v>0.27</v>
      </c>
      <c r="Q59" s="112">
        <v>4.6399999999999997</v>
      </c>
    </row>
    <row r="60" spans="1:17" customFormat="1">
      <c r="A60" s="80">
        <v>45474.541666666664</v>
      </c>
      <c r="B60" s="112">
        <v>9.2200000000000006</v>
      </c>
      <c r="C60" s="112">
        <v>4.07</v>
      </c>
      <c r="D60" s="112">
        <v>13.97</v>
      </c>
      <c r="E60" s="112">
        <v>9.57</v>
      </c>
      <c r="F60" s="112">
        <v>4.72</v>
      </c>
      <c r="G60" s="112">
        <v>12.44</v>
      </c>
      <c r="H60" s="112">
        <v>4.33</v>
      </c>
      <c r="I60" s="112">
        <v>3.17</v>
      </c>
      <c r="J60" s="112">
        <v>0.95</v>
      </c>
      <c r="K60" s="112">
        <v>269.92</v>
      </c>
      <c r="L60" s="112">
        <v>29.58</v>
      </c>
      <c r="M60" s="112">
        <v>78.209999999999994</v>
      </c>
      <c r="N60" s="112">
        <v>240.3</v>
      </c>
      <c r="O60" s="112">
        <v>0</v>
      </c>
      <c r="P60" s="112">
        <v>0.27</v>
      </c>
      <c r="Q60" s="112">
        <v>4.6399999999999997</v>
      </c>
    </row>
    <row r="61" spans="1:17" customFormat="1">
      <c r="A61" s="80">
        <v>45474.552083333336</v>
      </c>
      <c r="B61" s="112">
        <v>9.24</v>
      </c>
      <c r="C61" s="112">
        <v>4.08</v>
      </c>
      <c r="D61" s="112">
        <v>13.99</v>
      </c>
      <c r="E61" s="112">
        <v>9.91</v>
      </c>
      <c r="F61" s="112">
        <v>3.96</v>
      </c>
      <c r="G61" s="112">
        <v>12.44</v>
      </c>
      <c r="H61" s="112">
        <v>4.33</v>
      </c>
      <c r="I61" s="112">
        <v>3.13</v>
      </c>
      <c r="J61" s="112">
        <v>1.24</v>
      </c>
      <c r="K61" s="112">
        <v>271.35000000000002</v>
      </c>
      <c r="L61" s="112">
        <v>29.5</v>
      </c>
      <c r="M61" s="112">
        <v>75.989999999999995</v>
      </c>
      <c r="N61" s="112">
        <v>261.8</v>
      </c>
      <c r="O61" s="112">
        <v>0</v>
      </c>
      <c r="P61" s="112">
        <v>0.27</v>
      </c>
      <c r="Q61" s="112">
        <v>4.6399999999999997</v>
      </c>
    </row>
    <row r="62" spans="1:17" customFormat="1">
      <c r="A62" s="80">
        <v>45474.5625</v>
      </c>
      <c r="B62" s="112">
        <v>9.25</v>
      </c>
      <c r="C62" s="112">
        <v>4.05</v>
      </c>
      <c r="D62" s="112">
        <v>13.98</v>
      </c>
      <c r="E62" s="112">
        <v>9.82</v>
      </c>
      <c r="F62" s="112">
        <v>5.76</v>
      </c>
      <c r="G62" s="112">
        <v>13.98</v>
      </c>
      <c r="H62" s="112">
        <v>5.28</v>
      </c>
      <c r="I62" s="112">
        <v>3.08</v>
      </c>
      <c r="J62" s="112">
        <v>0.85</v>
      </c>
      <c r="K62" s="112">
        <v>264.38</v>
      </c>
      <c r="L62" s="112">
        <v>29.62</v>
      </c>
      <c r="M62" s="112">
        <v>77.58</v>
      </c>
      <c r="N62" s="112">
        <v>192.5</v>
      </c>
      <c r="O62" s="112">
        <v>0</v>
      </c>
      <c r="P62" s="112">
        <v>0.28000000000000003</v>
      </c>
      <c r="Q62" s="112">
        <v>4.6399999999999997</v>
      </c>
    </row>
    <row r="63" spans="1:17" customFormat="1">
      <c r="A63" s="80">
        <v>45474.572916666664</v>
      </c>
      <c r="B63" s="112">
        <v>9.25</v>
      </c>
      <c r="C63" s="112">
        <v>4.09</v>
      </c>
      <c r="D63" s="112">
        <v>14</v>
      </c>
      <c r="E63" s="112">
        <v>10.050000000000001</v>
      </c>
      <c r="F63" s="112">
        <v>5.46</v>
      </c>
      <c r="G63" s="112">
        <v>16.29</v>
      </c>
      <c r="H63" s="112">
        <v>6.12</v>
      </c>
      <c r="I63" s="112">
        <v>3.05</v>
      </c>
      <c r="J63" s="112">
        <v>0.76</v>
      </c>
      <c r="K63" s="112">
        <v>251.41</v>
      </c>
      <c r="L63" s="112">
        <v>29.56</v>
      </c>
      <c r="M63" s="112">
        <v>78.09</v>
      </c>
      <c r="N63" s="112">
        <v>184.2</v>
      </c>
      <c r="O63" s="112">
        <v>0</v>
      </c>
      <c r="P63" s="112">
        <v>0.26</v>
      </c>
      <c r="Q63" s="112">
        <v>4.6500000000000004</v>
      </c>
    </row>
    <row r="64" spans="1:17" customFormat="1">
      <c r="A64" s="80">
        <v>45474.583333333336</v>
      </c>
      <c r="B64" s="112">
        <v>9.25</v>
      </c>
      <c r="C64" s="112">
        <v>4.1100000000000003</v>
      </c>
      <c r="D64" s="112">
        <v>14.01</v>
      </c>
      <c r="E64" s="112">
        <v>10.41</v>
      </c>
      <c r="F64" s="112">
        <v>4.79</v>
      </c>
      <c r="G64" s="112">
        <v>16.29</v>
      </c>
      <c r="H64" s="112">
        <v>6.12</v>
      </c>
      <c r="I64" s="112">
        <v>3.14</v>
      </c>
      <c r="J64" s="112">
        <v>0.89</v>
      </c>
      <c r="K64" s="112">
        <v>264.70999999999998</v>
      </c>
      <c r="L64" s="112">
        <v>29.61</v>
      </c>
      <c r="M64" s="112">
        <v>79.02</v>
      </c>
      <c r="N64" s="112">
        <v>205.4</v>
      </c>
      <c r="O64" s="112">
        <v>0</v>
      </c>
      <c r="P64" s="112">
        <v>0.26</v>
      </c>
      <c r="Q64" s="112">
        <v>4.6399999999999997</v>
      </c>
    </row>
    <row r="65" spans="1:17" customFormat="1">
      <c r="A65" s="80">
        <v>45474.59375</v>
      </c>
      <c r="B65" s="112">
        <v>9.26</v>
      </c>
      <c r="C65" s="112">
        <v>4.07</v>
      </c>
      <c r="D65" s="112">
        <v>14</v>
      </c>
      <c r="E65" s="112">
        <v>10.26</v>
      </c>
      <c r="F65" s="112">
        <v>6.22</v>
      </c>
      <c r="G65" s="112">
        <v>16.29</v>
      </c>
      <c r="H65" s="112">
        <v>6.12</v>
      </c>
      <c r="I65" s="112">
        <v>3.04</v>
      </c>
      <c r="J65" s="112">
        <v>0.92</v>
      </c>
      <c r="K65" s="112">
        <v>261.5</v>
      </c>
      <c r="L65" s="112">
        <v>29.66</v>
      </c>
      <c r="M65" s="112">
        <v>78.64</v>
      </c>
      <c r="N65" s="112">
        <v>193</v>
      </c>
      <c r="O65" s="112">
        <v>0</v>
      </c>
      <c r="P65" s="112">
        <v>0.27</v>
      </c>
      <c r="Q65" s="112">
        <v>4.6399999999999997</v>
      </c>
    </row>
    <row r="66" spans="1:17" customFormat="1">
      <c r="A66" s="80">
        <v>45474.604166666664</v>
      </c>
      <c r="B66" s="112">
        <v>9.2799999999999994</v>
      </c>
      <c r="C66" s="112">
        <v>4.08</v>
      </c>
      <c r="D66" s="112">
        <v>14.02</v>
      </c>
      <c r="E66" s="112">
        <v>9.89</v>
      </c>
      <c r="F66" s="112">
        <v>9.7200000000000006</v>
      </c>
      <c r="G66" s="112">
        <v>16.66</v>
      </c>
      <c r="H66" s="112">
        <v>5.87</v>
      </c>
      <c r="I66" s="112">
        <v>2.97</v>
      </c>
      <c r="J66" s="112">
        <v>0.66</v>
      </c>
      <c r="K66" s="112">
        <v>257.60000000000002</v>
      </c>
      <c r="L66" s="112">
        <v>29.66</v>
      </c>
      <c r="M66" s="112">
        <v>79.44</v>
      </c>
      <c r="N66" s="112">
        <v>171.8</v>
      </c>
      <c r="O66" s="112">
        <v>0</v>
      </c>
      <c r="P66" s="112">
        <v>0.28999999999999998</v>
      </c>
      <c r="Q66" s="112">
        <v>4.62</v>
      </c>
    </row>
    <row r="67" spans="1:17" customFormat="1">
      <c r="A67" s="80">
        <v>45474.614583333336</v>
      </c>
      <c r="B67" s="112">
        <v>9.24</v>
      </c>
      <c r="C67" s="112">
        <v>4.08</v>
      </c>
      <c r="D67" s="112">
        <v>13.99</v>
      </c>
      <c r="E67" s="112">
        <v>9.0500000000000007</v>
      </c>
      <c r="F67" s="112">
        <v>6.75</v>
      </c>
      <c r="G67" s="112">
        <v>17.2</v>
      </c>
      <c r="H67" s="112">
        <v>5.64</v>
      </c>
      <c r="I67" s="112">
        <v>2.92</v>
      </c>
      <c r="J67" s="112">
        <v>1.1100000000000001</v>
      </c>
      <c r="K67" s="112">
        <v>259.69</v>
      </c>
      <c r="L67" s="112">
        <v>29.66</v>
      </c>
      <c r="M67" s="112">
        <v>76.599999999999994</v>
      </c>
      <c r="N67" s="112">
        <v>202</v>
      </c>
      <c r="O67" s="112">
        <v>0</v>
      </c>
      <c r="P67" s="112">
        <v>0.28000000000000003</v>
      </c>
      <c r="Q67" s="112">
        <v>4.63</v>
      </c>
    </row>
    <row r="68" spans="1:17" customFormat="1">
      <c r="A68" s="80">
        <v>45474.625</v>
      </c>
      <c r="B68" s="112">
        <v>9.2200000000000006</v>
      </c>
      <c r="C68" s="112">
        <v>4.0599999999999996</v>
      </c>
      <c r="D68" s="112">
        <v>13.96</v>
      </c>
      <c r="E68" s="112">
        <v>8.6199999999999992</v>
      </c>
      <c r="F68" s="112">
        <v>9.1300000000000008</v>
      </c>
      <c r="G68" s="112">
        <v>17.2</v>
      </c>
      <c r="H68" s="112">
        <v>5.64</v>
      </c>
      <c r="I68" s="112">
        <v>2.77</v>
      </c>
      <c r="J68" s="112">
        <v>0.74</v>
      </c>
      <c r="K68" s="112">
        <v>268.08999999999997</v>
      </c>
      <c r="L68" s="112">
        <v>29.79</v>
      </c>
      <c r="M68" s="112">
        <v>76.239999999999995</v>
      </c>
      <c r="N68" s="112">
        <v>190</v>
      </c>
      <c r="O68" s="112">
        <v>0</v>
      </c>
      <c r="P68" s="112">
        <v>0.27</v>
      </c>
      <c r="Q68" s="112">
        <v>4.6500000000000004</v>
      </c>
    </row>
    <row r="69" spans="1:17" customFormat="1">
      <c r="A69" s="80">
        <v>45474.635416666664</v>
      </c>
      <c r="B69" s="112">
        <v>9.1999999999999993</v>
      </c>
      <c r="C69" s="112">
        <v>4.08</v>
      </c>
      <c r="D69" s="112">
        <v>13.96</v>
      </c>
      <c r="E69" s="112">
        <v>7.96</v>
      </c>
      <c r="F69" s="112">
        <v>11.78</v>
      </c>
      <c r="G69" s="112">
        <v>17.2</v>
      </c>
      <c r="H69" s="112">
        <v>5.64</v>
      </c>
      <c r="I69" s="112">
        <v>3.05</v>
      </c>
      <c r="J69" s="112">
        <v>0.79</v>
      </c>
      <c r="K69" s="112">
        <v>258.54000000000002</v>
      </c>
      <c r="L69" s="112">
        <v>29.89</v>
      </c>
      <c r="M69" s="112">
        <v>76.06</v>
      </c>
      <c r="N69" s="112">
        <v>154.6</v>
      </c>
      <c r="O69" s="112">
        <v>0</v>
      </c>
      <c r="P69" s="112">
        <v>0.27</v>
      </c>
      <c r="Q69" s="112">
        <v>4.6500000000000004</v>
      </c>
    </row>
    <row r="70" spans="1:17" customFormat="1">
      <c r="A70" s="80">
        <v>45474.645833333336</v>
      </c>
      <c r="B70" s="112">
        <v>9.19</v>
      </c>
      <c r="C70" s="112">
        <v>4.07</v>
      </c>
      <c r="D70" s="112">
        <v>13.95</v>
      </c>
      <c r="E70" s="112">
        <v>8.39</v>
      </c>
      <c r="F70" s="112">
        <v>12.9</v>
      </c>
      <c r="G70" s="112">
        <v>15.5</v>
      </c>
      <c r="H70" s="112">
        <v>7.05</v>
      </c>
      <c r="I70" s="112">
        <v>2.95</v>
      </c>
      <c r="J70" s="112">
        <v>0.6</v>
      </c>
      <c r="K70" s="112">
        <v>250.01</v>
      </c>
      <c r="L70" s="112">
        <v>29.8</v>
      </c>
      <c r="M70" s="112">
        <v>78.2</v>
      </c>
      <c r="N70" s="112">
        <v>165.1</v>
      </c>
      <c r="O70" s="112">
        <v>0</v>
      </c>
      <c r="P70" s="112">
        <v>0.25</v>
      </c>
      <c r="Q70" s="112">
        <v>4.63</v>
      </c>
    </row>
    <row r="71" spans="1:17" customFormat="1">
      <c r="A71" s="80">
        <v>45474.65625</v>
      </c>
      <c r="B71" s="112">
        <v>9.2100000000000009</v>
      </c>
      <c r="C71" s="112">
        <v>4.07</v>
      </c>
      <c r="D71" s="112">
        <v>13.97</v>
      </c>
      <c r="E71" s="112">
        <v>7.93</v>
      </c>
      <c r="F71" s="112">
        <v>12.53</v>
      </c>
      <c r="G71" s="112">
        <v>12.94</v>
      </c>
      <c r="H71" s="112">
        <v>8.3000000000000007</v>
      </c>
      <c r="I71" s="112">
        <v>2.92</v>
      </c>
      <c r="J71" s="112">
        <v>0.65</v>
      </c>
      <c r="K71" s="112">
        <v>256.01</v>
      </c>
      <c r="L71" s="112">
        <v>29.7</v>
      </c>
      <c r="M71" s="112">
        <v>79.84</v>
      </c>
      <c r="N71" s="112">
        <v>122.2</v>
      </c>
      <c r="O71" s="112">
        <v>0</v>
      </c>
      <c r="P71" s="112">
        <v>0.25</v>
      </c>
      <c r="Q71" s="112">
        <v>4.6399999999999997</v>
      </c>
    </row>
    <row r="72" spans="1:17" customFormat="1">
      <c r="A72" s="80">
        <v>45474.666666666664</v>
      </c>
      <c r="B72" s="112">
        <v>9.2200000000000006</v>
      </c>
      <c r="C72" s="112">
        <v>4.04</v>
      </c>
      <c r="D72" s="112">
        <v>13.96</v>
      </c>
      <c r="E72" s="112">
        <v>7.91</v>
      </c>
      <c r="F72" s="112">
        <v>11.2</v>
      </c>
      <c r="G72" s="112">
        <v>12.94</v>
      </c>
      <c r="H72" s="112">
        <v>8.3000000000000007</v>
      </c>
      <c r="I72" s="112">
        <v>2.73</v>
      </c>
      <c r="J72" s="112">
        <v>0.8</v>
      </c>
      <c r="K72" s="112">
        <v>257.55</v>
      </c>
      <c r="L72" s="112">
        <v>29.82</v>
      </c>
      <c r="M72" s="112">
        <v>76.66</v>
      </c>
      <c r="N72" s="112">
        <v>131.6</v>
      </c>
      <c r="O72" s="112">
        <v>0</v>
      </c>
      <c r="P72" s="112">
        <v>0.24</v>
      </c>
      <c r="Q72" s="112">
        <v>4.6399999999999997</v>
      </c>
    </row>
    <row r="73" spans="1:17" customFormat="1">
      <c r="A73" s="80">
        <v>45474.677083333336</v>
      </c>
      <c r="B73" s="112">
        <v>9.2100000000000009</v>
      </c>
      <c r="C73" s="112">
        <v>4.08</v>
      </c>
      <c r="D73" s="112">
        <v>13.97</v>
      </c>
      <c r="E73" s="112">
        <v>7.84</v>
      </c>
      <c r="F73" s="112">
        <v>11.21</v>
      </c>
      <c r="G73" s="112">
        <v>12.94</v>
      </c>
      <c r="H73" s="112">
        <v>8.3000000000000007</v>
      </c>
      <c r="I73" s="112">
        <v>2.72</v>
      </c>
      <c r="J73" s="112">
        <v>0.72</v>
      </c>
      <c r="K73" s="112">
        <v>263.68</v>
      </c>
      <c r="L73" s="112">
        <v>29.66</v>
      </c>
      <c r="M73" s="112">
        <v>76.41</v>
      </c>
      <c r="N73" s="112">
        <v>84.7</v>
      </c>
      <c r="O73" s="112">
        <v>0</v>
      </c>
      <c r="P73" s="112">
        <v>0.25</v>
      </c>
      <c r="Q73" s="112">
        <v>4.6399999999999997</v>
      </c>
    </row>
    <row r="74" spans="1:17" customFormat="1">
      <c r="A74" s="80">
        <v>45474.6875</v>
      </c>
      <c r="B74" s="112">
        <v>9.2100000000000009</v>
      </c>
      <c r="C74" s="112">
        <v>4.09</v>
      </c>
      <c r="D74" s="112">
        <v>13.97</v>
      </c>
      <c r="E74" s="112">
        <v>7.55</v>
      </c>
      <c r="F74" s="112">
        <v>13.77</v>
      </c>
      <c r="G74" s="112">
        <v>14.93</v>
      </c>
      <c r="H74" s="112">
        <v>7.77</v>
      </c>
      <c r="I74" s="112">
        <v>2.8</v>
      </c>
      <c r="J74" s="112">
        <v>0.63</v>
      </c>
      <c r="K74" s="112">
        <v>270.18</v>
      </c>
      <c r="L74" s="112">
        <v>29.14</v>
      </c>
      <c r="M74" s="112">
        <v>79.83</v>
      </c>
      <c r="N74" s="112">
        <v>56</v>
      </c>
      <c r="O74" s="112">
        <v>0</v>
      </c>
      <c r="P74" s="112">
        <v>0.25</v>
      </c>
      <c r="Q74" s="112">
        <v>4.6399999999999997</v>
      </c>
    </row>
    <row r="75" spans="1:17" customFormat="1">
      <c r="A75" s="80">
        <v>45474.697916666664</v>
      </c>
      <c r="B75" s="112">
        <v>9.2100000000000009</v>
      </c>
      <c r="C75" s="112">
        <v>4.1100000000000003</v>
      </c>
      <c r="D75" s="112">
        <v>13.98</v>
      </c>
      <c r="E75" s="112">
        <v>7.72</v>
      </c>
      <c r="F75" s="112">
        <v>13.33</v>
      </c>
      <c r="G75" s="112">
        <v>17.899999999999999</v>
      </c>
      <c r="H75" s="112">
        <v>6.28</v>
      </c>
      <c r="I75" s="112">
        <v>2.74</v>
      </c>
      <c r="J75" s="112">
        <v>0.76</v>
      </c>
      <c r="K75" s="112">
        <v>265.22000000000003</v>
      </c>
      <c r="L75" s="112">
        <v>28.89</v>
      </c>
      <c r="M75" s="112">
        <v>78.88</v>
      </c>
      <c r="N75" s="112">
        <v>53.6</v>
      </c>
      <c r="O75" s="112">
        <v>0</v>
      </c>
      <c r="P75" s="112">
        <v>0.25</v>
      </c>
      <c r="Q75" s="112">
        <v>4.66</v>
      </c>
    </row>
    <row r="76" spans="1:17" customFormat="1">
      <c r="A76" s="80">
        <v>45474.708333333336</v>
      </c>
      <c r="B76" s="112">
        <v>9.2100000000000009</v>
      </c>
      <c r="C76" s="112">
        <v>4.08</v>
      </c>
      <c r="D76" s="112">
        <v>13.97</v>
      </c>
      <c r="E76" s="112">
        <v>7.52</v>
      </c>
      <c r="F76" s="112">
        <v>8.4</v>
      </c>
      <c r="G76" s="112">
        <v>17.899999999999999</v>
      </c>
      <c r="H76" s="112">
        <v>6.28</v>
      </c>
      <c r="I76" s="112">
        <v>2.66</v>
      </c>
      <c r="J76" s="112">
        <v>1.29</v>
      </c>
      <c r="K76" s="112">
        <v>295.17</v>
      </c>
      <c r="L76" s="112">
        <v>27.85</v>
      </c>
      <c r="M76" s="112">
        <v>86.45</v>
      </c>
      <c r="N76" s="112">
        <v>22.1</v>
      </c>
      <c r="O76" s="112">
        <v>1.2</v>
      </c>
      <c r="P76" s="112">
        <v>0.26</v>
      </c>
      <c r="Q76" s="112">
        <v>4.6399999999999997</v>
      </c>
    </row>
    <row r="77" spans="1:17" customFormat="1">
      <c r="A77" s="80">
        <v>45474.71875</v>
      </c>
      <c r="B77" s="112">
        <v>9.2200000000000006</v>
      </c>
      <c r="C77" s="112">
        <v>4.0599999999999996</v>
      </c>
      <c r="D77" s="112">
        <v>13.96</v>
      </c>
      <c r="E77" s="112">
        <v>7.94</v>
      </c>
      <c r="F77" s="112">
        <v>7.35</v>
      </c>
      <c r="G77" s="112">
        <v>17.899999999999999</v>
      </c>
      <c r="H77" s="112">
        <v>6.28</v>
      </c>
      <c r="I77" s="112">
        <v>2.68</v>
      </c>
      <c r="J77" s="112">
        <v>0.56000000000000005</v>
      </c>
      <c r="K77" s="112">
        <v>315.58</v>
      </c>
      <c r="L77" s="112">
        <v>26.41</v>
      </c>
      <c r="M77" s="112">
        <v>98.03</v>
      </c>
      <c r="N77" s="112">
        <v>53.9</v>
      </c>
      <c r="O77" s="112">
        <v>0.2</v>
      </c>
      <c r="P77" s="112">
        <v>0.32</v>
      </c>
      <c r="Q77" s="112">
        <v>4.63</v>
      </c>
    </row>
    <row r="78" spans="1:17" customFormat="1">
      <c r="A78" s="80">
        <v>45474.729166666664</v>
      </c>
      <c r="B78" s="112">
        <v>9.2100000000000009</v>
      </c>
      <c r="C78" s="112">
        <v>4.0599999999999996</v>
      </c>
      <c r="D78" s="112">
        <v>13.96</v>
      </c>
      <c r="E78" s="112">
        <v>7.48</v>
      </c>
      <c r="F78" s="112">
        <v>9.84</v>
      </c>
      <c r="G78" s="112">
        <v>16.420000000000002</v>
      </c>
      <c r="H78" s="112">
        <v>5.92</v>
      </c>
      <c r="I78" s="112">
        <v>3</v>
      </c>
      <c r="J78" s="112">
        <v>0.34</v>
      </c>
      <c r="K78" s="112">
        <v>277.38</v>
      </c>
      <c r="L78" s="112">
        <v>26.47</v>
      </c>
      <c r="M78" s="112">
        <v>97.35</v>
      </c>
      <c r="N78" s="112">
        <v>61.2</v>
      </c>
      <c r="O78" s="112">
        <v>0</v>
      </c>
      <c r="P78" s="112">
        <v>0.39</v>
      </c>
      <c r="Q78" s="112">
        <v>4.6399999999999997</v>
      </c>
    </row>
    <row r="79" spans="1:17" customFormat="1">
      <c r="A79" s="80">
        <v>45474.739583333336</v>
      </c>
      <c r="B79" s="112">
        <v>9.2100000000000009</v>
      </c>
      <c r="C79" s="112">
        <v>4.08</v>
      </c>
      <c r="D79" s="112">
        <v>13.97</v>
      </c>
      <c r="E79" s="112">
        <v>7.96</v>
      </c>
      <c r="F79" s="112">
        <v>9.6199999999999992</v>
      </c>
      <c r="G79" s="112">
        <v>14.2</v>
      </c>
      <c r="H79" s="112">
        <v>5.6</v>
      </c>
      <c r="I79" s="112">
        <v>3.48</v>
      </c>
      <c r="J79" s="112">
        <v>0.19</v>
      </c>
      <c r="K79" s="112">
        <v>223.8</v>
      </c>
      <c r="L79" s="112">
        <v>26.64</v>
      </c>
      <c r="M79" s="112">
        <v>96.69</v>
      </c>
      <c r="N79" s="112">
        <v>46.1</v>
      </c>
      <c r="O79" s="112">
        <v>0</v>
      </c>
      <c r="P79" s="112">
        <v>0.34</v>
      </c>
      <c r="Q79" s="112">
        <v>4.6399999999999997</v>
      </c>
    </row>
    <row r="80" spans="1:17" customFormat="1">
      <c r="A80" s="80">
        <v>45474.75</v>
      </c>
      <c r="B80" s="112">
        <v>9.2100000000000009</v>
      </c>
      <c r="C80" s="112">
        <v>4.0999999999999996</v>
      </c>
      <c r="D80" s="112">
        <v>13.97</v>
      </c>
      <c r="E80" s="112">
        <v>7.59</v>
      </c>
      <c r="F80" s="112">
        <v>10.31</v>
      </c>
      <c r="G80" s="112">
        <v>14.2</v>
      </c>
      <c r="H80" s="112">
        <v>5.6</v>
      </c>
      <c r="I80" s="112">
        <v>3.84</v>
      </c>
      <c r="J80" s="112">
        <v>0.3</v>
      </c>
      <c r="K80" s="112">
        <v>262.94</v>
      </c>
      <c r="L80" s="112">
        <v>26.62</v>
      </c>
      <c r="M80" s="112">
        <v>97.61</v>
      </c>
      <c r="N80" s="112">
        <v>28.4</v>
      </c>
      <c r="O80" s="112">
        <v>0</v>
      </c>
      <c r="P80" s="112">
        <v>0.34</v>
      </c>
      <c r="Q80" s="112">
        <v>4.6500000000000004</v>
      </c>
    </row>
    <row r="81" spans="1:17" customFormat="1">
      <c r="A81" s="80">
        <v>45474.760416666664</v>
      </c>
      <c r="B81" s="112">
        <v>9.2200000000000006</v>
      </c>
      <c r="C81" s="112">
        <v>4.08</v>
      </c>
      <c r="D81" s="112">
        <v>13.97</v>
      </c>
      <c r="E81" s="112">
        <v>7.51</v>
      </c>
      <c r="F81" s="112">
        <v>9.8000000000000007</v>
      </c>
      <c r="G81" s="112">
        <v>14.2</v>
      </c>
      <c r="H81" s="112">
        <v>5.6</v>
      </c>
      <c r="I81" s="112">
        <v>3.69</v>
      </c>
      <c r="J81" s="112">
        <v>0.4</v>
      </c>
      <c r="K81" s="112">
        <v>254.74</v>
      </c>
      <c r="L81" s="112">
        <v>26.62</v>
      </c>
      <c r="M81" s="112">
        <v>97.55</v>
      </c>
      <c r="N81" s="112">
        <v>18.2</v>
      </c>
      <c r="O81" s="112">
        <v>0</v>
      </c>
      <c r="P81" s="112">
        <v>0.34</v>
      </c>
      <c r="Q81" s="112">
        <v>4.62</v>
      </c>
    </row>
    <row r="82" spans="1:17" customFormat="1">
      <c r="A82" s="80">
        <v>45474.770833333336</v>
      </c>
      <c r="B82" s="112">
        <v>9.2200000000000006</v>
      </c>
      <c r="C82" s="112">
        <v>4.07</v>
      </c>
      <c r="D82" s="112">
        <v>13.97</v>
      </c>
      <c r="E82" s="112">
        <v>8.4700000000000006</v>
      </c>
      <c r="F82" s="112">
        <v>10.56</v>
      </c>
      <c r="G82" s="112">
        <v>15.3</v>
      </c>
      <c r="H82" s="112">
        <v>4.78</v>
      </c>
      <c r="I82" s="112">
        <v>3.75</v>
      </c>
      <c r="J82" s="112">
        <v>0.41</v>
      </c>
      <c r="K82" s="112">
        <v>255.56</v>
      </c>
      <c r="L82" s="112">
        <v>26.63</v>
      </c>
      <c r="M82" s="112">
        <v>96.85</v>
      </c>
      <c r="N82" s="112">
        <v>8.8000000000000007</v>
      </c>
      <c r="O82" s="112">
        <v>0</v>
      </c>
      <c r="P82" s="112">
        <v>0.34</v>
      </c>
      <c r="Q82" s="112">
        <v>4.63</v>
      </c>
    </row>
    <row r="83" spans="1:17" customFormat="1">
      <c r="A83" s="80">
        <v>45474.78125</v>
      </c>
      <c r="B83" s="112">
        <v>9.1999999999999993</v>
      </c>
      <c r="C83" s="112">
        <v>4.0599999999999996</v>
      </c>
      <c r="D83" s="112">
        <v>13.95</v>
      </c>
      <c r="E83" s="112">
        <v>9.08</v>
      </c>
      <c r="F83" s="112">
        <v>6.67</v>
      </c>
      <c r="G83" s="112">
        <v>16.940000000000001</v>
      </c>
      <c r="H83" s="112">
        <v>4.03</v>
      </c>
      <c r="I83" s="112">
        <v>3.67</v>
      </c>
      <c r="J83" s="112">
        <v>0.31</v>
      </c>
      <c r="K83" s="112">
        <v>242.74</v>
      </c>
      <c r="L83" s="112">
        <v>26.57</v>
      </c>
      <c r="M83" s="112">
        <v>97.17</v>
      </c>
      <c r="N83" s="112">
        <v>3.8</v>
      </c>
      <c r="O83" s="112">
        <v>0</v>
      </c>
      <c r="P83" s="112">
        <v>0.32</v>
      </c>
      <c r="Q83" s="112">
        <v>4.62</v>
      </c>
    </row>
    <row r="84" spans="1:17" customFormat="1">
      <c r="A84" s="80">
        <v>45474.791666666664</v>
      </c>
      <c r="B84" s="112">
        <v>9.1999999999999993</v>
      </c>
      <c r="C84" s="112">
        <v>4.05</v>
      </c>
      <c r="D84" s="112">
        <v>13.95</v>
      </c>
      <c r="E84" s="112">
        <v>9.1999999999999993</v>
      </c>
      <c r="F84" s="112">
        <v>7.33</v>
      </c>
      <c r="G84" s="112">
        <v>16.940000000000001</v>
      </c>
      <c r="H84" s="112">
        <v>4.03</v>
      </c>
      <c r="I84" s="112">
        <v>3.72</v>
      </c>
      <c r="J84" s="112">
        <v>0.31</v>
      </c>
      <c r="K84" s="112">
        <v>244.39</v>
      </c>
      <c r="L84" s="112">
        <v>26.45</v>
      </c>
      <c r="M84" s="112">
        <v>96</v>
      </c>
      <c r="N84" s="112">
        <v>3.4</v>
      </c>
      <c r="O84" s="112">
        <v>0</v>
      </c>
      <c r="P84" s="112">
        <v>0.31</v>
      </c>
      <c r="Q84" s="112">
        <v>4.62</v>
      </c>
    </row>
    <row r="85" spans="1:17" customFormat="1">
      <c r="A85" s="80">
        <v>45474.802083333336</v>
      </c>
      <c r="B85" s="112">
        <v>9.2100000000000009</v>
      </c>
      <c r="C85" s="112">
        <v>4.05</v>
      </c>
      <c r="D85" s="112">
        <v>13.95</v>
      </c>
      <c r="E85" s="112">
        <v>9.24</v>
      </c>
      <c r="F85" s="112">
        <v>6.19</v>
      </c>
      <c r="G85" s="112">
        <v>16.940000000000001</v>
      </c>
      <c r="H85" s="112">
        <v>4.03</v>
      </c>
      <c r="I85" s="112">
        <v>3.69</v>
      </c>
      <c r="J85" s="112">
        <v>0.28000000000000003</v>
      </c>
      <c r="K85" s="112">
        <v>247.09</v>
      </c>
      <c r="L85" s="112">
        <v>26.38</v>
      </c>
      <c r="M85" s="112">
        <v>95.6</v>
      </c>
      <c r="N85" s="112">
        <v>2.8</v>
      </c>
      <c r="O85" s="112">
        <v>0</v>
      </c>
      <c r="P85" s="112">
        <v>0.31</v>
      </c>
      <c r="Q85" s="112">
        <v>4.63</v>
      </c>
    </row>
    <row r="86" spans="1:17" customFormat="1">
      <c r="A86" s="80">
        <v>45474.8125</v>
      </c>
      <c r="B86" s="112">
        <v>9.19</v>
      </c>
      <c r="C86" s="112">
        <v>4.0599999999999996</v>
      </c>
      <c r="D86" s="112">
        <v>13.94</v>
      </c>
      <c r="E86" s="112">
        <v>9.65</v>
      </c>
      <c r="F86" s="112">
        <v>6.33</v>
      </c>
      <c r="G86" s="112">
        <v>15.15</v>
      </c>
      <c r="H86" s="112">
        <v>4.55</v>
      </c>
      <c r="I86" s="112">
        <v>3.61</v>
      </c>
      <c r="J86" s="112">
        <v>0.35</v>
      </c>
      <c r="K86" s="112">
        <v>248.87</v>
      </c>
      <c r="L86" s="112">
        <v>26.48</v>
      </c>
      <c r="M86" s="112">
        <v>94.5</v>
      </c>
      <c r="N86" s="112">
        <v>2.8</v>
      </c>
      <c r="O86" s="112">
        <v>0</v>
      </c>
      <c r="P86" s="112">
        <v>0.3</v>
      </c>
      <c r="Q86" s="112">
        <v>4.6100000000000003</v>
      </c>
    </row>
    <row r="87" spans="1:17" customFormat="1">
      <c r="A87" s="80">
        <v>45474.822916666664</v>
      </c>
      <c r="B87" s="112">
        <v>9.19</v>
      </c>
      <c r="C87" s="112">
        <v>4.0999999999999996</v>
      </c>
      <c r="D87" s="112">
        <v>13.96</v>
      </c>
      <c r="E87" s="112">
        <v>9.59</v>
      </c>
      <c r="F87" s="112">
        <v>6.32</v>
      </c>
      <c r="G87" s="112">
        <v>12.47</v>
      </c>
      <c r="H87" s="112">
        <v>5</v>
      </c>
      <c r="I87" s="112">
        <v>3.57</v>
      </c>
      <c r="J87" s="112">
        <v>0.26</v>
      </c>
      <c r="K87" s="112">
        <v>243.92</v>
      </c>
      <c r="L87" s="112">
        <v>26.47</v>
      </c>
      <c r="M87" s="112">
        <v>93.65</v>
      </c>
      <c r="N87" s="112">
        <v>2.8</v>
      </c>
      <c r="O87" s="112">
        <v>0</v>
      </c>
      <c r="P87" s="112">
        <v>0.3</v>
      </c>
      <c r="Q87" s="112">
        <v>4.62</v>
      </c>
    </row>
    <row r="88" spans="1:17" customFormat="1">
      <c r="A88" s="80">
        <v>45474.833333333336</v>
      </c>
      <c r="B88" s="112">
        <v>9.1999999999999993</v>
      </c>
      <c r="C88" s="112">
        <v>4.08</v>
      </c>
      <c r="D88" s="112">
        <v>13.95</v>
      </c>
      <c r="E88" s="112">
        <v>9.52</v>
      </c>
      <c r="F88" s="112">
        <v>6.17</v>
      </c>
      <c r="G88" s="112">
        <v>12.47</v>
      </c>
      <c r="H88" s="112">
        <v>5</v>
      </c>
      <c r="I88" s="112">
        <v>3.63</v>
      </c>
      <c r="J88" s="112">
        <v>0.2</v>
      </c>
      <c r="K88" s="112">
        <v>232.42</v>
      </c>
      <c r="L88" s="112">
        <v>26.51</v>
      </c>
      <c r="M88" s="112">
        <v>94.53</v>
      </c>
      <c r="N88" s="112">
        <v>2.6</v>
      </c>
      <c r="O88" s="112">
        <v>0</v>
      </c>
      <c r="P88" s="112">
        <v>0.32</v>
      </c>
      <c r="Q88" s="112">
        <v>4.6399999999999997</v>
      </c>
    </row>
    <row r="89" spans="1:17" customFormat="1">
      <c r="A89" s="80">
        <v>45474.84375</v>
      </c>
      <c r="B89" s="112">
        <v>9.1999999999999993</v>
      </c>
      <c r="C89" s="112">
        <v>4.09</v>
      </c>
      <c r="D89" s="112">
        <v>13.96</v>
      </c>
      <c r="E89" s="112">
        <v>10.01</v>
      </c>
      <c r="F89" s="112">
        <v>5.48</v>
      </c>
      <c r="G89" s="112">
        <v>12.47</v>
      </c>
      <c r="H89" s="112">
        <v>5</v>
      </c>
      <c r="I89" s="112">
        <v>3.55</v>
      </c>
      <c r="J89" s="112">
        <v>0.24</v>
      </c>
      <c r="K89" s="112">
        <v>243.49</v>
      </c>
      <c r="L89" s="112">
        <v>26.54</v>
      </c>
      <c r="M89" s="112">
        <v>94.71</v>
      </c>
      <c r="N89" s="112">
        <v>2.6</v>
      </c>
      <c r="O89" s="112">
        <v>0</v>
      </c>
      <c r="P89" s="112">
        <v>0.31</v>
      </c>
      <c r="Q89" s="112">
        <v>4.63</v>
      </c>
    </row>
    <row r="90" spans="1:17" customFormat="1">
      <c r="A90" s="80">
        <v>45474.854166666664</v>
      </c>
      <c r="B90" s="112">
        <v>9.1999999999999993</v>
      </c>
      <c r="C90" s="112">
        <v>4.0999999999999996</v>
      </c>
      <c r="D90" s="112">
        <v>13.97</v>
      </c>
      <c r="E90" s="112">
        <v>9.85</v>
      </c>
      <c r="F90" s="112">
        <v>5.26</v>
      </c>
      <c r="G90" s="112">
        <v>12.99</v>
      </c>
      <c r="H90" s="112">
        <v>5.05</v>
      </c>
      <c r="I90" s="112">
        <v>3.52</v>
      </c>
      <c r="J90" s="112">
        <v>0.33</v>
      </c>
      <c r="K90" s="112">
        <v>244.56</v>
      </c>
      <c r="L90" s="112">
        <v>26.52</v>
      </c>
      <c r="M90" s="112">
        <v>93.48</v>
      </c>
      <c r="N90" s="112">
        <v>2.7</v>
      </c>
      <c r="O90" s="112">
        <v>0</v>
      </c>
      <c r="P90" s="112">
        <v>0.31</v>
      </c>
      <c r="Q90" s="112">
        <v>4.62</v>
      </c>
    </row>
    <row r="91" spans="1:17" customFormat="1">
      <c r="A91" s="80">
        <v>45474.864583333336</v>
      </c>
      <c r="B91" s="112">
        <v>9.19</v>
      </c>
      <c r="C91" s="112">
        <v>4.1100000000000003</v>
      </c>
      <c r="D91" s="112">
        <v>13.97</v>
      </c>
      <c r="E91" s="112">
        <v>9.89</v>
      </c>
      <c r="F91" s="112">
        <v>5.46</v>
      </c>
      <c r="G91" s="112">
        <v>13.78</v>
      </c>
      <c r="H91" s="112">
        <v>5.0999999999999996</v>
      </c>
      <c r="I91" s="112">
        <v>3.52</v>
      </c>
      <c r="J91" s="112">
        <v>0.24</v>
      </c>
      <c r="K91" s="112">
        <v>243.95</v>
      </c>
      <c r="L91" s="112">
        <v>26.49</v>
      </c>
      <c r="M91" s="112">
        <v>95.25</v>
      </c>
      <c r="N91" s="112">
        <v>2.6</v>
      </c>
      <c r="O91" s="112">
        <v>0</v>
      </c>
      <c r="P91" s="112">
        <v>0.31</v>
      </c>
      <c r="Q91" s="112">
        <v>4.63</v>
      </c>
    </row>
    <row r="92" spans="1:17" customFormat="1">
      <c r="A92" s="80">
        <v>45474.875</v>
      </c>
      <c r="B92" s="112">
        <v>9.19</v>
      </c>
      <c r="C92" s="112">
        <v>4.09</v>
      </c>
      <c r="D92" s="112">
        <v>13.96</v>
      </c>
      <c r="E92" s="112">
        <v>10.15</v>
      </c>
      <c r="F92" s="112">
        <v>4.82</v>
      </c>
      <c r="G92" s="112">
        <v>13.78</v>
      </c>
      <c r="H92" s="112">
        <v>5.0999999999999996</v>
      </c>
      <c r="I92" s="112">
        <v>3.55</v>
      </c>
      <c r="J92" s="112">
        <v>0.17</v>
      </c>
      <c r="K92" s="112">
        <v>229.23</v>
      </c>
      <c r="L92" s="112">
        <v>26.41</v>
      </c>
      <c r="M92" s="112">
        <v>95.02</v>
      </c>
      <c r="N92" s="112">
        <v>2.5</v>
      </c>
      <c r="O92" s="112">
        <v>0</v>
      </c>
      <c r="P92" s="112">
        <v>0.31</v>
      </c>
      <c r="Q92" s="112">
        <v>4.6500000000000004</v>
      </c>
    </row>
    <row r="93" spans="1:17" customFormat="1">
      <c r="A93" s="80">
        <v>45474.885416666664</v>
      </c>
      <c r="B93" s="112">
        <v>9.16</v>
      </c>
      <c r="C93" s="112">
        <v>4.08</v>
      </c>
      <c r="D93" s="112">
        <v>13.92</v>
      </c>
      <c r="E93" s="112">
        <v>11.01</v>
      </c>
      <c r="F93" s="112">
        <v>4.41</v>
      </c>
      <c r="G93" s="112">
        <v>13.78</v>
      </c>
      <c r="H93" s="112">
        <v>5.0999999999999996</v>
      </c>
      <c r="I93" s="112">
        <v>3.53</v>
      </c>
      <c r="J93" s="112">
        <v>0.22</v>
      </c>
      <c r="K93" s="112">
        <v>250.52</v>
      </c>
      <c r="L93" s="112">
        <v>26.39</v>
      </c>
      <c r="M93" s="112">
        <v>96.64</v>
      </c>
      <c r="N93" s="112">
        <v>2.4</v>
      </c>
      <c r="O93" s="112">
        <v>0</v>
      </c>
      <c r="P93" s="112">
        <v>0.31</v>
      </c>
      <c r="Q93" s="112">
        <v>4.6500000000000004</v>
      </c>
    </row>
    <row r="94" spans="1:17" customFormat="1">
      <c r="A94" s="80">
        <v>45474.895833333336</v>
      </c>
      <c r="B94" s="112">
        <v>9.16</v>
      </c>
      <c r="C94" s="112">
        <v>4.08</v>
      </c>
      <c r="D94" s="112">
        <v>13.93</v>
      </c>
      <c r="E94" s="112">
        <v>10.72</v>
      </c>
      <c r="F94" s="112">
        <v>4.22</v>
      </c>
      <c r="G94" s="112">
        <v>14.58</v>
      </c>
      <c r="H94" s="112">
        <v>4.62</v>
      </c>
      <c r="I94" s="112">
        <v>3.51</v>
      </c>
      <c r="J94" s="112">
        <v>0.13</v>
      </c>
      <c r="K94" s="112">
        <v>215.52</v>
      </c>
      <c r="L94" s="112">
        <v>26.41</v>
      </c>
      <c r="M94" s="112">
        <v>96.17</v>
      </c>
      <c r="N94" s="112">
        <v>2.4</v>
      </c>
      <c r="O94" s="112">
        <v>0</v>
      </c>
      <c r="P94" s="112">
        <v>0.31</v>
      </c>
      <c r="Q94" s="112">
        <v>4.6399999999999997</v>
      </c>
    </row>
    <row r="95" spans="1:17" customFormat="1">
      <c r="A95" s="80">
        <v>45474.90625</v>
      </c>
      <c r="B95" s="112">
        <v>9.19</v>
      </c>
      <c r="C95" s="112">
        <v>4.04</v>
      </c>
      <c r="D95" s="112">
        <v>13.93</v>
      </c>
      <c r="E95" s="112">
        <v>11.07</v>
      </c>
      <c r="F95" s="112">
        <v>4.54</v>
      </c>
      <c r="G95" s="112">
        <v>15.77</v>
      </c>
      <c r="H95" s="112">
        <v>4.1900000000000004</v>
      </c>
      <c r="I95" s="112">
        <v>3.55</v>
      </c>
      <c r="J95" s="112">
        <v>0.15</v>
      </c>
      <c r="K95" s="112">
        <v>233.62</v>
      </c>
      <c r="L95" s="112">
        <v>26.36</v>
      </c>
      <c r="M95" s="112">
        <v>96.38</v>
      </c>
      <c r="N95" s="112">
        <v>2.2999999999999998</v>
      </c>
      <c r="O95" s="112">
        <v>0</v>
      </c>
      <c r="P95" s="112">
        <v>0.31</v>
      </c>
      <c r="Q95" s="112">
        <v>4.63</v>
      </c>
    </row>
    <row r="96" spans="1:17" customFormat="1">
      <c r="A96" s="80">
        <v>45474.916666666664</v>
      </c>
      <c r="B96" s="112">
        <v>9.19</v>
      </c>
      <c r="C96" s="112">
        <v>4.05</v>
      </c>
      <c r="D96" s="112">
        <v>13.93</v>
      </c>
      <c r="E96" s="112">
        <v>10.94</v>
      </c>
      <c r="F96" s="112">
        <v>4.16</v>
      </c>
      <c r="G96" s="112">
        <v>15.77</v>
      </c>
      <c r="H96" s="112">
        <v>4.1900000000000004</v>
      </c>
      <c r="I96" s="112">
        <v>3.34</v>
      </c>
      <c r="J96" s="112">
        <v>0.18</v>
      </c>
      <c r="K96" s="112">
        <v>236.04</v>
      </c>
      <c r="L96" s="112">
        <v>26.43</v>
      </c>
      <c r="M96" s="112">
        <v>95.95</v>
      </c>
      <c r="N96" s="112">
        <v>2.1</v>
      </c>
      <c r="O96" s="112">
        <v>0</v>
      </c>
      <c r="P96" s="112">
        <v>0.31</v>
      </c>
      <c r="Q96" s="112">
        <v>4.63</v>
      </c>
    </row>
    <row r="97" spans="1:22" customFormat="1">
      <c r="A97" s="80">
        <v>45474.927083333336</v>
      </c>
      <c r="B97" s="112">
        <v>9.18</v>
      </c>
      <c r="C97" s="112">
        <v>4.05</v>
      </c>
      <c r="D97" s="112">
        <v>13.93</v>
      </c>
      <c r="E97" s="112">
        <v>11.04</v>
      </c>
      <c r="F97" s="112">
        <v>4.07</v>
      </c>
      <c r="G97" s="112">
        <v>15.77</v>
      </c>
      <c r="H97" s="112">
        <v>4.1900000000000004</v>
      </c>
      <c r="I97" s="112">
        <v>3.54</v>
      </c>
      <c r="J97" s="112">
        <v>0.23</v>
      </c>
      <c r="K97" s="112">
        <v>230.7</v>
      </c>
      <c r="L97" s="112">
        <v>26.53</v>
      </c>
      <c r="M97" s="112">
        <v>95.42</v>
      </c>
      <c r="N97" s="112">
        <v>2.1</v>
      </c>
      <c r="O97" s="112">
        <v>0</v>
      </c>
      <c r="P97" s="112">
        <v>0.31</v>
      </c>
      <c r="Q97" s="112">
        <v>4.6500000000000004</v>
      </c>
    </row>
    <row r="98" spans="1:22" customFormat="1">
      <c r="A98" s="80">
        <v>45474.9375</v>
      </c>
      <c r="B98" s="112">
        <v>9.17</v>
      </c>
      <c r="C98" s="112">
        <v>4.09</v>
      </c>
      <c r="D98" s="112">
        <v>13.94</v>
      </c>
      <c r="E98" s="112">
        <v>11.13</v>
      </c>
      <c r="F98" s="112">
        <v>5.4</v>
      </c>
      <c r="G98" s="112">
        <v>15.89</v>
      </c>
      <c r="H98" s="112">
        <v>4.99</v>
      </c>
      <c r="I98" s="112">
        <v>3.37</v>
      </c>
      <c r="J98" s="112">
        <v>0.18</v>
      </c>
      <c r="K98" s="112">
        <v>227.72</v>
      </c>
      <c r="L98" s="112">
        <v>26.63</v>
      </c>
      <c r="M98" s="112">
        <v>95.11</v>
      </c>
      <c r="N98" s="112">
        <v>2.1</v>
      </c>
      <c r="O98" s="112">
        <v>0</v>
      </c>
      <c r="P98" s="112">
        <v>0.31</v>
      </c>
      <c r="Q98" s="112">
        <v>4.6500000000000004</v>
      </c>
    </row>
    <row r="99" spans="1:22" customFormat="1">
      <c r="A99" s="80">
        <v>45474.947916666664</v>
      </c>
      <c r="B99" s="112">
        <v>9.17</v>
      </c>
      <c r="C99" s="112">
        <v>4.08</v>
      </c>
      <c r="D99" s="112">
        <v>13.93</v>
      </c>
      <c r="E99" s="112">
        <v>11.37</v>
      </c>
      <c r="F99" s="112">
        <v>4.76</v>
      </c>
      <c r="G99" s="112">
        <v>16.059999999999999</v>
      </c>
      <c r="H99" s="112">
        <v>7.23</v>
      </c>
      <c r="I99" s="112">
        <v>3.31</v>
      </c>
      <c r="J99" s="112">
        <v>0.26</v>
      </c>
      <c r="K99" s="112">
        <v>249.08</v>
      </c>
      <c r="L99" s="112">
        <v>26.62</v>
      </c>
      <c r="M99" s="112">
        <v>94.09</v>
      </c>
      <c r="N99" s="112">
        <v>2.1</v>
      </c>
      <c r="O99" s="112">
        <v>0</v>
      </c>
      <c r="P99" s="112">
        <v>0.31</v>
      </c>
      <c r="Q99" s="112">
        <v>4.6399999999999997</v>
      </c>
    </row>
    <row r="100" spans="1:22" customFormat="1">
      <c r="A100" s="80">
        <v>45474.958333333336</v>
      </c>
      <c r="B100" s="112">
        <v>9.17</v>
      </c>
      <c r="C100" s="112">
        <v>4.0599999999999996</v>
      </c>
      <c r="D100" s="112">
        <v>13.92</v>
      </c>
      <c r="E100" s="112">
        <v>11.52</v>
      </c>
      <c r="F100" s="112">
        <v>3.87</v>
      </c>
      <c r="G100" s="112">
        <v>16.059999999999999</v>
      </c>
      <c r="H100" s="112">
        <v>7.23</v>
      </c>
      <c r="I100" s="112">
        <v>3.27</v>
      </c>
      <c r="J100" s="112">
        <v>0.34</v>
      </c>
      <c r="K100" s="112">
        <v>254.95</v>
      </c>
      <c r="L100" s="112">
        <v>26.67</v>
      </c>
      <c r="M100" s="112">
        <v>92.94</v>
      </c>
      <c r="N100" s="112">
        <v>2.1</v>
      </c>
      <c r="O100" s="112">
        <v>0</v>
      </c>
      <c r="P100" s="112">
        <v>0.32</v>
      </c>
      <c r="Q100" s="112">
        <v>4.6399999999999997</v>
      </c>
    </row>
    <row r="101" spans="1:22" customFormat="1">
      <c r="A101" s="80">
        <v>45474.96875</v>
      </c>
      <c r="B101" s="112">
        <v>9.16</v>
      </c>
      <c r="C101" s="112">
        <v>4.09</v>
      </c>
      <c r="D101" s="112">
        <v>13.94</v>
      </c>
      <c r="E101" s="112">
        <v>11.57</v>
      </c>
      <c r="F101" s="112">
        <v>3.86</v>
      </c>
      <c r="G101" s="112">
        <v>16.059999999999999</v>
      </c>
      <c r="H101" s="112">
        <v>7.23</v>
      </c>
      <c r="I101" s="112">
        <v>3.26</v>
      </c>
      <c r="J101" s="112">
        <v>0.39</v>
      </c>
      <c r="K101" s="112">
        <v>257.36</v>
      </c>
      <c r="L101" s="112">
        <v>26.74</v>
      </c>
      <c r="M101" s="112">
        <v>92.43</v>
      </c>
      <c r="N101" s="112">
        <v>2.1</v>
      </c>
      <c r="O101" s="112">
        <v>0</v>
      </c>
      <c r="P101" s="112">
        <v>0.31</v>
      </c>
      <c r="Q101" s="112">
        <v>4.63</v>
      </c>
    </row>
    <row r="102" spans="1:22" customFormat="1">
      <c r="A102" s="80">
        <v>45474.979166666664</v>
      </c>
      <c r="B102" s="112">
        <v>9.17</v>
      </c>
      <c r="C102" s="112">
        <v>4.08</v>
      </c>
      <c r="D102" s="112">
        <v>13.94</v>
      </c>
      <c r="E102" s="112">
        <v>11.95</v>
      </c>
      <c r="F102" s="112">
        <v>5.15</v>
      </c>
      <c r="G102" s="112">
        <v>16.510000000000002</v>
      </c>
      <c r="H102" s="112">
        <v>6.77</v>
      </c>
      <c r="I102" s="112">
        <v>3.24</v>
      </c>
      <c r="J102" s="112">
        <v>0.32</v>
      </c>
      <c r="K102" s="112">
        <v>249.02</v>
      </c>
      <c r="L102" s="112">
        <v>26.8</v>
      </c>
      <c r="M102" s="112">
        <v>92.25</v>
      </c>
      <c r="N102" s="112">
        <v>2.1</v>
      </c>
      <c r="O102" s="112">
        <v>0</v>
      </c>
      <c r="P102" s="112">
        <v>0.31</v>
      </c>
      <c r="Q102" s="112">
        <v>4.62</v>
      </c>
    </row>
    <row r="103" spans="1:22" customFormat="1">
      <c r="A103" s="80">
        <v>45474.989583333336</v>
      </c>
      <c r="B103" s="112">
        <v>9.18</v>
      </c>
      <c r="C103" s="112">
        <v>4.0599999999999996</v>
      </c>
      <c r="D103" s="112">
        <v>13.93</v>
      </c>
      <c r="E103" s="112">
        <v>11.68</v>
      </c>
      <c r="F103" s="112">
        <v>6.07</v>
      </c>
      <c r="G103" s="112">
        <v>17.190000000000001</v>
      </c>
      <c r="H103" s="112">
        <v>6.36</v>
      </c>
      <c r="I103" s="112">
        <v>3.21</v>
      </c>
      <c r="J103" s="112">
        <v>0.32</v>
      </c>
      <c r="K103" s="112">
        <v>246.38</v>
      </c>
      <c r="L103" s="112">
        <v>26.83</v>
      </c>
      <c r="M103" s="112">
        <v>93.59</v>
      </c>
      <c r="N103" s="112">
        <v>2.1</v>
      </c>
      <c r="O103" s="112">
        <v>0</v>
      </c>
      <c r="P103" s="112">
        <v>0.33</v>
      </c>
      <c r="Q103" s="112">
        <v>4.6399999999999997</v>
      </c>
    </row>
    <row r="104" spans="1:22" customFormat="1">
      <c r="A104" s="80">
        <v>45475</v>
      </c>
      <c r="B104" s="112">
        <v>9.1999999999999993</v>
      </c>
      <c r="C104" s="112">
        <v>4.07</v>
      </c>
      <c r="D104" s="112">
        <v>13.95</v>
      </c>
      <c r="E104" s="112">
        <v>10.33</v>
      </c>
      <c r="F104" s="112">
        <v>9.69</v>
      </c>
      <c r="G104" s="112">
        <v>17.190000000000001</v>
      </c>
      <c r="H104" s="112">
        <v>6.36</v>
      </c>
      <c r="I104" s="112">
        <v>3.1</v>
      </c>
      <c r="J104" s="112">
        <v>0.24</v>
      </c>
      <c r="K104" s="112">
        <v>242.5</v>
      </c>
      <c r="L104" s="112">
        <v>26.73</v>
      </c>
      <c r="M104" s="112">
        <v>93.68</v>
      </c>
      <c r="N104" s="112">
        <v>2.2000000000000002</v>
      </c>
      <c r="O104" s="112">
        <v>0</v>
      </c>
      <c r="P104" s="112">
        <v>0.3</v>
      </c>
      <c r="Q104" s="112">
        <v>4.63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9.16</v>
      </c>
      <c r="C106" s="183">
        <f>MIN(C9:C104)</f>
        <v>4.0199999999999996</v>
      </c>
      <c r="D106" s="183">
        <f t="shared" ref="D106:Q106" si="0">MIN(D9:D104)</f>
        <v>13.92</v>
      </c>
      <c r="E106" s="183">
        <f t="shared" si="0"/>
        <v>5.42</v>
      </c>
      <c r="F106" s="183">
        <f t="shared" si="0"/>
        <v>3.47</v>
      </c>
      <c r="G106" s="183">
        <f t="shared" si="0"/>
        <v>6.49</v>
      </c>
      <c r="H106" s="183">
        <f t="shared" si="0"/>
        <v>2.36</v>
      </c>
      <c r="I106" s="183">
        <f t="shared" si="0"/>
        <v>2.66</v>
      </c>
      <c r="J106" s="183">
        <f t="shared" si="0"/>
        <v>0.1</v>
      </c>
      <c r="K106" s="183">
        <f t="shared" si="0"/>
        <v>215.52</v>
      </c>
      <c r="L106" s="183">
        <f t="shared" si="0"/>
        <v>25.73</v>
      </c>
      <c r="M106" s="183">
        <f t="shared" si="0"/>
        <v>75.989999999999995</v>
      </c>
      <c r="N106" s="183">
        <f t="shared" si="0"/>
        <v>2.1</v>
      </c>
      <c r="O106" s="183">
        <f t="shared" si="0"/>
        <v>0</v>
      </c>
      <c r="P106" s="183">
        <f t="shared" si="0"/>
        <v>0.24</v>
      </c>
      <c r="Q106" s="183">
        <f t="shared" si="0"/>
        <v>4.5999999999999996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9.2799999999999994</v>
      </c>
      <c r="C107" s="184">
        <f t="shared" ref="C107:Q107" si="1">MAX(C9:C104)</f>
        <v>4.1500000000000004</v>
      </c>
      <c r="D107" s="184">
        <f t="shared" si="1"/>
        <v>14.02</v>
      </c>
      <c r="E107" s="184">
        <f t="shared" si="1"/>
        <v>11.95</v>
      </c>
      <c r="F107" s="184">
        <f t="shared" si="1"/>
        <v>13.77</v>
      </c>
      <c r="G107" s="184">
        <f t="shared" si="1"/>
        <v>17.899999999999999</v>
      </c>
      <c r="H107" s="184">
        <f t="shared" si="1"/>
        <v>8.3000000000000007</v>
      </c>
      <c r="I107" s="184">
        <f t="shared" si="1"/>
        <v>4.8499999999999996</v>
      </c>
      <c r="J107" s="184">
        <f t="shared" si="1"/>
        <v>1.4</v>
      </c>
      <c r="K107" s="184">
        <f t="shared" si="1"/>
        <v>315.58</v>
      </c>
      <c r="L107" s="184">
        <f t="shared" si="1"/>
        <v>29.89</v>
      </c>
      <c r="M107" s="184">
        <f t="shared" si="1"/>
        <v>101.9</v>
      </c>
      <c r="N107" s="184">
        <f t="shared" si="1"/>
        <v>371.2</v>
      </c>
      <c r="O107" s="184">
        <f t="shared" si="1"/>
        <v>1.2</v>
      </c>
      <c r="P107" s="184">
        <f t="shared" si="1"/>
        <v>0.4</v>
      </c>
      <c r="Q107" s="184">
        <f t="shared" si="1"/>
        <v>4.66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9.2105208333333426</v>
      </c>
      <c r="C108" s="183">
        <f t="shared" ref="C108:Q108" si="2">AVERAGE(C9:C104)</f>
        <v>4.0697916666666671</v>
      </c>
      <c r="D108" s="183">
        <f t="shared" si="2"/>
        <v>13.96218750000002</v>
      </c>
      <c r="E108" s="183">
        <f t="shared" si="2"/>
        <v>8.6421875000000039</v>
      </c>
      <c r="F108" s="183">
        <f t="shared" si="2"/>
        <v>6.2196875</v>
      </c>
      <c r="G108" s="183">
        <f t="shared" si="2"/>
        <v>12.108020833333336</v>
      </c>
      <c r="H108" s="183">
        <f t="shared" si="2"/>
        <v>4.8102083333333345</v>
      </c>
      <c r="I108" s="183">
        <f t="shared" si="2"/>
        <v>3.4618750000000005</v>
      </c>
      <c r="J108" s="183">
        <f t="shared" si="2"/>
        <v>0.6284375000000002</v>
      </c>
      <c r="K108" s="183">
        <f t="shared" si="2"/>
        <v>257.56572916666676</v>
      </c>
      <c r="L108" s="183">
        <f t="shared" si="2"/>
        <v>27.146562499999998</v>
      </c>
      <c r="M108" s="183">
        <f t="shared" si="2"/>
        <v>89.696979166666679</v>
      </c>
      <c r="N108" s="183">
        <f t="shared" si="2"/>
        <v>73.030208333333377</v>
      </c>
      <c r="O108" s="183">
        <f t="shared" si="2"/>
        <v>1.4583333333333332E-2</v>
      </c>
      <c r="P108" s="183">
        <f t="shared" si="2"/>
        <v>0.30687499999999984</v>
      </c>
      <c r="Q108" s="183">
        <f t="shared" si="2"/>
        <v>4.6335416666666616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2.4851974047046983E-2</v>
      </c>
      <c r="C109" s="183">
        <f t="shared" ref="C109:Q109" si="3">STDEV(C9:C104)</f>
        <v>2.0569735902235653E-2</v>
      </c>
      <c r="D109" s="183">
        <f t="shared" si="3"/>
        <v>2.2766694279606401E-2</v>
      </c>
      <c r="E109" s="183">
        <f t="shared" si="3"/>
        <v>1.5528623507133905</v>
      </c>
      <c r="F109" s="183">
        <f t="shared" si="3"/>
        <v>2.4051591272993931</v>
      </c>
      <c r="G109" s="183">
        <f t="shared" si="3"/>
        <v>3.3897351611474265</v>
      </c>
      <c r="H109" s="183">
        <f t="shared" si="3"/>
        <v>1.4638535871327412</v>
      </c>
      <c r="I109" s="183">
        <f t="shared" si="3"/>
        <v>0.41431061955214776</v>
      </c>
      <c r="J109" s="183">
        <f t="shared" si="3"/>
        <v>0.33374534295982072</v>
      </c>
      <c r="K109" s="183">
        <f t="shared" si="3"/>
        <v>14.75645776527946</v>
      </c>
      <c r="L109" s="183">
        <f t="shared" si="3"/>
        <v>1.4349530182114374</v>
      </c>
      <c r="M109" s="183">
        <f t="shared" si="3"/>
        <v>7.495200726891837</v>
      </c>
      <c r="N109" s="183">
        <f t="shared" si="3"/>
        <v>98.622121058418685</v>
      </c>
      <c r="O109" s="183">
        <f t="shared" si="3"/>
        <v>0.12395174499666915</v>
      </c>
      <c r="P109" s="183">
        <f t="shared" si="3"/>
        <v>3.2259229605446089E-2</v>
      </c>
      <c r="Q109" s="183">
        <f t="shared" si="3"/>
        <v>1.2309958883737088E-2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7" activePane="bottomRight" state="frozen"/>
      <selection activeCell="A9" sqref="A9"/>
      <selection pane="topRight" activeCell="A9" sqref="A9"/>
      <selection pane="bottomLeft" activeCell="A9" sqref="A9"/>
      <selection pane="bottomRight" activeCell="H103" sqref="H103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45475.010416666664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45475.010416666664</v>
      </c>
      <c r="B9" s="112">
        <v>9.3000000000000007</v>
      </c>
      <c r="C9" s="112">
        <v>4.0999999999999996</v>
      </c>
      <c r="D9" s="112">
        <v>14.05</v>
      </c>
      <c r="E9" s="112">
        <v>10.15</v>
      </c>
      <c r="F9" s="112">
        <v>9.07</v>
      </c>
      <c r="G9" s="112">
        <v>17.190000000000001</v>
      </c>
      <c r="H9" s="112">
        <v>6.36</v>
      </c>
      <c r="I9" s="112">
        <v>2.93</v>
      </c>
      <c r="J9" s="112">
        <v>0.49</v>
      </c>
      <c r="K9" s="112">
        <v>256.39</v>
      </c>
      <c r="L9" s="112">
        <v>26.81</v>
      </c>
      <c r="M9" s="112">
        <v>92.5</v>
      </c>
      <c r="N9" s="112">
        <v>2.1</v>
      </c>
      <c r="O9" s="112">
        <v>0</v>
      </c>
      <c r="P9" s="112">
        <v>0.28999999999999998</v>
      </c>
      <c r="Q9" s="112">
        <v>4.6399999999999997</v>
      </c>
    </row>
    <row r="10" spans="1:21" customFormat="1">
      <c r="A10" s="80">
        <v>45475.020833333336</v>
      </c>
      <c r="B10" s="112">
        <v>9.2899999999999991</v>
      </c>
      <c r="C10" s="112">
        <v>4.07</v>
      </c>
      <c r="D10" s="112">
        <v>14.03</v>
      </c>
      <c r="E10" s="112">
        <v>9.75</v>
      </c>
      <c r="F10" s="112">
        <v>10.92</v>
      </c>
      <c r="G10" s="112">
        <v>16.2</v>
      </c>
      <c r="H10" s="112">
        <v>5.4</v>
      </c>
      <c r="I10" s="112">
        <v>2.69</v>
      </c>
      <c r="J10" s="112">
        <v>0.56999999999999995</v>
      </c>
      <c r="K10" s="112">
        <v>251.91</v>
      </c>
      <c r="L10" s="112">
        <v>26.85</v>
      </c>
      <c r="M10" s="112">
        <v>91.26</v>
      </c>
      <c r="N10" s="112">
        <v>2.1</v>
      </c>
      <c r="O10" s="112">
        <v>0</v>
      </c>
      <c r="P10" s="112">
        <v>0.28000000000000003</v>
      </c>
      <c r="Q10" s="112">
        <v>4.6500000000000004</v>
      </c>
    </row>
    <row r="11" spans="1:21" customFormat="1">
      <c r="A11" s="80">
        <v>45475.03125</v>
      </c>
      <c r="B11" s="112">
        <v>9.31</v>
      </c>
      <c r="C11" s="112">
        <v>4.08</v>
      </c>
      <c r="D11" s="112">
        <v>14.05</v>
      </c>
      <c r="E11" s="112">
        <v>9.56</v>
      </c>
      <c r="F11" s="112">
        <v>9.85</v>
      </c>
      <c r="G11" s="112">
        <v>14.72</v>
      </c>
      <c r="H11" s="112">
        <v>4.5599999999999996</v>
      </c>
      <c r="I11" s="112">
        <v>2.73</v>
      </c>
      <c r="J11" s="112">
        <v>0.56999999999999995</v>
      </c>
      <c r="K11" s="112">
        <v>262.89</v>
      </c>
      <c r="L11" s="112">
        <v>26.92</v>
      </c>
      <c r="M11" s="112">
        <v>91.27</v>
      </c>
      <c r="N11" s="112">
        <v>2.1</v>
      </c>
      <c r="O11" s="112">
        <v>0</v>
      </c>
      <c r="P11" s="112">
        <v>0.27</v>
      </c>
      <c r="Q11" s="112">
        <v>4.66</v>
      </c>
    </row>
    <row r="12" spans="1:21" customFormat="1">
      <c r="A12" s="80">
        <v>45475.041666666664</v>
      </c>
      <c r="B12" s="112">
        <v>9.31</v>
      </c>
      <c r="C12" s="112">
        <v>4.13</v>
      </c>
      <c r="D12" s="112">
        <v>14.07</v>
      </c>
      <c r="E12" s="112">
        <v>9.5500000000000007</v>
      </c>
      <c r="F12" s="112">
        <v>10.68</v>
      </c>
      <c r="G12" s="112">
        <v>14.72</v>
      </c>
      <c r="H12" s="112">
        <v>4.5599999999999996</v>
      </c>
      <c r="I12" s="112">
        <v>2.68</v>
      </c>
      <c r="J12" s="112">
        <v>0.54</v>
      </c>
      <c r="K12" s="112">
        <v>251.51</v>
      </c>
      <c r="L12" s="112">
        <v>26.99</v>
      </c>
      <c r="M12" s="112">
        <v>89.94</v>
      </c>
      <c r="N12" s="112">
        <v>2.1</v>
      </c>
      <c r="O12" s="112">
        <v>0</v>
      </c>
      <c r="P12" s="112">
        <v>0.28000000000000003</v>
      </c>
      <c r="Q12" s="112">
        <v>4.66</v>
      </c>
    </row>
    <row r="13" spans="1:21" customFormat="1">
      <c r="A13" s="80">
        <v>45475.052083333336</v>
      </c>
      <c r="B13" s="112">
        <v>9.3000000000000007</v>
      </c>
      <c r="C13" s="112">
        <v>4.0999999999999996</v>
      </c>
      <c r="D13" s="112">
        <v>14.05</v>
      </c>
      <c r="E13" s="112">
        <v>9.56</v>
      </c>
      <c r="F13" s="112">
        <v>10.78</v>
      </c>
      <c r="G13" s="112">
        <v>14.72</v>
      </c>
      <c r="H13" s="112">
        <v>4.5599999999999996</v>
      </c>
      <c r="I13" s="112">
        <v>2.72</v>
      </c>
      <c r="J13" s="112">
        <v>0.73</v>
      </c>
      <c r="K13" s="112">
        <v>257.58</v>
      </c>
      <c r="L13" s="112">
        <v>27.06</v>
      </c>
      <c r="M13" s="112">
        <v>89.13</v>
      </c>
      <c r="N13" s="112">
        <v>2.1</v>
      </c>
      <c r="O13" s="112">
        <v>0</v>
      </c>
      <c r="P13" s="112">
        <v>0.27</v>
      </c>
      <c r="Q13" s="112">
        <v>4.6399999999999997</v>
      </c>
    </row>
    <row r="14" spans="1:21" customFormat="1">
      <c r="A14" s="80">
        <v>45475.0625</v>
      </c>
      <c r="B14" s="112">
        <v>9.3000000000000007</v>
      </c>
      <c r="C14" s="112">
        <v>4.07</v>
      </c>
      <c r="D14" s="112">
        <v>14.03</v>
      </c>
      <c r="E14" s="112">
        <v>9.86</v>
      </c>
      <c r="F14" s="112">
        <v>8.98</v>
      </c>
      <c r="G14" s="112">
        <v>14.86</v>
      </c>
      <c r="H14" s="112">
        <v>4.17</v>
      </c>
      <c r="I14" s="112">
        <v>2.68</v>
      </c>
      <c r="J14" s="112">
        <v>0.95</v>
      </c>
      <c r="K14" s="112">
        <v>260.29000000000002</v>
      </c>
      <c r="L14" s="112">
        <v>27.05</v>
      </c>
      <c r="M14" s="112">
        <v>88.51</v>
      </c>
      <c r="N14" s="112">
        <v>2.2000000000000002</v>
      </c>
      <c r="O14" s="112">
        <v>0</v>
      </c>
      <c r="P14" s="112">
        <v>0.28000000000000003</v>
      </c>
      <c r="Q14" s="112">
        <v>4.63</v>
      </c>
    </row>
    <row r="15" spans="1:21" customFormat="1">
      <c r="A15" s="80">
        <v>45475.072916666664</v>
      </c>
      <c r="B15" s="112">
        <v>9.3000000000000007</v>
      </c>
      <c r="C15" s="112">
        <v>4.07</v>
      </c>
      <c r="D15" s="112">
        <v>14.04</v>
      </c>
      <c r="E15" s="112">
        <v>10.039999999999999</v>
      </c>
      <c r="F15" s="112">
        <v>7.21</v>
      </c>
      <c r="G15" s="112">
        <v>15.06</v>
      </c>
      <c r="H15" s="112">
        <v>3.84</v>
      </c>
      <c r="I15" s="112">
        <v>2.75</v>
      </c>
      <c r="J15" s="112">
        <v>1.07</v>
      </c>
      <c r="K15" s="112">
        <v>258.91000000000003</v>
      </c>
      <c r="L15" s="112">
        <v>27.04</v>
      </c>
      <c r="M15" s="112">
        <v>88.25</v>
      </c>
      <c r="N15" s="112">
        <v>2.2999999999999998</v>
      </c>
      <c r="O15" s="112">
        <v>0</v>
      </c>
      <c r="P15" s="112">
        <v>0.27</v>
      </c>
      <c r="Q15" s="112">
        <v>4.6399999999999997</v>
      </c>
    </row>
    <row r="16" spans="1:21" customFormat="1">
      <c r="A16" s="80">
        <v>45475.083333333336</v>
      </c>
      <c r="B16" s="112">
        <v>9.32</v>
      </c>
      <c r="C16" s="112">
        <v>4.03</v>
      </c>
      <c r="D16" s="112">
        <v>14.03</v>
      </c>
      <c r="E16" s="112">
        <v>9.5500000000000007</v>
      </c>
      <c r="F16" s="112">
        <v>6.97</v>
      </c>
      <c r="G16" s="112">
        <v>15.06</v>
      </c>
      <c r="H16" s="112">
        <v>3.84</v>
      </c>
      <c r="I16" s="112">
        <v>2.85</v>
      </c>
      <c r="J16" s="112">
        <v>0.92</v>
      </c>
      <c r="K16" s="112">
        <v>259.27999999999997</v>
      </c>
      <c r="L16" s="112">
        <v>26.77</v>
      </c>
      <c r="M16" s="112">
        <v>89.41</v>
      </c>
      <c r="N16" s="112">
        <v>2.6</v>
      </c>
      <c r="O16" s="112">
        <v>0</v>
      </c>
      <c r="P16" s="112">
        <v>0.27</v>
      </c>
      <c r="Q16" s="112">
        <v>4.6500000000000004</v>
      </c>
    </row>
    <row r="17" spans="1:17" customFormat="1">
      <c r="A17" s="80">
        <v>45475.09375</v>
      </c>
      <c r="B17" s="112">
        <v>9.3000000000000007</v>
      </c>
      <c r="C17" s="112">
        <v>4.07</v>
      </c>
      <c r="D17" s="112">
        <v>14.04</v>
      </c>
      <c r="E17" s="112">
        <v>6.61</v>
      </c>
      <c r="F17" s="112">
        <v>5.72</v>
      </c>
      <c r="G17" s="112">
        <v>15.06</v>
      </c>
      <c r="H17" s="112">
        <v>3.84</v>
      </c>
      <c r="I17" s="112">
        <v>2.9</v>
      </c>
      <c r="J17" s="112">
        <v>0.96</v>
      </c>
      <c r="K17" s="112">
        <v>259.95</v>
      </c>
      <c r="L17" s="112">
        <v>26.56</v>
      </c>
      <c r="M17" s="112">
        <v>86.55</v>
      </c>
      <c r="N17" s="112">
        <v>2.6</v>
      </c>
      <c r="O17" s="112">
        <v>0</v>
      </c>
      <c r="P17" s="112">
        <v>0.28000000000000003</v>
      </c>
      <c r="Q17" s="112">
        <v>4.6399999999999997</v>
      </c>
    </row>
    <row r="18" spans="1:17" customFormat="1">
      <c r="A18" s="80">
        <v>45475.104166666664</v>
      </c>
      <c r="B18" s="112">
        <v>9.3000000000000007</v>
      </c>
      <c r="C18" s="112">
        <v>4.09</v>
      </c>
      <c r="D18" s="112">
        <v>14.04</v>
      </c>
      <c r="E18" s="112">
        <v>7.29</v>
      </c>
      <c r="F18" s="112">
        <v>5.9</v>
      </c>
      <c r="G18" s="112">
        <v>14.51</v>
      </c>
      <c r="H18" s="112">
        <v>3.4</v>
      </c>
      <c r="I18" s="112">
        <v>2.84</v>
      </c>
      <c r="J18" s="112">
        <v>1.1200000000000001</v>
      </c>
      <c r="K18" s="112">
        <v>256.17</v>
      </c>
      <c r="L18" s="112">
        <v>26.33</v>
      </c>
      <c r="M18" s="112">
        <v>82.81</v>
      </c>
      <c r="N18" s="112">
        <v>2.5</v>
      </c>
      <c r="O18" s="112">
        <v>0</v>
      </c>
      <c r="P18" s="112">
        <v>0.28000000000000003</v>
      </c>
      <c r="Q18" s="112">
        <v>4.66</v>
      </c>
    </row>
    <row r="19" spans="1:17" customFormat="1">
      <c r="A19" s="80">
        <v>45475.114583333336</v>
      </c>
      <c r="B19" s="112">
        <v>9.2899999999999991</v>
      </c>
      <c r="C19" s="112">
        <v>4.09</v>
      </c>
      <c r="D19" s="112">
        <v>14.04</v>
      </c>
      <c r="E19" s="112">
        <v>7.65</v>
      </c>
      <c r="F19" s="112">
        <v>5.68</v>
      </c>
      <c r="G19" s="112">
        <v>13.68</v>
      </c>
      <c r="H19" s="112">
        <v>3.01</v>
      </c>
      <c r="I19" s="112">
        <v>2.87</v>
      </c>
      <c r="J19" s="112">
        <v>1.06</v>
      </c>
      <c r="K19" s="112">
        <v>262.99</v>
      </c>
      <c r="L19" s="112">
        <v>26.07</v>
      </c>
      <c r="M19" s="112">
        <v>80.64</v>
      </c>
      <c r="N19" s="112">
        <v>2.7</v>
      </c>
      <c r="O19" s="112">
        <v>0</v>
      </c>
      <c r="P19" s="112">
        <v>0.28000000000000003</v>
      </c>
      <c r="Q19" s="112">
        <v>4.6500000000000004</v>
      </c>
    </row>
    <row r="20" spans="1:17" customFormat="1">
      <c r="A20" s="80">
        <v>45475.125</v>
      </c>
      <c r="B20" s="112">
        <v>9.3000000000000007</v>
      </c>
      <c r="C20" s="112">
        <v>4.0599999999999996</v>
      </c>
      <c r="D20" s="112">
        <v>14.03</v>
      </c>
      <c r="E20" s="112">
        <v>7.31</v>
      </c>
      <c r="F20" s="112">
        <v>5.47</v>
      </c>
      <c r="G20" s="112">
        <v>13.68</v>
      </c>
      <c r="H20" s="112">
        <v>3.01</v>
      </c>
      <c r="I20" s="112">
        <v>2.89</v>
      </c>
      <c r="J20" s="112">
        <v>1.38</v>
      </c>
      <c r="K20" s="112">
        <v>260.75</v>
      </c>
      <c r="L20" s="112">
        <v>25.92</v>
      </c>
      <c r="M20" s="112">
        <v>80.59</v>
      </c>
      <c r="N20" s="112">
        <v>2.5</v>
      </c>
      <c r="O20" s="112">
        <v>0</v>
      </c>
      <c r="P20" s="112">
        <v>0.26</v>
      </c>
      <c r="Q20" s="112">
        <v>4.63</v>
      </c>
    </row>
    <row r="21" spans="1:17" customFormat="1">
      <c r="A21" s="80">
        <v>45475.135416666664</v>
      </c>
      <c r="B21" s="112">
        <v>9.3000000000000007</v>
      </c>
      <c r="C21" s="112">
        <v>4.09</v>
      </c>
      <c r="D21" s="112">
        <v>14.04</v>
      </c>
      <c r="E21" s="112">
        <v>7.08</v>
      </c>
      <c r="F21" s="112">
        <v>6.01</v>
      </c>
      <c r="G21" s="112">
        <v>13.68</v>
      </c>
      <c r="H21" s="112">
        <v>3.01</v>
      </c>
      <c r="I21" s="112">
        <v>2.84</v>
      </c>
      <c r="J21" s="112">
        <v>1.06</v>
      </c>
      <c r="K21" s="112">
        <v>256.89999999999998</v>
      </c>
      <c r="L21" s="112">
        <v>25.76</v>
      </c>
      <c r="M21" s="112">
        <v>82.28</v>
      </c>
      <c r="N21" s="112">
        <v>2.5</v>
      </c>
      <c r="O21" s="112">
        <v>0</v>
      </c>
      <c r="P21" s="112">
        <v>0.26</v>
      </c>
      <c r="Q21" s="112">
        <v>4.6399999999999997</v>
      </c>
    </row>
    <row r="22" spans="1:17" customFormat="1">
      <c r="A22" s="80">
        <v>45475.145833333336</v>
      </c>
      <c r="B22" s="112">
        <v>9.3000000000000007</v>
      </c>
      <c r="C22" s="112">
        <v>4.08</v>
      </c>
      <c r="D22" s="112">
        <v>14.04</v>
      </c>
      <c r="E22" s="112">
        <v>6.98</v>
      </c>
      <c r="F22" s="112">
        <v>6.56</v>
      </c>
      <c r="G22" s="112">
        <v>12.85</v>
      </c>
      <c r="H22" s="112">
        <v>3.95</v>
      </c>
      <c r="I22" s="112">
        <v>2.82</v>
      </c>
      <c r="J22" s="112">
        <v>0.85</v>
      </c>
      <c r="K22" s="112">
        <v>258.69</v>
      </c>
      <c r="L22" s="112">
        <v>25.6</v>
      </c>
      <c r="M22" s="112">
        <v>84.38</v>
      </c>
      <c r="N22" s="112">
        <v>2.4</v>
      </c>
      <c r="O22" s="112">
        <v>0</v>
      </c>
      <c r="P22" s="112">
        <v>0.26</v>
      </c>
      <c r="Q22" s="112">
        <v>4.6399999999999997</v>
      </c>
    </row>
    <row r="23" spans="1:17" customFormat="1">
      <c r="A23" s="80">
        <v>45475.15625</v>
      </c>
      <c r="B23" s="112">
        <v>9.3000000000000007</v>
      </c>
      <c r="C23" s="112">
        <v>4.08</v>
      </c>
      <c r="D23" s="112">
        <v>14.04</v>
      </c>
      <c r="E23" s="112">
        <v>6.84</v>
      </c>
      <c r="F23" s="112">
        <v>6.42</v>
      </c>
      <c r="G23" s="112">
        <v>11.6</v>
      </c>
      <c r="H23" s="112">
        <v>4.78</v>
      </c>
      <c r="I23" s="112">
        <v>2.71</v>
      </c>
      <c r="J23" s="112">
        <v>0.68</v>
      </c>
      <c r="K23" s="112">
        <v>259.89999999999998</v>
      </c>
      <c r="L23" s="112">
        <v>25.44</v>
      </c>
      <c r="M23" s="112">
        <v>85.73</v>
      </c>
      <c r="N23" s="112">
        <v>2.4</v>
      </c>
      <c r="O23" s="112">
        <v>0</v>
      </c>
      <c r="P23" s="112">
        <v>0.25</v>
      </c>
      <c r="Q23" s="112">
        <v>4.63</v>
      </c>
    </row>
    <row r="24" spans="1:17" customFormat="1">
      <c r="A24" s="80">
        <v>45475.166666666664</v>
      </c>
      <c r="B24" s="112">
        <v>9.32</v>
      </c>
      <c r="C24" s="112">
        <v>4.0599999999999996</v>
      </c>
      <c r="D24" s="112">
        <v>14.05</v>
      </c>
      <c r="E24" s="112">
        <v>7.12</v>
      </c>
      <c r="F24" s="112">
        <v>5.87</v>
      </c>
      <c r="G24" s="112">
        <v>11.6</v>
      </c>
      <c r="H24" s="112">
        <v>4.78</v>
      </c>
      <c r="I24" s="112">
        <v>2.66</v>
      </c>
      <c r="J24" s="112">
        <v>0.84</v>
      </c>
      <c r="K24" s="112">
        <v>264.10000000000002</v>
      </c>
      <c r="L24" s="112">
        <v>25.34</v>
      </c>
      <c r="M24" s="112">
        <v>87.7</v>
      </c>
      <c r="N24" s="112">
        <v>2.4</v>
      </c>
      <c r="O24" s="112">
        <v>0</v>
      </c>
      <c r="P24" s="112">
        <v>0.26</v>
      </c>
      <c r="Q24" s="112">
        <v>4.63</v>
      </c>
    </row>
    <row r="25" spans="1:17" customFormat="1">
      <c r="A25" s="80">
        <v>45475.177083333336</v>
      </c>
      <c r="B25" s="112">
        <v>9.31</v>
      </c>
      <c r="C25" s="112">
        <v>4.05</v>
      </c>
      <c r="D25" s="112">
        <v>14.03</v>
      </c>
      <c r="E25" s="112">
        <v>7.14</v>
      </c>
      <c r="F25" s="112">
        <v>4.29</v>
      </c>
      <c r="G25" s="112">
        <v>11.6</v>
      </c>
      <c r="H25" s="112">
        <v>4.78</v>
      </c>
      <c r="I25" s="112">
        <v>2.66</v>
      </c>
      <c r="J25" s="112">
        <v>0.83</v>
      </c>
      <c r="K25" s="112">
        <v>262.69</v>
      </c>
      <c r="L25" s="112">
        <v>25.19</v>
      </c>
      <c r="M25" s="112">
        <v>89.93</v>
      </c>
      <c r="N25" s="112">
        <v>2.2999999999999998</v>
      </c>
      <c r="O25" s="112">
        <v>0</v>
      </c>
      <c r="P25" s="112">
        <v>0.26</v>
      </c>
      <c r="Q25" s="112">
        <v>4.62</v>
      </c>
    </row>
    <row r="26" spans="1:17" customFormat="1">
      <c r="A26" s="80">
        <v>45475.1875</v>
      </c>
      <c r="B26" s="112">
        <v>9.31</v>
      </c>
      <c r="C26" s="112">
        <v>4.0599999999999996</v>
      </c>
      <c r="D26" s="112">
        <v>14.03</v>
      </c>
      <c r="E26" s="112">
        <v>7.16</v>
      </c>
      <c r="F26" s="112">
        <v>4.1100000000000003</v>
      </c>
      <c r="G26" s="112">
        <v>10.23</v>
      </c>
      <c r="H26" s="112">
        <v>4.96</v>
      </c>
      <c r="I26" s="112">
        <v>2.65</v>
      </c>
      <c r="J26" s="112">
        <v>0.82</v>
      </c>
      <c r="K26" s="112">
        <v>264.47000000000003</v>
      </c>
      <c r="L26" s="112">
        <v>25.16</v>
      </c>
      <c r="M26" s="112">
        <v>90.74</v>
      </c>
      <c r="N26" s="112">
        <v>2.2000000000000002</v>
      </c>
      <c r="O26" s="112">
        <v>0</v>
      </c>
      <c r="P26" s="112">
        <v>0.26</v>
      </c>
      <c r="Q26" s="112">
        <v>4.6399999999999997</v>
      </c>
    </row>
    <row r="27" spans="1:17" customFormat="1">
      <c r="A27" s="80">
        <v>45475.197916666664</v>
      </c>
      <c r="B27" s="112">
        <v>9.2899999999999991</v>
      </c>
      <c r="C27" s="112">
        <v>4.1100000000000003</v>
      </c>
      <c r="D27" s="112">
        <v>14.05</v>
      </c>
      <c r="E27" s="112">
        <v>7.53</v>
      </c>
      <c r="F27" s="112">
        <v>4.09</v>
      </c>
      <c r="G27" s="112">
        <v>8.18</v>
      </c>
      <c r="H27" s="112">
        <v>5.47</v>
      </c>
      <c r="I27" s="112">
        <v>2.63</v>
      </c>
      <c r="J27" s="112">
        <v>0.66</v>
      </c>
      <c r="K27" s="112">
        <v>260.14</v>
      </c>
      <c r="L27" s="112">
        <v>25.12</v>
      </c>
      <c r="M27" s="112">
        <v>91.7</v>
      </c>
      <c r="N27" s="112">
        <v>2.2000000000000002</v>
      </c>
      <c r="O27" s="112">
        <v>0</v>
      </c>
      <c r="P27" s="112">
        <v>0.25</v>
      </c>
      <c r="Q27" s="112">
        <v>4.63</v>
      </c>
    </row>
    <row r="28" spans="1:17" customFormat="1">
      <c r="A28" s="80">
        <v>45475.208333333336</v>
      </c>
      <c r="B28" s="112">
        <v>9.3000000000000007</v>
      </c>
      <c r="C28" s="112">
        <v>4.0999999999999996</v>
      </c>
      <c r="D28" s="112">
        <v>14.05</v>
      </c>
      <c r="E28" s="112">
        <v>7.8</v>
      </c>
      <c r="F28" s="112">
        <v>3.98</v>
      </c>
      <c r="G28" s="112">
        <v>8.18</v>
      </c>
      <c r="H28" s="112">
        <v>5.47</v>
      </c>
      <c r="I28" s="112">
        <v>2.63</v>
      </c>
      <c r="J28" s="112">
        <v>0.55000000000000004</v>
      </c>
      <c r="K28" s="112">
        <v>258.63</v>
      </c>
      <c r="L28" s="112">
        <v>25.09</v>
      </c>
      <c r="M28" s="112">
        <v>91.87</v>
      </c>
      <c r="N28" s="112">
        <v>2.1</v>
      </c>
      <c r="O28" s="112">
        <v>0</v>
      </c>
      <c r="P28" s="112">
        <v>0.25</v>
      </c>
      <c r="Q28" s="112">
        <v>4.62</v>
      </c>
    </row>
    <row r="29" spans="1:17" customFormat="1">
      <c r="A29" s="80">
        <v>45475.21875</v>
      </c>
      <c r="B29" s="112">
        <v>9.31</v>
      </c>
      <c r="C29" s="112">
        <v>4.0599999999999996</v>
      </c>
      <c r="D29" s="112">
        <v>14.04</v>
      </c>
      <c r="E29" s="112">
        <v>7.54</v>
      </c>
      <c r="F29" s="112">
        <v>4.04</v>
      </c>
      <c r="G29" s="112">
        <v>8.18</v>
      </c>
      <c r="H29" s="112">
        <v>5.47</v>
      </c>
      <c r="I29" s="112">
        <v>2.61</v>
      </c>
      <c r="J29" s="112">
        <v>0.59</v>
      </c>
      <c r="K29" s="112">
        <v>261.18</v>
      </c>
      <c r="L29" s="112">
        <v>25.09</v>
      </c>
      <c r="M29" s="112">
        <v>91.24</v>
      </c>
      <c r="N29" s="112">
        <v>2.5</v>
      </c>
      <c r="O29" s="112">
        <v>0</v>
      </c>
      <c r="P29" s="112">
        <v>0.25</v>
      </c>
      <c r="Q29" s="112">
        <v>4.6500000000000004</v>
      </c>
    </row>
    <row r="30" spans="1:17" customFormat="1">
      <c r="A30" s="80">
        <v>45475.229166666664</v>
      </c>
      <c r="B30" s="112">
        <v>9.3000000000000007</v>
      </c>
      <c r="C30" s="112">
        <v>4.0599999999999996</v>
      </c>
      <c r="D30" s="112">
        <v>14.03</v>
      </c>
      <c r="E30" s="112">
        <v>7.86</v>
      </c>
      <c r="F30" s="112">
        <v>4.96</v>
      </c>
      <c r="G30" s="112">
        <v>7.75</v>
      </c>
      <c r="H30" s="112">
        <v>4.7</v>
      </c>
      <c r="I30" s="112">
        <v>2.5499999999999998</v>
      </c>
      <c r="J30" s="112">
        <v>0.56000000000000005</v>
      </c>
      <c r="K30" s="112">
        <v>263.98</v>
      </c>
      <c r="L30" s="112">
        <v>25.12</v>
      </c>
      <c r="M30" s="112">
        <v>90.5</v>
      </c>
      <c r="N30" s="112">
        <v>4</v>
      </c>
      <c r="O30" s="112">
        <v>0</v>
      </c>
      <c r="P30" s="112">
        <v>0.25</v>
      </c>
      <c r="Q30" s="112">
        <v>4.6500000000000004</v>
      </c>
    </row>
    <row r="31" spans="1:17" customFormat="1">
      <c r="A31" s="80">
        <v>45475.239583333336</v>
      </c>
      <c r="B31" s="112">
        <v>9.3000000000000007</v>
      </c>
      <c r="C31" s="112">
        <v>4.07</v>
      </c>
      <c r="D31" s="112">
        <v>14.04</v>
      </c>
      <c r="E31" s="112">
        <v>7.92</v>
      </c>
      <c r="F31" s="112">
        <v>4.5199999999999996</v>
      </c>
      <c r="G31" s="112">
        <v>7.11</v>
      </c>
      <c r="H31" s="112">
        <v>4.0199999999999996</v>
      </c>
      <c r="I31" s="112">
        <v>2.56</v>
      </c>
      <c r="J31" s="112">
        <v>0.46</v>
      </c>
      <c r="K31" s="112">
        <v>256.47000000000003</v>
      </c>
      <c r="L31" s="112">
        <v>25.17</v>
      </c>
      <c r="M31" s="112">
        <v>89.73</v>
      </c>
      <c r="N31" s="112">
        <v>8.9</v>
      </c>
      <c r="O31" s="112">
        <v>0</v>
      </c>
      <c r="P31" s="112">
        <v>0.25</v>
      </c>
      <c r="Q31" s="112">
        <v>4.6399999999999997</v>
      </c>
    </row>
    <row r="32" spans="1:17" customFormat="1">
      <c r="A32" s="80">
        <v>45475.25</v>
      </c>
      <c r="B32" s="112">
        <v>9.2899999999999991</v>
      </c>
      <c r="C32" s="112">
        <v>4.09</v>
      </c>
      <c r="D32" s="112">
        <v>14.04</v>
      </c>
      <c r="E32" s="112">
        <v>8.4600000000000009</v>
      </c>
      <c r="F32" s="112">
        <v>3.93</v>
      </c>
      <c r="G32" s="112">
        <v>7.11</v>
      </c>
      <c r="H32" s="112">
        <v>4.0199999999999996</v>
      </c>
      <c r="I32" s="112">
        <v>2.5099999999999998</v>
      </c>
      <c r="J32" s="112">
        <v>0.44</v>
      </c>
      <c r="K32" s="112">
        <v>261.79000000000002</v>
      </c>
      <c r="L32" s="112">
        <v>25.16</v>
      </c>
      <c r="M32" s="112">
        <v>89.98</v>
      </c>
      <c r="N32" s="112">
        <v>14</v>
      </c>
      <c r="O32" s="112">
        <v>0</v>
      </c>
      <c r="P32" s="112">
        <v>0.25</v>
      </c>
      <c r="Q32" s="112">
        <v>4.63</v>
      </c>
    </row>
    <row r="33" spans="1:17" customFormat="1">
      <c r="A33" s="80">
        <v>45475.260416666664</v>
      </c>
      <c r="B33" s="112">
        <v>9.2799999999999994</v>
      </c>
      <c r="C33" s="112">
        <v>4.07</v>
      </c>
      <c r="D33" s="112">
        <v>14.02</v>
      </c>
      <c r="E33" s="112">
        <v>8.25</v>
      </c>
      <c r="F33" s="112">
        <v>3.96</v>
      </c>
      <c r="G33" s="112">
        <v>7.11</v>
      </c>
      <c r="H33" s="112">
        <v>4.0199999999999996</v>
      </c>
      <c r="I33" s="112">
        <v>2.52</v>
      </c>
      <c r="J33" s="112">
        <v>0.36</v>
      </c>
      <c r="K33" s="112">
        <v>257.49</v>
      </c>
      <c r="L33" s="112">
        <v>25.24</v>
      </c>
      <c r="M33" s="112">
        <v>90.11</v>
      </c>
      <c r="N33" s="112">
        <v>23.9</v>
      </c>
      <c r="O33" s="112">
        <v>0</v>
      </c>
      <c r="P33" s="112">
        <v>0.24</v>
      </c>
      <c r="Q33" s="112">
        <v>4.6399999999999997</v>
      </c>
    </row>
    <row r="34" spans="1:17" customFormat="1">
      <c r="A34" s="80">
        <v>45475.270833333336</v>
      </c>
      <c r="B34" s="112">
        <v>9.2899999999999991</v>
      </c>
      <c r="C34" s="112">
        <v>4.08</v>
      </c>
      <c r="D34" s="112">
        <v>14.03</v>
      </c>
      <c r="E34" s="112">
        <v>9.15</v>
      </c>
      <c r="F34" s="112">
        <v>3.92</v>
      </c>
      <c r="G34" s="112">
        <v>6.8</v>
      </c>
      <c r="H34" s="112">
        <v>4.4800000000000004</v>
      </c>
      <c r="I34" s="112">
        <v>2.5099999999999998</v>
      </c>
      <c r="J34" s="112">
        <v>0.27</v>
      </c>
      <c r="K34" s="112">
        <v>258.67</v>
      </c>
      <c r="L34" s="112">
        <v>25.24</v>
      </c>
      <c r="M34" s="112">
        <v>90.97</v>
      </c>
      <c r="N34" s="112">
        <v>30.9</v>
      </c>
      <c r="O34" s="112">
        <v>0</v>
      </c>
      <c r="P34" s="112">
        <v>0.25</v>
      </c>
      <c r="Q34" s="112">
        <v>4.63</v>
      </c>
    </row>
    <row r="35" spans="1:17" customFormat="1">
      <c r="A35" s="80">
        <v>45475.28125</v>
      </c>
      <c r="B35" s="112">
        <v>9.3000000000000007</v>
      </c>
      <c r="C35" s="112">
        <v>4.08</v>
      </c>
      <c r="D35" s="112">
        <v>14.04</v>
      </c>
      <c r="E35" s="112">
        <v>8.7200000000000006</v>
      </c>
      <c r="F35" s="112">
        <v>3.69</v>
      </c>
      <c r="G35" s="112">
        <v>6.33</v>
      </c>
      <c r="H35" s="112">
        <v>4.9000000000000004</v>
      </c>
      <c r="I35" s="112">
        <v>2.5099999999999998</v>
      </c>
      <c r="J35" s="112">
        <v>0.41</v>
      </c>
      <c r="K35" s="112">
        <v>253.94</v>
      </c>
      <c r="L35" s="112">
        <v>25.37</v>
      </c>
      <c r="M35" s="112">
        <v>91.05</v>
      </c>
      <c r="N35" s="112">
        <v>39.299999999999997</v>
      </c>
      <c r="O35" s="112">
        <v>0</v>
      </c>
      <c r="P35" s="112">
        <v>0.25</v>
      </c>
      <c r="Q35" s="112">
        <v>4.6399999999999997</v>
      </c>
    </row>
    <row r="36" spans="1:17" customFormat="1">
      <c r="A36" s="80">
        <v>45475.291666666664</v>
      </c>
      <c r="B36" s="112">
        <v>9.31</v>
      </c>
      <c r="C36" s="112">
        <v>4.0999999999999996</v>
      </c>
      <c r="D36" s="112">
        <v>14.06</v>
      </c>
      <c r="E36" s="112">
        <v>9.17</v>
      </c>
      <c r="F36" s="112">
        <v>3.4</v>
      </c>
      <c r="G36" s="112">
        <v>6.33</v>
      </c>
      <c r="H36" s="112">
        <v>4.9000000000000004</v>
      </c>
      <c r="I36" s="112">
        <v>2.5499999999999998</v>
      </c>
      <c r="J36" s="112">
        <v>0.36</v>
      </c>
      <c r="K36" s="112">
        <v>258.64999999999998</v>
      </c>
      <c r="L36" s="112">
        <v>25.44</v>
      </c>
      <c r="M36" s="112">
        <v>92.3</v>
      </c>
      <c r="N36" s="112">
        <v>47.6</v>
      </c>
      <c r="O36" s="112">
        <v>0</v>
      </c>
      <c r="P36" s="112">
        <v>0.25</v>
      </c>
      <c r="Q36" s="112">
        <v>4.62</v>
      </c>
    </row>
    <row r="37" spans="1:17" customFormat="1">
      <c r="A37" s="80">
        <v>45475.302083333336</v>
      </c>
      <c r="B37" s="112">
        <v>9.32</v>
      </c>
      <c r="C37" s="112">
        <v>4.09</v>
      </c>
      <c r="D37" s="112">
        <v>14.06</v>
      </c>
      <c r="E37" s="112">
        <v>9.76</v>
      </c>
      <c r="F37" s="112">
        <v>3.33</v>
      </c>
      <c r="G37" s="112">
        <v>6.33</v>
      </c>
      <c r="H37" s="112">
        <v>4.9000000000000004</v>
      </c>
      <c r="I37" s="112">
        <v>2.57</v>
      </c>
      <c r="J37" s="112">
        <v>0.38</v>
      </c>
      <c r="K37" s="112">
        <v>253.99</v>
      </c>
      <c r="L37" s="112">
        <v>25.51</v>
      </c>
      <c r="M37" s="112">
        <v>92.27</v>
      </c>
      <c r="N37" s="112">
        <v>46.8</v>
      </c>
      <c r="O37" s="112">
        <v>0</v>
      </c>
      <c r="P37" s="112">
        <v>0.25</v>
      </c>
      <c r="Q37" s="112">
        <v>4.62</v>
      </c>
    </row>
    <row r="38" spans="1:17" customFormat="1">
      <c r="A38" s="80">
        <v>45475.3125</v>
      </c>
      <c r="B38" s="112">
        <v>9.34</v>
      </c>
      <c r="C38" s="112">
        <v>4.08</v>
      </c>
      <c r="D38" s="112">
        <v>14.07</v>
      </c>
      <c r="E38" s="112">
        <v>9.32</v>
      </c>
      <c r="F38" s="112">
        <v>4.1500000000000004</v>
      </c>
      <c r="G38" s="112">
        <v>6.24</v>
      </c>
      <c r="H38" s="112">
        <v>4.32</v>
      </c>
      <c r="I38" s="112">
        <v>2.62</v>
      </c>
      <c r="J38" s="112">
        <v>0.32</v>
      </c>
      <c r="K38" s="112">
        <v>256.27999999999997</v>
      </c>
      <c r="L38" s="112">
        <v>25.6</v>
      </c>
      <c r="M38" s="112">
        <v>92.72</v>
      </c>
      <c r="N38" s="112">
        <v>63.9</v>
      </c>
      <c r="O38" s="112">
        <v>0</v>
      </c>
      <c r="P38" s="112">
        <v>0.26</v>
      </c>
      <c r="Q38" s="112">
        <v>4.63</v>
      </c>
    </row>
    <row r="39" spans="1:17" customFormat="1">
      <c r="A39" s="80">
        <v>45475.322916666664</v>
      </c>
      <c r="B39" s="112">
        <v>9.35</v>
      </c>
      <c r="C39" s="112">
        <v>4.07</v>
      </c>
      <c r="D39" s="112">
        <v>14.07</v>
      </c>
      <c r="E39" s="112">
        <v>9.2899999999999991</v>
      </c>
      <c r="F39" s="112">
        <v>3.8</v>
      </c>
      <c r="G39" s="112">
        <v>6.11</v>
      </c>
      <c r="H39" s="112">
        <v>3.81</v>
      </c>
      <c r="I39" s="112">
        <v>2.69</v>
      </c>
      <c r="J39" s="112">
        <v>0.28999999999999998</v>
      </c>
      <c r="K39" s="112">
        <v>252.85</v>
      </c>
      <c r="L39" s="112">
        <v>25.9</v>
      </c>
      <c r="M39" s="112">
        <v>91.21</v>
      </c>
      <c r="N39" s="112">
        <v>76.900000000000006</v>
      </c>
      <c r="O39" s="112">
        <v>0</v>
      </c>
      <c r="P39" s="112">
        <v>0.26</v>
      </c>
      <c r="Q39" s="112">
        <v>4.6399999999999997</v>
      </c>
    </row>
    <row r="40" spans="1:17" customFormat="1">
      <c r="A40" s="80">
        <v>45475.333333333336</v>
      </c>
      <c r="B40" s="112">
        <v>9.36</v>
      </c>
      <c r="C40" s="112">
        <v>4.08</v>
      </c>
      <c r="D40" s="112">
        <v>14.09</v>
      </c>
      <c r="E40" s="112">
        <v>9.93</v>
      </c>
      <c r="F40" s="112">
        <v>3.65</v>
      </c>
      <c r="G40" s="112">
        <v>6.11</v>
      </c>
      <c r="H40" s="112">
        <v>3.81</v>
      </c>
      <c r="I40" s="112">
        <v>2.74</v>
      </c>
      <c r="J40" s="112">
        <v>0.41</v>
      </c>
      <c r="K40" s="112">
        <v>255.89</v>
      </c>
      <c r="L40" s="112">
        <v>26</v>
      </c>
      <c r="M40" s="112">
        <v>89.24</v>
      </c>
      <c r="N40" s="112">
        <v>88.5</v>
      </c>
      <c r="O40" s="112">
        <v>0</v>
      </c>
      <c r="P40" s="112">
        <v>0.26</v>
      </c>
      <c r="Q40" s="112">
        <v>4.6399999999999997</v>
      </c>
    </row>
    <row r="41" spans="1:17" customFormat="1">
      <c r="A41" s="80">
        <v>45475.34375</v>
      </c>
      <c r="B41" s="112">
        <v>9.3699999999999992</v>
      </c>
      <c r="C41" s="112">
        <v>4.0599999999999996</v>
      </c>
      <c r="D41" s="112">
        <v>14.09</v>
      </c>
      <c r="E41" s="112">
        <v>9.58</v>
      </c>
      <c r="F41" s="112">
        <v>3.6</v>
      </c>
      <c r="G41" s="112">
        <v>6.11</v>
      </c>
      <c r="H41" s="112">
        <v>3.81</v>
      </c>
      <c r="I41" s="112">
        <v>2.8</v>
      </c>
      <c r="J41" s="112">
        <v>0.31</v>
      </c>
      <c r="K41" s="112">
        <v>244.07</v>
      </c>
      <c r="L41" s="112">
        <v>26.33</v>
      </c>
      <c r="M41" s="112">
        <v>89.06</v>
      </c>
      <c r="N41" s="112">
        <v>108.3</v>
      </c>
      <c r="O41" s="112">
        <v>0</v>
      </c>
      <c r="P41" s="112">
        <v>0.26</v>
      </c>
      <c r="Q41" s="112">
        <v>4.6500000000000004</v>
      </c>
    </row>
    <row r="42" spans="1:17" customFormat="1">
      <c r="A42" s="80">
        <v>45475.354166666664</v>
      </c>
      <c r="B42" s="112">
        <v>9.3800000000000008</v>
      </c>
      <c r="C42" s="112">
        <v>4.0599999999999996</v>
      </c>
      <c r="D42" s="112">
        <v>14.09</v>
      </c>
      <c r="E42" s="112">
        <v>9.5399999999999991</v>
      </c>
      <c r="F42" s="112">
        <v>3.72</v>
      </c>
      <c r="G42" s="112">
        <v>7.45</v>
      </c>
      <c r="H42" s="112">
        <v>4.04</v>
      </c>
      <c r="I42" s="112">
        <v>2.81</v>
      </c>
      <c r="J42" s="112">
        <v>0.37</v>
      </c>
      <c r="K42" s="112">
        <v>259.02</v>
      </c>
      <c r="L42" s="112">
        <v>26.48</v>
      </c>
      <c r="M42" s="112">
        <v>89.35</v>
      </c>
      <c r="N42" s="112">
        <v>101.2</v>
      </c>
      <c r="O42" s="112">
        <v>0</v>
      </c>
      <c r="P42" s="112">
        <v>0.26</v>
      </c>
      <c r="Q42" s="112">
        <v>4.6399999999999997</v>
      </c>
    </row>
    <row r="43" spans="1:17" customFormat="1">
      <c r="A43" s="80">
        <v>45475.364583333336</v>
      </c>
      <c r="B43" s="112">
        <v>9.3800000000000008</v>
      </c>
      <c r="C43" s="112">
        <v>4.1100000000000003</v>
      </c>
      <c r="D43" s="112">
        <v>14.12</v>
      </c>
      <c r="E43" s="112">
        <v>10.039999999999999</v>
      </c>
      <c r="F43" s="112">
        <v>3.72</v>
      </c>
      <c r="G43" s="112">
        <v>9.4600000000000009</v>
      </c>
      <c r="H43" s="112">
        <v>4.26</v>
      </c>
      <c r="I43" s="112">
        <v>2.89</v>
      </c>
      <c r="J43" s="112">
        <v>0.42</v>
      </c>
      <c r="K43" s="112">
        <v>263.02</v>
      </c>
      <c r="L43" s="112">
        <v>26.57</v>
      </c>
      <c r="M43" s="112">
        <v>88.9</v>
      </c>
      <c r="N43" s="112">
        <v>119.8</v>
      </c>
      <c r="O43" s="112">
        <v>0</v>
      </c>
      <c r="P43" s="112">
        <v>0.27</v>
      </c>
      <c r="Q43" s="112">
        <v>4.6100000000000003</v>
      </c>
    </row>
    <row r="44" spans="1:17" customFormat="1">
      <c r="A44" s="80">
        <v>45475.375</v>
      </c>
      <c r="B44" s="112">
        <v>9.39</v>
      </c>
      <c r="C44" s="112">
        <v>4.09</v>
      </c>
      <c r="D44" s="112">
        <v>14.12</v>
      </c>
      <c r="E44" s="112">
        <v>9.56</v>
      </c>
      <c r="F44" s="112">
        <v>3.83</v>
      </c>
      <c r="G44" s="112">
        <v>9.4600000000000009</v>
      </c>
      <c r="H44" s="112">
        <v>4.26</v>
      </c>
      <c r="I44" s="112">
        <v>2.92</v>
      </c>
      <c r="J44" s="112">
        <v>0.47</v>
      </c>
      <c r="K44" s="112">
        <v>259.68</v>
      </c>
      <c r="L44" s="112">
        <v>26.92</v>
      </c>
      <c r="M44" s="112">
        <v>87.48</v>
      </c>
      <c r="N44" s="112">
        <v>157.5</v>
      </c>
      <c r="O44" s="112">
        <v>0</v>
      </c>
      <c r="P44" s="112">
        <v>0.28000000000000003</v>
      </c>
      <c r="Q44" s="112">
        <v>4.62</v>
      </c>
    </row>
    <row r="45" spans="1:17" customFormat="1">
      <c r="A45" s="80">
        <v>45475.385416666664</v>
      </c>
      <c r="B45" s="112">
        <v>9.41</v>
      </c>
      <c r="C45" s="112">
        <v>4.05</v>
      </c>
      <c r="D45" s="112">
        <v>14.11</v>
      </c>
      <c r="E45" s="112">
        <v>9.99</v>
      </c>
      <c r="F45" s="112">
        <v>4.29</v>
      </c>
      <c r="G45" s="112">
        <v>9.4600000000000009</v>
      </c>
      <c r="H45" s="112">
        <v>4.26</v>
      </c>
      <c r="I45" s="112">
        <v>2.92</v>
      </c>
      <c r="J45" s="112">
        <v>0.65</v>
      </c>
      <c r="K45" s="112">
        <v>255.85</v>
      </c>
      <c r="L45" s="112">
        <v>27.17</v>
      </c>
      <c r="M45" s="112">
        <v>87.19</v>
      </c>
      <c r="N45" s="112">
        <v>195.9</v>
      </c>
      <c r="O45" s="112">
        <v>0</v>
      </c>
      <c r="P45" s="112">
        <v>0.3</v>
      </c>
      <c r="Q45" s="112">
        <v>4.6100000000000003</v>
      </c>
    </row>
    <row r="46" spans="1:17" customFormat="1">
      <c r="A46" s="80">
        <v>45475.395833333336</v>
      </c>
      <c r="B46" s="112">
        <v>9.3800000000000008</v>
      </c>
      <c r="C46" s="112">
        <v>4.0599999999999996</v>
      </c>
      <c r="D46" s="112">
        <v>14.09</v>
      </c>
      <c r="E46" s="112">
        <v>9.34</v>
      </c>
      <c r="F46" s="112">
        <v>5.87</v>
      </c>
      <c r="G46" s="112">
        <v>11.11</v>
      </c>
      <c r="H46" s="112">
        <v>6.13</v>
      </c>
      <c r="I46" s="112">
        <v>2.96</v>
      </c>
      <c r="J46" s="112">
        <v>0.7</v>
      </c>
      <c r="K46" s="112">
        <v>255.16</v>
      </c>
      <c r="L46" s="112">
        <v>27.76</v>
      </c>
      <c r="M46" s="112">
        <v>85.34</v>
      </c>
      <c r="N46" s="112">
        <v>261.3</v>
      </c>
      <c r="O46" s="112">
        <v>0</v>
      </c>
      <c r="P46" s="112">
        <v>0.28999999999999998</v>
      </c>
      <c r="Q46" s="112">
        <v>4.6100000000000003</v>
      </c>
    </row>
    <row r="47" spans="1:17" customFormat="1">
      <c r="A47" s="80">
        <v>45475.40625</v>
      </c>
      <c r="B47" s="112">
        <v>9.35</v>
      </c>
      <c r="C47" s="112">
        <v>4.07</v>
      </c>
      <c r="D47" s="112">
        <v>14.07</v>
      </c>
      <c r="E47" s="112">
        <v>8.8000000000000007</v>
      </c>
      <c r="F47" s="112">
        <v>7.13</v>
      </c>
      <c r="G47" s="112">
        <v>13.57</v>
      </c>
      <c r="H47" s="112">
        <v>7.8</v>
      </c>
      <c r="I47" s="112">
        <v>2.99</v>
      </c>
      <c r="J47" s="112">
        <v>0.93</v>
      </c>
      <c r="K47" s="112">
        <v>255.89</v>
      </c>
      <c r="L47" s="112">
        <v>28.2</v>
      </c>
      <c r="M47" s="112">
        <v>83.48</v>
      </c>
      <c r="N47" s="112">
        <v>268.7</v>
      </c>
      <c r="O47" s="112">
        <v>0</v>
      </c>
      <c r="P47" s="112">
        <v>0.28000000000000003</v>
      </c>
      <c r="Q47" s="112">
        <v>4.6100000000000003</v>
      </c>
    </row>
    <row r="48" spans="1:17" customFormat="1">
      <c r="A48" s="80">
        <v>45475.416666666664</v>
      </c>
      <c r="B48" s="112">
        <v>9.34</v>
      </c>
      <c r="C48" s="112">
        <v>4.07</v>
      </c>
      <c r="D48" s="112">
        <v>14.07</v>
      </c>
      <c r="E48" s="112">
        <v>8.07</v>
      </c>
      <c r="F48" s="112">
        <v>6.86</v>
      </c>
      <c r="G48" s="112">
        <v>13.57</v>
      </c>
      <c r="H48" s="112">
        <v>7.8</v>
      </c>
      <c r="I48" s="112">
        <v>2.97</v>
      </c>
      <c r="J48" s="112">
        <v>0.84</v>
      </c>
      <c r="K48" s="112">
        <v>258.77</v>
      </c>
      <c r="L48" s="112">
        <v>28.74</v>
      </c>
      <c r="M48" s="112">
        <v>81.08</v>
      </c>
      <c r="N48" s="112">
        <v>326.7</v>
      </c>
      <c r="O48" s="112">
        <v>0</v>
      </c>
      <c r="P48" s="112">
        <v>0.27</v>
      </c>
      <c r="Q48" s="112">
        <v>4.6100000000000003</v>
      </c>
    </row>
    <row r="49" spans="1:17" customFormat="1">
      <c r="A49" s="80">
        <v>45475.427083333336</v>
      </c>
      <c r="B49" s="112">
        <v>9.3699999999999992</v>
      </c>
      <c r="C49" s="112">
        <v>4.08</v>
      </c>
      <c r="D49" s="112">
        <v>14.1</v>
      </c>
      <c r="E49" s="112">
        <v>5.92</v>
      </c>
      <c r="F49" s="112">
        <v>6.65</v>
      </c>
      <c r="G49" s="112">
        <v>13.57</v>
      </c>
      <c r="H49" s="112">
        <v>7.8</v>
      </c>
      <c r="I49" s="112">
        <v>2.92</v>
      </c>
      <c r="J49" s="112">
        <v>1.03</v>
      </c>
      <c r="K49" s="112">
        <v>264.77</v>
      </c>
      <c r="L49" s="112">
        <v>29.03</v>
      </c>
      <c r="M49" s="112">
        <v>79.39</v>
      </c>
      <c r="N49" s="112">
        <v>318</v>
      </c>
      <c r="O49" s="112">
        <v>0</v>
      </c>
      <c r="P49" s="112">
        <v>0.27</v>
      </c>
      <c r="Q49" s="112">
        <v>4.62</v>
      </c>
    </row>
    <row r="50" spans="1:17" customFormat="1">
      <c r="A50" s="80">
        <v>45475.4375</v>
      </c>
      <c r="B50" s="112">
        <v>9.42</v>
      </c>
      <c r="C50" s="112">
        <v>4.05</v>
      </c>
      <c r="D50" s="112">
        <v>14.13</v>
      </c>
      <c r="E50" s="112">
        <v>7.32</v>
      </c>
      <c r="F50" s="112">
        <v>10.38</v>
      </c>
      <c r="G50" s="112">
        <v>13.71</v>
      </c>
      <c r="H50" s="112">
        <v>7.28</v>
      </c>
      <c r="I50" s="112">
        <v>2.91</v>
      </c>
      <c r="J50" s="112">
        <v>0.69</v>
      </c>
      <c r="K50" s="112">
        <v>257.85000000000002</v>
      </c>
      <c r="L50" s="112">
        <v>29.65</v>
      </c>
      <c r="M50" s="112">
        <v>78.84</v>
      </c>
      <c r="N50" s="112">
        <v>332.3</v>
      </c>
      <c r="O50" s="112">
        <v>0</v>
      </c>
      <c r="P50" s="112">
        <v>0.27</v>
      </c>
      <c r="Q50" s="112">
        <v>4.63</v>
      </c>
    </row>
    <row r="51" spans="1:17" customFormat="1">
      <c r="A51" s="80">
        <v>45475.447916666664</v>
      </c>
      <c r="B51" s="112">
        <v>9.4499999999999993</v>
      </c>
      <c r="C51" s="112">
        <v>4.07</v>
      </c>
      <c r="D51" s="112">
        <v>14.15</v>
      </c>
      <c r="E51" s="112">
        <v>7.11</v>
      </c>
      <c r="F51" s="112">
        <v>8.3000000000000007</v>
      </c>
      <c r="G51" s="112">
        <v>13.91</v>
      </c>
      <c r="H51" s="112">
        <v>5.83</v>
      </c>
      <c r="I51" s="112">
        <v>2.87</v>
      </c>
      <c r="J51" s="112">
        <v>-1.19</v>
      </c>
      <c r="K51" s="112">
        <v>263.25</v>
      </c>
      <c r="L51" s="112">
        <v>29.84</v>
      </c>
      <c r="M51" s="112">
        <v>74.760000000000005</v>
      </c>
      <c r="N51" s="112">
        <v>340.7</v>
      </c>
      <c r="O51" s="112">
        <v>0</v>
      </c>
      <c r="P51" s="112">
        <v>0.27</v>
      </c>
      <c r="Q51" s="112">
        <v>4.6500000000000004</v>
      </c>
    </row>
    <row r="52" spans="1:17" customFormat="1">
      <c r="A52" s="80">
        <v>45475.458333333336</v>
      </c>
      <c r="B52" s="112">
        <v>9.42</v>
      </c>
      <c r="C52" s="112">
        <v>4.08</v>
      </c>
      <c r="D52" s="112">
        <v>14.14</v>
      </c>
      <c r="E52" s="112">
        <v>6.37</v>
      </c>
      <c r="F52" s="112">
        <v>15.81</v>
      </c>
      <c r="G52" s="112">
        <v>13.91</v>
      </c>
      <c r="H52" s="112">
        <v>5.83</v>
      </c>
      <c r="I52" s="112">
        <v>2.73</v>
      </c>
      <c r="J52" s="112">
        <v>1.1000000000000001</v>
      </c>
      <c r="K52" s="112">
        <v>264.39999999999998</v>
      </c>
      <c r="L52" s="112">
        <v>29.96</v>
      </c>
      <c r="M52" s="112">
        <v>75.34</v>
      </c>
      <c r="N52" s="112">
        <v>334.2</v>
      </c>
      <c r="O52" s="112">
        <v>0</v>
      </c>
      <c r="P52" s="112">
        <v>0.26</v>
      </c>
      <c r="Q52" s="112">
        <v>4.63</v>
      </c>
    </row>
    <row r="53" spans="1:17" customFormat="1">
      <c r="A53" s="80">
        <v>45475.46875</v>
      </c>
      <c r="B53" s="112">
        <v>9.41</v>
      </c>
      <c r="C53" s="112">
        <v>4.08</v>
      </c>
      <c r="D53" s="112">
        <v>14.13</v>
      </c>
      <c r="E53" s="112">
        <v>5.66</v>
      </c>
      <c r="F53" s="112">
        <v>16.559999999999999</v>
      </c>
      <c r="G53" s="112">
        <v>13.91</v>
      </c>
      <c r="H53" s="112">
        <v>5.28</v>
      </c>
      <c r="I53" s="112">
        <v>2.73</v>
      </c>
      <c r="J53" s="112">
        <v>1.31</v>
      </c>
      <c r="K53" s="112">
        <v>272.10000000000002</v>
      </c>
      <c r="L53" s="112">
        <v>30.09</v>
      </c>
      <c r="M53" s="112">
        <v>72.78</v>
      </c>
      <c r="N53" s="112">
        <v>328.7</v>
      </c>
      <c r="O53" s="112">
        <v>0</v>
      </c>
      <c r="P53" s="112">
        <v>0.27</v>
      </c>
      <c r="Q53" s="112">
        <v>4.5999999999999996</v>
      </c>
    </row>
    <row r="54" spans="1:17" customFormat="1">
      <c r="A54" s="80">
        <v>45475.479166666664</v>
      </c>
      <c r="B54" s="112">
        <v>9.4</v>
      </c>
      <c r="C54" s="112">
        <v>4.08</v>
      </c>
      <c r="D54" s="112">
        <v>14.12</v>
      </c>
      <c r="E54" s="112">
        <v>5.91</v>
      </c>
      <c r="F54" s="112">
        <v>16.12</v>
      </c>
      <c r="G54" s="151" t="s">
        <v>12</v>
      </c>
      <c r="H54" s="151" t="s">
        <v>12</v>
      </c>
      <c r="I54" s="112">
        <v>2.4</v>
      </c>
      <c r="J54" s="112">
        <v>1.35</v>
      </c>
      <c r="K54" s="112">
        <v>267.36</v>
      </c>
      <c r="L54" s="112">
        <v>29.98</v>
      </c>
      <c r="M54" s="112">
        <v>72.86</v>
      </c>
      <c r="N54" s="112">
        <v>294.89999999999998</v>
      </c>
      <c r="O54" s="112">
        <v>0</v>
      </c>
      <c r="P54" s="112">
        <v>0.26</v>
      </c>
      <c r="Q54" s="112">
        <v>4.62</v>
      </c>
    </row>
    <row r="55" spans="1:17" customFormat="1">
      <c r="A55" s="80">
        <v>45475.489583333336</v>
      </c>
      <c r="B55" s="112">
        <v>9.42</v>
      </c>
      <c r="C55" s="112">
        <v>4.07</v>
      </c>
      <c r="D55" s="112">
        <v>14.13</v>
      </c>
      <c r="E55" s="112">
        <v>5.85</v>
      </c>
      <c r="F55" s="112">
        <v>16.64</v>
      </c>
      <c r="G55" s="151" t="s">
        <v>12</v>
      </c>
      <c r="H55" s="151" t="s">
        <v>12</v>
      </c>
      <c r="I55" s="112">
        <v>2.2200000000000002</v>
      </c>
      <c r="J55" s="112">
        <v>1.26</v>
      </c>
      <c r="K55" s="112">
        <v>264.12</v>
      </c>
      <c r="L55" s="112">
        <v>30.17</v>
      </c>
      <c r="M55" s="112">
        <v>74.2</v>
      </c>
      <c r="N55" s="112">
        <v>392.4</v>
      </c>
      <c r="O55" s="112">
        <v>0</v>
      </c>
      <c r="P55" s="112">
        <v>0.25</v>
      </c>
      <c r="Q55" s="112">
        <v>4.6500000000000004</v>
      </c>
    </row>
    <row r="56" spans="1:17" customFormat="1">
      <c r="A56" s="80">
        <v>45475.5</v>
      </c>
      <c r="B56" s="112">
        <v>9.43</v>
      </c>
      <c r="C56" s="112">
        <v>4.08</v>
      </c>
      <c r="D56" s="112">
        <v>14.14</v>
      </c>
      <c r="E56" s="112">
        <v>5.54</v>
      </c>
      <c r="F56" s="112">
        <v>15.09</v>
      </c>
      <c r="G56" s="151" t="s">
        <v>12</v>
      </c>
      <c r="H56" s="151" t="s">
        <v>12</v>
      </c>
      <c r="I56" s="112">
        <v>2.12</v>
      </c>
      <c r="J56" s="112">
        <v>1.23</v>
      </c>
      <c r="K56" s="112">
        <v>264.8</v>
      </c>
      <c r="L56" s="112">
        <v>31.08</v>
      </c>
      <c r="M56" s="112">
        <v>71.14</v>
      </c>
      <c r="N56" s="112">
        <v>772.6</v>
      </c>
      <c r="O56" s="112">
        <v>0</v>
      </c>
      <c r="P56" s="112">
        <v>0.26</v>
      </c>
      <c r="Q56" s="112">
        <v>4.6500000000000004</v>
      </c>
    </row>
    <row r="57" spans="1:17" customFormat="1">
      <c r="A57" s="80">
        <v>45475.510416666664</v>
      </c>
      <c r="B57" s="112">
        <v>9.43</v>
      </c>
      <c r="C57" s="112">
        <v>4.09</v>
      </c>
      <c r="D57" s="112">
        <v>14.15</v>
      </c>
      <c r="E57" s="112">
        <v>5.81</v>
      </c>
      <c r="F57" s="112">
        <v>17.14</v>
      </c>
      <c r="G57" s="151" t="s">
        <v>12</v>
      </c>
      <c r="H57" s="151" t="s">
        <v>12</v>
      </c>
      <c r="I57" s="112">
        <v>2.04</v>
      </c>
      <c r="J57" s="112">
        <v>1.29</v>
      </c>
      <c r="K57" s="112">
        <v>278.56</v>
      </c>
      <c r="L57" s="112">
        <v>31.22</v>
      </c>
      <c r="M57" s="112">
        <v>70.08</v>
      </c>
      <c r="N57" s="112">
        <v>413</v>
      </c>
      <c r="O57" s="112">
        <v>0</v>
      </c>
      <c r="P57" s="112">
        <v>0.25</v>
      </c>
      <c r="Q57" s="112">
        <v>4.63</v>
      </c>
    </row>
    <row r="58" spans="1:17" customFormat="1">
      <c r="A58" s="80">
        <v>45475.520833333336</v>
      </c>
      <c r="B58" s="112">
        <v>9.43</v>
      </c>
      <c r="C58" s="112">
        <v>4.1100000000000003</v>
      </c>
      <c r="D58" s="112">
        <v>14.16</v>
      </c>
      <c r="E58" s="112">
        <v>5.66</v>
      </c>
      <c r="F58" s="112">
        <v>17.36</v>
      </c>
      <c r="G58" s="151" t="s">
        <v>12</v>
      </c>
      <c r="H58" s="151" t="s">
        <v>12</v>
      </c>
      <c r="I58" s="112">
        <v>1.97</v>
      </c>
      <c r="J58" s="112">
        <v>1.06</v>
      </c>
      <c r="K58" s="112">
        <v>268.70999999999998</v>
      </c>
      <c r="L58" s="112">
        <v>30.81</v>
      </c>
      <c r="M58" s="112">
        <v>69.13</v>
      </c>
      <c r="N58" s="112">
        <v>260.2</v>
      </c>
      <c r="O58" s="112">
        <v>0</v>
      </c>
      <c r="P58" s="112">
        <v>0.27</v>
      </c>
      <c r="Q58" s="112">
        <v>4.6399999999999997</v>
      </c>
    </row>
    <row r="59" spans="1:17" customFormat="1">
      <c r="A59" s="80">
        <v>45475.53125</v>
      </c>
      <c r="B59" s="112">
        <v>9.44</v>
      </c>
      <c r="C59" s="112">
        <v>4.08</v>
      </c>
      <c r="D59" s="112">
        <v>14.15</v>
      </c>
      <c r="E59" s="112">
        <v>5.79</v>
      </c>
      <c r="F59" s="112">
        <v>15.42</v>
      </c>
      <c r="G59" s="151" t="s">
        <v>12</v>
      </c>
      <c r="H59" s="151" t="s">
        <v>12</v>
      </c>
      <c r="I59" s="112">
        <v>1.96</v>
      </c>
      <c r="J59" s="112">
        <v>1.19</v>
      </c>
      <c r="K59" s="112">
        <v>264.88</v>
      </c>
      <c r="L59" s="112">
        <v>30.48</v>
      </c>
      <c r="M59" s="112">
        <v>72.23</v>
      </c>
      <c r="N59" s="112">
        <v>311.3</v>
      </c>
      <c r="O59" s="112">
        <v>0</v>
      </c>
      <c r="P59" s="112">
        <v>0.34</v>
      </c>
      <c r="Q59" s="112">
        <v>4.6399999999999997</v>
      </c>
    </row>
    <row r="60" spans="1:17" customFormat="1">
      <c r="A60" s="80">
        <v>45475.541666666664</v>
      </c>
      <c r="B60" s="112">
        <v>9.43</v>
      </c>
      <c r="C60" s="112">
        <v>4.09</v>
      </c>
      <c r="D60" s="112">
        <v>14.15</v>
      </c>
      <c r="E60" s="112">
        <v>5.42</v>
      </c>
      <c r="F60" s="112">
        <v>17.39</v>
      </c>
      <c r="G60" s="151" t="s">
        <v>12</v>
      </c>
      <c r="H60" s="151" t="s">
        <v>12</v>
      </c>
      <c r="I60" s="112">
        <v>2.0099999999999998</v>
      </c>
      <c r="J60" s="112">
        <v>0.97</v>
      </c>
      <c r="K60" s="112">
        <v>271.13</v>
      </c>
      <c r="L60" s="112">
        <v>30.71</v>
      </c>
      <c r="M60" s="112">
        <v>71.59</v>
      </c>
      <c r="N60" s="112">
        <v>291.39999999999998</v>
      </c>
      <c r="O60" s="112">
        <v>0</v>
      </c>
      <c r="P60" s="112">
        <v>0.32</v>
      </c>
      <c r="Q60" s="112">
        <v>4.6399999999999997</v>
      </c>
    </row>
    <row r="61" spans="1:17" customFormat="1">
      <c r="A61" s="80">
        <v>45475.552083333336</v>
      </c>
      <c r="B61" s="112">
        <v>9.4</v>
      </c>
      <c r="C61" s="112">
        <v>4.12</v>
      </c>
      <c r="D61" s="112">
        <v>14.14</v>
      </c>
      <c r="E61" s="112">
        <v>5.3</v>
      </c>
      <c r="F61" s="112">
        <v>16.75</v>
      </c>
      <c r="G61" s="151" t="s">
        <v>12</v>
      </c>
      <c r="H61" s="151" t="s">
        <v>12</v>
      </c>
      <c r="I61" s="112">
        <v>2.4</v>
      </c>
      <c r="J61" s="112">
        <v>0.89</v>
      </c>
      <c r="K61" s="112">
        <v>256.56</v>
      </c>
      <c r="L61" s="112">
        <v>30.36</v>
      </c>
      <c r="M61" s="112">
        <v>69.430000000000007</v>
      </c>
      <c r="N61" s="112">
        <v>148</v>
      </c>
      <c r="O61" s="112">
        <v>0</v>
      </c>
      <c r="P61" s="112">
        <v>0.31</v>
      </c>
      <c r="Q61" s="112">
        <v>4.6500000000000004</v>
      </c>
    </row>
    <row r="62" spans="1:17" customFormat="1">
      <c r="A62" s="80">
        <v>45475.5625</v>
      </c>
      <c r="B62" s="112">
        <v>9.36</v>
      </c>
      <c r="C62" s="112">
        <v>4.08</v>
      </c>
      <c r="D62" s="112">
        <v>14.09</v>
      </c>
      <c r="E62" s="112">
        <v>5.67</v>
      </c>
      <c r="F62" s="112">
        <v>16.46</v>
      </c>
      <c r="G62" s="151" t="s">
        <v>12</v>
      </c>
      <c r="H62" s="151" t="s">
        <v>12</v>
      </c>
      <c r="I62" s="112">
        <v>2.4</v>
      </c>
      <c r="J62" s="112">
        <v>0.75</v>
      </c>
      <c r="K62" s="112">
        <v>258.33</v>
      </c>
      <c r="L62" s="112">
        <v>30.46</v>
      </c>
      <c r="M62" s="112">
        <v>69.37</v>
      </c>
      <c r="N62" s="112">
        <v>237.2</v>
      </c>
      <c r="O62" s="112">
        <v>0</v>
      </c>
      <c r="P62" s="112">
        <v>0.31</v>
      </c>
      <c r="Q62" s="112">
        <v>4.62</v>
      </c>
    </row>
    <row r="63" spans="1:17" customFormat="1">
      <c r="A63" s="80">
        <v>45475.572916666664</v>
      </c>
      <c r="B63" s="112">
        <v>9.34</v>
      </c>
      <c r="C63" s="112">
        <v>4.05</v>
      </c>
      <c r="D63" s="112">
        <v>14.05</v>
      </c>
      <c r="E63" s="112">
        <v>5.31</v>
      </c>
      <c r="F63" s="112">
        <v>17.100000000000001</v>
      </c>
      <c r="G63" s="112">
        <v>14.58</v>
      </c>
      <c r="H63" s="151" t="s">
        <v>12</v>
      </c>
      <c r="I63" s="112">
        <v>2.4</v>
      </c>
      <c r="J63" s="112">
        <v>0.85</v>
      </c>
      <c r="K63" s="112">
        <v>265.36</v>
      </c>
      <c r="L63" s="112">
        <v>30.66</v>
      </c>
      <c r="M63" s="112">
        <v>68.41</v>
      </c>
      <c r="N63" s="112">
        <v>277.7</v>
      </c>
      <c r="O63" s="112">
        <v>0</v>
      </c>
      <c r="P63" s="112">
        <v>0.28000000000000003</v>
      </c>
      <c r="Q63" s="112">
        <v>4.63</v>
      </c>
    </row>
    <row r="64" spans="1:17" customFormat="1">
      <c r="A64" s="80">
        <v>45475.583333333336</v>
      </c>
      <c r="B64" s="112">
        <v>9.35</v>
      </c>
      <c r="C64" s="112">
        <v>4.0599999999999996</v>
      </c>
      <c r="D64" s="112">
        <v>14.07</v>
      </c>
      <c r="E64" s="112">
        <v>5.64</v>
      </c>
      <c r="F64" s="112">
        <v>21.65</v>
      </c>
      <c r="G64" s="112">
        <v>25.73</v>
      </c>
      <c r="H64" s="151" t="s">
        <v>12</v>
      </c>
      <c r="I64" s="112">
        <v>2.27</v>
      </c>
      <c r="J64" s="112">
        <v>1.24</v>
      </c>
      <c r="K64" s="112">
        <v>263.95999999999998</v>
      </c>
      <c r="L64" s="112">
        <v>30.78</v>
      </c>
      <c r="M64" s="112">
        <v>66.42</v>
      </c>
      <c r="N64" s="112">
        <v>298.3</v>
      </c>
      <c r="O64" s="112">
        <v>0</v>
      </c>
      <c r="P64" s="112">
        <v>0.22</v>
      </c>
      <c r="Q64" s="112">
        <v>4.6500000000000004</v>
      </c>
    </row>
    <row r="65" spans="1:17" customFormat="1">
      <c r="A65" s="80">
        <v>45475.59375</v>
      </c>
      <c r="B65" s="112">
        <v>9.4600000000000009</v>
      </c>
      <c r="C65" s="112">
        <v>4.07</v>
      </c>
      <c r="D65" s="112">
        <v>14.16</v>
      </c>
      <c r="E65" s="112">
        <v>5.87</v>
      </c>
      <c r="F65" s="112">
        <v>20.68</v>
      </c>
      <c r="G65" s="112">
        <v>25.73</v>
      </c>
      <c r="H65" s="151" t="s">
        <v>12</v>
      </c>
      <c r="I65" s="112">
        <v>2.17</v>
      </c>
      <c r="J65" s="112">
        <v>0.99</v>
      </c>
      <c r="K65" s="112">
        <v>282.69</v>
      </c>
      <c r="L65" s="112">
        <v>30.88</v>
      </c>
      <c r="M65" s="112">
        <v>66.400000000000006</v>
      </c>
      <c r="N65" s="112">
        <v>185.6</v>
      </c>
      <c r="O65" s="112">
        <v>0</v>
      </c>
      <c r="P65" s="112">
        <v>0.23</v>
      </c>
      <c r="Q65" s="112">
        <v>4.66</v>
      </c>
    </row>
    <row r="66" spans="1:17" customFormat="1">
      <c r="A66" s="80">
        <v>45475.604166666664</v>
      </c>
      <c r="B66" s="112">
        <v>9.48</v>
      </c>
      <c r="C66" s="112">
        <v>4.08</v>
      </c>
      <c r="D66" s="112">
        <v>14.18</v>
      </c>
      <c r="E66" s="112">
        <v>6.52</v>
      </c>
      <c r="F66" s="112">
        <v>17.25</v>
      </c>
      <c r="G66" s="112">
        <v>25.73</v>
      </c>
      <c r="H66" s="151" t="s">
        <v>12</v>
      </c>
      <c r="I66" s="112">
        <v>2</v>
      </c>
      <c r="J66" s="112">
        <v>1.26</v>
      </c>
      <c r="K66" s="112">
        <v>264.5</v>
      </c>
      <c r="L66" s="112">
        <v>30.37</v>
      </c>
      <c r="M66" s="112">
        <v>67.03</v>
      </c>
      <c r="N66" s="112">
        <v>165.6</v>
      </c>
      <c r="O66" s="112">
        <v>0</v>
      </c>
      <c r="P66" s="112">
        <v>0.22</v>
      </c>
      <c r="Q66" s="112">
        <v>4.66</v>
      </c>
    </row>
    <row r="67" spans="1:17" customFormat="1">
      <c r="A67" s="80">
        <v>45475.614583333336</v>
      </c>
      <c r="B67" s="112">
        <v>9.4700000000000006</v>
      </c>
      <c r="C67" s="112">
        <v>4.07</v>
      </c>
      <c r="D67" s="112">
        <v>14.17</v>
      </c>
      <c r="E67" s="112">
        <v>6.94</v>
      </c>
      <c r="F67" s="112">
        <v>15.36</v>
      </c>
      <c r="G67" s="112">
        <v>26.51</v>
      </c>
      <c r="H67" s="151" t="s">
        <v>12</v>
      </c>
      <c r="I67" s="112">
        <v>2.2400000000000002</v>
      </c>
      <c r="J67" s="112">
        <v>0.96</v>
      </c>
      <c r="K67" s="112">
        <v>264.98</v>
      </c>
      <c r="L67" s="112">
        <v>30.11</v>
      </c>
      <c r="M67" s="112">
        <v>69.69</v>
      </c>
      <c r="N67" s="112">
        <v>113.6</v>
      </c>
      <c r="O67" s="112">
        <v>0</v>
      </c>
      <c r="P67" s="112">
        <v>0.21</v>
      </c>
      <c r="Q67" s="112">
        <v>4.6500000000000004</v>
      </c>
    </row>
    <row r="68" spans="1:17" customFormat="1">
      <c r="A68" s="80">
        <v>45475.625</v>
      </c>
      <c r="B68" s="112">
        <v>9.4499999999999993</v>
      </c>
      <c r="C68" s="112">
        <v>4.08</v>
      </c>
      <c r="D68" s="112">
        <v>14.16</v>
      </c>
      <c r="E68" s="112">
        <v>6.61</v>
      </c>
      <c r="F68" s="112">
        <v>9.1</v>
      </c>
      <c r="G68" s="112">
        <v>27.11</v>
      </c>
      <c r="H68" s="151" t="s">
        <v>12</v>
      </c>
      <c r="I68" s="112">
        <v>2.0699999999999998</v>
      </c>
      <c r="J68" s="112">
        <v>0.61</v>
      </c>
      <c r="K68" s="112">
        <v>254.15</v>
      </c>
      <c r="L68" s="112">
        <v>30.15</v>
      </c>
      <c r="M68" s="112">
        <v>70.3</v>
      </c>
      <c r="N68" s="112">
        <v>118.9</v>
      </c>
      <c r="O68" s="112">
        <v>0</v>
      </c>
      <c r="P68" s="112">
        <v>0.22</v>
      </c>
      <c r="Q68" s="112">
        <v>4.6399999999999997</v>
      </c>
    </row>
    <row r="69" spans="1:17" customFormat="1">
      <c r="A69" s="80">
        <v>45475.635416666664</v>
      </c>
      <c r="B69" s="112">
        <v>9.43</v>
      </c>
      <c r="C69" s="112">
        <v>4.0999999999999996</v>
      </c>
      <c r="D69" s="112">
        <v>14.15</v>
      </c>
      <c r="E69" s="112">
        <v>6.71</v>
      </c>
      <c r="F69" s="112">
        <v>7.28</v>
      </c>
      <c r="G69" s="112">
        <v>27.11</v>
      </c>
      <c r="H69" s="151" t="s">
        <v>12</v>
      </c>
      <c r="I69" s="112">
        <v>2.12</v>
      </c>
      <c r="J69" s="112">
        <v>1.1000000000000001</v>
      </c>
      <c r="K69" s="112">
        <v>269.57</v>
      </c>
      <c r="L69" s="112">
        <v>30.1</v>
      </c>
      <c r="M69" s="112">
        <v>71.05</v>
      </c>
      <c r="N69" s="112">
        <v>130.6</v>
      </c>
      <c r="O69" s="112">
        <v>0</v>
      </c>
      <c r="P69" s="112">
        <v>0.24</v>
      </c>
      <c r="Q69" s="112">
        <v>4.62</v>
      </c>
    </row>
    <row r="70" spans="1:17" customFormat="1">
      <c r="A70" s="80">
        <v>45475.645833333336</v>
      </c>
      <c r="B70" s="112">
        <v>9.42</v>
      </c>
      <c r="C70" s="112">
        <v>4.08</v>
      </c>
      <c r="D70" s="112">
        <v>14.13</v>
      </c>
      <c r="E70" s="112">
        <v>7.24</v>
      </c>
      <c r="F70" s="112">
        <v>6.88</v>
      </c>
      <c r="G70" s="112">
        <v>27.11</v>
      </c>
      <c r="H70" s="151" t="s">
        <v>12</v>
      </c>
      <c r="I70" s="112">
        <v>2.19</v>
      </c>
      <c r="J70" s="112">
        <v>0.59</v>
      </c>
      <c r="K70" s="112">
        <v>260.18</v>
      </c>
      <c r="L70" s="112">
        <v>30.06</v>
      </c>
      <c r="M70" s="112">
        <v>73.47</v>
      </c>
      <c r="N70" s="112">
        <v>80.5</v>
      </c>
      <c r="O70" s="112">
        <v>0</v>
      </c>
      <c r="P70" s="112">
        <v>0.23</v>
      </c>
      <c r="Q70" s="112">
        <v>4.6500000000000004</v>
      </c>
    </row>
    <row r="71" spans="1:17" customFormat="1">
      <c r="A71" s="80">
        <v>45475.65625</v>
      </c>
      <c r="B71" s="112">
        <v>9.41</v>
      </c>
      <c r="C71" s="112">
        <v>4.0599999999999996</v>
      </c>
      <c r="D71" s="112">
        <v>14.12</v>
      </c>
      <c r="E71" s="112">
        <v>7.76</v>
      </c>
      <c r="F71" s="112">
        <v>5.0599999999999996</v>
      </c>
      <c r="G71" s="112">
        <v>26.2</v>
      </c>
      <c r="H71" s="112">
        <v>0.21</v>
      </c>
      <c r="I71" s="112">
        <v>2.3199999999999998</v>
      </c>
      <c r="J71" s="112">
        <v>0.79</v>
      </c>
      <c r="K71" s="112">
        <v>258.26</v>
      </c>
      <c r="L71" s="112">
        <v>30.03</v>
      </c>
      <c r="M71" s="112">
        <v>72.58</v>
      </c>
      <c r="N71" s="112">
        <v>123.1</v>
      </c>
      <c r="O71" s="112">
        <v>0</v>
      </c>
      <c r="P71" s="112">
        <v>0.24</v>
      </c>
      <c r="Q71" s="112">
        <v>4.63</v>
      </c>
    </row>
    <row r="72" spans="1:17" customFormat="1">
      <c r="A72" s="80">
        <v>45475.666666666664</v>
      </c>
      <c r="B72" s="112">
        <v>9.4</v>
      </c>
      <c r="C72" s="112">
        <v>4.05</v>
      </c>
      <c r="D72" s="112">
        <v>14.1</v>
      </c>
      <c r="E72" s="112">
        <v>7.86</v>
      </c>
      <c r="F72" s="112">
        <v>7.02</v>
      </c>
      <c r="G72" s="112">
        <v>25.51</v>
      </c>
      <c r="H72" s="112">
        <v>0.28000000000000003</v>
      </c>
      <c r="I72" s="112">
        <v>2.37</v>
      </c>
      <c r="J72" s="112">
        <v>0.51</v>
      </c>
      <c r="K72" s="112">
        <v>265.97000000000003</v>
      </c>
      <c r="L72" s="112">
        <v>30.32</v>
      </c>
      <c r="M72" s="112">
        <v>73.989999999999995</v>
      </c>
      <c r="N72" s="112">
        <v>131.30000000000001</v>
      </c>
      <c r="O72" s="112">
        <v>0</v>
      </c>
      <c r="P72" s="112">
        <v>0.23</v>
      </c>
      <c r="Q72" s="112">
        <v>4.66</v>
      </c>
    </row>
    <row r="73" spans="1:17" customFormat="1">
      <c r="A73" s="80">
        <v>45475.677083333336</v>
      </c>
      <c r="B73" s="112">
        <v>9.39</v>
      </c>
      <c r="C73" s="112">
        <v>4.0599999999999996</v>
      </c>
      <c r="D73" s="112">
        <v>14.1</v>
      </c>
      <c r="E73" s="112">
        <v>7.99</v>
      </c>
      <c r="F73" s="112">
        <v>5.58</v>
      </c>
      <c r="G73" s="112">
        <v>25.51</v>
      </c>
      <c r="H73" s="112">
        <v>0.28000000000000003</v>
      </c>
      <c r="I73" s="112">
        <v>2.57</v>
      </c>
      <c r="J73" s="112">
        <v>0.48</v>
      </c>
      <c r="K73" s="112">
        <v>251.02</v>
      </c>
      <c r="L73" s="112">
        <v>30.16</v>
      </c>
      <c r="M73" s="112">
        <v>75.819999999999993</v>
      </c>
      <c r="N73" s="112">
        <v>126.6</v>
      </c>
      <c r="O73" s="112">
        <v>0</v>
      </c>
      <c r="P73" s="112">
        <v>0.25</v>
      </c>
      <c r="Q73" s="112">
        <v>4.66</v>
      </c>
    </row>
    <row r="74" spans="1:17" customFormat="1">
      <c r="A74" s="80">
        <v>45475.6875</v>
      </c>
      <c r="B74" s="112">
        <v>9.39</v>
      </c>
      <c r="C74" s="112">
        <v>4.09</v>
      </c>
      <c r="D74" s="112">
        <v>14.11</v>
      </c>
      <c r="E74" s="112">
        <v>8.26</v>
      </c>
      <c r="F74" s="112">
        <v>5.85</v>
      </c>
      <c r="G74" s="112">
        <v>25.51</v>
      </c>
      <c r="H74" s="112">
        <v>0.28000000000000003</v>
      </c>
      <c r="I74" s="112">
        <v>2.4700000000000002</v>
      </c>
      <c r="J74" s="112">
        <v>0.59</v>
      </c>
      <c r="K74" s="112">
        <v>259.31</v>
      </c>
      <c r="L74" s="112">
        <v>30.22</v>
      </c>
      <c r="M74" s="112">
        <v>74.77</v>
      </c>
      <c r="N74" s="112">
        <v>86.5</v>
      </c>
      <c r="O74" s="112">
        <v>0</v>
      </c>
      <c r="P74" s="112">
        <v>0.23</v>
      </c>
      <c r="Q74" s="112">
        <v>4.6399999999999997</v>
      </c>
    </row>
    <row r="75" spans="1:17" customFormat="1">
      <c r="A75" s="80">
        <v>45475.697916666664</v>
      </c>
      <c r="B75" s="112">
        <v>9.39</v>
      </c>
      <c r="C75" s="112">
        <v>4.05</v>
      </c>
      <c r="D75" s="112">
        <v>14.1</v>
      </c>
      <c r="E75" s="112">
        <v>8.7899999999999991</v>
      </c>
      <c r="F75" s="112">
        <v>5.31</v>
      </c>
      <c r="G75" s="112">
        <v>24.09</v>
      </c>
      <c r="H75" s="112">
        <v>3.11</v>
      </c>
      <c r="I75" s="112">
        <v>2.5299999999999998</v>
      </c>
      <c r="J75" s="112">
        <v>0.72</v>
      </c>
      <c r="K75" s="112">
        <v>266.31</v>
      </c>
      <c r="L75" s="112">
        <v>29.72</v>
      </c>
      <c r="M75" s="112">
        <v>74.989999999999995</v>
      </c>
      <c r="N75" s="112">
        <v>51.2</v>
      </c>
      <c r="O75" s="112">
        <v>0</v>
      </c>
      <c r="P75" s="112">
        <v>0.24</v>
      </c>
      <c r="Q75" s="112">
        <v>4.63</v>
      </c>
    </row>
    <row r="76" spans="1:17" customFormat="1">
      <c r="A76" s="80">
        <v>45475.708333333336</v>
      </c>
      <c r="B76" s="112">
        <v>9.39</v>
      </c>
      <c r="C76" s="112">
        <v>4.09</v>
      </c>
      <c r="D76" s="112">
        <v>14.11</v>
      </c>
      <c r="E76" s="112">
        <v>8.5299999999999994</v>
      </c>
      <c r="F76" s="112">
        <v>6.27</v>
      </c>
      <c r="G76" s="112">
        <v>23.01</v>
      </c>
      <c r="H76" s="112">
        <v>4.04</v>
      </c>
      <c r="I76" s="112">
        <v>2.5499999999999998</v>
      </c>
      <c r="J76" s="112">
        <v>0.56000000000000005</v>
      </c>
      <c r="K76" s="112">
        <v>260.43</v>
      </c>
      <c r="L76" s="112">
        <v>29.51</v>
      </c>
      <c r="M76" s="112">
        <v>75.400000000000006</v>
      </c>
      <c r="N76" s="112">
        <v>36</v>
      </c>
      <c r="O76" s="112">
        <v>0</v>
      </c>
      <c r="P76" s="112">
        <v>0.24</v>
      </c>
      <c r="Q76" s="112">
        <v>4.6399999999999997</v>
      </c>
    </row>
    <row r="77" spans="1:17" customFormat="1">
      <c r="A77" s="80">
        <v>45475.71875</v>
      </c>
      <c r="B77" s="112">
        <v>9.3800000000000008</v>
      </c>
      <c r="C77" s="112">
        <v>4.0999999999999996</v>
      </c>
      <c r="D77" s="112">
        <v>14.12</v>
      </c>
      <c r="E77" s="112">
        <v>8.5399999999999991</v>
      </c>
      <c r="F77" s="112">
        <v>5.78</v>
      </c>
      <c r="G77" s="112">
        <v>23.01</v>
      </c>
      <c r="H77" s="112">
        <v>4.04</v>
      </c>
      <c r="I77" s="112">
        <v>2.46</v>
      </c>
      <c r="J77" s="112">
        <v>0.74</v>
      </c>
      <c r="K77" s="112">
        <v>279.49</v>
      </c>
      <c r="L77" s="112">
        <v>28.95</v>
      </c>
      <c r="M77" s="112">
        <v>79</v>
      </c>
      <c r="N77" s="112">
        <v>36</v>
      </c>
      <c r="O77" s="112">
        <v>0</v>
      </c>
      <c r="P77" s="112">
        <v>0.24</v>
      </c>
      <c r="Q77" s="112">
        <v>4.6399999999999997</v>
      </c>
    </row>
    <row r="78" spans="1:17" customFormat="1">
      <c r="A78" s="80">
        <v>45475.729166666664</v>
      </c>
      <c r="B78" s="112">
        <v>9.39</v>
      </c>
      <c r="C78" s="112">
        <v>4.07</v>
      </c>
      <c r="D78" s="112">
        <v>14.11</v>
      </c>
      <c r="E78" s="112">
        <v>8.69</v>
      </c>
      <c r="F78" s="112">
        <v>3.66</v>
      </c>
      <c r="G78" s="112">
        <v>23.01</v>
      </c>
      <c r="H78" s="112">
        <v>4.04</v>
      </c>
      <c r="I78" s="112">
        <v>2.5499999999999998</v>
      </c>
      <c r="J78" s="112">
        <v>0.56999999999999995</v>
      </c>
      <c r="K78" s="112">
        <v>264.39</v>
      </c>
      <c r="L78" s="112">
        <v>27.45</v>
      </c>
      <c r="M78" s="112">
        <v>89.17</v>
      </c>
      <c r="N78" s="112">
        <v>20.399999999999999</v>
      </c>
      <c r="O78" s="112">
        <v>0.4</v>
      </c>
      <c r="P78" s="112">
        <v>0.26</v>
      </c>
      <c r="Q78" s="112">
        <v>4.6500000000000004</v>
      </c>
    </row>
    <row r="79" spans="1:17" customFormat="1">
      <c r="A79" s="80">
        <v>45475.739583333336</v>
      </c>
      <c r="B79" s="112">
        <v>9.39</v>
      </c>
      <c r="C79" s="112">
        <v>4.0999999999999996</v>
      </c>
      <c r="D79" s="112">
        <v>14.12</v>
      </c>
      <c r="E79" s="112">
        <v>8.67</v>
      </c>
      <c r="F79" s="112">
        <v>4.63</v>
      </c>
      <c r="G79" s="112">
        <v>23.01</v>
      </c>
      <c r="H79" s="112">
        <v>4.03</v>
      </c>
      <c r="I79" s="112">
        <v>2.6</v>
      </c>
      <c r="J79" s="112">
        <v>0.46</v>
      </c>
      <c r="K79" s="112">
        <v>257.7</v>
      </c>
      <c r="L79" s="112">
        <v>26.83</v>
      </c>
      <c r="M79" s="112">
        <v>91.8</v>
      </c>
      <c r="N79" s="112">
        <v>14.1</v>
      </c>
      <c r="O79" s="112">
        <v>0.2</v>
      </c>
      <c r="P79" s="112">
        <v>0.27</v>
      </c>
      <c r="Q79" s="112">
        <v>4.66</v>
      </c>
    </row>
    <row r="80" spans="1:17" customFormat="1">
      <c r="A80" s="80">
        <v>45475.75</v>
      </c>
      <c r="B80" s="112">
        <v>9.3800000000000008</v>
      </c>
      <c r="C80" s="112">
        <v>4.0999999999999996</v>
      </c>
      <c r="D80" s="112">
        <v>14.12</v>
      </c>
      <c r="E80" s="112">
        <v>9.1999999999999993</v>
      </c>
      <c r="F80" s="112">
        <v>3.29</v>
      </c>
      <c r="G80" s="112">
        <v>23.01</v>
      </c>
      <c r="H80" s="112">
        <v>4.0199999999999996</v>
      </c>
      <c r="I80" s="112">
        <v>2.69</v>
      </c>
      <c r="J80" s="112">
        <v>0.37</v>
      </c>
      <c r="K80" s="112">
        <v>305.42</v>
      </c>
      <c r="L80" s="112">
        <v>26.82</v>
      </c>
      <c r="M80" s="112">
        <v>91.92</v>
      </c>
      <c r="N80" s="112">
        <v>14.8</v>
      </c>
      <c r="O80" s="112">
        <v>0.2</v>
      </c>
      <c r="P80" s="112">
        <v>0.28999999999999998</v>
      </c>
      <c r="Q80" s="112">
        <v>4.6399999999999997</v>
      </c>
    </row>
    <row r="81" spans="1:17" customFormat="1">
      <c r="A81" s="80">
        <v>45475.760416666664</v>
      </c>
      <c r="B81" s="112">
        <v>9.3699999999999992</v>
      </c>
      <c r="C81" s="112">
        <v>4.08</v>
      </c>
      <c r="D81" s="112">
        <v>14.1</v>
      </c>
      <c r="E81" s="112">
        <v>7.12</v>
      </c>
      <c r="F81" s="112">
        <v>2.48</v>
      </c>
      <c r="G81" s="112">
        <v>23.01</v>
      </c>
      <c r="H81" s="112">
        <v>4.0199999999999996</v>
      </c>
      <c r="I81" s="112">
        <v>2.84</v>
      </c>
      <c r="J81" s="112">
        <v>0.31</v>
      </c>
      <c r="K81" s="112">
        <v>258.63</v>
      </c>
      <c r="L81" s="112">
        <v>26.62</v>
      </c>
      <c r="M81" s="112">
        <v>94.73</v>
      </c>
      <c r="N81" s="112">
        <v>14.7</v>
      </c>
      <c r="O81" s="112">
        <v>0</v>
      </c>
      <c r="P81" s="112">
        <v>0.31</v>
      </c>
      <c r="Q81" s="112">
        <v>4.6399999999999997</v>
      </c>
    </row>
    <row r="82" spans="1:17" customFormat="1">
      <c r="A82" s="80">
        <v>45475.770833333336</v>
      </c>
      <c r="B82" s="112">
        <v>9.3800000000000008</v>
      </c>
      <c r="C82" s="112">
        <v>4.0999999999999996</v>
      </c>
      <c r="D82" s="112">
        <v>14.12</v>
      </c>
      <c r="E82" s="112">
        <v>7.96</v>
      </c>
      <c r="F82" s="112">
        <v>3.98</v>
      </c>
      <c r="G82" s="112">
        <v>23.01</v>
      </c>
      <c r="H82" s="112">
        <v>4.0199999999999996</v>
      </c>
      <c r="I82" s="112">
        <v>2.99</v>
      </c>
      <c r="J82" s="112">
        <v>0.4</v>
      </c>
      <c r="K82" s="112">
        <v>266.86</v>
      </c>
      <c r="L82" s="112">
        <v>26.57</v>
      </c>
      <c r="M82" s="112">
        <v>95.54</v>
      </c>
      <c r="N82" s="112">
        <v>7.7</v>
      </c>
      <c r="O82" s="112">
        <v>0</v>
      </c>
      <c r="P82" s="112">
        <v>0.34</v>
      </c>
      <c r="Q82" s="112">
        <v>4.6500000000000004</v>
      </c>
    </row>
    <row r="83" spans="1:17" customFormat="1">
      <c r="A83" s="80">
        <v>45475.78125</v>
      </c>
      <c r="B83" s="112">
        <v>9.3699999999999992</v>
      </c>
      <c r="C83" s="112">
        <v>4.09</v>
      </c>
      <c r="D83" s="112">
        <v>14.1</v>
      </c>
      <c r="E83" s="112">
        <v>7.99</v>
      </c>
      <c r="F83" s="112">
        <v>4.01</v>
      </c>
      <c r="G83" s="112">
        <v>22.19</v>
      </c>
      <c r="H83" s="112">
        <v>3.44</v>
      </c>
      <c r="I83" s="112">
        <v>3.16</v>
      </c>
      <c r="J83" s="112">
        <v>0.31</v>
      </c>
      <c r="K83" s="112">
        <v>237.86</v>
      </c>
      <c r="L83" s="112">
        <v>26.62</v>
      </c>
      <c r="M83" s="112">
        <v>95.27</v>
      </c>
      <c r="N83" s="112">
        <v>3.3</v>
      </c>
      <c r="O83" s="112">
        <v>0</v>
      </c>
      <c r="P83" s="112">
        <v>0.44</v>
      </c>
      <c r="Q83" s="112">
        <v>4.62</v>
      </c>
    </row>
    <row r="84" spans="1:17" customFormat="1">
      <c r="A84" s="80">
        <v>45475.791666666664</v>
      </c>
      <c r="B84" s="112">
        <v>9.3699999999999992</v>
      </c>
      <c r="C84" s="112">
        <v>4.09</v>
      </c>
      <c r="D84" s="112">
        <v>14.11</v>
      </c>
      <c r="E84" s="112">
        <v>8.09</v>
      </c>
      <c r="F84" s="112">
        <v>5.07</v>
      </c>
      <c r="G84" s="112">
        <v>21.54</v>
      </c>
      <c r="H84" s="112">
        <v>3.07</v>
      </c>
      <c r="I84" s="112">
        <v>3.35</v>
      </c>
      <c r="J84" s="112">
        <v>0.22</v>
      </c>
      <c r="K84" s="112">
        <v>249.66</v>
      </c>
      <c r="L84" s="112">
        <v>26.58</v>
      </c>
      <c r="M84" s="112">
        <v>95.4</v>
      </c>
      <c r="N84" s="112">
        <v>2.5</v>
      </c>
      <c r="O84" s="112">
        <v>0</v>
      </c>
      <c r="P84" s="112">
        <v>0.44</v>
      </c>
      <c r="Q84" s="112">
        <v>4.62</v>
      </c>
    </row>
    <row r="85" spans="1:17" customFormat="1">
      <c r="A85" s="80">
        <v>45475.802083333336</v>
      </c>
      <c r="B85" s="112">
        <v>9.33</v>
      </c>
      <c r="C85" s="112">
        <v>4.09</v>
      </c>
      <c r="D85" s="112">
        <v>14.06</v>
      </c>
      <c r="E85" s="112">
        <v>7.4</v>
      </c>
      <c r="F85" s="112">
        <v>5.3</v>
      </c>
      <c r="G85" s="112">
        <v>21.54</v>
      </c>
      <c r="H85" s="112">
        <v>3.07</v>
      </c>
      <c r="I85" s="112">
        <v>3.85</v>
      </c>
      <c r="J85" s="112">
        <v>0.13</v>
      </c>
      <c r="K85" s="112">
        <v>182.71</v>
      </c>
      <c r="L85" s="112">
        <v>26.8</v>
      </c>
      <c r="M85" s="112">
        <v>95.2</v>
      </c>
      <c r="N85" s="112">
        <v>2.2999999999999998</v>
      </c>
      <c r="O85" s="112">
        <v>0</v>
      </c>
      <c r="P85" s="112">
        <v>0.43</v>
      </c>
      <c r="Q85" s="112">
        <v>4.6399999999999997</v>
      </c>
    </row>
    <row r="86" spans="1:17" customFormat="1">
      <c r="A86" s="80">
        <v>45475.8125</v>
      </c>
      <c r="B86" s="112">
        <v>9.2799999999999994</v>
      </c>
      <c r="C86" s="112">
        <v>4.08</v>
      </c>
      <c r="D86" s="112">
        <v>14.02</v>
      </c>
      <c r="E86" s="112">
        <v>7.47</v>
      </c>
      <c r="F86" s="112">
        <v>5.15</v>
      </c>
      <c r="G86" s="112">
        <v>21.54</v>
      </c>
      <c r="H86" s="112">
        <v>3.07</v>
      </c>
      <c r="I86" s="112">
        <v>4.01</v>
      </c>
      <c r="J86" s="112">
        <v>0.24</v>
      </c>
      <c r="K86" s="112">
        <v>177.68</v>
      </c>
      <c r="L86" s="112">
        <v>26.69</v>
      </c>
      <c r="M86" s="112">
        <v>96.18</v>
      </c>
      <c r="N86" s="112">
        <v>2.2999999999999998</v>
      </c>
      <c r="O86" s="112">
        <v>0</v>
      </c>
      <c r="P86" s="112">
        <v>0.46</v>
      </c>
      <c r="Q86" s="112">
        <v>4.6399999999999997</v>
      </c>
    </row>
    <row r="87" spans="1:17" customFormat="1">
      <c r="A87" s="80">
        <v>45475.822916666664</v>
      </c>
      <c r="B87" s="112">
        <v>9.25</v>
      </c>
      <c r="C87" s="112">
        <v>4.0999999999999996</v>
      </c>
      <c r="D87" s="112">
        <v>14.01</v>
      </c>
      <c r="E87" s="112">
        <v>6.85</v>
      </c>
      <c r="F87" s="112">
        <v>4.8899999999999997</v>
      </c>
      <c r="G87" s="112">
        <v>19.93</v>
      </c>
      <c r="H87" s="112">
        <v>4.04</v>
      </c>
      <c r="I87" s="112">
        <v>4.17</v>
      </c>
      <c r="J87" s="112">
        <v>0.15</v>
      </c>
      <c r="K87" s="112">
        <v>174.95</v>
      </c>
      <c r="L87" s="112">
        <v>26.77</v>
      </c>
      <c r="M87" s="112">
        <v>97.74</v>
      </c>
      <c r="N87" s="112">
        <v>2.2000000000000002</v>
      </c>
      <c r="O87" s="112">
        <v>0</v>
      </c>
      <c r="P87" s="112">
        <v>0.48</v>
      </c>
      <c r="Q87" s="112">
        <v>4.63</v>
      </c>
    </row>
    <row r="88" spans="1:17" customFormat="1">
      <c r="A88" s="80">
        <v>45475.833333333336</v>
      </c>
      <c r="B88" s="112">
        <v>9.25</v>
      </c>
      <c r="C88" s="112">
        <v>4.0999999999999996</v>
      </c>
      <c r="D88" s="112">
        <v>14.01</v>
      </c>
      <c r="E88" s="112">
        <v>7.08</v>
      </c>
      <c r="F88" s="112">
        <v>4.92</v>
      </c>
      <c r="G88" s="112">
        <v>18.71</v>
      </c>
      <c r="H88" s="112">
        <v>4.3499999999999996</v>
      </c>
      <c r="I88" s="112">
        <v>4.38</v>
      </c>
      <c r="J88" s="112">
        <v>0.18</v>
      </c>
      <c r="K88" s="112">
        <v>166.57</v>
      </c>
      <c r="L88" s="112">
        <v>26.69</v>
      </c>
      <c r="M88" s="112">
        <v>98.54</v>
      </c>
      <c r="N88" s="112">
        <v>2.2999999999999998</v>
      </c>
      <c r="O88" s="112">
        <v>0</v>
      </c>
      <c r="P88" s="112">
        <v>0.49</v>
      </c>
      <c r="Q88" s="112">
        <v>4.66</v>
      </c>
    </row>
    <row r="89" spans="1:17" customFormat="1">
      <c r="A89" s="80">
        <v>45475.84375</v>
      </c>
      <c r="B89" s="112">
        <v>9.25</v>
      </c>
      <c r="C89" s="112">
        <v>4.0599999999999996</v>
      </c>
      <c r="D89" s="112">
        <v>13.99</v>
      </c>
      <c r="E89" s="112">
        <v>7.02</v>
      </c>
      <c r="F89" s="112">
        <v>4.84</v>
      </c>
      <c r="G89" s="112">
        <v>18.71</v>
      </c>
      <c r="H89" s="112">
        <v>4.3499999999999996</v>
      </c>
      <c r="I89" s="112">
        <v>4.71</v>
      </c>
      <c r="J89" s="112">
        <v>0.19</v>
      </c>
      <c r="K89" s="112">
        <v>173.49</v>
      </c>
      <c r="L89" s="112">
        <v>26.84</v>
      </c>
      <c r="M89" s="112">
        <v>97.56</v>
      </c>
      <c r="N89" s="112">
        <v>2.4</v>
      </c>
      <c r="O89" s="112">
        <v>0</v>
      </c>
      <c r="P89" s="112">
        <v>0.49</v>
      </c>
      <c r="Q89" s="112">
        <v>4.6500000000000004</v>
      </c>
    </row>
    <row r="90" spans="1:17" customFormat="1">
      <c r="A90" s="80">
        <v>45475.854166666664</v>
      </c>
      <c r="B90" s="112">
        <v>9.25</v>
      </c>
      <c r="C90" s="112">
        <v>4.07</v>
      </c>
      <c r="D90" s="112">
        <v>14</v>
      </c>
      <c r="E90" s="112">
        <v>6.91</v>
      </c>
      <c r="F90" s="112">
        <v>4.76</v>
      </c>
      <c r="G90" s="112">
        <v>18.71</v>
      </c>
      <c r="H90" s="112">
        <v>4.3499999999999996</v>
      </c>
      <c r="I90" s="112">
        <v>4.87</v>
      </c>
      <c r="J90" s="112">
        <v>0.15</v>
      </c>
      <c r="K90" s="112">
        <v>201.75</v>
      </c>
      <c r="L90" s="112">
        <v>26.62</v>
      </c>
      <c r="M90" s="112">
        <v>97.9</v>
      </c>
      <c r="N90" s="112">
        <v>2.4</v>
      </c>
      <c r="O90" s="112">
        <v>0</v>
      </c>
      <c r="P90" s="112">
        <v>0.52</v>
      </c>
      <c r="Q90" s="112">
        <v>4.6399999999999997</v>
      </c>
    </row>
    <row r="91" spans="1:17" customFormat="1">
      <c r="A91" s="80">
        <v>45475.864583333336</v>
      </c>
      <c r="B91" s="112">
        <v>9.26</v>
      </c>
      <c r="C91" s="112">
        <v>4.0599999999999996</v>
      </c>
      <c r="D91" s="112">
        <v>14</v>
      </c>
      <c r="E91" s="112">
        <v>6.76</v>
      </c>
      <c r="F91" s="112">
        <v>5.47</v>
      </c>
      <c r="G91" s="112">
        <v>20.45</v>
      </c>
      <c r="H91" s="112">
        <v>4.7699999999999996</v>
      </c>
      <c r="I91" s="112">
        <v>4.96</v>
      </c>
      <c r="J91" s="112">
        <v>0.15</v>
      </c>
      <c r="K91" s="112">
        <v>207.89</v>
      </c>
      <c r="L91" s="112">
        <v>26.6</v>
      </c>
      <c r="M91" s="112">
        <v>98.5</v>
      </c>
      <c r="N91" s="112">
        <v>2.2000000000000002</v>
      </c>
      <c r="O91" s="112">
        <v>0</v>
      </c>
      <c r="P91" s="112">
        <v>0.53</v>
      </c>
      <c r="Q91" s="112">
        <v>4.66</v>
      </c>
    </row>
    <row r="92" spans="1:17" customFormat="1">
      <c r="A92" s="80">
        <v>45475.875</v>
      </c>
      <c r="B92" s="112">
        <v>9.25</v>
      </c>
      <c r="C92" s="112">
        <v>4.08</v>
      </c>
      <c r="D92" s="112">
        <v>14</v>
      </c>
      <c r="E92" s="112">
        <v>6.6</v>
      </c>
      <c r="F92" s="112">
        <v>5.32</v>
      </c>
      <c r="G92" s="112">
        <v>21.78</v>
      </c>
      <c r="H92" s="112">
        <v>4.91</v>
      </c>
      <c r="I92" s="112">
        <v>5.04</v>
      </c>
      <c r="J92" s="112">
        <v>0.2</v>
      </c>
      <c r="K92" s="112">
        <v>238.72</v>
      </c>
      <c r="L92" s="112">
        <v>26.57</v>
      </c>
      <c r="M92" s="112">
        <v>98.33</v>
      </c>
      <c r="N92" s="112">
        <v>2.2000000000000002</v>
      </c>
      <c r="O92" s="112">
        <v>0</v>
      </c>
      <c r="P92" s="112">
        <v>0.53</v>
      </c>
      <c r="Q92" s="112">
        <v>4.6500000000000004</v>
      </c>
    </row>
    <row r="93" spans="1:17" customFormat="1">
      <c r="A93" s="80">
        <v>45475.885416666664</v>
      </c>
      <c r="B93" s="112">
        <v>9.26</v>
      </c>
      <c r="C93" s="112">
        <v>4.07</v>
      </c>
      <c r="D93" s="112">
        <v>14</v>
      </c>
      <c r="E93" s="112">
        <v>6.63</v>
      </c>
      <c r="F93" s="112">
        <v>5.78</v>
      </c>
      <c r="G93" s="112">
        <v>21.78</v>
      </c>
      <c r="H93" s="112">
        <v>4.91</v>
      </c>
      <c r="I93" s="112">
        <v>5.17</v>
      </c>
      <c r="J93" s="112">
        <v>0.3</v>
      </c>
      <c r="K93" s="112">
        <v>249.27</v>
      </c>
      <c r="L93" s="112">
        <v>26.65</v>
      </c>
      <c r="M93" s="112">
        <v>94.61</v>
      </c>
      <c r="N93" s="112">
        <v>2.8</v>
      </c>
      <c r="O93" s="112">
        <v>0</v>
      </c>
      <c r="P93" s="112">
        <v>0.48</v>
      </c>
      <c r="Q93" s="112">
        <v>4.6399999999999997</v>
      </c>
    </row>
    <row r="94" spans="1:17" customFormat="1">
      <c r="A94" s="80">
        <v>45475.895833333336</v>
      </c>
      <c r="B94" s="112">
        <v>9.25</v>
      </c>
      <c r="C94" s="112">
        <v>4.0599999999999996</v>
      </c>
      <c r="D94" s="112">
        <v>13.99</v>
      </c>
      <c r="E94" s="112">
        <v>6.36</v>
      </c>
      <c r="F94" s="112">
        <v>7.17</v>
      </c>
      <c r="G94" s="112">
        <v>21.78</v>
      </c>
      <c r="H94" s="112">
        <v>4.91</v>
      </c>
      <c r="I94" s="112">
        <v>5.53</v>
      </c>
      <c r="J94" s="112">
        <v>0.36</v>
      </c>
      <c r="K94" s="112">
        <v>246.03</v>
      </c>
      <c r="L94" s="112">
        <v>26.7</v>
      </c>
      <c r="M94" s="112">
        <v>95.37</v>
      </c>
      <c r="N94" s="112">
        <v>2.8</v>
      </c>
      <c r="O94" s="112">
        <v>0</v>
      </c>
      <c r="P94" s="112">
        <v>0.46</v>
      </c>
      <c r="Q94" s="112">
        <v>4.6500000000000004</v>
      </c>
    </row>
    <row r="95" spans="1:17" customFormat="1">
      <c r="A95" s="80">
        <v>45475.90625</v>
      </c>
      <c r="B95" s="112">
        <v>9.27</v>
      </c>
      <c r="C95" s="112">
        <v>4.04</v>
      </c>
      <c r="D95" s="112">
        <v>14</v>
      </c>
      <c r="E95" s="112">
        <v>6.44</v>
      </c>
      <c r="F95" s="112">
        <v>8.1300000000000008</v>
      </c>
      <c r="G95" s="112">
        <v>20.69</v>
      </c>
      <c r="H95" s="112">
        <v>5.88</v>
      </c>
      <c r="I95" s="112">
        <v>4.91</v>
      </c>
      <c r="J95" s="112">
        <v>0.3</v>
      </c>
      <c r="K95" s="112">
        <v>241.39</v>
      </c>
      <c r="L95" s="112">
        <v>26.81</v>
      </c>
      <c r="M95" s="112">
        <v>93.92</v>
      </c>
      <c r="N95" s="112">
        <v>3</v>
      </c>
      <c r="O95" s="112">
        <v>0</v>
      </c>
      <c r="P95" s="112">
        <v>0.46</v>
      </c>
      <c r="Q95" s="112">
        <v>4.66</v>
      </c>
    </row>
    <row r="96" spans="1:17" customFormat="1">
      <c r="A96" s="80">
        <v>45475.916666666664</v>
      </c>
      <c r="B96" s="112">
        <v>9.26</v>
      </c>
      <c r="C96" s="112">
        <v>4.08</v>
      </c>
      <c r="D96" s="112">
        <v>14.01</v>
      </c>
      <c r="E96" s="112">
        <v>5.56</v>
      </c>
      <c r="F96" s="112">
        <v>8.07</v>
      </c>
      <c r="G96" s="112">
        <v>19.86</v>
      </c>
      <c r="H96" s="112">
        <v>6.19</v>
      </c>
      <c r="I96" s="112">
        <v>4.6900000000000004</v>
      </c>
      <c r="J96" s="112">
        <v>0.23</v>
      </c>
      <c r="K96" s="112">
        <v>238.48</v>
      </c>
      <c r="L96" s="112">
        <v>26.84</v>
      </c>
      <c r="M96" s="112">
        <v>93.01</v>
      </c>
      <c r="N96" s="112">
        <v>2.8</v>
      </c>
      <c r="O96" s="112">
        <v>0</v>
      </c>
      <c r="P96" s="112">
        <v>0.45</v>
      </c>
      <c r="Q96" s="112">
        <v>4.6500000000000004</v>
      </c>
    </row>
    <row r="97" spans="1:22" customFormat="1">
      <c r="A97" s="80">
        <v>45475.927083333336</v>
      </c>
      <c r="B97" s="112">
        <v>9.27</v>
      </c>
      <c r="C97" s="112">
        <v>4.07</v>
      </c>
      <c r="D97" s="112">
        <v>14.01</v>
      </c>
      <c r="E97" s="112">
        <v>6.06</v>
      </c>
      <c r="F97" s="112">
        <v>8.34</v>
      </c>
      <c r="G97" s="112">
        <v>19.86</v>
      </c>
      <c r="H97" s="112">
        <v>6.19</v>
      </c>
      <c r="I97" s="112">
        <v>4.51</v>
      </c>
      <c r="J97" s="112">
        <v>0.28999999999999998</v>
      </c>
      <c r="K97" s="112">
        <v>253.72</v>
      </c>
      <c r="L97" s="112">
        <v>26.87</v>
      </c>
      <c r="M97" s="112">
        <v>92.59</v>
      </c>
      <c r="N97" s="112">
        <v>2.9</v>
      </c>
      <c r="O97" s="112">
        <v>0</v>
      </c>
      <c r="P97" s="112">
        <v>0.44</v>
      </c>
      <c r="Q97" s="112">
        <v>4.6399999999999997</v>
      </c>
    </row>
    <row r="98" spans="1:22" customFormat="1">
      <c r="A98" s="80">
        <v>45475.9375</v>
      </c>
      <c r="B98" s="112">
        <v>9.2899999999999991</v>
      </c>
      <c r="C98" s="112">
        <v>4.0199999999999996</v>
      </c>
      <c r="D98" s="112">
        <v>14</v>
      </c>
      <c r="E98" s="112">
        <v>6.25</v>
      </c>
      <c r="F98" s="112">
        <v>9.02</v>
      </c>
      <c r="G98" s="112">
        <v>19.86</v>
      </c>
      <c r="H98" s="112">
        <v>6.19</v>
      </c>
      <c r="I98" s="112">
        <v>4.43</v>
      </c>
      <c r="J98" s="112">
        <v>0.25</v>
      </c>
      <c r="K98" s="112">
        <v>245.61</v>
      </c>
      <c r="L98" s="112">
        <v>26.89</v>
      </c>
      <c r="M98" s="112">
        <v>92.3</v>
      </c>
      <c r="N98" s="112">
        <v>2.8</v>
      </c>
      <c r="O98" s="112">
        <v>0</v>
      </c>
      <c r="P98" s="112">
        <v>0.43</v>
      </c>
      <c r="Q98" s="112">
        <v>4.63</v>
      </c>
    </row>
    <row r="99" spans="1:22" customFormat="1">
      <c r="A99" s="80">
        <v>45475.947916666664</v>
      </c>
      <c r="B99" s="112">
        <v>9.2799999999999994</v>
      </c>
      <c r="C99" s="112">
        <v>4.08</v>
      </c>
      <c r="D99" s="112">
        <v>14.02</v>
      </c>
      <c r="E99" s="112">
        <v>6.1</v>
      </c>
      <c r="F99" s="112">
        <v>9.4600000000000009</v>
      </c>
      <c r="G99" s="112">
        <v>18.78</v>
      </c>
      <c r="H99" s="112">
        <v>5.78</v>
      </c>
      <c r="I99" s="112">
        <v>4.26</v>
      </c>
      <c r="J99" s="112">
        <v>0.38</v>
      </c>
      <c r="K99" s="112">
        <v>252.55</v>
      </c>
      <c r="L99" s="112">
        <v>26.91</v>
      </c>
      <c r="M99" s="112">
        <v>90.63</v>
      </c>
      <c r="N99" s="112">
        <v>2.9</v>
      </c>
      <c r="O99" s="112">
        <v>0</v>
      </c>
      <c r="P99" s="112">
        <v>0.43</v>
      </c>
      <c r="Q99" s="112">
        <v>4.6399999999999997</v>
      </c>
    </row>
    <row r="100" spans="1:22" customFormat="1">
      <c r="A100" s="80">
        <v>45475.958333333336</v>
      </c>
      <c r="B100" s="112">
        <v>9.31</v>
      </c>
      <c r="C100" s="112">
        <v>4.08</v>
      </c>
      <c r="D100" s="112">
        <v>14.05</v>
      </c>
      <c r="E100" s="112">
        <v>6.56</v>
      </c>
      <c r="F100" s="112">
        <v>7.78</v>
      </c>
      <c r="G100" s="112">
        <v>17.95</v>
      </c>
      <c r="H100" s="112">
        <v>5.64</v>
      </c>
      <c r="I100" s="112">
        <v>4.2</v>
      </c>
      <c r="J100" s="112">
        <v>0.5</v>
      </c>
      <c r="K100" s="112">
        <v>264.43</v>
      </c>
      <c r="L100" s="112">
        <v>26.88</v>
      </c>
      <c r="M100" s="112">
        <v>89.52</v>
      </c>
      <c r="N100" s="112">
        <v>2.6</v>
      </c>
      <c r="O100" s="112">
        <v>0</v>
      </c>
      <c r="P100" s="112">
        <v>0.43</v>
      </c>
      <c r="Q100" s="112">
        <v>4.62</v>
      </c>
    </row>
    <row r="101" spans="1:22" customFormat="1">
      <c r="A101" s="80">
        <v>45475.96875</v>
      </c>
      <c r="B101" s="112">
        <v>9.31</v>
      </c>
      <c r="C101" s="112">
        <v>4.0999999999999996</v>
      </c>
      <c r="D101" s="112">
        <v>14.06</v>
      </c>
      <c r="E101" s="112">
        <v>6.8</v>
      </c>
      <c r="F101" s="112">
        <v>5.59</v>
      </c>
      <c r="G101" s="112">
        <v>17.95</v>
      </c>
      <c r="H101" s="112">
        <v>5.64</v>
      </c>
      <c r="I101" s="112">
        <v>4.18</v>
      </c>
      <c r="J101" s="112">
        <v>0.39</v>
      </c>
      <c r="K101" s="112">
        <v>251.71</v>
      </c>
      <c r="L101" s="112">
        <v>26.82</v>
      </c>
      <c r="M101" s="112">
        <v>91.54</v>
      </c>
      <c r="N101" s="112">
        <v>2.5</v>
      </c>
      <c r="O101" s="112">
        <v>0</v>
      </c>
      <c r="P101" s="112">
        <v>0.41</v>
      </c>
      <c r="Q101" s="112">
        <v>4.63</v>
      </c>
    </row>
    <row r="102" spans="1:22" customFormat="1">
      <c r="A102" s="80">
        <v>45475.979166666664</v>
      </c>
      <c r="B102" s="112">
        <v>9.33</v>
      </c>
      <c r="C102" s="112">
        <v>4.09</v>
      </c>
      <c r="D102" s="112">
        <v>14.06</v>
      </c>
      <c r="E102" s="112">
        <v>6.94</v>
      </c>
      <c r="F102" s="112">
        <v>5.21</v>
      </c>
      <c r="G102" s="112">
        <v>17.95</v>
      </c>
      <c r="H102" s="112">
        <v>5.64</v>
      </c>
      <c r="I102" s="112">
        <v>4.43</v>
      </c>
      <c r="J102" s="112">
        <v>0.5</v>
      </c>
      <c r="K102" s="112">
        <v>261.83</v>
      </c>
      <c r="L102" s="112">
        <v>26.74</v>
      </c>
      <c r="M102" s="112">
        <v>92.29</v>
      </c>
      <c r="N102" s="112">
        <v>2.2999999999999998</v>
      </c>
      <c r="O102" s="112">
        <v>0</v>
      </c>
      <c r="P102" s="112">
        <v>0.39</v>
      </c>
      <c r="Q102" s="112">
        <v>4.6500000000000004</v>
      </c>
    </row>
    <row r="103" spans="1:22" customFormat="1">
      <c r="A103" s="80">
        <v>45475.989583333336</v>
      </c>
      <c r="B103" s="112">
        <v>9.34</v>
      </c>
      <c r="C103" s="112">
        <v>4.08</v>
      </c>
      <c r="D103" s="112">
        <v>14.07</v>
      </c>
      <c r="E103" s="112">
        <v>7.86</v>
      </c>
      <c r="F103" s="112">
        <v>4.7</v>
      </c>
      <c r="G103" s="112">
        <v>16.100000000000001</v>
      </c>
      <c r="H103" s="112">
        <v>4.99</v>
      </c>
      <c r="I103" s="112">
        <v>4.3899999999999997</v>
      </c>
      <c r="J103" s="112">
        <v>0.49</v>
      </c>
      <c r="K103" s="112">
        <v>256.06</v>
      </c>
      <c r="L103" s="112">
        <v>26.62</v>
      </c>
      <c r="M103" s="112">
        <v>93.43</v>
      </c>
      <c r="N103" s="112">
        <v>1.8</v>
      </c>
      <c r="O103" s="112">
        <v>0</v>
      </c>
      <c r="P103" s="112">
        <v>0.37</v>
      </c>
      <c r="Q103" s="112">
        <v>4.67</v>
      </c>
    </row>
    <row r="104" spans="1:22" customFormat="1">
      <c r="A104" s="80">
        <v>45476</v>
      </c>
      <c r="B104" s="112">
        <v>9.3800000000000008</v>
      </c>
      <c r="C104" s="112">
        <v>4.0599999999999996</v>
      </c>
      <c r="D104" s="112">
        <v>14.1</v>
      </c>
      <c r="E104" s="112">
        <v>7.7</v>
      </c>
      <c r="F104" s="112">
        <v>4.87</v>
      </c>
      <c r="G104" s="112">
        <v>14.69</v>
      </c>
      <c r="H104" s="112">
        <v>4.78</v>
      </c>
      <c r="I104" s="112">
        <v>4.4000000000000004</v>
      </c>
      <c r="J104" s="112">
        <v>0.93</v>
      </c>
      <c r="K104" s="112">
        <v>263.99</v>
      </c>
      <c r="L104" s="112">
        <v>26.53</v>
      </c>
      <c r="M104" s="112">
        <v>93.88</v>
      </c>
      <c r="N104" s="112">
        <v>2.1</v>
      </c>
      <c r="O104" s="112">
        <v>0</v>
      </c>
      <c r="P104" s="112">
        <v>0.37</v>
      </c>
      <c r="Q104" s="112">
        <v>4.6500000000000004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9.25</v>
      </c>
      <c r="C106" s="183">
        <f>MIN(C9:C104)</f>
        <v>4.0199999999999996</v>
      </c>
      <c r="D106" s="183">
        <f t="shared" ref="D106:Q106" si="0">MIN(D9:D104)</f>
        <v>13.99</v>
      </c>
      <c r="E106" s="183">
        <f t="shared" si="0"/>
        <v>5.3</v>
      </c>
      <c r="F106" s="183">
        <f t="shared" si="0"/>
        <v>2.48</v>
      </c>
      <c r="G106" s="183">
        <f t="shared" si="0"/>
        <v>6.11</v>
      </c>
      <c r="H106" s="183">
        <f t="shared" si="0"/>
        <v>0.21</v>
      </c>
      <c r="I106" s="183">
        <f t="shared" si="0"/>
        <v>1.96</v>
      </c>
      <c r="J106" s="183">
        <f t="shared" si="0"/>
        <v>-1.19</v>
      </c>
      <c r="K106" s="183">
        <f t="shared" si="0"/>
        <v>166.57</v>
      </c>
      <c r="L106" s="183">
        <f t="shared" si="0"/>
        <v>25.09</v>
      </c>
      <c r="M106" s="183">
        <f t="shared" si="0"/>
        <v>66.400000000000006</v>
      </c>
      <c r="N106" s="183">
        <f t="shared" si="0"/>
        <v>1.8</v>
      </c>
      <c r="O106" s="183">
        <f t="shared" si="0"/>
        <v>0</v>
      </c>
      <c r="P106" s="183">
        <f t="shared" si="0"/>
        <v>0.21</v>
      </c>
      <c r="Q106" s="183">
        <f t="shared" si="0"/>
        <v>4.5999999999999996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9.48</v>
      </c>
      <c r="C107" s="184">
        <f t="shared" ref="C107:Q107" si="1">MAX(C9:C104)</f>
        <v>4.13</v>
      </c>
      <c r="D107" s="184">
        <f t="shared" si="1"/>
        <v>14.18</v>
      </c>
      <c r="E107" s="184">
        <f t="shared" si="1"/>
        <v>10.15</v>
      </c>
      <c r="F107" s="184">
        <f t="shared" si="1"/>
        <v>21.65</v>
      </c>
      <c r="G107" s="184">
        <f t="shared" si="1"/>
        <v>27.11</v>
      </c>
      <c r="H107" s="184">
        <f t="shared" si="1"/>
        <v>7.8</v>
      </c>
      <c r="I107" s="184">
        <f t="shared" si="1"/>
        <v>5.53</v>
      </c>
      <c r="J107" s="184">
        <f t="shared" si="1"/>
        <v>1.38</v>
      </c>
      <c r="K107" s="184">
        <f t="shared" si="1"/>
        <v>305.42</v>
      </c>
      <c r="L107" s="184">
        <f t="shared" si="1"/>
        <v>31.22</v>
      </c>
      <c r="M107" s="184">
        <f t="shared" si="1"/>
        <v>98.54</v>
      </c>
      <c r="N107" s="184">
        <f t="shared" si="1"/>
        <v>772.6</v>
      </c>
      <c r="O107" s="184">
        <f t="shared" si="1"/>
        <v>0.4</v>
      </c>
      <c r="P107" s="184">
        <f t="shared" si="1"/>
        <v>0.53</v>
      </c>
      <c r="Q107" s="184">
        <f t="shared" si="1"/>
        <v>4.67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9.3445833333333308</v>
      </c>
      <c r="C108" s="183">
        <f t="shared" ref="C108:Q108" si="2">AVERAGE(C9:C104)</f>
        <v>4.0775000000000006</v>
      </c>
      <c r="D108" s="183">
        <f t="shared" si="2"/>
        <v>14.074270833333324</v>
      </c>
      <c r="E108" s="183">
        <f t="shared" si="2"/>
        <v>7.6019791666666698</v>
      </c>
      <c r="F108" s="183">
        <f t="shared" si="2"/>
        <v>7.6985416666666664</v>
      </c>
      <c r="G108" s="183">
        <f t="shared" si="2"/>
        <v>16.29816091954023</v>
      </c>
      <c r="H108" s="183">
        <f t="shared" si="2"/>
        <v>4.4811392405063302</v>
      </c>
      <c r="I108" s="183">
        <f t="shared" si="2"/>
        <v>3.0105208333333331</v>
      </c>
      <c r="J108" s="183">
        <f t="shared" si="2"/>
        <v>0.62562499999999999</v>
      </c>
      <c r="K108" s="183">
        <f t="shared" si="2"/>
        <v>254.15760416666674</v>
      </c>
      <c r="L108" s="183">
        <f t="shared" si="2"/>
        <v>27.544479166666665</v>
      </c>
      <c r="M108" s="183">
        <f t="shared" si="2"/>
        <v>85.267916666666665</v>
      </c>
      <c r="N108" s="183">
        <f t="shared" si="2"/>
        <v>92.671874999999957</v>
      </c>
      <c r="O108" s="183">
        <f t="shared" si="2"/>
        <v>8.3333333333333332E-3</v>
      </c>
      <c r="P108" s="183">
        <f t="shared" si="2"/>
        <v>0.30645833333333333</v>
      </c>
      <c r="Q108" s="183">
        <f t="shared" si="2"/>
        <v>4.638541666666665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6.0121222571640834E-2</v>
      </c>
      <c r="C109" s="183">
        <f t="shared" ref="C109:Q109" si="3">STDEV(C9:C104)</f>
        <v>1.869421526062345E-2</v>
      </c>
      <c r="D109" s="183">
        <f t="shared" si="3"/>
        <v>4.9476092933151375E-2</v>
      </c>
      <c r="E109" s="183">
        <f t="shared" si="3"/>
        <v>1.3747050361453825</v>
      </c>
      <c r="F109" s="183">
        <f t="shared" si="3"/>
        <v>4.643562148806085</v>
      </c>
      <c r="G109" s="183">
        <f t="shared" si="3"/>
        <v>6.427731077994248</v>
      </c>
      <c r="H109" s="183">
        <f t="shared" si="3"/>
        <v>1.4637491267305796</v>
      </c>
      <c r="I109" s="183">
        <f t="shared" si="3"/>
        <v>0.8596895030571613</v>
      </c>
      <c r="J109" s="183">
        <f t="shared" si="3"/>
        <v>0.38509824447111796</v>
      </c>
      <c r="K109" s="183">
        <f t="shared" si="3"/>
        <v>22.166539684126818</v>
      </c>
      <c r="L109" s="183">
        <f t="shared" si="3"/>
        <v>1.8980027562465156</v>
      </c>
      <c r="M109" s="183">
        <f t="shared" si="3"/>
        <v>9.4133224647072726</v>
      </c>
      <c r="N109" s="183">
        <f t="shared" si="3"/>
        <v>136.59058201572586</v>
      </c>
      <c r="O109" s="183">
        <f t="shared" si="3"/>
        <v>4.9559462778335214E-2</v>
      </c>
      <c r="P109" s="183">
        <f t="shared" si="3"/>
        <v>8.5162126084887865E-2</v>
      </c>
      <c r="Q109" s="183">
        <f t="shared" si="3"/>
        <v>1.4435275992597351E-2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45476.010416666664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45476.010416666664</v>
      </c>
      <c r="B9" s="112">
        <v>9.1999999999999993</v>
      </c>
      <c r="C9" s="112">
        <v>4.03</v>
      </c>
      <c r="D9" s="112">
        <v>13.93</v>
      </c>
      <c r="E9" s="112">
        <v>8</v>
      </c>
      <c r="F9" s="112">
        <v>4.1900000000000004</v>
      </c>
      <c r="G9" s="112">
        <v>14.69</v>
      </c>
      <c r="H9" s="112">
        <v>4.78</v>
      </c>
      <c r="I9" s="112">
        <v>4.3</v>
      </c>
      <c r="J9" s="112">
        <v>1.21</v>
      </c>
      <c r="K9" s="112">
        <v>265.86</v>
      </c>
      <c r="L9" s="112">
        <v>26.33</v>
      </c>
      <c r="M9" s="112">
        <v>89.83</v>
      </c>
      <c r="N9" s="112">
        <v>2.5</v>
      </c>
      <c r="O9" s="112">
        <v>0</v>
      </c>
      <c r="P9" s="112">
        <v>0.37</v>
      </c>
      <c r="Q9" s="112">
        <v>4.66</v>
      </c>
    </row>
    <row r="10" spans="1:21" customFormat="1">
      <c r="A10" s="80">
        <v>45476.020833333336</v>
      </c>
      <c r="B10" s="112">
        <v>9.2100000000000009</v>
      </c>
      <c r="C10" s="112">
        <v>4.0599999999999996</v>
      </c>
      <c r="D10" s="112">
        <v>13.96</v>
      </c>
      <c r="E10" s="112">
        <v>8.35</v>
      </c>
      <c r="F10" s="112">
        <v>4.1100000000000003</v>
      </c>
      <c r="G10" s="112">
        <v>14.69</v>
      </c>
      <c r="H10" s="112">
        <v>4.78</v>
      </c>
      <c r="I10" s="112">
        <v>4.28</v>
      </c>
      <c r="J10" s="112">
        <v>0.97</v>
      </c>
      <c r="K10" s="112">
        <v>263.77999999999997</v>
      </c>
      <c r="L10" s="112">
        <v>26.16</v>
      </c>
      <c r="M10" s="112">
        <v>89.11</v>
      </c>
      <c r="N10" s="112">
        <v>2.5</v>
      </c>
      <c r="O10" s="112">
        <v>0</v>
      </c>
      <c r="P10" s="112">
        <v>0.36</v>
      </c>
      <c r="Q10" s="112">
        <v>4.6500000000000004</v>
      </c>
    </row>
    <row r="11" spans="1:21" customFormat="1">
      <c r="A11" s="80">
        <v>45476.03125</v>
      </c>
      <c r="B11" s="112">
        <v>9.2100000000000009</v>
      </c>
      <c r="C11" s="112">
        <v>4.09</v>
      </c>
      <c r="D11" s="112">
        <v>13.97</v>
      </c>
      <c r="E11" s="112">
        <v>8.27</v>
      </c>
      <c r="F11" s="112">
        <v>3.99</v>
      </c>
      <c r="G11" s="112">
        <v>13.88</v>
      </c>
      <c r="H11" s="112">
        <v>4.2</v>
      </c>
      <c r="I11" s="112">
        <v>4.18</v>
      </c>
      <c r="J11" s="112">
        <v>0.69</v>
      </c>
      <c r="K11" s="112">
        <v>261.76</v>
      </c>
      <c r="L11" s="112">
        <v>25.95</v>
      </c>
      <c r="M11" s="112">
        <v>91.44</v>
      </c>
      <c r="N11" s="112">
        <v>2.4</v>
      </c>
      <c r="O11" s="112">
        <v>0</v>
      </c>
      <c r="P11" s="112">
        <v>0.36</v>
      </c>
      <c r="Q11" s="112">
        <v>4.6500000000000004</v>
      </c>
    </row>
    <row r="12" spans="1:21" customFormat="1">
      <c r="A12" s="80">
        <v>45476.041666666664</v>
      </c>
      <c r="B12" s="112">
        <v>9.2200000000000006</v>
      </c>
      <c r="C12" s="112">
        <v>4.09</v>
      </c>
      <c r="D12" s="112">
        <v>13.98</v>
      </c>
      <c r="E12" s="112">
        <v>8.11</v>
      </c>
      <c r="F12" s="112">
        <v>3.89</v>
      </c>
      <c r="G12" s="112">
        <v>13.27</v>
      </c>
      <c r="H12" s="112">
        <v>3.82</v>
      </c>
      <c r="I12" s="112">
        <v>4.08</v>
      </c>
      <c r="J12" s="112">
        <v>1.04</v>
      </c>
      <c r="K12" s="112">
        <v>268.45999999999998</v>
      </c>
      <c r="L12" s="112">
        <v>25.79</v>
      </c>
      <c r="M12" s="112">
        <v>91.68</v>
      </c>
      <c r="N12" s="112">
        <v>2.4</v>
      </c>
      <c r="O12" s="112">
        <v>0</v>
      </c>
      <c r="P12" s="112">
        <v>0.34</v>
      </c>
      <c r="Q12" s="112">
        <v>4.67</v>
      </c>
    </row>
    <row r="13" spans="1:21" customFormat="1">
      <c r="A13" s="80">
        <v>45476.052083333336</v>
      </c>
      <c r="B13" s="112">
        <v>9.24</v>
      </c>
      <c r="C13" s="112">
        <v>4.0599999999999996</v>
      </c>
      <c r="D13" s="112">
        <v>13.98</v>
      </c>
      <c r="E13" s="112">
        <v>8.32</v>
      </c>
      <c r="F13" s="112">
        <v>4.26</v>
      </c>
      <c r="G13" s="112">
        <v>13.27</v>
      </c>
      <c r="H13" s="112">
        <v>3.82</v>
      </c>
      <c r="I13" s="112">
        <v>3.99</v>
      </c>
      <c r="J13" s="112">
        <v>0.87</v>
      </c>
      <c r="K13" s="112">
        <v>262</v>
      </c>
      <c r="L13" s="112">
        <v>25.68</v>
      </c>
      <c r="M13" s="112">
        <v>93.91</v>
      </c>
      <c r="N13" s="112">
        <v>2.2999999999999998</v>
      </c>
      <c r="O13" s="112">
        <v>0</v>
      </c>
      <c r="P13" s="112">
        <v>0.34</v>
      </c>
      <c r="Q13" s="112">
        <v>4.66</v>
      </c>
    </row>
    <row r="14" spans="1:21" customFormat="1">
      <c r="A14" s="80">
        <v>45476.0625</v>
      </c>
      <c r="B14" s="112">
        <v>9.2200000000000006</v>
      </c>
      <c r="C14" s="112">
        <v>4.07</v>
      </c>
      <c r="D14" s="112">
        <v>13.97</v>
      </c>
      <c r="E14" s="112">
        <v>8.1999999999999993</v>
      </c>
      <c r="F14" s="112">
        <v>4.13</v>
      </c>
      <c r="G14" s="112">
        <v>13.27</v>
      </c>
      <c r="H14" s="112">
        <v>3.82</v>
      </c>
      <c r="I14" s="112">
        <v>3.93</v>
      </c>
      <c r="J14" s="112">
        <v>0.79</v>
      </c>
      <c r="K14" s="112">
        <v>264.38</v>
      </c>
      <c r="L14" s="112">
        <v>25.65</v>
      </c>
      <c r="M14" s="112">
        <v>92.79</v>
      </c>
      <c r="N14" s="112">
        <v>2.2000000000000002</v>
      </c>
      <c r="O14" s="112">
        <v>0</v>
      </c>
      <c r="P14" s="112">
        <v>0.33</v>
      </c>
      <c r="Q14" s="112">
        <v>4.67</v>
      </c>
    </row>
    <row r="15" spans="1:21" customFormat="1">
      <c r="A15" s="80">
        <v>45476.072916666664</v>
      </c>
      <c r="B15" s="112">
        <v>9.23</v>
      </c>
      <c r="C15" s="112">
        <v>4.05</v>
      </c>
      <c r="D15" s="112">
        <v>13.96</v>
      </c>
      <c r="E15" s="112">
        <v>8.5399999999999991</v>
      </c>
      <c r="F15" s="112">
        <v>3.86</v>
      </c>
      <c r="G15" s="112">
        <v>11.2</v>
      </c>
      <c r="H15" s="112">
        <v>3.13</v>
      </c>
      <c r="I15" s="112">
        <v>3.85</v>
      </c>
      <c r="J15" s="112">
        <v>0.97</v>
      </c>
      <c r="K15" s="112">
        <v>263.87</v>
      </c>
      <c r="L15" s="112">
        <v>25.59</v>
      </c>
      <c r="M15" s="112">
        <v>93.91</v>
      </c>
      <c r="N15" s="112">
        <v>2.2999999999999998</v>
      </c>
      <c r="O15" s="112">
        <v>0</v>
      </c>
      <c r="P15" s="112">
        <v>0.32</v>
      </c>
      <c r="Q15" s="112">
        <v>4.6399999999999997</v>
      </c>
    </row>
    <row r="16" spans="1:21" customFormat="1">
      <c r="A16" s="80">
        <v>45476.083333333336</v>
      </c>
      <c r="B16" s="112">
        <v>9.2200000000000006</v>
      </c>
      <c r="C16" s="112">
        <v>4.07</v>
      </c>
      <c r="D16" s="112">
        <v>13.97</v>
      </c>
      <c r="E16" s="112">
        <v>8.08</v>
      </c>
      <c r="F16" s="112">
        <v>3.74</v>
      </c>
      <c r="G16" s="112">
        <v>9.5500000000000007</v>
      </c>
      <c r="H16" s="112">
        <v>2.9</v>
      </c>
      <c r="I16" s="112">
        <v>3.78</v>
      </c>
      <c r="J16" s="112">
        <v>0.82</v>
      </c>
      <c r="K16" s="112">
        <v>262.44</v>
      </c>
      <c r="L16" s="112">
        <v>25.6</v>
      </c>
      <c r="M16" s="112">
        <v>92.92</v>
      </c>
      <c r="N16" s="112">
        <v>2.2000000000000002</v>
      </c>
      <c r="O16" s="112">
        <v>0</v>
      </c>
      <c r="P16" s="112">
        <v>0.33</v>
      </c>
      <c r="Q16" s="112">
        <v>4.6500000000000004</v>
      </c>
    </row>
    <row r="17" spans="1:17" customFormat="1">
      <c r="A17" s="80">
        <v>45476.09375</v>
      </c>
      <c r="B17" s="112">
        <v>9.23</v>
      </c>
      <c r="C17" s="112">
        <v>4.12</v>
      </c>
      <c r="D17" s="112">
        <v>14</v>
      </c>
      <c r="E17" s="112">
        <v>7.3</v>
      </c>
      <c r="F17" s="112">
        <v>4.1500000000000004</v>
      </c>
      <c r="G17" s="112">
        <v>9.5500000000000007</v>
      </c>
      <c r="H17" s="112">
        <v>2.9</v>
      </c>
      <c r="I17" s="112">
        <v>3.75</v>
      </c>
      <c r="J17" s="112">
        <v>0.85</v>
      </c>
      <c r="K17" s="112">
        <v>271.39</v>
      </c>
      <c r="L17" s="112">
        <v>25.58</v>
      </c>
      <c r="M17" s="112">
        <v>92.52</v>
      </c>
      <c r="N17" s="112">
        <v>2.2000000000000002</v>
      </c>
      <c r="O17" s="112">
        <v>0</v>
      </c>
      <c r="P17" s="112">
        <v>0.31</v>
      </c>
      <c r="Q17" s="112">
        <v>4.66</v>
      </c>
    </row>
    <row r="18" spans="1:17" customFormat="1">
      <c r="A18" s="80">
        <v>45476.104166666664</v>
      </c>
      <c r="B18" s="112">
        <v>9.25</v>
      </c>
      <c r="C18" s="112">
        <v>4.09</v>
      </c>
      <c r="D18" s="112">
        <v>14</v>
      </c>
      <c r="E18" s="112">
        <v>8.84</v>
      </c>
      <c r="F18" s="112">
        <v>3.65</v>
      </c>
      <c r="G18" s="112">
        <v>9.5500000000000007</v>
      </c>
      <c r="H18" s="112">
        <v>2.9</v>
      </c>
      <c r="I18" s="112">
        <v>3.65</v>
      </c>
      <c r="J18" s="112">
        <v>0.81</v>
      </c>
      <c r="K18" s="112">
        <v>262.49</v>
      </c>
      <c r="L18" s="112">
        <v>25.61</v>
      </c>
      <c r="M18" s="112">
        <v>91.76</v>
      </c>
      <c r="N18" s="112">
        <v>2.1</v>
      </c>
      <c r="O18" s="112">
        <v>0</v>
      </c>
      <c r="P18" s="112">
        <v>0.31</v>
      </c>
      <c r="Q18" s="112">
        <v>4.63</v>
      </c>
    </row>
    <row r="19" spans="1:17" customFormat="1">
      <c r="A19" s="80">
        <v>45476.114583333336</v>
      </c>
      <c r="B19" s="112">
        <v>9.2200000000000006</v>
      </c>
      <c r="C19" s="112">
        <v>4.09</v>
      </c>
      <c r="D19" s="112">
        <v>13.98</v>
      </c>
      <c r="E19" s="112">
        <v>9.24</v>
      </c>
      <c r="F19" s="112">
        <v>3.7</v>
      </c>
      <c r="G19" s="112">
        <v>9.2799999999999994</v>
      </c>
      <c r="H19" s="112">
        <v>2.48</v>
      </c>
      <c r="I19" s="112">
        <v>3.58</v>
      </c>
      <c r="J19" s="112">
        <v>0.97</v>
      </c>
      <c r="K19" s="112">
        <v>271.2</v>
      </c>
      <c r="L19" s="112">
        <v>25.6</v>
      </c>
      <c r="M19" s="112">
        <v>91.65</v>
      </c>
      <c r="N19" s="112">
        <v>2.2000000000000002</v>
      </c>
      <c r="O19" s="112">
        <v>0</v>
      </c>
      <c r="P19" s="112">
        <v>0.3</v>
      </c>
      <c r="Q19" s="112">
        <v>4.63</v>
      </c>
    </row>
    <row r="20" spans="1:17" customFormat="1">
      <c r="A20" s="80">
        <v>45476.125</v>
      </c>
      <c r="B20" s="112">
        <v>9.2200000000000006</v>
      </c>
      <c r="C20" s="112">
        <v>4.0599999999999996</v>
      </c>
      <c r="D20" s="112">
        <v>13.96</v>
      </c>
      <c r="E20" s="112">
        <v>8.98</v>
      </c>
      <c r="F20" s="112">
        <v>3.35</v>
      </c>
      <c r="G20" s="112">
        <v>9.06</v>
      </c>
      <c r="H20" s="112">
        <v>2.33</v>
      </c>
      <c r="I20" s="112">
        <v>3.47</v>
      </c>
      <c r="J20" s="112">
        <v>0.99</v>
      </c>
      <c r="K20" s="112">
        <v>271</v>
      </c>
      <c r="L20" s="112">
        <v>25.58</v>
      </c>
      <c r="M20" s="112">
        <v>92.68</v>
      </c>
      <c r="N20" s="112">
        <v>2.2000000000000002</v>
      </c>
      <c r="O20" s="112">
        <v>0</v>
      </c>
      <c r="P20" s="112">
        <v>0.3</v>
      </c>
      <c r="Q20" s="112">
        <v>4.66</v>
      </c>
    </row>
    <row r="21" spans="1:17" customFormat="1">
      <c r="A21" s="80">
        <v>45476.135416666664</v>
      </c>
      <c r="B21" s="112">
        <v>9.2100000000000009</v>
      </c>
      <c r="C21" s="112">
        <v>4.09</v>
      </c>
      <c r="D21" s="112">
        <v>13.97</v>
      </c>
      <c r="E21" s="112">
        <v>8.89</v>
      </c>
      <c r="F21" s="112">
        <v>3.97</v>
      </c>
      <c r="G21" s="112">
        <v>9.06</v>
      </c>
      <c r="H21" s="112">
        <v>2.33</v>
      </c>
      <c r="I21" s="112">
        <v>3.41</v>
      </c>
      <c r="J21" s="112">
        <v>0.93</v>
      </c>
      <c r="K21" s="112">
        <v>267.83999999999997</v>
      </c>
      <c r="L21" s="112">
        <v>25.57</v>
      </c>
      <c r="M21" s="112">
        <v>92.9</v>
      </c>
      <c r="N21" s="112">
        <v>2.2999999999999998</v>
      </c>
      <c r="O21" s="112">
        <v>0</v>
      </c>
      <c r="P21" s="112">
        <v>0.3</v>
      </c>
      <c r="Q21" s="112">
        <v>4.66</v>
      </c>
    </row>
    <row r="22" spans="1:17" customFormat="1">
      <c r="A22" s="80">
        <v>45476.145833333336</v>
      </c>
      <c r="B22" s="112">
        <v>9.18</v>
      </c>
      <c r="C22" s="112">
        <v>4.12</v>
      </c>
      <c r="D22" s="112">
        <v>13.96</v>
      </c>
      <c r="E22" s="112">
        <v>9.1999999999999993</v>
      </c>
      <c r="F22" s="112">
        <v>3.19</v>
      </c>
      <c r="G22" s="112">
        <v>9.06</v>
      </c>
      <c r="H22" s="112">
        <v>2.33</v>
      </c>
      <c r="I22" s="112">
        <v>3.42</v>
      </c>
      <c r="J22" s="112">
        <v>0.93</v>
      </c>
      <c r="K22" s="112">
        <v>272.14</v>
      </c>
      <c r="L22" s="112">
        <v>25.6</v>
      </c>
      <c r="M22" s="112">
        <v>91.52</v>
      </c>
      <c r="N22" s="112">
        <v>2.2000000000000002</v>
      </c>
      <c r="O22" s="112">
        <v>0</v>
      </c>
      <c r="P22" s="112">
        <v>0.28999999999999998</v>
      </c>
      <c r="Q22" s="112">
        <v>4.66</v>
      </c>
    </row>
    <row r="23" spans="1:17" customFormat="1">
      <c r="A23" s="80">
        <v>45476.15625</v>
      </c>
      <c r="B23" s="112">
        <v>9.16</v>
      </c>
      <c r="C23" s="112">
        <v>4.08</v>
      </c>
      <c r="D23" s="112">
        <v>13.93</v>
      </c>
      <c r="E23" s="112">
        <v>9.31</v>
      </c>
      <c r="F23" s="112">
        <v>3.67</v>
      </c>
      <c r="G23" s="112">
        <v>7.73</v>
      </c>
      <c r="H23" s="112">
        <v>2.0099999999999998</v>
      </c>
      <c r="I23" s="112">
        <v>3.37</v>
      </c>
      <c r="J23" s="112">
        <v>1.1399999999999999</v>
      </c>
      <c r="K23" s="112">
        <v>270</v>
      </c>
      <c r="L23" s="112">
        <v>25.59</v>
      </c>
      <c r="M23" s="112">
        <v>91.34</v>
      </c>
      <c r="N23" s="112">
        <v>2.2000000000000002</v>
      </c>
      <c r="O23" s="112">
        <v>0</v>
      </c>
      <c r="P23" s="112">
        <v>0.28999999999999998</v>
      </c>
      <c r="Q23" s="112">
        <v>4.67</v>
      </c>
    </row>
    <row r="24" spans="1:17" customFormat="1">
      <c r="A24" s="80">
        <v>45476.166666666664</v>
      </c>
      <c r="B24" s="112">
        <v>9.16</v>
      </c>
      <c r="C24" s="112">
        <v>4.0599999999999996</v>
      </c>
      <c r="D24" s="112">
        <v>13.92</v>
      </c>
      <c r="E24" s="112">
        <v>9.5</v>
      </c>
      <c r="F24" s="112">
        <v>4.53</v>
      </c>
      <c r="G24" s="112">
        <v>6.71</v>
      </c>
      <c r="H24" s="112">
        <v>1.9</v>
      </c>
      <c r="I24" s="112">
        <v>3.26</v>
      </c>
      <c r="J24" s="112">
        <v>1.17</v>
      </c>
      <c r="K24" s="112">
        <v>266.33</v>
      </c>
      <c r="L24" s="112">
        <v>25.49</v>
      </c>
      <c r="M24" s="112">
        <v>90.12</v>
      </c>
      <c r="N24" s="112">
        <v>2.4</v>
      </c>
      <c r="O24" s="112">
        <v>0</v>
      </c>
      <c r="P24" s="112">
        <v>0.31</v>
      </c>
      <c r="Q24" s="112">
        <v>4.6399999999999997</v>
      </c>
    </row>
    <row r="25" spans="1:17" customFormat="1">
      <c r="A25" s="80">
        <v>45476.177083333336</v>
      </c>
      <c r="B25" s="112">
        <v>9.17</v>
      </c>
      <c r="C25" s="112">
        <v>4.0599999999999996</v>
      </c>
      <c r="D25" s="112">
        <v>13.93</v>
      </c>
      <c r="E25" s="112">
        <v>9.2100000000000009</v>
      </c>
      <c r="F25" s="112">
        <v>3.63</v>
      </c>
      <c r="G25" s="112">
        <v>6.71</v>
      </c>
      <c r="H25" s="112">
        <v>1.9</v>
      </c>
      <c r="I25" s="112">
        <v>3.17</v>
      </c>
      <c r="J25" s="112">
        <v>0.88</v>
      </c>
      <c r="K25" s="112">
        <v>270.37</v>
      </c>
      <c r="L25" s="112">
        <v>25.41</v>
      </c>
      <c r="M25" s="112">
        <v>92.26</v>
      </c>
      <c r="N25" s="112">
        <v>2.4</v>
      </c>
      <c r="O25" s="112">
        <v>0</v>
      </c>
      <c r="P25" s="112">
        <v>0.33</v>
      </c>
      <c r="Q25" s="112">
        <v>4.63</v>
      </c>
    </row>
    <row r="26" spans="1:17" customFormat="1">
      <c r="A26" s="80">
        <v>45476.1875</v>
      </c>
      <c r="B26" s="112">
        <v>9.14</v>
      </c>
      <c r="C26" s="112">
        <v>4.07</v>
      </c>
      <c r="D26" s="112">
        <v>13.9</v>
      </c>
      <c r="E26" s="112">
        <v>9.0399999999999991</v>
      </c>
      <c r="F26" s="112">
        <v>4.05</v>
      </c>
      <c r="G26" s="112">
        <v>6.71</v>
      </c>
      <c r="H26" s="112">
        <v>1.9</v>
      </c>
      <c r="I26" s="112">
        <v>3.2</v>
      </c>
      <c r="J26" s="112">
        <v>0.86</v>
      </c>
      <c r="K26" s="112">
        <v>266.27</v>
      </c>
      <c r="L26" s="112">
        <v>25.37</v>
      </c>
      <c r="M26" s="112">
        <v>93.16</v>
      </c>
      <c r="N26" s="112">
        <v>2.4</v>
      </c>
      <c r="O26" s="112">
        <v>0.2</v>
      </c>
      <c r="P26" s="112">
        <v>0.32</v>
      </c>
      <c r="Q26" s="112">
        <v>4.63</v>
      </c>
    </row>
    <row r="27" spans="1:17" customFormat="1">
      <c r="A27" s="80">
        <v>45476.197916666664</v>
      </c>
      <c r="B27" s="112">
        <v>9.11</v>
      </c>
      <c r="C27" s="112">
        <v>4.05</v>
      </c>
      <c r="D27" s="112">
        <v>13.87</v>
      </c>
      <c r="E27" s="112">
        <v>8.4</v>
      </c>
      <c r="F27" s="112">
        <v>4.4400000000000004</v>
      </c>
      <c r="G27" s="112">
        <v>6.84</v>
      </c>
      <c r="H27" s="112">
        <v>2.63</v>
      </c>
      <c r="I27" s="112">
        <v>3.05</v>
      </c>
      <c r="J27" s="112">
        <v>0.87</v>
      </c>
      <c r="K27" s="112">
        <v>262.29000000000002</v>
      </c>
      <c r="L27" s="112">
        <v>25.32</v>
      </c>
      <c r="M27" s="112">
        <v>91.86</v>
      </c>
      <c r="N27" s="112">
        <v>2.2999999999999998</v>
      </c>
      <c r="O27" s="112">
        <v>0</v>
      </c>
      <c r="P27" s="112">
        <v>0.32</v>
      </c>
      <c r="Q27" s="112">
        <v>4.6399999999999997</v>
      </c>
    </row>
    <row r="28" spans="1:17" customFormat="1">
      <c r="A28" s="80">
        <v>45476.208333333336</v>
      </c>
      <c r="B28" s="112">
        <v>9.09</v>
      </c>
      <c r="C28" s="112">
        <v>4.04</v>
      </c>
      <c r="D28" s="112">
        <v>13.85</v>
      </c>
      <c r="E28" s="112">
        <v>7.79</v>
      </c>
      <c r="F28" s="112">
        <v>4.2</v>
      </c>
      <c r="G28" s="112">
        <v>6.93</v>
      </c>
      <c r="H28" s="112">
        <v>2.88</v>
      </c>
      <c r="I28" s="112">
        <v>3.02</v>
      </c>
      <c r="J28" s="112">
        <v>0.91</v>
      </c>
      <c r="K28" s="112">
        <v>274.93</v>
      </c>
      <c r="L28" s="112">
        <v>25.28</v>
      </c>
      <c r="M28" s="112">
        <v>90.99</v>
      </c>
      <c r="N28" s="112">
        <v>2.4</v>
      </c>
      <c r="O28" s="112">
        <v>0</v>
      </c>
      <c r="P28" s="112">
        <v>0.3</v>
      </c>
      <c r="Q28" s="112">
        <v>4.6500000000000004</v>
      </c>
    </row>
    <row r="29" spans="1:17" customFormat="1">
      <c r="A29" s="80">
        <v>45476.21875</v>
      </c>
      <c r="B29" s="112">
        <v>9.07</v>
      </c>
      <c r="C29" s="112">
        <v>4.08</v>
      </c>
      <c r="D29" s="112">
        <v>13.86</v>
      </c>
      <c r="E29" s="112">
        <v>7.38</v>
      </c>
      <c r="F29" s="112">
        <v>4.03</v>
      </c>
      <c r="G29" s="112">
        <v>6.93</v>
      </c>
      <c r="H29" s="112">
        <v>2.88</v>
      </c>
      <c r="I29" s="112">
        <v>3.17</v>
      </c>
      <c r="J29" s="112">
        <v>0.71</v>
      </c>
      <c r="K29" s="112">
        <v>265.63</v>
      </c>
      <c r="L29" s="112">
        <v>25.22</v>
      </c>
      <c r="M29" s="112">
        <v>92.6</v>
      </c>
      <c r="N29" s="112">
        <v>2.8</v>
      </c>
      <c r="O29" s="112">
        <v>0</v>
      </c>
      <c r="P29" s="112">
        <v>0.3</v>
      </c>
      <c r="Q29" s="112">
        <v>4.63</v>
      </c>
    </row>
    <row r="30" spans="1:17" customFormat="1">
      <c r="A30" s="80">
        <v>45476.229166666664</v>
      </c>
      <c r="B30" s="112">
        <v>9.07</v>
      </c>
      <c r="C30" s="112">
        <v>4.07</v>
      </c>
      <c r="D30" s="112">
        <v>13.85</v>
      </c>
      <c r="E30" s="112">
        <v>6.75</v>
      </c>
      <c r="F30" s="112">
        <v>3.94</v>
      </c>
      <c r="G30" s="112">
        <v>6.93</v>
      </c>
      <c r="H30" s="112">
        <v>2.88</v>
      </c>
      <c r="I30" s="112">
        <v>3</v>
      </c>
      <c r="J30" s="112">
        <v>0.64</v>
      </c>
      <c r="K30" s="112">
        <v>261.02999999999997</v>
      </c>
      <c r="L30" s="112">
        <v>25.12</v>
      </c>
      <c r="M30" s="112">
        <v>92.74</v>
      </c>
      <c r="N30" s="112">
        <v>5.8</v>
      </c>
      <c r="O30" s="112">
        <v>0</v>
      </c>
      <c r="P30" s="112">
        <v>0.3</v>
      </c>
      <c r="Q30" s="112">
        <v>4.6399999999999997</v>
      </c>
    </row>
    <row r="31" spans="1:17" customFormat="1">
      <c r="A31" s="80">
        <v>45476.239583333336</v>
      </c>
      <c r="B31" s="112">
        <v>9.07</v>
      </c>
      <c r="C31" s="112">
        <v>4.05</v>
      </c>
      <c r="D31" s="112">
        <v>13.84</v>
      </c>
      <c r="E31" s="112">
        <v>6.79</v>
      </c>
      <c r="F31" s="112">
        <v>4.1500000000000004</v>
      </c>
      <c r="G31" s="112">
        <v>7.92</v>
      </c>
      <c r="H31" s="112">
        <v>2.33</v>
      </c>
      <c r="I31" s="112">
        <v>2.96</v>
      </c>
      <c r="J31" s="112">
        <v>0.57999999999999996</v>
      </c>
      <c r="K31" s="112">
        <v>267.23</v>
      </c>
      <c r="L31" s="112">
        <v>25.1</v>
      </c>
      <c r="M31" s="112">
        <v>91.46</v>
      </c>
      <c r="N31" s="112">
        <v>14.3</v>
      </c>
      <c r="O31" s="112">
        <v>0</v>
      </c>
      <c r="P31" s="112">
        <v>0.31</v>
      </c>
      <c r="Q31" s="112">
        <v>4.63</v>
      </c>
    </row>
    <row r="32" spans="1:17" customFormat="1">
      <c r="A32" s="80">
        <v>45476.25</v>
      </c>
      <c r="B32" s="112">
        <v>9.08</v>
      </c>
      <c r="C32" s="112">
        <v>4.07</v>
      </c>
      <c r="D32" s="112">
        <v>13.86</v>
      </c>
      <c r="E32" s="112">
        <v>6.91</v>
      </c>
      <c r="F32" s="112">
        <v>4.5</v>
      </c>
      <c r="G32" s="112">
        <v>8.7100000000000009</v>
      </c>
      <c r="H32" s="112">
        <v>2.15</v>
      </c>
      <c r="I32" s="112">
        <v>2.96</v>
      </c>
      <c r="J32" s="112">
        <v>0.51</v>
      </c>
      <c r="K32" s="112">
        <v>268.14999999999998</v>
      </c>
      <c r="L32" s="112">
        <v>25.08</v>
      </c>
      <c r="M32" s="112">
        <v>91.72</v>
      </c>
      <c r="N32" s="112">
        <v>23.4</v>
      </c>
      <c r="O32" s="112">
        <v>0</v>
      </c>
      <c r="P32" s="112">
        <v>0.3</v>
      </c>
      <c r="Q32" s="112">
        <v>4.6500000000000004</v>
      </c>
    </row>
    <row r="33" spans="1:17" customFormat="1">
      <c r="A33" s="80">
        <v>45476.260416666664</v>
      </c>
      <c r="B33" s="112">
        <v>9.09</v>
      </c>
      <c r="C33" s="112">
        <v>4.03</v>
      </c>
      <c r="D33" s="112">
        <v>13.85</v>
      </c>
      <c r="E33" s="112">
        <v>6.62</v>
      </c>
      <c r="F33" s="112">
        <v>4.28</v>
      </c>
      <c r="G33" s="112">
        <v>8.7100000000000009</v>
      </c>
      <c r="H33" s="112">
        <v>2.15</v>
      </c>
      <c r="I33" s="112">
        <v>2.92</v>
      </c>
      <c r="J33" s="112">
        <v>0.55000000000000004</v>
      </c>
      <c r="K33" s="112">
        <v>279.08</v>
      </c>
      <c r="L33" s="112">
        <v>25.2</v>
      </c>
      <c r="M33" s="112">
        <v>91.25</v>
      </c>
      <c r="N33" s="112">
        <v>36.299999999999997</v>
      </c>
      <c r="O33" s="112">
        <v>0</v>
      </c>
      <c r="P33" s="112">
        <v>0.3</v>
      </c>
      <c r="Q33" s="112">
        <v>4.66</v>
      </c>
    </row>
    <row r="34" spans="1:17" customFormat="1">
      <c r="A34" s="80">
        <v>45476.270833333336</v>
      </c>
      <c r="B34" s="112">
        <v>9.09</v>
      </c>
      <c r="C34" s="112">
        <v>4.07</v>
      </c>
      <c r="D34" s="112">
        <v>13.87</v>
      </c>
      <c r="E34" s="112">
        <v>6.51</v>
      </c>
      <c r="F34" s="112">
        <v>4.2300000000000004</v>
      </c>
      <c r="G34" s="112">
        <v>8.7100000000000009</v>
      </c>
      <c r="H34" s="112">
        <v>2.15</v>
      </c>
      <c r="I34" s="112">
        <v>2.91</v>
      </c>
      <c r="J34" s="112">
        <v>0.51</v>
      </c>
      <c r="K34" s="112">
        <v>273.22000000000003</v>
      </c>
      <c r="L34" s="112">
        <v>25.31</v>
      </c>
      <c r="M34" s="112">
        <v>91.07</v>
      </c>
      <c r="N34" s="112">
        <v>53.3</v>
      </c>
      <c r="O34" s="112">
        <v>0</v>
      </c>
      <c r="P34" s="112">
        <v>0.3</v>
      </c>
      <c r="Q34" s="112">
        <v>4.66</v>
      </c>
    </row>
    <row r="35" spans="1:17" customFormat="1">
      <c r="A35" s="80">
        <v>45476.28125</v>
      </c>
      <c r="B35" s="112">
        <v>9.09</v>
      </c>
      <c r="C35" s="112">
        <v>4.0599999999999996</v>
      </c>
      <c r="D35" s="112">
        <v>13.86</v>
      </c>
      <c r="E35" s="112">
        <v>6.38</v>
      </c>
      <c r="F35" s="112">
        <v>4.5599999999999996</v>
      </c>
      <c r="G35" s="112">
        <v>9.5299999999999994</v>
      </c>
      <c r="H35" s="112">
        <v>2.27</v>
      </c>
      <c r="I35" s="112">
        <v>2.92</v>
      </c>
      <c r="J35" s="112">
        <v>0.75</v>
      </c>
      <c r="K35" s="112">
        <v>265.87</v>
      </c>
      <c r="L35" s="112">
        <v>25.53</v>
      </c>
      <c r="M35" s="112">
        <v>89.32</v>
      </c>
      <c r="N35" s="112">
        <v>69.900000000000006</v>
      </c>
      <c r="O35" s="112">
        <v>0</v>
      </c>
      <c r="P35" s="112">
        <v>0.3</v>
      </c>
      <c r="Q35" s="112">
        <v>4.6500000000000004</v>
      </c>
    </row>
    <row r="36" spans="1:17" customFormat="1">
      <c r="A36" s="80">
        <v>45476.291666666664</v>
      </c>
      <c r="B36" s="112">
        <v>9.1</v>
      </c>
      <c r="C36" s="112">
        <v>4.0599999999999996</v>
      </c>
      <c r="D36" s="112">
        <v>13.86</v>
      </c>
      <c r="E36" s="112">
        <v>6.18</v>
      </c>
      <c r="F36" s="112">
        <v>4.41</v>
      </c>
      <c r="G36" s="112">
        <v>10.15</v>
      </c>
      <c r="H36" s="112">
        <v>2.41</v>
      </c>
      <c r="I36" s="112">
        <v>2.92</v>
      </c>
      <c r="J36" s="112">
        <v>0.68</v>
      </c>
      <c r="K36" s="112">
        <v>261.98</v>
      </c>
      <c r="L36" s="112">
        <v>25.67</v>
      </c>
      <c r="M36" s="112">
        <v>89.1</v>
      </c>
      <c r="N36" s="112">
        <v>88.2</v>
      </c>
      <c r="O36" s="112">
        <v>0</v>
      </c>
      <c r="P36" s="112">
        <v>0.28999999999999998</v>
      </c>
      <c r="Q36" s="112">
        <v>4.6500000000000004</v>
      </c>
    </row>
    <row r="37" spans="1:17" customFormat="1">
      <c r="A37" s="80">
        <v>45476.302083333336</v>
      </c>
      <c r="B37" s="112">
        <v>9.1</v>
      </c>
      <c r="C37" s="112">
        <v>4.0599999999999996</v>
      </c>
      <c r="D37" s="112">
        <v>13.87</v>
      </c>
      <c r="E37" s="112">
        <v>6.35</v>
      </c>
      <c r="F37" s="112">
        <v>3.73</v>
      </c>
      <c r="G37" s="112">
        <v>10.15</v>
      </c>
      <c r="H37" s="112">
        <v>2.41</v>
      </c>
      <c r="I37" s="112">
        <v>2.91</v>
      </c>
      <c r="J37" s="112">
        <v>0.76</v>
      </c>
      <c r="K37" s="112">
        <v>269.01</v>
      </c>
      <c r="L37" s="112">
        <v>25.89</v>
      </c>
      <c r="M37" s="112">
        <v>88.62</v>
      </c>
      <c r="N37" s="112">
        <v>102.2</v>
      </c>
      <c r="O37" s="112">
        <v>0</v>
      </c>
      <c r="P37" s="112">
        <v>0.28999999999999998</v>
      </c>
      <c r="Q37" s="112">
        <v>4.66</v>
      </c>
    </row>
    <row r="38" spans="1:17" customFormat="1">
      <c r="A38" s="80">
        <v>45476.3125</v>
      </c>
      <c r="B38" s="112">
        <v>9.11</v>
      </c>
      <c r="C38" s="112">
        <v>4.05</v>
      </c>
      <c r="D38" s="112">
        <v>13.87</v>
      </c>
      <c r="E38" s="112">
        <v>6.05</v>
      </c>
      <c r="F38" s="112">
        <v>3.7</v>
      </c>
      <c r="G38" s="112">
        <v>10.15</v>
      </c>
      <c r="H38" s="112">
        <v>2.41</v>
      </c>
      <c r="I38" s="112">
        <v>2.94</v>
      </c>
      <c r="J38" s="112">
        <v>0.83</v>
      </c>
      <c r="K38" s="112">
        <v>266.08</v>
      </c>
      <c r="L38" s="112">
        <v>26.17</v>
      </c>
      <c r="M38" s="112">
        <v>87.9</v>
      </c>
      <c r="N38" s="112">
        <v>127.6</v>
      </c>
      <c r="O38" s="112">
        <v>0</v>
      </c>
      <c r="P38" s="112">
        <v>0.31</v>
      </c>
      <c r="Q38" s="112">
        <v>4.6500000000000004</v>
      </c>
    </row>
    <row r="39" spans="1:17" customFormat="1">
      <c r="A39" s="80">
        <v>45476.322916666664</v>
      </c>
      <c r="B39" s="112">
        <v>9.11</v>
      </c>
      <c r="C39" s="112">
        <v>4.0599999999999996</v>
      </c>
      <c r="D39" s="112">
        <v>13.88</v>
      </c>
      <c r="E39" s="112">
        <v>6.73</v>
      </c>
      <c r="F39" s="112">
        <v>3.8</v>
      </c>
      <c r="G39" s="112">
        <v>9.32</v>
      </c>
      <c r="H39" s="112">
        <v>3.15</v>
      </c>
      <c r="I39" s="112">
        <v>2.98</v>
      </c>
      <c r="J39" s="112">
        <v>0.78</v>
      </c>
      <c r="K39" s="112">
        <v>271.39</v>
      </c>
      <c r="L39" s="112">
        <v>26.26</v>
      </c>
      <c r="M39" s="112">
        <v>87.11</v>
      </c>
      <c r="N39" s="112">
        <v>116.4</v>
      </c>
      <c r="O39" s="112">
        <v>0</v>
      </c>
      <c r="P39" s="112">
        <v>0.32</v>
      </c>
      <c r="Q39" s="112">
        <v>4.6500000000000004</v>
      </c>
    </row>
    <row r="40" spans="1:17" customFormat="1">
      <c r="A40" s="80">
        <v>45476.333333333336</v>
      </c>
      <c r="B40" s="112">
        <v>9.1</v>
      </c>
      <c r="C40" s="112">
        <v>4.0599999999999996</v>
      </c>
      <c r="D40" s="112">
        <v>13.87</v>
      </c>
      <c r="E40" s="112">
        <v>6.65</v>
      </c>
      <c r="F40" s="112">
        <v>3.77</v>
      </c>
      <c r="G40" s="112">
        <v>8.68</v>
      </c>
      <c r="H40" s="112">
        <v>3.38</v>
      </c>
      <c r="I40" s="112">
        <v>2.99</v>
      </c>
      <c r="J40" s="112">
        <v>0.61</v>
      </c>
      <c r="K40" s="112">
        <v>259.83</v>
      </c>
      <c r="L40" s="112">
        <v>26.41</v>
      </c>
      <c r="M40" s="112">
        <v>87.61</v>
      </c>
      <c r="N40" s="112">
        <v>128.6</v>
      </c>
      <c r="O40" s="112">
        <v>0</v>
      </c>
      <c r="P40" s="112">
        <v>0.31</v>
      </c>
      <c r="Q40" s="112">
        <v>4.63</v>
      </c>
    </row>
    <row r="41" spans="1:17" customFormat="1">
      <c r="A41" s="80">
        <v>45476.34375</v>
      </c>
      <c r="B41" s="112">
        <v>9.09</v>
      </c>
      <c r="C41" s="112">
        <v>4.05</v>
      </c>
      <c r="D41" s="112">
        <v>13.85</v>
      </c>
      <c r="E41" s="112">
        <v>6.62</v>
      </c>
      <c r="F41" s="112">
        <v>3.49</v>
      </c>
      <c r="G41" s="112">
        <v>8.68</v>
      </c>
      <c r="H41" s="112">
        <v>3.38</v>
      </c>
      <c r="I41" s="112">
        <v>2.99</v>
      </c>
      <c r="J41" s="112">
        <v>0.78</v>
      </c>
      <c r="K41" s="112">
        <v>277.43</v>
      </c>
      <c r="L41" s="112">
        <v>27.07</v>
      </c>
      <c r="M41" s="112">
        <v>85.15</v>
      </c>
      <c r="N41" s="112">
        <v>191.9</v>
      </c>
      <c r="O41" s="112">
        <v>0</v>
      </c>
      <c r="P41" s="112">
        <v>0.32</v>
      </c>
      <c r="Q41" s="112">
        <v>4.62</v>
      </c>
    </row>
    <row r="42" spans="1:17" customFormat="1">
      <c r="A42" s="80">
        <v>45476.354166666664</v>
      </c>
      <c r="B42" s="112">
        <v>9.09</v>
      </c>
      <c r="C42" s="112">
        <v>4.03</v>
      </c>
      <c r="D42" s="112">
        <v>13.84</v>
      </c>
      <c r="E42" s="112">
        <v>6.22</v>
      </c>
      <c r="F42" s="112">
        <v>3.8</v>
      </c>
      <c r="G42" s="112">
        <v>8.68</v>
      </c>
      <c r="H42" s="112">
        <v>3.38</v>
      </c>
      <c r="I42" s="112">
        <v>3.03</v>
      </c>
      <c r="J42" s="112">
        <v>1.01</v>
      </c>
      <c r="K42" s="112">
        <v>273.41000000000003</v>
      </c>
      <c r="L42" s="112">
        <v>27.2</v>
      </c>
      <c r="M42" s="112">
        <v>83.66</v>
      </c>
      <c r="N42" s="112">
        <v>164.7</v>
      </c>
      <c r="O42" s="112">
        <v>0</v>
      </c>
      <c r="P42" s="112">
        <v>0.33</v>
      </c>
      <c r="Q42" s="112">
        <v>4.62</v>
      </c>
    </row>
    <row r="43" spans="1:17" customFormat="1">
      <c r="A43" s="80">
        <v>45476.364583333336</v>
      </c>
      <c r="B43" s="112">
        <v>9.08</v>
      </c>
      <c r="C43" s="112">
        <v>4.04</v>
      </c>
      <c r="D43" s="112">
        <v>13.84</v>
      </c>
      <c r="E43" s="112">
        <v>6.37</v>
      </c>
      <c r="F43" s="112">
        <v>4.24</v>
      </c>
      <c r="G43" s="112">
        <v>9.06</v>
      </c>
      <c r="H43" s="112">
        <v>2.73</v>
      </c>
      <c r="I43" s="112">
        <v>3.04</v>
      </c>
      <c r="J43" s="112">
        <v>0.86</v>
      </c>
      <c r="K43" s="112">
        <v>266.33</v>
      </c>
      <c r="L43" s="112">
        <v>27.32</v>
      </c>
      <c r="M43" s="112">
        <v>83.94</v>
      </c>
      <c r="N43" s="112">
        <v>163.69999999999999</v>
      </c>
      <c r="O43" s="112">
        <v>0</v>
      </c>
      <c r="P43" s="112">
        <v>0.27</v>
      </c>
      <c r="Q43" s="112">
        <v>4.63</v>
      </c>
    </row>
    <row r="44" spans="1:17" customFormat="1">
      <c r="A44" s="80">
        <v>45476.375</v>
      </c>
      <c r="B44" s="112">
        <v>9.08</v>
      </c>
      <c r="C44" s="112">
        <v>4.07</v>
      </c>
      <c r="D44" s="112">
        <v>13.86</v>
      </c>
      <c r="E44" s="112">
        <v>6.22</v>
      </c>
      <c r="F44" s="112">
        <v>4.2300000000000004</v>
      </c>
      <c r="G44" s="112">
        <v>9.36</v>
      </c>
      <c r="H44" s="112">
        <v>2.52</v>
      </c>
      <c r="I44" s="112">
        <v>3.02</v>
      </c>
      <c r="J44" s="112">
        <v>1.3</v>
      </c>
      <c r="K44" s="112">
        <v>278.17</v>
      </c>
      <c r="L44" s="112">
        <v>27.55</v>
      </c>
      <c r="M44" s="112">
        <v>82.44</v>
      </c>
      <c r="N44" s="112">
        <v>195.1</v>
      </c>
      <c r="O44" s="112">
        <v>0</v>
      </c>
      <c r="P44" s="112">
        <v>0.24</v>
      </c>
      <c r="Q44" s="112">
        <v>4.63</v>
      </c>
    </row>
    <row r="45" spans="1:17" customFormat="1">
      <c r="A45" s="80">
        <v>45476.385416666664</v>
      </c>
      <c r="B45" s="112">
        <v>9.15</v>
      </c>
      <c r="C45" s="112">
        <v>4.08</v>
      </c>
      <c r="D45" s="112">
        <v>13.92</v>
      </c>
      <c r="E45" s="112">
        <v>6.34</v>
      </c>
      <c r="F45" s="112">
        <v>4.13</v>
      </c>
      <c r="G45" s="112">
        <v>9.36</v>
      </c>
      <c r="H45" s="112">
        <v>2.52</v>
      </c>
      <c r="I45" s="112">
        <v>2.97</v>
      </c>
      <c r="J45" s="112">
        <v>1.28</v>
      </c>
      <c r="K45" s="112">
        <v>277.74</v>
      </c>
      <c r="L45" s="112">
        <v>27.5</v>
      </c>
      <c r="M45" s="112">
        <v>82.45</v>
      </c>
      <c r="N45" s="112">
        <v>146.30000000000001</v>
      </c>
      <c r="O45" s="112">
        <v>0</v>
      </c>
      <c r="P45" s="112">
        <v>0.25</v>
      </c>
      <c r="Q45" s="112">
        <v>4.6500000000000004</v>
      </c>
    </row>
    <row r="46" spans="1:17" customFormat="1">
      <c r="A46" s="80">
        <v>45476.395833333336</v>
      </c>
      <c r="B46" s="112">
        <v>9.1999999999999993</v>
      </c>
      <c r="C46" s="112">
        <v>4.0599999999999996</v>
      </c>
      <c r="D46" s="112">
        <v>13.95</v>
      </c>
      <c r="E46" s="112">
        <v>6.74</v>
      </c>
      <c r="F46" s="112">
        <v>4.1500000000000004</v>
      </c>
      <c r="G46" s="112">
        <v>9.36</v>
      </c>
      <c r="H46" s="112">
        <v>2.52</v>
      </c>
      <c r="I46" s="112">
        <v>2.95</v>
      </c>
      <c r="J46" s="112">
        <v>0.98</v>
      </c>
      <c r="K46" s="112">
        <v>276.39999999999998</v>
      </c>
      <c r="L46" s="112">
        <v>27.36</v>
      </c>
      <c r="M46" s="112">
        <v>83.31</v>
      </c>
      <c r="N46" s="112">
        <v>105.4</v>
      </c>
      <c r="O46" s="112">
        <v>0</v>
      </c>
      <c r="P46" s="112">
        <v>0.25</v>
      </c>
      <c r="Q46" s="112">
        <v>4.6399999999999997</v>
      </c>
    </row>
    <row r="47" spans="1:17" customFormat="1">
      <c r="A47" s="80">
        <v>45476.40625</v>
      </c>
      <c r="B47" s="112">
        <v>9.19</v>
      </c>
      <c r="C47" s="112">
        <v>4.07</v>
      </c>
      <c r="D47" s="112">
        <v>13.95</v>
      </c>
      <c r="E47" s="112">
        <v>6.9</v>
      </c>
      <c r="F47" s="112">
        <v>4.6500000000000004</v>
      </c>
      <c r="G47" s="112">
        <v>12.25</v>
      </c>
      <c r="H47" s="112">
        <v>4.54</v>
      </c>
      <c r="I47" s="112">
        <v>2.93</v>
      </c>
      <c r="J47" s="112">
        <v>1.1499999999999999</v>
      </c>
      <c r="K47" s="112">
        <v>281.66000000000003</v>
      </c>
      <c r="L47" s="112">
        <v>27.56</v>
      </c>
      <c r="M47" s="112">
        <v>82.52</v>
      </c>
      <c r="N47" s="112">
        <v>152.69999999999999</v>
      </c>
      <c r="O47" s="112">
        <v>0</v>
      </c>
      <c r="P47" s="112">
        <v>0.27</v>
      </c>
      <c r="Q47" s="112">
        <v>4.6399999999999997</v>
      </c>
    </row>
    <row r="48" spans="1:17" customFormat="1">
      <c r="A48" s="80">
        <v>45476.416666666664</v>
      </c>
      <c r="B48" s="112">
        <v>9.1999999999999993</v>
      </c>
      <c r="C48" s="112">
        <v>4.04</v>
      </c>
      <c r="D48" s="112">
        <v>13.94</v>
      </c>
      <c r="E48" s="112">
        <v>7.27</v>
      </c>
      <c r="F48" s="112">
        <v>4.8099999999999996</v>
      </c>
      <c r="G48" s="112">
        <v>14.45</v>
      </c>
      <c r="H48" s="112">
        <v>5.25</v>
      </c>
      <c r="I48" s="112">
        <v>2.92</v>
      </c>
      <c r="J48" s="112">
        <v>1</v>
      </c>
      <c r="K48" s="112">
        <v>271.39999999999998</v>
      </c>
      <c r="L48" s="112">
        <v>27.87</v>
      </c>
      <c r="M48" s="112">
        <v>81.89</v>
      </c>
      <c r="N48" s="112">
        <v>186.6</v>
      </c>
      <c r="O48" s="112">
        <v>0</v>
      </c>
      <c r="P48" s="112">
        <v>0.28000000000000003</v>
      </c>
      <c r="Q48" s="112">
        <v>4.6399999999999997</v>
      </c>
    </row>
    <row r="49" spans="1:17" customFormat="1">
      <c r="A49" s="80">
        <v>45476.427083333336</v>
      </c>
      <c r="B49" s="112">
        <v>9.19</v>
      </c>
      <c r="C49" s="112">
        <v>4.04</v>
      </c>
      <c r="D49" s="112">
        <v>13.93</v>
      </c>
      <c r="E49" s="112">
        <v>7.89</v>
      </c>
      <c r="F49" s="112">
        <v>4.66</v>
      </c>
      <c r="G49" s="112">
        <v>14.45</v>
      </c>
      <c r="H49" s="112">
        <v>5.25</v>
      </c>
      <c r="I49" s="112">
        <v>2.94</v>
      </c>
      <c r="J49" s="112">
        <v>1.05</v>
      </c>
      <c r="K49" s="112">
        <v>278.60000000000002</v>
      </c>
      <c r="L49" s="112">
        <v>27.91</v>
      </c>
      <c r="M49" s="112">
        <v>81.55</v>
      </c>
      <c r="N49" s="112">
        <v>166.4</v>
      </c>
      <c r="O49" s="112">
        <v>0</v>
      </c>
      <c r="P49" s="112">
        <v>0.28999999999999998</v>
      </c>
      <c r="Q49" s="112">
        <v>4.6500000000000004</v>
      </c>
    </row>
    <row r="50" spans="1:17" customFormat="1">
      <c r="A50" s="80">
        <v>45476.4375</v>
      </c>
      <c r="B50" s="112">
        <v>9.1999999999999993</v>
      </c>
      <c r="C50" s="112">
        <v>4.05</v>
      </c>
      <c r="D50" s="112">
        <v>13.94</v>
      </c>
      <c r="E50" s="112">
        <v>9.58</v>
      </c>
      <c r="F50" s="112">
        <v>4.6500000000000004</v>
      </c>
      <c r="G50" s="112">
        <v>14.45</v>
      </c>
      <c r="H50" s="112">
        <v>5.25</v>
      </c>
      <c r="I50" s="112">
        <v>3</v>
      </c>
      <c r="J50" s="112">
        <v>1.1399999999999999</v>
      </c>
      <c r="K50" s="112">
        <v>293.57</v>
      </c>
      <c r="L50" s="112">
        <v>28.7</v>
      </c>
      <c r="M50" s="112">
        <v>77.88</v>
      </c>
      <c r="N50" s="112">
        <v>313.2</v>
      </c>
      <c r="O50" s="112">
        <v>0</v>
      </c>
      <c r="P50" s="112">
        <v>0.31</v>
      </c>
      <c r="Q50" s="112">
        <v>4.62</v>
      </c>
    </row>
    <row r="51" spans="1:17" customFormat="1">
      <c r="A51" s="80">
        <v>45476.447916666664</v>
      </c>
      <c r="B51" s="112">
        <v>9.19</v>
      </c>
      <c r="C51" s="112">
        <v>4.1100000000000003</v>
      </c>
      <c r="D51" s="112">
        <v>13.96</v>
      </c>
      <c r="E51" s="112">
        <v>9.98</v>
      </c>
      <c r="F51" s="112">
        <v>4.9800000000000004</v>
      </c>
      <c r="G51" s="112">
        <v>17.739999999999998</v>
      </c>
      <c r="H51" s="112">
        <v>6.75</v>
      </c>
      <c r="I51" s="112">
        <v>3.07</v>
      </c>
      <c r="J51" s="112">
        <v>1</v>
      </c>
      <c r="K51" s="112">
        <v>284.70999999999998</v>
      </c>
      <c r="L51" s="112">
        <v>29.12</v>
      </c>
      <c r="M51" s="112">
        <v>77.2</v>
      </c>
      <c r="N51" s="112">
        <v>311.60000000000002</v>
      </c>
      <c r="O51" s="112">
        <v>0</v>
      </c>
      <c r="P51" s="112">
        <v>0.33</v>
      </c>
      <c r="Q51" s="112">
        <v>4.63</v>
      </c>
    </row>
    <row r="52" spans="1:17" customFormat="1">
      <c r="A52" s="80">
        <v>45476.458333333336</v>
      </c>
      <c r="B52" s="112">
        <v>9.16</v>
      </c>
      <c r="C52" s="112">
        <v>4.0599999999999996</v>
      </c>
      <c r="D52" s="112">
        <v>13.92</v>
      </c>
      <c r="E52" s="112">
        <v>9.93</v>
      </c>
      <c r="F52" s="112">
        <v>4.55</v>
      </c>
      <c r="G52" s="112">
        <v>20.25</v>
      </c>
      <c r="H52" s="112">
        <v>7.24</v>
      </c>
      <c r="I52" s="112">
        <v>3.39</v>
      </c>
      <c r="J52" s="112">
        <v>1.07</v>
      </c>
      <c r="K52" s="112">
        <v>278.07</v>
      </c>
      <c r="L52" s="112">
        <v>29.29</v>
      </c>
      <c r="M52" s="112">
        <v>77.33</v>
      </c>
      <c r="N52" s="112">
        <v>271.3</v>
      </c>
      <c r="O52" s="112">
        <v>0</v>
      </c>
      <c r="P52" s="112">
        <v>0.34</v>
      </c>
      <c r="Q52" s="112">
        <v>4.63</v>
      </c>
    </row>
    <row r="53" spans="1:17" customFormat="1">
      <c r="A53" s="80">
        <v>45476.46875</v>
      </c>
      <c r="B53" s="112">
        <v>9.17</v>
      </c>
      <c r="C53" s="112">
        <v>4.0599999999999996</v>
      </c>
      <c r="D53" s="112">
        <v>13.93</v>
      </c>
      <c r="E53" s="112">
        <v>10.41</v>
      </c>
      <c r="F53" s="112">
        <v>4.8</v>
      </c>
      <c r="G53" s="112">
        <v>20.25</v>
      </c>
      <c r="H53" s="112">
        <v>7.24</v>
      </c>
      <c r="I53" s="112">
        <v>3.6</v>
      </c>
      <c r="J53" s="112">
        <v>0.96</v>
      </c>
      <c r="K53" s="112">
        <v>273.67</v>
      </c>
      <c r="L53" s="112">
        <v>29.42</v>
      </c>
      <c r="M53" s="112">
        <v>76.489999999999995</v>
      </c>
      <c r="N53" s="112">
        <v>286.2</v>
      </c>
      <c r="O53" s="112">
        <v>0</v>
      </c>
      <c r="P53" s="112">
        <v>0.37</v>
      </c>
      <c r="Q53" s="112">
        <v>4.6399999999999997</v>
      </c>
    </row>
    <row r="54" spans="1:17" customFormat="1">
      <c r="A54" s="80">
        <v>45476.479166666664</v>
      </c>
      <c r="B54" s="112">
        <v>9.16</v>
      </c>
      <c r="C54" s="112">
        <v>4.08</v>
      </c>
      <c r="D54" s="112">
        <v>13.92</v>
      </c>
      <c r="E54" s="112">
        <v>10.17</v>
      </c>
      <c r="F54" s="112">
        <v>4.9800000000000004</v>
      </c>
      <c r="G54" s="112">
        <v>20.25</v>
      </c>
      <c r="H54" s="112">
        <v>7.24</v>
      </c>
      <c r="I54" s="112">
        <v>3.62</v>
      </c>
      <c r="J54" s="112">
        <v>1.32</v>
      </c>
      <c r="K54" s="112">
        <v>285.23</v>
      </c>
      <c r="L54" s="112">
        <v>30.14</v>
      </c>
      <c r="M54" s="112">
        <v>73.58</v>
      </c>
      <c r="N54" s="112">
        <v>405</v>
      </c>
      <c r="O54" s="112">
        <v>0</v>
      </c>
      <c r="P54" s="112">
        <v>0.4</v>
      </c>
      <c r="Q54" s="112">
        <v>4.63</v>
      </c>
    </row>
    <row r="55" spans="1:17" customFormat="1">
      <c r="A55" s="80">
        <v>45476.489583333336</v>
      </c>
      <c r="B55" s="112">
        <v>9.16</v>
      </c>
      <c r="C55" s="112">
        <v>4.08</v>
      </c>
      <c r="D55" s="112">
        <v>13.93</v>
      </c>
      <c r="E55" s="112">
        <v>9.9700000000000006</v>
      </c>
      <c r="F55" s="112">
        <v>5.7</v>
      </c>
      <c r="G55" s="112">
        <v>21.66</v>
      </c>
      <c r="H55" s="112">
        <v>9.85</v>
      </c>
      <c r="I55" s="112">
        <v>3.99</v>
      </c>
      <c r="J55" s="112">
        <v>1.1599999999999999</v>
      </c>
      <c r="K55" s="112">
        <v>275.82</v>
      </c>
      <c r="L55" s="112">
        <v>30.23</v>
      </c>
      <c r="M55" s="112">
        <v>72.680000000000007</v>
      </c>
      <c r="N55" s="112">
        <v>325.39999999999998</v>
      </c>
      <c r="O55" s="112">
        <v>0</v>
      </c>
      <c r="P55" s="112">
        <v>0.44</v>
      </c>
      <c r="Q55" s="112">
        <v>4.6500000000000004</v>
      </c>
    </row>
    <row r="56" spans="1:17" customFormat="1">
      <c r="A56" s="80">
        <v>45476.5</v>
      </c>
      <c r="B56" s="112">
        <v>9.16</v>
      </c>
      <c r="C56" s="112">
        <v>4.08</v>
      </c>
      <c r="D56" s="112">
        <v>13.93</v>
      </c>
      <c r="E56" s="112">
        <v>10.210000000000001</v>
      </c>
      <c r="F56" s="112">
        <v>5.0999999999999996</v>
      </c>
      <c r="G56" s="112">
        <v>22.74</v>
      </c>
      <c r="H56" s="112">
        <v>10.7</v>
      </c>
      <c r="I56" s="112">
        <v>4.22</v>
      </c>
      <c r="J56" s="112">
        <v>0.93</v>
      </c>
      <c r="K56" s="112">
        <v>280.74</v>
      </c>
      <c r="L56" s="112">
        <v>30.16</v>
      </c>
      <c r="M56" s="112">
        <v>73.680000000000007</v>
      </c>
      <c r="N56" s="112">
        <v>283.60000000000002</v>
      </c>
      <c r="O56" s="112">
        <v>0</v>
      </c>
      <c r="P56" s="112">
        <v>0.44</v>
      </c>
      <c r="Q56" s="112">
        <v>4.6500000000000004</v>
      </c>
    </row>
    <row r="57" spans="1:17" customFormat="1">
      <c r="A57" s="80">
        <v>45476.510416666664</v>
      </c>
      <c r="B57" s="112">
        <v>9.17</v>
      </c>
      <c r="C57" s="112">
        <v>4.05</v>
      </c>
      <c r="D57" s="112">
        <v>13.92</v>
      </c>
      <c r="E57" s="112">
        <v>10.11</v>
      </c>
      <c r="F57" s="112">
        <v>4.92</v>
      </c>
      <c r="G57" s="112">
        <v>22.74</v>
      </c>
      <c r="H57" s="112">
        <v>10.7</v>
      </c>
      <c r="I57" s="112">
        <v>4.41</v>
      </c>
      <c r="J57" s="112">
        <v>0.89</v>
      </c>
      <c r="K57" s="112">
        <v>267.98</v>
      </c>
      <c r="L57" s="112">
        <v>30.09</v>
      </c>
      <c r="M57" s="112">
        <v>73.83</v>
      </c>
      <c r="N57" s="112">
        <v>262.10000000000002</v>
      </c>
      <c r="O57" s="112">
        <v>0</v>
      </c>
      <c r="P57" s="112">
        <v>0.46</v>
      </c>
      <c r="Q57" s="112">
        <v>4.6500000000000004</v>
      </c>
    </row>
    <row r="58" spans="1:17" customFormat="1">
      <c r="A58" s="80">
        <v>45476.520833333336</v>
      </c>
      <c r="B58" s="112">
        <v>9.17</v>
      </c>
      <c r="C58" s="112">
        <v>4.0599999999999996</v>
      </c>
      <c r="D58" s="112">
        <v>13.93</v>
      </c>
      <c r="E58" s="112">
        <v>10.36</v>
      </c>
      <c r="F58" s="112">
        <v>6</v>
      </c>
      <c r="G58" s="112">
        <v>22.74</v>
      </c>
      <c r="H58" s="112">
        <v>10.7</v>
      </c>
      <c r="I58" s="112">
        <v>4.66</v>
      </c>
      <c r="J58" s="112">
        <v>1.07</v>
      </c>
      <c r="K58" s="112">
        <v>274.54000000000002</v>
      </c>
      <c r="L58" s="112">
        <v>30.22</v>
      </c>
      <c r="M58" s="112">
        <v>72.98</v>
      </c>
      <c r="N58" s="112">
        <v>320.2</v>
      </c>
      <c r="O58" s="112">
        <v>0</v>
      </c>
      <c r="P58" s="112">
        <v>0.46</v>
      </c>
      <c r="Q58" s="112">
        <v>4.6500000000000004</v>
      </c>
    </row>
    <row r="59" spans="1:17" customFormat="1">
      <c r="A59" s="80">
        <v>45476.53125</v>
      </c>
      <c r="B59" s="112">
        <v>9.19</v>
      </c>
      <c r="C59" s="112">
        <v>4.0599999999999996</v>
      </c>
      <c r="D59" s="112">
        <v>13.94</v>
      </c>
      <c r="E59" s="112">
        <v>10.44</v>
      </c>
      <c r="F59" s="112">
        <v>5.59</v>
      </c>
      <c r="G59" s="112">
        <v>27.78</v>
      </c>
      <c r="H59" s="112">
        <v>12.11</v>
      </c>
      <c r="I59" s="112">
        <v>4.8899999999999997</v>
      </c>
      <c r="J59" s="112">
        <v>0.81</v>
      </c>
      <c r="K59" s="112">
        <v>268.94</v>
      </c>
      <c r="L59" s="112">
        <v>30.81</v>
      </c>
      <c r="M59" s="112">
        <v>72.010000000000005</v>
      </c>
      <c r="N59" s="112">
        <v>296.3</v>
      </c>
      <c r="O59" s="112">
        <v>0</v>
      </c>
      <c r="P59" s="112">
        <v>0.48</v>
      </c>
      <c r="Q59" s="112">
        <v>4.6500000000000004</v>
      </c>
    </row>
    <row r="60" spans="1:17" customFormat="1">
      <c r="A60" s="80">
        <v>45476.541666666664</v>
      </c>
      <c r="B60" s="112">
        <v>9.19</v>
      </c>
      <c r="C60" s="112">
        <v>4.05</v>
      </c>
      <c r="D60" s="112">
        <v>13.94</v>
      </c>
      <c r="E60" s="112">
        <v>10.77</v>
      </c>
      <c r="F60" s="112">
        <v>5.27</v>
      </c>
      <c r="G60" s="112">
        <v>31.62</v>
      </c>
      <c r="H60" s="112">
        <v>13.01</v>
      </c>
      <c r="I60" s="112">
        <v>5.0599999999999996</v>
      </c>
      <c r="J60" s="112">
        <v>1.01</v>
      </c>
      <c r="K60" s="112">
        <v>279.08</v>
      </c>
      <c r="L60" s="112">
        <v>31.09</v>
      </c>
      <c r="M60" s="112">
        <v>69.64</v>
      </c>
      <c r="N60" s="112">
        <v>514.29999999999995</v>
      </c>
      <c r="O60" s="112">
        <v>0</v>
      </c>
      <c r="P60" s="112">
        <v>0.48</v>
      </c>
      <c r="Q60" s="112">
        <v>4.62</v>
      </c>
    </row>
    <row r="61" spans="1:17" customFormat="1">
      <c r="A61" s="80">
        <v>45476.552083333336</v>
      </c>
      <c r="B61" s="112">
        <v>9.1999999999999993</v>
      </c>
      <c r="C61" s="112">
        <v>4.07</v>
      </c>
      <c r="D61" s="112">
        <v>13.95</v>
      </c>
      <c r="E61" s="112">
        <v>11.23</v>
      </c>
      <c r="F61" s="112">
        <v>6.4</v>
      </c>
      <c r="G61" s="112">
        <v>31.62</v>
      </c>
      <c r="H61" s="112">
        <v>13.01</v>
      </c>
      <c r="I61" s="112">
        <v>5.0599999999999996</v>
      </c>
      <c r="J61" s="112">
        <v>1.03</v>
      </c>
      <c r="K61" s="112">
        <v>268.77999999999997</v>
      </c>
      <c r="L61" s="112">
        <v>32.33</v>
      </c>
      <c r="M61" s="112">
        <v>65.25</v>
      </c>
      <c r="N61" s="112">
        <v>524</v>
      </c>
      <c r="O61" s="112">
        <v>0</v>
      </c>
      <c r="P61" s="112">
        <v>0.47</v>
      </c>
      <c r="Q61" s="112">
        <v>4.6399999999999997</v>
      </c>
    </row>
    <row r="62" spans="1:17" customFormat="1">
      <c r="A62" s="80">
        <v>45476.5625</v>
      </c>
      <c r="B62" s="112">
        <v>9.1999999999999993</v>
      </c>
      <c r="C62" s="112">
        <v>4.07</v>
      </c>
      <c r="D62" s="112">
        <v>13.95</v>
      </c>
      <c r="E62" s="112">
        <v>10.65</v>
      </c>
      <c r="F62" s="112">
        <v>6.42</v>
      </c>
      <c r="G62" s="112">
        <v>31.62</v>
      </c>
      <c r="H62" s="112">
        <v>13.01</v>
      </c>
      <c r="I62" s="112">
        <v>5.19</v>
      </c>
      <c r="J62" s="112">
        <v>1.01</v>
      </c>
      <c r="K62" s="112">
        <v>279.95</v>
      </c>
      <c r="L62" s="112">
        <v>31.52</v>
      </c>
      <c r="M62" s="112">
        <v>67.3</v>
      </c>
      <c r="N62" s="112">
        <v>278</v>
      </c>
      <c r="O62" s="112">
        <v>0</v>
      </c>
      <c r="P62" s="112">
        <v>0.51</v>
      </c>
      <c r="Q62" s="112">
        <v>4.6500000000000004</v>
      </c>
    </row>
    <row r="63" spans="1:17" customFormat="1">
      <c r="A63" s="80">
        <v>45476.572916666664</v>
      </c>
      <c r="B63" s="112">
        <v>9.17</v>
      </c>
      <c r="C63" s="112">
        <v>4.05</v>
      </c>
      <c r="D63" s="112">
        <v>13.92</v>
      </c>
      <c r="E63" s="112">
        <v>11.1</v>
      </c>
      <c r="F63" s="112">
        <v>7.45</v>
      </c>
      <c r="G63" s="112">
        <v>32.9</v>
      </c>
      <c r="H63" s="112">
        <v>12.71</v>
      </c>
      <c r="I63" s="112">
        <v>5.2</v>
      </c>
      <c r="J63" s="112">
        <v>0.91</v>
      </c>
      <c r="K63" s="112">
        <v>269.58</v>
      </c>
      <c r="L63" s="112">
        <v>31.22</v>
      </c>
      <c r="M63" s="112">
        <v>67.739999999999995</v>
      </c>
      <c r="N63" s="112">
        <v>188.9</v>
      </c>
      <c r="O63" s="112">
        <v>0</v>
      </c>
      <c r="P63" s="112">
        <v>0.54</v>
      </c>
      <c r="Q63" s="112">
        <v>4.63</v>
      </c>
    </row>
    <row r="64" spans="1:17" customFormat="1">
      <c r="A64" s="80">
        <v>45476.583333333336</v>
      </c>
      <c r="B64" s="112">
        <v>9.2100000000000009</v>
      </c>
      <c r="C64" s="112">
        <v>4.03</v>
      </c>
      <c r="D64" s="112">
        <v>13.94</v>
      </c>
      <c r="E64" s="112">
        <v>10.45</v>
      </c>
      <c r="F64" s="112">
        <v>8.8800000000000008</v>
      </c>
      <c r="G64" s="112">
        <v>33.880000000000003</v>
      </c>
      <c r="H64" s="112">
        <v>12.61</v>
      </c>
      <c r="I64" s="112">
        <v>5.16</v>
      </c>
      <c r="J64" s="112">
        <v>0.83</v>
      </c>
      <c r="K64" s="112">
        <v>255.34</v>
      </c>
      <c r="L64" s="112">
        <v>31.57</v>
      </c>
      <c r="M64" s="112">
        <v>67.06</v>
      </c>
      <c r="N64" s="112">
        <v>376.8</v>
      </c>
      <c r="O64" s="112">
        <v>0</v>
      </c>
      <c r="P64" s="112">
        <v>0.52</v>
      </c>
      <c r="Q64" s="112">
        <v>4.6399999999999997</v>
      </c>
    </row>
    <row r="65" spans="1:17" customFormat="1">
      <c r="A65" s="80">
        <v>45476.59375</v>
      </c>
      <c r="B65" s="112">
        <v>9.16</v>
      </c>
      <c r="C65" s="112">
        <v>4.0599999999999996</v>
      </c>
      <c r="D65" s="112">
        <v>13.91</v>
      </c>
      <c r="E65" s="112">
        <v>9.3800000000000008</v>
      </c>
      <c r="F65" s="112">
        <v>9.2200000000000006</v>
      </c>
      <c r="G65" s="112">
        <v>33.880000000000003</v>
      </c>
      <c r="H65" s="112">
        <v>12.61</v>
      </c>
      <c r="I65" s="112">
        <v>5.1100000000000003</v>
      </c>
      <c r="J65" s="112">
        <v>0.94</v>
      </c>
      <c r="K65" s="112">
        <v>268.83999999999997</v>
      </c>
      <c r="L65" s="112">
        <v>32.229999999999997</v>
      </c>
      <c r="M65" s="112">
        <v>64.599999999999994</v>
      </c>
      <c r="N65" s="112">
        <v>338.4</v>
      </c>
      <c r="O65" s="112">
        <v>0</v>
      </c>
      <c r="P65" s="112">
        <v>0.43</v>
      </c>
      <c r="Q65" s="112">
        <v>4.6500000000000004</v>
      </c>
    </row>
    <row r="66" spans="1:17" customFormat="1">
      <c r="A66" s="80">
        <v>45476.604166666664</v>
      </c>
      <c r="B66" s="112">
        <v>9.11</v>
      </c>
      <c r="C66" s="112">
        <v>4.07</v>
      </c>
      <c r="D66" s="112">
        <v>13.88</v>
      </c>
      <c r="E66" s="112">
        <v>8.75</v>
      </c>
      <c r="F66" s="112">
        <v>10.62</v>
      </c>
      <c r="G66" s="112">
        <v>33.880000000000003</v>
      </c>
      <c r="H66" s="112">
        <v>12.61</v>
      </c>
      <c r="I66" s="112">
        <v>4.99</v>
      </c>
      <c r="J66" s="112">
        <v>0.68</v>
      </c>
      <c r="K66" s="112">
        <v>267.57</v>
      </c>
      <c r="L66" s="112">
        <v>31.48</v>
      </c>
      <c r="M66" s="112">
        <v>66.760000000000005</v>
      </c>
      <c r="N66" s="112">
        <v>119.2</v>
      </c>
      <c r="O66" s="112">
        <v>0</v>
      </c>
      <c r="P66" s="112">
        <v>0.43</v>
      </c>
      <c r="Q66" s="112">
        <v>4.6399999999999997</v>
      </c>
    </row>
    <row r="67" spans="1:17" customFormat="1">
      <c r="A67" s="80">
        <v>45476.614583333336</v>
      </c>
      <c r="B67" s="112">
        <v>9.11</v>
      </c>
      <c r="C67" s="112">
        <v>4.0599999999999996</v>
      </c>
      <c r="D67" s="112">
        <v>13.87</v>
      </c>
      <c r="E67" s="112">
        <v>8.6199999999999992</v>
      </c>
      <c r="F67" s="112">
        <v>11.21</v>
      </c>
      <c r="G67" s="112">
        <v>31.12</v>
      </c>
      <c r="H67" s="112">
        <v>12.17</v>
      </c>
      <c r="I67" s="112">
        <v>4.9400000000000004</v>
      </c>
      <c r="J67" s="112">
        <v>0.86</v>
      </c>
      <c r="K67" s="112">
        <v>266.88</v>
      </c>
      <c r="L67" s="112">
        <v>31.19</v>
      </c>
      <c r="M67" s="112">
        <v>66.239999999999995</v>
      </c>
      <c r="N67" s="112">
        <v>134.30000000000001</v>
      </c>
      <c r="O67" s="112">
        <v>0</v>
      </c>
      <c r="P67" s="112">
        <v>0.43</v>
      </c>
      <c r="Q67" s="112">
        <v>4.63</v>
      </c>
    </row>
    <row r="68" spans="1:17" customFormat="1">
      <c r="A68" s="80">
        <v>45476.625</v>
      </c>
      <c r="B68" s="112">
        <v>9.09</v>
      </c>
      <c r="C68" s="112">
        <v>4.09</v>
      </c>
      <c r="D68" s="112">
        <v>13.88</v>
      </c>
      <c r="E68" s="112">
        <v>8.4700000000000006</v>
      </c>
      <c r="F68" s="112">
        <v>11.61</v>
      </c>
      <c r="G68" s="112">
        <v>29.02</v>
      </c>
      <c r="H68" s="112">
        <v>12.02</v>
      </c>
      <c r="I68" s="112">
        <v>4.67</v>
      </c>
      <c r="J68" s="112">
        <v>0.92</v>
      </c>
      <c r="K68" s="112">
        <v>268.35000000000002</v>
      </c>
      <c r="L68" s="112">
        <v>31.69</v>
      </c>
      <c r="M68" s="112">
        <v>65.13</v>
      </c>
      <c r="N68" s="112">
        <v>324.7</v>
      </c>
      <c r="O68" s="112">
        <v>0</v>
      </c>
      <c r="P68" s="112">
        <v>0.42</v>
      </c>
      <c r="Q68" s="112">
        <v>4.63</v>
      </c>
    </row>
    <row r="69" spans="1:17" customFormat="1">
      <c r="A69" s="80">
        <v>45476.635416666664</v>
      </c>
      <c r="B69" s="112">
        <v>9.1</v>
      </c>
      <c r="C69" s="112">
        <v>4.04</v>
      </c>
      <c r="D69" s="112">
        <v>13.86</v>
      </c>
      <c r="E69" s="112">
        <v>8.25</v>
      </c>
      <c r="F69" s="112">
        <v>7.68</v>
      </c>
      <c r="G69" s="112">
        <v>29.02</v>
      </c>
      <c r="H69" s="112">
        <v>12.02</v>
      </c>
      <c r="I69" s="112">
        <v>4.62</v>
      </c>
      <c r="J69" s="112">
        <v>1.33</v>
      </c>
      <c r="K69" s="112">
        <v>274.52999999999997</v>
      </c>
      <c r="L69" s="112">
        <v>32.770000000000003</v>
      </c>
      <c r="M69" s="112">
        <v>60.69</v>
      </c>
      <c r="N69" s="112">
        <v>669.5</v>
      </c>
      <c r="O69" s="112">
        <v>0</v>
      </c>
      <c r="P69" s="112">
        <v>0.43</v>
      </c>
      <c r="Q69" s="112">
        <v>4.6399999999999997</v>
      </c>
    </row>
    <row r="70" spans="1:17" customFormat="1">
      <c r="A70" s="80">
        <v>45476.645833333336</v>
      </c>
      <c r="B70" s="112">
        <v>9.11</v>
      </c>
      <c r="C70" s="112">
        <v>4.05</v>
      </c>
      <c r="D70" s="112">
        <v>13.87</v>
      </c>
      <c r="E70" s="112">
        <v>8.6199999999999992</v>
      </c>
      <c r="F70" s="112">
        <v>7.49</v>
      </c>
      <c r="G70" s="112">
        <v>29.02</v>
      </c>
      <c r="H70" s="112">
        <v>12.02</v>
      </c>
      <c r="I70" s="112">
        <v>4.58</v>
      </c>
      <c r="J70" s="112">
        <v>1.44</v>
      </c>
      <c r="K70" s="112">
        <v>282.64</v>
      </c>
      <c r="L70" s="112">
        <v>32.9</v>
      </c>
      <c r="M70" s="112">
        <v>60.9</v>
      </c>
      <c r="N70" s="112">
        <v>477.2</v>
      </c>
      <c r="O70" s="112">
        <v>0</v>
      </c>
      <c r="P70" s="112">
        <v>0.43</v>
      </c>
      <c r="Q70" s="112">
        <v>4.63</v>
      </c>
    </row>
    <row r="71" spans="1:17" customFormat="1">
      <c r="A71" s="80">
        <v>45476.65625</v>
      </c>
      <c r="B71" s="112">
        <v>9.1</v>
      </c>
      <c r="C71" s="112">
        <v>4.05</v>
      </c>
      <c r="D71" s="112">
        <v>13.86</v>
      </c>
      <c r="E71" s="112">
        <v>9.99</v>
      </c>
      <c r="F71" s="112">
        <v>7.73</v>
      </c>
      <c r="G71" s="112">
        <v>29.17</v>
      </c>
      <c r="H71" s="112">
        <v>10.67</v>
      </c>
      <c r="I71" s="112">
        <v>4.7300000000000004</v>
      </c>
      <c r="J71" s="112">
        <v>1.48</v>
      </c>
      <c r="K71" s="112">
        <v>270.37</v>
      </c>
      <c r="L71" s="112">
        <v>32.200000000000003</v>
      </c>
      <c r="M71" s="112">
        <v>63.77</v>
      </c>
      <c r="N71" s="112">
        <v>272.60000000000002</v>
      </c>
      <c r="O71" s="112">
        <v>0</v>
      </c>
      <c r="P71" s="112">
        <v>0.44</v>
      </c>
      <c r="Q71" s="112">
        <v>4.63</v>
      </c>
    </row>
    <row r="72" spans="1:17" customFormat="1">
      <c r="A72" s="80">
        <v>45476.666666666664</v>
      </c>
      <c r="B72" s="112">
        <v>9.1199999999999992</v>
      </c>
      <c r="C72" s="112">
        <v>4.04</v>
      </c>
      <c r="D72" s="112">
        <v>13.87</v>
      </c>
      <c r="E72" s="112">
        <v>8.3000000000000007</v>
      </c>
      <c r="F72" s="112">
        <v>6.36</v>
      </c>
      <c r="G72" s="112">
        <v>29.28</v>
      </c>
      <c r="H72" s="112">
        <v>10.24</v>
      </c>
      <c r="I72" s="112">
        <v>4.78</v>
      </c>
      <c r="J72" s="112">
        <v>1.25</v>
      </c>
      <c r="K72" s="112">
        <v>264.2</v>
      </c>
      <c r="L72" s="112">
        <v>30.52</v>
      </c>
      <c r="M72" s="112">
        <v>69.95</v>
      </c>
      <c r="N72" s="112">
        <v>189.5</v>
      </c>
      <c r="O72" s="112">
        <v>0</v>
      </c>
      <c r="P72" s="112">
        <v>0.41</v>
      </c>
      <c r="Q72" s="112">
        <v>4.63</v>
      </c>
    </row>
    <row r="73" spans="1:17" customFormat="1">
      <c r="A73" s="80">
        <v>45476.677083333336</v>
      </c>
      <c r="B73" s="112">
        <v>9.11</v>
      </c>
      <c r="C73" s="112">
        <v>4.05</v>
      </c>
      <c r="D73" s="112">
        <v>13.87</v>
      </c>
      <c r="E73" s="112">
        <v>8.0399999999999991</v>
      </c>
      <c r="F73" s="112">
        <v>6.66</v>
      </c>
      <c r="G73" s="112">
        <v>29.28</v>
      </c>
      <c r="H73" s="112">
        <v>10.24</v>
      </c>
      <c r="I73" s="112">
        <v>4.8600000000000003</v>
      </c>
      <c r="J73" s="112">
        <v>0.98</v>
      </c>
      <c r="K73" s="112">
        <v>264.08999999999997</v>
      </c>
      <c r="L73" s="112">
        <v>30.45</v>
      </c>
      <c r="M73" s="112">
        <v>69.319999999999993</v>
      </c>
      <c r="N73" s="112">
        <v>199.4</v>
      </c>
      <c r="O73" s="112">
        <v>0</v>
      </c>
      <c r="P73" s="112">
        <v>0.4</v>
      </c>
      <c r="Q73" s="112">
        <v>4.6500000000000004</v>
      </c>
    </row>
    <row r="74" spans="1:17" customFormat="1">
      <c r="A74" s="80">
        <v>45476.6875</v>
      </c>
      <c r="B74" s="112">
        <v>9.08</v>
      </c>
      <c r="C74" s="112">
        <v>4.07</v>
      </c>
      <c r="D74" s="112">
        <v>13.86</v>
      </c>
      <c r="E74" s="112">
        <v>7.31</v>
      </c>
      <c r="F74" s="112">
        <v>7.29</v>
      </c>
      <c r="G74" s="112">
        <v>29.28</v>
      </c>
      <c r="H74" s="112">
        <v>10.24</v>
      </c>
      <c r="I74" s="112">
        <v>4.72</v>
      </c>
      <c r="J74" s="112">
        <v>1.1100000000000001</v>
      </c>
      <c r="K74" s="112">
        <v>284.52999999999997</v>
      </c>
      <c r="L74" s="112">
        <v>30.92</v>
      </c>
      <c r="M74" s="112">
        <v>66.489999999999995</v>
      </c>
      <c r="N74" s="112">
        <v>203.9</v>
      </c>
      <c r="O74" s="112">
        <v>0</v>
      </c>
      <c r="P74" s="112">
        <v>0.4</v>
      </c>
      <c r="Q74" s="112">
        <v>4.63</v>
      </c>
    </row>
    <row r="75" spans="1:17" customFormat="1">
      <c r="A75" s="80">
        <v>45476.697916666664</v>
      </c>
      <c r="B75" s="112">
        <v>9.08</v>
      </c>
      <c r="C75" s="112">
        <v>4.07</v>
      </c>
      <c r="D75" s="112">
        <v>13.86</v>
      </c>
      <c r="E75" s="112">
        <v>7.09</v>
      </c>
      <c r="F75" s="112">
        <v>7.7</v>
      </c>
      <c r="G75" s="112">
        <v>25.93</v>
      </c>
      <c r="H75" s="112">
        <v>10.28</v>
      </c>
      <c r="I75" s="112">
        <v>4.58</v>
      </c>
      <c r="J75" s="112">
        <v>0.87</v>
      </c>
      <c r="K75" s="112">
        <v>258.83999999999997</v>
      </c>
      <c r="L75" s="112">
        <v>30.88</v>
      </c>
      <c r="M75" s="112">
        <v>68.28</v>
      </c>
      <c r="N75" s="112">
        <v>146.6</v>
      </c>
      <c r="O75" s="112">
        <v>0</v>
      </c>
      <c r="P75" s="112">
        <v>0.39</v>
      </c>
      <c r="Q75" s="112">
        <v>4.6500000000000004</v>
      </c>
    </row>
    <row r="76" spans="1:17" customFormat="1">
      <c r="A76" s="80">
        <v>45476.708333333336</v>
      </c>
      <c r="B76" s="112">
        <v>9.08</v>
      </c>
      <c r="C76" s="112">
        <v>4.07</v>
      </c>
      <c r="D76" s="112">
        <v>13.86</v>
      </c>
      <c r="E76" s="112">
        <v>7.07</v>
      </c>
      <c r="F76" s="112">
        <v>8.7799999999999994</v>
      </c>
      <c r="G76" s="112">
        <v>23.36</v>
      </c>
      <c r="H76" s="112">
        <v>10.3</v>
      </c>
      <c r="I76" s="112">
        <v>4.43</v>
      </c>
      <c r="J76" s="112">
        <v>0.8</v>
      </c>
      <c r="K76" s="112">
        <v>260.07</v>
      </c>
      <c r="L76" s="112">
        <v>30.26</v>
      </c>
      <c r="M76" s="112">
        <v>71.06</v>
      </c>
      <c r="N76" s="112">
        <v>63</v>
      </c>
      <c r="O76" s="112">
        <v>0</v>
      </c>
      <c r="P76" s="112">
        <v>0.36</v>
      </c>
      <c r="Q76" s="112">
        <v>4.6500000000000004</v>
      </c>
    </row>
    <row r="77" spans="1:17" customFormat="1">
      <c r="A77" s="80">
        <v>45476.71875</v>
      </c>
      <c r="B77" s="112">
        <v>9.1</v>
      </c>
      <c r="C77" s="112">
        <v>4.05</v>
      </c>
      <c r="D77" s="112">
        <v>13.86</v>
      </c>
      <c r="E77" s="112">
        <v>7.22</v>
      </c>
      <c r="F77" s="112">
        <v>10.039999999999999</v>
      </c>
      <c r="G77" s="112">
        <v>23.36</v>
      </c>
      <c r="H77" s="112">
        <v>10.3</v>
      </c>
      <c r="I77" s="112">
        <v>4.29</v>
      </c>
      <c r="J77" s="112">
        <v>0.81</v>
      </c>
      <c r="K77" s="112">
        <v>269.36</v>
      </c>
      <c r="L77" s="112">
        <v>30.01</v>
      </c>
      <c r="M77" s="112">
        <v>69.73</v>
      </c>
      <c r="N77" s="112">
        <v>28</v>
      </c>
      <c r="O77" s="112">
        <v>0</v>
      </c>
      <c r="P77" s="112">
        <v>0.36</v>
      </c>
      <c r="Q77" s="112">
        <v>4.6399999999999997</v>
      </c>
    </row>
    <row r="78" spans="1:17" customFormat="1">
      <c r="A78" s="80">
        <v>45476.729166666664</v>
      </c>
      <c r="B78" s="112">
        <v>9.09</v>
      </c>
      <c r="C78" s="112">
        <v>4.07</v>
      </c>
      <c r="D78" s="112">
        <v>13.87</v>
      </c>
      <c r="E78" s="112">
        <v>7.24</v>
      </c>
      <c r="F78" s="112">
        <v>12</v>
      </c>
      <c r="G78" s="112">
        <v>23.36</v>
      </c>
      <c r="H78" s="112">
        <v>10.3</v>
      </c>
      <c r="I78" s="112">
        <v>4.18</v>
      </c>
      <c r="J78" s="112">
        <v>0.65</v>
      </c>
      <c r="K78" s="112">
        <v>265.49</v>
      </c>
      <c r="L78" s="112">
        <v>29.99</v>
      </c>
      <c r="M78" s="112">
        <v>70.59</v>
      </c>
      <c r="N78" s="112">
        <v>21.8</v>
      </c>
      <c r="O78" s="112">
        <v>0</v>
      </c>
      <c r="P78" s="112">
        <v>0.35</v>
      </c>
      <c r="Q78" s="112">
        <v>4.62</v>
      </c>
    </row>
    <row r="79" spans="1:17" customFormat="1">
      <c r="A79" s="80">
        <v>45476.739583333336</v>
      </c>
      <c r="B79" s="112">
        <v>9.1</v>
      </c>
      <c r="C79" s="112">
        <v>4.08</v>
      </c>
      <c r="D79" s="112">
        <v>13.87</v>
      </c>
      <c r="E79" s="112">
        <v>6.36</v>
      </c>
      <c r="F79" s="112">
        <v>16.04</v>
      </c>
      <c r="G79" s="112">
        <v>22.23</v>
      </c>
      <c r="H79" s="112">
        <v>10.9</v>
      </c>
      <c r="I79" s="112">
        <v>3.97</v>
      </c>
      <c r="J79" s="112">
        <v>0.54</v>
      </c>
      <c r="K79" s="112">
        <v>261.58999999999997</v>
      </c>
      <c r="L79" s="112">
        <v>29.93</v>
      </c>
      <c r="M79" s="112">
        <v>71.64</v>
      </c>
      <c r="N79" s="112">
        <v>20.8</v>
      </c>
      <c r="O79" s="112">
        <v>0</v>
      </c>
      <c r="P79" s="112">
        <v>0.33</v>
      </c>
      <c r="Q79" s="112">
        <v>4.63</v>
      </c>
    </row>
    <row r="80" spans="1:17" customFormat="1">
      <c r="A80" s="80">
        <v>45476.75</v>
      </c>
      <c r="B80" s="112">
        <v>9.1</v>
      </c>
      <c r="C80" s="112">
        <v>4.0599999999999996</v>
      </c>
      <c r="D80" s="112">
        <v>13.87</v>
      </c>
      <c r="E80" s="112">
        <v>6.91</v>
      </c>
      <c r="F80" s="112">
        <v>12.25</v>
      </c>
      <c r="G80" s="112">
        <v>21.36</v>
      </c>
      <c r="H80" s="112">
        <v>11.1</v>
      </c>
      <c r="I80" s="112">
        <v>3.93</v>
      </c>
      <c r="J80" s="112">
        <v>0.45</v>
      </c>
      <c r="K80" s="112">
        <v>252.32</v>
      </c>
      <c r="L80" s="112">
        <v>29.77</v>
      </c>
      <c r="M80" s="112">
        <v>74</v>
      </c>
      <c r="N80" s="112">
        <v>13.3</v>
      </c>
      <c r="O80" s="112">
        <v>0</v>
      </c>
      <c r="P80" s="112">
        <v>0.33</v>
      </c>
      <c r="Q80" s="112">
        <v>4.6500000000000004</v>
      </c>
    </row>
    <row r="81" spans="1:17" customFormat="1">
      <c r="A81" s="80">
        <v>45476.760416666664</v>
      </c>
      <c r="B81" s="112">
        <v>9.1199999999999992</v>
      </c>
      <c r="C81" s="112">
        <v>4.03</v>
      </c>
      <c r="D81" s="112">
        <v>13.87</v>
      </c>
      <c r="E81" s="112">
        <v>8.4499999999999993</v>
      </c>
      <c r="F81" s="112">
        <v>8.9</v>
      </c>
      <c r="G81" s="112">
        <v>21.36</v>
      </c>
      <c r="H81" s="112">
        <v>11.1</v>
      </c>
      <c r="I81" s="112">
        <v>3.62</v>
      </c>
      <c r="J81" s="112">
        <v>0.62</v>
      </c>
      <c r="K81" s="112">
        <v>255.32</v>
      </c>
      <c r="L81" s="112">
        <v>29.54</v>
      </c>
      <c r="M81" s="112">
        <v>75.94</v>
      </c>
      <c r="N81" s="112">
        <v>8.6</v>
      </c>
      <c r="O81" s="112">
        <v>0</v>
      </c>
      <c r="P81" s="112">
        <v>0.3</v>
      </c>
      <c r="Q81" s="112">
        <v>4.66</v>
      </c>
    </row>
    <row r="82" spans="1:17" customFormat="1">
      <c r="A82" s="80">
        <v>45476.770833333336</v>
      </c>
      <c r="B82" s="112">
        <v>9.17</v>
      </c>
      <c r="C82" s="112">
        <v>4.05</v>
      </c>
      <c r="D82" s="112">
        <v>13.92</v>
      </c>
      <c r="E82" s="112">
        <v>10.029999999999999</v>
      </c>
      <c r="F82" s="112">
        <v>8.91</v>
      </c>
      <c r="G82" s="112">
        <v>21.36</v>
      </c>
      <c r="H82" s="112">
        <v>11.1</v>
      </c>
      <c r="I82" s="112">
        <v>3.78</v>
      </c>
      <c r="J82" s="112">
        <v>0.52</v>
      </c>
      <c r="K82" s="112">
        <v>254.49</v>
      </c>
      <c r="L82" s="112">
        <v>29.31</v>
      </c>
      <c r="M82" s="112">
        <v>77.260000000000005</v>
      </c>
      <c r="N82" s="112">
        <v>5.9</v>
      </c>
      <c r="O82" s="112">
        <v>0</v>
      </c>
      <c r="P82" s="112">
        <v>0.28000000000000003</v>
      </c>
      <c r="Q82" s="112">
        <v>4.6399999999999997</v>
      </c>
    </row>
    <row r="83" spans="1:17" customFormat="1">
      <c r="A83" s="80">
        <v>45476.78125</v>
      </c>
      <c r="B83" s="112">
        <v>9.2200000000000006</v>
      </c>
      <c r="C83" s="112">
        <v>4.09</v>
      </c>
      <c r="D83" s="112">
        <v>13.98</v>
      </c>
      <c r="E83" s="112">
        <v>9.89</v>
      </c>
      <c r="F83" s="112">
        <v>8.8800000000000008</v>
      </c>
      <c r="G83" s="112">
        <v>22.99</v>
      </c>
      <c r="H83" s="112">
        <v>9.26</v>
      </c>
      <c r="I83" s="112">
        <v>3.88</v>
      </c>
      <c r="J83" s="112">
        <v>0.52</v>
      </c>
      <c r="K83" s="112">
        <v>264.74</v>
      </c>
      <c r="L83" s="112">
        <v>29</v>
      </c>
      <c r="M83" s="112">
        <v>78.37</v>
      </c>
      <c r="N83" s="112">
        <v>3.3</v>
      </c>
      <c r="O83" s="112">
        <v>0</v>
      </c>
      <c r="P83" s="112">
        <v>0.27</v>
      </c>
      <c r="Q83" s="112">
        <v>4.62</v>
      </c>
    </row>
    <row r="84" spans="1:17" customFormat="1">
      <c r="A84" s="80">
        <v>45476.791666666664</v>
      </c>
      <c r="B84" s="112">
        <v>9.19</v>
      </c>
      <c r="C84" s="112">
        <v>4.09</v>
      </c>
      <c r="D84" s="112">
        <v>13.95</v>
      </c>
      <c r="E84" s="112">
        <v>10.27</v>
      </c>
      <c r="F84" s="112">
        <v>8.6300000000000008</v>
      </c>
      <c r="G84" s="112">
        <v>24.24</v>
      </c>
      <c r="H84" s="112">
        <v>8.1199999999999992</v>
      </c>
      <c r="I84" s="112">
        <v>3.82</v>
      </c>
      <c r="J84" s="112">
        <v>0.55000000000000004</v>
      </c>
      <c r="K84" s="112">
        <v>259.14</v>
      </c>
      <c r="L84" s="112">
        <v>28.78</v>
      </c>
      <c r="M84" s="112">
        <v>78.72</v>
      </c>
      <c r="N84" s="112">
        <v>2.2000000000000002</v>
      </c>
      <c r="O84" s="112">
        <v>0</v>
      </c>
      <c r="P84" s="112">
        <v>0.27</v>
      </c>
      <c r="Q84" s="112">
        <v>4.63</v>
      </c>
    </row>
    <row r="85" spans="1:17" customFormat="1">
      <c r="A85" s="80">
        <v>45476.802083333336</v>
      </c>
      <c r="B85" s="112">
        <v>9.17</v>
      </c>
      <c r="C85" s="112">
        <v>4.09</v>
      </c>
      <c r="D85" s="112">
        <v>13.94</v>
      </c>
      <c r="E85" s="112">
        <v>10.79</v>
      </c>
      <c r="F85" s="112">
        <v>6.96</v>
      </c>
      <c r="G85" s="112">
        <v>24.24</v>
      </c>
      <c r="H85" s="112">
        <v>8.1199999999999992</v>
      </c>
      <c r="I85" s="112">
        <v>3.77</v>
      </c>
      <c r="J85" s="112">
        <v>0.69</v>
      </c>
      <c r="K85" s="112">
        <v>262.31</v>
      </c>
      <c r="L85" s="112">
        <v>28.74</v>
      </c>
      <c r="M85" s="112">
        <v>78.17</v>
      </c>
      <c r="N85" s="112">
        <v>2</v>
      </c>
      <c r="O85" s="112">
        <v>0</v>
      </c>
      <c r="P85" s="112">
        <v>0.28000000000000003</v>
      </c>
      <c r="Q85" s="112">
        <v>4.62</v>
      </c>
    </row>
    <row r="86" spans="1:17" customFormat="1">
      <c r="A86" s="80">
        <v>45476.8125</v>
      </c>
      <c r="B86" s="112">
        <v>9.18</v>
      </c>
      <c r="C86" s="112">
        <v>4.08</v>
      </c>
      <c r="D86" s="112">
        <v>13.94</v>
      </c>
      <c r="E86" s="112">
        <v>10.97</v>
      </c>
      <c r="F86" s="112">
        <v>8.0299999999999994</v>
      </c>
      <c r="G86" s="112">
        <v>24.24</v>
      </c>
      <c r="H86" s="112">
        <v>8.1199999999999992</v>
      </c>
      <c r="I86" s="112">
        <v>3.78</v>
      </c>
      <c r="J86" s="112">
        <v>0.54</v>
      </c>
      <c r="K86" s="112">
        <v>259.77</v>
      </c>
      <c r="L86" s="112">
        <v>28.68</v>
      </c>
      <c r="M86" s="112">
        <v>78.72</v>
      </c>
      <c r="N86" s="112">
        <v>2.1</v>
      </c>
      <c r="O86" s="112">
        <v>0</v>
      </c>
      <c r="P86" s="112">
        <v>0.27</v>
      </c>
      <c r="Q86" s="112">
        <v>4.63</v>
      </c>
    </row>
    <row r="87" spans="1:17" customFormat="1">
      <c r="A87" s="80">
        <v>45476.822916666664</v>
      </c>
      <c r="B87" s="112">
        <v>9.19</v>
      </c>
      <c r="C87" s="112">
        <v>4.04</v>
      </c>
      <c r="D87" s="112">
        <v>13.93</v>
      </c>
      <c r="E87" s="112">
        <v>11.18</v>
      </c>
      <c r="F87" s="112">
        <v>7.78</v>
      </c>
      <c r="G87" s="112">
        <v>22.76</v>
      </c>
      <c r="H87" s="112">
        <v>7.13</v>
      </c>
      <c r="I87" s="112">
        <v>3.82</v>
      </c>
      <c r="J87" s="112">
        <v>0.38</v>
      </c>
      <c r="K87" s="112">
        <v>251.09</v>
      </c>
      <c r="L87" s="112">
        <v>28.59</v>
      </c>
      <c r="M87" s="112">
        <v>79</v>
      </c>
      <c r="N87" s="112">
        <v>1.9</v>
      </c>
      <c r="O87" s="112">
        <v>0</v>
      </c>
      <c r="P87" s="112">
        <v>0.27</v>
      </c>
      <c r="Q87" s="112">
        <v>4.6399999999999997</v>
      </c>
    </row>
    <row r="88" spans="1:17" customFormat="1">
      <c r="A88" s="80">
        <v>45476.833333333336</v>
      </c>
      <c r="B88" s="112">
        <v>9.1999999999999993</v>
      </c>
      <c r="C88" s="112">
        <v>4.05</v>
      </c>
      <c r="D88" s="112">
        <v>13.94</v>
      </c>
      <c r="E88" s="112">
        <v>11.08</v>
      </c>
      <c r="F88" s="112">
        <v>6.77</v>
      </c>
      <c r="G88" s="112">
        <v>21.63</v>
      </c>
      <c r="H88" s="112">
        <v>6.82</v>
      </c>
      <c r="I88" s="112">
        <v>3.76</v>
      </c>
      <c r="J88" s="112">
        <v>0.68</v>
      </c>
      <c r="K88" s="112">
        <v>269.10000000000002</v>
      </c>
      <c r="L88" s="112">
        <v>28.5</v>
      </c>
      <c r="M88" s="112">
        <v>79.95</v>
      </c>
      <c r="N88" s="112">
        <v>2.1</v>
      </c>
      <c r="O88" s="112">
        <v>0</v>
      </c>
      <c r="P88" s="112">
        <v>0.27</v>
      </c>
      <c r="Q88" s="112">
        <v>4.6500000000000004</v>
      </c>
    </row>
    <row r="89" spans="1:17" customFormat="1">
      <c r="A89" s="80">
        <v>45476.84375</v>
      </c>
      <c r="B89" s="112">
        <v>9.1999999999999993</v>
      </c>
      <c r="C89" s="112">
        <v>4.04</v>
      </c>
      <c r="D89" s="112">
        <v>13.94</v>
      </c>
      <c r="E89" s="112">
        <v>11.35</v>
      </c>
      <c r="F89" s="112">
        <v>7.53</v>
      </c>
      <c r="G89" s="112">
        <v>21.63</v>
      </c>
      <c r="H89" s="112">
        <v>6.82</v>
      </c>
      <c r="I89" s="112">
        <v>3.69</v>
      </c>
      <c r="J89" s="112">
        <v>0.34</v>
      </c>
      <c r="K89" s="112">
        <v>259.76</v>
      </c>
      <c r="L89" s="112">
        <v>28.47</v>
      </c>
      <c r="M89" s="112">
        <v>80.900000000000006</v>
      </c>
      <c r="N89" s="112">
        <v>2.1</v>
      </c>
      <c r="O89" s="112">
        <v>0</v>
      </c>
      <c r="P89" s="112">
        <v>0.28000000000000003</v>
      </c>
      <c r="Q89" s="112">
        <v>4.62</v>
      </c>
    </row>
    <row r="90" spans="1:17" customFormat="1">
      <c r="A90" s="80">
        <v>45476.854166666664</v>
      </c>
      <c r="B90" s="112">
        <v>9.2100000000000009</v>
      </c>
      <c r="C90" s="112">
        <v>4.1100000000000003</v>
      </c>
      <c r="D90" s="112">
        <v>13.98</v>
      </c>
      <c r="E90" s="112">
        <v>11.34</v>
      </c>
      <c r="F90" s="112">
        <v>7.54</v>
      </c>
      <c r="G90" s="112">
        <v>21.63</v>
      </c>
      <c r="H90" s="112">
        <v>6.82</v>
      </c>
      <c r="I90" s="112">
        <v>3.71</v>
      </c>
      <c r="J90" s="112">
        <v>0.25</v>
      </c>
      <c r="K90" s="112">
        <v>230.92</v>
      </c>
      <c r="L90" s="112">
        <v>28.45</v>
      </c>
      <c r="M90" s="112">
        <v>81.99</v>
      </c>
      <c r="N90" s="112">
        <v>2.1</v>
      </c>
      <c r="O90" s="112">
        <v>0</v>
      </c>
      <c r="P90" s="112">
        <v>0.27</v>
      </c>
      <c r="Q90" s="112">
        <v>4.6500000000000004</v>
      </c>
    </row>
    <row r="91" spans="1:17" customFormat="1">
      <c r="A91" s="80">
        <v>45476.864583333336</v>
      </c>
      <c r="B91" s="112">
        <v>9.23</v>
      </c>
      <c r="C91" s="112">
        <v>4.08</v>
      </c>
      <c r="D91" s="112">
        <v>13.98</v>
      </c>
      <c r="E91" s="112">
        <v>11.37</v>
      </c>
      <c r="F91" s="112">
        <v>8.92</v>
      </c>
      <c r="G91" s="112">
        <v>19.95</v>
      </c>
      <c r="H91" s="112">
        <v>8.09</v>
      </c>
      <c r="I91" s="112">
        <v>3.7</v>
      </c>
      <c r="J91" s="112">
        <v>0.15</v>
      </c>
      <c r="K91" s="112">
        <v>222.35</v>
      </c>
      <c r="L91" s="112">
        <v>28.49</v>
      </c>
      <c r="M91" s="112">
        <v>81.8</v>
      </c>
      <c r="N91" s="112">
        <v>2.1</v>
      </c>
      <c r="O91" s="112">
        <v>0</v>
      </c>
      <c r="P91" s="112">
        <v>0.28000000000000003</v>
      </c>
      <c r="Q91" s="112">
        <v>4.66</v>
      </c>
    </row>
    <row r="92" spans="1:17" customFormat="1">
      <c r="A92" s="80">
        <v>45476.875</v>
      </c>
      <c r="B92" s="112">
        <v>9.2200000000000006</v>
      </c>
      <c r="C92" s="112">
        <v>4.07</v>
      </c>
      <c r="D92" s="112">
        <v>13.97</v>
      </c>
      <c r="E92" s="112">
        <v>11.72</v>
      </c>
      <c r="F92" s="112">
        <v>7.33</v>
      </c>
      <c r="G92" s="112">
        <v>18.670000000000002</v>
      </c>
      <c r="H92" s="112">
        <v>8.49</v>
      </c>
      <c r="I92" s="112">
        <v>3.68</v>
      </c>
      <c r="J92" s="112">
        <v>0.17</v>
      </c>
      <c r="K92" s="112">
        <v>228.01</v>
      </c>
      <c r="L92" s="112">
        <v>28.34</v>
      </c>
      <c r="M92" s="112">
        <v>83.04</v>
      </c>
      <c r="N92" s="112">
        <v>2.2000000000000002</v>
      </c>
      <c r="O92" s="112">
        <v>0</v>
      </c>
      <c r="P92" s="112">
        <v>0.27</v>
      </c>
      <c r="Q92" s="112">
        <v>4.6399999999999997</v>
      </c>
    </row>
    <row r="93" spans="1:17" customFormat="1">
      <c r="A93" s="80">
        <v>45476.885416666664</v>
      </c>
      <c r="B93" s="112">
        <v>9.23</v>
      </c>
      <c r="C93" s="112">
        <v>4.0599999999999996</v>
      </c>
      <c r="D93" s="112">
        <v>13.97</v>
      </c>
      <c r="E93" s="112">
        <v>12.02</v>
      </c>
      <c r="F93" s="112">
        <v>5.89</v>
      </c>
      <c r="G93" s="112">
        <v>18.670000000000002</v>
      </c>
      <c r="H93" s="112">
        <v>8.49</v>
      </c>
      <c r="I93" s="112">
        <v>3.61</v>
      </c>
      <c r="J93" s="112">
        <v>0.26</v>
      </c>
      <c r="K93" s="112">
        <v>242.68</v>
      </c>
      <c r="L93" s="112">
        <v>28.38</v>
      </c>
      <c r="M93" s="112">
        <v>82.47</v>
      </c>
      <c r="N93" s="112">
        <v>2.1</v>
      </c>
      <c r="O93" s="112">
        <v>0</v>
      </c>
      <c r="P93" s="112">
        <v>0.27</v>
      </c>
      <c r="Q93" s="112">
        <v>4.6399999999999997</v>
      </c>
    </row>
    <row r="94" spans="1:17" customFormat="1">
      <c r="A94" s="80">
        <v>45476.895833333336</v>
      </c>
      <c r="B94" s="112">
        <v>9.24</v>
      </c>
      <c r="C94" s="112">
        <v>4.0199999999999996</v>
      </c>
      <c r="D94" s="112">
        <v>13.96</v>
      </c>
      <c r="E94" s="112">
        <v>11.93</v>
      </c>
      <c r="F94" s="112">
        <v>7.05</v>
      </c>
      <c r="G94" s="112">
        <v>18.670000000000002</v>
      </c>
      <c r="H94" s="112">
        <v>8.49</v>
      </c>
      <c r="I94" s="112">
        <v>3.64</v>
      </c>
      <c r="J94" s="112">
        <v>0.27</v>
      </c>
      <c r="K94" s="112">
        <v>238.71</v>
      </c>
      <c r="L94" s="112">
        <v>28.2</v>
      </c>
      <c r="M94" s="112">
        <v>82.82</v>
      </c>
      <c r="N94" s="112">
        <v>2.1</v>
      </c>
      <c r="O94" s="112">
        <v>0</v>
      </c>
      <c r="P94" s="112">
        <v>0.27</v>
      </c>
      <c r="Q94" s="112">
        <v>4.6399999999999997</v>
      </c>
    </row>
    <row r="95" spans="1:17" customFormat="1">
      <c r="A95" s="80">
        <v>45476.90625</v>
      </c>
      <c r="B95" s="112">
        <v>9.2200000000000006</v>
      </c>
      <c r="C95" s="112">
        <v>4.07</v>
      </c>
      <c r="D95" s="112">
        <v>13.96</v>
      </c>
      <c r="E95" s="112">
        <v>11.84</v>
      </c>
      <c r="F95" s="112">
        <v>6.16</v>
      </c>
      <c r="G95" s="112">
        <v>18.829999999999998</v>
      </c>
      <c r="H95" s="112">
        <v>7.88</v>
      </c>
      <c r="I95" s="112">
        <v>3.64</v>
      </c>
      <c r="J95" s="112">
        <v>0.27</v>
      </c>
      <c r="K95" s="112">
        <v>252.03</v>
      </c>
      <c r="L95" s="112">
        <v>28.13</v>
      </c>
      <c r="M95" s="112">
        <v>82.21</v>
      </c>
      <c r="N95" s="112">
        <v>2.1</v>
      </c>
      <c r="O95" s="112">
        <v>0</v>
      </c>
      <c r="P95" s="112">
        <v>0.28000000000000003</v>
      </c>
      <c r="Q95" s="112">
        <v>4.63</v>
      </c>
    </row>
    <row r="96" spans="1:17" customFormat="1">
      <c r="A96" s="80">
        <v>45476.916666666664</v>
      </c>
      <c r="B96" s="112">
        <v>9.2100000000000009</v>
      </c>
      <c r="C96" s="112">
        <v>4.08</v>
      </c>
      <c r="D96" s="112">
        <v>13.96</v>
      </c>
      <c r="E96" s="112">
        <v>12.65</v>
      </c>
      <c r="F96" s="112">
        <v>6</v>
      </c>
      <c r="G96" s="112">
        <v>18.96</v>
      </c>
      <c r="H96" s="112">
        <v>7.68</v>
      </c>
      <c r="I96" s="112">
        <v>3.54</v>
      </c>
      <c r="J96" s="112">
        <v>0.26</v>
      </c>
      <c r="K96" s="112">
        <v>248.76</v>
      </c>
      <c r="L96" s="112">
        <v>27.97</v>
      </c>
      <c r="M96" s="112">
        <v>83.1</v>
      </c>
      <c r="N96" s="112">
        <v>2.1</v>
      </c>
      <c r="O96" s="112">
        <v>0</v>
      </c>
      <c r="P96" s="112">
        <v>0.27</v>
      </c>
      <c r="Q96" s="112">
        <v>4.6500000000000004</v>
      </c>
    </row>
    <row r="97" spans="1:22" customFormat="1">
      <c r="A97" s="80">
        <v>45476.927083333336</v>
      </c>
      <c r="B97" s="112">
        <v>9.19</v>
      </c>
      <c r="C97" s="112">
        <v>4.08</v>
      </c>
      <c r="D97" s="112">
        <v>13.96</v>
      </c>
      <c r="E97" s="112">
        <v>12.42</v>
      </c>
      <c r="F97" s="112">
        <v>5.62</v>
      </c>
      <c r="G97" s="112">
        <v>18.96</v>
      </c>
      <c r="H97" s="112">
        <v>7.68</v>
      </c>
      <c r="I97" s="112">
        <v>3.56</v>
      </c>
      <c r="J97" s="112">
        <v>0.34</v>
      </c>
      <c r="K97" s="112">
        <v>247.04</v>
      </c>
      <c r="L97" s="112">
        <v>27.94</v>
      </c>
      <c r="M97" s="112">
        <v>84.12</v>
      </c>
      <c r="N97" s="112">
        <v>2.1</v>
      </c>
      <c r="O97" s="112">
        <v>0</v>
      </c>
      <c r="P97" s="112">
        <v>0.27</v>
      </c>
      <c r="Q97" s="112">
        <v>4.6399999999999997</v>
      </c>
    </row>
    <row r="98" spans="1:22" customFormat="1">
      <c r="A98" s="80">
        <v>45476.9375</v>
      </c>
      <c r="B98" s="112">
        <v>9.19</v>
      </c>
      <c r="C98" s="112">
        <v>4.08</v>
      </c>
      <c r="D98" s="112">
        <v>13.95</v>
      </c>
      <c r="E98" s="112">
        <v>12.43</v>
      </c>
      <c r="F98" s="112">
        <v>6.01</v>
      </c>
      <c r="G98" s="112">
        <v>18.96</v>
      </c>
      <c r="H98" s="112">
        <v>7.68</v>
      </c>
      <c r="I98" s="112">
        <v>3.59</v>
      </c>
      <c r="J98" s="112">
        <v>0.43</v>
      </c>
      <c r="K98" s="112">
        <v>256.58999999999997</v>
      </c>
      <c r="L98" s="112">
        <v>27.9</v>
      </c>
      <c r="M98" s="112">
        <v>84.44</v>
      </c>
      <c r="N98" s="112">
        <v>2.2000000000000002</v>
      </c>
      <c r="O98" s="112">
        <v>0</v>
      </c>
      <c r="P98" s="112">
        <v>0.27</v>
      </c>
      <c r="Q98" s="112">
        <v>4.63</v>
      </c>
    </row>
    <row r="99" spans="1:22" customFormat="1">
      <c r="A99" s="80">
        <v>45476.947916666664</v>
      </c>
      <c r="B99" s="112">
        <v>9.1999999999999993</v>
      </c>
      <c r="C99" s="112">
        <v>4.05</v>
      </c>
      <c r="D99" s="112">
        <v>13.94</v>
      </c>
      <c r="E99" s="112">
        <v>12.52</v>
      </c>
      <c r="F99" s="112">
        <v>6.13</v>
      </c>
      <c r="G99" s="112">
        <v>18.46</v>
      </c>
      <c r="H99" s="112">
        <v>6.92</v>
      </c>
      <c r="I99" s="112">
        <v>3.62</v>
      </c>
      <c r="J99" s="112">
        <v>0.54</v>
      </c>
      <c r="K99" s="112">
        <v>263.02</v>
      </c>
      <c r="L99" s="112">
        <v>27.72</v>
      </c>
      <c r="M99" s="112">
        <v>82.24</v>
      </c>
      <c r="N99" s="112">
        <v>2.2999999999999998</v>
      </c>
      <c r="O99" s="112">
        <v>0</v>
      </c>
      <c r="P99" s="112">
        <v>0.27</v>
      </c>
      <c r="Q99" s="112">
        <v>4.6500000000000004</v>
      </c>
    </row>
    <row r="100" spans="1:22" customFormat="1">
      <c r="A100" s="80">
        <v>45476.958333333336</v>
      </c>
      <c r="B100" s="112">
        <v>9.2100000000000009</v>
      </c>
      <c r="C100" s="112">
        <v>4.0199999999999996</v>
      </c>
      <c r="D100" s="112">
        <v>13.94</v>
      </c>
      <c r="E100" s="112">
        <v>12.85</v>
      </c>
      <c r="F100" s="112">
        <v>5.68</v>
      </c>
      <c r="G100" s="112">
        <v>18.079999999999998</v>
      </c>
      <c r="H100" s="112">
        <v>6.68</v>
      </c>
      <c r="I100" s="112">
        <v>3.54</v>
      </c>
      <c r="J100" s="112">
        <v>0.23</v>
      </c>
      <c r="K100" s="112">
        <v>236.48</v>
      </c>
      <c r="L100" s="112">
        <v>27.48</v>
      </c>
      <c r="M100" s="112">
        <v>83.98</v>
      </c>
      <c r="N100" s="112">
        <v>2.2999999999999998</v>
      </c>
      <c r="O100" s="112">
        <v>0</v>
      </c>
      <c r="P100" s="112">
        <v>0.28999999999999998</v>
      </c>
      <c r="Q100" s="112">
        <v>4.6399999999999997</v>
      </c>
    </row>
    <row r="101" spans="1:22" customFormat="1">
      <c r="A101" s="80">
        <v>45476.96875</v>
      </c>
      <c r="B101" s="112">
        <v>9.23</v>
      </c>
      <c r="C101" s="112">
        <v>4.03</v>
      </c>
      <c r="D101" s="112">
        <v>13.96</v>
      </c>
      <c r="E101" s="112">
        <v>13.65</v>
      </c>
      <c r="F101" s="112">
        <v>5.24</v>
      </c>
      <c r="G101" s="112">
        <v>18.079999999999998</v>
      </c>
      <c r="H101" s="112">
        <v>6.68</v>
      </c>
      <c r="I101" s="112">
        <v>3.44</v>
      </c>
      <c r="J101" s="112">
        <v>0.23</v>
      </c>
      <c r="K101" s="112">
        <v>262.33999999999997</v>
      </c>
      <c r="L101" s="112">
        <v>27.32</v>
      </c>
      <c r="M101" s="112">
        <v>83.67</v>
      </c>
      <c r="N101" s="112">
        <v>2.4</v>
      </c>
      <c r="O101" s="112">
        <v>0</v>
      </c>
      <c r="P101" s="112">
        <v>0.31</v>
      </c>
      <c r="Q101" s="112">
        <v>4.63</v>
      </c>
    </row>
    <row r="102" spans="1:22" customFormat="1">
      <c r="A102" s="80">
        <v>45476.979166666664</v>
      </c>
      <c r="B102" s="112">
        <v>9.1999999999999993</v>
      </c>
      <c r="C102" s="112">
        <v>4.0599999999999996</v>
      </c>
      <c r="D102" s="112">
        <v>13.94</v>
      </c>
      <c r="E102" s="112">
        <v>12.53</v>
      </c>
      <c r="F102" s="112">
        <v>7.21</v>
      </c>
      <c r="G102" s="112">
        <v>18.079999999999998</v>
      </c>
      <c r="H102" s="112">
        <v>6.68</v>
      </c>
      <c r="I102" s="112">
        <v>3.48</v>
      </c>
      <c r="J102" s="112">
        <v>0.13</v>
      </c>
      <c r="K102" s="112">
        <v>233.13</v>
      </c>
      <c r="L102" s="112">
        <v>27.2</v>
      </c>
      <c r="M102" s="112">
        <v>85.22</v>
      </c>
      <c r="N102" s="112">
        <v>2.2000000000000002</v>
      </c>
      <c r="O102" s="112">
        <v>0</v>
      </c>
      <c r="P102" s="112">
        <v>0.31</v>
      </c>
      <c r="Q102" s="112">
        <v>4.62</v>
      </c>
    </row>
    <row r="103" spans="1:22" customFormat="1">
      <c r="A103" s="80">
        <v>45476.989583333336</v>
      </c>
      <c r="B103" s="112">
        <v>9.1</v>
      </c>
      <c r="C103" s="112">
        <v>4.1100000000000003</v>
      </c>
      <c r="D103" s="112">
        <v>13.89</v>
      </c>
      <c r="E103" s="112">
        <v>12.34</v>
      </c>
      <c r="F103" s="112">
        <v>7.43</v>
      </c>
      <c r="G103" s="112">
        <v>17.46</v>
      </c>
      <c r="H103" s="112">
        <v>5.79</v>
      </c>
      <c r="I103" s="112">
        <v>3.44</v>
      </c>
      <c r="J103" s="112">
        <v>0.23</v>
      </c>
      <c r="K103" s="112">
        <v>240.9</v>
      </c>
      <c r="L103" s="112">
        <v>27.06</v>
      </c>
      <c r="M103" s="112">
        <v>85.26</v>
      </c>
      <c r="N103" s="112">
        <v>2.1</v>
      </c>
      <c r="O103" s="112">
        <v>0</v>
      </c>
      <c r="P103" s="112">
        <v>0.31</v>
      </c>
      <c r="Q103" s="112">
        <v>4.62</v>
      </c>
    </row>
    <row r="104" spans="1:22" customFormat="1">
      <c r="A104" s="80">
        <v>45477</v>
      </c>
      <c r="B104" s="112">
        <v>9.0399999999999991</v>
      </c>
      <c r="C104" s="112">
        <v>4.13</v>
      </c>
      <c r="D104" s="112">
        <v>13.86</v>
      </c>
      <c r="E104" s="112">
        <v>11.9</v>
      </c>
      <c r="F104" s="112">
        <v>7.34</v>
      </c>
      <c r="G104" s="112">
        <v>16.98</v>
      </c>
      <c r="H104" s="112">
        <v>5.5</v>
      </c>
      <c r="I104" s="112">
        <v>3.37</v>
      </c>
      <c r="J104" s="112">
        <v>0.19</v>
      </c>
      <c r="K104" s="112">
        <v>243.02</v>
      </c>
      <c r="L104" s="112">
        <v>26.93</v>
      </c>
      <c r="M104" s="112">
        <v>85.69</v>
      </c>
      <c r="N104" s="112">
        <v>2.1</v>
      </c>
      <c r="O104" s="112">
        <v>0</v>
      </c>
      <c r="P104" s="112">
        <v>0.3</v>
      </c>
      <c r="Q104" s="112">
        <v>4.62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9.0399999999999991</v>
      </c>
      <c r="C106" s="183">
        <f>MIN(C9:C104)</f>
        <v>4.0199999999999996</v>
      </c>
      <c r="D106" s="183">
        <f t="shared" ref="D106:Q106" si="0">MIN(D9:D104)</f>
        <v>13.84</v>
      </c>
      <c r="E106" s="183">
        <f t="shared" si="0"/>
        <v>6.05</v>
      </c>
      <c r="F106" s="183">
        <f t="shared" si="0"/>
        <v>3.19</v>
      </c>
      <c r="G106" s="183">
        <f t="shared" si="0"/>
        <v>6.71</v>
      </c>
      <c r="H106" s="183">
        <f t="shared" si="0"/>
        <v>1.9</v>
      </c>
      <c r="I106" s="183">
        <f t="shared" si="0"/>
        <v>2.91</v>
      </c>
      <c r="J106" s="183">
        <f t="shared" si="0"/>
        <v>0.13</v>
      </c>
      <c r="K106" s="183">
        <f t="shared" si="0"/>
        <v>222.35</v>
      </c>
      <c r="L106" s="183">
        <f t="shared" si="0"/>
        <v>25.08</v>
      </c>
      <c r="M106" s="183">
        <f t="shared" si="0"/>
        <v>60.69</v>
      </c>
      <c r="N106" s="183">
        <f t="shared" si="0"/>
        <v>1.9</v>
      </c>
      <c r="O106" s="183">
        <f t="shared" si="0"/>
        <v>0</v>
      </c>
      <c r="P106" s="183">
        <f t="shared" si="0"/>
        <v>0.24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9.25</v>
      </c>
      <c r="C107" s="184">
        <f t="shared" ref="C107:Q107" si="1">MAX(C9:C104)</f>
        <v>4.13</v>
      </c>
      <c r="D107" s="184">
        <f t="shared" si="1"/>
        <v>14</v>
      </c>
      <c r="E107" s="184">
        <f t="shared" si="1"/>
        <v>13.65</v>
      </c>
      <c r="F107" s="184">
        <f t="shared" si="1"/>
        <v>16.04</v>
      </c>
      <c r="G107" s="184">
        <f t="shared" si="1"/>
        <v>33.880000000000003</v>
      </c>
      <c r="H107" s="184">
        <f t="shared" si="1"/>
        <v>13.01</v>
      </c>
      <c r="I107" s="184">
        <f t="shared" si="1"/>
        <v>5.2</v>
      </c>
      <c r="J107" s="184">
        <f t="shared" si="1"/>
        <v>1.48</v>
      </c>
      <c r="K107" s="184">
        <f t="shared" si="1"/>
        <v>293.57</v>
      </c>
      <c r="L107" s="184">
        <f t="shared" si="1"/>
        <v>32.9</v>
      </c>
      <c r="M107" s="184">
        <f t="shared" si="1"/>
        <v>93.91</v>
      </c>
      <c r="N107" s="184">
        <f t="shared" si="1"/>
        <v>669.5</v>
      </c>
      <c r="O107" s="184">
        <f t="shared" si="1"/>
        <v>0.2</v>
      </c>
      <c r="P107" s="184">
        <f t="shared" si="1"/>
        <v>0.54</v>
      </c>
      <c r="Q107" s="184">
        <f t="shared" si="1"/>
        <v>4.67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9.1577083333333427</v>
      </c>
      <c r="C108" s="183">
        <f t="shared" ref="C108:Q108" si="2">AVERAGE(C9:C104)</f>
        <v>4.0645833333333323</v>
      </c>
      <c r="D108" s="183">
        <f t="shared" si="2"/>
        <v>13.916458333333345</v>
      </c>
      <c r="E108" s="183">
        <f t="shared" si="2"/>
        <v>9.0827083333333309</v>
      </c>
      <c r="F108" s="183">
        <f t="shared" si="2"/>
        <v>6.0028124999999983</v>
      </c>
      <c r="G108" s="183">
        <f t="shared" si="2"/>
        <v>17.731562499999999</v>
      </c>
      <c r="H108" s="183">
        <f t="shared" si="2"/>
        <v>6.6530208333333318</v>
      </c>
      <c r="I108" s="183">
        <f t="shared" si="2"/>
        <v>3.7551041666666656</v>
      </c>
      <c r="J108" s="183">
        <f t="shared" si="2"/>
        <v>0.78156250000000027</v>
      </c>
      <c r="K108" s="183">
        <f t="shared" si="2"/>
        <v>264.85218749999996</v>
      </c>
      <c r="L108" s="183">
        <f t="shared" si="2"/>
        <v>28.096562499999994</v>
      </c>
      <c r="M108" s="183">
        <f t="shared" si="2"/>
        <v>81.131666666666646</v>
      </c>
      <c r="N108" s="183">
        <f t="shared" si="2"/>
        <v>109.6822916666667</v>
      </c>
      <c r="O108" s="183">
        <f t="shared" si="2"/>
        <v>2.0833333333333333E-3</v>
      </c>
      <c r="P108" s="183">
        <f t="shared" si="2"/>
        <v>0.33520833333333316</v>
      </c>
      <c r="Q108" s="183">
        <f t="shared" si="2"/>
        <v>4.6410416666666627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5.4934969529371734E-2</v>
      </c>
      <c r="C109" s="183">
        <f t="shared" ref="C109:Q109" si="3">STDEV(C9:C104)</f>
        <v>2.1904898114428903E-2</v>
      </c>
      <c r="D109" s="183">
        <f t="shared" si="3"/>
        <v>4.5421515112199287E-2</v>
      </c>
      <c r="E109" s="183">
        <f t="shared" si="3"/>
        <v>1.9939790840726874</v>
      </c>
      <c r="F109" s="183">
        <f t="shared" si="3"/>
        <v>2.4041852556367367</v>
      </c>
      <c r="G109" s="183">
        <f t="shared" si="3"/>
        <v>8.0575425701473584</v>
      </c>
      <c r="H109" s="183">
        <f t="shared" si="3"/>
        <v>3.6660120652719228</v>
      </c>
      <c r="I109" s="183">
        <f t="shared" si="3"/>
        <v>0.67685961351192725</v>
      </c>
      <c r="J109" s="183">
        <f t="shared" si="3"/>
        <v>0.31914467310049272</v>
      </c>
      <c r="K109" s="183">
        <f t="shared" si="3"/>
        <v>12.873421595891555</v>
      </c>
      <c r="L109" s="183">
        <f t="shared" si="3"/>
        <v>2.2188791993517585</v>
      </c>
      <c r="M109" s="183">
        <f t="shared" si="3"/>
        <v>9.2856929754916031</v>
      </c>
      <c r="N109" s="183">
        <f t="shared" si="3"/>
        <v>147.54544562682815</v>
      </c>
      <c r="O109" s="183">
        <f t="shared" si="3"/>
        <v>2.0412414523193152E-2</v>
      </c>
      <c r="P109" s="183">
        <f t="shared" si="3"/>
        <v>6.8809105374625548E-2</v>
      </c>
      <c r="Q109" s="183">
        <f t="shared" si="3"/>
        <v>1.3177266441762326E-2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84" activePane="bottomRight" state="frozen"/>
      <selection activeCell="A9" sqref="A9"/>
      <selection pane="topRight" activeCell="A9" sqref="A9"/>
      <selection pane="bottomLeft" activeCell="A9" sqref="A9"/>
      <selection pane="bottomRight" activeCell="Q9" sqref="Q9:Q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45477.010416666664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45477.010416666664</v>
      </c>
      <c r="B9" s="112">
        <v>9.26</v>
      </c>
      <c r="C9" s="112">
        <v>4.08</v>
      </c>
      <c r="D9" s="112">
        <v>14.01</v>
      </c>
      <c r="E9" s="112">
        <v>11.82</v>
      </c>
      <c r="F9" s="112">
        <v>6.8</v>
      </c>
      <c r="G9" s="112">
        <v>16.98</v>
      </c>
      <c r="H9" s="112">
        <v>5.5</v>
      </c>
      <c r="I9" s="112">
        <v>3.33</v>
      </c>
      <c r="J9" s="112">
        <v>0.19</v>
      </c>
      <c r="K9" s="112">
        <v>229.55</v>
      </c>
      <c r="L9" s="112">
        <v>26.84</v>
      </c>
      <c r="M9" s="112">
        <v>84.95</v>
      </c>
      <c r="N9" s="112">
        <v>2.1</v>
      </c>
      <c r="O9" s="112">
        <v>0</v>
      </c>
      <c r="P9" s="112">
        <v>0.3</v>
      </c>
      <c r="Q9" s="112">
        <v>4.63</v>
      </c>
    </row>
    <row r="10" spans="1:21" customFormat="1">
      <c r="A10" s="80">
        <v>45477.020833333336</v>
      </c>
      <c r="B10" s="112">
        <v>9.27</v>
      </c>
      <c r="C10" s="112">
        <v>4.05</v>
      </c>
      <c r="D10" s="112">
        <v>14</v>
      </c>
      <c r="E10" s="112">
        <v>11.58</v>
      </c>
      <c r="F10" s="112">
        <v>6.87</v>
      </c>
      <c r="G10" s="112">
        <v>16.98</v>
      </c>
      <c r="H10" s="112">
        <v>5.5</v>
      </c>
      <c r="I10" s="112">
        <v>3.41</v>
      </c>
      <c r="J10" s="112">
        <v>0.15</v>
      </c>
      <c r="K10" s="112">
        <v>218.8</v>
      </c>
      <c r="L10" s="112">
        <v>26.77</v>
      </c>
      <c r="M10" s="112">
        <v>84.71</v>
      </c>
      <c r="N10" s="112">
        <v>2.1</v>
      </c>
      <c r="O10" s="112">
        <v>0</v>
      </c>
      <c r="P10" s="112">
        <v>0.3</v>
      </c>
      <c r="Q10" s="112">
        <v>4.63</v>
      </c>
    </row>
    <row r="11" spans="1:21" customFormat="1">
      <c r="A11" s="80">
        <v>45477.03125</v>
      </c>
      <c r="B11" s="112">
        <v>9.26</v>
      </c>
      <c r="C11" s="112">
        <v>4.0999999999999996</v>
      </c>
      <c r="D11" s="112">
        <v>14.02</v>
      </c>
      <c r="E11" s="112">
        <v>10.75</v>
      </c>
      <c r="F11" s="112">
        <v>9.6300000000000008</v>
      </c>
      <c r="G11" s="112">
        <v>15.19</v>
      </c>
      <c r="H11" s="112">
        <v>5.99</v>
      </c>
      <c r="I11" s="112">
        <v>3.41</v>
      </c>
      <c r="J11" s="112">
        <v>0.15</v>
      </c>
      <c r="K11" s="112">
        <v>244.39</v>
      </c>
      <c r="L11" s="112">
        <v>26.7</v>
      </c>
      <c r="M11" s="112">
        <v>85.62</v>
      </c>
      <c r="N11" s="112">
        <v>2.1</v>
      </c>
      <c r="O11" s="112">
        <v>0</v>
      </c>
      <c r="P11" s="112">
        <v>0.28999999999999998</v>
      </c>
      <c r="Q11" s="112">
        <v>4.63</v>
      </c>
    </row>
    <row r="12" spans="1:21" customFormat="1">
      <c r="A12" s="80">
        <v>45477.041666666664</v>
      </c>
      <c r="B12" s="112">
        <v>9.2799999999999994</v>
      </c>
      <c r="C12" s="112">
        <v>4.09</v>
      </c>
      <c r="D12" s="112">
        <v>14.02</v>
      </c>
      <c r="E12" s="112">
        <v>11</v>
      </c>
      <c r="F12" s="112">
        <v>8.57</v>
      </c>
      <c r="G12" s="112">
        <v>13.81</v>
      </c>
      <c r="H12" s="112">
        <v>6.29</v>
      </c>
      <c r="I12" s="112">
        <v>3.41</v>
      </c>
      <c r="J12" s="112">
        <v>0.09</v>
      </c>
      <c r="K12" s="112">
        <v>219.98</v>
      </c>
      <c r="L12" s="112">
        <v>26.68</v>
      </c>
      <c r="M12" s="112">
        <v>86.22</v>
      </c>
      <c r="N12" s="112">
        <v>2.1</v>
      </c>
      <c r="O12" s="112">
        <v>0</v>
      </c>
      <c r="P12" s="112">
        <v>0.28000000000000003</v>
      </c>
      <c r="Q12" s="112">
        <v>4.63</v>
      </c>
    </row>
    <row r="13" spans="1:21" customFormat="1">
      <c r="A13" s="80">
        <v>45477.052083333336</v>
      </c>
      <c r="B13" s="112">
        <v>9.2799999999999994</v>
      </c>
      <c r="C13" s="112">
        <v>4.07</v>
      </c>
      <c r="D13" s="112">
        <v>14.02</v>
      </c>
      <c r="E13" s="112">
        <v>10.64</v>
      </c>
      <c r="F13" s="112">
        <v>8.23</v>
      </c>
      <c r="G13" s="112">
        <v>13.81</v>
      </c>
      <c r="H13" s="112">
        <v>6.29</v>
      </c>
      <c r="I13" s="112">
        <v>3.17</v>
      </c>
      <c r="J13" s="112">
        <v>0.09</v>
      </c>
      <c r="K13" s="112">
        <v>252.03</v>
      </c>
      <c r="L13" s="112">
        <v>26.66</v>
      </c>
      <c r="M13" s="112">
        <v>86.29</v>
      </c>
      <c r="N13" s="112">
        <v>2.1</v>
      </c>
      <c r="O13" s="112">
        <v>0</v>
      </c>
      <c r="P13" s="112">
        <v>0.28000000000000003</v>
      </c>
      <c r="Q13" s="112">
        <v>4.63</v>
      </c>
    </row>
    <row r="14" spans="1:21" customFormat="1">
      <c r="A14" s="80">
        <v>45477.0625</v>
      </c>
      <c r="B14" s="112">
        <v>9.2899999999999991</v>
      </c>
      <c r="C14" s="112">
        <v>4.0599999999999996</v>
      </c>
      <c r="D14" s="112">
        <v>14.02</v>
      </c>
      <c r="E14" s="112">
        <v>11.3</v>
      </c>
      <c r="F14" s="112">
        <v>6.71</v>
      </c>
      <c r="G14" s="112">
        <v>13.81</v>
      </c>
      <c r="H14" s="112">
        <v>6.29</v>
      </c>
      <c r="I14" s="112">
        <v>3.11</v>
      </c>
      <c r="J14" s="112">
        <v>0.81</v>
      </c>
      <c r="K14" s="112">
        <v>306.26</v>
      </c>
      <c r="L14" s="112">
        <v>26.78</v>
      </c>
      <c r="M14" s="112">
        <v>84.66</v>
      </c>
      <c r="N14" s="112">
        <v>1.9</v>
      </c>
      <c r="O14" s="112">
        <v>0</v>
      </c>
      <c r="P14" s="112">
        <v>0.28999999999999998</v>
      </c>
      <c r="Q14" s="112">
        <v>4.63</v>
      </c>
    </row>
    <row r="15" spans="1:21" customFormat="1">
      <c r="A15" s="80">
        <v>45477.072916666664</v>
      </c>
      <c r="B15" s="112">
        <v>9.2899999999999991</v>
      </c>
      <c r="C15" s="112">
        <v>4.0599999999999996</v>
      </c>
      <c r="D15" s="112">
        <v>14.03</v>
      </c>
      <c r="E15" s="112">
        <v>11.4</v>
      </c>
      <c r="F15" s="112">
        <v>6.81</v>
      </c>
      <c r="G15" s="112">
        <v>14.6</v>
      </c>
      <c r="H15" s="112">
        <v>5.0199999999999996</v>
      </c>
      <c r="I15" s="112">
        <v>3.04</v>
      </c>
      <c r="J15" s="112">
        <v>0.67</v>
      </c>
      <c r="K15" s="112">
        <v>282.24</v>
      </c>
      <c r="L15" s="112">
        <v>26.91</v>
      </c>
      <c r="M15" s="112">
        <v>83.02</v>
      </c>
      <c r="N15" s="112">
        <v>2.1</v>
      </c>
      <c r="O15" s="112">
        <v>0</v>
      </c>
      <c r="P15" s="112">
        <v>0.28000000000000003</v>
      </c>
      <c r="Q15" s="112">
        <v>4.6500000000000004</v>
      </c>
    </row>
    <row r="16" spans="1:21" customFormat="1">
      <c r="A16" s="80">
        <v>45477.083333333336</v>
      </c>
      <c r="B16" s="112">
        <v>9.2899999999999991</v>
      </c>
      <c r="C16" s="112">
        <v>4.08</v>
      </c>
      <c r="D16" s="112">
        <v>14.03</v>
      </c>
      <c r="E16" s="112">
        <v>11.11</v>
      </c>
      <c r="F16" s="112">
        <v>6.35</v>
      </c>
      <c r="G16" s="112">
        <v>15.2</v>
      </c>
      <c r="H16" s="112">
        <v>4.57</v>
      </c>
      <c r="I16" s="112">
        <v>3.22</v>
      </c>
      <c r="J16" s="112">
        <v>0.49</v>
      </c>
      <c r="K16" s="112">
        <v>265.58999999999997</v>
      </c>
      <c r="L16" s="112">
        <v>26.81</v>
      </c>
      <c r="M16" s="112">
        <v>84.3</v>
      </c>
      <c r="N16" s="112">
        <v>2.2000000000000002</v>
      </c>
      <c r="O16" s="112">
        <v>0</v>
      </c>
      <c r="P16" s="112">
        <v>0.28000000000000003</v>
      </c>
      <c r="Q16" s="112">
        <v>4.6399999999999997</v>
      </c>
    </row>
    <row r="17" spans="1:17" customFormat="1">
      <c r="A17" s="80">
        <v>45477.09375</v>
      </c>
      <c r="B17" s="112">
        <v>9.2899999999999991</v>
      </c>
      <c r="C17" s="112">
        <v>4.08</v>
      </c>
      <c r="D17" s="112">
        <v>14.03</v>
      </c>
      <c r="E17" s="112">
        <v>8.64</v>
      </c>
      <c r="F17" s="112">
        <v>6.39</v>
      </c>
      <c r="G17" s="112">
        <v>15.2</v>
      </c>
      <c r="H17" s="112">
        <v>4.57</v>
      </c>
      <c r="I17" s="112">
        <v>3.16</v>
      </c>
      <c r="J17" s="112">
        <v>0.71</v>
      </c>
      <c r="K17" s="112">
        <v>296.62</v>
      </c>
      <c r="L17" s="112">
        <v>26.75</v>
      </c>
      <c r="M17" s="112">
        <v>85.19</v>
      </c>
      <c r="N17" s="112">
        <v>2.2999999999999998</v>
      </c>
      <c r="O17" s="112">
        <v>0</v>
      </c>
      <c r="P17" s="112">
        <v>0.28000000000000003</v>
      </c>
      <c r="Q17" s="112">
        <v>4.6500000000000004</v>
      </c>
    </row>
    <row r="18" spans="1:17" customFormat="1">
      <c r="A18" s="80">
        <v>45477.104166666664</v>
      </c>
      <c r="B18" s="112">
        <v>9.2899999999999991</v>
      </c>
      <c r="C18" s="112">
        <v>4.07</v>
      </c>
      <c r="D18" s="112">
        <v>14.03</v>
      </c>
      <c r="E18" s="112">
        <v>9.89</v>
      </c>
      <c r="F18" s="112">
        <v>6.25</v>
      </c>
      <c r="G18" s="112">
        <v>15.2</v>
      </c>
      <c r="H18" s="112">
        <v>4.57</v>
      </c>
      <c r="I18" s="112">
        <v>3.14</v>
      </c>
      <c r="J18" s="112">
        <v>0.49</v>
      </c>
      <c r="K18" s="112">
        <v>322.33999999999997</v>
      </c>
      <c r="L18" s="112">
        <v>26.63</v>
      </c>
      <c r="M18" s="112">
        <v>87.44</v>
      </c>
      <c r="N18" s="112">
        <v>1.6</v>
      </c>
      <c r="O18" s="112">
        <v>0</v>
      </c>
      <c r="P18" s="112">
        <v>0.28999999999999998</v>
      </c>
      <c r="Q18" s="112">
        <v>4.6399999999999997</v>
      </c>
    </row>
    <row r="19" spans="1:17" customFormat="1">
      <c r="A19" s="80">
        <v>45477.114583333336</v>
      </c>
      <c r="B19" s="112">
        <v>9.2899999999999991</v>
      </c>
      <c r="C19" s="112">
        <v>4.09</v>
      </c>
      <c r="D19" s="112">
        <v>14.04</v>
      </c>
      <c r="E19" s="112">
        <v>10.199999999999999</v>
      </c>
      <c r="F19" s="112">
        <v>7.18</v>
      </c>
      <c r="G19" s="112">
        <v>15.15</v>
      </c>
      <c r="H19" s="112">
        <v>5.04</v>
      </c>
      <c r="I19" s="112">
        <v>3.17</v>
      </c>
      <c r="J19" s="112">
        <v>0.74</v>
      </c>
      <c r="K19" s="112">
        <v>321.77</v>
      </c>
      <c r="L19" s="112">
        <v>26.53</v>
      </c>
      <c r="M19" s="112">
        <v>87.51</v>
      </c>
      <c r="N19" s="112">
        <v>2.4</v>
      </c>
      <c r="O19" s="112">
        <v>0</v>
      </c>
      <c r="P19" s="112">
        <v>0.28999999999999998</v>
      </c>
      <c r="Q19" s="112">
        <v>4.63</v>
      </c>
    </row>
    <row r="20" spans="1:17" customFormat="1">
      <c r="A20" s="80">
        <v>45477.125</v>
      </c>
      <c r="B20" s="112">
        <v>9.3000000000000007</v>
      </c>
      <c r="C20" s="112">
        <v>4.0999999999999996</v>
      </c>
      <c r="D20" s="112">
        <v>14.05</v>
      </c>
      <c r="E20" s="112">
        <v>10.39</v>
      </c>
      <c r="F20" s="112">
        <v>6.56</v>
      </c>
      <c r="G20" s="112">
        <v>15.11</v>
      </c>
      <c r="H20" s="112">
        <v>5.2</v>
      </c>
      <c r="I20" s="112">
        <v>3.08</v>
      </c>
      <c r="J20" s="112">
        <v>1.47</v>
      </c>
      <c r="K20" s="112">
        <v>320.54000000000002</v>
      </c>
      <c r="L20" s="112">
        <v>26.03</v>
      </c>
      <c r="M20" s="112">
        <v>90.85</v>
      </c>
      <c r="N20" s="112">
        <v>3.1</v>
      </c>
      <c r="O20" s="112">
        <v>0</v>
      </c>
      <c r="P20" s="112">
        <v>0.28000000000000003</v>
      </c>
      <c r="Q20" s="112">
        <v>4.63</v>
      </c>
    </row>
    <row r="21" spans="1:17" customFormat="1">
      <c r="A21" s="80">
        <v>45477.135416666664</v>
      </c>
      <c r="B21" s="112">
        <v>9.31</v>
      </c>
      <c r="C21" s="112">
        <v>4.0999999999999996</v>
      </c>
      <c r="D21" s="112">
        <v>14.05</v>
      </c>
      <c r="E21" s="112">
        <v>10.07</v>
      </c>
      <c r="F21" s="112">
        <v>6.79</v>
      </c>
      <c r="G21" s="112">
        <v>15.11</v>
      </c>
      <c r="H21" s="112">
        <v>5.2</v>
      </c>
      <c r="I21" s="112">
        <v>3.14</v>
      </c>
      <c r="J21" s="112">
        <v>0.92</v>
      </c>
      <c r="K21" s="112">
        <v>317.92</v>
      </c>
      <c r="L21" s="112">
        <v>25.77</v>
      </c>
      <c r="M21" s="112">
        <v>92.78</v>
      </c>
      <c r="N21" s="112">
        <v>2.2000000000000002</v>
      </c>
      <c r="O21" s="112">
        <v>0</v>
      </c>
      <c r="P21" s="112">
        <v>0.28999999999999998</v>
      </c>
      <c r="Q21" s="112">
        <v>4.63</v>
      </c>
    </row>
    <row r="22" spans="1:17" customFormat="1">
      <c r="A22" s="80">
        <v>45477.145833333336</v>
      </c>
      <c r="B22" s="112">
        <v>9.31</v>
      </c>
      <c r="C22" s="112">
        <v>4.08</v>
      </c>
      <c r="D22" s="112">
        <v>14.05</v>
      </c>
      <c r="E22" s="112">
        <v>9.83</v>
      </c>
      <c r="F22" s="112">
        <v>6.18</v>
      </c>
      <c r="G22" s="112">
        <v>15.11</v>
      </c>
      <c r="H22" s="112">
        <v>5.2</v>
      </c>
      <c r="I22" s="112">
        <v>3.23</v>
      </c>
      <c r="J22" s="112">
        <v>0.7</v>
      </c>
      <c r="K22" s="112">
        <v>319.77</v>
      </c>
      <c r="L22" s="112">
        <v>25.83</v>
      </c>
      <c r="M22" s="112">
        <v>93.12</v>
      </c>
      <c r="N22" s="112">
        <v>2.1</v>
      </c>
      <c r="O22" s="112">
        <v>0</v>
      </c>
      <c r="P22" s="112">
        <v>0.28000000000000003</v>
      </c>
      <c r="Q22" s="112">
        <v>4.6399999999999997</v>
      </c>
    </row>
    <row r="23" spans="1:17" customFormat="1">
      <c r="A23" s="80">
        <v>45477.15625</v>
      </c>
      <c r="B23" s="112">
        <v>9.32</v>
      </c>
      <c r="C23" s="112">
        <v>4.09</v>
      </c>
      <c r="D23" s="112">
        <v>14.06</v>
      </c>
      <c r="E23" s="112">
        <v>9.59</v>
      </c>
      <c r="F23" s="112">
        <v>7.66</v>
      </c>
      <c r="G23" s="112">
        <v>15.02</v>
      </c>
      <c r="H23" s="112">
        <v>4.45</v>
      </c>
      <c r="I23" s="112">
        <v>3.27</v>
      </c>
      <c r="J23" s="112">
        <v>0.55000000000000004</v>
      </c>
      <c r="K23" s="112">
        <v>322.79000000000002</v>
      </c>
      <c r="L23" s="112">
        <v>25.81</v>
      </c>
      <c r="M23" s="112">
        <v>94.89</v>
      </c>
      <c r="N23" s="112">
        <v>1.9</v>
      </c>
      <c r="O23" s="112">
        <v>0</v>
      </c>
      <c r="P23" s="112">
        <v>0.24</v>
      </c>
      <c r="Q23" s="112">
        <v>4.63</v>
      </c>
    </row>
    <row r="24" spans="1:17" customFormat="1">
      <c r="A24" s="80">
        <v>45477.166666666664</v>
      </c>
      <c r="B24" s="112">
        <v>9.3699999999999992</v>
      </c>
      <c r="C24" s="112">
        <v>4.09</v>
      </c>
      <c r="D24" s="112">
        <v>14.1</v>
      </c>
      <c r="E24" s="112">
        <v>10.14</v>
      </c>
      <c r="F24" s="112">
        <v>5.89</v>
      </c>
      <c r="G24" s="112">
        <v>14.95</v>
      </c>
      <c r="H24" s="112">
        <v>4.1900000000000004</v>
      </c>
      <c r="I24" s="112">
        <v>3.26</v>
      </c>
      <c r="J24" s="112">
        <v>0.19</v>
      </c>
      <c r="K24" s="112">
        <v>328.45</v>
      </c>
      <c r="L24" s="112">
        <v>25.69</v>
      </c>
      <c r="M24" s="112">
        <v>97.49</v>
      </c>
      <c r="N24" s="112">
        <v>1.8</v>
      </c>
      <c r="O24" s="112">
        <v>0</v>
      </c>
      <c r="P24" s="112">
        <v>0.22</v>
      </c>
      <c r="Q24" s="112">
        <v>4.6399999999999997</v>
      </c>
    </row>
    <row r="25" spans="1:17" customFormat="1">
      <c r="A25" s="80">
        <v>45477.177083333336</v>
      </c>
      <c r="B25" s="112">
        <v>9.4</v>
      </c>
      <c r="C25" s="112">
        <v>4.09</v>
      </c>
      <c r="D25" s="112">
        <v>14.13</v>
      </c>
      <c r="E25" s="112">
        <v>10.35</v>
      </c>
      <c r="F25" s="112">
        <v>5.0199999999999996</v>
      </c>
      <c r="G25" s="112">
        <v>14.95</v>
      </c>
      <c r="H25" s="112">
        <v>4.1900000000000004</v>
      </c>
      <c r="I25" s="112">
        <v>3.18</v>
      </c>
      <c r="J25" s="112">
        <v>0.18</v>
      </c>
      <c r="K25" s="112">
        <v>341.64</v>
      </c>
      <c r="L25" s="112">
        <v>25.59</v>
      </c>
      <c r="M25" s="112">
        <v>98.66</v>
      </c>
      <c r="N25" s="112">
        <v>1.9</v>
      </c>
      <c r="O25" s="112">
        <v>0</v>
      </c>
      <c r="P25" s="112">
        <v>0.22</v>
      </c>
      <c r="Q25" s="112">
        <v>4.63</v>
      </c>
    </row>
    <row r="26" spans="1:17" customFormat="1">
      <c r="A26" s="80">
        <v>45477.1875</v>
      </c>
      <c r="B26" s="112">
        <v>9.3699999999999992</v>
      </c>
      <c r="C26" s="112">
        <v>4.0999999999999996</v>
      </c>
      <c r="D26" s="112">
        <v>14.11</v>
      </c>
      <c r="E26" s="112">
        <v>10.64</v>
      </c>
      <c r="F26" s="112">
        <v>4.62</v>
      </c>
      <c r="G26" s="112">
        <v>14.95</v>
      </c>
      <c r="H26" s="112">
        <v>4.1900000000000004</v>
      </c>
      <c r="I26" s="112">
        <v>3.13</v>
      </c>
      <c r="J26" s="112">
        <v>0.13</v>
      </c>
      <c r="K26" s="112">
        <v>207.52</v>
      </c>
      <c r="L26" s="112">
        <v>25.68</v>
      </c>
      <c r="M26" s="112">
        <v>98.71</v>
      </c>
      <c r="N26" s="112">
        <v>1.8</v>
      </c>
      <c r="O26" s="112">
        <v>0</v>
      </c>
      <c r="P26" s="112">
        <v>0.22</v>
      </c>
      <c r="Q26" s="112">
        <v>4.6399999999999997</v>
      </c>
    </row>
    <row r="27" spans="1:17" customFormat="1">
      <c r="A27" s="80">
        <v>45477.197916666664</v>
      </c>
      <c r="B27" s="112">
        <v>9.3699999999999992</v>
      </c>
      <c r="C27" s="112">
        <v>4.08</v>
      </c>
      <c r="D27" s="112">
        <v>14.1</v>
      </c>
      <c r="E27" s="112">
        <v>10.49</v>
      </c>
      <c r="F27" s="112">
        <v>4.42</v>
      </c>
      <c r="G27" s="112">
        <v>14.11</v>
      </c>
      <c r="H27" s="112">
        <v>3.84</v>
      </c>
      <c r="I27" s="112">
        <v>3.16</v>
      </c>
      <c r="J27" s="112">
        <v>0.17</v>
      </c>
      <c r="K27" s="112">
        <v>191.06</v>
      </c>
      <c r="L27" s="112">
        <v>25.86</v>
      </c>
      <c r="M27" s="112">
        <v>97.43</v>
      </c>
      <c r="N27" s="112">
        <v>2</v>
      </c>
      <c r="O27" s="112">
        <v>0</v>
      </c>
      <c r="P27" s="112">
        <v>0.23</v>
      </c>
      <c r="Q27" s="112">
        <v>4.6399999999999997</v>
      </c>
    </row>
    <row r="28" spans="1:17" customFormat="1">
      <c r="A28" s="80">
        <v>45477.208333333336</v>
      </c>
      <c r="B28" s="112">
        <v>9.39</v>
      </c>
      <c r="C28" s="112">
        <v>4.0599999999999996</v>
      </c>
      <c r="D28" s="112">
        <v>14.1</v>
      </c>
      <c r="E28" s="112">
        <v>10.72</v>
      </c>
      <c r="F28" s="112">
        <v>4.3099999999999996</v>
      </c>
      <c r="G28" s="112">
        <v>13.47</v>
      </c>
      <c r="H28" s="112">
        <v>3.72</v>
      </c>
      <c r="I28" s="112">
        <v>3.11</v>
      </c>
      <c r="J28" s="112">
        <v>0.14000000000000001</v>
      </c>
      <c r="K28" s="112">
        <v>163.91</v>
      </c>
      <c r="L28" s="112">
        <v>25.93</v>
      </c>
      <c r="M28" s="112">
        <v>97.04</v>
      </c>
      <c r="N28" s="112">
        <v>2.1</v>
      </c>
      <c r="O28" s="112">
        <v>0.2</v>
      </c>
      <c r="P28" s="112">
        <v>0.22</v>
      </c>
      <c r="Q28" s="112">
        <v>4.6500000000000004</v>
      </c>
    </row>
    <row r="29" spans="1:17" customFormat="1">
      <c r="A29" s="80">
        <v>45477.21875</v>
      </c>
      <c r="B29" s="112">
        <v>9.41</v>
      </c>
      <c r="C29" s="112">
        <v>4.05</v>
      </c>
      <c r="D29" s="112">
        <v>14.11</v>
      </c>
      <c r="E29" s="112">
        <v>10.96</v>
      </c>
      <c r="F29" s="112">
        <v>4.3499999999999996</v>
      </c>
      <c r="G29" s="112">
        <v>13.47</v>
      </c>
      <c r="H29" s="112">
        <v>3.72</v>
      </c>
      <c r="I29" s="112">
        <v>3.13</v>
      </c>
      <c r="J29" s="112">
        <v>0.41</v>
      </c>
      <c r="K29" s="112">
        <v>304.33999999999997</v>
      </c>
      <c r="L29" s="112">
        <v>25.76</v>
      </c>
      <c r="M29" s="112">
        <v>97.55</v>
      </c>
      <c r="N29" s="112">
        <v>2.5</v>
      </c>
      <c r="O29" s="112">
        <v>1.8</v>
      </c>
      <c r="P29" s="112">
        <v>0.23</v>
      </c>
      <c r="Q29" s="112">
        <v>4.66</v>
      </c>
    </row>
    <row r="30" spans="1:17" customFormat="1">
      <c r="A30" s="80">
        <v>45477.229166666664</v>
      </c>
      <c r="B30" s="112">
        <v>9.3699999999999992</v>
      </c>
      <c r="C30" s="112">
        <v>4.07</v>
      </c>
      <c r="D30" s="112">
        <v>14.09</v>
      </c>
      <c r="E30" s="112">
        <v>10.74</v>
      </c>
      <c r="F30" s="112">
        <v>4.13</v>
      </c>
      <c r="G30" s="112">
        <v>13.47</v>
      </c>
      <c r="H30" s="112">
        <v>3.72</v>
      </c>
      <c r="I30" s="112">
        <v>3.09</v>
      </c>
      <c r="J30" s="112">
        <v>0.53</v>
      </c>
      <c r="K30" s="112">
        <v>273.24</v>
      </c>
      <c r="L30" s="112">
        <v>25.46</v>
      </c>
      <c r="M30" s="112">
        <v>100.36</v>
      </c>
      <c r="N30" s="112">
        <v>2.9</v>
      </c>
      <c r="O30" s="112">
        <v>0.8</v>
      </c>
      <c r="P30" s="112">
        <v>0.23</v>
      </c>
      <c r="Q30" s="112">
        <v>4.6500000000000004</v>
      </c>
    </row>
    <row r="31" spans="1:17" customFormat="1">
      <c r="A31" s="80">
        <v>45477.239583333336</v>
      </c>
      <c r="B31" s="112">
        <v>9.3699999999999992</v>
      </c>
      <c r="C31" s="112">
        <v>4.09</v>
      </c>
      <c r="D31" s="112">
        <v>14.1</v>
      </c>
      <c r="E31" s="112">
        <v>11.09</v>
      </c>
      <c r="F31" s="112">
        <v>4.0599999999999996</v>
      </c>
      <c r="G31" s="112">
        <v>14.59</v>
      </c>
      <c r="H31" s="112">
        <v>6.89</v>
      </c>
      <c r="I31" s="112">
        <v>3.15</v>
      </c>
      <c r="J31" s="112">
        <v>0.97</v>
      </c>
      <c r="K31" s="112">
        <v>278.81</v>
      </c>
      <c r="L31" s="112">
        <v>24.94</v>
      </c>
      <c r="M31" s="112">
        <v>100.91</v>
      </c>
      <c r="N31" s="112">
        <v>5.3</v>
      </c>
      <c r="O31" s="112">
        <v>1.4</v>
      </c>
      <c r="P31" s="112">
        <v>0.24</v>
      </c>
      <c r="Q31" s="112">
        <v>4.63</v>
      </c>
    </row>
    <row r="32" spans="1:17" customFormat="1">
      <c r="A32" s="80">
        <v>45477.25</v>
      </c>
      <c r="B32" s="112">
        <v>9.3800000000000008</v>
      </c>
      <c r="C32" s="112">
        <v>4.04</v>
      </c>
      <c r="D32" s="112">
        <v>14.08</v>
      </c>
      <c r="E32" s="112">
        <v>11.36</v>
      </c>
      <c r="F32" s="112">
        <v>4.01</v>
      </c>
      <c r="G32" s="112">
        <v>15.45</v>
      </c>
      <c r="H32" s="112">
        <v>7.92</v>
      </c>
      <c r="I32" s="112">
        <v>3.2</v>
      </c>
      <c r="J32" s="112">
        <v>0.59</v>
      </c>
      <c r="K32" s="112">
        <v>265.67</v>
      </c>
      <c r="L32" s="112">
        <v>24.63</v>
      </c>
      <c r="M32" s="112">
        <v>101.06</v>
      </c>
      <c r="N32" s="112">
        <v>5.3</v>
      </c>
      <c r="O32" s="112">
        <v>4.4000000000000004</v>
      </c>
      <c r="P32" s="112">
        <v>0.23</v>
      </c>
      <c r="Q32" s="112">
        <v>4.6399999999999997</v>
      </c>
    </row>
    <row r="33" spans="1:17" customFormat="1">
      <c r="A33" s="80">
        <v>45477.260416666664</v>
      </c>
      <c r="B33" s="112">
        <v>9.3800000000000008</v>
      </c>
      <c r="C33" s="112">
        <v>4.0599999999999996</v>
      </c>
      <c r="D33" s="112">
        <v>14.1</v>
      </c>
      <c r="E33" s="112">
        <v>11.52</v>
      </c>
      <c r="F33" s="112">
        <v>3.75</v>
      </c>
      <c r="G33" s="112">
        <v>15.45</v>
      </c>
      <c r="H33" s="112">
        <v>7.92</v>
      </c>
      <c r="I33" s="112">
        <v>3.22</v>
      </c>
      <c r="J33" s="112">
        <v>0.65</v>
      </c>
      <c r="K33" s="112">
        <v>263.16000000000003</v>
      </c>
      <c r="L33" s="112">
        <v>24.53</v>
      </c>
      <c r="M33" s="112">
        <v>101.73</v>
      </c>
      <c r="N33" s="112">
        <v>7.7</v>
      </c>
      <c r="O33" s="112">
        <v>1.4</v>
      </c>
      <c r="P33" s="112">
        <v>0.23</v>
      </c>
      <c r="Q33" s="112">
        <v>4.6500000000000004</v>
      </c>
    </row>
    <row r="34" spans="1:17" customFormat="1">
      <c r="A34" s="80">
        <v>45477.270833333336</v>
      </c>
      <c r="B34" s="112">
        <v>9.39</v>
      </c>
      <c r="C34" s="112">
        <v>4.0599999999999996</v>
      </c>
      <c r="D34" s="112">
        <v>14.1</v>
      </c>
      <c r="E34" s="112">
        <v>11.43</v>
      </c>
      <c r="F34" s="112">
        <v>3.79</v>
      </c>
      <c r="G34" s="112">
        <v>15.45</v>
      </c>
      <c r="H34" s="112">
        <v>7.92</v>
      </c>
      <c r="I34" s="112">
        <v>3.17</v>
      </c>
      <c r="J34" s="112">
        <v>0.73</v>
      </c>
      <c r="K34" s="112">
        <v>262.14999999999998</v>
      </c>
      <c r="L34" s="112">
        <v>24.55</v>
      </c>
      <c r="M34" s="112">
        <v>102.51</v>
      </c>
      <c r="N34" s="112">
        <v>10.1</v>
      </c>
      <c r="O34" s="112">
        <v>0.8</v>
      </c>
      <c r="P34" s="112">
        <v>0.25</v>
      </c>
      <c r="Q34" s="112">
        <v>4.6500000000000004</v>
      </c>
    </row>
    <row r="35" spans="1:17" customFormat="1">
      <c r="A35" s="80">
        <v>45477.28125</v>
      </c>
      <c r="B35" s="112">
        <v>9.39</v>
      </c>
      <c r="C35" s="112">
        <v>4.09</v>
      </c>
      <c r="D35" s="112">
        <v>14.12</v>
      </c>
      <c r="E35" s="112">
        <v>11.54</v>
      </c>
      <c r="F35" s="112">
        <v>4.08</v>
      </c>
      <c r="G35" s="112">
        <v>14.25</v>
      </c>
      <c r="H35" s="112">
        <v>7.02</v>
      </c>
      <c r="I35" s="112">
        <v>3.19</v>
      </c>
      <c r="J35" s="112">
        <v>0.52</v>
      </c>
      <c r="K35" s="112">
        <v>259.67</v>
      </c>
      <c r="L35" s="112">
        <v>24.66</v>
      </c>
      <c r="M35" s="112">
        <v>102.17</v>
      </c>
      <c r="N35" s="112">
        <v>23.3</v>
      </c>
      <c r="O35" s="112">
        <v>1</v>
      </c>
      <c r="P35" s="112">
        <v>0.24</v>
      </c>
      <c r="Q35" s="112">
        <v>4.63</v>
      </c>
    </row>
    <row r="36" spans="1:17" customFormat="1">
      <c r="A36" s="80">
        <v>45477.291666666664</v>
      </c>
      <c r="B36" s="112">
        <v>9.41</v>
      </c>
      <c r="C36" s="112">
        <v>4.0599999999999996</v>
      </c>
      <c r="D36" s="112">
        <v>14.12</v>
      </c>
      <c r="E36" s="112">
        <v>11.38</v>
      </c>
      <c r="F36" s="112">
        <v>3.84</v>
      </c>
      <c r="G36" s="112">
        <v>13.33</v>
      </c>
      <c r="H36" s="112">
        <v>6.43</v>
      </c>
      <c r="I36" s="112">
        <v>3.21</v>
      </c>
      <c r="J36" s="112">
        <v>0.63</v>
      </c>
      <c r="K36" s="112">
        <v>254.72</v>
      </c>
      <c r="L36" s="112">
        <v>24.71</v>
      </c>
      <c r="M36" s="112">
        <v>102.91</v>
      </c>
      <c r="N36" s="112">
        <v>27.5</v>
      </c>
      <c r="O36" s="112">
        <v>0.4</v>
      </c>
      <c r="P36" s="112">
        <v>0.26</v>
      </c>
      <c r="Q36" s="112">
        <v>4.63</v>
      </c>
    </row>
    <row r="37" spans="1:17" customFormat="1">
      <c r="A37" s="80">
        <v>45477.302083333336</v>
      </c>
      <c r="B37" s="112">
        <v>9.41</v>
      </c>
      <c r="C37" s="112">
        <v>4.0599999999999996</v>
      </c>
      <c r="D37" s="112">
        <v>14.12</v>
      </c>
      <c r="E37" s="112">
        <v>11.71</v>
      </c>
      <c r="F37" s="112">
        <v>3.85</v>
      </c>
      <c r="G37" s="112">
        <v>13.33</v>
      </c>
      <c r="H37" s="112">
        <v>6.43</v>
      </c>
      <c r="I37" s="112">
        <v>3.26</v>
      </c>
      <c r="J37" s="112">
        <v>0.6</v>
      </c>
      <c r="K37" s="112">
        <v>259.26</v>
      </c>
      <c r="L37" s="112">
        <v>24.73</v>
      </c>
      <c r="M37" s="112">
        <v>102.8</v>
      </c>
      <c r="N37" s="112">
        <v>32.799999999999997</v>
      </c>
      <c r="O37" s="112">
        <v>0.2</v>
      </c>
      <c r="P37" s="112">
        <v>0.26</v>
      </c>
      <c r="Q37" s="112">
        <v>4.6399999999999997</v>
      </c>
    </row>
    <row r="38" spans="1:17" customFormat="1">
      <c r="A38" s="80">
        <v>45477.3125</v>
      </c>
      <c r="B38" s="112">
        <v>9.42</v>
      </c>
      <c r="C38" s="112">
        <v>4.05</v>
      </c>
      <c r="D38" s="112">
        <v>14.12</v>
      </c>
      <c r="E38" s="112">
        <v>12.04</v>
      </c>
      <c r="F38" s="112">
        <v>3.67</v>
      </c>
      <c r="G38" s="112">
        <v>13.33</v>
      </c>
      <c r="H38" s="112">
        <v>6.43</v>
      </c>
      <c r="I38" s="112">
        <v>3.28</v>
      </c>
      <c r="J38" s="112">
        <v>0.76</v>
      </c>
      <c r="K38" s="112">
        <v>260.58999999999997</v>
      </c>
      <c r="L38" s="112">
        <v>24.71</v>
      </c>
      <c r="M38" s="112">
        <v>102.69</v>
      </c>
      <c r="N38" s="112">
        <v>49.3</v>
      </c>
      <c r="O38" s="112">
        <v>0.4</v>
      </c>
      <c r="P38" s="112">
        <v>0.26</v>
      </c>
      <c r="Q38" s="112">
        <v>4.6500000000000004</v>
      </c>
    </row>
    <row r="39" spans="1:17" customFormat="1">
      <c r="A39" s="80">
        <v>45477.322916666664</v>
      </c>
      <c r="B39" s="112">
        <v>9.4</v>
      </c>
      <c r="C39" s="112">
        <v>4.08</v>
      </c>
      <c r="D39" s="112">
        <v>14.12</v>
      </c>
      <c r="E39" s="112">
        <v>12.17</v>
      </c>
      <c r="F39" s="112">
        <v>4.0199999999999996</v>
      </c>
      <c r="G39" s="112">
        <v>11.41</v>
      </c>
      <c r="H39" s="112">
        <v>5.15</v>
      </c>
      <c r="I39" s="112">
        <v>3.27</v>
      </c>
      <c r="J39" s="112">
        <v>0.68</v>
      </c>
      <c r="K39" s="112">
        <v>264.58</v>
      </c>
      <c r="L39" s="112">
        <v>24.72</v>
      </c>
      <c r="M39" s="112">
        <v>103.52</v>
      </c>
      <c r="N39" s="112">
        <v>56.2</v>
      </c>
      <c r="O39" s="112">
        <v>0.4</v>
      </c>
      <c r="P39" s="112">
        <v>0.26</v>
      </c>
      <c r="Q39" s="112">
        <v>4.6399999999999997</v>
      </c>
    </row>
    <row r="40" spans="1:17" customFormat="1">
      <c r="A40" s="80">
        <v>45477.333333333336</v>
      </c>
      <c r="B40" s="112">
        <v>9.42</v>
      </c>
      <c r="C40" s="112">
        <v>4.05</v>
      </c>
      <c r="D40" s="112">
        <v>14.12</v>
      </c>
      <c r="E40" s="112">
        <v>12.25</v>
      </c>
      <c r="F40" s="112">
        <v>4.1900000000000004</v>
      </c>
      <c r="G40" s="112">
        <v>9.9499999999999993</v>
      </c>
      <c r="H40" s="112">
        <v>4.7</v>
      </c>
      <c r="I40" s="112">
        <v>3.24</v>
      </c>
      <c r="J40" s="112">
        <v>0.69</v>
      </c>
      <c r="K40" s="112">
        <v>262.49</v>
      </c>
      <c r="L40" s="112">
        <v>24.78</v>
      </c>
      <c r="M40" s="112">
        <v>103.95</v>
      </c>
      <c r="N40" s="112">
        <v>67.2</v>
      </c>
      <c r="O40" s="112">
        <v>0.2</v>
      </c>
      <c r="P40" s="112">
        <v>0.25</v>
      </c>
      <c r="Q40" s="112">
        <v>4.6399999999999997</v>
      </c>
    </row>
    <row r="41" spans="1:17" customFormat="1">
      <c r="A41" s="80">
        <v>45477.34375</v>
      </c>
      <c r="B41" s="112">
        <v>9.3800000000000008</v>
      </c>
      <c r="C41" s="112">
        <v>4.1100000000000003</v>
      </c>
      <c r="D41" s="112">
        <v>14.12</v>
      </c>
      <c r="E41" s="112">
        <v>11.85</v>
      </c>
      <c r="F41" s="112">
        <v>3.47</v>
      </c>
      <c r="G41" s="112">
        <v>9.9499999999999993</v>
      </c>
      <c r="H41" s="112">
        <v>4.7</v>
      </c>
      <c r="I41" s="112">
        <v>3.21</v>
      </c>
      <c r="J41" s="112">
        <v>0.39</v>
      </c>
      <c r="K41" s="112">
        <v>245.35</v>
      </c>
      <c r="L41" s="112">
        <v>25.09</v>
      </c>
      <c r="M41" s="112">
        <v>104.16</v>
      </c>
      <c r="N41" s="112">
        <v>97.3</v>
      </c>
      <c r="O41" s="112">
        <v>0.2</v>
      </c>
      <c r="P41" s="112">
        <v>0.25</v>
      </c>
      <c r="Q41" s="112">
        <v>4.6500000000000004</v>
      </c>
    </row>
    <row r="42" spans="1:17" customFormat="1">
      <c r="A42" s="80">
        <v>45477.354166666664</v>
      </c>
      <c r="B42" s="112">
        <v>9.36</v>
      </c>
      <c r="C42" s="112">
        <v>4.12</v>
      </c>
      <c r="D42" s="112">
        <v>14.11</v>
      </c>
      <c r="E42" s="112">
        <v>12.44</v>
      </c>
      <c r="F42" s="112">
        <v>3.67</v>
      </c>
      <c r="G42" s="112">
        <v>9.9499999999999993</v>
      </c>
      <c r="H42" s="112">
        <v>4.7</v>
      </c>
      <c r="I42" s="112">
        <v>3.19</v>
      </c>
      <c r="J42" s="112">
        <v>0.52</v>
      </c>
      <c r="K42" s="112">
        <v>255.6</v>
      </c>
      <c r="L42" s="112">
        <v>25.19</v>
      </c>
      <c r="M42" s="112">
        <v>103.66</v>
      </c>
      <c r="N42" s="112">
        <v>79.3</v>
      </c>
      <c r="O42" s="112">
        <v>0.4</v>
      </c>
      <c r="P42" s="112">
        <v>0.28000000000000003</v>
      </c>
      <c r="Q42" s="112">
        <v>4.6399999999999997</v>
      </c>
    </row>
    <row r="43" spans="1:17" customFormat="1">
      <c r="A43" s="80">
        <v>45477.364583333336</v>
      </c>
      <c r="B43" s="112">
        <v>9.3800000000000008</v>
      </c>
      <c r="C43" s="112">
        <v>4.07</v>
      </c>
      <c r="D43" s="112">
        <v>14.1</v>
      </c>
      <c r="E43" s="112">
        <v>12.31</v>
      </c>
      <c r="F43" s="112">
        <v>3.79</v>
      </c>
      <c r="G43" s="112">
        <v>8.35</v>
      </c>
      <c r="H43" s="112">
        <v>3.75</v>
      </c>
      <c r="I43" s="112">
        <v>3.16</v>
      </c>
      <c r="J43" s="112">
        <v>0.56999999999999995</v>
      </c>
      <c r="K43" s="112">
        <v>261.01</v>
      </c>
      <c r="L43" s="112">
        <v>25.23</v>
      </c>
      <c r="M43" s="112">
        <v>101.97</v>
      </c>
      <c r="N43" s="112">
        <v>102.7</v>
      </c>
      <c r="O43" s="112">
        <v>0</v>
      </c>
      <c r="P43" s="112">
        <v>0.3</v>
      </c>
      <c r="Q43" s="112">
        <v>4.6399999999999997</v>
      </c>
    </row>
    <row r="44" spans="1:17" customFormat="1">
      <c r="A44" s="80">
        <v>45477.375</v>
      </c>
      <c r="B44" s="112">
        <v>9.39</v>
      </c>
      <c r="C44" s="112">
        <v>4.0599999999999996</v>
      </c>
      <c r="D44" s="112">
        <v>14.1</v>
      </c>
      <c r="E44" s="112">
        <v>12.02</v>
      </c>
      <c r="F44" s="112">
        <v>4.08</v>
      </c>
      <c r="G44" s="112">
        <v>7.13</v>
      </c>
      <c r="H44" s="112">
        <v>3.44</v>
      </c>
      <c r="I44" s="112">
        <v>3.2</v>
      </c>
      <c r="J44" s="112">
        <v>0.56000000000000005</v>
      </c>
      <c r="K44" s="112">
        <v>254.45</v>
      </c>
      <c r="L44" s="112">
        <v>25.41</v>
      </c>
      <c r="M44" s="112">
        <v>102.69</v>
      </c>
      <c r="N44" s="112">
        <v>123.2</v>
      </c>
      <c r="O44" s="112">
        <v>0</v>
      </c>
      <c r="P44" s="112">
        <v>0.3</v>
      </c>
      <c r="Q44" s="112">
        <v>4.63</v>
      </c>
    </row>
    <row r="45" spans="1:17" customFormat="1">
      <c r="A45" s="80">
        <v>45477.385416666664</v>
      </c>
      <c r="B45" s="112">
        <v>9.3800000000000008</v>
      </c>
      <c r="C45" s="112">
        <v>4.0599999999999996</v>
      </c>
      <c r="D45" s="112">
        <v>14.09</v>
      </c>
      <c r="E45" s="112">
        <v>11.27</v>
      </c>
      <c r="F45" s="112">
        <v>4.07</v>
      </c>
      <c r="G45" s="112">
        <v>7.13</v>
      </c>
      <c r="H45" s="112">
        <v>3.44</v>
      </c>
      <c r="I45" s="112">
        <v>3.21</v>
      </c>
      <c r="J45" s="112">
        <v>0.71</v>
      </c>
      <c r="K45" s="112">
        <v>255.84</v>
      </c>
      <c r="L45" s="112">
        <v>25.73</v>
      </c>
      <c r="M45" s="112">
        <v>102.63</v>
      </c>
      <c r="N45" s="112">
        <v>184.8</v>
      </c>
      <c r="O45" s="112">
        <v>0</v>
      </c>
      <c r="P45" s="112">
        <v>0.3</v>
      </c>
      <c r="Q45" s="112">
        <v>4.62</v>
      </c>
    </row>
    <row r="46" spans="1:17" customFormat="1">
      <c r="A46" s="80">
        <v>45477.395833333336</v>
      </c>
      <c r="B46" s="112">
        <v>9.36</v>
      </c>
      <c r="C46" s="112">
        <v>4.0599999999999996</v>
      </c>
      <c r="D46" s="112">
        <v>14.08</v>
      </c>
      <c r="E46" s="112">
        <v>11.1</v>
      </c>
      <c r="F46" s="112">
        <v>4.16</v>
      </c>
      <c r="G46" s="112">
        <v>7.13</v>
      </c>
      <c r="H46" s="112">
        <v>3.44</v>
      </c>
      <c r="I46" s="112">
        <v>3.24</v>
      </c>
      <c r="J46" s="112">
        <v>0.79</v>
      </c>
      <c r="K46" s="112">
        <v>258.02</v>
      </c>
      <c r="L46" s="112">
        <v>26.04</v>
      </c>
      <c r="M46" s="112">
        <v>101.88</v>
      </c>
      <c r="N46" s="112">
        <v>222.1</v>
      </c>
      <c r="O46" s="112">
        <v>0</v>
      </c>
      <c r="P46" s="112">
        <v>0.28999999999999998</v>
      </c>
      <c r="Q46" s="112">
        <v>4.62</v>
      </c>
    </row>
    <row r="47" spans="1:17" customFormat="1">
      <c r="A47" s="80">
        <v>45477.40625</v>
      </c>
      <c r="B47" s="112">
        <v>9.33</v>
      </c>
      <c r="C47" s="112">
        <v>4.07</v>
      </c>
      <c r="D47" s="112">
        <v>14.06</v>
      </c>
      <c r="E47" s="112">
        <v>10.8</v>
      </c>
      <c r="F47" s="112">
        <v>4.45</v>
      </c>
      <c r="G47" s="112">
        <v>7.43</v>
      </c>
      <c r="H47" s="112">
        <v>2.83</v>
      </c>
      <c r="I47" s="112">
        <v>3.25</v>
      </c>
      <c r="J47" s="112">
        <v>0.7</v>
      </c>
      <c r="K47" s="112">
        <v>261.89999999999998</v>
      </c>
      <c r="L47" s="112">
        <v>26.33</v>
      </c>
      <c r="M47" s="112">
        <v>98.82</v>
      </c>
      <c r="N47" s="112">
        <v>198.4</v>
      </c>
      <c r="O47" s="112">
        <v>0</v>
      </c>
      <c r="P47" s="112">
        <v>0.3</v>
      </c>
      <c r="Q47" s="112">
        <v>4.66</v>
      </c>
    </row>
    <row r="48" spans="1:17" customFormat="1">
      <c r="A48" s="80">
        <v>45477.416666666664</v>
      </c>
      <c r="B48" s="112">
        <v>9.33</v>
      </c>
      <c r="C48" s="112">
        <v>4.05</v>
      </c>
      <c r="D48" s="112">
        <v>14.05</v>
      </c>
      <c r="E48" s="112">
        <v>10.82</v>
      </c>
      <c r="F48" s="112">
        <v>4.22</v>
      </c>
      <c r="G48" s="112">
        <v>7.66</v>
      </c>
      <c r="H48" s="112">
        <v>2.63</v>
      </c>
      <c r="I48" s="112">
        <v>3.24</v>
      </c>
      <c r="J48" s="112">
        <v>0.78</v>
      </c>
      <c r="K48" s="112">
        <v>260.42</v>
      </c>
      <c r="L48" s="112">
        <v>26.47</v>
      </c>
      <c r="M48" s="112">
        <v>95.24</v>
      </c>
      <c r="N48" s="112">
        <v>173.7</v>
      </c>
      <c r="O48" s="112">
        <v>0</v>
      </c>
      <c r="P48" s="112">
        <v>0.28999999999999998</v>
      </c>
      <c r="Q48" s="112">
        <v>4.63</v>
      </c>
    </row>
    <row r="49" spans="1:17" customFormat="1">
      <c r="A49" s="80">
        <v>45477.427083333336</v>
      </c>
      <c r="B49" s="112">
        <v>9.33</v>
      </c>
      <c r="C49" s="112">
        <v>4.07</v>
      </c>
      <c r="D49" s="112">
        <v>14.06</v>
      </c>
      <c r="E49" s="112">
        <v>8</v>
      </c>
      <c r="F49" s="112">
        <v>3.95</v>
      </c>
      <c r="G49" s="112">
        <v>7.66</v>
      </c>
      <c r="H49" s="112">
        <v>2.63</v>
      </c>
      <c r="I49" s="112">
        <v>3.23</v>
      </c>
      <c r="J49" s="112">
        <v>0.91</v>
      </c>
      <c r="K49" s="112">
        <v>277.44</v>
      </c>
      <c r="L49" s="112">
        <v>26.53</v>
      </c>
      <c r="M49" s="112">
        <v>93.92</v>
      </c>
      <c r="N49" s="112">
        <v>165.6</v>
      </c>
      <c r="O49" s="112">
        <v>0</v>
      </c>
      <c r="P49" s="112">
        <v>0.28999999999999998</v>
      </c>
      <c r="Q49" s="112">
        <v>4.6500000000000004</v>
      </c>
    </row>
    <row r="50" spans="1:17" customFormat="1">
      <c r="A50" s="80">
        <v>45477.4375</v>
      </c>
      <c r="B50" s="112">
        <v>9.33</v>
      </c>
      <c r="C50" s="112">
        <v>4.07</v>
      </c>
      <c r="D50" s="112">
        <v>14.06</v>
      </c>
      <c r="E50" s="112">
        <v>9.48</v>
      </c>
      <c r="F50" s="112">
        <v>4.16</v>
      </c>
      <c r="G50" s="112">
        <v>7.66</v>
      </c>
      <c r="H50" s="112">
        <v>2.63</v>
      </c>
      <c r="I50" s="112">
        <v>3.28</v>
      </c>
      <c r="J50" s="112">
        <v>0.83</v>
      </c>
      <c r="K50" s="112">
        <v>264.14</v>
      </c>
      <c r="L50" s="112">
        <v>26.92</v>
      </c>
      <c r="M50" s="112">
        <v>92.68</v>
      </c>
      <c r="N50" s="112">
        <v>190.6</v>
      </c>
      <c r="O50" s="112">
        <v>0</v>
      </c>
      <c r="P50" s="112">
        <v>0.28999999999999998</v>
      </c>
      <c r="Q50" s="112">
        <v>4.62</v>
      </c>
    </row>
    <row r="51" spans="1:17" customFormat="1">
      <c r="A51" s="80">
        <v>45477.447916666664</v>
      </c>
      <c r="B51" s="112">
        <v>9.33</v>
      </c>
      <c r="C51" s="112">
        <v>4.05</v>
      </c>
      <c r="D51" s="112">
        <v>14.05</v>
      </c>
      <c r="E51" s="112">
        <v>9.59</v>
      </c>
      <c r="F51" s="112">
        <v>5.47</v>
      </c>
      <c r="G51" s="112">
        <v>6.48</v>
      </c>
      <c r="H51" s="112">
        <v>3.4</v>
      </c>
      <c r="I51" s="112">
        <v>3.32</v>
      </c>
      <c r="J51" s="112">
        <v>0.85</v>
      </c>
      <c r="K51" s="112">
        <v>274.45</v>
      </c>
      <c r="L51" s="112">
        <v>27.1</v>
      </c>
      <c r="M51" s="112">
        <v>91.93</v>
      </c>
      <c r="N51" s="112">
        <v>164.1</v>
      </c>
      <c r="O51" s="112">
        <v>0</v>
      </c>
      <c r="P51" s="112">
        <v>0.28999999999999998</v>
      </c>
      <c r="Q51" s="112">
        <v>4.6399999999999997</v>
      </c>
    </row>
    <row r="52" spans="1:17" customFormat="1">
      <c r="A52" s="80">
        <v>45477.458333333336</v>
      </c>
      <c r="B52" s="112">
        <v>9.34</v>
      </c>
      <c r="C52" s="112">
        <v>4.04</v>
      </c>
      <c r="D52" s="112">
        <v>14.05</v>
      </c>
      <c r="E52" s="112">
        <v>9.76</v>
      </c>
      <c r="F52" s="112">
        <v>4.6500000000000004</v>
      </c>
      <c r="G52" s="112">
        <v>5.57</v>
      </c>
      <c r="H52" s="112">
        <v>3.65</v>
      </c>
      <c r="I52" s="112">
        <v>3.35</v>
      </c>
      <c r="J52" s="112">
        <v>0.87</v>
      </c>
      <c r="K52" s="112">
        <v>264.94</v>
      </c>
      <c r="L52" s="112">
        <v>27.01</v>
      </c>
      <c r="M52" s="112">
        <v>91.24</v>
      </c>
      <c r="N52" s="112">
        <v>139.1</v>
      </c>
      <c r="O52" s="112">
        <v>0</v>
      </c>
      <c r="P52" s="112">
        <v>0.28999999999999998</v>
      </c>
      <c r="Q52" s="112">
        <v>4.6500000000000004</v>
      </c>
    </row>
    <row r="53" spans="1:17" customFormat="1">
      <c r="A53" s="80">
        <v>45477.46875</v>
      </c>
      <c r="B53" s="112">
        <v>9.34</v>
      </c>
      <c r="C53" s="112">
        <v>4.0599999999999996</v>
      </c>
      <c r="D53" s="112">
        <v>14.06</v>
      </c>
      <c r="E53" s="112">
        <v>8.75</v>
      </c>
      <c r="F53" s="112">
        <v>4.45</v>
      </c>
      <c r="G53" s="112">
        <v>5.57</v>
      </c>
      <c r="H53" s="112">
        <v>3.65</v>
      </c>
      <c r="I53" s="112">
        <v>3.32</v>
      </c>
      <c r="J53" s="112">
        <v>0.89</v>
      </c>
      <c r="K53" s="112">
        <v>265.05</v>
      </c>
      <c r="L53" s="112">
        <v>27.31</v>
      </c>
      <c r="M53" s="112">
        <v>90.63</v>
      </c>
      <c r="N53" s="112">
        <v>167.3</v>
      </c>
      <c r="O53" s="112">
        <v>0</v>
      </c>
      <c r="P53" s="112">
        <v>0.28999999999999998</v>
      </c>
      <c r="Q53" s="112">
        <v>4.6399999999999997</v>
      </c>
    </row>
    <row r="54" spans="1:17" customFormat="1">
      <c r="A54" s="80">
        <v>45477.479166666664</v>
      </c>
      <c r="B54" s="112">
        <v>9.33</v>
      </c>
      <c r="C54" s="112">
        <v>4.09</v>
      </c>
      <c r="D54" s="112">
        <v>14.07</v>
      </c>
      <c r="E54" s="112">
        <v>9.1199999999999992</v>
      </c>
      <c r="F54" s="112">
        <v>4.72</v>
      </c>
      <c r="G54" s="112">
        <v>5.57</v>
      </c>
      <c r="H54" s="112">
        <v>3.65</v>
      </c>
      <c r="I54" s="112">
        <v>3.36</v>
      </c>
      <c r="J54" s="112">
        <v>0.9</v>
      </c>
      <c r="K54" s="112">
        <v>271.38</v>
      </c>
      <c r="L54" s="112">
        <v>27.66</v>
      </c>
      <c r="M54" s="112">
        <v>89.15</v>
      </c>
      <c r="N54" s="112">
        <v>231.7</v>
      </c>
      <c r="O54" s="112">
        <v>0</v>
      </c>
      <c r="P54" s="112">
        <v>0.28999999999999998</v>
      </c>
      <c r="Q54" s="112">
        <v>4.6399999999999997</v>
      </c>
    </row>
    <row r="55" spans="1:17" customFormat="1">
      <c r="A55" s="80">
        <v>45477.489583333336</v>
      </c>
      <c r="B55" s="112">
        <v>9.32</v>
      </c>
      <c r="C55" s="112">
        <v>4.09</v>
      </c>
      <c r="D55" s="112">
        <v>14.06</v>
      </c>
      <c r="E55" s="112">
        <v>8.43</v>
      </c>
      <c r="F55" s="112">
        <v>4.84</v>
      </c>
      <c r="G55" s="112">
        <v>6.72</v>
      </c>
      <c r="H55" s="112">
        <v>4.16</v>
      </c>
      <c r="I55" s="112">
        <v>3.39</v>
      </c>
      <c r="J55" s="112">
        <v>0.98</v>
      </c>
      <c r="K55" s="112">
        <v>263.18</v>
      </c>
      <c r="L55" s="112">
        <v>28.03</v>
      </c>
      <c r="M55" s="112">
        <v>86.47</v>
      </c>
      <c r="N55" s="112">
        <v>230.1</v>
      </c>
      <c r="O55" s="112">
        <v>0</v>
      </c>
      <c r="P55" s="112">
        <v>0.3</v>
      </c>
      <c r="Q55" s="112">
        <v>4.63</v>
      </c>
    </row>
    <row r="56" spans="1:17" customFormat="1">
      <c r="A56" s="80">
        <v>45477.5</v>
      </c>
      <c r="B56" s="112">
        <v>9.34</v>
      </c>
      <c r="C56" s="112">
        <v>4.0599999999999996</v>
      </c>
      <c r="D56" s="112">
        <v>14.07</v>
      </c>
      <c r="E56" s="112">
        <v>8.26</v>
      </c>
      <c r="F56" s="112">
        <v>5.15</v>
      </c>
      <c r="G56" s="112">
        <v>7.59</v>
      </c>
      <c r="H56" s="112">
        <v>4.33</v>
      </c>
      <c r="I56" s="112">
        <v>3.42</v>
      </c>
      <c r="J56" s="112">
        <v>0.88</v>
      </c>
      <c r="K56" s="112">
        <v>262.3</v>
      </c>
      <c r="L56" s="112">
        <v>28.16</v>
      </c>
      <c r="M56" s="112">
        <v>86.33</v>
      </c>
      <c r="N56" s="112">
        <v>264</v>
      </c>
      <c r="O56" s="112">
        <v>0</v>
      </c>
      <c r="P56" s="112">
        <v>0.28999999999999998</v>
      </c>
      <c r="Q56" s="112">
        <v>4.6399999999999997</v>
      </c>
    </row>
    <row r="57" spans="1:17" customFormat="1">
      <c r="A57" s="80">
        <v>45477.510416666664</v>
      </c>
      <c r="B57" s="112">
        <v>9.34</v>
      </c>
      <c r="C57" s="112">
        <v>4.08</v>
      </c>
      <c r="D57" s="112">
        <v>14.07</v>
      </c>
      <c r="E57" s="112">
        <v>8.43</v>
      </c>
      <c r="F57" s="112">
        <v>4.9400000000000004</v>
      </c>
      <c r="G57" s="112">
        <v>7.59</v>
      </c>
      <c r="H57" s="112">
        <v>4.33</v>
      </c>
      <c r="I57" s="112">
        <v>3.42</v>
      </c>
      <c r="J57" s="112">
        <v>0.82</v>
      </c>
      <c r="K57" s="112">
        <v>254.84</v>
      </c>
      <c r="L57" s="112">
        <v>28.19</v>
      </c>
      <c r="M57" s="112">
        <v>85.45</v>
      </c>
      <c r="N57" s="112">
        <v>221.5</v>
      </c>
      <c r="O57" s="112">
        <v>0</v>
      </c>
      <c r="P57" s="112">
        <v>0.28999999999999998</v>
      </c>
      <c r="Q57" s="112">
        <v>4.6399999999999997</v>
      </c>
    </row>
    <row r="58" spans="1:17" customFormat="1">
      <c r="A58" s="80">
        <v>45477.520833333336</v>
      </c>
      <c r="B58" s="112">
        <v>9.35</v>
      </c>
      <c r="C58" s="112">
        <v>4.0599999999999996</v>
      </c>
      <c r="D58" s="112">
        <v>14.06</v>
      </c>
      <c r="E58" s="112">
        <v>8.3800000000000008</v>
      </c>
      <c r="F58" s="112">
        <v>5.34</v>
      </c>
      <c r="G58" s="112">
        <v>7.59</v>
      </c>
      <c r="H58" s="112">
        <v>4.33</v>
      </c>
      <c r="I58" s="112">
        <v>3.36</v>
      </c>
      <c r="J58" s="112">
        <v>0.96</v>
      </c>
      <c r="K58" s="112">
        <v>264.95999999999998</v>
      </c>
      <c r="L58" s="112">
        <v>28.35</v>
      </c>
      <c r="M58" s="112">
        <v>86.23</v>
      </c>
      <c r="N58" s="112">
        <v>302.2</v>
      </c>
      <c r="O58" s="112">
        <v>0</v>
      </c>
      <c r="P58" s="112">
        <v>0.28999999999999998</v>
      </c>
      <c r="Q58" s="112">
        <v>4.6399999999999997</v>
      </c>
    </row>
    <row r="59" spans="1:17" customFormat="1">
      <c r="A59" s="80">
        <v>45477.53125</v>
      </c>
      <c r="B59" s="112">
        <v>9.34</v>
      </c>
      <c r="C59" s="112">
        <v>4.08</v>
      </c>
      <c r="D59" s="112">
        <v>14.07</v>
      </c>
      <c r="E59" s="112">
        <v>8.08</v>
      </c>
      <c r="F59" s="112">
        <v>5.74</v>
      </c>
      <c r="G59" s="112">
        <v>9.0299999999999994</v>
      </c>
      <c r="H59" s="112">
        <v>3.75</v>
      </c>
      <c r="I59" s="112">
        <v>3.36</v>
      </c>
      <c r="J59" s="112">
        <v>0.89</v>
      </c>
      <c r="K59" s="112">
        <v>267.66000000000003</v>
      </c>
      <c r="L59" s="112">
        <v>28.97</v>
      </c>
      <c r="M59" s="112">
        <v>84.36</v>
      </c>
      <c r="N59" s="112">
        <v>421.6</v>
      </c>
      <c r="O59" s="112">
        <v>0</v>
      </c>
      <c r="P59" s="112">
        <v>0.28999999999999998</v>
      </c>
      <c r="Q59" s="112">
        <v>4.6399999999999997</v>
      </c>
    </row>
    <row r="60" spans="1:17" customFormat="1">
      <c r="A60" s="80">
        <v>45477.541666666664</v>
      </c>
      <c r="B60" s="112">
        <v>9.35</v>
      </c>
      <c r="C60" s="112">
        <v>4.0599999999999996</v>
      </c>
      <c r="D60" s="112">
        <v>14.07</v>
      </c>
      <c r="E60" s="112">
        <v>8.58</v>
      </c>
      <c r="F60" s="112">
        <v>5.19</v>
      </c>
      <c r="G60" s="112">
        <v>10.130000000000001</v>
      </c>
      <c r="H60" s="112">
        <v>3.4</v>
      </c>
      <c r="I60" s="112">
        <v>3.35</v>
      </c>
      <c r="J60" s="112">
        <v>1.1100000000000001</v>
      </c>
      <c r="K60" s="112">
        <v>266.45999999999998</v>
      </c>
      <c r="L60" s="112">
        <v>29.47</v>
      </c>
      <c r="M60" s="112">
        <v>80.8</v>
      </c>
      <c r="N60" s="112">
        <v>351.5</v>
      </c>
      <c r="O60" s="112">
        <v>0</v>
      </c>
      <c r="P60" s="112">
        <v>0.28000000000000003</v>
      </c>
      <c r="Q60" s="112">
        <v>4.6399999999999997</v>
      </c>
    </row>
    <row r="61" spans="1:17" customFormat="1">
      <c r="A61" s="80">
        <v>45477.552083333336</v>
      </c>
      <c r="B61" s="112">
        <v>9.36</v>
      </c>
      <c r="C61" s="112">
        <v>4.07</v>
      </c>
      <c r="D61" s="112">
        <v>14.09</v>
      </c>
      <c r="E61" s="112">
        <v>8.3800000000000008</v>
      </c>
      <c r="F61" s="112">
        <v>5.2</v>
      </c>
      <c r="G61" s="112">
        <v>10.130000000000001</v>
      </c>
      <c r="H61" s="112">
        <v>3.4</v>
      </c>
      <c r="I61" s="112">
        <v>3.3</v>
      </c>
      <c r="J61" s="112">
        <v>1.02</v>
      </c>
      <c r="K61" s="112">
        <v>264.5</v>
      </c>
      <c r="L61" s="112">
        <v>28.95</v>
      </c>
      <c r="M61" s="112">
        <v>80.930000000000007</v>
      </c>
      <c r="N61" s="112">
        <v>253.1</v>
      </c>
      <c r="O61" s="112">
        <v>0</v>
      </c>
      <c r="P61" s="112">
        <v>0.21</v>
      </c>
      <c r="Q61" s="112">
        <v>4.6399999999999997</v>
      </c>
    </row>
    <row r="62" spans="1:17" customFormat="1">
      <c r="A62" s="80">
        <v>45477.5625</v>
      </c>
      <c r="B62" s="112">
        <v>9.39</v>
      </c>
      <c r="C62" s="112">
        <v>4.08</v>
      </c>
      <c r="D62" s="112">
        <v>14.12</v>
      </c>
      <c r="E62" s="112">
        <v>8.36</v>
      </c>
      <c r="F62" s="112">
        <v>5.2</v>
      </c>
      <c r="G62" s="112">
        <v>10.130000000000001</v>
      </c>
      <c r="H62" s="112">
        <v>3.4</v>
      </c>
      <c r="I62" s="112">
        <v>3.34</v>
      </c>
      <c r="J62" s="112">
        <v>1.19</v>
      </c>
      <c r="K62" s="112">
        <v>269.19</v>
      </c>
      <c r="L62" s="112">
        <v>28.83</v>
      </c>
      <c r="M62" s="112">
        <v>79.62</v>
      </c>
      <c r="N62" s="112">
        <v>257.7</v>
      </c>
      <c r="O62" s="112">
        <v>0</v>
      </c>
      <c r="P62" s="112">
        <v>0.21</v>
      </c>
      <c r="Q62" s="112">
        <v>4.63</v>
      </c>
    </row>
    <row r="63" spans="1:17" customFormat="1">
      <c r="A63" s="80">
        <v>45477.572916666664</v>
      </c>
      <c r="B63" s="112">
        <v>9.43</v>
      </c>
      <c r="C63" s="112">
        <v>4.09</v>
      </c>
      <c r="D63" s="112">
        <v>14.15</v>
      </c>
      <c r="E63" s="112">
        <v>8.6199999999999992</v>
      </c>
      <c r="F63" s="112">
        <v>6.02</v>
      </c>
      <c r="G63" s="112">
        <v>9.24</v>
      </c>
      <c r="H63" s="112">
        <v>2.66</v>
      </c>
      <c r="I63" s="112">
        <v>3.25</v>
      </c>
      <c r="J63" s="112">
        <v>1.18</v>
      </c>
      <c r="K63" s="112">
        <v>266.97000000000003</v>
      </c>
      <c r="L63" s="112">
        <v>29.01</v>
      </c>
      <c r="M63" s="112">
        <v>76</v>
      </c>
      <c r="N63" s="112">
        <v>317.60000000000002</v>
      </c>
      <c r="O63" s="112">
        <v>0</v>
      </c>
      <c r="P63" s="112">
        <v>0.2</v>
      </c>
      <c r="Q63" s="112">
        <v>4.6500000000000004</v>
      </c>
    </row>
    <row r="64" spans="1:17" customFormat="1">
      <c r="A64" s="80">
        <v>45477.583333333336</v>
      </c>
      <c r="B64" s="112">
        <v>9.42</v>
      </c>
      <c r="C64" s="112">
        <v>4.08</v>
      </c>
      <c r="D64" s="112">
        <v>14.14</v>
      </c>
      <c r="E64" s="112">
        <v>8.7899999999999991</v>
      </c>
      <c r="F64" s="112">
        <v>5.13</v>
      </c>
      <c r="G64" s="112">
        <v>8.56</v>
      </c>
      <c r="H64" s="112">
        <v>2.42</v>
      </c>
      <c r="I64" s="112">
        <v>3.19</v>
      </c>
      <c r="J64" s="112">
        <v>1.39</v>
      </c>
      <c r="K64" s="112">
        <v>267.57</v>
      </c>
      <c r="L64" s="112">
        <v>29.6</v>
      </c>
      <c r="M64" s="112">
        <v>71.58</v>
      </c>
      <c r="N64" s="112">
        <v>514.5</v>
      </c>
      <c r="O64" s="112">
        <v>0</v>
      </c>
      <c r="P64" s="112">
        <v>0.2</v>
      </c>
      <c r="Q64" s="112">
        <v>4.6500000000000004</v>
      </c>
    </row>
    <row r="65" spans="1:17" customFormat="1">
      <c r="A65" s="80">
        <v>45477.59375</v>
      </c>
      <c r="B65" s="112">
        <v>9.4</v>
      </c>
      <c r="C65" s="112">
        <v>4.08</v>
      </c>
      <c r="D65" s="112">
        <v>14.12</v>
      </c>
      <c r="E65" s="112">
        <v>9.3000000000000007</v>
      </c>
      <c r="F65" s="112">
        <v>4.97</v>
      </c>
      <c r="G65" s="112">
        <v>8.56</v>
      </c>
      <c r="H65" s="112">
        <v>2.42</v>
      </c>
      <c r="I65" s="112">
        <v>3.09</v>
      </c>
      <c r="J65" s="112">
        <v>1.35</v>
      </c>
      <c r="K65" s="112">
        <v>268.13</v>
      </c>
      <c r="L65" s="112">
        <v>29.72</v>
      </c>
      <c r="M65" s="112">
        <v>71.790000000000006</v>
      </c>
      <c r="N65" s="112">
        <v>389.4</v>
      </c>
      <c r="O65" s="112">
        <v>0</v>
      </c>
      <c r="P65" s="112">
        <v>0.28000000000000003</v>
      </c>
      <c r="Q65" s="112">
        <v>4.6399999999999997</v>
      </c>
    </row>
    <row r="66" spans="1:17" customFormat="1">
      <c r="A66" s="80">
        <v>45477.604166666664</v>
      </c>
      <c r="B66" s="112">
        <v>9.4</v>
      </c>
      <c r="C66" s="112">
        <v>4.0999999999999996</v>
      </c>
      <c r="D66" s="112">
        <v>14.13</v>
      </c>
      <c r="E66" s="112">
        <v>9.31</v>
      </c>
      <c r="F66" s="112">
        <v>5.23</v>
      </c>
      <c r="G66" s="112">
        <v>8.56</v>
      </c>
      <c r="H66" s="112">
        <v>2.42</v>
      </c>
      <c r="I66" s="112">
        <v>3.07</v>
      </c>
      <c r="J66" s="112">
        <v>1.36</v>
      </c>
      <c r="K66" s="112">
        <v>285.95</v>
      </c>
      <c r="L66" s="112">
        <v>30.09</v>
      </c>
      <c r="M66" s="112">
        <v>72.260000000000005</v>
      </c>
      <c r="N66" s="112">
        <v>477.4</v>
      </c>
      <c r="O66" s="112">
        <v>0</v>
      </c>
      <c r="P66" s="112">
        <v>0.3</v>
      </c>
      <c r="Q66" s="112">
        <v>4.63</v>
      </c>
    </row>
    <row r="67" spans="1:17" customFormat="1">
      <c r="A67" s="80">
        <v>45477.614583333336</v>
      </c>
      <c r="B67" s="112">
        <v>9.41</v>
      </c>
      <c r="C67" s="112">
        <v>4.0599999999999996</v>
      </c>
      <c r="D67" s="112">
        <v>14.12</v>
      </c>
      <c r="E67" s="112">
        <v>9.3000000000000007</v>
      </c>
      <c r="F67" s="112">
        <v>5.95</v>
      </c>
      <c r="G67" s="112">
        <v>11.15</v>
      </c>
      <c r="H67" s="112">
        <v>2.16</v>
      </c>
      <c r="I67" s="112">
        <v>3.01</v>
      </c>
      <c r="J67" s="112">
        <v>1.05</v>
      </c>
      <c r="K67" s="112">
        <v>267.27</v>
      </c>
      <c r="L67" s="112">
        <v>30.34</v>
      </c>
      <c r="M67" s="112">
        <v>73.14</v>
      </c>
      <c r="N67" s="112">
        <v>404.6</v>
      </c>
      <c r="O67" s="112">
        <v>0</v>
      </c>
      <c r="P67" s="112">
        <v>0.3</v>
      </c>
      <c r="Q67" s="112">
        <v>4.6500000000000004</v>
      </c>
    </row>
    <row r="68" spans="1:17" customFormat="1">
      <c r="A68" s="80">
        <v>45477.625</v>
      </c>
      <c r="B68" s="112">
        <v>9.4</v>
      </c>
      <c r="C68" s="112">
        <v>4.07</v>
      </c>
      <c r="D68" s="112">
        <v>14.11</v>
      </c>
      <c r="E68" s="112">
        <v>9.39</v>
      </c>
      <c r="F68" s="112">
        <v>5.87</v>
      </c>
      <c r="G68" s="112">
        <v>13.13</v>
      </c>
      <c r="H68" s="112">
        <v>2.08</v>
      </c>
      <c r="I68" s="112">
        <v>3.11</v>
      </c>
      <c r="J68" s="112">
        <v>1.05</v>
      </c>
      <c r="K68" s="112">
        <v>273.33</v>
      </c>
      <c r="L68" s="112">
        <v>29.86</v>
      </c>
      <c r="M68" s="112">
        <v>74.349999999999994</v>
      </c>
      <c r="N68" s="112">
        <v>238.4</v>
      </c>
      <c r="O68" s="112">
        <v>0</v>
      </c>
      <c r="P68" s="112">
        <v>0.28999999999999998</v>
      </c>
      <c r="Q68" s="112">
        <v>4.63</v>
      </c>
    </row>
    <row r="69" spans="1:17" customFormat="1">
      <c r="A69" s="80">
        <v>45477.635416666664</v>
      </c>
      <c r="B69" s="112">
        <v>9.4</v>
      </c>
      <c r="C69" s="112">
        <v>4.0599999999999996</v>
      </c>
      <c r="D69" s="112">
        <v>14.11</v>
      </c>
      <c r="E69" s="112">
        <v>9.5500000000000007</v>
      </c>
      <c r="F69" s="112">
        <v>4.96</v>
      </c>
      <c r="G69" s="112">
        <v>13.13</v>
      </c>
      <c r="H69" s="112">
        <v>2.08</v>
      </c>
      <c r="I69" s="112">
        <v>3.1</v>
      </c>
      <c r="J69" s="112">
        <v>0.79</v>
      </c>
      <c r="K69" s="112">
        <v>263.60000000000002</v>
      </c>
      <c r="L69" s="112">
        <v>29.76</v>
      </c>
      <c r="M69" s="112">
        <v>74.819999999999993</v>
      </c>
      <c r="N69" s="112">
        <v>180.7</v>
      </c>
      <c r="O69" s="112">
        <v>0</v>
      </c>
      <c r="P69" s="112">
        <v>0.3</v>
      </c>
      <c r="Q69" s="112">
        <v>4.63</v>
      </c>
    </row>
    <row r="70" spans="1:17" customFormat="1">
      <c r="A70" s="80">
        <v>45477.645833333336</v>
      </c>
      <c r="B70" s="112">
        <v>9.39</v>
      </c>
      <c r="C70" s="112">
        <v>4.09</v>
      </c>
      <c r="D70" s="112">
        <v>14.11</v>
      </c>
      <c r="E70" s="112">
        <v>9.4</v>
      </c>
      <c r="F70" s="112">
        <v>5.79</v>
      </c>
      <c r="G70" s="112">
        <v>13.13</v>
      </c>
      <c r="H70" s="112">
        <v>2.08</v>
      </c>
      <c r="I70" s="112">
        <v>2.93</v>
      </c>
      <c r="J70" s="112">
        <v>0.59</v>
      </c>
      <c r="K70" s="112">
        <v>257.48</v>
      </c>
      <c r="L70" s="112">
        <v>29.51</v>
      </c>
      <c r="M70" s="112">
        <v>76.28</v>
      </c>
      <c r="N70" s="112">
        <v>122.6</v>
      </c>
      <c r="O70" s="112">
        <v>0</v>
      </c>
      <c r="P70" s="112">
        <v>0.3</v>
      </c>
      <c r="Q70" s="112">
        <v>4.62</v>
      </c>
    </row>
    <row r="71" spans="1:17" customFormat="1">
      <c r="A71" s="80">
        <v>45477.65625</v>
      </c>
      <c r="B71" s="112">
        <v>9.39</v>
      </c>
      <c r="C71" s="112">
        <v>4.09</v>
      </c>
      <c r="D71" s="112">
        <v>14.12</v>
      </c>
      <c r="E71" s="112">
        <v>10.210000000000001</v>
      </c>
      <c r="F71" s="112">
        <v>6.59</v>
      </c>
      <c r="G71" s="112">
        <v>14.59</v>
      </c>
      <c r="H71" s="112">
        <v>2.19</v>
      </c>
      <c r="I71" s="112">
        <v>2.9</v>
      </c>
      <c r="J71" s="112">
        <v>0.49</v>
      </c>
      <c r="K71" s="112">
        <v>253.97</v>
      </c>
      <c r="L71" s="112">
        <v>29.58</v>
      </c>
      <c r="M71" s="112">
        <v>77.39</v>
      </c>
      <c r="N71" s="112">
        <v>160.1</v>
      </c>
      <c r="O71" s="112">
        <v>0</v>
      </c>
      <c r="P71" s="112">
        <v>0.3</v>
      </c>
      <c r="Q71" s="112">
        <v>4.63</v>
      </c>
    </row>
    <row r="72" spans="1:17" customFormat="1">
      <c r="A72" s="80">
        <v>45477.666666666664</v>
      </c>
      <c r="B72" s="112">
        <v>9.4</v>
      </c>
      <c r="C72" s="112">
        <v>4.0599999999999996</v>
      </c>
      <c r="D72" s="112">
        <v>14.12</v>
      </c>
      <c r="E72" s="112">
        <v>9.9499999999999993</v>
      </c>
      <c r="F72" s="112">
        <v>6.44</v>
      </c>
      <c r="G72" s="112">
        <v>15.71</v>
      </c>
      <c r="H72" s="112">
        <v>2.2200000000000002</v>
      </c>
      <c r="I72" s="112">
        <v>2.91</v>
      </c>
      <c r="J72" s="112">
        <v>0.61</v>
      </c>
      <c r="K72" s="112">
        <v>261.24</v>
      </c>
      <c r="L72" s="112">
        <v>29.92</v>
      </c>
      <c r="M72" s="112">
        <v>76.739999999999995</v>
      </c>
      <c r="N72" s="112">
        <v>205.9</v>
      </c>
      <c r="O72" s="112">
        <v>0</v>
      </c>
      <c r="P72" s="112">
        <v>0.28999999999999998</v>
      </c>
      <c r="Q72" s="112">
        <v>4.6399999999999997</v>
      </c>
    </row>
    <row r="73" spans="1:17" customFormat="1">
      <c r="A73" s="80">
        <v>45477.677083333336</v>
      </c>
      <c r="B73" s="112">
        <v>9.41</v>
      </c>
      <c r="C73" s="112">
        <v>4.0599999999999996</v>
      </c>
      <c r="D73" s="112">
        <v>14.12</v>
      </c>
      <c r="E73" s="112">
        <v>10.02</v>
      </c>
      <c r="F73" s="112">
        <v>6.57</v>
      </c>
      <c r="G73" s="112">
        <v>15.71</v>
      </c>
      <c r="H73" s="112">
        <v>2.2200000000000002</v>
      </c>
      <c r="I73" s="112">
        <v>3.03</v>
      </c>
      <c r="J73" s="112">
        <v>0.5</v>
      </c>
      <c r="K73" s="112">
        <v>253.46</v>
      </c>
      <c r="L73" s="112">
        <v>30.34</v>
      </c>
      <c r="M73" s="112">
        <v>76.349999999999994</v>
      </c>
      <c r="N73" s="112">
        <v>189.4</v>
      </c>
      <c r="O73" s="112">
        <v>0</v>
      </c>
      <c r="P73" s="112">
        <v>0.28999999999999998</v>
      </c>
      <c r="Q73" s="112">
        <v>4.62</v>
      </c>
    </row>
    <row r="74" spans="1:17" customFormat="1">
      <c r="A74" s="80">
        <v>45477.6875</v>
      </c>
      <c r="B74" s="112">
        <v>9.42</v>
      </c>
      <c r="C74" s="112">
        <v>4.08</v>
      </c>
      <c r="D74" s="112">
        <v>14.13</v>
      </c>
      <c r="E74" s="112">
        <v>10.220000000000001</v>
      </c>
      <c r="F74" s="112">
        <v>6.37</v>
      </c>
      <c r="G74" s="112">
        <v>15.71</v>
      </c>
      <c r="H74" s="112">
        <v>2.2200000000000002</v>
      </c>
      <c r="I74" s="112">
        <v>3.01</v>
      </c>
      <c r="J74" s="112">
        <v>0.61</v>
      </c>
      <c r="K74" s="112">
        <v>254.37</v>
      </c>
      <c r="L74" s="112">
        <v>30.36</v>
      </c>
      <c r="M74" s="112">
        <v>74.77</v>
      </c>
      <c r="N74" s="112">
        <v>166.1</v>
      </c>
      <c r="O74" s="112">
        <v>0</v>
      </c>
      <c r="P74" s="112">
        <v>0.3</v>
      </c>
      <c r="Q74" s="112">
        <v>4.6399999999999997</v>
      </c>
    </row>
    <row r="75" spans="1:17" customFormat="1">
      <c r="A75" s="80">
        <v>45477.697916666664</v>
      </c>
      <c r="B75" s="112">
        <v>9.41</v>
      </c>
      <c r="C75" s="112">
        <v>4.08</v>
      </c>
      <c r="D75" s="112">
        <v>14.13</v>
      </c>
      <c r="E75" s="112">
        <v>10.56</v>
      </c>
      <c r="F75" s="112">
        <v>7.84</v>
      </c>
      <c r="G75" s="112">
        <v>17.79</v>
      </c>
      <c r="H75" s="112">
        <v>4.51</v>
      </c>
      <c r="I75" s="112">
        <v>2.93</v>
      </c>
      <c r="J75" s="112">
        <v>0.48</v>
      </c>
      <c r="K75" s="112">
        <v>245.55</v>
      </c>
      <c r="L75" s="112">
        <v>30.41</v>
      </c>
      <c r="M75" s="112">
        <v>74.38</v>
      </c>
      <c r="N75" s="112">
        <v>140.80000000000001</v>
      </c>
      <c r="O75" s="112">
        <v>0</v>
      </c>
      <c r="P75" s="112">
        <v>0.3</v>
      </c>
      <c r="Q75" s="112">
        <v>4.6399999999999997</v>
      </c>
    </row>
    <row r="76" spans="1:17" customFormat="1">
      <c r="A76" s="80">
        <v>45477.708333333336</v>
      </c>
      <c r="B76" s="112">
        <v>9.42</v>
      </c>
      <c r="C76" s="112">
        <v>4.08</v>
      </c>
      <c r="D76" s="112">
        <v>14.13</v>
      </c>
      <c r="E76" s="112">
        <v>10.33</v>
      </c>
      <c r="F76" s="112">
        <v>7.48</v>
      </c>
      <c r="G76" s="112">
        <v>19.39</v>
      </c>
      <c r="H76" s="112">
        <v>5.25</v>
      </c>
      <c r="I76" s="112">
        <v>3.03</v>
      </c>
      <c r="J76" s="112">
        <v>0.43</v>
      </c>
      <c r="K76" s="112">
        <v>245.04</v>
      </c>
      <c r="L76" s="112">
        <v>30.41</v>
      </c>
      <c r="M76" s="112">
        <v>74.33</v>
      </c>
      <c r="N76" s="112">
        <v>113.1</v>
      </c>
      <c r="O76" s="112">
        <v>0</v>
      </c>
      <c r="P76" s="112">
        <v>0.28999999999999998</v>
      </c>
      <c r="Q76" s="112">
        <v>4.6500000000000004</v>
      </c>
    </row>
    <row r="77" spans="1:17" customFormat="1">
      <c r="A77" s="80">
        <v>45477.71875</v>
      </c>
      <c r="B77" s="112">
        <v>9.42</v>
      </c>
      <c r="C77" s="112">
        <v>4.1100000000000003</v>
      </c>
      <c r="D77" s="112">
        <v>14.15</v>
      </c>
      <c r="E77" s="112">
        <v>10.78</v>
      </c>
      <c r="F77" s="112">
        <v>6.71</v>
      </c>
      <c r="G77" s="112">
        <v>19.39</v>
      </c>
      <c r="H77" s="112">
        <v>5.25</v>
      </c>
      <c r="I77" s="112">
        <v>2.85</v>
      </c>
      <c r="J77" s="112">
        <v>0.41</v>
      </c>
      <c r="K77" s="112">
        <v>253.69</v>
      </c>
      <c r="L77" s="112">
        <v>30.1</v>
      </c>
      <c r="M77" s="112">
        <v>75.58</v>
      </c>
      <c r="N77" s="112">
        <v>95.4</v>
      </c>
      <c r="O77" s="112">
        <v>0</v>
      </c>
      <c r="P77" s="112">
        <v>0.3</v>
      </c>
      <c r="Q77" s="112">
        <v>4.6500000000000004</v>
      </c>
    </row>
    <row r="78" spans="1:17" customFormat="1">
      <c r="A78" s="80">
        <v>45477.729166666664</v>
      </c>
      <c r="B78" s="112">
        <v>9.43</v>
      </c>
      <c r="C78" s="112">
        <v>4.1100000000000003</v>
      </c>
      <c r="D78" s="112">
        <v>14.16</v>
      </c>
      <c r="E78" s="112">
        <v>10.72</v>
      </c>
      <c r="F78" s="112">
        <v>7.86</v>
      </c>
      <c r="G78" s="112">
        <v>19.39</v>
      </c>
      <c r="H78" s="112">
        <v>5.25</v>
      </c>
      <c r="I78" s="112">
        <v>2.72</v>
      </c>
      <c r="J78" s="112">
        <v>0.33</v>
      </c>
      <c r="K78" s="112">
        <v>228.89</v>
      </c>
      <c r="L78" s="112">
        <v>30.23</v>
      </c>
      <c r="M78" s="112">
        <v>75.989999999999995</v>
      </c>
      <c r="N78" s="112">
        <v>78.5</v>
      </c>
      <c r="O78" s="112">
        <v>0</v>
      </c>
      <c r="P78" s="112">
        <v>0.28999999999999998</v>
      </c>
      <c r="Q78" s="112">
        <v>4.63</v>
      </c>
    </row>
    <row r="79" spans="1:17" customFormat="1">
      <c r="A79" s="80">
        <v>45477.739583333336</v>
      </c>
      <c r="B79" s="112">
        <v>9.41</v>
      </c>
      <c r="C79" s="112">
        <v>4.0999999999999996</v>
      </c>
      <c r="D79" s="112">
        <v>14.14</v>
      </c>
      <c r="E79" s="112">
        <v>10.67</v>
      </c>
      <c r="F79" s="112">
        <v>8.16</v>
      </c>
      <c r="G79" s="112">
        <v>17.28</v>
      </c>
      <c r="H79" s="112">
        <v>8.16</v>
      </c>
      <c r="I79" s="112">
        <v>2.74</v>
      </c>
      <c r="J79" s="112">
        <v>0.28000000000000003</v>
      </c>
      <c r="K79" s="112">
        <v>250.81</v>
      </c>
      <c r="L79" s="112">
        <v>30.03</v>
      </c>
      <c r="M79" s="112">
        <v>76.67</v>
      </c>
      <c r="N79" s="112">
        <v>59.5</v>
      </c>
      <c r="O79" s="112">
        <v>0</v>
      </c>
      <c r="P79" s="112">
        <v>0.31</v>
      </c>
      <c r="Q79" s="112">
        <v>4.66</v>
      </c>
    </row>
    <row r="80" spans="1:17" customFormat="1">
      <c r="A80" s="80">
        <v>45477.75</v>
      </c>
      <c r="B80" s="112">
        <v>9.42</v>
      </c>
      <c r="C80" s="112">
        <v>4.09</v>
      </c>
      <c r="D80" s="112">
        <v>14.14</v>
      </c>
      <c r="E80" s="112">
        <v>10.32</v>
      </c>
      <c r="F80" s="112">
        <v>8.6999999999999993</v>
      </c>
      <c r="G80" s="112">
        <v>15.68</v>
      </c>
      <c r="H80" s="112">
        <v>9.08</v>
      </c>
      <c r="I80" s="112">
        <v>2.89</v>
      </c>
      <c r="J80" s="112">
        <v>0.36</v>
      </c>
      <c r="K80" s="112">
        <v>257.01</v>
      </c>
      <c r="L80" s="112">
        <v>29.67</v>
      </c>
      <c r="M80" s="112">
        <v>78.27</v>
      </c>
      <c r="N80" s="112">
        <v>31.4</v>
      </c>
      <c r="O80" s="112">
        <v>0</v>
      </c>
      <c r="P80" s="112">
        <v>0.33</v>
      </c>
      <c r="Q80" s="112">
        <v>4.66</v>
      </c>
    </row>
    <row r="81" spans="1:17" customFormat="1">
      <c r="A81" s="80">
        <v>45477.760416666664</v>
      </c>
      <c r="B81" s="112">
        <v>9.41</v>
      </c>
      <c r="C81" s="112">
        <v>4.09</v>
      </c>
      <c r="D81" s="112">
        <v>14.14</v>
      </c>
      <c r="E81" s="112">
        <v>7.34</v>
      </c>
      <c r="F81" s="112">
        <v>9.5299999999999994</v>
      </c>
      <c r="G81" s="112">
        <v>15.68</v>
      </c>
      <c r="H81" s="112">
        <v>9.08</v>
      </c>
      <c r="I81" s="112">
        <v>2.83</v>
      </c>
      <c r="J81" s="112">
        <v>0.4</v>
      </c>
      <c r="K81" s="112">
        <v>263.98</v>
      </c>
      <c r="L81" s="112">
        <v>29.36</v>
      </c>
      <c r="M81" s="112">
        <v>79.37</v>
      </c>
      <c r="N81" s="112">
        <v>15.4</v>
      </c>
      <c r="O81" s="112">
        <v>0</v>
      </c>
      <c r="P81" s="112">
        <v>0.36</v>
      </c>
      <c r="Q81" s="112">
        <v>4.6399999999999997</v>
      </c>
    </row>
    <row r="82" spans="1:17" customFormat="1">
      <c r="A82" s="80">
        <v>45477.770833333336</v>
      </c>
      <c r="B82" s="112">
        <v>9.4</v>
      </c>
      <c r="C82" s="112">
        <v>4.09</v>
      </c>
      <c r="D82" s="112">
        <v>14.13</v>
      </c>
      <c r="E82" s="112">
        <v>8.24</v>
      </c>
      <c r="F82" s="112">
        <v>13.59</v>
      </c>
      <c r="G82" s="112">
        <v>15.68</v>
      </c>
      <c r="H82" s="112">
        <v>9.08</v>
      </c>
      <c r="I82" s="112">
        <v>2.83</v>
      </c>
      <c r="J82" s="112">
        <v>0.19</v>
      </c>
      <c r="K82" s="112">
        <v>242.48</v>
      </c>
      <c r="L82" s="112">
        <v>29.03</v>
      </c>
      <c r="M82" s="112">
        <v>81.75</v>
      </c>
      <c r="N82" s="112">
        <v>6.4</v>
      </c>
      <c r="O82" s="112">
        <v>0</v>
      </c>
      <c r="P82" s="112">
        <v>0.36</v>
      </c>
      <c r="Q82" s="112">
        <v>4.6500000000000004</v>
      </c>
    </row>
    <row r="83" spans="1:17" customFormat="1">
      <c r="A83" s="80">
        <v>45477.78125</v>
      </c>
      <c r="B83" s="112">
        <v>9.3699999999999992</v>
      </c>
      <c r="C83" s="112">
        <v>4.07</v>
      </c>
      <c r="D83" s="112">
        <v>14.09</v>
      </c>
      <c r="E83" s="112">
        <v>7.84</v>
      </c>
      <c r="F83" s="112">
        <v>15</v>
      </c>
      <c r="G83" s="112">
        <v>16.23</v>
      </c>
      <c r="H83" s="112">
        <v>8.89</v>
      </c>
      <c r="I83" s="112">
        <v>2.84</v>
      </c>
      <c r="J83" s="112">
        <v>0.13</v>
      </c>
      <c r="K83" s="112">
        <v>247.63</v>
      </c>
      <c r="L83" s="112">
        <v>28.88</v>
      </c>
      <c r="M83" s="112">
        <v>83.16</v>
      </c>
      <c r="N83" s="112">
        <v>3</v>
      </c>
      <c r="O83" s="112">
        <v>0</v>
      </c>
      <c r="P83" s="112">
        <v>0.37</v>
      </c>
      <c r="Q83" s="112">
        <v>4.6100000000000003</v>
      </c>
    </row>
    <row r="84" spans="1:17" customFormat="1">
      <c r="A84" s="80">
        <v>45477.791666666664</v>
      </c>
      <c r="B84" s="112">
        <v>9.34</v>
      </c>
      <c r="C84" s="112">
        <v>4.04</v>
      </c>
      <c r="D84" s="112">
        <v>14.05</v>
      </c>
      <c r="E84" s="112">
        <v>7.61</v>
      </c>
      <c r="F84" s="112">
        <v>14.66</v>
      </c>
      <c r="G84" s="112">
        <v>16.649999999999999</v>
      </c>
      <c r="H84" s="112">
        <v>8.77</v>
      </c>
      <c r="I84" s="112">
        <v>2.73</v>
      </c>
      <c r="J84" s="112">
        <v>0.11</v>
      </c>
      <c r="K84" s="112">
        <v>194.09</v>
      </c>
      <c r="L84" s="112">
        <v>28.7</v>
      </c>
      <c r="M84" s="112">
        <v>83.33</v>
      </c>
      <c r="N84" s="112">
        <v>2.2999999999999998</v>
      </c>
      <c r="O84" s="112">
        <v>0</v>
      </c>
      <c r="P84" s="112">
        <v>0.37</v>
      </c>
      <c r="Q84" s="112">
        <v>4.5999999999999996</v>
      </c>
    </row>
    <row r="85" spans="1:17" customFormat="1">
      <c r="A85" s="80">
        <v>45477.802083333336</v>
      </c>
      <c r="B85" s="112">
        <v>9.32</v>
      </c>
      <c r="C85" s="112">
        <v>4.0599999999999996</v>
      </c>
      <c r="D85" s="112">
        <v>14.05</v>
      </c>
      <c r="E85" s="112">
        <v>7.65</v>
      </c>
      <c r="F85" s="112">
        <v>12.2</v>
      </c>
      <c r="G85" s="112">
        <v>16.649999999999999</v>
      </c>
      <c r="H85" s="112">
        <v>8.77</v>
      </c>
      <c r="I85" s="112">
        <v>2.64</v>
      </c>
      <c r="J85" s="112">
        <v>0.15</v>
      </c>
      <c r="K85" s="112">
        <v>214.56</v>
      </c>
      <c r="L85" s="112">
        <v>28.57</v>
      </c>
      <c r="M85" s="112">
        <v>85.72</v>
      </c>
      <c r="N85" s="112">
        <v>2.2999999999999998</v>
      </c>
      <c r="O85" s="112">
        <v>0</v>
      </c>
      <c r="P85" s="112">
        <v>0.37</v>
      </c>
      <c r="Q85" s="112">
        <v>4.62</v>
      </c>
    </row>
    <row r="86" spans="1:17" customFormat="1">
      <c r="A86" s="80">
        <v>45477.8125</v>
      </c>
      <c r="B86" s="112">
        <v>9.33</v>
      </c>
      <c r="C86" s="112">
        <v>4.0599999999999996</v>
      </c>
      <c r="D86" s="112">
        <v>14.05</v>
      </c>
      <c r="E86" s="112">
        <v>8.2100000000000009</v>
      </c>
      <c r="F86" s="112">
        <v>9.9700000000000006</v>
      </c>
      <c r="G86" s="112">
        <v>16.649999999999999</v>
      </c>
      <c r="H86" s="112">
        <v>8.77</v>
      </c>
      <c r="I86" s="112">
        <v>2.73</v>
      </c>
      <c r="J86" s="112">
        <v>0.42</v>
      </c>
      <c r="K86" s="112">
        <v>251.66</v>
      </c>
      <c r="L86" s="112">
        <v>28.36</v>
      </c>
      <c r="M86" s="112">
        <v>85.58</v>
      </c>
      <c r="N86" s="112">
        <v>2.2000000000000002</v>
      </c>
      <c r="O86" s="112">
        <v>0</v>
      </c>
      <c r="P86" s="112">
        <v>0.37</v>
      </c>
      <c r="Q86" s="112">
        <v>4.62</v>
      </c>
    </row>
    <row r="87" spans="1:17" customFormat="1">
      <c r="A87" s="80">
        <v>45477.822916666664</v>
      </c>
      <c r="B87" s="112">
        <v>9.32</v>
      </c>
      <c r="C87" s="112">
        <v>4.07</v>
      </c>
      <c r="D87" s="112">
        <v>14.05</v>
      </c>
      <c r="E87" s="112">
        <v>8.15</v>
      </c>
      <c r="F87" s="112">
        <v>10.02</v>
      </c>
      <c r="G87" s="112">
        <v>16.61</v>
      </c>
      <c r="H87" s="112">
        <v>7.49</v>
      </c>
      <c r="I87" s="112">
        <v>2.89</v>
      </c>
      <c r="J87" s="112">
        <v>0.48</v>
      </c>
      <c r="K87" s="112">
        <v>248.77</v>
      </c>
      <c r="L87" s="112">
        <v>28.32</v>
      </c>
      <c r="M87" s="112">
        <v>82.87</v>
      </c>
      <c r="N87" s="112">
        <v>2.2999999999999998</v>
      </c>
      <c r="O87" s="112">
        <v>0</v>
      </c>
      <c r="P87" s="112">
        <v>0.37</v>
      </c>
      <c r="Q87" s="112">
        <v>4.63</v>
      </c>
    </row>
    <row r="88" spans="1:17" customFormat="1">
      <c r="A88" s="80">
        <v>45477.833333333336</v>
      </c>
      <c r="B88" s="112">
        <v>9.33</v>
      </c>
      <c r="C88" s="112">
        <v>4.08</v>
      </c>
      <c r="D88" s="112">
        <v>14.06</v>
      </c>
      <c r="E88" s="112">
        <v>7.88</v>
      </c>
      <c r="F88" s="112">
        <v>9.18</v>
      </c>
      <c r="G88" s="112">
        <v>16.579999999999998</v>
      </c>
      <c r="H88" s="112">
        <v>7.08</v>
      </c>
      <c r="I88" s="112">
        <v>3</v>
      </c>
      <c r="J88" s="112">
        <v>0.42</v>
      </c>
      <c r="K88" s="112">
        <v>256.22000000000003</v>
      </c>
      <c r="L88" s="112">
        <v>28.09</v>
      </c>
      <c r="M88" s="112">
        <v>82.99</v>
      </c>
      <c r="N88" s="112">
        <v>2.4</v>
      </c>
      <c r="O88" s="112">
        <v>0</v>
      </c>
      <c r="P88" s="112">
        <v>0.37</v>
      </c>
      <c r="Q88" s="112">
        <v>4.62</v>
      </c>
    </row>
    <row r="89" spans="1:17" customFormat="1">
      <c r="A89" s="80">
        <v>45477.84375</v>
      </c>
      <c r="B89" s="112">
        <v>9.3699999999999992</v>
      </c>
      <c r="C89" s="112">
        <v>4.07</v>
      </c>
      <c r="D89" s="112">
        <v>14.09</v>
      </c>
      <c r="E89" s="112">
        <v>7.52</v>
      </c>
      <c r="F89" s="112">
        <v>9</v>
      </c>
      <c r="G89" s="112">
        <v>16.579999999999998</v>
      </c>
      <c r="H89" s="112">
        <v>7.08</v>
      </c>
      <c r="I89" s="112">
        <v>3.04</v>
      </c>
      <c r="J89" s="112">
        <v>0.26</v>
      </c>
      <c r="K89" s="112">
        <v>253.4</v>
      </c>
      <c r="L89" s="112">
        <v>27.91</v>
      </c>
      <c r="M89" s="112">
        <v>84.26</v>
      </c>
      <c r="N89" s="112">
        <v>2.4</v>
      </c>
      <c r="O89" s="112">
        <v>0</v>
      </c>
      <c r="P89" s="112">
        <v>0.37</v>
      </c>
      <c r="Q89" s="112">
        <v>4.63</v>
      </c>
    </row>
    <row r="90" spans="1:17" customFormat="1">
      <c r="A90" s="80">
        <v>45477.854166666664</v>
      </c>
      <c r="B90" s="112">
        <v>9.39</v>
      </c>
      <c r="C90" s="112">
        <v>4.08</v>
      </c>
      <c r="D90" s="112">
        <v>14.11</v>
      </c>
      <c r="E90" s="112">
        <v>7.32</v>
      </c>
      <c r="F90" s="112">
        <v>9.84</v>
      </c>
      <c r="G90" s="112">
        <v>16.579999999999998</v>
      </c>
      <c r="H90" s="112">
        <v>7.08</v>
      </c>
      <c r="I90" s="112">
        <v>3.09</v>
      </c>
      <c r="J90" s="112">
        <v>0.2</v>
      </c>
      <c r="K90" s="112">
        <v>245.01</v>
      </c>
      <c r="L90" s="112">
        <v>27.68</v>
      </c>
      <c r="M90" s="112">
        <v>85.86</v>
      </c>
      <c r="N90" s="112">
        <v>2.2999999999999998</v>
      </c>
      <c r="O90" s="112">
        <v>0</v>
      </c>
      <c r="P90" s="112">
        <v>0.37</v>
      </c>
      <c r="Q90" s="112">
        <v>4.62</v>
      </c>
    </row>
    <row r="91" spans="1:17" customFormat="1">
      <c r="A91" s="80">
        <v>45477.864583333336</v>
      </c>
      <c r="B91" s="112">
        <v>9.3800000000000008</v>
      </c>
      <c r="C91" s="112">
        <v>4.0599999999999996</v>
      </c>
      <c r="D91" s="112">
        <v>14.09</v>
      </c>
      <c r="E91" s="112">
        <v>7.56</v>
      </c>
      <c r="F91" s="112">
        <v>8.31</v>
      </c>
      <c r="G91" s="112">
        <v>13.89</v>
      </c>
      <c r="H91" s="112">
        <v>6.27</v>
      </c>
      <c r="I91" s="112">
        <v>3.05</v>
      </c>
      <c r="J91" s="112">
        <v>0.41</v>
      </c>
      <c r="K91" s="112">
        <v>257.95999999999998</v>
      </c>
      <c r="L91" s="112">
        <v>27.58</v>
      </c>
      <c r="M91" s="112">
        <v>85.35</v>
      </c>
      <c r="N91" s="112">
        <v>2.2000000000000002</v>
      </c>
      <c r="O91" s="112">
        <v>0</v>
      </c>
      <c r="P91" s="112">
        <v>0.37</v>
      </c>
      <c r="Q91" s="112">
        <v>4.6399999999999997</v>
      </c>
    </row>
    <row r="92" spans="1:17" customFormat="1">
      <c r="A92" s="80">
        <v>45477.875</v>
      </c>
      <c r="B92" s="112">
        <v>9.36</v>
      </c>
      <c r="C92" s="112">
        <v>4.05</v>
      </c>
      <c r="D92" s="112">
        <v>14.07</v>
      </c>
      <c r="E92" s="112">
        <v>7.6</v>
      </c>
      <c r="F92" s="112">
        <v>7.61</v>
      </c>
      <c r="G92" s="112">
        <v>11.83</v>
      </c>
      <c r="H92" s="112">
        <v>6.01</v>
      </c>
      <c r="I92" s="112">
        <v>3.04</v>
      </c>
      <c r="J92" s="112">
        <v>0.37</v>
      </c>
      <c r="K92" s="112">
        <v>250.37</v>
      </c>
      <c r="L92" s="112">
        <v>27.51</v>
      </c>
      <c r="M92" s="112">
        <v>85.61</v>
      </c>
      <c r="N92" s="112">
        <v>2.1</v>
      </c>
      <c r="O92" s="112">
        <v>0</v>
      </c>
      <c r="P92" s="112">
        <v>0.37</v>
      </c>
      <c r="Q92" s="112">
        <v>4.6399999999999997</v>
      </c>
    </row>
    <row r="93" spans="1:17" customFormat="1">
      <c r="A93" s="80">
        <v>45477.885416666664</v>
      </c>
      <c r="B93" s="112">
        <v>9.34</v>
      </c>
      <c r="C93" s="112">
        <v>4.08</v>
      </c>
      <c r="D93" s="112">
        <v>14.07</v>
      </c>
      <c r="E93" s="112">
        <v>7.71</v>
      </c>
      <c r="F93" s="112">
        <v>7.71</v>
      </c>
      <c r="G93" s="112">
        <v>11.83</v>
      </c>
      <c r="H93" s="112">
        <v>6.01</v>
      </c>
      <c r="I93" s="112">
        <v>3.12</v>
      </c>
      <c r="J93" s="112">
        <v>0.36</v>
      </c>
      <c r="K93" s="112">
        <v>255.01</v>
      </c>
      <c r="L93" s="112">
        <v>27.42</v>
      </c>
      <c r="M93" s="112">
        <v>86.57</v>
      </c>
      <c r="N93" s="112">
        <v>2.2000000000000002</v>
      </c>
      <c r="O93" s="112">
        <v>0</v>
      </c>
      <c r="P93" s="112">
        <v>0.37</v>
      </c>
      <c r="Q93" s="112">
        <v>4.6500000000000004</v>
      </c>
    </row>
    <row r="94" spans="1:17" customFormat="1">
      <c r="A94" s="80">
        <v>45477.895833333336</v>
      </c>
      <c r="B94" s="112">
        <v>9.35</v>
      </c>
      <c r="C94" s="112">
        <v>4.09</v>
      </c>
      <c r="D94" s="112">
        <v>14.09</v>
      </c>
      <c r="E94" s="112">
        <v>7.45</v>
      </c>
      <c r="F94" s="112">
        <v>8.52</v>
      </c>
      <c r="G94" s="112">
        <v>11.83</v>
      </c>
      <c r="H94" s="112">
        <v>6.01</v>
      </c>
      <c r="I94" s="112">
        <v>3.2</v>
      </c>
      <c r="J94" s="112">
        <v>0.22</v>
      </c>
      <c r="K94" s="112">
        <v>235.75</v>
      </c>
      <c r="L94" s="112">
        <v>27.36</v>
      </c>
      <c r="M94" s="112">
        <v>87.63</v>
      </c>
      <c r="N94" s="112">
        <v>2.1</v>
      </c>
      <c r="O94" s="112">
        <v>0</v>
      </c>
      <c r="P94" s="112">
        <v>0.37</v>
      </c>
      <c r="Q94" s="112">
        <v>4.66</v>
      </c>
    </row>
    <row r="95" spans="1:17" customFormat="1">
      <c r="A95" s="80">
        <v>45477.90625</v>
      </c>
      <c r="B95" s="112">
        <v>9.36</v>
      </c>
      <c r="C95" s="112">
        <v>4.08</v>
      </c>
      <c r="D95" s="112">
        <v>14.09</v>
      </c>
      <c r="E95" s="112">
        <v>7.11</v>
      </c>
      <c r="F95" s="112">
        <v>8.94</v>
      </c>
      <c r="G95" s="112">
        <v>13.14</v>
      </c>
      <c r="H95" s="112">
        <v>5.82</v>
      </c>
      <c r="I95" s="112">
        <v>3.18</v>
      </c>
      <c r="J95" s="112">
        <v>0.19</v>
      </c>
      <c r="K95" s="112">
        <v>227.59</v>
      </c>
      <c r="L95" s="112">
        <v>27.26</v>
      </c>
      <c r="M95" s="112">
        <v>89.19</v>
      </c>
      <c r="N95" s="112">
        <v>2.2000000000000002</v>
      </c>
      <c r="O95" s="112">
        <v>0</v>
      </c>
      <c r="P95" s="112">
        <v>0.37</v>
      </c>
      <c r="Q95" s="112">
        <v>4.63</v>
      </c>
    </row>
    <row r="96" spans="1:17" customFormat="1">
      <c r="A96" s="80">
        <v>45477.916666666664</v>
      </c>
      <c r="B96" s="112">
        <v>9.3699999999999992</v>
      </c>
      <c r="C96" s="112">
        <v>4.08</v>
      </c>
      <c r="D96" s="112">
        <v>14.1</v>
      </c>
      <c r="E96" s="112">
        <v>7</v>
      </c>
      <c r="F96" s="112">
        <v>9.06</v>
      </c>
      <c r="G96" s="112">
        <v>14.14</v>
      </c>
      <c r="H96" s="112">
        <v>5.76</v>
      </c>
      <c r="I96" s="112">
        <v>3.15</v>
      </c>
      <c r="J96" s="112">
        <v>0.17</v>
      </c>
      <c r="K96" s="112">
        <v>221.09</v>
      </c>
      <c r="L96" s="112">
        <v>27.11</v>
      </c>
      <c r="M96" s="112">
        <v>90.14</v>
      </c>
      <c r="N96" s="112">
        <v>2.2000000000000002</v>
      </c>
      <c r="O96" s="112">
        <v>0</v>
      </c>
      <c r="P96" s="112">
        <v>0.36</v>
      </c>
      <c r="Q96" s="112">
        <v>4.63</v>
      </c>
    </row>
    <row r="97" spans="1:22" customFormat="1">
      <c r="A97" s="80">
        <v>45477.927083333336</v>
      </c>
      <c r="B97" s="112">
        <v>9.32</v>
      </c>
      <c r="C97" s="112">
        <v>4.0599999999999996</v>
      </c>
      <c r="D97" s="112">
        <v>14.04</v>
      </c>
      <c r="E97" s="112">
        <v>7.08</v>
      </c>
      <c r="F97" s="112">
        <v>8.65</v>
      </c>
      <c r="G97" s="112">
        <v>14.14</v>
      </c>
      <c r="H97" s="112">
        <v>5.76</v>
      </c>
      <c r="I97" s="112">
        <v>3.07</v>
      </c>
      <c r="J97" s="112">
        <v>0.11</v>
      </c>
      <c r="K97" s="112">
        <v>250.18</v>
      </c>
      <c r="L97" s="112">
        <v>27.04</v>
      </c>
      <c r="M97" s="112">
        <v>91.92</v>
      </c>
      <c r="N97" s="112">
        <v>2.1</v>
      </c>
      <c r="O97" s="112">
        <v>0</v>
      </c>
      <c r="P97" s="112">
        <v>0.37</v>
      </c>
      <c r="Q97" s="112">
        <v>4.63</v>
      </c>
    </row>
    <row r="98" spans="1:22" customFormat="1">
      <c r="A98" s="80">
        <v>45477.9375</v>
      </c>
      <c r="B98" s="112">
        <v>9.26</v>
      </c>
      <c r="C98" s="112">
        <v>4.05</v>
      </c>
      <c r="D98" s="112">
        <v>13.99</v>
      </c>
      <c r="E98" s="112">
        <v>7.54</v>
      </c>
      <c r="F98" s="112">
        <v>7.21</v>
      </c>
      <c r="G98" s="112">
        <v>14.14</v>
      </c>
      <c r="H98" s="112">
        <v>5.76</v>
      </c>
      <c r="I98" s="112">
        <v>3.1</v>
      </c>
      <c r="J98" s="112">
        <v>0.18</v>
      </c>
      <c r="K98" s="112">
        <v>241.45</v>
      </c>
      <c r="L98" s="112">
        <v>26.95</v>
      </c>
      <c r="M98" s="112">
        <v>91.23</v>
      </c>
      <c r="N98" s="112">
        <v>2.1</v>
      </c>
      <c r="O98" s="112">
        <v>0</v>
      </c>
      <c r="P98" s="112">
        <v>0.35</v>
      </c>
      <c r="Q98" s="112">
        <v>4.62</v>
      </c>
    </row>
    <row r="99" spans="1:22" customFormat="1">
      <c r="A99" s="80">
        <v>45477.947916666664</v>
      </c>
      <c r="B99" s="112">
        <v>9.2899999999999991</v>
      </c>
      <c r="C99" s="112">
        <v>4.04</v>
      </c>
      <c r="D99" s="112">
        <v>14.01</v>
      </c>
      <c r="E99" s="112">
        <v>8.06</v>
      </c>
      <c r="F99" s="112">
        <v>5.63</v>
      </c>
      <c r="G99" s="112">
        <v>14.74</v>
      </c>
      <c r="H99" s="112">
        <v>5.66</v>
      </c>
      <c r="I99" s="112">
        <v>3.05</v>
      </c>
      <c r="J99" s="112">
        <v>0.26</v>
      </c>
      <c r="K99" s="112">
        <v>248.77</v>
      </c>
      <c r="L99" s="112">
        <v>27</v>
      </c>
      <c r="M99" s="112">
        <v>90.62</v>
      </c>
      <c r="N99" s="112">
        <v>2.1</v>
      </c>
      <c r="O99" s="112">
        <v>0</v>
      </c>
      <c r="P99" s="112">
        <v>0.31</v>
      </c>
      <c r="Q99" s="112">
        <v>4.62</v>
      </c>
    </row>
    <row r="100" spans="1:22" customFormat="1">
      <c r="A100" s="80">
        <v>45477.958333333336</v>
      </c>
      <c r="B100" s="112">
        <v>9.36</v>
      </c>
      <c r="C100" s="112">
        <v>4.08</v>
      </c>
      <c r="D100" s="112">
        <v>14.08</v>
      </c>
      <c r="E100" s="112">
        <v>8.27</v>
      </c>
      <c r="F100" s="112">
        <v>6.03</v>
      </c>
      <c r="G100" s="112">
        <v>15.2</v>
      </c>
      <c r="H100" s="112">
        <v>5.63</v>
      </c>
      <c r="I100" s="112">
        <v>3.06</v>
      </c>
      <c r="J100" s="112">
        <v>0.34</v>
      </c>
      <c r="K100" s="112">
        <v>252.53</v>
      </c>
      <c r="L100" s="112">
        <v>26.99</v>
      </c>
      <c r="M100" s="112">
        <v>89.08</v>
      </c>
      <c r="N100" s="112">
        <v>2.1</v>
      </c>
      <c r="O100" s="112">
        <v>0</v>
      </c>
      <c r="P100" s="112">
        <v>0.31</v>
      </c>
      <c r="Q100" s="112">
        <v>4.6399999999999997</v>
      </c>
    </row>
    <row r="101" spans="1:22" customFormat="1">
      <c r="A101" s="80">
        <v>45477.96875</v>
      </c>
      <c r="B101" s="112">
        <v>9.3800000000000008</v>
      </c>
      <c r="C101" s="112">
        <v>4.07</v>
      </c>
      <c r="D101" s="112">
        <v>14.1</v>
      </c>
      <c r="E101" s="112">
        <v>8.61</v>
      </c>
      <c r="F101" s="112">
        <v>6.49</v>
      </c>
      <c r="G101" s="112">
        <v>15.2</v>
      </c>
      <c r="H101" s="112">
        <v>5.63</v>
      </c>
      <c r="I101" s="112">
        <v>3.02</v>
      </c>
      <c r="J101" s="112">
        <v>0.26</v>
      </c>
      <c r="K101" s="112">
        <v>243.37</v>
      </c>
      <c r="L101" s="112">
        <v>26.92</v>
      </c>
      <c r="M101" s="112">
        <v>88.39</v>
      </c>
      <c r="N101" s="112">
        <v>2.2000000000000002</v>
      </c>
      <c r="O101" s="112">
        <v>0</v>
      </c>
      <c r="P101" s="112">
        <v>0.3</v>
      </c>
      <c r="Q101" s="112">
        <v>4.63</v>
      </c>
    </row>
    <row r="102" spans="1:22" customFormat="1">
      <c r="A102" s="80">
        <v>45477.979166666664</v>
      </c>
      <c r="B102" s="112">
        <v>9.41</v>
      </c>
      <c r="C102" s="112">
        <v>4.07</v>
      </c>
      <c r="D102" s="112">
        <v>14.12</v>
      </c>
      <c r="E102" s="112">
        <v>8.25</v>
      </c>
      <c r="F102" s="112">
        <v>5.67</v>
      </c>
      <c r="G102" s="112">
        <v>15.2</v>
      </c>
      <c r="H102" s="112">
        <v>5.63</v>
      </c>
      <c r="I102" s="112">
        <v>3.03</v>
      </c>
      <c r="J102" s="112">
        <v>0.16</v>
      </c>
      <c r="K102" s="112">
        <v>234.79</v>
      </c>
      <c r="L102" s="112">
        <v>26.78</v>
      </c>
      <c r="M102" s="112">
        <v>89.46</v>
      </c>
      <c r="N102" s="112">
        <v>2.1</v>
      </c>
      <c r="O102" s="112">
        <v>0</v>
      </c>
      <c r="P102" s="112">
        <v>0.3</v>
      </c>
      <c r="Q102" s="112">
        <v>4.6399999999999997</v>
      </c>
    </row>
    <row r="103" spans="1:22" customFormat="1">
      <c r="A103" s="80">
        <v>45477.989583333336</v>
      </c>
      <c r="B103" s="112">
        <v>9.41</v>
      </c>
      <c r="C103" s="112">
        <v>4.09</v>
      </c>
      <c r="D103" s="112">
        <v>14.13</v>
      </c>
      <c r="E103" s="112">
        <v>8.69</v>
      </c>
      <c r="F103" s="112">
        <v>7.65</v>
      </c>
      <c r="G103" s="112">
        <v>14.48</v>
      </c>
      <c r="H103" s="112">
        <v>7.04</v>
      </c>
      <c r="I103" s="112">
        <v>2.98</v>
      </c>
      <c r="J103" s="112">
        <v>0.22</v>
      </c>
      <c r="K103" s="112">
        <v>240.85</v>
      </c>
      <c r="L103" s="112">
        <v>26.67</v>
      </c>
      <c r="M103" s="112">
        <v>89.72</v>
      </c>
      <c r="N103" s="112">
        <v>2.1</v>
      </c>
      <c r="O103" s="112">
        <v>0</v>
      </c>
      <c r="P103" s="112">
        <v>0.3</v>
      </c>
      <c r="Q103" s="112">
        <v>4.62</v>
      </c>
    </row>
    <row r="104" spans="1:22" customFormat="1">
      <c r="A104" s="80">
        <v>45478</v>
      </c>
      <c r="B104" s="112">
        <v>9.43</v>
      </c>
      <c r="C104" s="112">
        <v>4.09</v>
      </c>
      <c r="D104" s="112">
        <v>14.15</v>
      </c>
      <c r="E104" s="112">
        <v>9.16</v>
      </c>
      <c r="F104" s="112">
        <v>6.16</v>
      </c>
      <c r="G104" s="112">
        <v>13.92</v>
      </c>
      <c r="H104" s="112">
        <v>7.49</v>
      </c>
      <c r="I104" s="112">
        <v>2.97</v>
      </c>
      <c r="J104" s="112">
        <v>0.2</v>
      </c>
      <c r="K104" s="112">
        <v>240.23</v>
      </c>
      <c r="L104" s="112">
        <v>26.63</v>
      </c>
      <c r="M104" s="112">
        <v>89.6</v>
      </c>
      <c r="N104" s="112">
        <v>2.1</v>
      </c>
      <c r="O104" s="112">
        <v>0</v>
      </c>
      <c r="P104" s="112">
        <v>0.3</v>
      </c>
      <c r="Q104" s="112">
        <v>4.63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9.26</v>
      </c>
      <c r="C106" s="183">
        <f>MIN(C9:C104)</f>
        <v>4.04</v>
      </c>
      <c r="D106" s="183">
        <f t="shared" ref="D106:Q106" si="0">MIN(D9:D104)</f>
        <v>13.99</v>
      </c>
      <c r="E106" s="183">
        <f t="shared" si="0"/>
        <v>7</v>
      </c>
      <c r="F106" s="183">
        <f t="shared" si="0"/>
        <v>3.47</v>
      </c>
      <c r="G106" s="183">
        <f t="shared" si="0"/>
        <v>5.57</v>
      </c>
      <c r="H106" s="183">
        <f t="shared" si="0"/>
        <v>2.08</v>
      </c>
      <c r="I106" s="183">
        <f t="shared" si="0"/>
        <v>2.64</v>
      </c>
      <c r="J106" s="183">
        <f t="shared" si="0"/>
        <v>0.09</v>
      </c>
      <c r="K106" s="183">
        <f t="shared" si="0"/>
        <v>163.91</v>
      </c>
      <c r="L106" s="183">
        <f t="shared" si="0"/>
        <v>24.53</v>
      </c>
      <c r="M106" s="183">
        <f t="shared" si="0"/>
        <v>71.58</v>
      </c>
      <c r="N106" s="183">
        <f t="shared" si="0"/>
        <v>1.6</v>
      </c>
      <c r="O106" s="183">
        <f t="shared" si="0"/>
        <v>0</v>
      </c>
      <c r="P106" s="183">
        <f t="shared" si="0"/>
        <v>0.2</v>
      </c>
      <c r="Q106" s="183">
        <f t="shared" si="0"/>
        <v>4.5999999999999996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9.43</v>
      </c>
      <c r="C107" s="184">
        <f t="shared" ref="C107:Q107" si="1">MAX(C9:C104)</f>
        <v>4.12</v>
      </c>
      <c r="D107" s="184">
        <f t="shared" si="1"/>
        <v>14.16</v>
      </c>
      <c r="E107" s="184">
        <f t="shared" si="1"/>
        <v>12.44</v>
      </c>
      <c r="F107" s="184">
        <f t="shared" si="1"/>
        <v>15</v>
      </c>
      <c r="G107" s="184">
        <f t="shared" si="1"/>
        <v>19.39</v>
      </c>
      <c r="H107" s="184">
        <f t="shared" si="1"/>
        <v>9.08</v>
      </c>
      <c r="I107" s="184">
        <f t="shared" si="1"/>
        <v>3.42</v>
      </c>
      <c r="J107" s="184">
        <f t="shared" si="1"/>
        <v>1.47</v>
      </c>
      <c r="K107" s="184">
        <f t="shared" si="1"/>
        <v>341.64</v>
      </c>
      <c r="L107" s="184">
        <f t="shared" si="1"/>
        <v>30.41</v>
      </c>
      <c r="M107" s="184">
        <f t="shared" si="1"/>
        <v>104.16</v>
      </c>
      <c r="N107" s="184">
        <f t="shared" si="1"/>
        <v>514.5</v>
      </c>
      <c r="O107" s="184">
        <f t="shared" si="1"/>
        <v>4.4000000000000004</v>
      </c>
      <c r="P107" s="184">
        <f t="shared" si="1"/>
        <v>0.37</v>
      </c>
      <c r="Q107" s="184">
        <f t="shared" si="1"/>
        <v>4.66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9.3610416666666598</v>
      </c>
      <c r="C108" s="183">
        <f t="shared" ref="C108:Q108" si="2">AVERAGE(C9:C104)</f>
        <v>4.0742708333333324</v>
      </c>
      <c r="D108" s="183">
        <f t="shared" si="2"/>
        <v>14.085937499999991</v>
      </c>
      <c r="E108" s="183">
        <f t="shared" si="2"/>
        <v>9.6691666666666674</v>
      </c>
      <c r="F108" s="183">
        <f t="shared" si="2"/>
        <v>6.3870833333333303</v>
      </c>
      <c r="G108" s="183">
        <f t="shared" si="2"/>
        <v>13.000104166666668</v>
      </c>
      <c r="H108" s="183">
        <f t="shared" si="2"/>
        <v>5.0514583333333336</v>
      </c>
      <c r="I108" s="183">
        <f t="shared" si="2"/>
        <v>3.1295833333333327</v>
      </c>
      <c r="J108" s="183">
        <f t="shared" si="2"/>
        <v>0.56645833333333317</v>
      </c>
      <c r="K108" s="183">
        <f t="shared" si="2"/>
        <v>259.76041666666669</v>
      </c>
      <c r="L108" s="183">
        <f t="shared" si="2"/>
        <v>27.338125000000005</v>
      </c>
      <c r="M108" s="183">
        <f t="shared" si="2"/>
        <v>88.374166666666653</v>
      </c>
      <c r="N108" s="183">
        <f t="shared" si="2"/>
        <v>91.97812500000002</v>
      </c>
      <c r="O108" s="183">
        <f t="shared" si="2"/>
        <v>0.14583333333333334</v>
      </c>
      <c r="P108" s="183">
        <f t="shared" si="2"/>
        <v>0.29281250000000009</v>
      </c>
      <c r="Q108" s="183">
        <f t="shared" si="2"/>
        <v>4.63645833333333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4.5939987550502978E-2</v>
      </c>
      <c r="C109" s="183">
        <f t="shared" ref="C109:Q109" si="3">STDEV(C9:C104)</f>
        <v>1.7516596140542805E-2</v>
      </c>
      <c r="D109" s="183">
        <f t="shared" si="3"/>
        <v>3.9458922678493963E-2</v>
      </c>
      <c r="E109" s="183">
        <f t="shared" si="3"/>
        <v>1.50480610163196</v>
      </c>
      <c r="F109" s="183">
        <f t="shared" si="3"/>
        <v>2.3660257224506842</v>
      </c>
      <c r="G109" s="183">
        <f t="shared" si="3"/>
        <v>3.5229364231655671</v>
      </c>
      <c r="H109" s="183">
        <f t="shared" si="3"/>
        <v>1.923183752430857</v>
      </c>
      <c r="I109" s="183">
        <f t="shared" si="3"/>
        <v>0.17483776941506857</v>
      </c>
      <c r="J109" s="183">
        <f t="shared" si="3"/>
        <v>0.34028464606984182</v>
      </c>
      <c r="K109" s="183">
        <f t="shared" si="3"/>
        <v>28.727894931459783</v>
      </c>
      <c r="L109" s="183">
        <f t="shared" si="3"/>
        <v>1.7282210582895734</v>
      </c>
      <c r="M109" s="183">
        <f t="shared" si="3"/>
        <v>9.2776726512937735</v>
      </c>
      <c r="N109" s="183">
        <f t="shared" si="3"/>
        <v>124.78461292046597</v>
      </c>
      <c r="O109" s="183">
        <f t="shared" si="3"/>
        <v>0.53859791987924133</v>
      </c>
      <c r="P109" s="183">
        <f t="shared" si="3"/>
        <v>4.5345530157481509E-2</v>
      </c>
      <c r="Q109" s="183">
        <f t="shared" si="3"/>
        <v>1.160573058691877E-2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45478.010416666664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45478.010416666664</v>
      </c>
      <c r="B9" s="112">
        <v>9.18</v>
      </c>
      <c r="C9" s="112">
        <v>4.0999999999999996</v>
      </c>
      <c r="D9" s="112">
        <v>13.96</v>
      </c>
      <c r="E9" s="112">
        <v>9</v>
      </c>
      <c r="F9" s="112">
        <v>5.42</v>
      </c>
      <c r="G9" s="112">
        <v>13.92</v>
      </c>
      <c r="H9" s="112">
        <v>7.49</v>
      </c>
      <c r="I9" s="112">
        <v>2.87</v>
      </c>
      <c r="J9" s="112">
        <v>0.23</v>
      </c>
      <c r="K9" s="112">
        <v>248.91</v>
      </c>
      <c r="L9" s="112">
        <v>26.45</v>
      </c>
      <c r="M9" s="112">
        <v>90.16</v>
      </c>
      <c r="N9" s="112">
        <v>2.1</v>
      </c>
      <c r="O9" s="112">
        <v>0</v>
      </c>
      <c r="P9" s="112">
        <v>0.3</v>
      </c>
      <c r="Q9" s="112">
        <v>4.63</v>
      </c>
    </row>
    <row r="10" spans="1:21" customFormat="1">
      <c r="A10" s="80">
        <v>45478.020833333336</v>
      </c>
      <c r="B10" s="112">
        <v>9.1999999999999993</v>
      </c>
      <c r="C10" s="112">
        <v>4.07</v>
      </c>
      <c r="D10" s="112">
        <v>13.95</v>
      </c>
      <c r="E10" s="112">
        <v>9.3000000000000007</v>
      </c>
      <c r="F10" s="112">
        <v>4.8</v>
      </c>
      <c r="G10" s="112">
        <v>13.92</v>
      </c>
      <c r="H10" s="112">
        <v>7.49</v>
      </c>
      <c r="I10" s="112">
        <v>2.92</v>
      </c>
      <c r="J10" s="112">
        <v>0.24</v>
      </c>
      <c r="K10" s="112">
        <v>240.57</v>
      </c>
      <c r="L10" s="112">
        <v>26.51</v>
      </c>
      <c r="M10" s="112">
        <v>89.33</v>
      </c>
      <c r="N10" s="112">
        <v>2.1</v>
      </c>
      <c r="O10" s="112">
        <v>0</v>
      </c>
      <c r="P10" s="112">
        <v>0.3</v>
      </c>
      <c r="Q10" s="112">
        <v>4.6399999999999997</v>
      </c>
    </row>
    <row r="11" spans="1:21" customFormat="1">
      <c r="A11" s="80">
        <v>45478.03125</v>
      </c>
      <c r="B11" s="112">
        <v>9.19</v>
      </c>
      <c r="C11" s="112">
        <v>4.08</v>
      </c>
      <c r="D11" s="112">
        <v>13.95</v>
      </c>
      <c r="E11" s="112">
        <v>9.41</v>
      </c>
      <c r="F11" s="112">
        <v>6.04</v>
      </c>
      <c r="G11" s="112">
        <v>13.16</v>
      </c>
      <c r="H11" s="112">
        <v>7.56</v>
      </c>
      <c r="I11" s="112">
        <v>2.89</v>
      </c>
      <c r="J11" s="112">
        <v>0.26</v>
      </c>
      <c r="K11" s="112">
        <v>245.97</v>
      </c>
      <c r="L11" s="112">
        <v>26.43</v>
      </c>
      <c r="M11" s="112">
        <v>88.53</v>
      </c>
      <c r="N11" s="112">
        <v>2.1</v>
      </c>
      <c r="O11" s="112">
        <v>0</v>
      </c>
      <c r="P11" s="112">
        <v>0.31</v>
      </c>
      <c r="Q11" s="112">
        <v>4.66</v>
      </c>
    </row>
    <row r="12" spans="1:21" customFormat="1">
      <c r="A12" s="80">
        <v>45478.041666666664</v>
      </c>
      <c r="B12" s="112">
        <v>9.19</v>
      </c>
      <c r="C12" s="112">
        <v>4.08</v>
      </c>
      <c r="D12" s="112">
        <v>13.95</v>
      </c>
      <c r="E12" s="112">
        <v>9.89</v>
      </c>
      <c r="F12" s="112">
        <v>4.49</v>
      </c>
      <c r="G12" s="112">
        <v>12.57</v>
      </c>
      <c r="H12" s="112">
        <v>7.61</v>
      </c>
      <c r="I12" s="112">
        <v>2.87</v>
      </c>
      <c r="J12" s="112">
        <v>0.31</v>
      </c>
      <c r="K12" s="112">
        <v>248.7</v>
      </c>
      <c r="L12" s="112">
        <v>26.48</v>
      </c>
      <c r="M12" s="112">
        <v>88.78</v>
      </c>
      <c r="N12" s="112">
        <v>2.1</v>
      </c>
      <c r="O12" s="112">
        <v>0</v>
      </c>
      <c r="P12" s="112">
        <v>0.3</v>
      </c>
      <c r="Q12" s="112">
        <v>4.6500000000000004</v>
      </c>
    </row>
    <row r="13" spans="1:21" customFormat="1">
      <c r="A13" s="80">
        <v>45478.052083333336</v>
      </c>
      <c r="B13" s="112">
        <v>9.2100000000000009</v>
      </c>
      <c r="C13" s="112">
        <v>4.07</v>
      </c>
      <c r="D13" s="112">
        <v>13.96</v>
      </c>
      <c r="E13" s="112">
        <v>9.6300000000000008</v>
      </c>
      <c r="F13" s="112">
        <v>4.51</v>
      </c>
      <c r="G13" s="112">
        <v>12.57</v>
      </c>
      <c r="H13" s="112">
        <v>7.61</v>
      </c>
      <c r="I13" s="112">
        <v>2.83</v>
      </c>
      <c r="J13" s="112">
        <v>0.31</v>
      </c>
      <c r="K13" s="112">
        <v>252.18</v>
      </c>
      <c r="L13" s="112">
        <v>26.42</v>
      </c>
      <c r="M13" s="112">
        <v>88.79</v>
      </c>
      <c r="N13" s="112">
        <v>2.1</v>
      </c>
      <c r="O13" s="112">
        <v>0</v>
      </c>
      <c r="P13" s="112">
        <v>0.3</v>
      </c>
      <c r="Q13" s="112">
        <v>4.6399999999999997</v>
      </c>
    </row>
    <row r="14" spans="1:21" customFormat="1">
      <c r="A14" s="80">
        <v>45478.0625</v>
      </c>
      <c r="B14" s="112">
        <v>9.2100000000000009</v>
      </c>
      <c r="C14" s="112">
        <v>4.07</v>
      </c>
      <c r="D14" s="112">
        <v>13.96</v>
      </c>
      <c r="E14" s="112">
        <v>9.8000000000000007</v>
      </c>
      <c r="F14" s="112">
        <v>4.4400000000000004</v>
      </c>
      <c r="G14" s="112">
        <v>12.57</v>
      </c>
      <c r="H14" s="112">
        <v>7.61</v>
      </c>
      <c r="I14" s="112">
        <v>2.86</v>
      </c>
      <c r="J14" s="112">
        <v>0.15</v>
      </c>
      <c r="K14" s="112">
        <v>222.58</v>
      </c>
      <c r="L14" s="112">
        <v>26.43</v>
      </c>
      <c r="M14" s="112">
        <v>89.1</v>
      </c>
      <c r="N14" s="112">
        <v>2.1</v>
      </c>
      <c r="O14" s="112">
        <v>0</v>
      </c>
      <c r="P14" s="112">
        <v>0.3</v>
      </c>
      <c r="Q14" s="112">
        <v>4.6500000000000004</v>
      </c>
    </row>
    <row r="15" spans="1:21" customFormat="1">
      <c r="A15" s="80">
        <v>45478.072916666664</v>
      </c>
      <c r="B15" s="112">
        <v>9.2100000000000009</v>
      </c>
      <c r="C15" s="112">
        <v>4.0599999999999996</v>
      </c>
      <c r="D15" s="112">
        <v>13.95</v>
      </c>
      <c r="E15" s="112">
        <v>9.6</v>
      </c>
      <c r="F15" s="112">
        <v>5.03</v>
      </c>
      <c r="G15" s="112">
        <v>10.57</v>
      </c>
      <c r="H15" s="112">
        <v>5.99</v>
      </c>
      <c r="I15" s="112">
        <v>2.84</v>
      </c>
      <c r="J15" s="112">
        <v>0.19</v>
      </c>
      <c r="K15" s="112">
        <v>228.33</v>
      </c>
      <c r="L15" s="112">
        <v>26.28</v>
      </c>
      <c r="M15" s="112">
        <v>90.71</v>
      </c>
      <c r="N15" s="112">
        <v>2.1</v>
      </c>
      <c r="O15" s="112">
        <v>0</v>
      </c>
      <c r="P15" s="112">
        <v>0.3</v>
      </c>
      <c r="Q15" s="112">
        <v>4.6399999999999997</v>
      </c>
    </row>
    <row r="16" spans="1:21" customFormat="1">
      <c r="A16" s="80">
        <v>45478.083333333336</v>
      </c>
      <c r="B16" s="112">
        <v>9.1999999999999993</v>
      </c>
      <c r="C16" s="112">
        <v>4.09</v>
      </c>
      <c r="D16" s="112">
        <v>13.97</v>
      </c>
      <c r="E16" s="112">
        <v>9.9499999999999993</v>
      </c>
      <c r="F16" s="112">
        <v>4.1500000000000004</v>
      </c>
      <c r="G16" s="112">
        <v>9.0299999999999994</v>
      </c>
      <c r="H16" s="112">
        <v>5.43</v>
      </c>
      <c r="I16" s="112">
        <v>2.82</v>
      </c>
      <c r="J16" s="112">
        <v>0.14000000000000001</v>
      </c>
      <c r="K16" s="112">
        <v>211.31</v>
      </c>
      <c r="L16" s="112">
        <v>26.14</v>
      </c>
      <c r="M16" s="112">
        <v>91.87</v>
      </c>
      <c r="N16" s="112">
        <v>2.1</v>
      </c>
      <c r="O16" s="112">
        <v>0</v>
      </c>
      <c r="P16" s="112">
        <v>0.3</v>
      </c>
      <c r="Q16" s="112">
        <v>4.66</v>
      </c>
    </row>
    <row r="17" spans="1:17" customFormat="1">
      <c r="A17" s="80">
        <v>45478.09375</v>
      </c>
      <c r="B17" s="112">
        <v>9.2100000000000009</v>
      </c>
      <c r="C17" s="112">
        <v>4.08</v>
      </c>
      <c r="D17" s="112">
        <v>13.97</v>
      </c>
      <c r="E17" s="112">
        <v>9.09</v>
      </c>
      <c r="F17" s="112">
        <v>3.84</v>
      </c>
      <c r="G17" s="112">
        <v>9.0299999999999994</v>
      </c>
      <c r="H17" s="112">
        <v>5.43</v>
      </c>
      <c r="I17" s="112">
        <v>2.78</v>
      </c>
      <c r="J17" s="112">
        <v>0.13</v>
      </c>
      <c r="K17" s="112">
        <v>218.98</v>
      </c>
      <c r="L17" s="112">
        <v>26.05</v>
      </c>
      <c r="M17" s="112">
        <v>91.32</v>
      </c>
      <c r="N17" s="112">
        <v>2.1</v>
      </c>
      <c r="O17" s="112">
        <v>0</v>
      </c>
      <c r="P17" s="112">
        <v>0.3</v>
      </c>
      <c r="Q17" s="112">
        <v>4.66</v>
      </c>
    </row>
    <row r="18" spans="1:17" customFormat="1">
      <c r="A18" s="80">
        <v>45478.104166666664</v>
      </c>
      <c r="B18" s="112">
        <v>9.1999999999999993</v>
      </c>
      <c r="C18" s="112">
        <v>4.08</v>
      </c>
      <c r="D18" s="112">
        <v>13.96</v>
      </c>
      <c r="E18" s="112">
        <v>10.59</v>
      </c>
      <c r="F18" s="112">
        <v>3.83</v>
      </c>
      <c r="G18" s="112">
        <v>9.0299999999999994</v>
      </c>
      <c r="H18" s="112">
        <v>5.43</v>
      </c>
      <c r="I18" s="112">
        <v>2.8</v>
      </c>
      <c r="J18" s="112">
        <v>0.15</v>
      </c>
      <c r="K18" s="112">
        <v>227.63</v>
      </c>
      <c r="L18" s="112">
        <v>26.07</v>
      </c>
      <c r="M18" s="112">
        <v>91.62</v>
      </c>
      <c r="N18" s="112">
        <v>2.1</v>
      </c>
      <c r="O18" s="112">
        <v>0</v>
      </c>
      <c r="P18" s="112">
        <v>0.3</v>
      </c>
      <c r="Q18" s="112">
        <v>4.63</v>
      </c>
    </row>
    <row r="19" spans="1:17" customFormat="1">
      <c r="A19" s="80">
        <v>45478.114583333336</v>
      </c>
      <c r="B19" s="112">
        <v>9.2100000000000009</v>
      </c>
      <c r="C19" s="112">
        <v>4.04</v>
      </c>
      <c r="D19" s="112">
        <v>13.95</v>
      </c>
      <c r="E19" s="112">
        <v>10.71</v>
      </c>
      <c r="F19" s="112">
        <v>4.09</v>
      </c>
      <c r="G19" s="112">
        <v>8.5500000000000007</v>
      </c>
      <c r="H19" s="112">
        <v>4.25</v>
      </c>
      <c r="I19" s="112">
        <v>2.77</v>
      </c>
      <c r="J19" s="112">
        <v>0.14000000000000001</v>
      </c>
      <c r="K19" s="112">
        <v>223.46</v>
      </c>
      <c r="L19" s="112">
        <v>25.9</v>
      </c>
      <c r="M19" s="112">
        <v>93.48</v>
      </c>
      <c r="N19" s="112">
        <v>2.1</v>
      </c>
      <c r="O19" s="112">
        <v>0</v>
      </c>
      <c r="P19" s="112">
        <v>0.31</v>
      </c>
      <c r="Q19" s="112">
        <v>4.63</v>
      </c>
    </row>
    <row r="20" spans="1:17" customFormat="1">
      <c r="A20" s="80">
        <v>45478.125</v>
      </c>
      <c r="B20" s="112">
        <v>9.1999999999999993</v>
      </c>
      <c r="C20" s="112">
        <v>4.07</v>
      </c>
      <c r="D20" s="112">
        <v>13.95</v>
      </c>
      <c r="E20" s="112">
        <v>10.85</v>
      </c>
      <c r="F20" s="112">
        <v>3.81</v>
      </c>
      <c r="G20" s="112">
        <v>8.18</v>
      </c>
      <c r="H20" s="112">
        <v>3.84</v>
      </c>
      <c r="I20" s="112">
        <v>2.77</v>
      </c>
      <c r="J20" s="112">
        <v>0.28000000000000003</v>
      </c>
      <c r="K20" s="112">
        <v>255.44</v>
      </c>
      <c r="L20" s="112">
        <v>25.94</v>
      </c>
      <c r="M20" s="112">
        <v>92.17</v>
      </c>
      <c r="N20" s="112">
        <v>2.1</v>
      </c>
      <c r="O20" s="112">
        <v>0</v>
      </c>
      <c r="P20" s="112">
        <v>0.3</v>
      </c>
      <c r="Q20" s="112">
        <v>4.6399999999999997</v>
      </c>
    </row>
    <row r="21" spans="1:17" customFormat="1">
      <c r="A21" s="80">
        <v>45478.135416666664</v>
      </c>
      <c r="B21" s="112">
        <v>9.1999999999999993</v>
      </c>
      <c r="C21" s="112">
        <v>4.07</v>
      </c>
      <c r="D21" s="112">
        <v>13.95</v>
      </c>
      <c r="E21" s="112">
        <v>10.97</v>
      </c>
      <c r="F21" s="112">
        <v>4.1399999999999997</v>
      </c>
      <c r="G21" s="112">
        <v>8.18</v>
      </c>
      <c r="H21" s="112">
        <v>3.84</v>
      </c>
      <c r="I21" s="112">
        <v>2.72</v>
      </c>
      <c r="J21" s="112">
        <v>0.23</v>
      </c>
      <c r="K21" s="112">
        <v>250.16</v>
      </c>
      <c r="L21" s="112">
        <v>25.98</v>
      </c>
      <c r="M21" s="112">
        <v>92.57</v>
      </c>
      <c r="N21" s="112">
        <v>2.1</v>
      </c>
      <c r="O21" s="112">
        <v>0.2</v>
      </c>
      <c r="P21" s="112">
        <v>0.31</v>
      </c>
      <c r="Q21" s="112">
        <v>4.6500000000000004</v>
      </c>
    </row>
    <row r="22" spans="1:17" customFormat="1">
      <c r="A22" s="80">
        <v>45478.145833333336</v>
      </c>
      <c r="B22" s="112">
        <v>9.1999999999999993</v>
      </c>
      <c r="C22" s="112">
        <v>4.07</v>
      </c>
      <c r="D22" s="112">
        <v>13.96</v>
      </c>
      <c r="E22" s="112">
        <v>11.59</v>
      </c>
      <c r="F22" s="112">
        <v>3.15</v>
      </c>
      <c r="G22" s="112">
        <v>8.18</v>
      </c>
      <c r="H22" s="112">
        <v>3.84</v>
      </c>
      <c r="I22" s="112">
        <v>2.79</v>
      </c>
      <c r="J22" s="112">
        <v>0.19</v>
      </c>
      <c r="K22" s="112">
        <v>244.13</v>
      </c>
      <c r="L22" s="112">
        <v>25.83</v>
      </c>
      <c r="M22" s="112">
        <v>95.5</v>
      </c>
      <c r="N22" s="112">
        <v>2.9</v>
      </c>
      <c r="O22" s="112">
        <v>0</v>
      </c>
      <c r="P22" s="112">
        <v>0.35</v>
      </c>
      <c r="Q22" s="112">
        <v>4.6500000000000004</v>
      </c>
    </row>
    <row r="23" spans="1:17" customFormat="1">
      <c r="A23" s="80">
        <v>45478.15625</v>
      </c>
      <c r="B23" s="112">
        <v>9.18</v>
      </c>
      <c r="C23" s="112">
        <v>4.03</v>
      </c>
      <c r="D23" s="112">
        <v>13.92</v>
      </c>
      <c r="E23" s="112">
        <v>11.17</v>
      </c>
      <c r="F23" s="112">
        <v>4.38</v>
      </c>
      <c r="G23" s="112">
        <v>8.7799999999999994</v>
      </c>
      <c r="H23" s="112">
        <v>5.54</v>
      </c>
      <c r="I23" s="112">
        <v>2.83</v>
      </c>
      <c r="J23" s="112">
        <v>0.45</v>
      </c>
      <c r="K23" s="112">
        <v>262.91000000000003</v>
      </c>
      <c r="L23" s="112">
        <v>25.65</v>
      </c>
      <c r="M23" s="112">
        <v>95.45</v>
      </c>
      <c r="N23" s="112">
        <v>2.2000000000000002</v>
      </c>
      <c r="O23" s="112">
        <v>0</v>
      </c>
      <c r="P23" s="112">
        <v>0.35</v>
      </c>
      <c r="Q23" s="112">
        <v>4.66</v>
      </c>
    </row>
    <row r="24" spans="1:17" customFormat="1">
      <c r="A24" s="80">
        <v>45478.166666666664</v>
      </c>
      <c r="B24" s="112">
        <v>9.18</v>
      </c>
      <c r="C24" s="112">
        <v>4.04</v>
      </c>
      <c r="D24" s="112">
        <v>13.92</v>
      </c>
      <c r="E24" s="112">
        <v>10.44</v>
      </c>
      <c r="F24" s="112">
        <v>4.97</v>
      </c>
      <c r="G24" s="112">
        <v>9.25</v>
      </c>
      <c r="H24" s="112">
        <v>6.09</v>
      </c>
      <c r="I24" s="112">
        <v>2.82</v>
      </c>
      <c r="J24" s="112">
        <v>0.45</v>
      </c>
      <c r="K24" s="112">
        <v>261.98</v>
      </c>
      <c r="L24" s="112">
        <v>25.73</v>
      </c>
      <c r="M24" s="112">
        <v>93.73</v>
      </c>
      <c r="N24" s="112">
        <v>1.9</v>
      </c>
      <c r="O24" s="112">
        <v>0</v>
      </c>
      <c r="P24" s="112">
        <v>0.33</v>
      </c>
      <c r="Q24" s="112">
        <v>4.6500000000000004</v>
      </c>
    </row>
    <row r="25" spans="1:17" customFormat="1">
      <c r="A25" s="80">
        <v>45478.177083333336</v>
      </c>
      <c r="B25" s="112">
        <v>9.18</v>
      </c>
      <c r="C25" s="112">
        <v>4.05</v>
      </c>
      <c r="D25" s="112">
        <v>13.93</v>
      </c>
      <c r="E25" s="112">
        <v>9.7799999999999994</v>
      </c>
      <c r="F25" s="112">
        <v>5.25</v>
      </c>
      <c r="G25" s="112">
        <v>9.25</v>
      </c>
      <c r="H25" s="112">
        <v>6.09</v>
      </c>
      <c r="I25" s="112">
        <v>2.78</v>
      </c>
      <c r="J25" s="112">
        <v>0.43</v>
      </c>
      <c r="K25" s="112">
        <v>262.77</v>
      </c>
      <c r="L25" s="112">
        <v>25.7</v>
      </c>
      <c r="M25" s="112">
        <v>93.5</v>
      </c>
      <c r="N25" s="112">
        <v>2.2000000000000002</v>
      </c>
      <c r="O25" s="112">
        <v>0</v>
      </c>
      <c r="P25" s="112">
        <v>0.33</v>
      </c>
      <c r="Q25" s="112">
        <v>4.63</v>
      </c>
    </row>
    <row r="26" spans="1:17" customFormat="1">
      <c r="A26" s="80">
        <v>45478.1875</v>
      </c>
      <c r="B26" s="112">
        <v>9.16</v>
      </c>
      <c r="C26" s="112">
        <v>4.0599999999999996</v>
      </c>
      <c r="D26" s="112">
        <v>13.92</v>
      </c>
      <c r="E26" s="112">
        <v>9.5399999999999991</v>
      </c>
      <c r="F26" s="112">
        <v>5.14</v>
      </c>
      <c r="G26" s="112">
        <v>9.25</v>
      </c>
      <c r="H26" s="112">
        <v>6.09</v>
      </c>
      <c r="I26" s="112">
        <v>2.75</v>
      </c>
      <c r="J26" s="112">
        <v>0.51</v>
      </c>
      <c r="K26" s="112">
        <v>266.13</v>
      </c>
      <c r="L26" s="112">
        <v>25.77</v>
      </c>
      <c r="M26" s="112">
        <v>92.57</v>
      </c>
      <c r="N26" s="112">
        <v>2.4</v>
      </c>
      <c r="O26" s="112">
        <v>0</v>
      </c>
      <c r="P26" s="112">
        <v>0.32</v>
      </c>
      <c r="Q26" s="112">
        <v>4.6399999999999997</v>
      </c>
    </row>
    <row r="27" spans="1:17" customFormat="1">
      <c r="A27" s="80">
        <v>45478.197916666664</v>
      </c>
      <c r="B27" s="112">
        <v>9.15</v>
      </c>
      <c r="C27" s="112">
        <v>4.0599999999999996</v>
      </c>
      <c r="D27" s="112">
        <v>13.91</v>
      </c>
      <c r="E27" s="112">
        <v>8.61</v>
      </c>
      <c r="F27" s="112">
        <v>7.49</v>
      </c>
      <c r="G27" s="112">
        <v>11.94</v>
      </c>
      <c r="H27" s="112">
        <v>4.82</v>
      </c>
      <c r="I27" s="112">
        <v>2.77</v>
      </c>
      <c r="J27" s="112">
        <v>0.51</v>
      </c>
      <c r="K27" s="112">
        <v>266.37</v>
      </c>
      <c r="L27" s="112">
        <v>25.86</v>
      </c>
      <c r="M27" s="112">
        <v>91.29</v>
      </c>
      <c r="N27" s="112">
        <v>2.2999999999999998</v>
      </c>
      <c r="O27" s="112">
        <v>0</v>
      </c>
      <c r="P27" s="112">
        <v>0.32</v>
      </c>
      <c r="Q27" s="112">
        <v>4.66</v>
      </c>
    </row>
    <row r="28" spans="1:17" customFormat="1">
      <c r="A28" s="80">
        <v>45478.208333333336</v>
      </c>
      <c r="B28" s="112">
        <v>9.14</v>
      </c>
      <c r="C28" s="112">
        <v>4.07</v>
      </c>
      <c r="D28" s="112">
        <v>13.9</v>
      </c>
      <c r="E28" s="112">
        <v>8.67</v>
      </c>
      <c r="F28" s="112">
        <v>5.63</v>
      </c>
      <c r="G28" s="112">
        <v>14.09</v>
      </c>
      <c r="H28" s="112">
        <v>4.4000000000000004</v>
      </c>
      <c r="I28" s="112">
        <v>2.74</v>
      </c>
      <c r="J28" s="112">
        <v>0.66</v>
      </c>
      <c r="K28" s="112">
        <v>266.07</v>
      </c>
      <c r="L28" s="112">
        <v>25.87</v>
      </c>
      <c r="M28" s="112">
        <v>91.23</v>
      </c>
      <c r="N28" s="112">
        <v>2.4</v>
      </c>
      <c r="O28" s="112">
        <v>0</v>
      </c>
      <c r="P28" s="112">
        <v>0.32</v>
      </c>
      <c r="Q28" s="112">
        <v>4.6399999999999997</v>
      </c>
    </row>
    <row r="29" spans="1:17" customFormat="1">
      <c r="A29" s="80">
        <v>45478.21875</v>
      </c>
      <c r="B29" s="112">
        <v>9.15</v>
      </c>
      <c r="C29" s="112">
        <v>4.05</v>
      </c>
      <c r="D29" s="112">
        <v>13.9</v>
      </c>
      <c r="E29" s="112">
        <v>8.5399999999999991</v>
      </c>
      <c r="F29" s="112">
        <v>5.6</v>
      </c>
      <c r="G29" s="112">
        <v>14.09</v>
      </c>
      <c r="H29" s="112">
        <v>4.4000000000000004</v>
      </c>
      <c r="I29" s="112">
        <v>2.67</v>
      </c>
      <c r="J29" s="112">
        <v>0.76</v>
      </c>
      <c r="K29" s="112">
        <v>271.38</v>
      </c>
      <c r="L29" s="112">
        <v>25.93</v>
      </c>
      <c r="M29" s="112">
        <v>90.62</v>
      </c>
      <c r="N29" s="112">
        <v>2.6</v>
      </c>
      <c r="O29" s="112">
        <v>0</v>
      </c>
      <c r="P29" s="112">
        <v>0.32</v>
      </c>
      <c r="Q29" s="112">
        <v>4.63</v>
      </c>
    </row>
    <row r="30" spans="1:17" customFormat="1">
      <c r="A30" s="80">
        <v>45478.229166666664</v>
      </c>
      <c r="B30" s="112">
        <v>9.15</v>
      </c>
      <c r="C30" s="112">
        <v>4.03</v>
      </c>
      <c r="D30" s="112">
        <v>13.89</v>
      </c>
      <c r="E30" s="112">
        <v>8.67</v>
      </c>
      <c r="F30" s="112">
        <v>4.67</v>
      </c>
      <c r="G30" s="112">
        <v>14.09</v>
      </c>
      <c r="H30" s="112">
        <v>4.4000000000000004</v>
      </c>
      <c r="I30" s="112">
        <v>2.76</v>
      </c>
      <c r="J30" s="112">
        <v>0.72</v>
      </c>
      <c r="K30" s="112">
        <v>267.06</v>
      </c>
      <c r="L30" s="112">
        <v>25.96</v>
      </c>
      <c r="M30" s="112">
        <v>89.7</v>
      </c>
      <c r="N30" s="112">
        <v>5.4</v>
      </c>
      <c r="O30" s="112">
        <v>0</v>
      </c>
      <c r="P30" s="112">
        <v>0.33</v>
      </c>
      <c r="Q30" s="112">
        <v>4.62</v>
      </c>
    </row>
    <row r="31" spans="1:17" customFormat="1">
      <c r="A31" s="80">
        <v>45478.239583333336</v>
      </c>
      <c r="B31" s="112">
        <v>9.1300000000000008</v>
      </c>
      <c r="C31" s="112">
        <v>4.0599999999999996</v>
      </c>
      <c r="D31" s="112">
        <v>13.89</v>
      </c>
      <c r="E31" s="112">
        <v>8.7100000000000009</v>
      </c>
      <c r="F31" s="112">
        <v>4.4800000000000004</v>
      </c>
      <c r="G31" s="112">
        <v>11.82</v>
      </c>
      <c r="H31" s="112">
        <v>3.47</v>
      </c>
      <c r="I31" s="112">
        <v>2.79</v>
      </c>
      <c r="J31" s="112">
        <v>0.98</v>
      </c>
      <c r="K31" s="112">
        <v>270.73</v>
      </c>
      <c r="L31" s="112">
        <v>25.89</v>
      </c>
      <c r="M31" s="112">
        <v>89.56</v>
      </c>
      <c r="N31" s="112">
        <v>13.8</v>
      </c>
      <c r="O31" s="112">
        <v>0</v>
      </c>
      <c r="P31" s="112">
        <v>0.33</v>
      </c>
      <c r="Q31" s="112">
        <v>4.62</v>
      </c>
    </row>
    <row r="32" spans="1:17" customFormat="1">
      <c r="A32" s="80">
        <v>45478.25</v>
      </c>
      <c r="B32" s="112">
        <v>9.1199999999999992</v>
      </c>
      <c r="C32" s="112">
        <v>4.08</v>
      </c>
      <c r="D32" s="112">
        <v>13.89</v>
      </c>
      <c r="E32" s="112">
        <v>8.66</v>
      </c>
      <c r="F32" s="112">
        <v>3.81</v>
      </c>
      <c r="G32" s="112">
        <v>10.08</v>
      </c>
      <c r="H32" s="112">
        <v>3.17</v>
      </c>
      <c r="I32" s="112">
        <v>2.78</v>
      </c>
      <c r="J32" s="112">
        <v>1.07</v>
      </c>
      <c r="K32" s="112">
        <v>269.18</v>
      </c>
      <c r="L32" s="112">
        <v>25.77</v>
      </c>
      <c r="M32" s="112">
        <v>88.97</v>
      </c>
      <c r="N32" s="112">
        <v>31.2</v>
      </c>
      <c r="O32" s="112">
        <v>0</v>
      </c>
      <c r="P32" s="112">
        <v>0.34</v>
      </c>
      <c r="Q32" s="112">
        <v>4.63</v>
      </c>
    </row>
    <row r="33" spans="1:17" customFormat="1">
      <c r="A33" s="80">
        <v>45478.260416666664</v>
      </c>
      <c r="B33" s="112">
        <v>9.14</v>
      </c>
      <c r="C33" s="112">
        <v>4.04</v>
      </c>
      <c r="D33" s="112">
        <v>13.89</v>
      </c>
      <c r="E33" s="112">
        <v>8.64</v>
      </c>
      <c r="F33" s="112">
        <v>3.71</v>
      </c>
      <c r="G33" s="112">
        <v>10.08</v>
      </c>
      <c r="H33" s="112">
        <v>3.17</v>
      </c>
      <c r="I33" s="112">
        <v>2.8</v>
      </c>
      <c r="J33" s="112">
        <v>0.81</v>
      </c>
      <c r="K33" s="112">
        <v>266.05</v>
      </c>
      <c r="L33" s="112">
        <v>25.79</v>
      </c>
      <c r="M33" s="112">
        <v>88.21</v>
      </c>
      <c r="N33" s="112">
        <v>31.7</v>
      </c>
      <c r="O33" s="112">
        <v>0</v>
      </c>
      <c r="P33" s="112">
        <v>0.34</v>
      </c>
      <c r="Q33" s="112">
        <v>4.6399999999999997</v>
      </c>
    </row>
    <row r="34" spans="1:17" customFormat="1">
      <c r="A34" s="80">
        <v>45478.270833333336</v>
      </c>
      <c r="B34" s="112">
        <v>9.1300000000000008</v>
      </c>
      <c r="C34" s="112">
        <v>4.08</v>
      </c>
      <c r="D34" s="112">
        <v>13.9</v>
      </c>
      <c r="E34" s="112">
        <v>8.34</v>
      </c>
      <c r="F34" s="112">
        <v>4.3</v>
      </c>
      <c r="G34" s="112">
        <v>10.08</v>
      </c>
      <c r="H34" s="112">
        <v>3.17</v>
      </c>
      <c r="I34" s="112">
        <v>2.83</v>
      </c>
      <c r="J34" s="112">
        <v>0.95</v>
      </c>
      <c r="K34" s="112">
        <v>266.93</v>
      </c>
      <c r="L34" s="112">
        <v>25.77</v>
      </c>
      <c r="M34" s="112">
        <v>88.42</v>
      </c>
      <c r="N34" s="112">
        <v>39.9</v>
      </c>
      <c r="O34" s="112">
        <v>0</v>
      </c>
      <c r="P34" s="112">
        <v>0.34</v>
      </c>
      <c r="Q34" s="112">
        <v>4.6100000000000003</v>
      </c>
    </row>
    <row r="35" spans="1:17" customFormat="1">
      <c r="A35" s="80">
        <v>45478.28125</v>
      </c>
      <c r="B35" s="112">
        <v>9.14</v>
      </c>
      <c r="C35" s="112">
        <v>4.05</v>
      </c>
      <c r="D35" s="112">
        <v>13.9</v>
      </c>
      <c r="E35" s="112">
        <v>8.14</v>
      </c>
      <c r="F35" s="112">
        <v>5.96</v>
      </c>
      <c r="G35" s="112">
        <v>10.7</v>
      </c>
      <c r="H35" s="112">
        <v>3.06</v>
      </c>
      <c r="I35" s="112">
        <v>2.86</v>
      </c>
      <c r="J35" s="112">
        <v>0.83</v>
      </c>
      <c r="K35" s="112">
        <v>267.95</v>
      </c>
      <c r="L35" s="112">
        <v>25.85</v>
      </c>
      <c r="M35" s="112">
        <v>87.99</v>
      </c>
      <c r="N35" s="112">
        <v>49.9</v>
      </c>
      <c r="O35" s="112">
        <v>0</v>
      </c>
      <c r="P35" s="112">
        <v>0.33</v>
      </c>
      <c r="Q35" s="112">
        <v>4.6399999999999997</v>
      </c>
    </row>
    <row r="36" spans="1:17" customFormat="1">
      <c r="A36" s="80">
        <v>45478.291666666664</v>
      </c>
      <c r="B36" s="112">
        <v>9.15</v>
      </c>
      <c r="C36" s="112">
        <v>4.07</v>
      </c>
      <c r="D36" s="112">
        <v>13.91</v>
      </c>
      <c r="E36" s="112">
        <v>8.19</v>
      </c>
      <c r="F36" s="112">
        <v>6.21</v>
      </c>
      <c r="G36" s="112">
        <v>11.17</v>
      </c>
      <c r="H36" s="112">
        <v>3</v>
      </c>
      <c r="I36" s="112">
        <v>2.87</v>
      </c>
      <c r="J36" s="112">
        <v>0.7</v>
      </c>
      <c r="K36" s="112">
        <v>266.01</v>
      </c>
      <c r="L36" s="112">
        <v>26.01</v>
      </c>
      <c r="M36" s="112">
        <v>87.91</v>
      </c>
      <c r="N36" s="112">
        <v>73.099999999999994</v>
      </c>
      <c r="O36" s="112">
        <v>0</v>
      </c>
      <c r="P36" s="112">
        <v>0.32</v>
      </c>
      <c r="Q36" s="112">
        <v>4.6399999999999997</v>
      </c>
    </row>
    <row r="37" spans="1:17" customFormat="1">
      <c r="A37" s="80">
        <v>45478.302083333336</v>
      </c>
      <c r="B37" s="112">
        <v>9.16</v>
      </c>
      <c r="C37" s="112">
        <v>4.05</v>
      </c>
      <c r="D37" s="112">
        <v>13.91</v>
      </c>
      <c r="E37" s="112">
        <v>7.69</v>
      </c>
      <c r="F37" s="112">
        <v>5.22</v>
      </c>
      <c r="G37" s="112">
        <v>11.17</v>
      </c>
      <c r="H37" s="112">
        <v>3</v>
      </c>
      <c r="I37" s="112">
        <v>2.8</v>
      </c>
      <c r="J37" s="112">
        <v>0.68</v>
      </c>
      <c r="K37" s="112">
        <v>257.27999999999997</v>
      </c>
      <c r="L37" s="112">
        <v>26.2</v>
      </c>
      <c r="M37" s="112">
        <v>88.1</v>
      </c>
      <c r="N37" s="112">
        <v>99.5</v>
      </c>
      <c r="O37" s="112">
        <v>0</v>
      </c>
      <c r="P37" s="112">
        <v>0.31</v>
      </c>
      <c r="Q37" s="112">
        <v>4.6399999999999997</v>
      </c>
    </row>
    <row r="38" spans="1:17" customFormat="1">
      <c r="A38" s="80">
        <v>45478.3125</v>
      </c>
      <c r="B38" s="112">
        <v>9.14</v>
      </c>
      <c r="C38" s="112">
        <v>4.0599999999999996</v>
      </c>
      <c r="D38" s="112">
        <v>13.9</v>
      </c>
      <c r="E38" s="112">
        <v>7.47</v>
      </c>
      <c r="F38" s="112">
        <v>5.55</v>
      </c>
      <c r="G38" s="112">
        <v>11.17</v>
      </c>
      <c r="H38" s="112">
        <v>3</v>
      </c>
      <c r="I38" s="112">
        <v>2.85</v>
      </c>
      <c r="J38" s="112">
        <v>0.65</v>
      </c>
      <c r="K38" s="112">
        <v>261.12</v>
      </c>
      <c r="L38" s="112">
        <v>26.34</v>
      </c>
      <c r="M38" s="112">
        <v>87.88</v>
      </c>
      <c r="N38" s="112">
        <v>102.8</v>
      </c>
      <c r="O38" s="112">
        <v>0</v>
      </c>
      <c r="P38" s="112">
        <v>0.32</v>
      </c>
      <c r="Q38" s="112">
        <v>4.66</v>
      </c>
    </row>
    <row r="39" spans="1:17" customFormat="1">
      <c r="A39" s="80">
        <v>45478.322916666664</v>
      </c>
      <c r="B39" s="112">
        <v>9.14</v>
      </c>
      <c r="C39" s="112">
        <v>4.07</v>
      </c>
      <c r="D39" s="112">
        <v>13.91</v>
      </c>
      <c r="E39" s="112">
        <v>7.67</v>
      </c>
      <c r="F39" s="112">
        <v>4.79</v>
      </c>
      <c r="G39" s="112">
        <v>10.25</v>
      </c>
      <c r="H39" s="112">
        <v>3.29</v>
      </c>
      <c r="I39" s="112">
        <v>2.85</v>
      </c>
      <c r="J39" s="112">
        <v>0.74</v>
      </c>
      <c r="K39" s="112">
        <v>263.37</v>
      </c>
      <c r="L39" s="112">
        <v>26.41</v>
      </c>
      <c r="M39" s="112">
        <v>87.54</v>
      </c>
      <c r="N39" s="112">
        <v>102.2</v>
      </c>
      <c r="O39" s="112">
        <v>0</v>
      </c>
      <c r="P39" s="112">
        <v>0.33</v>
      </c>
      <c r="Q39" s="112">
        <v>4.63</v>
      </c>
    </row>
    <row r="40" spans="1:17" customFormat="1">
      <c r="A40" s="80">
        <v>45478.333333333336</v>
      </c>
      <c r="B40" s="112">
        <v>9.1300000000000008</v>
      </c>
      <c r="C40" s="112">
        <v>4.07</v>
      </c>
      <c r="D40" s="112">
        <v>13.9</v>
      </c>
      <c r="E40" s="112">
        <v>8.32</v>
      </c>
      <c r="F40" s="112">
        <v>4.17</v>
      </c>
      <c r="G40" s="112">
        <v>9.52</v>
      </c>
      <c r="H40" s="112">
        <v>3.4</v>
      </c>
      <c r="I40" s="112">
        <v>2.84</v>
      </c>
      <c r="J40" s="112">
        <v>0.69</v>
      </c>
      <c r="K40" s="112">
        <v>259.82</v>
      </c>
      <c r="L40" s="112">
        <v>26.49</v>
      </c>
      <c r="M40" s="112">
        <v>86.97</v>
      </c>
      <c r="N40" s="112">
        <v>122.3</v>
      </c>
      <c r="O40" s="112">
        <v>0</v>
      </c>
      <c r="P40" s="112">
        <v>0.32</v>
      </c>
      <c r="Q40" s="112">
        <v>4.63</v>
      </c>
    </row>
    <row r="41" spans="1:17" customFormat="1">
      <c r="A41" s="80">
        <v>45478.34375</v>
      </c>
      <c r="B41" s="112">
        <v>9.14</v>
      </c>
      <c r="C41" s="112">
        <v>4.07</v>
      </c>
      <c r="D41" s="112">
        <v>13.91</v>
      </c>
      <c r="E41" s="112">
        <v>8.17</v>
      </c>
      <c r="F41" s="112">
        <v>4.67</v>
      </c>
      <c r="G41" s="112">
        <v>9.52</v>
      </c>
      <c r="H41" s="112">
        <v>3.4</v>
      </c>
      <c r="I41" s="112">
        <v>2.84</v>
      </c>
      <c r="J41" s="112">
        <v>0.66</v>
      </c>
      <c r="K41" s="112">
        <v>266.25</v>
      </c>
      <c r="L41" s="112">
        <v>26.81</v>
      </c>
      <c r="M41" s="112">
        <v>85.36</v>
      </c>
      <c r="N41" s="112">
        <v>145.80000000000001</v>
      </c>
      <c r="O41" s="112">
        <v>0</v>
      </c>
      <c r="P41" s="112">
        <v>0.28999999999999998</v>
      </c>
      <c r="Q41" s="112">
        <v>4.6399999999999997</v>
      </c>
    </row>
    <row r="42" spans="1:17" customFormat="1">
      <c r="A42" s="80">
        <v>45478.354166666664</v>
      </c>
      <c r="B42" s="112">
        <v>9.15</v>
      </c>
      <c r="C42" s="112">
        <v>4.07</v>
      </c>
      <c r="D42" s="112">
        <v>13.91</v>
      </c>
      <c r="E42" s="112">
        <v>8.59</v>
      </c>
      <c r="F42" s="112">
        <v>4.32</v>
      </c>
      <c r="G42" s="112">
        <v>9.52</v>
      </c>
      <c r="H42" s="112">
        <v>3.4</v>
      </c>
      <c r="I42" s="112">
        <v>2.87</v>
      </c>
      <c r="J42" s="112">
        <v>0.62</v>
      </c>
      <c r="K42" s="112">
        <v>255.82</v>
      </c>
      <c r="L42" s="112">
        <v>27.15</v>
      </c>
      <c r="M42" s="112">
        <v>83.66</v>
      </c>
      <c r="N42" s="112">
        <v>179.5</v>
      </c>
      <c r="O42" s="112">
        <v>0</v>
      </c>
      <c r="P42" s="112">
        <v>0.28000000000000003</v>
      </c>
      <c r="Q42" s="112">
        <v>4.63</v>
      </c>
    </row>
    <row r="43" spans="1:17" customFormat="1">
      <c r="A43" s="80">
        <v>45478.364583333336</v>
      </c>
      <c r="B43" s="112">
        <v>9.17</v>
      </c>
      <c r="C43" s="112">
        <v>4.05</v>
      </c>
      <c r="D43" s="112">
        <v>13.92</v>
      </c>
      <c r="E43" s="112">
        <v>8.44</v>
      </c>
      <c r="F43" s="112">
        <v>4.25</v>
      </c>
      <c r="G43" s="112">
        <v>9.9499999999999993</v>
      </c>
      <c r="H43" s="112">
        <v>2.68</v>
      </c>
      <c r="I43" s="112">
        <v>2.83</v>
      </c>
      <c r="J43" s="112">
        <v>0.84</v>
      </c>
      <c r="K43" s="112">
        <v>263.2</v>
      </c>
      <c r="L43" s="112">
        <v>27.33</v>
      </c>
      <c r="M43" s="112">
        <v>81.72</v>
      </c>
      <c r="N43" s="112">
        <v>205.4</v>
      </c>
      <c r="O43" s="112">
        <v>0</v>
      </c>
      <c r="P43" s="112">
        <v>0.28999999999999998</v>
      </c>
      <c r="Q43" s="112">
        <v>4.63</v>
      </c>
    </row>
    <row r="44" spans="1:17" customFormat="1">
      <c r="A44" s="80">
        <v>45478.375</v>
      </c>
      <c r="B44" s="112">
        <v>9.18</v>
      </c>
      <c r="C44" s="112">
        <v>4.08</v>
      </c>
      <c r="D44" s="112">
        <v>13.94</v>
      </c>
      <c r="E44" s="112">
        <v>8.57</v>
      </c>
      <c r="F44" s="112">
        <v>4.55</v>
      </c>
      <c r="G44" s="112">
        <v>10.29</v>
      </c>
      <c r="H44" s="112">
        <v>2.4500000000000002</v>
      </c>
      <c r="I44" s="112">
        <v>2.82</v>
      </c>
      <c r="J44" s="112">
        <v>0.78</v>
      </c>
      <c r="K44" s="112">
        <v>259.55</v>
      </c>
      <c r="L44" s="112">
        <v>27.91</v>
      </c>
      <c r="M44" s="112">
        <v>80.03</v>
      </c>
      <c r="N44" s="112">
        <v>226.4</v>
      </c>
      <c r="O44" s="112">
        <v>0</v>
      </c>
      <c r="P44" s="112">
        <v>0.28999999999999998</v>
      </c>
      <c r="Q44" s="112">
        <v>4.6399999999999997</v>
      </c>
    </row>
    <row r="45" spans="1:17" customFormat="1">
      <c r="A45" s="80">
        <v>45478.385416666664</v>
      </c>
      <c r="B45" s="112">
        <v>9.18</v>
      </c>
      <c r="C45" s="112">
        <v>4.07</v>
      </c>
      <c r="D45" s="112">
        <v>13.94</v>
      </c>
      <c r="E45" s="112">
        <v>9.26</v>
      </c>
      <c r="F45" s="112">
        <v>4.3099999999999996</v>
      </c>
      <c r="G45" s="112">
        <v>10.29</v>
      </c>
      <c r="H45" s="112">
        <v>2.4500000000000002</v>
      </c>
      <c r="I45" s="112">
        <v>2.77</v>
      </c>
      <c r="J45" s="112">
        <v>0.65</v>
      </c>
      <c r="K45" s="112">
        <v>256.62</v>
      </c>
      <c r="L45" s="112">
        <v>28.66</v>
      </c>
      <c r="M45" s="112">
        <v>78.33</v>
      </c>
      <c r="N45" s="112">
        <v>244.4</v>
      </c>
      <c r="O45" s="112">
        <v>0</v>
      </c>
      <c r="P45" s="112">
        <v>0.28000000000000003</v>
      </c>
      <c r="Q45" s="112">
        <v>4.63</v>
      </c>
    </row>
    <row r="46" spans="1:17" customFormat="1">
      <c r="A46" s="80">
        <v>45478.395833333336</v>
      </c>
      <c r="B46" s="112">
        <v>9.19</v>
      </c>
      <c r="C46" s="112">
        <v>4.05</v>
      </c>
      <c r="D46" s="112">
        <v>13.93</v>
      </c>
      <c r="E46" s="112">
        <v>9.23</v>
      </c>
      <c r="F46" s="112">
        <v>4.57</v>
      </c>
      <c r="G46" s="112">
        <v>10.29</v>
      </c>
      <c r="H46" s="112">
        <v>2.4500000000000002</v>
      </c>
      <c r="I46" s="112">
        <v>2.74</v>
      </c>
      <c r="J46" s="112">
        <v>0.66</v>
      </c>
      <c r="K46" s="112">
        <v>256.27999999999997</v>
      </c>
      <c r="L46" s="112">
        <v>29.26</v>
      </c>
      <c r="M46" s="112">
        <v>76.33</v>
      </c>
      <c r="N46" s="112">
        <v>279.7</v>
      </c>
      <c r="O46" s="112">
        <v>0</v>
      </c>
      <c r="P46" s="112">
        <v>0.28000000000000003</v>
      </c>
      <c r="Q46" s="112">
        <v>4.63</v>
      </c>
    </row>
    <row r="47" spans="1:17" customFormat="1">
      <c r="A47" s="80">
        <v>45478.40625</v>
      </c>
      <c r="B47" s="112">
        <v>9.19</v>
      </c>
      <c r="C47" s="112">
        <v>4.0599999999999996</v>
      </c>
      <c r="D47" s="112">
        <v>13.94</v>
      </c>
      <c r="E47" s="112">
        <v>9.1199999999999992</v>
      </c>
      <c r="F47" s="112">
        <v>4.72</v>
      </c>
      <c r="G47" s="112">
        <v>9.9</v>
      </c>
      <c r="H47" s="112">
        <v>3.8</v>
      </c>
      <c r="I47" s="112">
        <v>2.74</v>
      </c>
      <c r="J47" s="112">
        <v>0.82</v>
      </c>
      <c r="K47" s="112">
        <v>264.10000000000002</v>
      </c>
      <c r="L47" s="112">
        <v>29.45</v>
      </c>
      <c r="M47" s="112">
        <v>75.349999999999994</v>
      </c>
      <c r="N47" s="112">
        <v>250.8</v>
      </c>
      <c r="O47" s="112">
        <v>0</v>
      </c>
      <c r="P47" s="112">
        <v>0.28000000000000003</v>
      </c>
      <c r="Q47" s="112">
        <v>4.63</v>
      </c>
    </row>
    <row r="48" spans="1:17" customFormat="1">
      <c r="A48" s="80">
        <v>45478.416666666664</v>
      </c>
      <c r="B48" s="112">
        <v>9.19</v>
      </c>
      <c r="C48" s="112">
        <v>4.0599999999999996</v>
      </c>
      <c r="D48" s="112">
        <v>13.95</v>
      </c>
      <c r="E48" s="112">
        <v>9.44</v>
      </c>
      <c r="F48" s="112">
        <v>5.19</v>
      </c>
      <c r="G48" s="112">
        <v>9.6</v>
      </c>
      <c r="H48" s="112">
        <v>4.25</v>
      </c>
      <c r="I48" s="112">
        <v>2.74</v>
      </c>
      <c r="J48" s="112">
        <v>1.01</v>
      </c>
      <c r="K48" s="112">
        <v>263.24</v>
      </c>
      <c r="L48" s="112">
        <v>30.08</v>
      </c>
      <c r="M48" s="112">
        <v>72.84</v>
      </c>
      <c r="N48" s="112">
        <v>264</v>
      </c>
      <c r="O48" s="112">
        <v>0</v>
      </c>
      <c r="P48" s="112">
        <v>0.28000000000000003</v>
      </c>
      <c r="Q48" s="112">
        <v>4.6500000000000004</v>
      </c>
    </row>
    <row r="49" spans="1:17" customFormat="1">
      <c r="A49" s="80">
        <v>45478.427083333336</v>
      </c>
      <c r="B49" s="112">
        <v>9.1999999999999993</v>
      </c>
      <c r="C49" s="112">
        <v>4.07</v>
      </c>
      <c r="D49" s="112">
        <v>13.95</v>
      </c>
      <c r="E49" s="112">
        <v>8.0299999999999994</v>
      </c>
      <c r="F49" s="112">
        <v>4.96</v>
      </c>
      <c r="G49" s="112">
        <v>9.6</v>
      </c>
      <c r="H49" s="112">
        <v>4.25</v>
      </c>
      <c r="I49" s="112">
        <v>2.72</v>
      </c>
      <c r="J49" s="112">
        <v>0.99</v>
      </c>
      <c r="K49" s="112">
        <v>261.66000000000003</v>
      </c>
      <c r="L49" s="112">
        <v>30.73</v>
      </c>
      <c r="M49" s="112">
        <v>70.459999999999994</v>
      </c>
      <c r="N49" s="112">
        <v>253.1</v>
      </c>
      <c r="O49" s="112">
        <v>0</v>
      </c>
      <c r="P49" s="112">
        <v>0.28000000000000003</v>
      </c>
      <c r="Q49" s="112">
        <v>4.6500000000000004</v>
      </c>
    </row>
    <row r="50" spans="1:17" customFormat="1">
      <c r="A50" s="80">
        <v>45478.4375</v>
      </c>
      <c r="B50" s="112">
        <v>9.19</v>
      </c>
      <c r="C50" s="112">
        <v>4.08</v>
      </c>
      <c r="D50" s="112">
        <v>13.95</v>
      </c>
      <c r="E50" s="112">
        <v>9.34</v>
      </c>
      <c r="F50" s="112">
        <v>4.29</v>
      </c>
      <c r="G50" s="112">
        <v>9.6</v>
      </c>
      <c r="H50" s="112">
        <v>4.25</v>
      </c>
      <c r="I50" s="112">
        <v>2.73</v>
      </c>
      <c r="J50" s="112">
        <v>1.05</v>
      </c>
      <c r="K50" s="112">
        <v>273.45</v>
      </c>
      <c r="L50" s="112">
        <v>30.94</v>
      </c>
      <c r="M50" s="112">
        <v>69.11</v>
      </c>
      <c r="N50" s="112">
        <v>269.3</v>
      </c>
      <c r="O50" s="112">
        <v>0</v>
      </c>
      <c r="P50" s="112">
        <v>0.27</v>
      </c>
      <c r="Q50" s="112">
        <v>4.66</v>
      </c>
    </row>
    <row r="51" spans="1:17" customFormat="1">
      <c r="A51" s="80">
        <v>45478.447916666664</v>
      </c>
      <c r="B51" s="112">
        <v>9.19</v>
      </c>
      <c r="C51" s="112">
        <v>4.08</v>
      </c>
      <c r="D51" s="112">
        <v>13.95</v>
      </c>
      <c r="E51" s="112">
        <v>9.56</v>
      </c>
      <c r="F51" s="112">
        <v>4.9800000000000004</v>
      </c>
      <c r="G51" s="112">
        <v>10.119999999999999</v>
      </c>
      <c r="H51" s="112">
        <v>3.65</v>
      </c>
      <c r="I51" s="112">
        <v>2.7</v>
      </c>
      <c r="J51" s="112">
        <v>1.2</v>
      </c>
      <c r="K51" s="112">
        <v>273.27999999999997</v>
      </c>
      <c r="L51" s="112">
        <v>31.03</v>
      </c>
      <c r="M51" s="112">
        <v>69.03</v>
      </c>
      <c r="N51" s="112">
        <v>301.7</v>
      </c>
      <c r="O51" s="112">
        <v>0</v>
      </c>
      <c r="P51" s="112">
        <v>0.28000000000000003</v>
      </c>
      <c r="Q51" s="112">
        <v>4.6500000000000004</v>
      </c>
    </row>
    <row r="52" spans="1:17" customFormat="1">
      <c r="A52" s="80">
        <v>45478.458333333336</v>
      </c>
      <c r="B52" s="112">
        <v>9.1999999999999993</v>
      </c>
      <c r="C52" s="112">
        <v>4.0599999999999996</v>
      </c>
      <c r="D52" s="112">
        <v>13.94</v>
      </c>
      <c r="E52" s="112">
        <v>9.64</v>
      </c>
      <c r="F52" s="112">
        <v>6.1</v>
      </c>
      <c r="G52" s="112">
        <v>10.52</v>
      </c>
      <c r="H52" s="112">
        <v>3.46</v>
      </c>
      <c r="I52" s="112">
        <v>2.64</v>
      </c>
      <c r="J52" s="112">
        <v>0.98</v>
      </c>
      <c r="K52" s="112">
        <v>272.75</v>
      </c>
      <c r="L52" s="112">
        <v>31.22</v>
      </c>
      <c r="M52" s="112">
        <v>69.150000000000006</v>
      </c>
      <c r="N52" s="112">
        <v>290.5</v>
      </c>
      <c r="O52" s="112">
        <v>0</v>
      </c>
      <c r="P52" s="112">
        <v>0.27</v>
      </c>
      <c r="Q52" s="112">
        <v>4.6500000000000004</v>
      </c>
    </row>
    <row r="53" spans="1:17" customFormat="1">
      <c r="A53" s="80">
        <v>45478.46875</v>
      </c>
      <c r="B53" s="112">
        <v>9.19</v>
      </c>
      <c r="C53" s="112">
        <v>4.07</v>
      </c>
      <c r="D53" s="112">
        <v>13.94</v>
      </c>
      <c r="E53" s="112">
        <v>9.7799999999999994</v>
      </c>
      <c r="F53" s="112">
        <v>5.54</v>
      </c>
      <c r="G53" s="112">
        <v>10.52</v>
      </c>
      <c r="H53" s="112">
        <v>3.46</v>
      </c>
      <c r="I53" s="112">
        <v>2.68</v>
      </c>
      <c r="J53" s="112">
        <v>1.28</v>
      </c>
      <c r="K53" s="112">
        <v>266.14999999999998</v>
      </c>
      <c r="L53" s="112">
        <v>31.33</v>
      </c>
      <c r="M53" s="112">
        <v>67.88</v>
      </c>
      <c r="N53" s="112">
        <v>362.8</v>
      </c>
      <c r="O53" s="112">
        <v>0</v>
      </c>
      <c r="P53" s="112">
        <v>0.26</v>
      </c>
      <c r="Q53" s="112">
        <v>4.6399999999999997</v>
      </c>
    </row>
    <row r="54" spans="1:17" customFormat="1">
      <c r="A54" s="80">
        <v>45478.479166666664</v>
      </c>
      <c r="B54" s="112">
        <v>9.18</v>
      </c>
      <c r="C54" s="112">
        <v>4.0599999999999996</v>
      </c>
      <c r="D54" s="112">
        <v>13.94</v>
      </c>
      <c r="E54" s="112">
        <v>9.59</v>
      </c>
      <c r="F54" s="112">
        <v>5.77</v>
      </c>
      <c r="G54" s="112">
        <v>10.52</v>
      </c>
      <c r="H54" s="112">
        <v>3.46</v>
      </c>
      <c r="I54" s="112">
        <v>2.72</v>
      </c>
      <c r="J54" s="112">
        <v>1.07</v>
      </c>
      <c r="K54" s="112">
        <v>272.81</v>
      </c>
      <c r="L54" s="112">
        <v>31.41</v>
      </c>
      <c r="M54" s="112">
        <v>67.760000000000005</v>
      </c>
      <c r="N54" s="112">
        <v>278.2</v>
      </c>
      <c r="O54" s="112">
        <v>0</v>
      </c>
      <c r="P54" s="112">
        <v>0.28000000000000003</v>
      </c>
      <c r="Q54" s="112">
        <v>4.6399999999999997</v>
      </c>
    </row>
    <row r="55" spans="1:17" customFormat="1">
      <c r="A55" s="80">
        <v>45478.489583333336</v>
      </c>
      <c r="B55" s="112">
        <v>9.19</v>
      </c>
      <c r="C55" s="112">
        <v>4.0599999999999996</v>
      </c>
      <c r="D55" s="112">
        <v>13.94</v>
      </c>
      <c r="E55" s="112">
        <v>9.85</v>
      </c>
      <c r="F55" s="112">
        <v>7</v>
      </c>
      <c r="G55" s="112">
        <v>10.9</v>
      </c>
      <c r="H55" s="112">
        <v>3.7</v>
      </c>
      <c r="I55" s="112">
        <v>2.67</v>
      </c>
      <c r="J55" s="112">
        <v>1.03</v>
      </c>
      <c r="K55" s="112">
        <v>274.10000000000002</v>
      </c>
      <c r="L55" s="112">
        <v>30.82</v>
      </c>
      <c r="M55" s="112">
        <v>68.83</v>
      </c>
      <c r="N55" s="112">
        <v>275.39999999999998</v>
      </c>
      <c r="O55" s="112">
        <v>0</v>
      </c>
      <c r="P55" s="112">
        <v>0.28000000000000003</v>
      </c>
      <c r="Q55" s="112">
        <v>4.6399999999999997</v>
      </c>
    </row>
    <row r="56" spans="1:17" customFormat="1">
      <c r="A56" s="80">
        <v>45478.5</v>
      </c>
      <c r="B56" s="112">
        <v>9.19</v>
      </c>
      <c r="C56" s="112">
        <v>4.05</v>
      </c>
      <c r="D56" s="112">
        <v>13.93</v>
      </c>
      <c r="E56" s="112">
        <v>10</v>
      </c>
      <c r="F56" s="112">
        <v>3.85</v>
      </c>
      <c r="G56" s="112">
        <v>11.2</v>
      </c>
      <c r="H56" s="112">
        <v>3.78</v>
      </c>
      <c r="I56" s="112">
        <v>2.72</v>
      </c>
      <c r="J56" s="112">
        <v>1.4</v>
      </c>
      <c r="K56" s="112">
        <v>281.91000000000003</v>
      </c>
      <c r="L56" s="112">
        <v>30.93</v>
      </c>
      <c r="M56" s="112">
        <v>68.14</v>
      </c>
      <c r="N56" s="112">
        <v>304.60000000000002</v>
      </c>
      <c r="O56" s="112">
        <v>0</v>
      </c>
      <c r="P56" s="112">
        <v>0.28999999999999998</v>
      </c>
      <c r="Q56" s="112">
        <v>4.66</v>
      </c>
    </row>
    <row r="57" spans="1:17" customFormat="1">
      <c r="A57" s="80">
        <v>45478.510416666664</v>
      </c>
      <c r="B57" s="112">
        <v>9.1999999999999993</v>
      </c>
      <c r="C57" s="112">
        <v>4.07</v>
      </c>
      <c r="D57" s="112">
        <v>13.95</v>
      </c>
      <c r="E57" s="112">
        <v>9.92</v>
      </c>
      <c r="F57" s="112">
        <v>5.33</v>
      </c>
      <c r="G57" s="112">
        <v>11.2</v>
      </c>
      <c r="H57" s="112">
        <v>3.78</v>
      </c>
      <c r="I57" s="112">
        <v>2.9</v>
      </c>
      <c r="J57" s="112">
        <v>1.05</v>
      </c>
      <c r="K57" s="112">
        <v>281.26</v>
      </c>
      <c r="L57" s="112">
        <v>30.05</v>
      </c>
      <c r="M57" s="112">
        <v>74.27</v>
      </c>
      <c r="N57" s="112">
        <v>133.19999999999999</v>
      </c>
      <c r="O57" s="112">
        <v>0.2</v>
      </c>
      <c r="P57" s="112">
        <v>0.3</v>
      </c>
      <c r="Q57" s="112">
        <v>4.66</v>
      </c>
    </row>
    <row r="58" spans="1:17" customFormat="1">
      <c r="A58" s="80">
        <v>45478.520833333336</v>
      </c>
      <c r="B58" s="112">
        <v>9.19</v>
      </c>
      <c r="C58" s="112">
        <v>4.08</v>
      </c>
      <c r="D58" s="112">
        <v>13.95</v>
      </c>
      <c r="E58" s="112">
        <v>10.17</v>
      </c>
      <c r="F58" s="112">
        <v>7.1</v>
      </c>
      <c r="G58" s="112">
        <v>11.2</v>
      </c>
      <c r="H58" s="112">
        <v>3.78</v>
      </c>
      <c r="I58" s="112">
        <v>3.06</v>
      </c>
      <c r="J58" s="112">
        <v>0.52</v>
      </c>
      <c r="K58" s="112">
        <v>276.98</v>
      </c>
      <c r="L58" s="112">
        <v>29.33</v>
      </c>
      <c r="M58" s="112">
        <v>81.150000000000006</v>
      </c>
      <c r="N58" s="112">
        <v>136.5</v>
      </c>
      <c r="O58" s="112">
        <v>0.2</v>
      </c>
      <c r="P58" s="112">
        <v>0.36</v>
      </c>
      <c r="Q58" s="112">
        <v>4.6500000000000004</v>
      </c>
    </row>
    <row r="59" spans="1:17" customFormat="1">
      <c r="A59" s="80">
        <v>45478.53125</v>
      </c>
      <c r="B59" s="112">
        <v>9.1999999999999993</v>
      </c>
      <c r="C59" s="112">
        <v>4.07</v>
      </c>
      <c r="D59" s="112">
        <v>13.95</v>
      </c>
      <c r="E59" s="112">
        <v>10.26</v>
      </c>
      <c r="F59" s="112">
        <v>6.62</v>
      </c>
      <c r="G59" s="112">
        <v>12.87</v>
      </c>
      <c r="H59" s="112">
        <v>4.01</v>
      </c>
      <c r="I59" s="112">
        <v>3.19</v>
      </c>
      <c r="J59" s="112">
        <v>0.73</v>
      </c>
      <c r="K59" s="112">
        <v>277.57</v>
      </c>
      <c r="L59" s="112">
        <v>29.66</v>
      </c>
      <c r="M59" s="112">
        <v>79.489999999999995</v>
      </c>
      <c r="N59" s="112">
        <v>246.1</v>
      </c>
      <c r="O59" s="112">
        <v>0.2</v>
      </c>
      <c r="P59" s="112">
        <v>0.36</v>
      </c>
      <c r="Q59" s="112">
        <v>4.6399999999999997</v>
      </c>
    </row>
    <row r="60" spans="1:17" customFormat="1">
      <c r="A60" s="80">
        <v>45478.541666666664</v>
      </c>
      <c r="B60" s="112">
        <v>9.1999999999999993</v>
      </c>
      <c r="C60" s="112">
        <v>4.03</v>
      </c>
      <c r="D60" s="112">
        <v>13.93</v>
      </c>
      <c r="E60" s="112">
        <v>10.46</v>
      </c>
      <c r="F60" s="112">
        <v>7.07</v>
      </c>
      <c r="G60" s="112">
        <v>14.15</v>
      </c>
      <c r="H60" s="112">
        <v>4.1500000000000004</v>
      </c>
      <c r="I60" s="112">
        <v>3.53</v>
      </c>
      <c r="J60" s="112">
        <v>1.04</v>
      </c>
      <c r="K60" s="112">
        <v>282.89999999999998</v>
      </c>
      <c r="L60" s="112">
        <v>30.51</v>
      </c>
      <c r="M60" s="112">
        <v>73.89</v>
      </c>
      <c r="N60" s="112">
        <v>315.3</v>
      </c>
      <c r="O60" s="112">
        <v>0</v>
      </c>
      <c r="P60" s="112">
        <v>0.42</v>
      </c>
      <c r="Q60" s="112">
        <v>4.6399999999999997</v>
      </c>
    </row>
    <row r="61" spans="1:17" customFormat="1">
      <c r="A61" s="80">
        <v>45478.552083333336</v>
      </c>
      <c r="B61" s="112">
        <v>9.17</v>
      </c>
      <c r="C61" s="112">
        <v>4.07</v>
      </c>
      <c r="D61" s="112">
        <v>13.93</v>
      </c>
      <c r="E61" s="112">
        <v>11.65</v>
      </c>
      <c r="F61" s="112">
        <v>8.8000000000000007</v>
      </c>
      <c r="G61" s="112">
        <v>14.15</v>
      </c>
      <c r="H61" s="112">
        <v>4.1500000000000004</v>
      </c>
      <c r="I61" s="112">
        <v>3.53</v>
      </c>
      <c r="J61" s="112">
        <v>0.93</v>
      </c>
      <c r="K61" s="112">
        <v>275.52</v>
      </c>
      <c r="L61" s="112">
        <v>30.96</v>
      </c>
      <c r="M61" s="112">
        <v>71.150000000000006</v>
      </c>
      <c r="N61" s="112">
        <v>290.10000000000002</v>
      </c>
      <c r="O61" s="112">
        <v>0</v>
      </c>
      <c r="P61" s="112">
        <v>0.42</v>
      </c>
      <c r="Q61" s="112">
        <v>4.6399999999999997</v>
      </c>
    </row>
    <row r="62" spans="1:17" customFormat="1">
      <c r="A62" s="80">
        <v>45478.5625</v>
      </c>
      <c r="B62" s="112">
        <v>9.16</v>
      </c>
      <c r="C62" s="112">
        <v>4.09</v>
      </c>
      <c r="D62" s="112">
        <v>13.93</v>
      </c>
      <c r="E62" s="112">
        <v>11.66</v>
      </c>
      <c r="F62" s="112">
        <v>10.11</v>
      </c>
      <c r="G62" s="112">
        <v>14.15</v>
      </c>
      <c r="H62" s="112">
        <v>4.1500000000000004</v>
      </c>
      <c r="I62" s="112">
        <v>3.55</v>
      </c>
      <c r="J62" s="112">
        <v>0.91</v>
      </c>
      <c r="K62" s="112">
        <v>278.77</v>
      </c>
      <c r="L62" s="112">
        <v>31.19</v>
      </c>
      <c r="M62" s="112">
        <v>71.39</v>
      </c>
      <c r="N62" s="112">
        <v>254</v>
      </c>
      <c r="O62" s="112">
        <v>0</v>
      </c>
      <c r="P62" s="112">
        <v>0.44</v>
      </c>
      <c r="Q62" s="112">
        <v>4.63</v>
      </c>
    </row>
    <row r="63" spans="1:17" customFormat="1">
      <c r="A63" s="80">
        <v>45478.572916666664</v>
      </c>
      <c r="B63" s="112">
        <v>9.15</v>
      </c>
      <c r="C63" s="112">
        <v>4.09</v>
      </c>
      <c r="D63" s="112">
        <v>13.92</v>
      </c>
      <c r="E63" s="112">
        <v>11.23</v>
      </c>
      <c r="F63" s="112">
        <v>11.09</v>
      </c>
      <c r="G63" s="112">
        <v>17.5</v>
      </c>
      <c r="H63" s="112">
        <v>3.6</v>
      </c>
      <c r="I63" s="112">
        <v>3.73</v>
      </c>
      <c r="J63" s="112">
        <v>1.05</v>
      </c>
      <c r="K63" s="112">
        <v>287.45</v>
      </c>
      <c r="L63" s="112">
        <v>31.28</v>
      </c>
      <c r="M63" s="112">
        <v>70.25</v>
      </c>
      <c r="N63" s="112">
        <v>197.8</v>
      </c>
      <c r="O63" s="112">
        <v>0</v>
      </c>
      <c r="P63" s="112">
        <v>0.45</v>
      </c>
      <c r="Q63" s="112">
        <v>4.63</v>
      </c>
    </row>
    <row r="64" spans="1:17" customFormat="1">
      <c r="A64" s="80">
        <v>45478.583333333336</v>
      </c>
      <c r="B64" s="112">
        <v>9.15</v>
      </c>
      <c r="C64" s="112">
        <v>4.04</v>
      </c>
      <c r="D64" s="112">
        <v>13.9</v>
      </c>
      <c r="E64" s="112">
        <v>9.64</v>
      </c>
      <c r="F64" s="112">
        <v>8.2200000000000006</v>
      </c>
      <c r="G64" s="112">
        <v>20.059999999999999</v>
      </c>
      <c r="H64" s="112">
        <v>3.43</v>
      </c>
      <c r="I64" s="112">
        <v>4.1399999999999997</v>
      </c>
      <c r="J64" s="112">
        <v>0.65</v>
      </c>
      <c r="K64" s="112">
        <v>254.53</v>
      </c>
      <c r="L64" s="112">
        <v>28.99</v>
      </c>
      <c r="M64" s="112">
        <v>79.680000000000007</v>
      </c>
      <c r="N64" s="112">
        <v>114.2</v>
      </c>
      <c r="O64" s="112">
        <v>0</v>
      </c>
      <c r="P64" s="112">
        <v>0.41</v>
      </c>
      <c r="Q64" s="112">
        <v>4.62</v>
      </c>
    </row>
    <row r="65" spans="1:17" customFormat="1">
      <c r="A65" s="80">
        <v>45478.59375</v>
      </c>
      <c r="B65" s="112">
        <v>9.15</v>
      </c>
      <c r="C65" s="112">
        <v>4.08</v>
      </c>
      <c r="D65" s="112">
        <v>13.92</v>
      </c>
      <c r="E65" s="112">
        <v>8.69</v>
      </c>
      <c r="F65" s="112">
        <v>10.15</v>
      </c>
      <c r="G65" s="112">
        <v>20.059999999999999</v>
      </c>
      <c r="H65" s="112">
        <v>3.43</v>
      </c>
      <c r="I65" s="112">
        <v>4.28</v>
      </c>
      <c r="J65" s="112">
        <v>0.15</v>
      </c>
      <c r="K65" s="112">
        <v>312.24</v>
      </c>
      <c r="L65" s="112">
        <v>28.46</v>
      </c>
      <c r="M65" s="112">
        <v>82.87</v>
      </c>
      <c r="N65" s="112">
        <v>71.5</v>
      </c>
      <c r="O65" s="112">
        <v>0</v>
      </c>
      <c r="P65" s="112">
        <v>0.31</v>
      </c>
      <c r="Q65" s="112">
        <v>4.6399999999999997</v>
      </c>
    </row>
    <row r="66" spans="1:17" customFormat="1">
      <c r="A66" s="80">
        <v>45478.604166666664</v>
      </c>
      <c r="B66" s="112">
        <v>9.15</v>
      </c>
      <c r="C66" s="112">
        <v>4.0599999999999996</v>
      </c>
      <c r="D66" s="112">
        <v>13.91</v>
      </c>
      <c r="E66" s="112">
        <v>7.82</v>
      </c>
      <c r="F66" s="112">
        <v>10.47</v>
      </c>
      <c r="G66" s="112">
        <v>20.059999999999999</v>
      </c>
      <c r="H66" s="112">
        <v>3.43</v>
      </c>
      <c r="I66" s="112">
        <v>3.86</v>
      </c>
      <c r="J66" s="112">
        <v>0.19</v>
      </c>
      <c r="K66" s="112">
        <v>231.44</v>
      </c>
      <c r="L66" s="112">
        <v>28.56</v>
      </c>
      <c r="M66" s="112">
        <v>83.68</v>
      </c>
      <c r="N66" s="112">
        <v>97.1</v>
      </c>
      <c r="O66" s="112">
        <v>0</v>
      </c>
      <c r="P66" s="112">
        <v>0.33</v>
      </c>
      <c r="Q66" s="112">
        <v>4.6399999999999997</v>
      </c>
    </row>
    <row r="67" spans="1:17" customFormat="1">
      <c r="A67" s="80">
        <v>45478.614583333336</v>
      </c>
      <c r="B67" s="112">
        <v>9.15</v>
      </c>
      <c r="C67" s="112">
        <v>4.08</v>
      </c>
      <c r="D67" s="112">
        <v>13.92</v>
      </c>
      <c r="E67" s="112">
        <v>7.61</v>
      </c>
      <c r="F67" s="112">
        <v>13.57</v>
      </c>
      <c r="G67" s="112">
        <v>22.14</v>
      </c>
      <c r="H67" s="112">
        <v>5.38</v>
      </c>
      <c r="I67" s="112">
        <v>3.65</v>
      </c>
      <c r="J67" s="112">
        <v>0.24</v>
      </c>
      <c r="K67" s="112">
        <v>259.02999999999997</v>
      </c>
      <c r="L67" s="112">
        <v>29.28</v>
      </c>
      <c r="M67" s="112">
        <v>81.59</v>
      </c>
      <c r="N67" s="112">
        <v>114.4</v>
      </c>
      <c r="O67" s="112">
        <v>0</v>
      </c>
      <c r="P67" s="112">
        <v>0.32</v>
      </c>
      <c r="Q67" s="112">
        <v>4.6399999999999997</v>
      </c>
    </row>
    <row r="68" spans="1:17" customFormat="1">
      <c r="A68" s="80">
        <v>45478.625</v>
      </c>
      <c r="B68" s="112">
        <v>9.14</v>
      </c>
      <c r="C68" s="112">
        <v>4.09</v>
      </c>
      <c r="D68" s="112">
        <v>13.92</v>
      </c>
      <c r="E68" s="112">
        <v>8.08</v>
      </c>
      <c r="F68" s="112">
        <v>15.85</v>
      </c>
      <c r="G68" s="112">
        <v>23.72</v>
      </c>
      <c r="H68" s="112">
        <v>6</v>
      </c>
      <c r="I68" s="112">
        <v>3.43</v>
      </c>
      <c r="J68" s="112">
        <v>0.39</v>
      </c>
      <c r="K68" s="112">
        <v>266.70999999999998</v>
      </c>
      <c r="L68" s="112">
        <v>29.92</v>
      </c>
      <c r="M68" s="112">
        <v>79.08</v>
      </c>
      <c r="N68" s="112">
        <v>131</v>
      </c>
      <c r="O68" s="112">
        <v>0</v>
      </c>
      <c r="P68" s="112">
        <v>0.31</v>
      </c>
      <c r="Q68" s="112">
        <v>4.6500000000000004</v>
      </c>
    </row>
    <row r="69" spans="1:17" customFormat="1">
      <c r="A69" s="80">
        <v>45478.635416666664</v>
      </c>
      <c r="B69" s="112">
        <v>9.14</v>
      </c>
      <c r="C69" s="112">
        <v>4.07</v>
      </c>
      <c r="D69" s="112">
        <v>13.91</v>
      </c>
      <c r="E69" s="112">
        <v>8.98</v>
      </c>
      <c r="F69" s="112">
        <v>15.69</v>
      </c>
      <c r="G69" s="112">
        <v>23.72</v>
      </c>
      <c r="H69" s="112">
        <v>6</v>
      </c>
      <c r="I69" s="112">
        <v>3.26</v>
      </c>
      <c r="J69" s="112">
        <v>0.63</v>
      </c>
      <c r="K69" s="112">
        <v>273.5</v>
      </c>
      <c r="L69" s="112">
        <v>30.44</v>
      </c>
      <c r="M69" s="112">
        <v>75.88</v>
      </c>
      <c r="N69" s="112">
        <v>166.2</v>
      </c>
      <c r="O69" s="112">
        <v>0</v>
      </c>
      <c r="P69" s="112">
        <v>0.32</v>
      </c>
      <c r="Q69" s="112">
        <v>4.63</v>
      </c>
    </row>
    <row r="70" spans="1:17" customFormat="1">
      <c r="A70" s="80">
        <v>45478.645833333336</v>
      </c>
      <c r="B70" s="112">
        <v>9.15</v>
      </c>
      <c r="C70" s="112">
        <v>4.05</v>
      </c>
      <c r="D70" s="112">
        <v>13.91</v>
      </c>
      <c r="E70" s="112">
        <v>8.7100000000000009</v>
      </c>
      <c r="F70" s="112">
        <v>13.28</v>
      </c>
      <c r="G70" s="112">
        <v>23.72</v>
      </c>
      <c r="H70" s="112">
        <v>6</v>
      </c>
      <c r="I70" s="112">
        <v>3.22</v>
      </c>
      <c r="J70" s="112">
        <v>0.71</v>
      </c>
      <c r="K70" s="112">
        <v>275.69</v>
      </c>
      <c r="L70" s="112">
        <v>30.73</v>
      </c>
      <c r="M70" s="112">
        <v>73.81</v>
      </c>
      <c r="N70" s="112">
        <v>162.4</v>
      </c>
      <c r="O70" s="112">
        <v>0</v>
      </c>
      <c r="P70" s="112">
        <v>0.32</v>
      </c>
      <c r="Q70" s="112">
        <v>4.62</v>
      </c>
    </row>
    <row r="71" spans="1:17" customFormat="1">
      <c r="A71" s="80">
        <v>45478.65625</v>
      </c>
      <c r="B71" s="112">
        <v>9.16</v>
      </c>
      <c r="C71" s="112">
        <v>4.0599999999999996</v>
      </c>
      <c r="D71" s="112">
        <v>13.91</v>
      </c>
      <c r="E71" s="112">
        <v>8.64</v>
      </c>
      <c r="F71" s="112">
        <v>17.07</v>
      </c>
      <c r="G71" s="112">
        <v>23.05</v>
      </c>
      <c r="H71" s="112">
        <v>8.66</v>
      </c>
      <c r="I71" s="112">
        <v>3.41</v>
      </c>
      <c r="J71" s="112">
        <v>0.45</v>
      </c>
      <c r="K71" s="112">
        <v>267.57</v>
      </c>
      <c r="L71" s="112">
        <v>31.05</v>
      </c>
      <c r="M71" s="112">
        <v>73.28</v>
      </c>
      <c r="N71" s="112">
        <v>175.3</v>
      </c>
      <c r="O71" s="112">
        <v>0</v>
      </c>
      <c r="P71" s="112">
        <v>0.31</v>
      </c>
      <c r="Q71" s="112">
        <v>4.6399999999999997</v>
      </c>
    </row>
    <row r="72" spans="1:17" customFormat="1">
      <c r="A72" s="80">
        <v>45478.666666666664</v>
      </c>
      <c r="B72" s="112">
        <v>9.16</v>
      </c>
      <c r="C72" s="112">
        <v>4.0599999999999996</v>
      </c>
      <c r="D72" s="112">
        <v>13.92</v>
      </c>
      <c r="E72" s="112">
        <v>8.65</v>
      </c>
      <c r="F72" s="112">
        <v>15.15</v>
      </c>
      <c r="G72" s="112">
        <v>22.53</v>
      </c>
      <c r="H72" s="112">
        <v>9.5299999999999994</v>
      </c>
      <c r="I72" s="112">
        <v>3.4</v>
      </c>
      <c r="J72" s="112">
        <v>0.68</v>
      </c>
      <c r="K72" s="112">
        <v>276.41000000000003</v>
      </c>
      <c r="L72" s="112">
        <v>31.76</v>
      </c>
      <c r="M72" s="112">
        <v>69.48</v>
      </c>
      <c r="N72" s="112">
        <v>339.7</v>
      </c>
      <c r="O72" s="112">
        <v>0</v>
      </c>
      <c r="P72" s="112">
        <v>0.33</v>
      </c>
      <c r="Q72" s="112">
        <v>4.63</v>
      </c>
    </row>
    <row r="73" spans="1:17" customFormat="1">
      <c r="A73" s="80">
        <v>45478.677083333336</v>
      </c>
      <c r="B73" s="112">
        <v>9.15</v>
      </c>
      <c r="C73" s="112">
        <v>4.08</v>
      </c>
      <c r="D73" s="112">
        <v>13.92</v>
      </c>
      <c r="E73" s="112">
        <v>8.6</v>
      </c>
      <c r="F73" s="112">
        <v>9.39</v>
      </c>
      <c r="G73" s="112">
        <v>22.53</v>
      </c>
      <c r="H73" s="112">
        <v>9.5299999999999994</v>
      </c>
      <c r="I73" s="112">
        <v>3.24</v>
      </c>
      <c r="J73" s="112">
        <v>1</v>
      </c>
      <c r="K73" s="112">
        <v>281.14999999999998</v>
      </c>
      <c r="L73" s="112">
        <v>32.11</v>
      </c>
      <c r="M73" s="112">
        <v>65.02</v>
      </c>
      <c r="N73" s="112">
        <v>208.4</v>
      </c>
      <c r="O73" s="112">
        <v>0</v>
      </c>
      <c r="P73" s="112">
        <v>0.33</v>
      </c>
      <c r="Q73" s="112">
        <v>4.63</v>
      </c>
    </row>
    <row r="74" spans="1:17" customFormat="1">
      <c r="A74" s="80">
        <v>45478.6875</v>
      </c>
      <c r="B74" s="112">
        <v>9.16</v>
      </c>
      <c r="C74" s="112">
        <v>4.08</v>
      </c>
      <c r="D74" s="112">
        <v>13.93</v>
      </c>
      <c r="E74" s="112">
        <v>8.75</v>
      </c>
      <c r="F74" s="112">
        <v>11.46</v>
      </c>
      <c r="G74" s="112">
        <v>22.53</v>
      </c>
      <c r="H74" s="112">
        <v>9.5299999999999994</v>
      </c>
      <c r="I74" s="112">
        <v>3.3</v>
      </c>
      <c r="J74" s="112">
        <v>1.01</v>
      </c>
      <c r="K74" s="112">
        <v>266.83999999999997</v>
      </c>
      <c r="L74" s="112">
        <v>31.5</v>
      </c>
      <c r="M74" s="112">
        <v>67.069999999999993</v>
      </c>
      <c r="N74" s="112">
        <v>155.5</v>
      </c>
      <c r="O74" s="112">
        <v>0</v>
      </c>
      <c r="P74" s="112">
        <v>0.33</v>
      </c>
      <c r="Q74" s="112">
        <v>4.6399999999999997</v>
      </c>
    </row>
    <row r="75" spans="1:17" customFormat="1">
      <c r="A75" s="80">
        <v>45478.697916666664</v>
      </c>
      <c r="B75" s="112">
        <v>9.16</v>
      </c>
      <c r="C75" s="112">
        <v>4.08</v>
      </c>
      <c r="D75" s="112">
        <v>13.93</v>
      </c>
      <c r="E75" s="112">
        <v>8.34</v>
      </c>
      <c r="F75" s="112">
        <v>15.32</v>
      </c>
      <c r="G75" s="112">
        <v>20.68</v>
      </c>
      <c r="H75" s="112">
        <v>11.25</v>
      </c>
      <c r="I75" s="112">
        <v>3.55</v>
      </c>
      <c r="J75" s="112">
        <v>0.6</v>
      </c>
      <c r="K75" s="112">
        <v>265.19</v>
      </c>
      <c r="L75" s="112">
        <v>31.52</v>
      </c>
      <c r="M75" s="112">
        <v>67.72</v>
      </c>
      <c r="N75" s="112">
        <v>130.9</v>
      </c>
      <c r="O75" s="112">
        <v>0</v>
      </c>
      <c r="P75" s="112">
        <v>0.32</v>
      </c>
      <c r="Q75" s="112">
        <v>4.6399999999999997</v>
      </c>
    </row>
    <row r="76" spans="1:17" customFormat="1">
      <c r="A76" s="80">
        <v>45478.708333333336</v>
      </c>
      <c r="B76" s="112">
        <v>9.15</v>
      </c>
      <c r="C76" s="112">
        <v>4.08</v>
      </c>
      <c r="D76" s="112">
        <v>13.92</v>
      </c>
      <c r="E76" s="112">
        <v>9.06</v>
      </c>
      <c r="F76" s="112">
        <v>16.23</v>
      </c>
      <c r="G76" s="112">
        <v>19.260000000000002</v>
      </c>
      <c r="H76" s="112">
        <v>11.8</v>
      </c>
      <c r="I76" s="112">
        <v>3.41</v>
      </c>
      <c r="J76" s="112">
        <v>0.57999999999999996</v>
      </c>
      <c r="K76" s="112">
        <v>271.42</v>
      </c>
      <c r="L76" s="112">
        <v>31.43</v>
      </c>
      <c r="M76" s="112">
        <v>67.260000000000005</v>
      </c>
      <c r="N76" s="112">
        <v>100.9</v>
      </c>
      <c r="O76" s="112">
        <v>0</v>
      </c>
      <c r="P76" s="112">
        <v>0.32</v>
      </c>
      <c r="Q76" s="112">
        <v>4.6399999999999997</v>
      </c>
    </row>
    <row r="77" spans="1:17" customFormat="1">
      <c r="A77" s="80">
        <v>45478.71875</v>
      </c>
      <c r="B77" s="112">
        <v>9.16</v>
      </c>
      <c r="C77" s="112">
        <v>4.08</v>
      </c>
      <c r="D77" s="112">
        <v>13.92</v>
      </c>
      <c r="E77" s="112">
        <v>9.41</v>
      </c>
      <c r="F77" s="112">
        <v>16.88</v>
      </c>
      <c r="G77" s="112">
        <v>19.260000000000002</v>
      </c>
      <c r="H77" s="112">
        <v>11.8</v>
      </c>
      <c r="I77" s="112">
        <v>3.21</v>
      </c>
      <c r="J77" s="112">
        <v>0.52</v>
      </c>
      <c r="K77" s="112">
        <v>269.07</v>
      </c>
      <c r="L77" s="112">
        <v>31.45</v>
      </c>
      <c r="M77" s="112">
        <v>67.430000000000007</v>
      </c>
      <c r="N77" s="112">
        <v>93.2</v>
      </c>
      <c r="O77" s="112">
        <v>0</v>
      </c>
      <c r="P77" s="112">
        <v>0.34</v>
      </c>
      <c r="Q77" s="112">
        <v>4.63</v>
      </c>
    </row>
    <row r="78" spans="1:17" customFormat="1">
      <c r="A78" s="80">
        <v>45478.729166666664</v>
      </c>
      <c r="B78" s="112">
        <v>9.15</v>
      </c>
      <c r="C78" s="112">
        <v>4.07</v>
      </c>
      <c r="D78" s="112">
        <v>13.92</v>
      </c>
      <c r="E78" s="112">
        <v>8.61</v>
      </c>
      <c r="F78" s="112">
        <v>10.65</v>
      </c>
      <c r="G78" s="112">
        <v>19.260000000000002</v>
      </c>
      <c r="H78" s="112">
        <v>11.8</v>
      </c>
      <c r="I78" s="112">
        <v>3.25</v>
      </c>
      <c r="J78" s="112">
        <v>0.26</v>
      </c>
      <c r="K78" s="112">
        <v>212.06</v>
      </c>
      <c r="L78" s="112">
        <v>31.33</v>
      </c>
      <c r="M78" s="112">
        <v>69.77</v>
      </c>
      <c r="N78" s="112">
        <v>59.1</v>
      </c>
      <c r="O78" s="112">
        <v>0</v>
      </c>
      <c r="P78" s="112">
        <v>0.31</v>
      </c>
      <c r="Q78" s="112">
        <v>4.6399999999999997</v>
      </c>
    </row>
    <row r="79" spans="1:17" customFormat="1">
      <c r="A79" s="80">
        <v>45478.739583333336</v>
      </c>
      <c r="B79" s="112">
        <v>9.16</v>
      </c>
      <c r="C79" s="112">
        <v>4.0599999999999996</v>
      </c>
      <c r="D79" s="112">
        <v>13.92</v>
      </c>
      <c r="E79" s="112">
        <v>8.77</v>
      </c>
      <c r="F79" s="112">
        <v>13.66</v>
      </c>
      <c r="G79" s="112">
        <v>21.88</v>
      </c>
      <c r="H79" s="112">
        <v>11.9</v>
      </c>
      <c r="I79" s="112">
        <v>3.39</v>
      </c>
      <c r="J79" s="112">
        <v>0.13</v>
      </c>
      <c r="K79" s="112">
        <v>174.47</v>
      </c>
      <c r="L79" s="112">
        <v>31.18</v>
      </c>
      <c r="M79" s="112">
        <v>70.42</v>
      </c>
      <c r="N79" s="112">
        <v>40.9</v>
      </c>
      <c r="O79" s="112">
        <v>0</v>
      </c>
      <c r="P79" s="112">
        <v>0.26</v>
      </c>
      <c r="Q79" s="112">
        <v>4.6500000000000004</v>
      </c>
    </row>
    <row r="80" spans="1:17" customFormat="1">
      <c r="A80" s="80">
        <v>45478.75</v>
      </c>
      <c r="B80" s="112">
        <v>9.18</v>
      </c>
      <c r="C80" s="112">
        <v>4.04</v>
      </c>
      <c r="D80" s="112">
        <v>13.93</v>
      </c>
      <c r="E80" s="112">
        <v>8.94</v>
      </c>
      <c r="F80" s="112">
        <v>14</v>
      </c>
      <c r="G80" s="112">
        <v>23.88</v>
      </c>
      <c r="H80" s="112">
        <v>11.93</v>
      </c>
      <c r="I80" s="112">
        <v>3.43</v>
      </c>
      <c r="J80" s="112">
        <v>0.19</v>
      </c>
      <c r="K80" s="112">
        <v>153.26</v>
      </c>
      <c r="L80" s="112">
        <v>31.03</v>
      </c>
      <c r="M80" s="112">
        <v>72.34</v>
      </c>
      <c r="N80" s="112">
        <v>30.9</v>
      </c>
      <c r="O80" s="112">
        <v>0</v>
      </c>
      <c r="P80" s="112">
        <v>0.26</v>
      </c>
      <c r="Q80" s="112">
        <v>4.6399999999999997</v>
      </c>
    </row>
    <row r="81" spans="1:17" customFormat="1">
      <c r="A81" s="80">
        <v>45478.760416666664</v>
      </c>
      <c r="B81" s="112">
        <v>9.18</v>
      </c>
      <c r="C81" s="112">
        <v>4.05</v>
      </c>
      <c r="D81" s="112">
        <v>13.93</v>
      </c>
      <c r="E81" s="112">
        <v>7.01</v>
      </c>
      <c r="F81" s="112">
        <v>14.16</v>
      </c>
      <c r="G81" s="112">
        <v>23.88</v>
      </c>
      <c r="H81" s="112">
        <v>11.93</v>
      </c>
      <c r="I81" s="112">
        <v>3.28</v>
      </c>
      <c r="J81" s="112">
        <v>0.17</v>
      </c>
      <c r="K81" s="112">
        <v>156.77000000000001</v>
      </c>
      <c r="L81" s="112">
        <v>30.67</v>
      </c>
      <c r="M81" s="112">
        <v>76.09</v>
      </c>
      <c r="N81" s="112">
        <v>20.100000000000001</v>
      </c>
      <c r="O81" s="112">
        <v>0</v>
      </c>
      <c r="P81" s="112">
        <v>0.26</v>
      </c>
      <c r="Q81" s="112">
        <v>4.66</v>
      </c>
    </row>
    <row r="82" spans="1:17" customFormat="1">
      <c r="A82" s="80">
        <v>45478.770833333336</v>
      </c>
      <c r="B82" s="112">
        <v>9.16</v>
      </c>
      <c r="C82" s="112">
        <v>4.0599999999999996</v>
      </c>
      <c r="D82" s="112">
        <v>13.92</v>
      </c>
      <c r="E82" s="112">
        <v>8.69</v>
      </c>
      <c r="F82" s="112">
        <v>11.15</v>
      </c>
      <c r="G82" s="112">
        <v>23.88</v>
      </c>
      <c r="H82" s="112">
        <v>11.93</v>
      </c>
      <c r="I82" s="112">
        <v>3.22</v>
      </c>
      <c r="J82" s="112">
        <v>0.16</v>
      </c>
      <c r="K82" s="112">
        <v>159.63</v>
      </c>
      <c r="L82" s="112">
        <v>30.19</v>
      </c>
      <c r="M82" s="112">
        <v>78.97</v>
      </c>
      <c r="N82" s="112">
        <v>9</v>
      </c>
      <c r="O82" s="112">
        <v>0</v>
      </c>
      <c r="P82" s="112">
        <v>0.25</v>
      </c>
      <c r="Q82" s="112">
        <v>4.66</v>
      </c>
    </row>
    <row r="83" spans="1:17" customFormat="1">
      <c r="A83" s="80">
        <v>45478.78125</v>
      </c>
      <c r="B83" s="112">
        <v>9.17</v>
      </c>
      <c r="C83" s="112">
        <v>4.04</v>
      </c>
      <c r="D83" s="112">
        <v>13.91</v>
      </c>
      <c r="E83" s="112">
        <v>8.93</v>
      </c>
      <c r="F83" s="112">
        <v>13.17</v>
      </c>
      <c r="G83" s="112">
        <v>22.66</v>
      </c>
      <c r="H83" s="112">
        <v>11.56</v>
      </c>
      <c r="I83" s="112">
        <v>3.18</v>
      </c>
      <c r="J83" s="112">
        <v>0.23</v>
      </c>
      <c r="K83" s="112">
        <v>162.69999999999999</v>
      </c>
      <c r="L83" s="112">
        <v>29.68</v>
      </c>
      <c r="M83" s="112">
        <v>81.05</v>
      </c>
      <c r="N83" s="112">
        <v>3.2</v>
      </c>
      <c r="O83" s="112">
        <v>0</v>
      </c>
      <c r="P83" s="112">
        <v>0.27</v>
      </c>
      <c r="Q83" s="112">
        <v>4.63</v>
      </c>
    </row>
    <row r="84" spans="1:17" customFormat="1">
      <c r="A84" s="80">
        <v>45478.791666666664</v>
      </c>
      <c r="B84" s="112">
        <v>9.16</v>
      </c>
      <c r="C84" s="112">
        <v>4.05</v>
      </c>
      <c r="D84" s="112">
        <v>13.91</v>
      </c>
      <c r="E84" s="112">
        <v>8.8699999999999992</v>
      </c>
      <c r="F84" s="112">
        <v>12.05</v>
      </c>
      <c r="G84" s="112">
        <v>21.73</v>
      </c>
      <c r="H84" s="112">
        <v>11.33</v>
      </c>
      <c r="I84" s="112">
        <v>3.17</v>
      </c>
      <c r="J84" s="112">
        <v>0.22</v>
      </c>
      <c r="K84" s="112">
        <v>162.66</v>
      </c>
      <c r="L84" s="112">
        <v>29.53</v>
      </c>
      <c r="M84" s="112">
        <v>81.97</v>
      </c>
      <c r="N84" s="112">
        <v>2.4</v>
      </c>
      <c r="O84" s="112">
        <v>0</v>
      </c>
      <c r="P84" s="112">
        <v>0.27</v>
      </c>
      <c r="Q84" s="112">
        <v>4.63</v>
      </c>
    </row>
    <row r="85" spans="1:17" customFormat="1">
      <c r="A85" s="80">
        <v>45478.802083333336</v>
      </c>
      <c r="B85" s="112">
        <v>9.16</v>
      </c>
      <c r="C85" s="112">
        <v>4.04</v>
      </c>
      <c r="D85" s="112">
        <v>13.91</v>
      </c>
      <c r="E85" s="112">
        <v>9.34</v>
      </c>
      <c r="F85" s="112">
        <v>9.06</v>
      </c>
      <c r="G85" s="112">
        <v>21.73</v>
      </c>
      <c r="H85" s="112">
        <v>11.33</v>
      </c>
      <c r="I85" s="112">
        <v>3.16</v>
      </c>
      <c r="J85" s="112">
        <v>0.17</v>
      </c>
      <c r="K85" s="112">
        <v>164.08</v>
      </c>
      <c r="L85" s="112">
        <v>28.95</v>
      </c>
      <c r="M85" s="112">
        <v>86.45</v>
      </c>
      <c r="N85" s="112">
        <v>2.2000000000000002</v>
      </c>
      <c r="O85" s="112">
        <v>0</v>
      </c>
      <c r="P85" s="112">
        <v>0.3</v>
      </c>
      <c r="Q85" s="112">
        <v>4.6399999999999997</v>
      </c>
    </row>
    <row r="86" spans="1:17" customFormat="1">
      <c r="A86" s="80">
        <v>45478.8125</v>
      </c>
      <c r="B86" s="112">
        <v>9.16</v>
      </c>
      <c r="C86" s="112">
        <v>4.05</v>
      </c>
      <c r="D86" s="112">
        <v>13.91</v>
      </c>
      <c r="E86" s="112">
        <v>9.5299999999999994</v>
      </c>
      <c r="F86" s="112">
        <v>7.98</v>
      </c>
      <c r="G86" s="112">
        <v>21.73</v>
      </c>
      <c r="H86" s="112">
        <v>11.33</v>
      </c>
      <c r="I86" s="112">
        <v>3.33</v>
      </c>
      <c r="J86" s="112">
        <v>0.2</v>
      </c>
      <c r="K86" s="112">
        <v>229.8</v>
      </c>
      <c r="L86" s="112">
        <v>28.82</v>
      </c>
      <c r="M86" s="112">
        <v>85.87</v>
      </c>
      <c r="N86" s="112">
        <v>2.1</v>
      </c>
      <c r="O86" s="112">
        <v>0</v>
      </c>
      <c r="P86" s="112">
        <v>0.3</v>
      </c>
      <c r="Q86" s="112">
        <v>4.66</v>
      </c>
    </row>
    <row r="87" spans="1:17" customFormat="1">
      <c r="A87" s="80">
        <v>45478.822916666664</v>
      </c>
      <c r="B87" s="112">
        <v>9.14</v>
      </c>
      <c r="C87" s="112">
        <v>4.08</v>
      </c>
      <c r="D87" s="112">
        <v>13.91</v>
      </c>
      <c r="E87" s="112">
        <v>9.09</v>
      </c>
      <c r="F87" s="112">
        <v>8.17</v>
      </c>
      <c r="G87" s="112">
        <v>22.74</v>
      </c>
      <c r="H87" s="112">
        <v>9.18</v>
      </c>
      <c r="I87" s="112">
        <v>3.56</v>
      </c>
      <c r="J87" s="112">
        <v>0.46</v>
      </c>
      <c r="K87" s="112">
        <v>250.61</v>
      </c>
      <c r="L87" s="112">
        <v>28.94</v>
      </c>
      <c r="M87" s="112">
        <v>81.75</v>
      </c>
      <c r="N87" s="112">
        <v>1.8</v>
      </c>
      <c r="O87" s="112">
        <v>0</v>
      </c>
      <c r="P87" s="112">
        <v>0.3</v>
      </c>
      <c r="Q87" s="112">
        <v>4.66</v>
      </c>
    </row>
    <row r="88" spans="1:17" customFormat="1">
      <c r="A88" s="80">
        <v>45478.833333333336</v>
      </c>
      <c r="B88" s="112">
        <v>9.14</v>
      </c>
      <c r="C88" s="112">
        <v>4.0599999999999996</v>
      </c>
      <c r="D88" s="112">
        <v>13.9</v>
      </c>
      <c r="E88" s="112">
        <v>9.82</v>
      </c>
      <c r="F88" s="112">
        <v>5.56</v>
      </c>
      <c r="G88" s="112">
        <v>23.51</v>
      </c>
      <c r="H88" s="112">
        <v>8.4700000000000006</v>
      </c>
      <c r="I88" s="112">
        <v>3.66</v>
      </c>
      <c r="J88" s="112">
        <v>1.08</v>
      </c>
      <c r="K88" s="112">
        <v>264.72000000000003</v>
      </c>
      <c r="L88" s="112">
        <v>29.14</v>
      </c>
      <c r="M88" s="112">
        <v>77.25</v>
      </c>
      <c r="N88" s="112">
        <v>2</v>
      </c>
      <c r="O88" s="112">
        <v>0</v>
      </c>
      <c r="P88" s="112">
        <v>0.3</v>
      </c>
      <c r="Q88" s="112">
        <v>4.66</v>
      </c>
    </row>
    <row r="89" spans="1:17" customFormat="1">
      <c r="A89" s="80">
        <v>45478.84375</v>
      </c>
      <c r="B89" s="112">
        <v>9.15</v>
      </c>
      <c r="C89" s="112">
        <v>4.0199999999999996</v>
      </c>
      <c r="D89" s="112">
        <v>13.89</v>
      </c>
      <c r="E89" s="112">
        <v>9.99</v>
      </c>
      <c r="F89" s="112">
        <v>5.0999999999999996</v>
      </c>
      <c r="G89" s="112">
        <v>23.51</v>
      </c>
      <c r="H89" s="112">
        <v>8.4700000000000006</v>
      </c>
      <c r="I89" s="112">
        <v>3.61</v>
      </c>
      <c r="J89" s="112">
        <v>0.78</v>
      </c>
      <c r="K89" s="112">
        <v>257.95</v>
      </c>
      <c r="L89" s="112">
        <v>28.54</v>
      </c>
      <c r="M89" s="112">
        <v>75.16</v>
      </c>
      <c r="N89" s="112">
        <v>2.9</v>
      </c>
      <c r="O89" s="112">
        <v>0</v>
      </c>
      <c r="P89" s="112">
        <v>0.28999999999999998</v>
      </c>
      <c r="Q89" s="112">
        <v>4.6399999999999997</v>
      </c>
    </row>
    <row r="90" spans="1:17" customFormat="1">
      <c r="A90" s="80">
        <v>45478.854166666664</v>
      </c>
      <c r="B90" s="112">
        <v>9.15</v>
      </c>
      <c r="C90" s="112">
        <v>4.05</v>
      </c>
      <c r="D90" s="112">
        <v>13.9</v>
      </c>
      <c r="E90" s="112">
        <v>10.26</v>
      </c>
      <c r="F90" s="112">
        <v>6.17</v>
      </c>
      <c r="G90" s="112">
        <v>23.51</v>
      </c>
      <c r="H90" s="112">
        <v>8.4700000000000006</v>
      </c>
      <c r="I90" s="112">
        <v>3.62</v>
      </c>
      <c r="J90" s="112">
        <v>0.39</v>
      </c>
      <c r="K90" s="112">
        <v>247.19</v>
      </c>
      <c r="L90" s="112">
        <v>28.11</v>
      </c>
      <c r="M90" s="112">
        <v>74.540000000000006</v>
      </c>
      <c r="N90" s="112">
        <v>2.6</v>
      </c>
      <c r="O90" s="112">
        <v>0</v>
      </c>
      <c r="P90" s="112">
        <v>0.28999999999999998</v>
      </c>
      <c r="Q90" s="112">
        <v>4.66</v>
      </c>
    </row>
    <row r="91" spans="1:17" customFormat="1">
      <c r="A91" s="80">
        <v>45478.864583333336</v>
      </c>
      <c r="B91" s="112">
        <v>9.14</v>
      </c>
      <c r="C91" s="112">
        <v>4.07</v>
      </c>
      <c r="D91" s="112">
        <v>13.91</v>
      </c>
      <c r="E91" s="112">
        <v>10.18</v>
      </c>
      <c r="F91" s="112">
        <v>5.12</v>
      </c>
      <c r="G91" s="112">
        <v>21.14</v>
      </c>
      <c r="H91" s="112">
        <v>6.96</v>
      </c>
      <c r="I91" s="112">
        <v>3.57</v>
      </c>
      <c r="J91" s="112">
        <v>0.35</v>
      </c>
      <c r="K91" s="112">
        <v>251.72</v>
      </c>
      <c r="L91" s="112">
        <v>27.55</v>
      </c>
      <c r="M91" s="112">
        <v>78.06</v>
      </c>
      <c r="N91" s="112">
        <v>2.7</v>
      </c>
      <c r="O91" s="112">
        <v>0</v>
      </c>
      <c r="P91" s="112">
        <v>0.28999999999999998</v>
      </c>
      <c r="Q91" s="112">
        <v>4.6500000000000004</v>
      </c>
    </row>
    <row r="92" spans="1:17" customFormat="1">
      <c r="A92" s="80">
        <v>45478.875</v>
      </c>
      <c r="B92" s="112">
        <v>9.15</v>
      </c>
      <c r="C92" s="112">
        <v>4.07</v>
      </c>
      <c r="D92" s="112">
        <v>13.91</v>
      </c>
      <c r="E92" s="112">
        <v>10.119999999999999</v>
      </c>
      <c r="F92" s="112">
        <v>5.61</v>
      </c>
      <c r="G92" s="112">
        <v>19.329999999999998</v>
      </c>
      <c r="H92" s="112">
        <v>6.48</v>
      </c>
      <c r="I92" s="112">
        <v>3.5</v>
      </c>
      <c r="J92" s="112">
        <v>0.16</v>
      </c>
      <c r="K92" s="112">
        <v>225.48</v>
      </c>
      <c r="L92" s="112">
        <v>27.23</v>
      </c>
      <c r="M92" s="112">
        <v>80.83</v>
      </c>
      <c r="N92" s="112">
        <v>2.5</v>
      </c>
      <c r="O92" s="112">
        <v>0</v>
      </c>
      <c r="P92" s="112">
        <v>0.28999999999999998</v>
      </c>
      <c r="Q92" s="112">
        <v>4.6500000000000004</v>
      </c>
    </row>
    <row r="93" spans="1:17" customFormat="1">
      <c r="A93" s="80">
        <v>45478.885416666664</v>
      </c>
      <c r="B93" s="112">
        <v>9.15</v>
      </c>
      <c r="C93" s="112">
        <v>4.0599999999999996</v>
      </c>
      <c r="D93" s="112">
        <v>13.91</v>
      </c>
      <c r="E93" s="112">
        <v>9.9499999999999993</v>
      </c>
      <c r="F93" s="112">
        <v>5.61</v>
      </c>
      <c r="G93" s="112">
        <v>19.329999999999998</v>
      </c>
      <c r="H93" s="112">
        <v>6.48</v>
      </c>
      <c r="I93" s="112">
        <v>3.45</v>
      </c>
      <c r="J93" s="112">
        <v>0.17</v>
      </c>
      <c r="K93" s="112">
        <v>228.52</v>
      </c>
      <c r="L93" s="112">
        <v>27.01</v>
      </c>
      <c r="M93" s="112">
        <v>83</v>
      </c>
      <c r="N93" s="112">
        <v>2.2000000000000002</v>
      </c>
      <c r="O93" s="112">
        <v>0</v>
      </c>
      <c r="P93" s="112">
        <v>0.28999999999999998</v>
      </c>
      <c r="Q93" s="112">
        <v>4.6500000000000004</v>
      </c>
    </row>
    <row r="94" spans="1:17" customFormat="1">
      <c r="A94" s="80">
        <v>45478.895833333336</v>
      </c>
      <c r="B94" s="112">
        <v>9.16</v>
      </c>
      <c r="C94" s="112">
        <v>4.0599999999999996</v>
      </c>
      <c r="D94" s="112">
        <v>13.92</v>
      </c>
      <c r="E94" s="112">
        <v>10.23</v>
      </c>
      <c r="F94" s="112">
        <v>5</v>
      </c>
      <c r="G94" s="112">
        <v>19.329999999999998</v>
      </c>
      <c r="H94" s="112">
        <v>6.48</v>
      </c>
      <c r="I94" s="112">
        <v>3.46</v>
      </c>
      <c r="J94" s="112">
        <v>0.16</v>
      </c>
      <c r="K94" s="112">
        <v>217.22</v>
      </c>
      <c r="L94" s="112">
        <v>27</v>
      </c>
      <c r="M94" s="112">
        <v>80.099999999999994</v>
      </c>
      <c r="N94" s="112">
        <v>2.1</v>
      </c>
      <c r="O94" s="112">
        <v>0</v>
      </c>
      <c r="P94" s="112">
        <v>0.28000000000000003</v>
      </c>
      <c r="Q94" s="112">
        <v>4.6500000000000004</v>
      </c>
    </row>
    <row r="95" spans="1:17" customFormat="1">
      <c r="A95" s="80">
        <v>45478.90625</v>
      </c>
      <c r="B95" s="112">
        <v>9.16</v>
      </c>
      <c r="C95" s="112">
        <v>4.07</v>
      </c>
      <c r="D95" s="112">
        <v>13.92</v>
      </c>
      <c r="E95" s="112">
        <v>10.29</v>
      </c>
      <c r="F95" s="112">
        <v>6.55</v>
      </c>
      <c r="G95" s="112">
        <v>18.75</v>
      </c>
      <c r="H95" s="112">
        <v>5.17</v>
      </c>
      <c r="I95" s="112">
        <v>3.5</v>
      </c>
      <c r="J95" s="112">
        <v>0.15</v>
      </c>
      <c r="K95" s="112">
        <v>224.98</v>
      </c>
      <c r="L95" s="112">
        <v>26.93</v>
      </c>
      <c r="M95" s="112">
        <v>80.290000000000006</v>
      </c>
      <c r="N95" s="112">
        <v>2.1</v>
      </c>
      <c r="O95" s="112">
        <v>0</v>
      </c>
      <c r="P95" s="112">
        <v>0.28000000000000003</v>
      </c>
      <c r="Q95" s="112">
        <v>4.62</v>
      </c>
    </row>
    <row r="96" spans="1:17" customFormat="1">
      <c r="A96" s="80">
        <v>45478.916666666664</v>
      </c>
      <c r="B96" s="112">
        <v>9.14</v>
      </c>
      <c r="C96" s="112">
        <v>4.08</v>
      </c>
      <c r="D96" s="112">
        <v>13.91</v>
      </c>
      <c r="E96" s="112">
        <v>10.08</v>
      </c>
      <c r="F96" s="112">
        <v>4.5999999999999996</v>
      </c>
      <c r="G96" s="112">
        <v>18.309999999999999</v>
      </c>
      <c r="H96" s="112">
        <v>4.75</v>
      </c>
      <c r="I96" s="112">
        <v>3.47</v>
      </c>
      <c r="J96" s="112">
        <v>0.14000000000000001</v>
      </c>
      <c r="K96" s="112">
        <v>213.66</v>
      </c>
      <c r="L96" s="112">
        <v>26.93</v>
      </c>
      <c r="M96" s="112">
        <v>80.069999999999993</v>
      </c>
      <c r="N96" s="112">
        <v>2.1</v>
      </c>
      <c r="O96" s="112">
        <v>0</v>
      </c>
      <c r="P96" s="112">
        <v>0.27</v>
      </c>
      <c r="Q96" s="112">
        <v>4.63</v>
      </c>
    </row>
    <row r="97" spans="1:22" customFormat="1">
      <c r="A97" s="80">
        <v>45478.927083333336</v>
      </c>
      <c r="B97" s="112">
        <v>9.1300000000000008</v>
      </c>
      <c r="C97" s="112">
        <v>4.09</v>
      </c>
      <c r="D97" s="112">
        <v>13.91</v>
      </c>
      <c r="E97" s="112">
        <v>10.79</v>
      </c>
      <c r="F97" s="112">
        <v>4.0999999999999996</v>
      </c>
      <c r="G97" s="112">
        <v>18.309999999999999</v>
      </c>
      <c r="H97" s="112">
        <v>4.75</v>
      </c>
      <c r="I97" s="112">
        <v>3.42</v>
      </c>
      <c r="J97" s="112">
        <v>0.14000000000000001</v>
      </c>
      <c r="K97" s="112">
        <v>202.26</v>
      </c>
      <c r="L97" s="112">
        <v>26.82</v>
      </c>
      <c r="M97" s="112">
        <v>81.099999999999994</v>
      </c>
      <c r="N97" s="112">
        <v>2.1</v>
      </c>
      <c r="O97" s="112">
        <v>0</v>
      </c>
      <c r="P97" s="112">
        <v>0.28999999999999998</v>
      </c>
      <c r="Q97" s="112">
        <v>4.6500000000000004</v>
      </c>
    </row>
    <row r="98" spans="1:22" customFormat="1">
      <c r="A98" s="80">
        <v>45478.9375</v>
      </c>
      <c r="B98" s="112">
        <v>9.1300000000000008</v>
      </c>
      <c r="C98" s="112">
        <v>4.09</v>
      </c>
      <c r="D98" s="112">
        <v>13.9</v>
      </c>
      <c r="E98" s="112">
        <v>10.55</v>
      </c>
      <c r="F98" s="112">
        <v>3.88</v>
      </c>
      <c r="G98" s="112">
        <v>18.309999999999999</v>
      </c>
      <c r="H98" s="112">
        <v>4.75</v>
      </c>
      <c r="I98" s="112">
        <v>3.36</v>
      </c>
      <c r="J98" s="112">
        <v>0.1</v>
      </c>
      <c r="K98" s="112">
        <v>185.12</v>
      </c>
      <c r="L98" s="112">
        <v>26.7</v>
      </c>
      <c r="M98" s="112">
        <v>81.86</v>
      </c>
      <c r="N98" s="112">
        <v>2.1</v>
      </c>
      <c r="O98" s="112">
        <v>0</v>
      </c>
      <c r="P98" s="112">
        <v>0.33</v>
      </c>
      <c r="Q98" s="112">
        <v>4.6399999999999997</v>
      </c>
    </row>
    <row r="99" spans="1:22" customFormat="1">
      <c r="A99" s="80">
        <v>45478.947916666664</v>
      </c>
      <c r="B99" s="112">
        <v>9.14</v>
      </c>
      <c r="C99" s="112">
        <v>4.07</v>
      </c>
      <c r="D99" s="112">
        <v>13.9</v>
      </c>
      <c r="E99" s="112">
        <v>10.24</v>
      </c>
      <c r="F99" s="112">
        <v>6.7</v>
      </c>
      <c r="G99" s="112">
        <v>15.63</v>
      </c>
      <c r="H99" s="112">
        <v>5.09</v>
      </c>
      <c r="I99" s="112">
        <v>3.4</v>
      </c>
      <c r="J99" s="112">
        <v>0.13</v>
      </c>
      <c r="K99" s="112">
        <v>202.19</v>
      </c>
      <c r="L99" s="112">
        <v>26.53</v>
      </c>
      <c r="M99" s="112">
        <v>86.9</v>
      </c>
      <c r="N99" s="112">
        <v>2</v>
      </c>
      <c r="O99" s="112">
        <v>0</v>
      </c>
      <c r="P99" s="112">
        <v>0.33</v>
      </c>
      <c r="Q99" s="112">
        <v>4.6399999999999997</v>
      </c>
    </row>
    <row r="100" spans="1:22" customFormat="1">
      <c r="A100" s="80">
        <v>45478.958333333336</v>
      </c>
      <c r="B100" s="112">
        <v>9.15</v>
      </c>
      <c r="C100" s="112">
        <v>4.08</v>
      </c>
      <c r="D100" s="112">
        <v>13.92</v>
      </c>
      <c r="E100" s="112">
        <v>9.76</v>
      </c>
      <c r="F100" s="112">
        <v>5.66</v>
      </c>
      <c r="G100" s="112">
        <v>13.58</v>
      </c>
      <c r="H100" s="112">
        <v>5.2</v>
      </c>
      <c r="I100" s="112">
        <v>3.38</v>
      </c>
      <c r="J100" s="112">
        <v>0.17</v>
      </c>
      <c r="K100" s="112">
        <v>222.66</v>
      </c>
      <c r="L100" s="112">
        <v>26.55</v>
      </c>
      <c r="M100" s="112">
        <v>88.62</v>
      </c>
      <c r="N100" s="112">
        <v>2</v>
      </c>
      <c r="O100" s="112">
        <v>0</v>
      </c>
      <c r="P100" s="112">
        <v>0.33</v>
      </c>
      <c r="Q100" s="112">
        <v>4.62</v>
      </c>
    </row>
    <row r="101" spans="1:22" customFormat="1">
      <c r="A101" s="80">
        <v>45478.96875</v>
      </c>
      <c r="B101" s="112">
        <v>9.17</v>
      </c>
      <c r="C101" s="112">
        <v>4.08</v>
      </c>
      <c r="D101" s="112">
        <v>13.93</v>
      </c>
      <c r="E101" s="112">
        <v>9.6</v>
      </c>
      <c r="F101" s="112">
        <v>5.59</v>
      </c>
      <c r="G101" s="112">
        <v>13.58</v>
      </c>
      <c r="H101" s="112">
        <v>5.2</v>
      </c>
      <c r="I101" s="112">
        <v>3.3</v>
      </c>
      <c r="J101" s="112">
        <v>0.22</v>
      </c>
      <c r="K101" s="112">
        <v>239.75</v>
      </c>
      <c r="L101" s="112">
        <v>26.6</v>
      </c>
      <c r="M101" s="112">
        <v>88.85</v>
      </c>
      <c r="N101" s="112">
        <v>1.9</v>
      </c>
      <c r="O101" s="112">
        <v>0</v>
      </c>
      <c r="P101" s="112">
        <v>0.33</v>
      </c>
      <c r="Q101" s="112">
        <v>4.63</v>
      </c>
    </row>
    <row r="102" spans="1:22" customFormat="1">
      <c r="A102" s="80">
        <v>45478.979166666664</v>
      </c>
      <c r="B102" s="112">
        <v>9.16</v>
      </c>
      <c r="C102" s="112">
        <v>4.08</v>
      </c>
      <c r="D102" s="112">
        <v>13.93</v>
      </c>
      <c r="E102" s="112">
        <v>9.5299999999999994</v>
      </c>
      <c r="F102" s="112">
        <v>5.59</v>
      </c>
      <c r="G102" s="112">
        <v>13.58</v>
      </c>
      <c r="H102" s="112">
        <v>5.2</v>
      </c>
      <c r="I102" s="112">
        <v>3.39</v>
      </c>
      <c r="J102" s="112">
        <v>0.24</v>
      </c>
      <c r="K102" s="112">
        <v>237.56</v>
      </c>
      <c r="L102" s="112">
        <v>26.66</v>
      </c>
      <c r="M102" s="112">
        <v>89.26</v>
      </c>
      <c r="N102" s="112">
        <v>2.1</v>
      </c>
      <c r="O102" s="112">
        <v>0</v>
      </c>
      <c r="P102" s="112">
        <v>0.32</v>
      </c>
      <c r="Q102" s="112">
        <v>4.63</v>
      </c>
    </row>
    <row r="103" spans="1:22" customFormat="1">
      <c r="A103" s="80">
        <v>45478.989583333336</v>
      </c>
      <c r="B103" s="112">
        <v>9.17</v>
      </c>
      <c r="C103" s="112">
        <v>4.08</v>
      </c>
      <c r="D103" s="112">
        <v>13.93</v>
      </c>
      <c r="E103" s="112">
        <v>9.09</v>
      </c>
      <c r="F103" s="112">
        <v>5.96</v>
      </c>
      <c r="G103" s="112">
        <v>14.33</v>
      </c>
      <c r="H103" s="112">
        <v>4.92</v>
      </c>
      <c r="I103" s="112">
        <v>3.26</v>
      </c>
      <c r="J103" s="112">
        <v>0.61</v>
      </c>
      <c r="K103" s="112">
        <v>267.20999999999998</v>
      </c>
      <c r="L103" s="112">
        <v>26.82</v>
      </c>
      <c r="M103" s="112">
        <v>87.29</v>
      </c>
      <c r="N103" s="112">
        <v>1.8</v>
      </c>
      <c r="O103" s="112">
        <v>0</v>
      </c>
      <c r="P103" s="112">
        <v>0.32</v>
      </c>
      <c r="Q103" s="112">
        <v>4.6399999999999997</v>
      </c>
    </row>
    <row r="104" spans="1:22" customFormat="1">
      <c r="A104" s="80">
        <v>45479</v>
      </c>
      <c r="B104" s="112">
        <v>9.18</v>
      </c>
      <c r="C104" s="112">
        <v>4.0599999999999996</v>
      </c>
      <c r="D104" s="112">
        <v>13.93</v>
      </c>
      <c r="E104" s="112">
        <v>9.07</v>
      </c>
      <c r="F104" s="112">
        <v>5.44</v>
      </c>
      <c r="G104" s="112">
        <v>14.9</v>
      </c>
      <c r="H104" s="112">
        <v>4.83</v>
      </c>
      <c r="I104" s="112">
        <v>3.33</v>
      </c>
      <c r="J104" s="112">
        <v>0.57999999999999996</v>
      </c>
      <c r="K104" s="112">
        <v>267.60000000000002</v>
      </c>
      <c r="L104" s="112">
        <v>27.04</v>
      </c>
      <c r="M104" s="112">
        <v>84.49</v>
      </c>
      <c r="N104" s="112">
        <v>2.1</v>
      </c>
      <c r="O104" s="112">
        <v>0</v>
      </c>
      <c r="P104" s="112">
        <v>0.31</v>
      </c>
      <c r="Q104" s="112">
        <v>4.62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9.1199999999999992</v>
      </c>
      <c r="C106" s="183">
        <f>MIN(C9:C104)</f>
        <v>4.0199999999999996</v>
      </c>
      <c r="D106" s="183">
        <f t="shared" ref="D106:Q106" si="0">MIN(D9:D104)</f>
        <v>13.89</v>
      </c>
      <c r="E106" s="183">
        <f t="shared" si="0"/>
        <v>7.01</v>
      </c>
      <c r="F106" s="183">
        <f t="shared" si="0"/>
        <v>3.15</v>
      </c>
      <c r="G106" s="183">
        <f t="shared" si="0"/>
        <v>8.18</v>
      </c>
      <c r="H106" s="183">
        <f t="shared" si="0"/>
        <v>2.4500000000000002</v>
      </c>
      <c r="I106" s="183">
        <f t="shared" si="0"/>
        <v>2.64</v>
      </c>
      <c r="J106" s="183">
        <f t="shared" si="0"/>
        <v>0.1</v>
      </c>
      <c r="K106" s="183">
        <f t="shared" si="0"/>
        <v>153.26</v>
      </c>
      <c r="L106" s="183">
        <f t="shared" si="0"/>
        <v>25.65</v>
      </c>
      <c r="M106" s="183">
        <f t="shared" si="0"/>
        <v>65.02</v>
      </c>
      <c r="N106" s="183">
        <f t="shared" si="0"/>
        <v>1.8</v>
      </c>
      <c r="O106" s="183">
        <f t="shared" si="0"/>
        <v>0</v>
      </c>
      <c r="P106" s="183">
        <f t="shared" si="0"/>
        <v>0.25</v>
      </c>
      <c r="Q106" s="183">
        <f t="shared" si="0"/>
        <v>4.6100000000000003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9.2100000000000009</v>
      </c>
      <c r="C107" s="184">
        <f t="shared" ref="C107:Q107" si="1">MAX(C9:C104)</f>
        <v>4.0999999999999996</v>
      </c>
      <c r="D107" s="184">
        <f t="shared" si="1"/>
        <v>13.97</v>
      </c>
      <c r="E107" s="184">
        <f t="shared" si="1"/>
        <v>11.66</v>
      </c>
      <c r="F107" s="184">
        <f t="shared" si="1"/>
        <v>17.07</v>
      </c>
      <c r="G107" s="184">
        <f t="shared" si="1"/>
        <v>23.88</v>
      </c>
      <c r="H107" s="184">
        <f t="shared" si="1"/>
        <v>11.93</v>
      </c>
      <c r="I107" s="184">
        <f t="shared" si="1"/>
        <v>4.28</v>
      </c>
      <c r="J107" s="184">
        <f t="shared" si="1"/>
        <v>1.4</v>
      </c>
      <c r="K107" s="184">
        <f t="shared" si="1"/>
        <v>312.24</v>
      </c>
      <c r="L107" s="184">
        <f t="shared" si="1"/>
        <v>32.11</v>
      </c>
      <c r="M107" s="184">
        <f t="shared" si="1"/>
        <v>95.5</v>
      </c>
      <c r="N107" s="184">
        <f t="shared" si="1"/>
        <v>362.8</v>
      </c>
      <c r="O107" s="184">
        <f t="shared" si="1"/>
        <v>0.2</v>
      </c>
      <c r="P107" s="184">
        <f t="shared" si="1"/>
        <v>0.45</v>
      </c>
      <c r="Q107" s="184">
        <f t="shared" si="1"/>
        <v>4.66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9.1665624999999888</v>
      </c>
      <c r="C108" s="183">
        <f t="shared" ref="C108:Q108" si="2">AVERAGE(C9:C104)</f>
        <v>4.0655208333333324</v>
      </c>
      <c r="D108" s="183">
        <f t="shared" si="2"/>
        <v>13.92447916666668</v>
      </c>
      <c r="E108" s="183">
        <f t="shared" si="2"/>
        <v>9.3531250000000021</v>
      </c>
      <c r="F108" s="183">
        <f t="shared" si="2"/>
        <v>7.1174999999999988</v>
      </c>
      <c r="G108" s="183">
        <f t="shared" si="2"/>
        <v>14.994062499999993</v>
      </c>
      <c r="H108" s="183">
        <f t="shared" si="2"/>
        <v>5.845312500000003</v>
      </c>
      <c r="I108" s="183">
        <f t="shared" si="2"/>
        <v>3.1078125000000001</v>
      </c>
      <c r="J108" s="183">
        <f t="shared" si="2"/>
        <v>0.54552083333333334</v>
      </c>
      <c r="K108" s="183">
        <f t="shared" si="2"/>
        <v>248.6010416666667</v>
      </c>
      <c r="L108" s="183">
        <f t="shared" si="2"/>
        <v>28.24604166666667</v>
      </c>
      <c r="M108" s="183">
        <f t="shared" si="2"/>
        <v>81.409791666666692</v>
      </c>
      <c r="N108" s="183">
        <f t="shared" si="2"/>
        <v>90.544791666666711</v>
      </c>
      <c r="O108" s="183">
        <f t="shared" si="2"/>
        <v>8.3333333333333332E-3</v>
      </c>
      <c r="P108" s="183">
        <f t="shared" si="2"/>
        <v>0.31177083333333311</v>
      </c>
      <c r="Q108" s="183">
        <f t="shared" si="2"/>
        <v>4.6406249999999956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2.3745498188299036E-2</v>
      </c>
      <c r="C109" s="183">
        <f t="shared" ref="C109:Q109" si="3">STDEV(C9:C104)</f>
        <v>1.588576268676933E-2</v>
      </c>
      <c r="D109" s="183">
        <f t="shared" si="3"/>
        <v>2.0202646604456403E-2</v>
      </c>
      <c r="E109" s="183">
        <f t="shared" si="3"/>
        <v>0.96656887738888508</v>
      </c>
      <c r="F109" s="183">
        <f t="shared" si="3"/>
        <v>3.6898971601701338</v>
      </c>
      <c r="G109" s="183">
        <f t="shared" si="3"/>
        <v>5.3136324334825726</v>
      </c>
      <c r="H109" s="183">
        <f t="shared" si="3"/>
        <v>2.812492415194443</v>
      </c>
      <c r="I109" s="183">
        <f t="shared" si="3"/>
        <v>0.36679035493546308</v>
      </c>
      <c r="J109" s="183">
        <f t="shared" si="3"/>
        <v>0.34206453620599803</v>
      </c>
      <c r="K109" s="183">
        <f t="shared" si="3"/>
        <v>32.62524087361416</v>
      </c>
      <c r="L109" s="183">
        <f t="shared" si="3"/>
        <v>2.1192508503398915</v>
      </c>
      <c r="M109" s="183">
        <f t="shared" si="3"/>
        <v>8.4667172510229172</v>
      </c>
      <c r="N109" s="183">
        <f t="shared" si="3"/>
        <v>109.0685046630319</v>
      </c>
      <c r="O109" s="183">
        <f t="shared" si="3"/>
        <v>4.0175055540960972E-2</v>
      </c>
      <c r="P109" s="183">
        <f t="shared" si="3"/>
        <v>3.644736050414886E-2</v>
      </c>
      <c r="Q109" s="183">
        <f t="shared" si="3"/>
        <v>1.2036129820363105E-2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45479.010416666664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45479.010416666664</v>
      </c>
      <c r="B9" s="112">
        <v>9.2799999999999994</v>
      </c>
      <c r="C9" s="112">
        <v>4.1100000000000003</v>
      </c>
      <c r="D9" s="112">
        <v>14.04</v>
      </c>
      <c r="E9" s="112">
        <v>8.93</v>
      </c>
      <c r="F9" s="112">
        <v>4.95</v>
      </c>
      <c r="G9" s="112">
        <v>14.9</v>
      </c>
      <c r="H9" s="112">
        <v>4.83</v>
      </c>
      <c r="I9" s="112">
        <v>3.22</v>
      </c>
      <c r="J9" s="112">
        <v>0.65</v>
      </c>
      <c r="K9" s="112">
        <v>267.88</v>
      </c>
      <c r="L9" s="112">
        <v>27.12</v>
      </c>
      <c r="M9" s="112">
        <v>83.76</v>
      </c>
      <c r="N9" s="112">
        <v>2.1</v>
      </c>
      <c r="O9" s="112">
        <v>0</v>
      </c>
      <c r="P9" s="112">
        <v>0.32</v>
      </c>
      <c r="Q9" s="112">
        <v>4.6399999999999997</v>
      </c>
    </row>
    <row r="10" spans="1:21" customFormat="1">
      <c r="A10" s="80">
        <v>45479.020833333336</v>
      </c>
      <c r="B10" s="112">
        <v>9.3000000000000007</v>
      </c>
      <c r="C10" s="112">
        <v>4.1100000000000003</v>
      </c>
      <c r="D10" s="112">
        <v>14.05</v>
      </c>
      <c r="E10" s="112">
        <v>9.14</v>
      </c>
      <c r="F10" s="112">
        <v>5.03</v>
      </c>
      <c r="G10" s="112">
        <v>14.9</v>
      </c>
      <c r="H10" s="112">
        <v>4.83</v>
      </c>
      <c r="I10" s="112">
        <v>3.18</v>
      </c>
      <c r="J10" s="112">
        <v>0.6</v>
      </c>
      <c r="K10" s="112">
        <v>258.07</v>
      </c>
      <c r="L10" s="112">
        <v>27.03</v>
      </c>
      <c r="M10" s="112">
        <v>85.29</v>
      </c>
      <c r="N10" s="112">
        <v>2.1</v>
      </c>
      <c r="O10" s="112">
        <v>0</v>
      </c>
      <c r="P10" s="112">
        <v>0.31</v>
      </c>
      <c r="Q10" s="112">
        <v>4.6399999999999997</v>
      </c>
    </row>
    <row r="11" spans="1:21" customFormat="1">
      <c r="A11" s="80">
        <v>45479.03125</v>
      </c>
      <c r="B11" s="112">
        <v>9.31</v>
      </c>
      <c r="C11" s="112">
        <v>4.08</v>
      </c>
      <c r="D11" s="112">
        <v>14.05</v>
      </c>
      <c r="E11" s="112">
        <v>8.39</v>
      </c>
      <c r="F11" s="112">
        <v>6.51</v>
      </c>
      <c r="G11" s="112">
        <v>15.67</v>
      </c>
      <c r="H11" s="112">
        <v>5.21</v>
      </c>
      <c r="I11" s="112">
        <v>3.22</v>
      </c>
      <c r="J11" s="112">
        <v>0.37</v>
      </c>
      <c r="K11" s="112">
        <v>256.68</v>
      </c>
      <c r="L11" s="112">
        <v>26.97</v>
      </c>
      <c r="M11" s="112">
        <v>86.29</v>
      </c>
      <c r="N11" s="112">
        <v>2.4</v>
      </c>
      <c r="O11" s="112">
        <v>0</v>
      </c>
      <c r="P11" s="112">
        <v>0.31</v>
      </c>
      <c r="Q11" s="112">
        <v>4.63</v>
      </c>
    </row>
    <row r="12" spans="1:21" customFormat="1">
      <c r="A12" s="80">
        <v>45479.041666666664</v>
      </c>
      <c r="B12" s="112">
        <v>9.31</v>
      </c>
      <c r="C12" s="112">
        <v>4.07</v>
      </c>
      <c r="D12" s="112">
        <v>14.04</v>
      </c>
      <c r="E12" s="112">
        <v>8.61</v>
      </c>
      <c r="F12" s="112">
        <v>6.22</v>
      </c>
      <c r="G12" s="112">
        <v>16.25</v>
      </c>
      <c r="H12" s="112">
        <v>5.44</v>
      </c>
      <c r="I12" s="112">
        <v>3.15</v>
      </c>
      <c r="J12" s="112">
        <v>0.32</v>
      </c>
      <c r="K12" s="112">
        <v>260.58999999999997</v>
      </c>
      <c r="L12" s="112">
        <v>26.78</v>
      </c>
      <c r="M12" s="112">
        <v>88.93</v>
      </c>
      <c r="N12" s="112">
        <v>2.4</v>
      </c>
      <c r="O12" s="112">
        <v>0</v>
      </c>
      <c r="P12" s="112">
        <v>0.31</v>
      </c>
      <c r="Q12" s="112">
        <v>4.6399999999999997</v>
      </c>
    </row>
    <row r="13" spans="1:21" customFormat="1">
      <c r="A13" s="80">
        <v>45479.052083333336</v>
      </c>
      <c r="B13" s="112">
        <v>9.3000000000000007</v>
      </c>
      <c r="C13" s="112">
        <v>4.0999999999999996</v>
      </c>
      <c r="D13" s="112">
        <v>14.05</v>
      </c>
      <c r="E13" s="112">
        <v>8.68</v>
      </c>
      <c r="F13" s="112">
        <v>5.39</v>
      </c>
      <c r="G13" s="112">
        <v>16.25</v>
      </c>
      <c r="H13" s="112">
        <v>5.44</v>
      </c>
      <c r="I13" s="112">
        <v>3.29</v>
      </c>
      <c r="J13" s="112">
        <v>0.35</v>
      </c>
      <c r="K13" s="112">
        <v>255.58</v>
      </c>
      <c r="L13" s="112">
        <v>26.54</v>
      </c>
      <c r="M13" s="112">
        <v>89.66</v>
      </c>
      <c r="N13" s="112">
        <v>2.2000000000000002</v>
      </c>
      <c r="O13" s="112">
        <v>0</v>
      </c>
      <c r="P13" s="112">
        <v>0.31</v>
      </c>
      <c r="Q13" s="112">
        <v>4.62</v>
      </c>
    </row>
    <row r="14" spans="1:21" customFormat="1">
      <c r="A14" s="80">
        <v>45479.0625</v>
      </c>
      <c r="B14" s="112">
        <v>9.32</v>
      </c>
      <c r="C14" s="112">
        <v>4.08</v>
      </c>
      <c r="D14" s="112">
        <v>14.06</v>
      </c>
      <c r="E14" s="112">
        <v>8.4</v>
      </c>
      <c r="F14" s="112">
        <v>5.64</v>
      </c>
      <c r="G14" s="112">
        <v>16.25</v>
      </c>
      <c r="H14" s="112">
        <v>5.44</v>
      </c>
      <c r="I14" s="112">
        <v>3.21</v>
      </c>
      <c r="J14" s="112">
        <v>0.23</v>
      </c>
      <c r="K14" s="112">
        <v>241.76</v>
      </c>
      <c r="L14" s="112">
        <v>26.41</v>
      </c>
      <c r="M14" s="112">
        <v>90.74</v>
      </c>
      <c r="N14" s="112">
        <v>2.1</v>
      </c>
      <c r="O14" s="112">
        <v>0</v>
      </c>
      <c r="P14" s="112">
        <v>0.3</v>
      </c>
      <c r="Q14" s="112">
        <v>4.5999999999999996</v>
      </c>
    </row>
    <row r="15" spans="1:21" customFormat="1">
      <c r="A15" s="80">
        <v>45479.072916666664</v>
      </c>
      <c r="B15" s="112">
        <v>9.34</v>
      </c>
      <c r="C15" s="112">
        <v>4.07</v>
      </c>
      <c r="D15" s="112">
        <v>14.07</v>
      </c>
      <c r="E15" s="112">
        <v>8.4499999999999993</v>
      </c>
      <c r="F15" s="112">
        <v>6.9</v>
      </c>
      <c r="G15" s="112">
        <v>14.5</v>
      </c>
      <c r="H15" s="112">
        <v>4.2300000000000004</v>
      </c>
      <c r="I15" s="112">
        <v>3.22</v>
      </c>
      <c r="J15" s="112">
        <v>0.31</v>
      </c>
      <c r="K15" s="112">
        <v>248.89</v>
      </c>
      <c r="L15" s="112">
        <v>26.36</v>
      </c>
      <c r="M15" s="112">
        <v>90.96</v>
      </c>
      <c r="N15" s="112">
        <v>2.1</v>
      </c>
      <c r="O15" s="112">
        <v>0</v>
      </c>
      <c r="P15" s="112">
        <v>0.3</v>
      </c>
      <c r="Q15" s="112">
        <v>4.62</v>
      </c>
    </row>
    <row r="16" spans="1:21" customFormat="1">
      <c r="A16" s="80">
        <v>45479.083333333336</v>
      </c>
      <c r="B16" s="112">
        <v>9.32</v>
      </c>
      <c r="C16" s="112">
        <v>4.07</v>
      </c>
      <c r="D16" s="112">
        <v>14.05</v>
      </c>
      <c r="E16" s="112">
        <v>8.0500000000000007</v>
      </c>
      <c r="F16" s="112">
        <v>5.92</v>
      </c>
      <c r="G16" s="112">
        <v>13.16</v>
      </c>
      <c r="H16" s="112">
        <v>3.81</v>
      </c>
      <c r="I16" s="112">
        <v>3.09</v>
      </c>
      <c r="J16" s="112">
        <v>0.38</v>
      </c>
      <c r="K16" s="112">
        <v>263.39999999999998</v>
      </c>
      <c r="L16" s="112">
        <v>26.29</v>
      </c>
      <c r="M16" s="112">
        <v>90.9</v>
      </c>
      <c r="N16" s="112">
        <v>2.1</v>
      </c>
      <c r="O16" s="112">
        <v>0</v>
      </c>
      <c r="P16" s="112">
        <v>0.3</v>
      </c>
      <c r="Q16" s="112">
        <v>4.62</v>
      </c>
    </row>
    <row r="17" spans="1:17" customFormat="1">
      <c r="A17" s="80">
        <v>45479.09375</v>
      </c>
      <c r="B17" s="112">
        <v>9.32</v>
      </c>
      <c r="C17" s="112">
        <v>4.0599999999999996</v>
      </c>
      <c r="D17" s="112">
        <v>14.05</v>
      </c>
      <c r="E17" s="112">
        <v>8.51</v>
      </c>
      <c r="F17" s="112">
        <v>5.88</v>
      </c>
      <c r="G17" s="112">
        <v>13.16</v>
      </c>
      <c r="H17" s="112">
        <v>3.81</v>
      </c>
      <c r="I17" s="112">
        <v>3.12</v>
      </c>
      <c r="J17" s="112">
        <v>0.38</v>
      </c>
      <c r="K17" s="112">
        <v>253.95</v>
      </c>
      <c r="L17" s="112">
        <v>26.24</v>
      </c>
      <c r="M17" s="112">
        <v>90.83</v>
      </c>
      <c r="N17" s="112">
        <v>2.1</v>
      </c>
      <c r="O17" s="112">
        <v>0</v>
      </c>
      <c r="P17" s="112">
        <v>0.3</v>
      </c>
      <c r="Q17" s="112">
        <v>4.63</v>
      </c>
    </row>
    <row r="18" spans="1:17" customFormat="1">
      <c r="A18" s="80">
        <v>45479.104166666664</v>
      </c>
      <c r="B18" s="112">
        <v>9.32</v>
      </c>
      <c r="C18" s="112">
        <v>4.07</v>
      </c>
      <c r="D18" s="112">
        <v>14.05</v>
      </c>
      <c r="E18" s="112">
        <v>10.25</v>
      </c>
      <c r="F18" s="112">
        <v>5.24</v>
      </c>
      <c r="G18" s="112">
        <v>13.16</v>
      </c>
      <c r="H18" s="112">
        <v>3.81</v>
      </c>
      <c r="I18" s="112">
        <v>3.08</v>
      </c>
      <c r="J18" s="112">
        <v>0.35</v>
      </c>
      <c r="K18" s="112">
        <v>259.29000000000002</v>
      </c>
      <c r="L18" s="112">
        <v>26.17</v>
      </c>
      <c r="M18" s="112">
        <v>89.17</v>
      </c>
      <c r="N18" s="112">
        <v>2.1</v>
      </c>
      <c r="O18" s="112">
        <v>0</v>
      </c>
      <c r="P18" s="112">
        <v>0.3</v>
      </c>
      <c r="Q18" s="112">
        <v>4.63</v>
      </c>
    </row>
    <row r="19" spans="1:17" customFormat="1">
      <c r="A19" s="80">
        <v>45479.114583333336</v>
      </c>
      <c r="B19" s="112">
        <v>9.3000000000000007</v>
      </c>
      <c r="C19" s="112">
        <v>4.08</v>
      </c>
      <c r="D19" s="112">
        <v>14.04</v>
      </c>
      <c r="E19" s="112">
        <v>9.68</v>
      </c>
      <c r="F19" s="112">
        <v>6.55</v>
      </c>
      <c r="G19" s="112">
        <v>12.76</v>
      </c>
      <c r="H19" s="112">
        <v>2.96</v>
      </c>
      <c r="I19" s="112">
        <v>3.16</v>
      </c>
      <c r="J19" s="112">
        <v>0.24</v>
      </c>
      <c r="K19" s="112">
        <v>252.62</v>
      </c>
      <c r="L19" s="112">
        <v>26.1</v>
      </c>
      <c r="M19" s="112">
        <v>90.1</v>
      </c>
      <c r="N19" s="112">
        <v>2.1</v>
      </c>
      <c r="O19" s="112">
        <v>0</v>
      </c>
      <c r="P19" s="112">
        <v>0.28999999999999998</v>
      </c>
      <c r="Q19" s="112">
        <v>4.63</v>
      </c>
    </row>
    <row r="20" spans="1:17" customFormat="1">
      <c r="A20" s="80">
        <v>45479.125</v>
      </c>
      <c r="B20" s="112">
        <v>9.31</v>
      </c>
      <c r="C20" s="112">
        <v>4.05</v>
      </c>
      <c r="D20" s="112">
        <v>14.03</v>
      </c>
      <c r="E20" s="112">
        <v>10.39</v>
      </c>
      <c r="F20" s="112">
        <v>5.53</v>
      </c>
      <c r="G20" s="112">
        <v>12.46</v>
      </c>
      <c r="H20" s="112">
        <v>2.67</v>
      </c>
      <c r="I20" s="112">
        <v>3.18</v>
      </c>
      <c r="J20" s="112">
        <v>0.42</v>
      </c>
      <c r="K20" s="112">
        <v>263.33999999999997</v>
      </c>
      <c r="L20" s="112">
        <v>26.15</v>
      </c>
      <c r="M20" s="112">
        <v>90.61</v>
      </c>
      <c r="N20" s="112">
        <v>2.1</v>
      </c>
      <c r="O20" s="112">
        <v>0</v>
      </c>
      <c r="P20" s="112">
        <v>0.27</v>
      </c>
      <c r="Q20" s="112">
        <v>4.63</v>
      </c>
    </row>
    <row r="21" spans="1:17" customFormat="1">
      <c r="A21" s="80">
        <v>45479.135416666664</v>
      </c>
      <c r="B21" s="112">
        <v>9.35</v>
      </c>
      <c r="C21" s="112">
        <v>4.09</v>
      </c>
      <c r="D21" s="112">
        <v>14.08</v>
      </c>
      <c r="E21" s="112">
        <v>9.92</v>
      </c>
      <c r="F21" s="112">
        <v>4.9800000000000004</v>
      </c>
      <c r="G21" s="112">
        <v>12.46</v>
      </c>
      <c r="H21" s="112">
        <v>2.67</v>
      </c>
      <c r="I21" s="112">
        <v>3.07</v>
      </c>
      <c r="J21" s="112">
        <v>0.4</v>
      </c>
      <c r="K21" s="112">
        <v>254.78</v>
      </c>
      <c r="L21" s="112">
        <v>26.29</v>
      </c>
      <c r="M21" s="112">
        <v>90.9</v>
      </c>
      <c r="N21" s="112">
        <v>2</v>
      </c>
      <c r="O21" s="112">
        <v>0</v>
      </c>
      <c r="P21" s="112">
        <v>0.25</v>
      </c>
      <c r="Q21" s="112">
        <v>4.63</v>
      </c>
    </row>
    <row r="22" spans="1:17" customFormat="1">
      <c r="A22" s="80">
        <v>45479.145833333336</v>
      </c>
      <c r="B22" s="112">
        <v>9.36</v>
      </c>
      <c r="C22" s="112">
        <v>4.09</v>
      </c>
      <c r="D22" s="112">
        <v>14.09</v>
      </c>
      <c r="E22" s="112">
        <v>9.6999999999999993</v>
      </c>
      <c r="F22" s="112">
        <v>4.82</v>
      </c>
      <c r="G22" s="112">
        <v>12.46</v>
      </c>
      <c r="H22" s="112">
        <v>2.67</v>
      </c>
      <c r="I22" s="112">
        <v>3.14</v>
      </c>
      <c r="J22" s="112">
        <v>0.25</v>
      </c>
      <c r="K22" s="112">
        <v>250.23</v>
      </c>
      <c r="L22" s="112">
        <v>26.26</v>
      </c>
      <c r="M22" s="112">
        <v>91.98</v>
      </c>
      <c r="N22" s="112">
        <v>2.1</v>
      </c>
      <c r="O22" s="112">
        <v>0</v>
      </c>
      <c r="P22" s="112">
        <v>0.25</v>
      </c>
      <c r="Q22" s="112">
        <v>4.62</v>
      </c>
    </row>
    <row r="23" spans="1:17" customFormat="1">
      <c r="A23" s="80">
        <v>45479.15625</v>
      </c>
      <c r="B23" s="112">
        <v>9.34</v>
      </c>
      <c r="C23" s="112">
        <v>4.0999999999999996</v>
      </c>
      <c r="D23" s="112">
        <v>14.08</v>
      </c>
      <c r="E23" s="112">
        <v>10.9</v>
      </c>
      <c r="F23" s="112">
        <v>4.78</v>
      </c>
      <c r="G23" s="112">
        <v>11.68</v>
      </c>
      <c r="H23" s="112">
        <v>2.56</v>
      </c>
      <c r="I23" s="112">
        <v>3.13</v>
      </c>
      <c r="J23" s="112">
        <v>0.37</v>
      </c>
      <c r="K23" s="112">
        <v>252.18</v>
      </c>
      <c r="L23" s="112">
        <v>26.22</v>
      </c>
      <c r="M23" s="112">
        <v>91.52</v>
      </c>
      <c r="N23" s="112">
        <v>2.1</v>
      </c>
      <c r="O23" s="112">
        <v>0</v>
      </c>
      <c r="P23" s="112">
        <v>0.24</v>
      </c>
      <c r="Q23" s="112">
        <v>4.6399999999999997</v>
      </c>
    </row>
    <row r="24" spans="1:17" customFormat="1">
      <c r="A24" s="80">
        <v>45479.166666666664</v>
      </c>
      <c r="B24" s="112">
        <v>9.31</v>
      </c>
      <c r="C24" s="112">
        <v>4.1100000000000003</v>
      </c>
      <c r="D24" s="112">
        <v>14.06</v>
      </c>
      <c r="E24" s="112">
        <v>10.33</v>
      </c>
      <c r="F24" s="112">
        <v>4.4800000000000004</v>
      </c>
      <c r="G24" s="112">
        <v>11.08</v>
      </c>
      <c r="H24" s="112">
        <v>2.52</v>
      </c>
      <c r="I24" s="112">
        <v>3.1</v>
      </c>
      <c r="J24" s="112">
        <v>0.3</v>
      </c>
      <c r="K24" s="112">
        <v>251.57</v>
      </c>
      <c r="L24" s="112">
        <v>26.14</v>
      </c>
      <c r="M24" s="112">
        <v>91.71</v>
      </c>
      <c r="N24" s="112">
        <v>2.1</v>
      </c>
      <c r="O24" s="112">
        <v>0</v>
      </c>
      <c r="P24" s="112">
        <v>0.25</v>
      </c>
      <c r="Q24" s="112">
        <v>4.6500000000000004</v>
      </c>
    </row>
    <row r="25" spans="1:17" customFormat="1">
      <c r="A25" s="80">
        <v>45479.177083333336</v>
      </c>
      <c r="B25" s="112">
        <v>9.31</v>
      </c>
      <c r="C25" s="112">
        <v>4.08</v>
      </c>
      <c r="D25" s="112">
        <v>14.04</v>
      </c>
      <c r="E25" s="112">
        <v>10.85</v>
      </c>
      <c r="F25" s="112">
        <v>4.0199999999999996</v>
      </c>
      <c r="G25" s="112">
        <v>11.08</v>
      </c>
      <c r="H25" s="112">
        <v>2.52</v>
      </c>
      <c r="I25" s="112">
        <v>3.12</v>
      </c>
      <c r="J25" s="112">
        <v>0.37</v>
      </c>
      <c r="K25" s="112">
        <v>255.29</v>
      </c>
      <c r="L25" s="112">
        <v>26.24</v>
      </c>
      <c r="M25" s="112">
        <v>90.48</v>
      </c>
      <c r="N25" s="112">
        <v>2</v>
      </c>
      <c r="O25" s="112">
        <v>0</v>
      </c>
      <c r="P25" s="112">
        <v>0.25</v>
      </c>
      <c r="Q25" s="112">
        <v>4.62</v>
      </c>
    </row>
    <row r="26" spans="1:17" customFormat="1">
      <c r="A26" s="80">
        <v>45479.1875</v>
      </c>
      <c r="B26" s="112">
        <v>9.32</v>
      </c>
      <c r="C26" s="112">
        <v>4.08</v>
      </c>
      <c r="D26" s="112">
        <v>14.06</v>
      </c>
      <c r="E26" s="112">
        <v>10.83</v>
      </c>
      <c r="F26" s="112">
        <v>4.59</v>
      </c>
      <c r="G26" s="112">
        <v>11.08</v>
      </c>
      <c r="H26" s="112">
        <v>2.52</v>
      </c>
      <c r="I26" s="112">
        <v>3.07</v>
      </c>
      <c r="J26" s="112">
        <v>0.4</v>
      </c>
      <c r="K26" s="112">
        <v>261.42</v>
      </c>
      <c r="L26" s="112">
        <v>26.15</v>
      </c>
      <c r="M26" s="112">
        <v>90.07</v>
      </c>
      <c r="N26" s="112">
        <v>2.1</v>
      </c>
      <c r="O26" s="112">
        <v>0</v>
      </c>
      <c r="P26" s="112">
        <v>0.24</v>
      </c>
      <c r="Q26" s="112">
        <v>4.63</v>
      </c>
    </row>
    <row r="27" spans="1:17" customFormat="1">
      <c r="A27" s="80">
        <v>45479.197916666664</v>
      </c>
      <c r="B27" s="112">
        <v>9.32</v>
      </c>
      <c r="C27" s="112">
        <v>4.08</v>
      </c>
      <c r="D27" s="112">
        <v>14.06</v>
      </c>
      <c r="E27" s="112">
        <v>11.64</v>
      </c>
      <c r="F27" s="112">
        <v>4.37</v>
      </c>
      <c r="G27" s="112">
        <v>9.6999999999999993</v>
      </c>
      <c r="H27" s="112">
        <v>2.0099999999999998</v>
      </c>
      <c r="I27" s="112">
        <v>3.06</v>
      </c>
      <c r="J27" s="112">
        <v>0.52</v>
      </c>
      <c r="K27" s="112">
        <v>260.49</v>
      </c>
      <c r="L27" s="112">
        <v>26.16</v>
      </c>
      <c r="M27" s="112">
        <v>89.28</v>
      </c>
      <c r="N27" s="112">
        <v>2.1</v>
      </c>
      <c r="O27" s="112">
        <v>0</v>
      </c>
      <c r="P27" s="112">
        <v>0.25</v>
      </c>
      <c r="Q27" s="112">
        <v>4.6399999999999997</v>
      </c>
    </row>
    <row r="28" spans="1:17" customFormat="1">
      <c r="A28" s="80">
        <v>45479.208333333336</v>
      </c>
      <c r="B28" s="112">
        <v>9.33</v>
      </c>
      <c r="C28" s="112">
        <v>4.07</v>
      </c>
      <c r="D28" s="112">
        <v>14.06</v>
      </c>
      <c r="E28" s="112">
        <v>11.04</v>
      </c>
      <c r="F28" s="112">
        <v>4.6900000000000004</v>
      </c>
      <c r="G28" s="112">
        <v>8.64</v>
      </c>
      <c r="H28" s="112">
        <v>1.83</v>
      </c>
      <c r="I28" s="112">
        <v>3.04</v>
      </c>
      <c r="J28" s="112">
        <v>0.44</v>
      </c>
      <c r="K28" s="112">
        <v>258.98</v>
      </c>
      <c r="L28" s="112">
        <v>26.15</v>
      </c>
      <c r="M28" s="112">
        <v>87.72</v>
      </c>
      <c r="N28" s="112">
        <v>2.2000000000000002</v>
      </c>
      <c r="O28" s="112">
        <v>0</v>
      </c>
      <c r="P28" s="112">
        <v>0.24</v>
      </c>
      <c r="Q28" s="112">
        <v>4.66</v>
      </c>
    </row>
    <row r="29" spans="1:17" customFormat="1">
      <c r="A29" s="80">
        <v>45479.21875</v>
      </c>
      <c r="B29" s="112">
        <v>9.3000000000000007</v>
      </c>
      <c r="C29" s="112">
        <v>4.08</v>
      </c>
      <c r="D29" s="112">
        <v>14.04</v>
      </c>
      <c r="E29" s="112">
        <v>11.29</v>
      </c>
      <c r="F29" s="112">
        <v>4.3099999999999996</v>
      </c>
      <c r="G29" s="112">
        <v>8.64</v>
      </c>
      <c r="H29" s="112">
        <v>1.83</v>
      </c>
      <c r="I29" s="112">
        <v>3.03</v>
      </c>
      <c r="J29" s="112">
        <v>0.42</v>
      </c>
      <c r="K29" s="112">
        <v>261.44</v>
      </c>
      <c r="L29" s="112">
        <v>26.21</v>
      </c>
      <c r="M29" s="112">
        <v>86.1</v>
      </c>
      <c r="N29" s="112">
        <v>2.4</v>
      </c>
      <c r="O29" s="112">
        <v>0</v>
      </c>
      <c r="P29" s="112">
        <v>0.24</v>
      </c>
      <c r="Q29" s="112">
        <v>4.6399999999999997</v>
      </c>
    </row>
    <row r="30" spans="1:17" customFormat="1">
      <c r="A30" s="80">
        <v>45479.229166666664</v>
      </c>
      <c r="B30" s="112">
        <v>9.31</v>
      </c>
      <c r="C30" s="112">
        <v>4.08</v>
      </c>
      <c r="D30" s="112">
        <v>14.04</v>
      </c>
      <c r="E30" s="112">
        <v>11.64</v>
      </c>
      <c r="F30" s="112">
        <v>3.84</v>
      </c>
      <c r="G30" s="112">
        <v>8.64</v>
      </c>
      <c r="H30" s="112">
        <v>1.83</v>
      </c>
      <c r="I30" s="112">
        <v>2.98</v>
      </c>
      <c r="J30" s="112">
        <v>0.39</v>
      </c>
      <c r="K30" s="112">
        <v>250.8</v>
      </c>
      <c r="L30" s="112">
        <v>26.15</v>
      </c>
      <c r="M30" s="112">
        <v>88.04</v>
      </c>
      <c r="N30" s="112">
        <v>4.7</v>
      </c>
      <c r="O30" s="112">
        <v>0</v>
      </c>
      <c r="P30" s="112">
        <v>0.24</v>
      </c>
      <c r="Q30" s="112">
        <v>4.63</v>
      </c>
    </row>
    <row r="31" spans="1:17" customFormat="1">
      <c r="A31" s="80">
        <v>45479.239583333336</v>
      </c>
      <c r="B31" s="112">
        <v>9.31</v>
      </c>
      <c r="C31" s="112">
        <v>4.08</v>
      </c>
      <c r="D31" s="112">
        <v>14.05</v>
      </c>
      <c r="E31" s="112">
        <v>11.57</v>
      </c>
      <c r="F31" s="112">
        <v>3.72</v>
      </c>
      <c r="G31" s="112">
        <v>8.26</v>
      </c>
      <c r="H31" s="112">
        <v>2.0099999999999998</v>
      </c>
      <c r="I31" s="112">
        <v>2.96</v>
      </c>
      <c r="J31" s="112">
        <v>0.5</v>
      </c>
      <c r="K31" s="112">
        <v>264.7</v>
      </c>
      <c r="L31" s="112">
        <v>26.16</v>
      </c>
      <c r="M31" s="112">
        <v>87.61</v>
      </c>
      <c r="N31" s="112">
        <v>8.5</v>
      </c>
      <c r="O31" s="112">
        <v>0</v>
      </c>
      <c r="P31" s="112">
        <v>0.23</v>
      </c>
      <c r="Q31" s="112">
        <v>4.6399999999999997</v>
      </c>
    </row>
    <row r="32" spans="1:17" customFormat="1">
      <c r="A32" s="80">
        <v>45479.25</v>
      </c>
      <c r="B32" s="112">
        <v>9.31</v>
      </c>
      <c r="C32" s="112">
        <v>4.09</v>
      </c>
      <c r="D32" s="112">
        <v>14.06</v>
      </c>
      <c r="E32" s="112">
        <v>11.55</v>
      </c>
      <c r="F32" s="112">
        <v>3.73</v>
      </c>
      <c r="G32" s="112">
        <v>7.96</v>
      </c>
      <c r="H32" s="112">
        <v>2.0699999999999998</v>
      </c>
      <c r="I32" s="112">
        <v>2.95</v>
      </c>
      <c r="J32" s="112">
        <v>0.38</v>
      </c>
      <c r="K32" s="112">
        <v>253.16</v>
      </c>
      <c r="L32" s="112">
        <v>26.11</v>
      </c>
      <c r="M32" s="112">
        <v>87.55</v>
      </c>
      <c r="N32" s="112">
        <v>12.5</v>
      </c>
      <c r="O32" s="112">
        <v>0</v>
      </c>
      <c r="P32" s="112">
        <v>0.23</v>
      </c>
      <c r="Q32" s="112">
        <v>4.62</v>
      </c>
    </row>
    <row r="33" spans="1:17" customFormat="1">
      <c r="A33" s="80">
        <v>45479.260416666664</v>
      </c>
      <c r="B33" s="112">
        <v>9.32</v>
      </c>
      <c r="C33" s="112">
        <v>4.08</v>
      </c>
      <c r="D33" s="112">
        <v>14.05</v>
      </c>
      <c r="E33" s="112">
        <v>11.75</v>
      </c>
      <c r="F33" s="112">
        <v>3.78</v>
      </c>
      <c r="G33" s="112">
        <v>7.96</v>
      </c>
      <c r="H33" s="112">
        <v>2.0699999999999998</v>
      </c>
      <c r="I33" s="112">
        <v>2.9</v>
      </c>
      <c r="J33" s="112">
        <v>0.33</v>
      </c>
      <c r="K33" s="112">
        <v>265.29000000000002</v>
      </c>
      <c r="L33" s="112">
        <v>26.14</v>
      </c>
      <c r="M33" s="112">
        <v>87.66</v>
      </c>
      <c r="N33" s="112">
        <v>25</v>
      </c>
      <c r="O33" s="112">
        <v>0</v>
      </c>
      <c r="P33" s="112">
        <v>0.24</v>
      </c>
      <c r="Q33" s="112">
        <v>4.63</v>
      </c>
    </row>
    <row r="34" spans="1:17" customFormat="1">
      <c r="A34" s="80">
        <v>45479.270833333336</v>
      </c>
      <c r="B34" s="112">
        <v>9.33</v>
      </c>
      <c r="C34" s="112">
        <v>4.07</v>
      </c>
      <c r="D34" s="112">
        <v>14.06</v>
      </c>
      <c r="E34" s="112">
        <v>11.97</v>
      </c>
      <c r="F34" s="112">
        <v>3.73</v>
      </c>
      <c r="G34" s="112">
        <v>7.96</v>
      </c>
      <c r="H34" s="112">
        <v>2.0699999999999998</v>
      </c>
      <c r="I34" s="112">
        <v>2.91</v>
      </c>
      <c r="J34" s="112">
        <v>0.37</v>
      </c>
      <c r="K34" s="112">
        <v>259.66000000000003</v>
      </c>
      <c r="L34" s="112">
        <v>26.2</v>
      </c>
      <c r="M34" s="112">
        <v>86.67</v>
      </c>
      <c r="N34" s="112">
        <v>34</v>
      </c>
      <c r="O34" s="112">
        <v>0</v>
      </c>
      <c r="P34" s="112">
        <v>0.23</v>
      </c>
      <c r="Q34" s="112">
        <v>4.63</v>
      </c>
    </row>
    <row r="35" spans="1:17" customFormat="1">
      <c r="A35" s="80">
        <v>45479.28125</v>
      </c>
      <c r="B35" s="112">
        <v>9.33</v>
      </c>
      <c r="C35" s="112">
        <v>4.04</v>
      </c>
      <c r="D35" s="112">
        <v>14.05</v>
      </c>
      <c r="E35" s="112">
        <v>11.45</v>
      </c>
      <c r="F35" s="112">
        <v>3.84</v>
      </c>
      <c r="G35" s="112">
        <v>8.75</v>
      </c>
      <c r="H35" s="112">
        <v>2.11</v>
      </c>
      <c r="I35" s="112">
        <v>2.92</v>
      </c>
      <c r="J35" s="112">
        <v>0.36</v>
      </c>
      <c r="K35" s="112">
        <v>279.16000000000003</v>
      </c>
      <c r="L35" s="112">
        <v>26.3</v>
      </c>
      <c r="M35" s="112">
        <v>86.72</v>
      </c>
      <c r="N35" s="112">
        <v>39.9</v>
      </c>
      <c r="O35" s="112">
        <v>0</v>
      </c>
      <c r="P35" s="112">
        <v>0.24</v>
      </c>
      <c r="Q35" s="112">
        <v>4.6500000000000004</v>
      </c>
    </row>
    <row r="36" spans="1:17" customFormat="1">
      <c r="A36" s="80">
        <v>45479.291666666664</v>
      </c>
      <c r="B36" s="112">
        <v>9.32</v>
      </c>
      <c r="C36" s="112">
        <v>4.07</v>
      </c>
      <c r="D36" s="112">
        <v>14.05</v>
      </c>
      <c r="E36" s="112">
        <v>12.05</v>
      </c>
      <c r="F36" s="112">
        <v>3.81</v>
      </c>
      <c r="G36" s="112">
        <v>9.36</v>
      </c>
      <c r="H36" s="112">
        <v>2.14</v>
      </c>
      <c r="I36" s="112">
        <v>2.95</v>
      </c>
      <c r="J36" s="112">
        <v>0.45</v>
      </c>
      <c r="K36" s="112">
        <v>259.56</v>
      </c>
      <c r="L36" s="112">
        <v>26.43</v>
      </c>
      <c r="M36" s="112">
        <v>87.84</v>
      </c>
      <c r="N36" s="112">
        <v>47.9</v>
      </c>
      <c r="O36" s="112">
        <v>0</v>
      </c>
      <c r="P36" s="112">
        <v>0.23</v>
      </c>
      <c r="Q36" s="112">
        <v>4.63</v>
      </c>
    </row>
    <row r="37" spans="1:17" customFormat="1">
      <c r="A37" s="80">
        <v>45479.302083333336</v>
      </c>
      <c r="B37" s="112">
        <v>9.32</v>
      </c>
      <c r="C37" s="112">
        <v>4.08</v>
      </c>
      <c r="D37" s="112">
        <v>14.05</v>
      </c>
      <c r="E37" s="112">
        <v>11.96</v>
      </c>
      <c r="F37" s="112">
        <v>3.79</v>
      </c>
      <c r="G37" s="112">
        <v>9.36</v>
      </c>
      <c r="H37" s="112">
        <v>2.14</v>
      </c>
      <c r="I37" s="112">
        <v>2.92</v>
      </c>
      <c r="J37" s="112">
        <v>0.46</v>
      </c>
      <c r="K37" s="112">
        <v>268.7</v>
      </c>
      <c r="L37" s="112">
        <v>26.59</v>
      </c>
      <c r="M37" s="112">
        <v>86.03</v>
      </c>
      <c r="N37" s="112">
        <v>69.3</v>
      </c>
      <c r="O37" s="112">
        <v>0</v>
      </c>
      <c r="P37" s="112">
        <v>0.23</v>
      </c>
      <c r="Q37" s="112">
        <v>4.6399999999999997</v>
      </c>
    </row>
    <row r="38" spans="1:17" customFormat="1">
      <c r="A38" s="80">
        <v>45479.3125</v>
      </c>
      <c r="B38" s="112">
        <v>9.32</v>
      </c>
      <c r="C38" s="112">
        <v>4.0599999999999996</v>
      </c>
      <c r="D38" s="112">
        <v>14.04</v>
      </c>
      <c r="E38" s="112">
        <v>11.9</v>
      </c>
      <c r="F38" s="112">
        <v>3.43</v>
      </c>
      <c r="G38" s="112">
        <v>9.36</v>
      </c>
      <c r="H38" s="112">
        <v>2.14</v>
      </c>
      <c r="I38" s="112">
        <v>2.9</v>
      </c>
      <c r="J38" s="112">
        <v>0.46</v>
      </c>
      <c r="K38" s="112">
        <v>268.3</v>
      </c>
      <c r="L38" s="112">
        <v>26.76</v>
      </c>
      <c r="M38" s="112">
        <v>85.46</v>
      </c>
      <c r="N38" s="112">
        <v>88.8</v>
      </c>
      <c r="O38" s="112">
        <v>0</v>
      </c>
      <c r="P38" s="112">
        <v>0.23</v>
      </c>
      <c r="Q38" s="112">
        <v>4.63</v>
      </c>
    </row>
    <row r="39" spans="1:17" customFormat="1">
      <c r="A39" s="80">
        <v>45479.322916666664</v>
      </c>
      <c r="B39" s="112">
        <v>9.32</v>
      </c>
      <c r="C39" s="112">
        <v>4.07</v>
      </c>
      <c r="D39" s="112">
        <v>14.05</v>
      </c>
      <c r="E39" s="112">
        <v>12.62</v>
      </c>
      <c r="F39" s="112">
        <v>3.96</v>
      </c>
      <c r="G39" s="112">
        <v>9.48</v>
      </c>
      <c r="H39" s="112">
        <v>1.84</v>
      </c>
      <c r="I39" s="112">
        <v>2.87</v>
      </c>
      <c r="J39" s="112">
        <v>0.45</v>
      </c>
      <c r="K39" s="112">
        <v>264.24</v>
      </c>
      <c r="L39" s="112">
        <v>26.83</v>
      </c>
      <c r="M39" s="112">
        <v>86.2</v>
      </c>
      <c r="N39" s="112">
        <v>93.7</v>
      </c>
      <c r="O39" s="112">
        <v>0</v>
      </c>
      <c r="P39" s="112">
        <v>0.26</v>
      </c>
      <c r="Q39" s="112">
        <v>4.6399999999999997</v>
      </c>
    </row>
    <row r="40" spans="1:17" customFormat="1">
      <c r="A40" s="80">
        <v>45479.333333333336</v>
      </c>
      <c r="B40" s="112">
        <v>9.33</v>
      </c>
      <c r="C40" s="112">
        <v>4.05</v>
      </c>
      <c r="D40" s="112">
        <v>14.05</v>
      </c>
      <c r="E40" s="112">
        <v>12.67</v>
      </c>
      <c r="F40" s="112">
        <v>3.11</v>
      </c>
      <c r="G40" s="112">
        <v>9.58</v>
      </c>
      <c r="H40" s="112">
        <v>1.75</v>
      </c>
      <c r="I40" s="112">
        <v>2.84</v>
      </c>
      <c r="J40" s="112">
        <v>0.38</v>
      </c>
      <c r="K40" s="112">
        <v>272.08999999999997</v>
      </c>
      <c r="L40" s="112">
        <v>27</v>
      </c>
      <c r="M40" s="112">
        <v>84.34</v>
      </c>
      <c r="N40" s="112">
        <v>106.8</v>
      </c>
      <c r="O40" s="112">
        <v>0</v>
      </c>
      <c r="P40" s="112">
        <v>0.3</v>
      </c>
      <c r="Q40" s="112">
        <v>4.62</v>
      </c>
    </row>
    <row r="41" spans="1:17" customFormat="1">
      <c r="A41" s="80">
        <v>45479.34375</v>
      </c>
      <c r="B41" s="112">
        <v>9.36</v>
      </c>
      <c r="C41" s="112">
        <v>4.08</v>
      </c>
      <c r="D41" s="112">
        <v>14.08</v>
      </c>
      <c r="E41" s="112">
        <v>12.31</v>
      </c>
      <c r="F41" s="112">
        <v>3.98</v>
      </c>
      <c r="G41" s="112">
        <v>9.58</v>
      </c>
      <c r="H41" s="112">
        <v>1.75</v>
      </c>
      <c r="I41" s="112">
        <v>2.95</v>
      </c>
      <c r="J41" s="112">
        <v>0.42</v>
      </c>
      <c r="K41" s="112">
        <v>253.69</v>
      </c>
      <c r="L41" s="112">
        <v>27.22</v>
      </c>
      <c r="M41" s="112">
        <v>84.53</v>
      </c>
      <c r="N41" s="112">
        <v>127.9</v>
      </c>
      <c r="O41" s="112">
        <v>0</v>
      </c>
      <c r="P41" s="112">
        <v>0.3</v>
      </c>
      <c r="Q41" s="112">
        <v>4.62</v>
      </c>
    </row>
    <row r="42" spans="1:17" customFormat="1">
      <c r="A42" s="80">
        <v>45479.354166666664</v>
      </c>
      <c r="B42" s="112">
        <v>9.36</v>
      </c>
      <c r="C42" s="112">
        <v>4.08</v>
      </c>
      <c r="D42" s="112">
        <v>14.08</v>
      </c>
      <c r="E42" s="112">
        <v>11.77</v>
      </c>
      <c r="F42" s="112">
        <v>4.3499999999999996</v>
      </c>
      <c r="G42" s="112">
        <v>9.58</v>
      </c>
      <c r="H42" s="112">
        <v>1.75</v>
      </c>
      <c r="I42" s="112">
        <v>2.96</v>
      </c>
      <c r="J42" s="112">
        <v>0.55000000000000004</v>
      </c>
      <c r="K42" s="112">
        <v>257.27999999999997</v>
      </c>
      <c r="L42" s="112">
        <v>27.4</v>
      </c>
      <c r="M42" s="112">
        <v>85.43</v>
      </c>
      <c r="N42" s="112">
        <v>162.1</v>
      </c>
      <c r="O42" s="112">
        <v>0</v>
      </c>
      <c r="P42" s="112">
        <v>0.3</v>
      </c>
      <c r="Q42" s="112">
        <v>4.63</v>
      </c>
    </row>
    <row r="43" spans="1:17" customFormat="1">
      <c r="A43" s="80">
        <v>45479.364583333336</v>
      </c>
      <c r="B43" s="112">
        <v>9.35</v>
      </c>
      <c r="C43" s="112">
        <v>4.08</v>
      </c>
      <c r="D43" s="112">
        <v>14.08</v>
      </c>
      <c r="E43" s="112">
        <v>10.93</v>
      </c>
      <c r="F43" s="112">
        <v>5.42</v>
      </c>
      <c r="G43" s="112">
        <v>8.23</v>
      </c>
      <c r="H43" s="112">
        <v>1.49</v>
      </c>
      <c r="I43" s="112">
        <v>2.97</v>
      </c>
      <c r="J43" s="112">
        <v>0.61</v>
      </c>
      <c r="K43" s="112">
        <v>259.24</v>
      </c>
      <c r="L43" s="112">
        <v>27.58</v>
      </c>
      <c r="M43" s="112">
        <v>84.24</v>
      </c>
      <c r="N43" s="112">
        <v>192.6</v>
      </c>
      <c r="O43" s="112">
        <v>0</v>
      </c>
      <c r="P43" s="112">
        <v>0.28999999999999998</v>
      </c>
      <c r="Q43" s="112">
        <v>4.6399999999999997</v>
      </c>
    </row>
    <row r="44" spans="1:17" customFormat="1">
      <c r="A44" s="80">
        <v>45479.375</v>
      </c>
      <c r="B44" s="112">
        <v>9.33</v>
      </c>
      <c r="C44" s="112">
        <v>4.0599999999999996</v>
      </c>
      <c r="D44" s="112">
        <v>14.05</v>
      </c>
      <c r="E44" s="112">
        <v>10.96</v>
      </c>
      <c r="F44" s="112">
        <v>4.6900000000000004</v>
      </c>
      <c r="G44" s="112">
        <v>7.2</v>
      </c>
      <c r="H44" s="112">
        <v>1.4</v>
      </c>
      <c r="I44" s="112">
        <v>2.98</v>
      </c>
      <c r="J44" s="112">
        <v>0.71</v>
      </c>
      <c r="K44" s="112">
        <v>265.27</v>
      </c>
      <c r="L44" s="112">
        <v>28.14</v>
      </c>
      <c r="M44" s="112">
        <v>81.98</v>
      </c>
      <c r="N44" s="112">
        <v>235.4</v>
      </c>
      <c r="O44" s="112">
        <v>0</v>
      </c>
      <c r="P44" s="112">
        <v>0.3</v>
      </c>
      <c r="Q44" s="112">
        <v>4.6399999999999997</v>
      </c>
    </row>
    <row r="45" spans="1:17" customFormat="1">
      <c r="A45" s="80">
        <v>45479.385416666664</v>
      </c>
      <c r="B45" s="112">
        <v>9.32</v>
      </c>
      <c r="C45" s="112">
        <v>4.0599999999999996</v>
      </c>
      <c r="D45" s="112">
        <v>14.04</v>
      </c>
      <c r="E45" s="112">
        <v>10.66</v>
      </c>
      <c r="F45" s="112">
        <v>4.84</v>
      </c>
      <c r="G45" s="112">
        <v>7.2</v>
      </c>
      <c r="H45" s="112">
        <v>1.4</v>
      </c>
      <c r="I45" s="112">
        <v>2.97</v>
      </c>
      <c r="J45" s="112">
        <v>0.64</v>
      </c>
      <c r="K45" s="112">
        <v>254.1</v>
      </c>
      <c r="L45" s="112">
        <v>28.67</v>
      </c>
      <c r="M45" s="112">
        <v>81</v>
      </c>
      <c r="N45" s="112">
        <v>277.8</v>
      </c>
      <c r="O45" s="112">
        <v>0</v>
      </c>
      <c r="P45" s="112">
        <v>0.28999999999999998</v>
      </c>
      <c r="Q45" s="112">
        <v>4.6399999999999997</v>
      </c>
    </row>
    <row r="46" spans="1:17" customFormat="1">
      <c r="A46" s="80">
        <v>45479.395833333336</v>
      </c>
      <c r="B46" s="112">
        <v>9.3000000000000007</v>
      </c>
      <c r="C46" s="112">
        <v>4.09</v>
      </c>
      <c r="D46" s="112">
        <v>14.04</v>
      </c>
      <c r="E46" s="112">
        <v>10.39</v>
      </c>
      <c r="F46" s="112">
        <v>4.82</v>
      </c>
      <c r="G46" s="112">
        <v>7.2</v>
      </c>
      <c r="H46" s="112">
        <v>1.4</v>
      </c>
      <c r="I46" s="112">
        <v>3.02</v>
      </c>
      <c r="J46" s="112">
        <v>0.86</v>
      </c>
      <c r="K46" s="112">
        <v>260.27</v>
      </c>
      <c r="L46" s="112">
        <v>28.85</v>
      </c>
      <c r="M46" s="112">
        <v>79.06</v>
      </c>
      <c r="N46" s="112">
        <v>261.7</v>
      </c>
      <c r="O46" s="112">
        <v>0</v>
      </c>
      <c r="P46" s="112">
        <v>0.28999999999999998</v>
      </c>
      <c r="Q46" s="112">
        <v>4.63</v>
      </c>
    </row>
    <row r="47" spans="1:17" customFormat="1">
      <c r="A47" s="80">
        <v>45479.40625</v>
      </c>
      <c r="B47" s="112">
        <v>9.2899999999999991</v>
      </c>
      <c r="C47" s="112">
        <v>4.0599999999999996</v>
      </c>
      <c r="D47" s="112">
        <v>14.02</v>
      </c>
      <c r="E47" s="112">
        <v>10.16</v>
      </c>
      <c r="F47" s="112">
        <v>5.27</v>
      </c>
      <c r="G47" s="112">
        <v>7.3</v>
      </c>
      <c r="H47" s="112">
        <v>1.83</v>
      </c>
      <c r="I47" s="112">
        <v>3.01</v>
      </c>
      <c r="J47" s="112">
        <v>0.65</v>
      </c>
      <c r="K47" s="112">
        <v>257.05</v>
      </c>
      <c r="L47" s="112">
        <v>28.82</v>
      </c>
      <c r="M47" s="112">
        <v>79.87</v>
      </c>
      <c r="N47" s="112">
        <v>237.3</v>
      </c>
      <c r="O47" s="112">
        <v>0</v>
      </c>
      <c r="P47" s="112">
        <v>0.28999999999999998</v>
      </c>
      <c r="Q47" s="112">
        <v>4.6399999999999997</v>
      </c>
    </row>
    <row r="48" spans="1:17" customFormat="1">
      <c r="A48" s="80">
        <v>45479.416666666664</v>
      </c>
      <c r="B48" s="112">
        <v>9.2799999999999994</v>
      </c>
      <c r="C48" s="112">
        <v>4.07</v>
      </c>
      <c r="D48" s="112">
        <v>14.02</v>
      </c>
      <c r="E48" s="112">
        <v>10.18</v>
      </c>
      <c r="F48" s="112">
        <v>4.82</v>
      </c>
      <c r="G48" s="112">
        <v>7.37</v>
      </c>
      <c r="H48" s="112">
        <v>2.0699999999999998</v>
      </c>
      <c r="I48" s="112">
        <v>3.03</v>
      </c>
      <c r="J48" s="112">
        <v>0.69</v>
      </c>
      <c r="K48" s="112">
        <v>265.36</v>
      </c>
      <c r="L48" s="112">
        <v>29.12</v>
      </c>
      <c r="M48" s="112">
        <v>79.319999999999993</v>
      </c>
      <c r="N48" s="112">
        <v>224.3</v>
      </c>
      <c r="O48" s="112">
        <v>0</v>
      </c>
      <c r="P48" s="112">
        <v>0.28999999999999998</v>
      </c>
      <c r="Q48" s="112">
        <v>4.62</v>
      </c>
    </row>
    <row r="49" spans="1:17" customFormat="1">
      <c r="A49" s="80">
        <v>45479.427083333336</v>
      </c>
      <c r="B49" s="112">
        <v>9.2899999999999991</v>
      </c>
      <c r="C49" s="112">
        <v>4.05</v>
      </c>
      <c r="D49" s="112">
        <v>14.01</v>
      </c>
      <c r="E49" s="112">
        <v>8.99</v>
      </c>
      <c r="F49" s="112">
        <v>5.0199999999999996</v>
      </c>
      <c r="G49" s="112">
        <v>7.37</v>
      </c>
      <c r="H49" s="112">
        <v>2.0699999999999998</v>
      </c>
      <c r="I49" s="112">
        <v>2.99</v>
      </c>
      <c r="J49" s="112">
        <v>0.81</v>
      </c>
      <c r="K49" s="112">
        <v>258.87</v>
      </c>
      <c r="L49" s="112">
        <v>29.12</v>
      </c>
      <c r="M49" s="112">
        <v>78.39</v>
      </c>
      <c r="N49" s="112">
        <v>264.60000000000002</v>
      </c>
      <c r="O49" s="112">
        <v>0</v>
      </c>
      <c r="P49" s="112">
        <v>0.28999999999999998</v>
      </c>
      <c r="Q49" s="112">
        <v>4.63</v>
      </c>
    </row>
    <row r="50" spans="1:17" customFormat="1">
      <c r="A50" s="80">
        <v>45479.4375</v>
      </c>
      <c r="B50" s="112">
        <v>9.3000000000000007</v>
      </c>
      <c r="C50" s="112">
        <v>4.0599999999999996</v>
      </c>
      <c r="D50" s="112">
        <v>14.02</v>
      </c>
      <c r="E50" s="112">
        <v>10.36</v>
      </c>
      <c r="F50" s="112">
        <v>4.99</v>
      </c>
      <c r="G50" s="112">
        <v>7.37</v>
      </c>
      <c r="H50" s="112">
        <v>2.0699999999999998</v>
      </c>
      <c r="I50" s="112">
        <v>3</v>
      </c>
      <c r="J50" s="112">
        <v>0.63</v>
      </c>
      <c r="K50" s="112">
        <v>257.87</v>
      </c>
      <c r="L50" s="112">
        <v>28.89</v>
      </c>
      <c r="M50" s="112">
        <v>78.64</v>
      </c>
      <c r="N50" s="112">
        <v>142.6</v>
      </c>
      <c r="O50" s="112">
        <v>0</v>
      </c>
      <c r="P50" s="112">
        <v>0.3</v>
      </c>
      <c r="Q50" s="112">
        <v>4.63</v>
      </c>
    </row>
    <row r="51" spans="1:17" customFormat="1">
      <c r="A51" s="80">
        <v>45479.447916666664</v>
      </c>
      <c r="B51" s="112">
        <v>9.2799999999999994</v>
      </c>
      <c r="C51" s="112">
        <v>4.09</v>
      </c>
      <c r="D51" s="112">
        <v>14.03</v>
      </c>
      <c r="E51" s="112">
        <v>9.8800000000000008</v>
      </c>
      <c r="F51" s="112">
        <v>6.54</v>
      </c>
      <c r="G51" s="112">
        <v>6.23</v>
      </c>
      <c r="H51" s="112">
        <v>1.9</v>
      </c>
      <c r="I51" s="112">
        <v>3.01</v>
      </c>
      <c r="J51" s="112">
        <v>0.37</v>
      </c>
      <c r="K51" s="112">
        <v>250.36</v>
      </c>
      <c r="L51" s="112">
        <v>28.46</v>
      </c>
      <c r="M51" s="112">
        <v>83.91</v>
      </c>
      <c r="N51" s="112">
        <v>70.099999999999994</v>
      </c>
      <c r="O51" s="112">
        <v>0.8</v>
      </c>
      <c r="P51" s="112">
        <v>0.3</v>
      </c>
      <c r="Q51" s="112">
        <v>4.63</v>
      </c>
    </row>
    <row r="52" spans="1:17" customFormat="1">
      <c r="A52" s="80">
        <v>45479.458333333336</v>
      </c>
      <c r="B52" s="112">
        <v>9.2899999999999991</v>
      </c>
      <c r="C52" s="112">
        <v>4.0599999999999996</v>
      </c>
      <c r="D52" s="112">
        <v>14.02</v>
      </c>
      <c r="E52" s="112">
        <v>10.02</v>
      </c>
      <c r="F52" s="112">
        <v>5.69</v>
      </c>
      <c r="G52" s="112">
        <v>5.36</v>
      </c>
      <c r="H52" s="112">
        <v>1.85</v>
      </c>
      <c r="I52" s="112">
        <v>3</v>
      </c>
      <c r="J52" s="112">
        <v>0.21</v>
      </c>
      <c r="K52" s="112">
        <v>219.45</v>
      </c>
      <c r="L52" s="112">
        <v>27.88</v>
      </c>
      <c r="M52" s="112">
        <v>93.63</v>
      </c>
      <c r="N52" s="112">
        <v>244.4</v>
      </c>
      <c r="O52" s="112">
        <v>0</v>
      </c>
      <c r="P52" s="112">
        <v>0.28999999999999998</v>
      </c>
      <c r="Q52" s="112">
        <v>4.63</v>
      </c>
    </row>
    <row r="53" spans="1:17" customFormat="1">
      <c r="A53" s="80">
        <v>45479.46875</v>
      </c>
      <c r="B53" s="112">
        <v>9.3000000000000007</v>
      </c>
      <c r="C53" s="112">
        <v>4.0599999999999996</v>
      </c>
      <c r="D53" s="112">
        <v>14.03</v>
      </c>
      <c r="E53" s="112">
        <v>9.77</v>
      </c>
      <c r="F53" s="112">
        <v>5.78</v>
      </c>
      <c r="G53" s="112">
        <v>5.36</v>
      </c>
      <c r="H53" s="112">
        <v>1.85</v>
      </c>
      <c r="I53" s="112">
        <v>2.91</v>
      </c>
      <c r="J53" s="112">
        <v>0.42</v>
      </c>
      <c r="K53" s="112">
        <v>262.77999999999997</v>
      </c>
      <c r="L53" s="112">
        <v>29.21</v>
      </c>
      <c r="M53" s="112">
        <v>87.18</v>
      </c>
      <c r="N53" s="112">
        <v>334.5</v>
      </c>
      <c r="O53" s="112">
        <v>0</v>
      </c>
      <c r="P53" s="112">
        <v>0.28999999999999998</v>
      </c>
      <c r="Q53" s="112">
        <v>4.6399999999999997</v>
      </c>
    </row>
    <row r="54" spans="1:17" customFormat="1">
      <c r="A54" s="80">
        <v>45479.479166666664</v>
      </c>
      <c r="B54" s="112">
        <v>9.2799999999999994</v>
      </c>
      <c r="C54" s="112">
        <v>4.05</v>
      </c>
      <c r="D54" s="112">
        <v>14.01</v>
      </c>
      <c r="E54" s="112">
        <v>10.16</v>
      </c>
      <c r="F54" s="112">
        <v>5.34</v>
      </c>
      <c r="G54" s="112">
        <v>5.36</v>
      </c>
      <c r="H54" s="112">
        <v>1.85</v>
      </c>
      <c r="I54" s="112">
        <v>2.91</v>
      </c>
      <c r="J54" s="112">
        <v>0.66</v>
      </c>
      <c r="K54" s="112">
        <v>260.33</v>
      </c>
      <c r="L54" s="112">
        <v>29.22</v>
      </c>
      <c r="M54" s="112">
        <v>82.21</v>
      </c>
      <c r="N54" s="112">
        <v>241.3</v>
      </c>
      <c r="O54" s="112">
        <v>0</v>
      </c>
      <c r="P54" s="112">
        <v>0.28999999999999998</v>
      </c>
      <c r="Q54" s="112">
        <v>4.6100000000000003</v>
      </c>
    </row>
    <row r="55" spans="1:17" customFormat="1">
      <c r="A55" s="80">
        <v>45479.489583333336</v>
      </c>
      <c r="B55" s="112">
        <v>9.3000000000000007</v>
      </c>
      <c r="C55" s="112">
        <v>4.0599999999999996</v>
      </c>
      <c r="D55" s="112">
        <v>14.02</v>
      </c>
      <c r="E55" s="112">
        <v>10.31</v>
      </c>
      <c r="F55" s="112">
        <v>6.5</v>
      </c>
      <c r="G55" s="112">
        <v>7.29</v>
      </c>
      <c r="H55" s="112">
        <v>3.23</v>
      </c>
      <c r="I55" s="112">
        <v>2.98</v>
      </c>
      <c r="J55" s="112">
        <v>0.65</v>
      </c>
      <c r="K55" s="112">
        <v>263.06</v>
      </c>
      <c r="L55" s="112">
        <v>29.94</v>
      </c>
      <c r="M55" s="112">
        <v>79.83</v>
      </c>
      <c r="N55" s="112">
        <v>400.7</v>
      </c>
      <c r="O55" s="112">
        <v>0</v>
      </c>
      <c r="P55" s="112">
        <v>0.28999999999999998</v>
      </c>
      <c r="Q55" s="112">
        <v>4.62</v>
      </c>
    </row>
    <row r="56" spans="1:17" customFormat="1">
      <c r="A56" s="80">
        <v>45479.5</v>
      </c>
      <c r="B56" s="112">
        <v>9.2899999999999991</v>
      </c>
      <c r="C56" s="112">
        <v>4.0599999999999996</v>
      </c>
      <c r="D56" s="112">
        <v>14.02</v>
      </c>
      <c r="E56" s="112">
        <v>9.92</v>
      </c>
      <c r="F56" s="112">
        <v>5.86</v>
      </c>
      <c r="G56" s="112">
        <v>8.77</v>
      </c>
      <c r="H56" s="112">
        <v>3.68</v>
      </c>
      <c r="I56" s="112">
        <v>3</v>
      </c>
      <c r="J56" s="112">
        <v>0.64</v>
      </c>
      <c r="K56" s="112">
        <v>254.62</v>
      </c>
      <c r="L56" s="112">
        <v>30.31</v>
      </c>
      <c r="M56" s="112">
        <v>77.64</v>
      </c>
      <c r="N56" s="112">
        <v>348.4</v>
      </c>
      <c r="O56" s="112">
        <v>0</v>
      </c>
      <c r="P56" s="112">
        <v>0.28999999999999998</v>
      </c>
      <c r="Q56" s="112">
        <v>4.6100000000000003</v>
      </c>
    </row>
    <row r="57" spans="1:17" customFormat="1">
      <c r="A57" s="80">
        <v>45479.510416666664</v>
      </c>
      <c r="B57" s="112">
        <v>9.3000000000000007</v>
      </c>
      <c r="C57" s="112">
        <v>4.05</v>
      </c>
      <c r="D57" s="112">
        <v>14.03</v>
      </c>
      <c r="E57" s="112">
        <v>9.73</v>
      </c>
      <c r="F57" s="112">
        <v>5.63</v>
      </c>
      <c r="G57" s="112">
        <v>8.77</v>
      </c>
      <c r="H57" s="112">
        <v>3.68</v>
      </c>
      <c r="I57" s="112">
        <v>2.93</v>
      </c>
      <c r="J57" s="112">
        <v>0.82</v>
      </c>
      <c r="K57" s="112">
        <v>272.64999999999998</v>
      </c>
      <c r="L57" s="112">
        <v>30.87</v>
      </c>
      <c r="M57" s="112">
        <v>75.03</v>
      </c>
      <c r="N57" s="112">
        <v>697.2</v>
      </c>
      <c r="O57" s="112">
        <v>0</v>
      </c>
      <c r="P57" s="112">
        <v>0.28999999999999998</v>
      </c>
      <c r="Q57" s="112">
        <v>4.62</v>
      </c>
    </row>
    <row r="58" spans="1:17" customFormat="1">
      <c r="A58" s="80">
        <v>45479.520833333336</v>
      </c>
      <c r="B58" s="112">
        <v>9.31</v>
      </c>
      <c r="C58" s="112">
        <v>4.0599999999999996</v>
      </c>
      <c r="D58" s="112">
        <v>14.04</v>
      </c>
      <c r="E58" s="112">
        <v>9.4700000000000006</v>
      </c>
      <c r="F58" s="112">
        <v>6.65</v>
      </c>
      <c r="G58" s="112">
        <v>8.77</v>
      </c>
      <c r="H58" s="112">
        <v>3.68</v>
      </c>
      <c r="I58" s="112">
        <v>2.97</v>
      </c>
      <c r="J58" s="112">
        <v>0.7</v>
      </c>
      <c r="K58" s="112">
        <v>256.8</v>
      </c>
      <c r="L58" s="112">
        <v>31.59</v>
      </c>
      <c r="M58" s="112">
        <v>73.05</v>
      </c>
      <c r="N58" s="112">
        <v>562.20000000000005</v>
      </c>
      <c r="O58" s="112">
        <v>0</v>
      </c>
      <c r="P58" s="112">
        <v>0.25</v>
      </c>
      <c r="Q58" s="112">
        <v>4.62</v>
      </c>
    </row>
    <row r="59" spans="1:17" customFormat="1">
      <c r="A59" s="80">
        <v>45479.53125</v>
      </c>
      <c r="B59" s="112">
        <v>9.3800000000000008</v>
      </c>
      <c r="C59" s="112">
        <v>4.0599999999999996</v>
      </c>
      <c r="D59" s="112">
        <v>14.09</v>
      </c>
      <c r="E59" s="112">
        <v>9.99</v>
      </c>
      <c r="F59" s="112">
        <v>8.0299999999999994</v>
      </c>
      <c r="G59" s="112">
        <v>9.89</v>
      </c>
      <c r="H59" s="112">
        <v>3.19</v>
      </c>
      <c r="I59" s="112">
        <v>3.14</v>
      </c>
      <c r="J59" s="112">
        <v>0.69</v>
      </c>
      <c r="K59" s="112">
        <v>266.04000000000002</v>
      </c>
      <c r="L59" s="112">
        <v>31.54</v>
      </c>
      <c r="M59" s="112">
        <v>73.819999999999993</v>
      </c>
      <c r="N59" s="112">
        <v>484.3</v>
      </c>
      <c r="O59" s="112">
        <v>0</v>
      </c>
      <c r="P59" s="112">
        <v>0.21</v>
      </c>
      <c r="Q59" s="112">
        <v>4.63</v>
      </c>
    </row>
    <row r="60" spans="1:17" customFormat="1">
      <c r="A60" s="80">
        <v>45479.541666666664</v>
      </c>
      <c r="B60" s="112">
        <v>9.3800000000000008</v>
      </c>
      <c r="C60" s="112">
        <v>4.09</v>
      </c>
      <c r="D60" s="112">
        <v>14.11</v>
      </c>
      <c r="E60" s="112">
        <v>10.06</v>
      </c>
      <c r="F60" s="112">
        <v>6.01</v>
      </c>
      <c r="G60" s="112">
        <v>10.75</v>
      </c>
      <c r="H60" s="112">
        <v>2.89</v>
      </c>
      <c r="I60" s="112">
        <v>2.97</v>
      </c>
      <c r="J60" s="112">
        <v>0.72</v>
      </c>
      <c r="K60" s="112">
        <v>272.83</v>
      </c>
      <c r="L60" s="112">
        <v>31.27</v>
      </c>
      <c r="M60" s="112">
        <v>74.11</v>
      </c>
      <c r="N60" s="112">
        <v>266.89999999999998</v>
      </c>
      <c r="O60" s="112">
        <v>0</v>
      </c>
      <c r="P60" s="112">
        <v>0.21</v>
      </c>
      <c r="Q60" s="112">
        <v>4.63</v>
      </c>
    </row>
    <row r="61" spans="1:17" customFormat="1">
      <c r="A61" s="80">
        <v>45479.552083333336</v>
      </c>
      <c r="B61" s="112">
        <v>9.36</v>
      </c>
      <c r="C61" s="112">
        <v>4.08</v>
      </c>
      <c r="D61" s="112">
        <v>14.09</v>
      </c>
      <c r="E61" s="112">
        <v>10.78</v>
      </c>
      <c r="F61" s="112">
        <v>6.63</v>
      </c>
      <c r="G61" s="112">
        <v>10.75</v>
      </c>
      <c r="H61" s="112">
        <v>2.89</v>
      </c>
      <c r="I61" s="112">
        <v>2.87</v>
      </c>
      <c r="J61" s="112">
        <v>0.7</v>
      </c>
      <c r="K61" s="112">
        <v>274.54000000000002</v>
      </c>
      <c r="L61" s="112">
        <v>31.11</v>
      </c>
      <c r="M61" s="112">
        <v>73.489999999999995</v>
      </c>
      <c r="N61" s="112">
        <v>215.7</v>
      </c>
      <c r="O61" s="112">
        <v>0</v>
      </c>
      <c r="P61" s="112">
        <v>0.21</v>
      </c>
      <c r="Q61" s="112">
        <v>4.6500000000000004</v>
      </c>
    </row>
    <row r="62" spans="1:17" customFormat="1">
      <c r="A62" s="80">
        <v>45479.5625</v>
      </c>
      <c r="B62" s="112">
        <v>9.35</v>
      </c>
      <c r="C62" s="112">
        <v>4.09</v>
      </c>
      <c r="D62" s="112">
        <v>14.09</v>
      </c>
      <c r="E62" s="112">
        <v>10.86</v>
      </c>
      <c r="F62" s="112">
        <v>7.26</v>
      </c>
      <c r="G62" s="112">
        <v>10.75</v>
      </c>
      <c r="H62" s="112">
        <v>2.89</v>
      </c>
      <c r="I62" s="112">
        <v>2.87</v>
      </c>
      <c r="J62" s="112">
        <v>0.72</v>
      </c>
      <c r="K62" s="112">
        <v>278.36</v>
      </c>
      <c r="L62" s="112">
        <v>31.5</v>
      </c>
      <c r="M62" s="112">
        <v>71.790000000000006</v>
      </c>
      <c r="N62" s="112">
        <v>283.7</v>
      </c>
      <c r="O62" s="112">
        <v>0</v>
      </c>
      <c r="P62" s="112">
        <v>0.2</v>
      </c>
      <c r="Q62" s="112">
        <v>4.66</v>
      </c>
    </row>
    <row r="63" spans="1:17" customFormat="1">
      <c r="A63" s="80">
        <v>45479.572916666664</v>
      </c>
      <c r="B63" s="112">
        <v>9.3699999999999992</v>
      </c>
      <c r="C63" s="112">
        <v>4.0599999999999996</v>
      </c>
      <c r="D63" s="112">
        <v>14.09</v>
      </c>
      <c r="E63" s="112">
        <v>11.37</v>
      </c>
      <c r="F63" s="112">
        <v>6.68</v>
      </c>
      <c r="G63" s="112">
        <v>10.56</v>
      </c>
      <c r="H63" s="112">
        <v>2.54</v>
      </c>
      <c r="I63" s="112">
        <v>3.01</v>
      </c>
      <c r="J63" s="112">
        <v>0.56999999999999995</v>
      </c>
      <c r="K63" s="112">
        <v>256.18</v>
      </c>
      <c r="L63" s="112">
        <v>32.39</v>
      </c>
      <c r="M63" s="112">
        <v>70.180000000000007</v>
      </c>
      <c r="N63" s="112">
        <v>288.3</v>
      </c>
      <c r="O63" s="112">
        <v>0</v>
      </c>
      <c r="P63" s="112">
        <v>0.2</v>
      </c>
      <c r="Q63" s="112">
        <v>4.63</v>
      </c>
    </row>
    <row r="64" spans="1:17" customFormat="1">
      <c r="A64" s="80">
        <v>45479.583333333336</v>
      </c>
      <c r="B64" s="112">
        <v>9.3699999999999992</v>
      </c>
      <c r="C64" s="112">
        <v>4.07</v>
      </c>
      <c r="D64" s="112">
        <v>14.09</v>
      </c>
      <c r="E64" s="112">
        <v>11.47</v>
      </c>
      <c r="F64" s="112">
        <v>6.64</v>
      </c>
      <c r="G64" s="112">
        <v>10.41</v>
      </c>
      <c r="H64" s="112">
        <v>2.4300000000000002</v>
      </c>
      <c r="I64" s="112">
        <v>2.96</v>
      </c>
      <c r="J64" s="112">
        <v>0.86</v>
      </c>
      <c r="K64" s="112">
        <v>278.02999999999997</v>
      </c>
      <c r="L64" s="112">
        <v>32.770000000000003</v>
      </c>
      <c r="M64" s="112">
        <v>68.31</v>
      </c>
      <c r="N64" s="112">
        <v>552.6</v>
      </c>
      <c r="O64" s="112">
        <v>0</v>
      </c>
      <c r="P64" s="112">
        <v>0.2</v>
      </c>
      <c r="Q64" s="112">
        <v>4.6399999999999997</v>
      </c>
    </row>
    <row r="65" spans="1:17" customFormat="1">
      <c r="A65" s="80">
        <v>45479.59375</v>
      </c>
      <c r="B65" s="112">
        <v>9.3800000000000008</v>
      </c>
      <c r="C65" s="112">
        <v>4.07</v>
      </c>
      <c r="D65" s="112">
        <v>14.1</v>
      </c>
      <c r="E65" s="112">
        <v>11.59</v>
      </c>
      <c r="F65" s="112">
        <v>5.45</v>
      </c>
      <c r="G65" s="112">
        <v>10.41</v>
      </c>
      <c r="H65" s="112">
        <v>2.4300000000000002</v>
      </c>
      <c r="I65" s="112">
        <v>3.01</v>
      </c>
      <c r="J65" s="112">
        <v>0.76</v>
      </c>
      <c r="K65" s="112">
        <v>278.68</v>
      </c>
      <c r="L65" s="112">
        <v>33.25</v>
      </c>
      <c r="M65" s="112">
        <v>63.91</v>
      </c>
      <c r="N65" s="112">
        <v>721.4</v>
      </c>
      <c r="O65" s="112">
        <v>0</v>
      </c>
      <c r="P65" s="112">
        <v>0.25</v>
      </c>
      <c r="Q65" s="112">
        <v>4.6399999999999997</v>
      </c>
    </row>
    <row r="66" spans="1:17" customFormat="1">
      <c r="A66" s="80">
        <v>45479.604166666664</v>
      </c>
      <c r="B66" s="112">
        <v>9.39</v>
      </c>
      <c r="C66" s="112">
        <v>4.05</v>
      </c>
      <c r="D66" s="112">
        <v>14.1</v>
      </c>
      <c r="E66" s="112">
        <v>11.14</v>
      </c>
      <c r="F66" s="112">
        <v>6.32</v>
      </c>
      <c r="G66" s="112">
        <v>10.41</v>
      </c>
      <c r="H66" s="112">
        <v>2.4300000000000002</v>
      </c>
      <c r="I66" s="112">
        <v>2.99</v>
      </c>
      <c r="J66" s="112">
        <v>0.83</v>
      </c>
      <c r="K66" s="112">
        <v>269.05</v>
      </c>
      <c r="L66" s="112">
        <v>33.56</v>
      </c>
      <c r="M66" s="112">
        <v>64.599999999999994</v>
      </c>
      <c r="N66" s="112">
        <v>515.6</v>
      </c>
      <c r="O66" s="112">
        <v>0</v>
      </c>
      <c r="P66" s="112">
        <v>0.25</v>
      </c>
      <c r="Q66" s="112">
        <v>4.6399999999999997</v>
      </c>
    </row>
    <row r="67" spans="1:17" customFormat="1">
      <c r="A67" s="80">
        <v>45479.614583333336</v>
      </c>
      <c r="B67" s="112">
        <v>9.3699999999999992</v>
      </c>
      <c r="C67" s="112">
        <v>4.0599999999999996</v>
      </c>
      <c r="D67" s="112">
        <v>14.09</v>
      </c>
      <c r="E67" s="112">
        <v>10.89</v>
      </c>
      <c r="F67" s="112">
        <v>9.77</v>
      </c>
      <c r="G67" s="112">
        <v>12.34</v>
      </c>
      <c r="H67" s="112">
        <v>2.5299999999999998</v>
      </c>
      <c r="I67" s="112">
        <v>2.97</v>
      </c>
      <c r="J67" s="112">
        <v>0.37</v>
      </c>
      <c r="K67" s="112">
        <v>244.36</v>
      </c>
      <c r="L67" s="112">
        <v>32.630000000000003</v>
      </c>
      <c r="M67" s="112">
        <v>67.77</v>
      </c>
      <c r="N67" s="112">
        <v>427.7</v>
      </c>
      <c r="O67" s="112">
        <v>0</v>
      </c>
      <c r="P67" s="112">
        <v>0.26</v>
      </c>
      <c r="Q67" s="112">
        <v>4.6399999999999997</v>
      </c>
    </row>
    <row r="68" spans="1:17" customFormat="1">
      <c r="A68" s="80">
        <v>45479.625</v>
      </c>
      <c r="B68" s="112">
        <v>9.32</v>
      </c>
      <c r="C68" s="112">
        <v>4.09</v>
      </c>
      <c r="D68" s="112">
        <v>14.07</v>
      </c>
      <c r="E68" s="112">
        <v>11.91</v>
      </c>
      <c r="F68" s="112">
        <v>7.92</v>
      </c>
      <c r="G68" s="112">
        <v>13.82</v>
      </c>
      <c r="H68" s="112">
        <v>2.57</v>
      </c>
      <c r="I68" s="112">
        <v>2.92</v>
      </c>
      <c r="J68" s="112">
        <v>0.57999999999999996</v>
      </c>
      <c r="K68" s="112">
        <v>261.7</v>
      </c>
      <c r="L68" s="112">
        <v>33.630000000000003</v>
      </c>
      <c r="M68" s="112">
        <v>64.67</v>
      </c>
      <c r="N68" s="112">
        <v>472.6</v>
      </c>
      <c r="O68" s="112">
        <v>0</v>
      </c>
      <c r="P68" s="112">
        <v>0.26</v>
      </c>
      <c r="Q68" s="112">
        <v>4.6500000000000004</v>
      </c>
    </row>
    <row r="69" spans="1:17" customFormat="1">
      <c r="A69" s="80">
        <v>45479.635416666664</v>
      </c>
      <c r="B69" s="112">
        <v>9.31</v>
      </c>
      <c r="C69" s="112">
        <v>4.08</v>
      </c>
      <c r="D69" s="112">
        <v>14.05</v>
      </c>
      <c r="E69" s="112">
        <v>11.69</v>
      </c>
      <c r="F69" s="112">
        <v>5.97</v>
      </c>
      <c r="G69" s="112">
        <v>13.82</v>
      </c>
      <c r="H69" s="112">
        <v>2.57</v>
      </c>
      <c r="I69" s="112">
        <v>2.75</v>
      </c>
      <c r="J69" s="112">
        <v>0.59</v>
      </c>
      <c r="K69" s="112">
        <v>255.76</v>
      </c>
      <c r="L69" s="112">
        <v>33.29</v>
      </c>
      <c r="M69" s="112">
        <v>64.92</v>
      </c>
      <c r="N69" s="112">
        <v>332.5</v>
      </c>
      <c r="O69" s="112">
        <v>0</v>
      </c>
      <c r="P69" s="112">
        <v>0.27</v>
      </c>
      <c r="Q69" s="112">
        <v>4.6399999999999997</v>
      </c>
    </row>
    <row r="70" spans="1:17" customFormat="1">
      <c r="A70" s="80">
        <v>45479.645833333336</v>
      </c>
      <c r="B70" s="112">
        <v>9.32</v>
      </c>
      <c r="C70" s="112">
        <v>4.07</v>
      </c>
      <c r="D70" s="112">
        <v>14.05</v>
      </c>
      <c r="E70" s="112">
        <v>11.95</v>
      </c>
      <c r="F70" s="112">
        <v>7.66</v>
      </c>
      <c r="G70" s="112">
        <v>13.82</v>
      </c>
      <c r="H70" s="112">
        <v>2.57</v>
      </c>
      <c r="I70" s="112">
        <v>2.81</v>
      </c>
      <c r="J70" s="112">
        <v>0.78</v>
      </c>
      <c r="K70" s="112">
        <v>268.26</v>
      </c>
      <c r="L70" s="112">
        <v>32.840000000000003</v>
      </c>
      <c r="M70" s="112">
        <v>63.89</v>
      </c>
      <c r="N70" s="112">
        <v>314.2</v>
      </c>
      <c r="O70" s="112">
        <v>0</v>
      </c>
      <c r="P70" s="112">
        <v>0.26</v>
      </c>
      <c r="Q70" s="112">
        <v>4.63</v>
      </c>
    </row>
    <row r="71" spans="1:17" customFormat="1">
      <c r="A71" s="80">
        <v>45479.65625</v>
      </c>
      <c r="B71" s="112">
        <v>9.31</v>
      </c>
      <c r="C71" s="112">
        <v>4.08</v>
      </c>
      <c r="D71" s="112">
        <v>14.05</v>
      </c>
      <c r="E71" s="112">
        <v>11.48</v>
      </c>
      <c r="F71" s="112">
        <v>8.73</v>
      </c>
      <c r="G71" s="112">
        <v>13.99</v>
      </c>
      <c r="H71" s="112">
        <v>4.12</v>
      </c>
      <c r="I71" s="112">
        <v>2.81</v>
      </c>
      <c r="J71" s="112">
        <v>0.71</v>
      </c>
      <c r="K71" s="112">
        <v>264.83</v>
      </c>
      <c r="L71" s="112">
        <v>32.99</v>
      </c>
      <c r="M71" s="112">
        <v>62.88</v>
      </c>
      <c r="N71" s="112">
        <v>351.5</v>
      </c>
      <c r="O71" s="112">
        <v>0</v>
      </c>
      <c r="P71" s="112">
        <v>0.28000000000000003</v>
      </c>
      <c r="Q71" s="112">
        <v>4.6399999999999997</v>
      </c>
    </row>
    <row r="72" spans="1:17" customFormat="1">
      <c r="A72" s="80">
        <v>45479.666666666664</v>
      </c>
      <c r="B72" s="112">
        <v>9.33</v>
      </c>
      <c r="C72" s="112">
        <v>4.0599999999999996</v>
      </c>
      <c r="D72" s="112">
        <v>14.05</v>
      </c>
      <c r="E72" s="112">
        <v>11.42</v>
      </c>
      <c r="F72" s="112">
        <v>8.1199999999999992</v>
      </c>
      <c r="G72" s="112">
        <v>14.13</v>
      </c>
      <c r="H72" s="112">
        <v>4.6100000000000003</v>
      </c>
      <c r="I72" s="112">
        <v>2.79</v>
      </c>
      <c r="J72" s="112">
        <v>0.68</v>
      </c>
      <c r="K72" s="112">
        <v>255.26</v>
      </c>
      <c r="L72" s="112">
        <v>33.47</v>
      </c>
      <c r="M72" s="112">
        <v>63.92</v>
      </c>
      <c r="N72" s="112">
        <v>344</v>
      </c>
      <c r="O72" s="112">
        <v>0</v>
      </c>
      <c r="P72" s="112">
        <v>0.26</v>
      </c>
      <c r="Q72" s="112">
        <v>4.6399999999999997</v>
      </c>
    </row>
    <row r="73" spans="1:17" customFormat="1">
      <c r="A73" s="80">
        <v>45479.677083333336</v>
      </c>
      <c r="B73" s="112">
        <v>9.33</v>
      </c>
      <c r="C73" s="112">
        <v>4.05</v>
      </c>
      <c r="D73" s="112">
        <v>14.05</v>
      </c>
      <c r="E73" s="112">
        <v>12.05</v>
      </c>
      <c r="F73" s="112">
        <v>6.63</v>
      </c>
      <c r="G73" s="112">
        <v>14.13</v>
      </c>
      <c r="H73" s="112">
        <v>4.6100000000000003</v>
      </c>
      <c r="I73" s="112">
        <v>2.72</v>
      </c>
      <c r="J73" s="112">
        <v>0.63</v>
      </c>
      <c r="K73" s="112">
        <v>259.97000000000003</v>
      </c>
      <c r="L73" s="112">
        <v>33.58</v>
      </c>
      <c r="M73" s="112">
        <v>59.76</v>
      </c>
      <c r="N73" s="112">
        <v>326.39999999999998</v>
      </c>
      <c r="O73" s="112">
        <v>0</v>
      </c>
      <c r="P73" s="112">
        <v>0.28000000000000003</v>
      </c>
      <c r="Q73" s="112">
        <v>4.5999999999999996</v>
      </c>
    </row>
    <row r="74" spans="1:17" customFormat="1">
      <c r="A74" s="80">
        <v>45479.6875</v>
      </c>
      <c r="B74" s="112">
        <v>9.33</v>
      </c>
      <c r="C74" s="112">
        <v>4.07</v>
      </c>
      <c r="D74" s="112">
        <v>14.06</v>
      </c>
      <c r="E74" s="112">
        <v>11.94</v>
      </c>
      <c r="F74" s="112">
        <v>8.3699999999999992</v>
      </c>
      <c r="G74" s="112">
        <v>14.13</v>
      </c>
      <c r="H74" s="112">
        <v>4.6100000000000003</v>
      </c>
      <c r="I74" s="112">
        <v>2.75</v>
      </c>
      <c r="J74" s="112">
        <v>0.38</v>
      </c>
      <c r="K74" s="112">
        <v>248.05</v>
      </c>
      <c r="L74" s="112">
        <v>33.200000000000003</v>
      </c>
      <c r="M74" s="112">
        <v>64.8</v>
      </c>
      <c r="N74" s="112">
        <v>110.7</v>
      </c>
      <c r="O74" s="112">
        <v>0</v>
      </c>
      <c r="P74" s="112">
        <v>0.26</v>
      </c>
      <c r="Q74" s="112">
        <v>4.6399999999999997</v>
      </c>
    </row>
    <row r="75" spans="1:17" customFormat="1">
      <c r="A75" s="80">
        <v>45479.697916666664</v>
      </c>
      <c r="B75" s="112">
        <v>9.33</v>
      </c>
      <c r="C75" s="112">
        <v>4.04</v>
      </c>
      <c r="D75" s="112">
        <v>14.04</v>
      </c>
      <c r="E75" s="112">
        <v>12.03</v>
      </c>
      <c r="F75" s="112">
        <v>5.54</v>
      </c>
      <c r="G75" s="112">
        <v>16.989999999999998</v>
      </c>
      <c r="H75" s="112">
        <v>5.91</v>
      </c>
      <c r="I75" s="112">
        <v>2.69</v>
      </c>
      <c r="J75" s="112">
        <v>0.26</v>
      </c>
      <c r="K75" s="112">
        <v>236.88</v>
      </c>
      <c r="L75" s="112">
        <v>31.98</v>
      </c>
      <c r="M75" s="112">
        <v>67.64</v>
      </c>
      <c r="N75" s="112">
        <v>69.2</v>
      </c>
      <c r="O75" s="112">
        <v>0</v>
      </c>
      <c r="P75" s="112">
        <v>0.28000000000000003</v>
      </c>
      <c r="Q75" s="112">
        <v>4.6399999999999997</v>
      </c>
    </row>
    <row r="76" spans="1:17" customFormat="1">
      <c r="A76" s="80">
        <v>45479.708333333336</v>
      </c>
      <c r="B76" s="112">
        <v>9.32</v>
      </c>
      <c r="C76" s="112">
        <v>4.08</v>
      </c>
      <c r="D76" s="112">
        <v>14.06</v>
      </c>
      <c r="E76" s="112">
        <v>12.08</v>
      </c>
      <c r="F76" s="112">
        <v>10.76</v>
      </c>
      <c r="G76" s="112">
        <v>19.170000000000002</v>
      </c>
      <c r="H76" s="112">
        <v>6.34</v>
      </c>
      <c r="I76" s="112">
        <v>2.67</v>
      </c>
      <c r="J76" s="112">
        <v>0.25</v>
      </c>
      <c r="K76" s="112">
        <v>240.03</v>
      </c>
      <c r="L76" s="112">
        <v>31.83</v>
      </c>
      <c r="M76" s="112">
        <v>69.59</v>
      </c>
      <c r="N76" s="112">
        <v>61.3</v>
      </c>
      <c r="O76" s="112">
        <v>0</v>
      </c>
      <c r="P76" s="112">
        <v>0.26</v>
      </c>
      <c r="Q76" s="112">
        <v>4.63</v>
      </c>
    </row>
    <row r="77" spans="1:17" customFormat="1">
      <c r="A77" s="80">
        <v>45479.71875</v>
      </c>
      <c r="B77" s="112">
        <v>9.33</v>
      </c>
      <c r="C77" s="112">
        <v>4.07</v>
      </c>
      <c r="D77" s="112">
        <v>14.06</v>
      </c>
      <c r="E77" s="112">
        <v>12.24</v>
      </c>
      <c r="F77" s="112">
        <v>10.46</v>
      </c>
      <c r="G77" s="112">
        <v>19.170000000000002</v>
      </c>
      <c r="H77" s="112">
        <v>6.34</v>
      </c>
      <c r="I77" s="112">
        <v>2.71</v>
      </c>
      <c r="J77" s="112">
        <v>0.15</v>
      </c>
      <c r="K77" s="112">
        <v>238.47</v>
      </c>
      <c r="L77" s="112">
        <v>31.58</v>
      </c>
      <c r="M77" s="112">
        <v>71.489999999999995</v>
      </c>
      <c r="N77" s="112">
        <v>59.3</v>
      </c>
      <c r="O77" s="112">
        <v>0</v>
      </c>
      <c r="P77" s="112">
        <v>0.28999999999999998</v>
      </c>
      <c r="Q77" s="112">
        <v>4.6399999999999997</v>
      </c>
    </row>
    <row r="78" spans="1:17" customFormat="1">
      <c r="A78" s="80">
        <v>45479.729166666664</v>
      </c>
      <c r="B78" s="112">
        <v>9.34</v>
      </c>
      <c r="C78" s="112">
        <v>4.09</v>
      </c>
      <c r="D78" s="112">
        <v>14.08</v>
      </c>
      <c r="E78" s="112">
        <v>11.67</v>
      </c>
      <c r="F78" s="112">
        <v>15.68</v>
      </c>
      <c r="G78" s="112">
        <v>19.170000000000002</v>
      </c>
      <c r="H78" s="112">
        <v>6.34</v>
      </c>
      <c r="I78" s="112">
        <v>2.59</v>
      </c>
      <c r="J78" s="112">
        <v>0.17</v>
      </c>
      <c r="K78" s="112">
        <v>225.23</v>
      </c>
      <c r="L78" s="112">
        <v>31.24</v>
      </c>
      <c r="M78" s="112">
        <v>72.61</v>
      </c>
      <c r="N78" s="112">
        <v>44.8</v>
      </c>
      <c r="O78" s="112">
        <v>0</v>
      </c>
      <c r="P78" s="112">
        <v>0.34</v>
      </c>
      <c r="Q78" s="112">
        <v>4.5999999999999996</v>
      </c>
    </row>
    <row r="79" spans="1:17" customFormat="1">
      <c r="A79" s="80">
        <v>45479.739583333336</v>
      </c>
      <c r="B79" s="112">
        <v>9.36</v>
      </c>
      <c r="C79" s="112">
        <v>4.07</v>
      </c>
      <c r="D79" s="112">
        <v>14.08</v>
      </c>
      <c r="E79" s="112">
        <v>11.28</v>
      </c>
      <c r="F79" s="112">
        <v>18.97</v>
      </c>
      <c r="G79" s="112">
        <v>18.97</v>
      </c>
      <c r="H79" s="112">
        <v>5.57</v>
      </c>
      <c r="I79" s="112">
        <v>2.62</v>
      </c>
      <c r="J79" s="112">
        <v>0.15</v>
      </c>
      <c r="K79" s="112">
        <v>176.41</v>
      </c>
      <c r="L79" s="112">
        <v>31.26</v>
      </c>
      <c r="M79" s="112">
        <v>72.98</v>
      </c>
      <c r="N79" s="112">
        <v>34.299999999999997</v>
      </c>
      <c r="O79" s="112">
        <v>0</v>
      </c>
      <c r="P79" s="112">
        <v>0.33</v>
      </c>
      <c r="Q79" s="112">
        <v>4.6100000000000003</v>
      </c>
    </row>
    <row r="80" spans="1:17" customFormat="1">
      <c r="A80" s="80">
        <v>45479.75</v>
      </c>
      <c r="B80" s="112">
        <v>9.3800000000000008</v>
      </c>
      <c r="C80" s="112">
        <v>4.08</v>
      </c>
      <c r="D80" s="112">
        <v>14.11</v>
      </c>
      <c r="E80" s="112">
        <v>10.8</v>
      </c>
      <c r="F80" s="112">
        <v>19.07</v>
      </c>
      <c r="G80" s="112">
        <v>18.82</v>
      </c>
      <c r="H80" s="112">
        <v>5.32</v>
      </c>
      <c r="I80" s="112">
        <v>2.48</v>
      </c>
      <c r="J80" s="112">
        <v>0.13</v>
      </c>
      <c r="K80" s="112">
        <v>202.69</v>
      </c>
      <c r="L80" s="112">
        <v>30.9</v>
      </c>
      <c r="M80" s="112">
        <v>74.66</v>
      </c>
      <c r="N80" s="112">
        <v>31.3</v>
      </c>
      <c r="O80" s="112">
        <v>0</v>
      </c>
      <c r="P80" s="112">
        <v>0.36</v>
      </c>
      <c r="Q80" s="112">
        <v>4.62</v>
      </c>
    </row>
    <row r="81" spans="1:17" customFormat="1">
      <c r="A81" s="80">
        <v>45479.760416666664</v>
      </c>
      <c r="B81" s="112">
        <v>9.36</v>
      </c>
      <c r="C81" s="112">
        <v>4.0999999999999996</v>
      </c>
      <c r="D81" s="112">
        <v>14.1</v>
      </c>
      <c r="E81" s="112">
        <v>6.5</v>
      </c>
      <c r="F81" s="112">
        <v>15.94</v>
      </c>
      <c r="G81" s="112">
        <v>18.82</v>
      </c>
      <c r="H81" s="112">
        <v>5.32</v>
      </c>
      <c r="I81" s="112">
        <v>2.2799999999999998</v>
      </c>
      <c r="J81" s="112">
        <v>0.12</v>
      </c>
      <c r="K81" s="112">
        <v>219.62</v>
      </c>
      <c r="L81" s="112">
        <v>30.82</v>
      </c>
      <c r="M81" s="112">
        <v>74.33</v>
      </c>
      <c r="N81" s="112">
        <v>36.200000000000003</v>
      </c>
      <c r="O81" s="112">
        <v>0</v>
      </c>
      <c r="P81" s="112">
        <v>0.34</v>
      </c>
      <c r="Q81" s="112">
        <v>4.5999999999999996</v>
      </c>
    </row>
    <row r="82" spans="1:17" customFormat="1">
      <c r="A82" s="80">
        <v>45479.770833333336</v>
      </c>
      <c r="B82" s="112">
        <v>9.34</v>
      </c>
      <c r="C82" s="112">
        <v>4.1100000000000003</v>
      </c>
      <c r="D82" s="112">
        <v>14.09</v>
      </c>
      <c r="E82" s="112">
        <v>7.19</v>
      </c>
      <c r="F82" s="112">
        <v>15.07</v>
      </c>
      <c r="G82" s="112">
        <v>18.82</v>
      </c>
      <c r="H82" s="112">
        <v>5.32</v>
      </c>
      <c r="I82" s="112">
        <v>2.5</v>
      </c>
      <c r="J82" s="112">
        <v>0.08</v>
      </c>
      <c r="K82" s="112">
        <v>288.14999999999998</v>
      </c>
      <c r="L82" s="112">
        <v>30.51</v>
      </c>
      <c r="M82" s="112">
        <v>74.64</v>
      </c>
      <c r="N82" s="112">
        <v>19.2</v>
      </c>
      <c r="O82" s="112">
        <v>0</v>
      </c>
      <c r="P82" s="112">
        <v>0.35</v>
      </c>
      <c r="Q82" s="112">
        <v>4.6100000000000003</v>
      </c>
    </row>
    <row r="83" spans="1:17" customFormat="1">
      <c r="A83" s="80">
        <v>45479.78125</v>
      </c>
      <c r="B83" s="112">
        <v>9.31</v>
      </c>
      <c r="C83" s="112">
        <v>4.08</v>
      </c>
      <c r="D83" s="112">
        <v>14.05</v>
      </c>
      <c r="E83" s="112">
        <v>6.33</v>
      </c>
      <c r="F83" s="112">
        <v>18.23</v>
      </c>
      <c r="G83" s="112">
        <v>20.73</v>
      </c>
      <c r="H83" s="112">
        <v>6.92</v>
      </c>
      <c r="I83" s="112">
        <v>2.5</v>
      </c>
      <c r="J83" s="112">
        <v>0.13</v>
      </c>
      <c r="K83" s="112">
        <v>268.74</v>
      </c>
      <c r="L83" s="112">
        <v>30.18</v>
      </c>
      <c r="M83" s="112">
        <v>75.53</v>
      </c>
      <c r="N83" s="112">
        <v>3.4</v>
      </c>
      <c r="O83" s="112">
        <v>0</v>
      </c>
      <c r="P83" s="112">
        <v>0.34</v>
      </c>
      <c r="Q83" s="112">
        <v>4.63</v>
      </c>
    </row>
    <row r="84" spans="1:17" customFormat="1">
      <c r="A84" s="80">
        <v>45479.791666666664</v>
      </c>
      <c r="B84" s="112">
        <v>9.31</v>
      </c>
      <c r="C84" s="112">
        <v>4.0599999999999996</v>
      </c>
      <c r="D84" s="112">
        <v>14.04</v>
      </c>
      <c r="E84" s="112">
        <v>6.83</v>
      </c>
      <c r="F84" s="112">
        <v>17.45</v>
      </c>
      <c r="G84" s="112">
        <v>22.18</v>
      </c>
      <c r="H84" s="112">
        <v>7.9</v>
      </c>
      <c r="I84" s="112">
        <v>2.4300000000000002</v>
      </c>
      <c r="J84" s="112">
        <v>0.09</v>
      </c>
      <c r="K84" s="112">
        <v>213.71</v>
      </c>
      <c r="L84" s="112">
        <v>29.72</v>
      </c>
      <c r="M84" s="112">
        <v>77.63</v>
      </c>
      <c r="N84" s="112">
        <v>2.4</v>
      </c>
      <c r="O84" s="112">
        <v>0</v>
      </c>
      <c r="P84" s="112">
        <v>0.34</v>
      </c>
      <c r="Q84" s="112">
        <v>4.6399999999999997</v>
      </c>
    </row>
    <row r="85" spans="1:17" customFormat="1">
      <c r="A85" s="80">
        <v>45479.802083333336</v>
      </c>
      <c r="B85" s="112">
        <v>9.3000000000000007</v>
      </c>
      <c r="C85" s="112">
        <v>4.0599999999999996</v>
      </c>
      <c r="D85" s="112">
        <v>14.03</v>
      </c>
      <c r="E85" s="112">
        <v>7.16</v>
      </c>
      <c r="F85" s="112">
        <v>15.02</v>
      </c>
      <c r="G85" s="112">
        <v>22.18</v>
      </c>
      <c r="H85" s="112">
        <v>7.9</v>
      </c>
      <c r="I85" s="112">
        <v>2.36</v>
      </c>
      <c r="J85" s="112">
        <v>0.15</v>
      </c>
      <c r="K85" s="112">
        <v>239.32</v>
      </c>
      <c r="L85" s="112">
        <v>29.55</v>
      </c>
      <c r="M85" s="112">
        <v>77.91</v>
      </c>
      <c r="N85" s="112">
        <v>2.1</v>
      </c>
      <c r="O85" s="112">
        <v>0</v>
      </c>
      <c r="P85" s="112">
        <v>0.35</v>
      </c>
      <c r="Q85" s="112">
        <v>4.62</v>
      </c>
    </row>
    <row r="86" spans="1:17" customFormat="1">
      <c r="A86" s="80">
        <v>45479.8125</v>
      </c>
      <c r="B86" s="112">
        <v>9.3000000000000007</v>
      </c>
      <c r="C86" s="112">
        <v>4.09</v>
      </c>
      <c r="D86" s="112">
        <v>14.05</v>
      </c>
      <c r="E86" s="112">
        <v>6.66</v>
      </c>
      <c r="F86" s="112">
        <v>14.88</v>
      </c>
      <c r="G86" s="112">
        <v>22.18</v>
      </c>
      <c r="H86" s="112">
        <v>7.9</v>
      </c>
      <c r="I86" s="112">
        <v>2.5299999999999998</v>
      </c>
      <c r="J86" s="112">
        <v>0.13</v>
      </c>
      <c r="K86" s="112">
        <v>209.25</v>
      </c>
      <c r="L86" s="112">
        <v>29.35</v>
      </c>
      <c r="M86" s="112">
        <v>78.86</v>
      </c>
      <c r="N86" s="112">
        <v>2.1</v>
      </c>
      <c r="O86" s="112">
        <v>0</v>
      </c>
      <c r="P86" s="112">
        <v>0.35</v>
      </c>
      <c r="Q86" s="112">
        <v>4.63</v>
      </c>
    </row>
    <row r="87" spans="1:17" customFormat="1">
      <c r="A87" s="80">
        <v>45479.822916666664</v>
      </c>
      <c r="B87" s="112">
        <v>9.31</v>
      </c>
      <c r="C87" s="112">
        <v>4.09</v>
      </c>
      <c r="D87" s="112">
        <v>14.05</v>
      </c>
      <c r="E87" s="112">
        <v>6.2</v>
      </c>
      <c r="F87" s="112">
        <v>14.52</v>
      </c>
      <c r="G87" s="112">
        <v>19.989999999999998</v>
      </c>
      <c r="H87" s="112">
        <v>6.26</v>
      </c>
      <c r="I87" s="112">
        <v>2.4900000000000002</v>
      </c>
      <c r="J87" s="112">
        <v>0.17</v>
      </c>
      <c r="K87" s="112">
        <v>230.76</v>
      </c>
      <c r="L87" s="112">
        <v>29.29</v>
      </c>
      <c r="M87" s="112">
        <v>79.459999999999994</v>
      </c>
      <c r="N87" s="112">
        <v>2.1</v>
      </c>
      <c r="O87" s="112">
        <v>0</v>
      </c>
      <c r="P87" s="112">
        <v>0.37</v>
      </c>
      <c r="Q87" s="112">
        <v>4.63</v>
      </c>
    </row>
    <row r="88" spans="1:17" customFormat="1">
      <c r="A88" s="80">
        <v>45479.833333333336</v>
      </c>
      <c r="B88" s="112">
        <v>9.31</v>
      </c>
      <c r="C88" s="112">
        <v>4.05</v>
      </c>
      <c r="D88" s="112">
        <v>14.03</v>
      </c>
      <c r="E88" s="112">
        <v>6.71</v>
      </c>
      <c r="F88" s="112">
        <v>13.85</v>
      </c>
      <c r="G88" s="112">
        <v>18.309999999999999</v>
      </c>
      <c r="H88" s="112">
        <v>5.74</v>
      </c>
      <c r="I88" s="112">
        <v>2.6</v>
      </c>
      <c r="J88" s="112">
        <v>0.14000000000000001</v>
      </c>
      <c r="K88" s="112">
        <v>195.35</v>
      </c>
      <c r="L88" s="112">
        <v>29.19</v>
      </c>
      <c r="M88" s="112">
        <v>79.36</v>
      </c>
      <c r="N88" s="112">
        <v>2</v>
      </c>
      <c r="O88" s="112">
        <v>0</v>
      </c>
      <c r="P88" s="112">
        <v>0.35</v>
      </c>
      <c r="Q88" s="112">
        <v>4.6399999999999997</v>
      </c>
    </row>
    <row r="89" spans="1:17" customFormat="1">
      <c r="A89" s="80">
        <v>45479.84375</v>
      </c>
      <c r="B89" s="112">
        <v>9.31</v>
      </c>
      <c r="C89" s="112">
        <v>4.05</v>
      </c>
      <c r="D89" s="112">
        <v>14.03</v>
      </c>
      <c r="E89" s="112">
        <v>6.77</v>
      </c>
      <c r="F89" s="112">
        <v>13.37</v>
      </c>
      <c r="G89" s="112">
        <v>18.309999999999999</v>
      </c>
      <c r="H89" s="112">
        <v>5.74</v>
      </c>
      <c r="I89" s="112">
        <v>2.67</v>
      </c>
      <c r="J89" s="112">
        <v>0.11</v>
      </c>
      <c r="K89" s="112">
        <v>229.82</v>
      </c>
      <c r="L89" s="112">
        <v>29.14</v>
      </c>
      <c r="M89" s="112">
        <v>79.81</v>
      </c>
      <c r="N89" s="112">
        <v>2.1</v>
      </c>
      <c r="O89" s="112">
        <v>0</v>
      </c>
      <c r="P89" s="112">
        <v>0.36</v>
      </c>
      <c r="Q89" s="112">
        <v>4.5999999999999996</v>
      </c>
    </row>
    <row r="90" spans="1:17" customFormat="1">
      <c r="A90" s="80">
        <v>45479.854166666664</v>
      </c>
      <c r="B90" s="112">
        <v>9.31</v>
      </c>
      <c r="C90" s="112">
        <v>4.0599999999999996</v>
      </c>
      <c r="D90" s="112">
        <v>14.04</v>
      </c>
      <c r="E90" s="112">
        <v>6.65</v>
      </c>
      <c r="F90" s="112">
        <v>13.35</v>
      </c>
      <c r="G90" s="112">
        <v>18.309999999999999</v>
      </c>
      <c r="H90" s="112">
        <v>5.74</v>
      </c>
      <c r="I90" s="112">
        <v>2.71</v>
      </c>
      <c r="J90" s="112">
        <v>0.11</v>
      </c>
      <c r="K90" s="112">
        <v>219.54</v>
      </c>
      <c r="L90" s="112">
        <v>28.96</v>
      </c>
      <c r="M90" s="112">
        <v>79.98</v>
      </c>
      <c r="N90" s="112">
        <v>2.1</v>
      </c>
      <c r="O90" s="112">
        <v>0</v>
      </c>
      <c r="P90" s="112">
        <v>0.36</v>
      </c>
      <c r="Q90" s="112">
        <v>4.62</v>
      </c>
    </row>
    <row r="91" spans="1:17" customFormat="1">
      <c r="A91" s="80">
        <v>45479.864583333336</v>
      </c>
      <c r="B91" s="112">
        <v>9.3000000000000007</v>
      </c>
      <c r="C91" s="112">
        <v>4.08</v>
      </c>
      <c r="D91" s="112">
        <v>14.04</v>
      </c>
      <c r="E91" s="112">
        <v>6.78</v>
      </c>
      <c r="F91" s="112">
        <v>13.83</v>
      </c>
      <c r="G91" s="112">
        <v>21.31</v>
      </c>
      <c r="H91" s="112">
        <v>5.0199999999999996</v>
      </c>
      <c r="I91" s="112">
        <v>2.8</v>
      </c>
      <c r="J91" s="112">
        <v>0.12</v>
      </c>
      <c r="K91" s="112">
        <v>212.64</v>
      </c>
      <c r="L91" s="112">
        <v>28.9</v>
      </c>
      <c r="M91" s="112">
        <v>80.180000000000007</v>
      </c>
      <c r="N91" s="112">
        <v>2.1</v>
      </c>
      <c r="O91" s="112">
        <v>0</v>
      </c>
      <c r="P91" s="112">
        <v>0.37</v>
      </c>
      <c r="Q91" s="112">
        <v>4.62</v>
      </c>
    </row>
    <row r="92" spans="1:17" customFormat="1">
      <c r="A92" s="80">
        <v>45479.875</v>
      </c>
      <c r="B92" s="112">
        <v>9.31</v>
      </c>
      <c r="C92" s="112">
        <v>4.07</v>
      </c>
      <c r="D92" s="112">
        <v>14.04</v>
      </c>
      <c r="E92" s="112">
        <v>6.51</v>
      </c>
      <c r="F92" s="112">
        <v>13.45</v>
      </c>
      <c r="G92" s="112">
        <v>23.6</v>
      </c>
      <c r="H92" s="112">
        <v>4.79</v>
      </c>
      <c r="I92" s="112">
        <v>3.07</v>
      </c>
      <c r="J92" s="112">
        <v>0.13</v>
      </c>
      <c r="K92" s="112">
        <v>192.71</v>
      </c>
      <c r="L92" s="112">
        <v>28.9</v>
      </c>
      <c r="M92" s="112">
        <v>81.05</v>
      </c>
      <c r="N92" s="112">
        <v>2.1</v>
      </c>
      <c r="O92" s="112">
        <v>0</v>
      </c>
      <c r="P92" s="112">
        <v>0.36</v>
      </c>
      <c r="Q92" s="112">
        <v>4.62</v>
      </c>
    </row>
    <row r="93" spans="1:17" customFormat="1">
      <c r="A93" s="80">
        <v>45479.885416666664</v>
      </c>
      <c r="B93" s="112">
        <v>9.31</v>
      </c>
      <c r="C93" s="112">
        <v>4.09</v>
      </c>
      <c r="D93" s="112">
        <v>14.05</v>
      </c>
      <c r="E93" s="112">
        <v>6.22</v>
      </c>
      <c r="F93" s="112">
        <v>12.59</v>
      </c>
      <c r="G93" s="112">
        <v>23.6</v>
      </c>
      <c r="H93" s="112">
        <v>4.79</v>
      </c>
      <c r="I93" s="112">
        <v>3.26</v>
      </c>
      <c r="J93" s="112">
        <v>0.11</v>
      </c>
      <c r="K93" s="112">
        <v>220.65</v>
      </c>
      <c r="L93" s="112">
        <v>28.83</v>
      </c>
      <c r="M93" s="112">
        <v>81.62</v>
      </c>
      <c r="N93" s="112">
        <v>2.1</v>
      </c>
      <c r="O93" s="112">
        <v>0</v>
      </c>
      <c r="P93" s="112">
        <v>0.37</v>
      </c>
      <c r="Q93" s="112">
        <v>4.6399999999999997</v>
      </c>
    </row>
    <row r="94" spans="1:17" customFormat="1">
      <c r="A94" s="80">
        <v>45479.895833333336</v>
      </c>
      <c r="B94" s="112">
        <v>9.3000000000000007</v>
      </c>
      <c r="C94" s="112">
        <v>4.09</v>
      </c>
      <c r="D94" s="112">
        <v>14.04</v>
      </c>
      <c r="E94" s="112">
        <v>6.38</v>
      </c>
      <c r="F94" s="112">
        <v>12.54</v>
      </c>
      <c r="G94" s="112">
        <v>23.6</v>
      </c>
      <c r="H94" s="112">
        <v>4.79</v>
      </c>
      <c r="I94" s="112">
        <v>3.11</v>
      </c>
      <c r="J94" s="112">
        <v>0.15</v>
      </c>
      <c r="K94" s="112">
        <v>224.66</v>
      </c>
      <c r="L94" s="112">
        <v>28.73</v>
      </c>
      <c r="M94" s="112">
        <v>81.510000000000005</v>
      </c>
      <c r="N94" s="112">
        <v>2</v>
      </c>
      <c r="O94" s="112">
        <v>0</v>
      </c>
      <c r="P94" s="112">
        <v>0.36</v>
      </c>
      <c r="Q94" s="112">
        <v>4.6399999999999997</v>
      </c>
    </row>
    <row r="95" spans="1:17" customFormat="1">
      <c r="A95" s="80">
        <v>45479.90625</v>
      </c>
      <c r="B95" s="112">
        <v>9.3000000000000007</v>
      </c>
      <c r="C95" s="112">
        <v>4.08</v>
      </c>
      <c r="D95" s="112">
        <v>14.04</v>
      </c>
      <c r="E95" s="112">
        <v>6.5</v>
      </c>
      <c r="F95" s="112">
        <v>12.11</v>
      </c>
      <c r="G95" s="112">
        <v>23.27</v>
      </c>
      <c r="H95" s="112">
        <v>7.39</v>
      </c>
      <c r="I95" s="112">
        <v>3.03</v>
      </c>
      <c r="J95" s="112">
        <v>0.14000000000000001</v>
      </c>
      <c r="K95" s="112">
        <v>251.15</v>
      </c>
      <c r="L95" s="112">
        <v>28.7</v>
      </c>
      <c r="M95" s="112">
        <v>81.67</v>
      </c>
      <c r="N95" s="112">
        <v>2.1</v>
      </c>
      <c r="O95" s="112">
        <v>0</v>
      </c>
      <c r="P95" s="112">
        <v>0.36</v>
      </c>
      <c r="Q95" s="112">
        <v>4.63</v>
      </c>
    </row>
    <row r="96" spans="1:17" customFormat="1">
      <c r="A96" s="80">
        <v>45479.916666666664</v>
      </c>
      <c r="B96" s="112">
        <v>9.33</v>
      </c>
      <c r="C96" s="112">
        <v>4.08</v>
      </c>
      <c r="D96" s="112">
        <v>14.07</v>
      </c>
      <c r="E96" s="112">
        <v>7.19</v>
      </c>
      <c r="F96" s="112">
        <v>9.7100000000000009</v>
      </c>
      <c r="G96" s="112">
        <v>23.02</v>
      </c>
      <c r="H96" s="112">
        <v>8.2200000000000006</v>
      </c>
      <c r="I96" s="112">
        <v>3</v>
      </c>
      <c r="J96" s="112">
        <v>0.11</v>
      </c>
      <c r="K96" s="112">
        <v>250.75</v>
      </c>
      <c r="L96" s="112">
        <v>28.49</v>
      </c>
      <c r="M96" s="112">
        <v>83.72</v>
      </c>
      <c r="N96" s="112">
        <v>2.1</v>
      </c>
      <c r="O96" s="112">
        <v>0</v>
      </c>
      <c r="P96" s="112">
        <v>0.32</v>
      </c>
      <c r="Q96" s="112">
        <v>4.6399999999999997</v>
      </c>
    </row>
    <row r="97" spans="1:22" customFormat="1">
      <c r="A97" s="80">
        <v>45479.927083333336</v>
      </c>
      <c r="B97" s="112">
        <v>9.3800000000000008</v>
      </c>
      <c r="C97" s="112">
        <v>4.08</v>
      </c>
      <c r="D97" s="112">
        <v>14.1</v>
      </c>
      <c r="E97" s="112">
        <v>6.86</v>
      </c>
      <c r="F97" s="112">
        <v>8.86</v>
      </c>
      <c r="G97" s="112">
        <v>23.02</v>
      </c>
      <c r="H97" s="112">
        <v>8.2200000000000006</v>
      </c>
      <c r="I97" s="112">
        <v>3.03</v>
      </c>
      <c r="J97" s="112">
        <v>0.15</v>
      </c>
      <c r="K97" s="112">
        <v>231.98</v>
      </c>
      <c r="L97" s="112">
        <v>28.48</v>
      </c>
      <c r="M97" s="112">
        <v>82.71</v>
      </c>
      <c r="N97" s="112">
        <v>2.1</v>
      </c>
      <c r="O97" s="112">
        <v>0</v>
      </c>
      <c r="P97" s="112">
        <v>0.31</v>
      </c>
      <c r="Q97" s="112">
        <v>4.6399999999999997</v>
      </c>
    </row>
    <row r="98" spans="1:22" customFormat="1">
      <c r="A98" s="80">
        <v>45479.9375</v>
      </c>
      <c r="B98" s="112">
        <v>9.3699999999999992</v>
      </c>
      <c r="C98" s="112">
        <v>4.07</v>
      </c>
      <c r="D98" s="112">
        <v>14.09</v>
      </c>
      <c r="E98" s="112">
        <v>7.66</v>
      </c>
      <c r="F98" s="112">
        <v>8.11</v>
      </c>
      <c r="G98" s="112">
        <v>23.02</v>
      </c>
      <c r="H98" s="112">
        <v>8.2200000000000006</v>
      </c>
      <c r="I98" s="112">
        <v>3.22</v>
      </c>
      <c r="J98" s="112">
        <v>0.11</v>
      </c>
      <c r="K98" s="112">
        <v>195.23</v>
      </c>
      <c r="L98" s="112">
        <v>28.4</v>
      </c>
      <c r="M98" s="112">
        <v>82.25</v>
      </c>
      <c r="N98" s="112">
        <v>2.1</v>
      </c>
      <c r="O98" s="112">
        <v>0</v>
      </c>
      <c r="P98" s="112">
        <v>0.31</v>
      </c>
      <c r="Q98" s="112">
        <v>4.63</v>
      </c>
    </row>
    <row r="99" spans="1:22" customFormat="1">
      <c r="A99" s="80">
        <v>45479.947916666664</v>
      </c>
      <c r="B99" s="112">
        <v>9.36</v>
      </c>
      <c r="C99" s="112">
        <v>4.0999999999999996</v>
      </c>
      <c r="D99" s="112">
        <v>14.1</v>
      </c>
      <c r="E99" s="112">
        <v>8.0299999999999994</v>
      </c>
      <c r="F99" s="112">
        <v>8.5</v>
      </c>
      <c r="G99" s="112">
        <v>23.18</v>
      </c>
      <c r="H99" s="112">
        <v>7.65</v>
      </c>
      <c r="I99" s="112">
        <v>3.19</v>
      </c>
      <c r="J99" s="112">
        <v>0.1</v>
      </c>
      <c r="K99" s="112">
        <v>242.85</v>
      </c>
      <c r="L99" s="112">
        <v>28.42</v>
      </c>
      <c r="M99" s="112">
        <v>82.81</v>
      </c>
      <c r="N99" s="112">
        <v>2</v>
      </c>
      <c r="O99" s="112">
        <v>0</v>
      </c>
      <c r="P99" s="112">
        <v>0.31</v>
      </c>
      <c r="Q99" s="112">
        <v>4.62</v>
      </c>
    </row>
    <row r="100" spans="1:22" customFormat="1">
      <c r="A100" s="80">
        <v>45479.958333333336</v>
      </c>
      <c r="B100" s="112">
        <v>9.36</v>
      </c>
      <c r="C100" s="112">
        <v>4.0999999999999996</v>
      </c>
      <c r="D100" s="112">
        <v>14.1</v>
      </c>
      <c r="E100" s="112">
        <v>8.41</v>
      </c>
      <c r="F100" s="112">
        <v>7.91</v>
      </c>
      <c r="G100" s="112">
        <v>23.31</v>
      </c>
      <c r="H100" s="112">
        <v>7.47</v>
      </c>
      <c r="I100" s="112">
        <v>3.13</v>
      </c>
      <c r="J100" s="112">
        <v>0.09</v>
      </c>
      <c r="K100" s="112">
        <v>251.22</v>
      </c>
      <c r="L100" s="112">
        <v>28.27</v>
      </c>
      <c r="M100" s="112">
        <v>83.34</v>
      </c>
      <c r="N100" s="112">
        <v>2.1</v>
      </c>
      <c r="O100" s="112">
        <v>0</v>
      </c>
      <c r="P100" s="112">
        <v>0.31</v>
      </c>
      <c r="Q100" s="112">
        <v>4.62</v>
      </c>
    </row>
    <row r="101" spans="1:22" customFormat="1">
      <c r="A101" s="80">
        <v>45479.96875</v>
      </c>
      <c r="B101" s="112">
        <v>9.36</v>
      </c>
      <c r="C101" s="112">
        <v>4.0599999999999996</v>
      </c>
      <c r="D101" s="112">
        <v>14.08</v>
      </c>
      <c r="E101" s="112">
        <v>8.2799999999999994</v>
      </c>
      <c r="F101" s="112">
        <v>6.23</v>
      </c>
      <c r="G101" s="112">
        <v>23.31</v>
      </c>
      <c r="H101" s="112">
        <v>7.47</v>
      </c>
      <c r="I101" s="112">
        <v>3.12</v>
      </c>
      <c r="J101" s="112">
        <v>0.1</v>
      </c>
      <c r="K101" s="112">
        <v>273.3</v>
      </c>
      <c r="L101" s="112">
        <v>28.28</v>
      </c>
      <c r="M101" s="112">
        <v>83.31</v>
      </c>
      <c r="N101" s="112">
        <v>2.1</v>
      </c>
      <c r="O101" s="112">
        <v>0</v>
      </c>
      <c r="P101" s="112">
        <v>0.31</v>
      </c>
      <c r="Q101" s="112">
        <v>4.62</v>
      </c>
    </row>
    <row r="102" spans="1:22" customFormat="1">
      <c r="A102" s="80">
        <v>45479.979166666664</v>
      </c>
      <c r="B102" s="112">
        <v>9.35</v>
      </c>
      <c r="C102" s="112">
        <v>4.0599999999999996</v>
      </c>
      <c r="D102" s="112">
        <v>14.07</v>
      </c>
      <c r="E102" s="112">
        <v>8.56</v>
      </c>
      <c r="F102" s="112">
        <v>6.89</v>
      </c>
      <c r="G102" s="112">
        <v>23.31</v>
      </c>
      <c r="H102" s="112">
        <v>7.47</v>
      </c>
      <c r="I102" s="112">
        <v>3.13</v>
      </c>
      <c r="J102" s="112">
        <v>0.2</v>
      </c>
      <c r="K102" s="112">
        <v>277.89999999999998</v>
      </c>
      <c r="L102" s="112">
        <v>28.14</v>
      </c>
      <c r="M102" s="112">
        <v>84.2</v>
      </c>
      <c r="N102" s="112">
        <v>2.1</v>
      </c>
      <c r="O102" s="112">
        <v>0</v>
      </c>
      <c r="P102" s="112">
        <v>0.32</v>
      </c>
      <c r="Q102" s="112">
        <v>4.5999999999999996</v>
      </c>
    </row>
    <row r="103" spans="1:22" customFormat="1">
      <c r="A103" s="80">
        <v>45479.989583333336</v>
      </c>
      <c r="B103" s="112">
        <v>9.36</v>
      </c>
      <c r="C103" s="112">
        <v>4.07</v>
      </c>
      <c r="D103" s="112">
        <v>14.08</v>
      </c>
      <c r="E103" s="112">
        <v>8.5500000000000007</v>
      </c>
      <c r="F103" s="112">
        <v>5.64</v>
      </c>
      <c r="G103" s="112">
        <v>24.54</v>
      </c>
      <c r="H103" s="112">
        <v>7.9</v>
      </c>
      <c r="I103" s="112">
        <v>3.13</v>
      </c>
      <c r="J103" s="112">
        <v>0.25</v>
      </c>
      <c r="K103" s="112">
        <v>247.29</v>
      </c>
      <c r="L103" s="112">
        <v>28.11</v>
      </c>
      <c r="M103" s="112">
        <v>84.58</v>
      </c>
      <c r="N103" s="112">
        <v>2</v>
      </c>
      <c r="O103" s="112">
        <v>0</v>
      </c>
      <c r="P103" s="112">
        <v>0.31</v>
      </c>
      <c r="Q103" s="112">
        <v>4.6100000000000003</v>
      </c>
    </row>
    <row r="104" spans="1:22" customFormat="1">
      <c r="A104" s="80">
        <v>45480</v>
      </c>
      <c r="B104" s="112">
        <v>9.36</v>
      </c>
      <c r="C104" s="112">
        <v>4.08</v>
      </c>
      <c r="D104" s="112">
        <v>14.08</v>
      </c>
      <c r="E104" s="112">
        <v>8.6199999999999992</v>
      </c>
      <c r="F104" s="112">
        <v>5.13</v>
      </c>
      <c r="G104" s="112">
        <v>25.48</v>
      </c>
      <c r="H104" s="112">
        <v>8.0299999999999994</v>
      </c>
      <c r="I104" s="112">
        <v>2.95</v>
      </c>
      <c r="J104" s="112">
        <v>0.67</v>
      </c>
      <c r="K104" s="112">
        <v>263.92</v>
      </c>
      <c r="L104" s="112">
        <v>28.34</v>
      </c>
      <c r="M104" s="112">
        <v>82.03</v>
      </c>
      <c r="N104" s="112">
        <v>1.8</v>
      </c>
      <c r="O104" s="112">
        <v>0</v>
      </c>
      <c r="P104" s="112">
        <v>0.31</v>
      </c>
      <c r="Q104" s="112">
        <v>4.6399999999999997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9.2799999999999994</v>
      </c>
      <c r="C106" s="183">
        <f>MIN(C9:C104)</f>
        <v>4.04</v>
      </c>
      <c r="D106" s="183">
        <f t="shared" ref="D106:Q106" si="0">MIN(D9:D104)</f>
        <v>14.01</v>
      </c>
      <c r="E106" s="183">
        <f t="shared" si="0"/>
        <v>6.2</v>
      </c>
      <c r="F106" s="183">
        <f t="shared" si="0"/>
        <v>3.11</v>
      </c>
      <c r="G106" s="183">
        <f t="shared" si="0"/>
        <v>5.36</v>
      </c>
      <c r="H106" s="183">
        <f t="shared" si="0"/>
        <v>1.4</v>
      </c>
      <c r="I106" s="183">
        <f t="shared" si="0"/>
        <v>2.2799999999999998</v>
      </c>
      <c r="J106" s="183">
        <f t="shared" si="0"/>
        <v>0.08</v>
      </c>
      <c r="K106" s="183">
        <f t="shared" si="0"/>
        <v>176.41</v>
      </c>
      <c r="L106" s="183">
        <f t="shared" si="0"/>
        <v>26.1</v>
      </c>
      <c r="M106" s="183">
        <f t="shared" si="0"/>
        <v>59.76</v>
      </c>
      <c r="N106" s="183">
        <f t="shared" si="0"/>
        <v>1.8</v>
      </c>
      <c r="O106" s="183">
        <f t="shared" si="0"/>
        <v>0</v>
      </c>
      <c r="P106" s="183">
        <f t="shared" si="0"/>
        <v>0.2</v>
      </c>
      <c r="Q106" s="183">
        <f t="shared" si="0"/>
        <v>4.5999999999999996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9.39</v>
      </c>
      <c r="C107" s="184">
        <f t="shared" ref="C107:Q107" si="1">MAX(C9:C104)</f>
        <v>4.1100000000000003</v>
      </c>
      <c r="D107" s="184">
        <f t="shared" si="1"/>
        <v>14.11</v>
      </c>
      <c r="E107" s="184">
        <f t="shared" si="1"/>
        <v>12.67</v>
      </c>
      <c r="F107" s="184">
        <f t="shared" si="1"/>
        <v>19.07</v>
      </c>
      <c r="G107" s="184">
        <f t="shared" si="1"/>
        <v>25.48</v>
      </c>
      <c r="H107" s="184">
        <f t="shared" si="1"/>
        <v>8.2200000000000006</v>
      </c>
      <c r="I107" s="184">
        <f t="shared" si="1"/>
        <v>3.29</v>
      </c>
      <c r="J107" s="184">
        <f t="shared" si="1"/>
        <v>0.86</v>
      </c>
      <c r="K107" s="184">
        <f t="shared" si="1"/>
        <v>288.14999999999998</v>
      </c>
      <c r="L107" s="184">
        <f t="shared" si="1"/>
        <v>33.630000000000003</v>
      </c>
      <c r="M107" s="184">
        <f t="shared" si="1"/>
        <v>93.63</v>
      </c>
      <c r="N107" s="184">
        <f t="shared" si="1"/>
        <v>721.4</v>
      </c>
      <c r="O107" s="184">
        <f t="shared" si="1"/>
        <v>0.8</v>
      </c>
      <c r="P107" s="184">
        <f t="shared" si="1"/>
        <v>0.37</v>
      </c>
      <c r="Q107" s="184">
        <f t="shared" si="1"/>
        <v>4.66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9.3259374999999984</v>
      </c>
      <c r="C108" s="183">
        <f t="shared" ref="C108:Q108" si="2">AVERAGE(C9:C104)</f>
        <v>4.0739583333333336</v>
      </c>
      <c r="D108" s="183">
        <f t="shared" si="2"/>
        <v>14.057187499999984</v>
      </c>
      <c r="E108" s="183">
        <f t="shared" si="2"/>
        <v>9.8262499999999999</v>
      </c>
      <c r="F108" s="183">
        <f t="shared" si="2"/>
        <v>7.5789583333333352</v>
      </c>
      <c r="G108" s="183">
        <f t="shared" si="2"/>
        <v>13.906458333333326</v>
      </c>
      <c r="H108" s="183">
        <f t="shared" si="2"/>
        <v>3.9854166666666675</v>
      </c>
      <c r="I108" s="183">
        <f t="shared" si="2"/>
        <v>2.9365624999999995</v>
      </c>
      <c r="J108" s="183">
        <f t="shared" si="2"/>
        <v>0.40604166666666686</v>
      </c>
      <c r="K108" s="183">
        <f t="shared" si="2"/>
        <v>251.30479166666672</v>
      </c>
      <c r="L108" s="183">
        <f t="shared" si="2"/>
        <v>28.890104166666664</v>
      </c>
      <c r="M108" s="183">
        <f t="shared" si="2"/>
        <v>80.524375000000006</v>
      </c>
      <c r="N108" s="183">
        <f t="shared" si="2"/>
        <v>125.12500000000006</v>
      </c>
      <c r="O108" s="183">
        <f t="shared" si="2"/>
        <v>8.3333333333333332E-3</v>
      </c>
      <c r="P108" s="183">
        <f t="shared" si="2"/>
        <v>0.28729166666666667</v>
      </c>
      <c r="Q108" s="183">
        <f t="shared" si="2"/>
        <v>4.6296874999999984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2.7321790994696653E-2</v>
      </c>
      <c r="C109" s="183">
        <f t="shared" ref="C109:Q109" si="3">STDEV(C9:C104)</f>
        <v>1.605773574303004E-2</v>
      </c>
      <c r="D109" s="183">
        <f t="shared" si="3"/>
        <v>2.4352807035870016E-2</v>
      </c>
      <c r="E109" s="183">
        <f t="shared" si="3"/>
        <v>1.8944907661844006</v>
      </c>
      <c r="F109" s="183">
        <f t="shared" si="3"/>
        <v>4.006529533587484</v>
      </c>
      <c r="G109" s="183">
        <f t="shared" si="3"/>
        <v>5.7210919051977713</v>
      </c>
      <c r="H109" s="183">
        <f t="shared" si="3"/>
        <v>2.1052525372539108</v>
      </c>
      <c r="I109" s="183">
        <f t="shared" si="3"/>
        <v>0.2139101047046216</v>
      </c>
      <c r="J109" s="183">
        <f t="shared" si="3"/>
        <v>0.22936286657042676</v>
      </c>
      <c r="K109" s="183">
        <f t="shared" si="3"/>
        <v>21.166492486159346</v>
      </c>
      <c r="L109" s="183">
        <f t="shared" si="3"/>
        <v>2.3420362237261547</v>
      </c>
      <c r="M109" s="183">
        <f t="shared" si="3"/>
        <v>8.2684371096862428</v>
      </c>
      <c r="N109" s="183">
        <f t="shared" si="3"/>
        <v>175.74811521037725</v>
      </c>
      <c r="O109" s="183">
        <f t="shared" si="3"/>
        <v>8.1649658092772609E-2</v>
      </c>
      <c r="P109" s="183">
        <f t="shared" si="3"/>
        <v>4.411657205432528E-2</v>
      </c>
      <c r="Q109" s="183">
        <f t="shared" si="3"/>
        <v>1.293328020426775E-2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45480.010416666664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45480.010416666664</v>
      </c>
      <c r="B9" s="112">
        <v>9.25</v>
      </c>
      <c r="C9" s="112">
        <v>4.0599999999999996</v>
      </c>
      <c r="D9" s="112">
        <v>13.99</v>
      </c>
      <c r="E9" s="112">
        <v>8.76</v>
      </c>
      <c r="F9" s="112">
        <v>5.0599999999999996</v>
      </c>
      <c r="G9" s="112">
        <v>25.48</v>
      </c>
      <c r="H9" s="112">
        <v>8.0299999999999994</v>
      </c>
      <c r="I9" s="112">
        <v>3.14</v>
      </c>
      <c r="J9" s="112">
        <v>0.56000000000000005</v>
      </c>
      <c r="K9" s="112">
        <v>262.69</v>
      </c>
      <c r="L9" s="112">
        <v>28.13</v>
      </c>
      <c r="M9" s="112">
        <v>81.38</v>
      </c>
      <c r="N9" s="112">
        <v>2.2999999999999998</v>
      </c>
      <c r="O9" s="112">
        <v>0</v>
      </c>
      <c r="P9" s="112">
        <v>0.31</v>
      </c>
      <c r="Q9" s="112">
        <v>4.6399999999999997</v>
      </c>
    </row>
    <row r="10" spans="1:21" customFormat="1">
      <c r="A10" s="80">
        <v>45480.020833333336</v>
      </c>
      <c r="B10" s="112">
        <v>9.2200000000000006</v>
      </c>
      <c r="C10" s="112">
        <v>4.07</v>
      </c>
      <c r="D10" s="112">
        <v>13.97</v>
      </c>
      <c r="E10" s="112">
        <v>8.7899999999999991</v>
      </c>
      <c r="F10" s="112">
        <v>5.16</v>
      </c>
      <c r="G10" s="112">
        <v>25.48</v>
      </c>
      <c r="H10" s="112">
        <v>8.0299999999999994</v>
      </c>
      <c r="I10" s="112">
        <v>3.22</v>
      </c>
      <c r="J10" s="112">
        <v>0.74</v>
      </c>
      <c r="K10" s="112">
        <v>268.47000000000003</v>
      </c>
      <c r="L10" s="112">
        <v>27.55</v>
      </c>
      <c r="M10" s="112">
        <v>78.930000000000007</v>
      </c>
      <c r="N10" s="112">
        <v>2.6</v>
      </c>
      <c r="O10" s="112">
        <v>0</v>
      </c>
      <c r="P10" s="112">
        <v>0.3</v>
      </c>
      <c r="Q10" s="112">
        <v>4.63</v>
      </c>
    </row>
    <row r="11" spans="1:21" customFormat="1">
      <c r="A11" s="80">
        <v>45480.03125</v>
      </c>
      <c r="B11" s="112">
        <v>9.1999999999999993</v>
      </c>
      <c r="C11" s="112">
        <v>4.08</v>
      </c>
      <c r="D11" s="112">
        <v>13.96</v>
      </c>
      <c r="E11" s="112">
        <v>9.07</v>
      </c>
      <c r="F11" s="112">
        <v>5.34</v>
      </c>
      <c r="G11" s="112">
        <v>24.32</v>
      </c>
      <c r="H11" s="112">
        <v>6.54</v>
      </c>
      <c r="I11" s="112">
        <v>3.05</v>
      </c>
      <c r="J11" s="112">
        <v>0.52</v>
      </c>
      <c r="K11" s="112">
        <v>263.52</v>
      </c>
      <c r="L11" s="112">
        <v>27.11</v>
      </c>
      <c r="M11" s="112">
        <v>80.39</v>
      </c>
      <c r="N11" s="112">
        <v>2.4</v>
      </c>
      <c r="O11" s="112">
        <v>0</v>
      </c>
      <c r="P11" s="112">
        <v>0.31</v>
      </c>
      <c r="Q11" s="112">
        <v>4.62</v>
      </c>
    </row>
    <row r="12" spans="1:21" customFormat="1">
      <c r="A12" s="80">
        <v>45480.041666666664</v>
      </c>
      <c r="B12" s="112">
        <v>9.19</v>
      </c>
      <c r="C12" s="112">
        <v>4.0999999999999996</v>
      </c>
      <c r="D12" s="112">
        <v>13.96</v>
      </c>
      <c r="E12" s="112">
        <v>9.07</v>
      </c>
      <c r="F12" s="112">
        <v>5.5</v>
      </c>
      <c r="G12" s="112">
        <v>23.44</v>
      </c>
      <c r="H12" s="112">
        <v>5.62</v>
      </c>
      <c r="I12" s="112">
        <v>2.96</v>
      </c>
      <c r="J12" s="112">
        <v>0.35</v>
      </c>
      <c r="K12" s="112">
        <v>261.63</v>
      </c>
      <c r="L12" s="112">
        <v>27</v>
      </c>
      <c r="M12" s="112">
        <v>82.31</v>
      </c>
      <c r="N12" s="112">
        <v>2.1</v>
      </c>
      <c r="O12" s="112">
        <v>0</v>
      </c>
      <c r="P12" s="112">
        <v>0.31</v>
      </c>
      <c r="Q12" s="112">
        <v>4.63</v>
      </c>
    </row>
    <row r="13" spans="1:21" customFormat="1">
      <c r="A13" s="80">
        <v>45480.052083333336</v>
      </c>
      <c r="B13" s="112">
        <v>9.19</v>
      </c>
      <c r="C13" s="112">
        <v>4.07</v>
      </c>
      <c r="D13" s="112">
        <v>13.95</v>
      </c>
      <c r="E13" s="112">
        <v>9.0399999999999991</v>
      </c>
      <c r="F13" s="112">
        <v>4.8499999999999996</v>
      </c>
      <c r="G13" s="112">
        <v>23.44</v>
      </c>
      <c r="H13" s="112">
        <v>5.62</v>
      </c>
      <c r="I13" s="112">
        <v>3.07</v>
      </c>
      <c r="J13" s="112">
        <v>0.4</v>
      </c>
      <c r="K13" s="112">
        <v>257.12</v>
      </c>
      <c r="L13" s="112">
        <v>26.81</v>
      </c>
      <c r="M13" s="112">
        <v>83.2</v>
      </c>
      <c r="N13" s="112">
        <v>2.2000000000000002</v>
      </c>
      <c r="O13" s="112">
        <v>0</v>
      </c>
      <c r="P13" s="112">
        <v>0.31</v>
      </c>
      <c r="Q13" s="112">
        <v>4.63</v>
      </c>
    </row>
    <row r="14" spans="1:21" customFormat="1">
      <c r="A14" s="80">
        <v>45480.0625</v>
      </c>
      <c r="B14" s="112">
        <v>9.1999999999999993</v>
      </c>
      <c r="C14" s="112">
        <v>4.03</v>
      </c>
      <c r="D14" s="112">
        <v>13.94</v>
      </c>
      <c r="E14" s="112">
        <v>9.1199999999999992</v>
      </c>
      <c r="F14" s="112">
        <v>5.1100000000000003</v>
      </c>
      <c r="G14" s="112">
        <v>23.44</v>
      </c>
      <c r="H14" s="112">
        <v>5.62</v>
      </c>
      <c r="I14" s="112">
        <v>2.92</v>
      </c>
      <c r="J14" s="112">
        <v>0.24</v>
      </c>
      <c r="K14" s="112">
        <v>238.83</v>
      </c>
      <c r="L14" s="112">
        <v>26.63</v>
      </c>
      <c r="M14" s="112">
        <v>85.23</v>
      </c>
      <c r="N14" s="112">
        <v>2.1</v>
      </c>
      <c r="O14" s="112">
        <v>0</v>
      </c>
      <c r="P14" s="112">
        <v>0.3</v>
      </c>
      <c r="Q14" s="112">
        <v>4.63</v>
      </c>
    </row>
    <row r="15" spans="1:21" customFormat="1">
      <c r="A15" s="80">
        <v>45480.072916666664</v>
      </c>
      <c r="B15" s="112">
        <v>9.1999999999999993</v>
      </c>
      <c r="C15" s="112">
        <v>4.0599999999999996</v>
      </c>
      <c r="D15" s="112">
        <v>13.94</v>
      </c>
      <c r="E15" s="112">
        <v>9.44</v>
      </c>
      <c r="F15" s="112">
        <v>5.24</v>
      </c>
      <c r="G15" s="112">
        <v>19.690000000000001</v>
      </c>
      <c r="H15" s="112">
        <v>4.4400000000000004</v>
      </c>
      <c r="I15" s="112">
        <v>2.86</v>
      </c>
      <c r="J15" s="112">
        <v>0.38</v>
      </c>
      <c r="K15" s="112">
        <v>268.3</v>
      </c>
      <c r="L15" s="112">
        <v>26.47</v>
      </c>
      <c r="M15" s="112">
        <v>85.7</v>
      </c>
      <c r="N15" s="112">
        <v>2.1</v>
      </c>
      <c r="O15" s="112">
        <v>0</v>
      </c>
      <c r="P15" s="112">
        <v>0.31</v>
      </c>
      <c r="Q15" s="112">
        <v>4.6399999999999997</v>
      </c>
    </row>
    <row r="16" spans="1:21" customFormat="1">
      <c r="A16" s="80">
        <v>45480.083333333336</v>
      </c>
      <c r="B16" s="112">
        <v>9.19</v>
      </c>
      <c r="C16" s="112">
        <v>4.07</v>
      </c>
      <c r="D16" s="112">
        <v>13.94</v>
      </c>
      <c r="E16" s="112">
        <v>9.9499999999999993</v>
      </c>
      <c r="F16" s="112">
        <v>4.38</v>
      </c>
      <c r="G16" s="112">
        <v>16.690000000000001</v>
      </c>
      <c r="H16" s="112">
        <v>4.04</v>
      </c>
      <c r="I16" s="112">
        <v>2.79</v>
      </c>
      <c r="J16" s="112">
        <v>0.6</v>
      </c>
      <c r="K16" s="112">
        <v>266.77</v>
      </c>
      <c r="L16" s="112">
        <v>26.44</v>
      </c>
      <c r="M16" s="112">
        <v>86.85</v>
      </c>
      <c r="N16" s="112">
        <v>2.1</v>
      </c>
      <c r="O16" s="112">
        <v>0</v>
      </c>
      <c r="P16" s="112">
        <v>0.3</v>
      </c>
      <c r="Q16" s="112">
        <v>4.63</v>
      </c>
    </row>
    <row r="17" spans="1:17" customFormat="1">
      <c r="A17" s="80">
        <v>45480.09375</v>
      </c>
      <c r="B17" s="112">
        <v>9.1999999999999993</v>
      </c>
      <c r="C17" s="112">
        <v>4.05</v>
      </c>
      <c r="D17" s="112">
        <v>13.94</v>
      </c>
      <c r="E17" s="112">
        <v>7.73</v>
      </c>
      <c r="F17" s="112">
        <v>3.99</v>
      </c>
      <c r="G17" s="112">
        <v>16.690000000000001</v>
      </c>
      <c r="H17" s="112">
        <v>4.04</v>
      </c>
      <c r="I17" s="112">
        <v>2.77</v>
      </c>
      <c r="J17" s="112">
        <v>0.78</v>
      </c>
      <c r="K17" s="112">
        <v>269.2</v>
      </c>
      <c r="L17" s="112">
        <v>26.5</v>
      </c>
      <c r="M17" s="112">
        <v>86.87</v>
      </c>
      <c r="N17" s="112">
        <v>2.1</v>
      </c>
      <c r="O17" s="112">
        <v>0</v>
      </c>
      <c r="P17" s="112">
        <v>0.3</v>
      </c>
      <c r="Q17" s="112">
        <v>4.6100000000000003</v>
      </c>
    </row>
    <row r="18" spans="1:17" customFormat="1">
      <c r="A18" s="80">
        <v>45480.104166666664</v>
      </c>
      <c r="B18" s="112">
        <v>9.19</v>
      </c>
      <c r="C18" s="112">
        <v>4.07</v>
      </c>
      <c r="D18" s="112">
        <v>13.95</v>
      </c>
      <c r="E18" s="112">
        <v>9.14</v>
      </c>
      <c r="F18" s="112">
        <v>4.32</v>
      </c>
      <c r="G18" s="112">
        <v>16.690000000000001</v>
      </c>
      <c r="H18" s="112">
        <v>4.04</v>
      </c>
      <c r="I18" s="112">
        <v>2.74</v>
      </c>
      <c r="J18" s="112">
        <v>0.64</v>
      </c>
      <c r="K18" s="112">
        <v>274.82</v>
      </c>
      <c r="L18" s="112">
        <v>26.46</v>
      </c>
      <c r="M18" s="112">
        <v>87.58</v>
      </c>
      <c r="N18" s="112">
        <v>2.1</v>
      </c>
      <c r="O18" s="112">
        <v>0</v>
      </c>
      <c r="P18" s="112">
        <v>0.3</v>
      </c>
      <c r="Q18" s="112">
        <v>4.63</v>
      </c>
    </row>
    <row r="19" spans="1:17" customFormat="1">
      <c r="A19" s="80">
        <v>45480.114583333336</v>
      </c>
      <c r="B19" s="112">
        <v>9.19</v>
      </c>
      <c r="C19" s="112">
        <v>4.07</v>
      </c>
      <c r="D19" s="112">
        <v>13.94</v>
      </c>
      <c r="E19" s="112">
        <v>9.39</v>
      </c>
      <c r="F19" s="112">
        <v>4.88</v>
      </c>
      <c r="G19" s="112">
        <v>16.149999999999999</v>
      </c>
      <c r="H19" s="112">
        <v>3.25</v>
      </c>
      <c r="I19" s="112">
        <v>2.71</v>
      </c>
      <c r="J19" s="112">
        <v>0.57999999999999996</v>
      </c>
      <c r="K19" s="112">
        <v>267.75</v>
      </c>
      <c r="L19" s="112">
        <v>26.41</v>
      </c>
      <c r="M19" s="112">
        <v>89.07</v>
      </c>
      <c r="N19" s="112">
        <v>2.1</v>
      </c>
      <c r="O19" s="112">
        <v>0</v>
      </c>
      <c r="P19" s="112">
        <v>0.32</v>
      </c>
      <c r="Q19" s="112">
        <v>4.5999999999999996</v>
      </c>
    </row>
    <row r="20" spans="1:17" customFormat="1">
      <c r="A20" s="80">
        <v>45480.125</v>
      </c>
      <c r="B20" s="112">
        <v>9.18</v>
      </c>
      <c r="C20" s="112">
        <v>4.08</v>
      </c>
      <c r="D20" s="112">
        <v>13.94</v>
      </c>
      <c r="E20" s="112">
        <v>9.84</v>
      </c>
      <c r="F20" s="112">
        <v>4.26</v>
      </c>
      <c r="G20" s="112">
        <v>15.72</v>
      </c>
      <c r="H20" s="112">
        <v>2.98</v>
      </c>
      <c r="I20" s="112">
        <v>2.71</v>
      </c>
      <c r="J20" s="112">
        <v>0.83</v>
      </c>
      <c r="K20" s="112">
        <v>270.02999999999997</v>
      </c>
      <c r="L20" s="112">
        <v>26.33</v>
      </c>
      <c r="M20" s="112">
        <v>89.11</v>
      </c>
      <c r="N20" s="112">
        <v>2.2999999999999998</v>
      </c>
      <c r="O20" s="112">
        <v>0</v>
      </c>
      <c r="P20" s="112">
        <v>0.35</v>
      </c>
      <c r="Q20" s="112">
        <v>4.62</v>
      </c>
    </row>
    <row r="21" spans="1:17" customFormat="1">
      <c r="A21" s="80">
        <v>45480.135416666664</v>
      </c>
      <c r="B21" s="112">
        <v>9.1999999999999993</v>
      </c>
      <c r="C21" s="112">
        <v>4.0599999999999996</v>
      </c>
      <c r="D21" s="112">
        <v>13.95</v>
      </c>
      <c r="E21" s="112">
        <v>9.18</v>
      </c>
      <c r="F21" s="112">
        <v>4.3499999999999996</v>
      </c>
      <c r="G21" s="112">
        <v>15.72</v>
      </c>
      <c r="H21" s="112">
        <v>2.98</v>
      </c>
      <c r="I21" s="112">
        <v>2.74</v>
      </c>
      <c r="J21" s="112">
        <v>0.56000000000000005</v>
      </c>
      <c r="K21" s="112">
        <v>263.33999999999997</v>
      </c>
      <c r="L21" s="112">
        <v>26.24</v>
      </c>
      <c r="M21" s="112">
        <v>90.68</v>
      </c>
      <c r="N21" s="112">
        <v>2.2999999999999998</v>
      </c>
      <c r="O21" s="112">
        <v>0</v>
      </c>
      <c r="P21" s="112">
        <v>0.35</v>
      </c>
      <c r="Q21" s="112">
        <v>4.62</v>
      </c>
    </row>
    <row r="22" spans="1:17" customFormat="1">
      <c r="A22" s="80">
        <v>45480.145833333336</v>
      </c>
      <c r="B22" s="112">
        <v>9.2200000000000006</v>
      </c>
      <c r="C22" s="112">
        <v>4.07</v>
      </c>
      <c r="D22" s="112">
        <v>13.97</v>
      </c>
      <c r="E22" s="112">
        <v>8.52</v>
      </c>
      <c r="F22" s="112">
        <v>5.05</v>
      </c>
      <c r="G22" s="112">
        <v>15.72</v>
      </c>
      <c r="H22" s="112">
        <v>2.98</v>
      </c>
      <c r="I22" s="112">
        <v>2.73</v>
      </c>
      <c r="J22" s="112">
        <v>0.37</v>
      </c>
      <c r="K22" s="112">
        <v>260.83999999999997</v>
      </c>
      <c r="L22" s="112">
        <v>26.09</v>
      </c>
      <c r="M22" s="112">
        <v>91.09</v>
      </c>
      <c r="N22" s="112">
        <v>2.1</v>
      </c>
      <c r="O22" s="112">
        <v>0</v>
      </c>
      <c r="P22" s="112">
        <v>0.35</v>
      </c>
      <c r="Q22" s="112">
        <v>4.63</v>
      </c>
    </row>
    <row r="23" spans="1:17" customFormat="1">
      <c r="A23" s="80">
        <v>45480.15625</v>
      </c>
      <c r="B23" s="112">
        <v>9.2100000000000009</v>
      </c>
      <c r="C23" s="112">
        <v>4.09</v>
      </c>
      <c r="D23" s="112">
        <v>13.98</v>
      </c>
      <c r="E23" s="112">
        <v>8.39</v>
      </c>
      <c r="F23" s="112">
        <v>5.31</v>
      </c>
      <c r="G23" s="112">
        <v>13.31</v>
      </c>
      <c r="H23" s="112">
        <v>3.46</v>
      </c>
      <c r="I23" s="112">
        <v>2.73</v>
      </c>
      <c r="J23" s="112">
        <v>0.46</v>
      </c>
      <c r="K23" s="112">
        <v>259.19</v>
      </c>
      <c r="L23" s="112">
        <v>25.96</v>
      </c>
      <c r="M23" s="112">
        <v>90.14</v>
      </c>
      <c r="N23" s="112">
        <v>2.1</v>
      </c>
      <c r="O23" s="112">
        <v>0</v>
      </c>
      <c r="P23" s="112">
        <v>0.35</v>
      </c>
      <c r="Q23" s="112">
        <v>4.6500000000000004</v>
      </c>
    </row>
    <row r="24" spans="1:17" customFormat="1">
      <c r="A24" s="80">
        <v>45480.166666666664</v>
      </c>
      <c r="B24" s="112">
        <v>9.2200000000000006</v>
      </c>
      <c r="C24" s="112">
        <v>4.08</v>
      </c>
      <c r="D24" s="112">
        <v>13.97</v>
      </c>
      <c r="E24" s="112">
        <v>7.98</v>
      </c>
      <c r="F24" s="112">
        <v>5.18</v>
      </c>
      <c r="G24" s="112">
        <v>11.47</v>
      </c>
      <c r="H24" s="112">
        <v>3.62</v>
      </c>
      <c r="I24" s="112">
        <v>2.74</v>
      </c>
      <c r="J24" s="112">
        <v>0.45</v>
      </c>
      <c r="K24" s="112">
        <v>257.29000000000002</v>
      </c>
      <c r="L24" s="112">
        <v>25.97</v>
      </c>
      <c r="M24" s="112">
        <v>91.25</v>
      </c>
      <c r="N24" s="112">
        <v>2</v>
      </c>
      <c r="O24" s="112">
        <v>0</v>
      </c>
      <c r="P24" s="112">
        <v>0.34</v>
      </c>
      <c r="Q24" s="112">
        <v>4.6100000000000003</v>
      </c>
    </row>
    <row r="25" spans="1:17" customFormat="1">
      <c r="A25" s="80">
        <v>45480.177083333336</v>
      </c>
      <c r="B25" s="112">
        <v>9.2200000000000006</v>
      </c>
      <c r="C25" s="112">
        <v>4.07</v>
      </c>
      <c r="D25" s="112">
        <v>13.97</v>
      </c>
      <c r="E25" s="112">
        <v>7.68</v>
      </c>
      <c r="F25" s="112">
        <v>4.9400000000000004</v>
      </c>
      <c r="G25" s="112">
        <v>11.47</v>
      </c>
      <c r="H25" s="112">
        <v>3.62</v>
      </c>
      <c r="I25" s="112">
        <v>2.72</v>
      </c>
      <c r="J25" s="112">
        <v>0.45</v>
      </c>
      <c r="K25" s="112">
        <v>271.27999999999997</v>
      </c>
      <c r="L25" s="112">
        <v>25.92</v>
      </c>
      <c r="M25" s="112">
        <v>89.29</v>
      </c>
      <c r="N25" s="112">
        <v>2.1</v>
      </c>
      <c r="O25" s="112">
        <v>0</v>
      </c>
      <c r="P25" s="112">
        <v>0.33</v>
      </c>
      <c r="Q25" s="112">
        <v>4.6100000000000003</v>
      </c>
    </row>
    <row r="26" spans="1:17" customFormat="1">
      <c r="A26" s="80">
        <v>45480.1875</v>
      </c>
      <c r="B26" s="112">
        <v>9.2200000000000006</v>
      </c>
      <c r="C26" s="112">
        <v>4.07</v>
      </c>
      <c r="D26" s="112">
        <v>13.97</v>
      </c>
      <c r="E26" s="112">
        <v>7.96</v>
      </c>
      <c r="F26" s="112">
        <v>4.99</v>
      </c>
      <c r="G26" s="112">
        <v>11.47</v>
      </c>
      <c r="H26" s="112">
        <v>3.62</v>
      </c>
      <c r="I26" s="112">
        <v>2.72</v>
      </c>
      <c r="J26" s="112">
        <v>0.28000000000000003</v>
      </c>
      <c r="K26" s="112">
        <v>253.9</v>
      </c>
      <c r="L26" s="112">
        <v>25.76</v>
      </c>
      <c r="M26" s="112">
        <v>91.76</v>
      </c>
      <c r="N26" s="112">
        <v>2.1</v>
      </c>
      <c r="O26" s="112">
        <v>0</v>
      </c>
      <c r="P26" s="112">
        <v>0.33</v>
      </c>
      <c r="Q26" s="112">
        <v>4.6100000000000003</v>
      </c>
    </row>
    <row r="27" spans="1:17" customFormat="1">
      <c r="A27" s="80">
        <v>45480.197916666664</v>
      </c>
      <c r="B27" s="112">
        <v>9.2200000000000006</v>
      </c>
      <c r="C27" s="112">
        <v>4.08</v>
      </c>
      <c r="D27" s="112">
        <v>13.97</v>
      </c>
      <c r="E27" s="112">
        <v>7.83</v>
      </c>
      <c r="F27" s="112">
        <v>5.73</v>
      </c>
      <c r="G27" s="112">
        <v>10.27</v>
      </c>
      <c r="H27" s="112">
        <v>2.92</v>
      </c>
      <c r="I27" s="112">
        <v>2.76</v>
      </c>
      <c r="J27" s="112">
        <v>0.38</v>
      </c>
      <c r="K27" s="112">
        <v>263.26</v>
      </c>
      <c r="L27" s="112">
        <v>25.66</v>
      </c>
      <c r="M27" s="112">
        <v>91.01</v>
      </c>
      <c r="N27" s="112">
        <v>2.1</v>
      </c>
      <c r="O27" s="112">
        <v>0</v>
      </c>
      <c r="P27" s="112">
        <v>0.33</v>
      </c>
      <c r="Q27" s="112">
        <v>4.62</v>
      </c>
    </row>
    <row r="28" spans="1:17" customFormat="1">
      <c r="A28" s="80">
        <v>45480.208333333336</v>
      </c>
      <c r="B28" s="112">
        <v>9.23</v>
      </c>
      <c r="C28" s="112">
        <v>4.04</v>
      </c>
      <c r="D28" s="112">
        <v>13.96</v>
      </c>
      <c r="E28" s="112">
        <v>7.7</v>
      </c>
      <c r="F28" s="112">
        <v>5.41</v>
      </c>
      <c r="G28" s="112">
        <v>9.35</v>
      </c>
      <c r="H28" s="112">
        <v>2.69</v>
      </c>
      <c r="I28" s="112">
        <v>2.77</v>
      </c>
      <c r="J28" s="112">
        <v>0.25</v>
      </c>
      <c r="K28" s="112">
        <v>250.85</v>
      </c>
      <c r="L28" s="112">
        <v>25.6</v>
      </c>
      <c r="M28" s="112">
        <v>91.77</v>
      </c>
      <c r="N28" s="112">
        <v>1.9</v>
      </c>
      <c r="O28" s="112">
        <v>0</v>
      </c>
      <c r="P28" s="112">
        <v>0.33</v>
      </c>
      <c r="Q28" s="112">
        <v>4.62</v>
      </c>
    </row>
    <row r="29" spans="1:17" customFormat="1">
      <c r="A29" s="80">
        <v>45480.21875</v>
      </c>
      <c r="B29" s="112">
        <v>9.23</v>
      </c>
      <c r="C29" s="112">
        <v>4.05</v>
      </c>
      <c r="D29" s="112">
        <v>13.97</v>
      </c>
      <c r="E29" s="112">
        <v>7.34</v>
      </c>
      <c r="F29" s="112">
        <v>5.01</v>
      </c>
      <c r="G29" s="112">
        <v>9.35</v>
      </c>
      <c r="H29" s="112">
        <v>2.69</v>
      </c>
      <c r="I29" s="112">
        <v>2.7</v>
      </c>
      <c r="J29" s="112">
        <v>0.26</v>
      </c>
      <c r="K29" s="112">
        <v>258.62</v>
      </c>
      <c r="L29" s="112">
        <v>25.53</v>
      </c>
      <c r="M29" s="112">
        <v>92.78</v>
      </c>
      <c r="N29" s="112">
        <v>2.6</v>
      </c>
      <c r="O29" s="112">
        <v>0</v>
      </c>
      <c r="P29" s="112">
        <v>0.33</v>
      </c>
      <c r="Q29" s="112">
        <v>4.6100000000000003</v>
      </c>
    </row>
    <row r="30" spans="1:17" customFormat="1">
      <c r="A30" s="80">
        <v>45480.229166666664</v>
      </c>
      <c r="B30" s="112">
        <v>9.23</v>
      </c>
      <c r="C30" s="112">
        <v>4.03</v>
      </c>
      <c r="D30" s="112">
        <v>13.96</v>
      </c>
      <c r="E30" s="112">
        <v>7.16</v>
      </c>
      <c r="F30" s="112">
        <v>4.9800000000000004</v>
      </c>
      <c r="G30" s="112">
        <v>9.35</v>
      </c>
      <c r="H30" s="112">
        <v>2.69</v>
      </c>
      <c r="I30" s="112">
        <v>2.74</v>
      </c>
      <c r="J30" s="112">
        <v>0.28000000000000003</v>
      </c>
      <c r="K30" s="112">
        <v>257.14</v>
      </c>
      <c r="L30" s="112">
        <v>25.6</v>
      </c>
      <c r="M30" s="112">
        <v>92.27</v>
      </c>
      <c r="N30" s="112">
        <v>5.7</v>
      </c>
      <c r="O30" s="112">
        <v>0</v>
      </c>
      <c r="P30" s="112">
        <v>0.33</v>
      </c>
      <c r="Q30" s="112">
        <v>4.6100000000000003</v>
      </c>
    </row>
    <row r="31" spans="1:17" customFormat="1">
      <c r="A31" s="80">
        <v>45480.239583333336</v>
      </c>
      <c r="B31" s="112">
        <v>9.25</v>
      </c>
      <c r="C31" s="112">
        <v>4.04</v>
      </c>
      <c r="D31" s="112">
        <v>13.98</v>
      </c>
      <c r="E31" s="112">
        <v>7.23</v>
      </c>
      <c r="F31" s="112">
        <v>6.63</v>
      </c>
      <c r="G31" s="112">
        <v>9.48</v>
      </c>
      <c r="H31" s="112">
        <v>2.77</v>
      </c>
      <c r="I31" s="112">
        <v>2.68</v>
      </c>
      <c r="J31" s="112">
        <v>0.37</v>
      </c>
      <c r="K31" s="112">
        <v>266.69</v>
      </c>
      <c r="L31" s="112">
        <v>25.78</v>
      </c>
      <c r="M31" s="112">
        <v>92.43</v>
      </c>
      <c r="N31" s="112">
        <v>14.3</v>
      </c>
      <c r="O31" s="112">
        <v>0</v>
      </c>
      <c r="P31" s="112">
        <v>0.33</v>
      </c>
      <c r="Q31" s="112">
        <v>4.5999999999999996</v>
      </c>
    </row>
    <row r="32" spans="1:17" customFormat="1">
      <c r="A32" s="80">
        <v>45480.25</v>
      </c>
      <c r="B32" s="112">
        <v>9.25</v>
      </c>
      <c r="C32" s="112">
        <v>4.0599999999999996</v>
      </c>
      <c r="D32" s="112">
        <v>13.99</v>
      </c>
      <c r="E32" s="112">
        <v>7.13</v>
      </c>
      <c r="F32" s="112">
        <v>5.88</v>
      </c>
      <c r="G32" s="112">
        <v>9.58</v>
      </c>
      <c r="H32" s="112">
        <v>2.8</v>
      </c>
      <c r="I32" s="112">
        <v>2.75</v>
      </c>
      <c r="J32" s="112">
        <v>0.47</v>
      </c>
      <c r="K32" s="112">
        <v>267.94</v>
      </c>
      <c r="L32" s="112">
        <v>25.91</v>
      </c>
      <c r="M32" s="112">
        <v>90.79</v>
      </c>
      <c r="N32" s="112">
        <v>26.3</v>
      </c>
      <c r="O32" s="112">
        <v>0</v>
      </c>
      <c r="P32" s="112">
        <v>0.33</v>
      </c>
      <c r="Q32" s="112">
        <v>4.5999999999999996</v>
      </c>
    </row>
    <row r="33" spans="1:17" customFormat="1">
      <c r="A33" s="80">
        <v>45480.260416666664</v>
      </c>
      <c r="B33" s="112">
        <v>9.2200000000000006</v>
      </c>
      <c r="C33" s="112">
        <v>4.08</v>
      </c>
      <c r="D33" s="112">
        <v>13.97</v>
      </c>
      <c r="E33" s="112">
        <v>7.22</v>
      </c>
      <c r="F33" s="112">
        <v>5.03</v>
      </c>
      <c r="G33" s="112">
        <v>9.58</v>
      </c>
      <c r="H33" s="112">
        <v>2.8</v>
      </c>
      <c r="I33" s="112">
        <v>2.66</v>
      </c>
      <c r="J33" s="112">
        <v>0.62</v>
      </c>
      <c r="K33" s="112">
        <v>262.98</v>
      </c>
      <c r="L33" s="112">
        <v>25.98</v>
      </c>
      <c r="M33" s="112">
        <v>89.58</v>
      </c>
      <c r="N33" s="112">
        <v>37.6</v>
      </c>
      <c r="O33" s="112">
        <v>0</v>
      </c>
      <c r="P33" s="112">
        <v>0.32</v>
      </c>
      <c r="Q33" s="112">
        <v>4.58</v>
      </c>
    </row>
    <row r="34" spans="1:17" customFormat="1">
      <c r="A34" s="80">
        <v>45480.270833333336</v>
      </c>
      <c r="B34" s="112">
        <v>9.2200000000000006</v>
      </c>
      <c r="C34" s="112">
        <v>4.09</v>
      </c>
      <c r="D34" s="112">
        <v>13.98</v>
      </c>
      <c r="E34" s="112">
        <v>7</v>
      </c>
      <c r="F34" s="112">
        <v>4.95</v>
      </c>
      <c r="G34" s="112">
        <v>9.58</v>
      </c>
      <c r="H34" s="112">
        <v>2.8</v>
      </c>
      <c r="I34" s="112">
        <v>2.77</v>
      </c>
      <c r="J34" s="112">
        <v>0.46</v>
      </c>
      <c r="K34" s="112">
        <v>265.83</v>
      </c>
      <c r="L34" s="112">
        <v>26.19</v>
      </c>
      <c r="M34" s="112">
        <v>88.8</v>
      </c>
      <c r="N34" s="112">
        <v>57.4</v>
      </c>
      <c r="O34" s="112">
        <v>0</v>
      </c>
      <c r="P34" s="112">
        <v>0.33</v>
      </c>
      <c r="Q34" s="112">
        <v>4.6100000000000003</v>
      </c>
    </row>
    <row r="35" spans="1:17" customFormat="1">
      <c r="A35" s="80">
        <v>45480.28125</v>
      </c>
      <c r="B35" s="112">
        <v>9.24</v>
      </c>
      <c r="C35" s="112">
        <v>4.0599999999999996</v>
      </c>
      <c r="D35" s="112">
        <v>13.98</v>
      </c>
      <c r="E35" s="112">
        <v>6.98</v>
      </c>
      <c r="F35" s="112">
        <v>6.29</v>
      </c>
      <c r="G35" s="112">
        <v>8.17</v>
      </c>
      <c r="H35" s="112">
        <v>2.4700000000000002</v>
      </c>
      <c r="I35" s="112">
        <v>2.8</v>
      </c>
      <c r="J35" s="112">
        <v>0.6</v>
      </c>
      <c r="K35" s="112">
        <v>265.19</v>
      </c>
      <c r="L35" s="112">
        <v>26.38</v>
      </c>
      <c r="M35" s="112">
        <v>87.79</v>
      </c>
      <c r="N35" s="112">
        <v>72.900000000000006</v>
      </c>
      <c r="O35" s="112">
        <v>0</v>
      </c>
      <c r="P35" s="112">
        <v>0.33</v>
      </c>
      <c r="Q35" s="112">
        <v>4.6100000000000003</v>
      </c>
    </row>
    <row r="36" spans="1:17" customFormat="1">
      <c r="A36" s="80">
        <v>45480.291666666664</v>
      </c>
      <c r="B36" s="112">
        <v>9.24</v>
      </c>
      <c r="C36" s="112">
        <v>4.0599999999999996</v>
      </c>
      <c r="D36" s="112">
        <v>13.98</v>
      </c>
      <c r="E36" s="112">
        <v>6.52</v>
      </c>
      <c r="F36" s="112">
        <v>5.66</v>
      </c>
      <c r="G36" s="112">
        <v>7.08</v>
      </c>
      <c r="H36" s="112">
        <v>2.2599999999999998</v>
      </c>
      <c r="I36" s="112">
        <v>2.81</v>
      </c>
      <c r="J36" s="112">
        <v>0.62</v>
      </c>
      <c r="K36" s="112">
        <v>273.92</v>
      </c>
      <c r="L36" s="112">
        <v>26.51</v>
      </c>
      <c r="M36" s="112">
        <v>87.08</v>
      </c>
      <c r="N36" s="112">
        <v>63.6</v>
      </c>
      <c r="O36" s="112">
        <v>0</v>
      </c>
      <c r="P36" s="112">
        <v>0.32</v>
      </c>
      <c r="Q36" s="112">
        <v>4.5999999999999996</v>
      </c>
    </row>
    <row r="37" spans="1:17" customFormat="1">
      <c r="A37" s="80">
        <v>45480.302083333336</v>
      </c>
      <c r="B37" s="112">
        <v>9.24</v>
      </c>
      <c r="C37" s="112">
        <v>4.07</v>
      </c>
      <c r="D37" s="112">
        <v>13.98</v>
      </c>
      <c r="E37" s="112">
        <v>7.08</v>
      </c>
      <c r="F37" s="112">
        <v>5.25</v>
      </c>
      <c r="G37" s="112">
        <v>7.08</v>
      </c>
      <c r="H37" s="112">
        <v>2.2599999999999998</v>
      </c>
      <c r="I37" s="112">
        <v>2.76</v>
      </c>
      <c r="J37" s="112">
        <v>0.63</v>
      </c>
      <c r="K37" s="112">
        <v>272</v>
      </c>
      <c r="L37" s="112">
        <v>26.5</v>
      </c>
      <c r="M37" s="112">
        <v>87.07</v>
      </c>
      <c r="N37" s="112">
        <v>75.7</v>
      </c>
      <c r="O37" s="112">
        <v>0</v>
      </c>
      <c r="P37" s="112">
        <v>0.31</v>
      </c>
      <c r="Q37" s="112">
        <v>4.5999999999999996</v>
      </c>
    </row>
    <row r="38" spans="1:17" customFormat="1">
      <c r="A38" s="80">
        <v>45480.3125</v>
      </c>
      <c r="B38" s="112">
        <v>9.26</v>
      </c>
      <c r="C38" s="112">
        <v>4.04</v>
      </c>
      <c r="D38" s="112">
        <v>13.99</v>
      </c>
      <c r="E38" s="112">
        <v>6.91</v>
      </c>
      <c r="F38" s="112">
        <v>5.25</v>
      </c>
      <c r="G38" s="112">
        <v>7.08</v>
      </c>
      <c r="H38" s="112">
        <v>2.2599999999999998</v>
      </c>
      <c r="I38" s="112">
        <v>2.75</v>
      </c>
      <c r="J38" s="112">
        <v>0.73</v>
      </c>
      <c r="K38" s="112">
        <v>267.24</v>
      </c>
      <c r="L38" s="112">
        <v>26.93</v>
      </c>
      <c r="M38" s="112">
        <v>85.47</v>
      </c>
      <c r="N38" s="112">
        <v>128.19999999999999</v>
      </c>
      <c r="O38" s="112">
        <v>0</v>
      </c>
      <c r="P38" s="112">
        <v>0.28000000000000003</v>
      </c>
      <c r="Q38" s="112">
        <v>4.57</v>
      </c>
    </row>
    <row r="39" spans="1:17" customFormat="1">
      <c r="A39" s="80">
        <v>45480.322916666664</v>
      </c>
      <c r="B39" s="112">
        <v>9.27</v>
      </c>
      <c r="C39" s="112">
        <v>4.03</v>
      </c>
      <c r="D39" s="112">
        <v>13.99</v>
      </c>
      <c r="E39" s="112">
        <v>7.25</v>
      </c>
      <c r="F39" s="112">
        <v>6</v>
      </c>
      <c r="G39" s="112">
        <v>6.17</v>
      </c>
      <c r="H39" s="112">
        <v>3.41</v>
      </c>
      <c r="I39" s="112">
        <v>2.8</v>
      </c>
      <c r="J39" s="112">
        <v>0.73</v>
      </c>
      <c r="K39" s="112">
        <v>262.33</v>
      </c>
      <c r="L39" s="112">
        <v>27.15</v>
      </c>
      <c r="M39" s="112">
        <v>85.17</v>
      </c>
      <c r="N39" s="112">
        <v>125.5</v>
      </c>
      <c r="O39" s="112">
        <v>0</v>
      </c>
      <c r="P39" s="112">
        <v>0.28000000000000003</v>
      </c>
      <c r="Q39" s="112">
        <v>4.6100000000000003</v>
      </c>
    </row>
    <row r="40" spans="1:17" customFormat="1">
      <c r="A40" s="80">
        <v>45480.333333333336</v>
      </c>
      <c r="B40" s="112">
        <v>9.26</v>
      </c>
      <c r="C40" s="112">
        <v>4.0599999999999996</v>
      </c>
      <c r="D40" s="112">
        <v>14</v>
      </c>
      <c r="E40" s="112">
        <v>7.46</v>
      </c>
      <c r="F40" s="112">
        <v>4.9400000000000004</v>
      </c>
      <c r="G40" s="112">
        <v>5.47</v>
      </c>
      <c r="H40" s="112">
        <v>3.78</v>
      </c>
      <c r="I40" s="112">
        <v>2.82</v>
      </c>
      <c r="J40" s="112">
        <v>0.94</v>
      </c>
      <c r="K40" s="112">
        <v>272</v>
      </c>
      <c r="L40" s="112">
        <v>27.2</v>
      </c>
      <c r="M40" s="112">
        <v>86.56</v>
      </c>
      <c r="N40" s="112">
        <v>138.80000000000001</v>
      </c>
      <c r="O40" s="112">
        <v>0</v>
      </c>
      <c r="P40" s="112">
        <v>0.28000000000000003</v>
      </c>
      <c r="Q40" s="112">
        <v>4.5999999999999996</v>
      </c>
    </row>
    <row r="41" spans="1:17" customFormat="1">
      <c r="A41" s="80">
        <v>45480.34375</v>
      </c>
      <c r="B41" s="112">
        <v>9.24</v>
      </c>
      <c r="C41" s="112">
        <v>4.1100000000000003</v>
      </c>
      <c r="D41" s="112">
        <v>14</v>
      </c>
      <c r="E41" s="112">
        <v>7.23</v>
      </c>
      <c r="F41" s="112">
        <v>4.71</v>
      </c>
      <c r="G41" s="112">
        <v>5.47</v>
      </c>
      <c r="H41" s="112">
        <v>3.78</v>
      </c>
      <c r="I41" s="112">
        <v>2.78</v>
      </c>
      <c r="J41" s="112">
        <v>0.79</v>
      </c>
      <c r="K41" s="112">
        <v>277.49</v>
      </c>
      <c r="L41" s="112">
        <v>27.85</v>
      </c>
      <c r="M41" s="112">
        <v>83.99</v>
      </c>
      <c r="N41" s="112">
        <v>183.7</v>
      </c>
      <c r="O41" s="112">
        <v>0</v>
      </c>
      <c r="P41" s="112">
        <v>0.28000000000000003</v>
      </c>
      <c r="Q41" s="112">
        <v>4.58</v>
      </c>
    </row>
    <row r="42" spans="1:17" customFormat="1">
      <c r="A42" s="80">
        <v>45480.354166666664</v>
      </c>
      <c r="B42" s="112">
        <v>9.2200000000000006</v>
      </c>
      <c r="C42" s="112">
        <v>4.08</v>
      </c>
      <c r="D42" s="112">
        <v>13.98</v>
      </c>
      <c r="E42" s="112">
        <v>7.54</v>
      </c>
      <c r="F42" s="112">
        <v>4.97</v>
      </c>
      <c r="G42" s="112">
        <v>5.47</v>
      </c>
      <c r="H42" s="112">
        <v>3.78</v>
      </c>
      <c r="I42" s="112">
        <v>2.75</v>
      </c>
      <c r="J42" s="112">
        <v>0.74</v>
      </c>
      <c r="K42" s="112">
        <v>278.51</v>
      </c>
      <c r="L42" s="112">
        <v>28.23</v>
      </c>
      <c r="M42" s="112">
        <v>83.16</v>
      </c>
      <c r="N42" s="112">
        <v>193.6</v>
      </c>
      <c r="O42" s="112">
        <v>0</v>
      </c>
      <c r="P42" s="112">
        <v>0.28000000000000003</v>
      </c>
      <c r="Q42" s="112">
        <v>4.5999999999999996</v>
      </c>
    </row>
    <row r="43" spans="1:17" customFormat="1">
      <c r="A43" s="80">
        <v>45480.364583333336</v>
      </c>
      <c r="B43" s="112">
        <v>9.2100000000000009</v>
      </c>
      <c r="C43" s="112">
        <v>4.0599999999999996</v>
      </c>
      <c r="D43" s="112">
        <v>13.95</v>
      </c>
      <c r="E43" s="112">
        <v>7.57</v>
      </c>
      <c r="F43" s="112">
        <v>6.14</v>
      </c>
      <c r="G43" s="112">
        <v>5.56</v>
      </c>
      <c r="H43" s="112">
        <v>16.72</v>
      </c>
      <c r="I43" s="112">
        <v>2.75</v>
      </c>
      <c r="J43" s="112">
        <v>0.63</v>
      </c>
      <c r="K43" s="112">
        <v>280.04000000000002</v>
      </c>
      <c r="L43" s="112">
        <v>28.41</v>
      </c>
      <c r="M43" s="112">
        <v>81.44</v>
      </c>
      <c r="N43" s="112">
        <v>204.8</v>
      </c>
      <c r="O43" s="112">
        <v>0</v>
      </c>
      <c r="P43" s="112">
        <v>0.28999999999999998</v>
      </c>
      <c r="Q43" s="112">
        <v>4.5999999999999996</v>
      </c>
    </row>
    <row r="44" spans="1:17" customFormat="1">
      <c r="A44" s="80">
        <v>45480.375</v>
      </c>
      <c r="B44" s="112">
        <v>9.18</v>
      </c>
      <c r="C44" s="112">
        <v>4.0599999999999996</v>
      </c>
      <c r="D44" s="112">
        <v>13.94</v>
      </c>
      <c r="E44" s="112">
        <v>8.08</v>
      </c>
      <c r="F44" s="112">
        <v>5.3</v>
      </c>
      <c r="G44" s="112">
        <v>5.62</v>
      </c>
      <c r="H44" s="112">
        <v>20.87</v>
      </c>
      <c r="I44" s="112">
        <v>2.72</v>
      </c>
      <c r="J44" s="112">
        <v>0.76</v>
      </c>
      <c r="K44" s="112">
        <v>274.32</v>
      </c>
      <c r="L44" s="112">
        <v>28.49</v>
      </c>
      <c r="M44" s="112">
        <v>81.25</v>
      </c>
      <c r="N44" s="112">
        <v>180.3</v>
      </c>
      <c r="O44" s="112">
        <v>0</v>
      </c>
      <c r="P44" s="112">
        <v>0.28000000000000003</v>
      </c>
      <c r="Q44" s="112">
        <v>4.59</v>
      </c>
    </row>
    <row r="45" spans="1:17" customFormat="1">
      <c r="A45" s="80">
        <v>45480.385416666664</v>
      </c>
      <c r="B45" s="112">
        <v>9.17</v>
      </c>
      <c r="C45" s="112">
        <v>4.07</v>
      </c>
      <c r="D45" s="112">
        <v>13.93</v>
      </c>
      <c r="E45" s="112">
        <v>8.66</v>
      </c>
      <c r="F45" s="112">
        <v>4.3499999999999996</v>
      </c>
      <c r="G45" s="112">
        <v>5.62</v>
      </c>
      <c r="H45" s="112">
        <v>20.87</v>
      </c>
      <c r="I45" s="112">
        <v>2.66</v>
      </c>
      <c r="J45" s="112">
        <v>1</v>
      </c>
      <c r="K45" s="112">
        <v>269.89</v>
      </c>
      <c r="L45" s="112">
        <v>28.23</v>
      </c>
      <c r="M45" s="112">
        <v>81.92</v>
      </c>
      <c r="N45" s="112">
        <v>211.3</v>
      </c>
      <c r="O45" s="112">
        <v>0</v>
      </c>
      <c r="P45" s="112">
        <v>0.28999999999999998</v>
      </c>
      <c r="Q45" s="112">
        <v>4.6100000000000003</v>
      </c>
    </row>
    <row r="46" spans="1:17" customFormat="1">
      <c r="A46" s="80">
        <v>45480.395833333336</v>
      </c>
      <c r="B46" s="112">
        <v>9.17</v>
      </c>
      <c r="C46" s="112">
        <v>4.05</v>
      </c>
      <c r="D46" s="112">
        <v>13.92</v>
      </c>
      <c r="E46" s="112">
        <v>8.48</v>
      </c>
      <c r="F46" s="112">
        <v>4.2</v>
      </c>
      <c r="G46" s="112">
        <v>5.62</v>
      </c>
      <c r="H46" s="112">
        <v>20.87</v>
      </c>
      <c r="I46" s="112">
        <v>2.77</v>
      </c>
      <c r="J46" s="112">
        <v>0.52</v>
      </c>
      <c r="K46" s="112">
        <v>263.11</v>
      </c>
      <c r="L46" s="112">
        <v>28.5</v>
      </c>
      <c r="M46" s="112">
        <v>83.46</v>
      </c>
      <c r="N46" s="112">
        <v>160.9</v>
      </c>
      <c r="O46" s="112">
        <v>0</v>
      </c>
      <c r="P46" s="112">
        <v>0.3</v>
      </c>
      <c r="Q46" s="112">
        <v>4.62</v>
      </c>
    </row>
    <row r="47" spans="1:17" customFormat="1">
      <c r="A47" s="80">
        <v>45480.40625</v>
      </c>
      <c r="B47" s="112">
        <v>9.18</v>
      </c>
      <c r="C47" s="112">
        <v>4.04</v>
      </c>
      <c r="D47" s="112">
        <v>13.93</v>
      </c>
      <c r="E47" s="112">
        <v>8.2200000000000006</v>
      </c>
      <c r="F47" s="112">
        <v>3.99</v>
      </c>
      <c r="G47" s="112">
        <v>6.92</v>
      </c>
      <c r="H47" s="112">
        <v>116.21</v>
      </c>
      <c r="I47" s="112">
        <v>3.03</v>
      </c>
      <c r="J47" s="112">
        <v>0.45</v>
      </c>
      <c r="K47" s="112">
        <v>259.48</v>
      </c>
      <c r="L47" s="112">
        <v>28.72</v>
      </c>
      <c r="M47" s="112">
        <v>82.85</v>
      </c>
      <c r="N47" s="112">
        <v>154.9</v>
      </c>
      <c r="O47" s="112">
        <v>0</v>
      </c>
      <c r="P47" s="112">
        <v>0.3</v>
      </c>
      <c r="Q47" s="112">
        <v>4.63</v>
      </c>
    </row>
    <row r="48" spans="1:17" customFormat="1">
      <c r="A48" s="80">
        <v>45480.416666666664</v>
      </c>
      <c r="B48" s="112">
        <v>9.17</v>
      </c>
      <c r="C48" s="112">
        <v>4.0599999999999996</v>
      </c>
      <c r="D48" s="112">
        <v>13.92</v>
      </c>
      <c r="E48" s="112">
        <v>8.58</v>
      </c>
      <c r="F48" s="112">
        <v>4.04</v>
      </c>
      <c r="G48" s="112">
        <v>7.92</v>
      </c>
      <c r="H48" s="112">
        <v>146.72</v>
      </c>
      <c r="I48" s="112">
        <v>3.16</v>
      </c>
      <c r="J48" s="112">
        <v>0.64</v>
      </c>
      <c r="K48" s="112">
        <v>277.18</v>
      </c>
      <c r="L48" s="112">
        <v>28.17</v>
      </c>
      <c r="M48" s="112">
        <v>83.4</v>
      </c>
      <c r="N48" s="112">
        <v>90.8</v>
      </c>
      <c r="O48" s="112">
        <v>0</v>
      </c>
      <c r="P48" s="112">
        <v>0.32</v>
      </c>
      <c r="Q48" s="112">
        <v>4.59</v>
      </c>
    </row>
    <row r="49" spans="1:17" customFormat="1">
      <c r="A49" s="80">
        <v>45480.427083333336</v>
      </c>
      <c r="B49" s="112">
        <v>9.16</v>
      </c>
      <c r="C49" s="112">
        <v>4.0599999999999996</v>
      </c>
      <c r="D49" s="112">
        <v>13.92</v>
      </c>
      <c r="E49" s="112">
        <v>7.13</v>
      </c>
      <c r="F49" s="112">
        <v>4.34</v>
      </c>
      <c r="G49" s="112">
        <v>7.92</v>
      </c>
      <c r="H49" s="112">
        <v>146.72</v>
      </c>
      <c r="I49" s="112">
        <v>3.32</v>
      </c>
      <c r="J49" s="112">
        <v>0.44</v>
      </c>
      <c r="K49" s="112">
        <v>266.31</v>
      </c>
      <c r="L49" s="112">
        <v>28.4</v>
      </c>
      <c r="M49" s="112">
        <v>81.53</v>
      </c>
      <c r="N49" s="112">
        <v>152.19999999999999</v>
      </c>
      <c r="O49" s="112">
        <v>0</v>
      </c>
      <c r="P49" s="112">
        <v>0.32</v>
      </c>
      <c r="Q49" s="112">
        <v>4.59</v>
      </c>
    </row>
    <row r="50" spans="1:17" customFormat="1">
      <c r="A50" s="80">
        <v>45480.4375</v>
      </c>
      <c r="B50" s="112">
        <v>9.16</v>
      </c>
      <c r="C50" s="112">
        <v>4.07</v>
      </c>
      <c r="D50" s="112">
        <v>13.92</v>
      </c>
      <c r="E50" s="112">
        <v>9.15</v>
      </c>
      <c r="F50" s="112">
        <v>4.54</v>
      </c>
      <c r="G50" s="112">
        <v>7.92</v>
      </c>
      <c r="H50" s="112">
        <v>146.72</v>
      </c>
      <c r="I50" s="112">
        <v>3.41</v>
      </c>
      <c r="J50" s="112">
        <v>0.57999999999999996</v>
      </c>
      <c r="K50" s="112">
        <v>286.45999999999998</v>
      </c>
      <c r="L50" s="112">
        <v>28.71</v>
      </c>
      <c r="M50" s="112">
        <v>79.680000000000007</v>
      </c>
      <c r="N50" s="112">
        <v>132.19999999999999</v>
      </c>
      <c r="O50" s="112">
        <v>0</v>
      </c>
      <c r="P50" s="112">
        <v>0.33</v>
      </c>
      <c r="Q50" s="112">
        <v>4.6100000000000003</v>
      </c>
    </row>
    <row r="51" spans="1:17" customFormat="1">
      <c r="A51" s="80">
        <v>45480.447916666664</v>
      </c>
      <c r="B51" s="112">
        <v>9.16</v>
      </c>
      <c r="C51" s="112">
        <v>4.07</v>
      </c>
      <c r="D51" s="112">
        <v>13.92</v>
      </c>
      <c r="E51" s="112">
        <v>9.31</v>
      </c>
      <c r="F51" s="112">
        <v>4.91</v>
      </c>
      <c r="G51" s="112">
        <v>9.8699999999999992</v>
      </c>
      <c r="H51" s="112">
        <v>106.78</v>
      </c>
      <c r="I51" s="112">
        <v>3.47</v>
      </c>
      <c r="J51" s="112">
        <v>0.65</v>
      </c>
      <c r="K51" s="112">
        <v>271.31</v>
      </c>
      <c r="L51" s="112">
        <v>28.32</v>
      </c>
      <c r="M51" s="112">
        <v>80.180000000000007</v>
      </c>
      <c r="N51" s="112">
        <v>135.69999999999999</v>
      </c>
      <c r="O51" s="112">
        <v>0</v>
      </c>
      <c r="P51" s="112">
        <v>0.35</v>
      </c>
      <c r="Q51" s="112">
        <v>4.6100000000000003</v>
      </c>
    </row>
    <row r="52" spans="1:17" customFormat="1">
      <c r="A52" s="80">
        <v>45480.458333333336</v>
      </c>
      <c r="B52" s="112">
        <v>9.16</v>
      </c>
      <c r="C52" s="112">
        <v>4.0599999999999996</v>
      </c>
      <c r="D52" s="112">
        <v>13.92</v>
      </c>
      <c r="E52" s="112">
        <v>9.35</v>
      </c>
      <c r="F52" s="112">
        <v>3.92</v>
      </c>
      <c r="G52" s="112">
        <v>11.36</v>
      </c>
      <c r="H52" s="112">
        <v>94</v>
      </c>
      <c r="I52" s="112">
        <v>3.6</v>
      </c>
      <c r="J52" s="112">
        <v>0.53</v>
      </c>
      <c r="K52" s="112">
        <v>274.48</v>
      </c>
      <c r="L52" s="112">
        <v>28.78</v>
      </c>
      <c r="M52" s="112">
        <v>78.02</v>
      </c>
      <c r="N52" s="112">
        <v>233.9</v>
      </c>
      <c r="O52" s="112">
        <v>0</v>
      </c>
      <c r="P52" s="112">
        <v>0.35</v>
      </c>
      <c r="Q52" s="112">
        <v>4.5999999999999996</v>
      </c>
    </row>
    <row r="53" spans="1:17" customFormat="1">
      <c r="A53" s="80">
        <v>45480.46875</v>
      </c>
      <c r="B53" s="112">
        <v>9.16</v>
      </c>
      <c r="C53" s="112">
        <v>4.03</v>
      </c>
      <c r="D53" s="112">
        <v>13.9</v>
      </c>
      <c r="E53" s="112">
        <v>9.6300000000000008</v>
      </c>
      <c r="F53" s="112">
        <v>3.73</v>
      </c>
      <c r="G53" s="112">
        <v>11.36</v>
      </c>
      <c r="H53" s="112">
        <v>94</v>
      </c>
      <c r="I53" s="112">
        <v>3.63</v>
      </c>
      <c r="J53" s="112">
        <v>0.66</v>
      </c>
      <c r="K53" s="112">
        <v>293.01</v>
      </c>
      <c r="L53" s="112">
        <v>29.56</v>
      </c>
      <c r="M53" s="112">
        <v>75.45</v>
      </c>
      <c r="N53" s="112">
        <v>284.60000000000002</v>
      </c>
      <c r="O53" s="112">
        <v>0</v>
      </c>
      <c r="P53" s="112">
        <v>0.37</v>
      </c>
      <c r="Q53" s="112">
        <v>4.59</v>
      </c>
    </row>
    <row r="54" spans="1:17" customFormat="1">
      <c r="A54" s="80">
        <v>45480.479166666664</v>
      </c>
      <c r="B54" s="112">
        <v>9.17</v>
      </c>
      <c r="C54" s="112">
        <v>4.07</v>
      </c>
      <c r="D54" s="112">
        <v>13.93</v>
      </c>
      <c r="E54" s="112">
        <v>9.5500000000000007</v>
      </c>
      <c r="F54" s="112">
        <v>4.63</v>
      </c>
      <c r="G54" s="112">
        <v>11.36</v>
      </c>
      <c r="H54" s="112">
        <v>94</v>
      </c>
      <c r="I54" s="112">
        <v>3.7</v>
      </c>
      <c r="J54" s="112">
        <v>0.94</v>
      </c>
      <c r="K54" s="112">
        <v>303.33</v>
      </c>
      <c r="L54" s="112">
        <v>29.46</v>
      </c>
      <c r="M54" s="112">
        <v>76.11</v>
      </c>
      <c r="N54" s="112">
        <v>277.2</v>
      </c>
      <c r="O54" s="112">
        <v>0</v>
      </c>
      <c r="P54" s="112">
        <v>0.39</v>
      </c>
      <c r="Q54" s="112">
        <v>4.6100000000000003</v>
      </c>
    </row>
    <row r="55" spans="1:17" customFormat="1">
      <c r="A55" s="80">
        <v>45480.489583333336</v>
      </c>
      <c r="B55" s="112">
        <v>9.18</v>
      </c>
      <c r="C55" s="112">
        <v>4.04</v>
      </c>
      <c r="D55" s="112">
        <v>13.92</v>
      </c>
      <c r="E55" s="112">
        <v>9.52</v>
      </c>
      <c r="F55" s="112">
        <v>6.56</v>
      </c>
      <c r="G55" s="112">
        <v>11.76</v>
      </c>
      <c r="H55" s="112">
        <v>112.26</v>
      </c>
      <c r="I55" s="112">
        <v>3.89</v>
      </c>
      <c r="J55" s="112">
        <v>0.51</v>
      </c>
      <c r="K55" s="112">
        <v>307.8</v>
      </c>
      <c r="L55" s="112">
        <v>29.67</v>
      </c>
      <c r="M55" s="112">
        <v>76.38</v>
      </c>
      <c r="N55" s="112">
        <v>228</v>
      </c>
      <c r="O55" s="112">
        <v>0</v>
      </c>
      <c r="P55" s="112">
        <v>0.41</v>
      </c>
      <c r="Q55" s="112">
        <v>4.6100000000000003</v>
      </c>
    </row>
    <row r="56" spans="1:17" customFormat="1">
      <c r="A56" s="80">
        <v>45480.5</v>
      </c>
      <c r="B56" s="112">
        <v>9.17</v>
      </c>
      <c r="C56" s="112">
        <v>4.05</v>
      </c>
      <c r="D56" s="112">
        <v>13.92</v>
      </c>
      <c r="E56" s="112">
        <v>9.76</v>
      </c>
      <c r="F56" s="112">
        <v>4.45</v>
      </c>
      <c r="G56" s="112">
        <v>12.06</v>
      </c>
      <c r="H56" s="112">
        <v>118.11</v>
      </c>
      <c r="I56" s="112">
        <v>4.03</v>
      </c>
      <c r="J56" s="112">
        <v>0.39</v>
      </c>
      <c r="K56" s="112">
        <v>249.19</v>
      </c>
      <c r="L56" s="112">
        <v>29.84</v>
      </c>
      <c r="M56" s="112">
        <v>77.87</v>
      </c>
      <c r="N56" s="112">
        <v>241</v>
      </c>
      <c r="O56" s="112">
        <v>0</v>
      </c>
      <c r="P56" s="112">
        <v>0.42</v>
      </c>
      <c r="Q56" s="112">
        <v>4.58</v>
      </c>
    </row>
    <row r="57" spans="1:17" customFormat="1">
      <c r="A57" s="80">
        <v>45480.510416666664</v>
      </c>
      <c r="B57" s="112">
        <v>9.16</v>
      </c>
      <c r="C57" s="112">
        <v>4.05</v>
      </c>
      <c r="D57" s="112">
        <v>13.91</v>
      </c>
      <c r="E57" s="112">
        <v>9.85</v>
      </c>
      <c r="F57" s="112">
        <v>4.8899999999999997</v>
      </c>
      <c r="G57" s="112">
        <v>12.06</v>
      </c>
      <c r="H57" s="112">
        <v>118.11</v>
      </c>
      <c r="I57" s="112">
        <v>4.1399999999999997</v>
      </c>
      <c r="J57" s="112">
        <v>0.52</v>
      </c>
      <c r="K57" s="112">
        <v>294</v>
      </c>
      <c r="L57" s="112">
        <v>30.13</v>
      </c>
      <c r="M57" s="112">
        <v>76.12</v>
      </c>
      <c r="N57" s="112">
        <v>277.10000000000002</v>
      </c>
      <c r="O57" s="112">
        <v>0</v>
      </c>
      <c r="P57" s="112">
        <v>0.44</v>
      </c>
      <c r="Q57" s="112">
        <v>4.5999999999999996</v>
      </c>
    </row>
    <row r="58" spans="1:17" customFormat="1">
      <c r="A58" s="80">
        <v>45480.520833333336</v>
      </c>
      <c r="B58" s="112">
        <v>9.15</v>
      </c>
      <c r="C58" s="112">
        <v>4.08</v>
      </c>
      <c r="D58" s="112">
        <v>13.92</v>
      </c>
      <c r="E58" s="112">
        <v>10.130000000000001</v>
      </c>
      <c r="F58" s="112">
        <v>5.89</v>
      </c>
      <c r="G58" s="112">
        <v>12.06</v>
      </c>
      <c r="H58" s="112">
        <v>118.11</v>
      </c>
      <c r="I58" s="112">
        <v>4.24</v>
      </c>
      <c r="J58" s="112">
        <v>0.6</v>
      </c>
      <c r="K58" s="112">
        <v>309.88</v>
      </c>
      <c r="L58" s="112">
        <v>29.95</v>
      </c>
      <c r="M58" s="112">
        <v>78</v>
      </c>
      <c r="N58" s="112">
        <v>279.10000000000002</v>
      </c>
      <c r="O58" s="112">
        <v>0</v>
      </c>
      <c r="P58" s="112">
        <v>0.49</v>
      </c>
      <c r="Q58" s="112">
        <v>4.57</v>
      </c>
    </row>
    <row r="59" spans="1:17" customFormat="1">
      <c r="A59" s="80">
        <v>45480.53125</v>
      </c>
      <c r="B59" s="112">
        <v>9.2100000000000009</v>
      </c>
      <c r="C59" s="112">
        <v>4.08</v>
      </c>
      <c r="D59" s="112">
        <v>13.96</v>
      </c>
      <c r="E59" s="112">
        <v>9.86</v>
      </c>
      <c r="F59" s="112">
        <v>8.8699999999999992</v>
      </c>
      <c r="G59" s="112">
        <v>18.32</v>
      </c>
      <c r="H59" s="112">
        <v>89.68</v>
      </c>
      <c r="I59" s="112">
        <v>4.5999999999999996</v>
      </c>
      <c r="J59" s="112">
        <v>0.33</v>
      </c>
      <c r="K59" s="112">
        <v>239.87</v>
      </c>
      <c r="L59" s="112">
        <v>30.17</v>
      </c>
      <c r="M59" s="112">
        <v>76.97</v>
      </c>
      <c r="N59" s="112">
        <v>295.10000000000002</v>
      </c>
      <c r="O59" s="112">
        <v>0</v>
      </c>
      <c r="P59" s="112">
        <v>0.51</v>
      </c>
      <c r="Q59" s="112">
        <v>4.59</v>
      </c>
    </row>
    <row r="60" spans="1:17" customFormat="1">
      <c r="A60" s="80">
        <v>45480.541666666664</v>
      </c>
      <c r="B60" s="112">
        <v>9.24</v>
      </c>
      <c r="C60" s="112">
        <v>4.05</v>
      </c>
      <c r="D60" s="112">
        <v>13.97</v>
      </c>
      <c r="E60" s="112">
        <v>9.19</v>
      </c>
      <c r="F60" s="112">
        <v>7.04</v>
      </c>
      <c r="G60" s="112">
        <v>23.1</v>
      </c>
      <c r="H60" s="112">
        <v>72.180000000000007</v>
      </c>
      <c r="I60" s="112">
        <v>4.71</v>
      </c>
      <c r="J60" s="112">
        <v>0.41</v>
      </c>
      <c r="K60" s="112">
        <v>280.70999999999998</v>
      </c>
      <c r="L60" s="112">
        <v>30.69</v>
      </c>
      <c r="M60" s="112">
        <v>74.39</v>
      </c>
      <c r="N60" s="112">
        <v>331.8</v>
      </c>
      <c r="O60" s="112">
        <v>0</v>
      </c>
      <c r="P60" s="112">
        <v>0.49</v>
      </c>
      <c r="Q60" s="112">
        <v>4.58</v>
      </c>
    </row>
    <row r="61" spans="1:17" customFormat="1">
      <c r="A61" s="80">
        <v>45480.552083333336</v>
      </c>
      <c r="B61" s="112">
        <v>9.24</v>
      </c>
      <c r="C61" s="112">
        <v>4.09</v>
      </c>
      <c r="D61" s="112">
        <v>13.99</v>
      </c>
      <c r="E61" s="112">
        <v>8.6999999999999993</v>
      </c>
      <c r="F61" s="112">
        <v>6.18</v>
      </c>
      <c r="G61" s="112">
        <v>23.1</v>
      </c>
      <c r="H61" s="112">
        <v>72.180000000000007</v>
      </c>
      <c r="I61" s="112">
        <v>4.6100000000000003</v>
      </c>
      <c r="J61" s="112">
        <v>0.26</v>
      </c>
      <c r="K61" s="112">
        <v>265.45999999999998</v>
      </c>
      <c r="L61" s="112">
        <v>30.75</v>
      </c>
      <c r="M61" s="112">
        <v>74.87</v>
      </c>
      <c r="N61" s="112">
        <v>274.3</v>
      </c>
      <c r="O61" s="112">
        <v>0</v>
      </c>
      <c r="P61" s="112">
        <v>0.49</v>
      </c>
      <c r="Q61" s="112">
        <v>4.5999999999999996</v>
      </c>
    </row>
    <row r="62" spans="1:17" customFormat="1">
      <c r="A62" s="80">
        <v>45480.5625</v>
      </c>
      <c r="B62" s="112">
        <v>9.2200000000000006</v>
      </c>
      <c r="C62" s="112">
        <v>4.0999999999999996</v>
      </c>
      <c r="D62" s="112">
        <v>13.98</v>
      </c>
      <c r="E62" s="112">
        <v>8.5</v>
      </c>
      <c r="F62" s="112">
        <v>7.76</v>
      </c>
      <c r="G62" s="112">
        <v>23.1</v>
      </c>
      <c r="H62" s="112">
        <v>72.180000000000007</v>
      </c>
      <c r="I62" s="112">
        <v>4.7300000000000004</v>
      </c>
      <c r="J62" s="112">
        <v>0.36</v>
      </c>
      <c r="K62" s="112">
        <v>301.95999999999998</v>
      </c>
      <c r="L62" s="112">
        <v>30.96</v>
      </c>
      <c r="M62" s="112">
        <v>72.010000000000005</v>
      </c>
      <c r="N62" s="112">
        <v>304.8</v>
      </c>
      <c r="O62" s="112">
        <v>0</v>
      </c>
      <c r="P62" s="112">
        <v>0.51</v>
      </c>
      <c r="Q62" s="112">
        <v>4.59</v>
      </c>
    </row>
    <row r="63" spans="1:17" customFormat="1">
      <c r="A63" s="80">
        <v>45480.572916666664</v>
      </c>
      <c r="B63" s="112">
        <v>9.2200000000000006</v>
      </c>
      <c r="C63" s="112">
        <v>4.08</v>
      </c>
      <c r="D63" s="112">
        <v>13.98</v>
      </c>
      <c r="E63" s="112">
        <v>8.43</v>
      </c>
      <c r="F63" s="112">
        <v>10.5</v>
      </c>
      <c r="G63" s="112">
        <v>22.54</v>
      </c>
      <c r="H63" s="112">
        <v>99.68</v>
      </c>
      <c r="I63" s="112">
        <v>4.7300000000000004</v>
      </c>
      <c r="J63" s="112">
        <v>0.38</v>
      </c>
      <c r="K63" s="112">
        <v>298.01</v>
      </c>
      <c r="L63" s="112">
        <v>31.41</v>
      </c>
      <c r="M63" s="112">
        <v>72.12</v>
      </c>
      <c r="N63" s="112">
        <v>359.1</v>
      </c>
      <c r="O63" s="112">
        <v>0</v>
      </c>
      <c r="P63" s="112">
        <v>0.49</v>
      </c>
      <c r="Q63" s="112">
        <v>4.58</v>
      </c>
    </row>
    <row r="64" spans="1:17" customFormat="1">
      <c r="A64" s="80">
        <v>45480.583333333336</v>
      </c>
      <c r="B64" s="112">
        <v>9.24</v>
      </c>
      <c r="C64" s="112">
        <v>4.0599999999999996</v>
      </c>
      <c r="D64" s="112">
        <v>13.98</v>
      </c>
      <c r="E64" s="112">
        <v>8.2899999999999991</v>
      </c>
      <c r="F64" s="112">
        <v>9.08</v>
      </c>
      <c r="G64" s="112">
        <v>22.11</v>
      </c>
      <c r="H64" s="112">
        <v>108.49</v>
      </c>
      <c r="I64" s="112">
        <v>4.6900000000000004</v>
      </c>
      <c r="J64" s="112">
        <v>0.53</v>
      </c>
      <c r="K64" s="112">
        <v>258.32</v>
      </c>
      <c r="L64" s="112">
        <v>31.86</v>
      </c>
      <c r="M64" s="112">
        <v>71.47</v>
      </c>
      <c r="N64" s="112">
        <v>264.2</v>
      </c>
      <c r="O64" s="112">
        <v>0</v>
      </c>
      <c r="P64" s="112">
        <v>0.5</v>
      </c>
      <c r="Q64" s="112">
        <v>4.58</v>
      </c>
    </row>
    <row r="65" spans="1:17" customFormat="1">
      <c r="A65" s="80">
        <v>45480.59375</v>
      </c>
      <c r="B65" s="112">
        <v>9.23</v>
      </c>
      <c r="C65" s="112">
        <v>4.09</v>
      </c>
      <c r="D65" s="112">
        <v>13.99</v>
      </c>
      <c r="E65" s="112">
        <v>8.2100000000000009</v>
      </c>
      <c r="F65" s="112">
        <v>5.91</v>
      </c>
      <c r="G65" s="112">
        <v>22.11</v>
      </c>
      <c r="H65" s="112">
        <v>108.49</v>
      </c>
      <c r="I65" s="112">
        <v>4.5</v>
      </c>
      <c r="J65" s="112">
        <v>1.0900000000000001</v>
      </c>
      <c r="K65" s="112">
        <v>264.85000000000002</v>
      </c>
      <c r="L65" s="112">
        <v>29.51</v>
      </c>
      <c r="M65" s="112">
        <v>80.73</v>
      </c>
      <c r="N65" s="112">
        <v>120.4</v>
      </c>
      <c r="O65" s="112">
        <v>0</v>
      </c>
      <c r="P65" s="112">
        <v>0.39</v>
      </c>
      <c r="Q65" s="112">
        <v>4.58</v>
      </c>
    </row>
    <row r="66" spans="1:17" customFormat="1">
      <c r="A66" s="80">
        <v>45480.604166666664</v>
      </c>
      <c r="B66" s="112">
        <v>9.24</v>
      </c>
      <c r="C66" s="112">
        <v>4.05</v>
      </c>
      <c r="D66" s="112">
        <v>13.98</v>
      </c>
      <c r="E66" s="112">
        <v>7.17</v>
      </c>
      <c r="F66" s="112">
        <v>5.71</v>
      </c>
      <c r="G66" s="112">
        <v>22.11</v>
      </c>
      <c r="H66" s="112">
        <v>108.49</v>
      </c>
      <c r="I66" s="112">
        <v>4.6100000000000003</v>
      </c>
      <c r="J66" s="112">
        <v>0.78</v>
      </c>
      <c r="K66" s="112">
        <v>264.95</v>
      </c>
      <c r="L66" s="112">
        <v>28.86</v>
      </c>
      <c r="M66" s="112">
        <v>84.87</v>
      </c>
      <c r="N66" s="112">
        <v>111.6</v>
      </c>
      <c r="O66" s="112">
        <v>0</v>
      </c>
      <c r="P66" s="112">
        <v>0.4</v>
      </c>
      <c r="Q66" s="112">
        <v>4.57</v>
      </c>
    </row>
    <row r="67" spans="1:17" customFormat="1">
      <c r="A67" s="80">
        <v>45480.614583333336</v>
      </c>
      <c r="B67" s="112">
        <v>9.24</v>
      </c>
      <c r="C67" s="112">
        <v>4.05</v>
      </c>
      <c r="D67" s="112">
        <v>13.98</v>
      </c>
      <c r="E67" s="112">
        <v>7.03</v>
      </c>
      <c r="F67" s="112">
        <v>5.47</v>
      </c>
      <c r="G67" s="112">
        <v>19.64</v>
      </c>
      <c r="H67" s="112">
        <v>93.12</v>
      </c>
      <c r="I67" s="112">
        <v>4.66</v>
      </c>
      <c r="J67" s="112">
        <v>0.65</v>
      </c>
      <c r="K67" s="112">
        <v>250.78</v>
      </c>
      <c r="L67" s="112">
        <v>28.51</v>
      </c>
      <c r="M67" s="112">
        <v>86.99</v>
      </c>
      <c r="N67" s="112">
        <v>109.9</v>
      </c>
      <c r="O67" s="112">
        <v>0</v>
      </c>
      <c r="P67" s="112">
        <v>0.39</v>
      </c>
      <c r="Q67" s="112">
        <v>4.58</v>
      </c>
    </row>
    <row r="68" spans="1:17" customFormat="1">
      <c r="A68" s="80">
        <v>45480.625</v>
      </c>
      <c r="B68" s="112">
        <v>9.24</v>
      </c>
      <c r="C68" s="112">
        <v>4.07</v>
      </c>
      <c r="D68" s="112">
        <v>13.98</v>
      </c>
      <c r="E68" s="112">
        <v>6.93</v>
      </c>
      <c r="F68" s="112">
        <v>5.48</v>
      </c>
      <c r="G68" s="112">
        <v>17.75</v>
      </c>
      <c r="H68" s="112">
        <v>88.21</v>
      </c>
      <c r="I68" s="112">
        <v>4.53</v>
      </c>
      <c r="J68" s="112">
        <v>0.89</v>
      </c>
      <c r="K68" s="112">
        <v>266.82</v>
      </c>
      <c r="L68" s="112">
        <v>28.2</v>
      </c>
      <c r="M68" s="112">
        <v>87.3</v>
      </c>
      <c r="N68" s="112">
        <v>110.8</v>
      </c>
      <c r="O68" s="112">
        <v>0</v>
      </c>
      <c r="P68" s="112">
        <v>0.38</v>
      </c>
      <c r="Q68" s="112">
        <v>4.57</v>
      </c>
    </row>
    <row r="69" spans="1:17" customFormat="1">
      <c r="A69" s="80">
        <v>45480.635416666664</v>
      </c>
      <c r="B69" s="112">
        <v>9.25</v>
      </c>
      <c r="C69" s="112">
        <v>4.07</v>
      </c>
      <c r="D69" s="112">
        <v>13.99</v>
      </c>
      <c r="E69" s="112">
        <v>6.51</v>
      </c>
      <c r="F69" s="112">
        <v>5.53</v>
      </c>
      <c r="G69" s="112">
        <v>17.75</v>
      </c>
      <c r="H69" s="112">
        <v>88.21</v>
      </c>
      <c r="I69" s="112">
        <v>4.45</v>
      </c>
      <c r="J69" s="112">
        <v>0.69</v>
      </c>
      <c r="K69" s="112">
        <v>266.85000000000002</v>
      </c>
      <c r="L69" s="112">
        <v>28</v>
      </c>
      <c r="M69" s="112">
        <v>88.62</v>
      </c>
      <c r="N69" s="112">
        <v>101</v>
      </c>
      <c r="O69" s="112">
        <v>0</v>
      </c>
      <c r="P69" s="112">
        <v>0.38</v>
      </c>
      <c r="Q69" s="112">
        <v>4.55</v>
      </c>
    </row>
    <row r="70" spans="1:17" customFormat="1">
      <c r="A70" s="80">
        <v>45480.645833333336</v>
      </c>
      <c r="B70" s="112">
        <v>9.25</v>
      </c>
      <c r="C70" s="112">
        <v>4.05</v>
      </c>
      <c r="D70" s="112">
        <v>13.98</v>
      </c>
      <c r="E70" s="112">
        <v>6.98</v>
      </c>
      <c r="F70" s="112">
        <v>5.5</v>
      </c>
      <c r="G70" s="112">
        <v>17.75</v>
      </c>
      <c r="H70" s="112">
        <v>88.21</v>
      </c>
      <c r="I70" s="112">
        <v>4.3899999999999997</v>
      </c>
      <c r="J70" s="112">
        <v>0.79</v>
      </c>
      <c r="K70" s="112">
        <v>275.8</v>
      </c>
      <c r="L70" s="112">
        <v>28.04</v>
      </c>
      <c r="M70" s="112">
        <v>87.84</v>
      </c>
      <c r="N70" s="112">
        <v>95.5</v>
      </c>
      <c r="O70" s="112">
        <v>0</v>
      </c>
      <c r="P70" s="112">
        <v>0.36</v>
      </c>
      <c r="Q70" s="112">
        <v>4.58</v>
      </c>
    </row>
    <row r="71" spans="1:17" customFormat="1">
      <c r="A71" s="80">
        <v>45480.65625</v>
      </c>
      <c r="B71" s="112">
        <v>9.24</v>
      </c>
      <c r="C71" s="112">
        <v>4.0599999999999996</v>
      </c>
      <c r="D71" s="112">
        <v>13.98</v>
      </c>
      <c r="E71" s="112">
        <v>6.09</v>
      </c>
      <c r="F71" s="112">
        <v>9.08</v>
      </c>
      <c r="G71" s="112">
        <v>16.39</v>
      </c>
      <c r="H71" s="112">
        <v>30.19</v>
      </c>
      <c r="I71" s="112">
        <v>4.26</v>
      </c>
      <c r="J71" s="112">
        <v>0.6</v>
      </c>
      <c r="K71" s="112">
        <v>264.13</v>
      </c>
      <c r="L71" s="112">
        <v>28.01</v>
      </c>
      <c r="M71" s="112">
        <v>87.96</v>
      </c>
      <c r="N71" s="112">
        <v>90.4</v>
      </c>
      <c r="O71" s="112">
        <v>0</v>
      </c>
      <c r="P71" s="112">
        <v>0.35</v>
      </c>
      <c r="Q71" s="112">
        <v>4.59</v>
      </c>
    </row>
    <row r="72" spans="1:17" customFormat="1">
      <c r="A72" s="80">
        <v>45480.666666666664</v>
      </c>
      <c r="B72" s="112">
        <v>9.24</v>
      </c>
      <c r="C72" s="112">
        <v>4.07</v>
      </c>
      <c r="D72" s="112">
        <v>13.98</v>
      </c>
      <c r="E72" s="112">
        <v>5.9</v>
      </c>
      <c r="F72" s="112">
        <v>7.67</v>
      </c>
      <c r="G72" s="112">
        <v>15.36</v>
      </c>
      <c r="H72" s="112">
        <v>11.63</v>
      </c>
      <c r="I72" s="112">
        <v>4.2300000000000004</v>
      </c>
      <c r="J72" s="112">
        <v>0.46</v>
      </c>
      <c r="K72" s="112">
        <v>260.18</v>
      </c>
      <c r="L72" s="112">
        <v>28.32</v>
      </c>
      <c r="M72" s="112">
        <v>88.46</v>
      </c>
      <c r="N72" s="112">
        <v>75.400000000000006</v>
      </c>
      <c r="O72" s="112">
        <v>0</v>
      </c>
      <c r="P72" s="112">
        <v>0.35</v>
      </c>
      <c r="Q72" s="112">
        <v>4.57</v>
      </c>
    </row>
    <row r="73" spans="1:17" customFormat="1">
      <c r="A73" s="80">
        <v>45480.677083333336</v>
      </c>
      <c r="B73" s="112">
        <v>9.23</v>
      </c>
      <c r="C73" s="112">
        <v>4.04</v>
      </c>
      <c r="D73" s="112">
        <v>13.96</v>
      </c>
      <c r="E73" s="112">
        <v>6.34</v>
      </c>
      <c r="F73" s="112">
        <v>9.59</v>
      </c>
      <c r="G73" s="112">
        <v>15.36</v>
      </c>
      <c r="H73" s="112">
        <v>11.63</v>
      </c>
      <c r="I73" s="112">
        <v>4.03</v>
      </c>
      <c r="J73" s="112">
        <v>0.5</v>
      </c>
      <c r="K73" s="112">
        <v>279.88</v>
      </c>
      <c r="L73" s="112">
        <v>28.28</v>
      </c>
      <c r="M73" s="112">
        <v>89.34</v>
      </c>
      <c r="N73" s="112">
        <v>58.5</v>
      </c>
      <c r="O73" s="112">
        <v>0</v>
      </c>
      <c r="P73" s="112">
        <v>0.35</v>
      </c>
      <c r="Q73" s="112">
        <v>4.58</v>
      </c>
    </row>
    <row r="74" spans="1:17" customFormat="1">
      <c r="A74" s="80">
        <v>45480.6875</v>
      </c>
      <c r="B74" s="112">
        <v>9.2100000000000009</v>
      </c>
      <c r="C74" s="112">
        <v>4.04</v>
      </c>
      <c r="D74" s="112">
        <v>13.95</v>
      </c>
      <c r="E74" s="112">
        <v>6.38</v>
      </c>
      <c r="F74" s="112">
        <v>8.82</v>
      </c>
      <c r="G74" s="112">
        <v>15.36</v>
      </c>
      <c r="H74" s="112">
        <v>11.63</v>
      </c>
      <c r="I74" s="112">
        <v>3.95</v>
      </c>
      <c r="J74" s="112">
        <v>0.55000000000000004</v>
      </c>
      <c r="K74" s="112">
        <v>262.67</v>
      </c>
      <c r="L74" s="112">
        <v>28.37</v>
      </c>
      <c r="M74" s="112">
        <v>87.84</v>
      </c>
      <c r="N74" s="112">
        <v>67.099999999999994</v>
      </c>
      <c r="O74" s="112">
        <v>0</v>
      </c>
      <c r="P74" s="112">
        <v>0.35</v>
      </c>
      <c r="Q74" s="112">
        <v>4.57</v>
      </c>
    </row>
    <row r="75" spans="1:17" customFormat="1">
      <c r="A75" s="80">
        <v>45480.697916666664</v>
      </c>
      <c r="B75" s="112">
        <v>9.2100000000000009</v>
      </c>
      <c r="C75" s="112">
        <v>4.07</v>
      </c>
      <c r="D75" s="112">
        <v>13.96</v>
      </c>
      <c r="E75" s="112">
        <v>6.5</v>
      </c>
      <c r="F75" s="112">
        <v>10.33</v>
      </c>
      <c r="G75" s="112">
        <v>16.170000000000002</v>
      </c>
      <c r="H75" s="112">
        <v>9.41</v>
      </c>
      <c r="I75" s="112">
        <v>3.86</v>
      </c>
      <c r="J75" s="112">
        <v>0.31</v>
      </c>
      <c r="K75" s="112">
        <v>255.64</v>
      </c>
      <c r="L75" s="112">
        <v>28.56</v>
      </c>
      <c r="M75" s="112">
        <v>86.78</v>
      </c>
      <c r="N75" s="112">
        <v>52.4</v>
      </c>
      <c r="O75" s="112">
        <v>0</v>
      </c>
      <c r="P75" s="112">
        <v>0.35</v>
      </c>
      <c r="Q75" s="112">
        <v>4.5599999999999996</v>
      </c>
    </row>
    <row r="76" spans="1:17" customFormat="1">
      <c r="A76" s="80">
        <v>45480.708333333336</v>
      </c>
      <c r="B76" s="112">
        <v>9.1999999999999993</v>
      </c>
      <c r="C76" s="112">
        <v>4.0599999999999996</v>
      </c>
      <c r="D76" s="112">
        <v>13.95</v>
      </c>
      <c r="E76" s="112">
        <v>6.77</v>
      </c>
      <c r="F76" s="112">
        <v>8.59</v>
      </c>
      <c r="G76" s="112">
        <v>16.78</v>
      </c>
      <c r="H76" s="112">
        <v>8.6999999999999993</v>
      </c>
      <c r="I76" s="112">
        <v>3.87</v>
      </c>
      <c r="J76" s="112">
        <v>0.16</v>
      </c>
      <c r="K76" s="112">
        <v>208.27</v>
      </c>
      <c r="L76" s="112">
        <v>28.93</v>
      </c>
      <c r="M76" s="112">
        <v>86.19</v>
      </c>
      <c r="N76" s="112">
        <v>46.7</v>
      </c>
      <c r="O76" s="112">
        <v>0</v>
      </c>
      <c r="P76" s="112">
        <v>0.31</v>
      </c>
      <c r="Q76" s="112">
        <v>4.55</v>
      </c>
    </row>
    <row r="77" spans="1:17" customFormat="1">
      <c r="A77" s="80">
        <v>45480.71875</v>
      </c>
      <c r="B77" s="112">
        <v>9.23</v>
      </c>
      <c r="C77" s="112">
        <v>4.08</v>
      </c>
      <c r="D77" s="112">
        <v>13.98</v>
      </c>
      <c r="E77" s="112">
        <v>6.54</v>
      </c>
      <c r="F77" s="112">
        <v>10.25</v>
      </c>
      <c r="G77" s="112">
        <v>16.78</v>
      </c>
      <c r="H77" s="112">
        <v>8.6999999999999993</v>
      </c>
      <c r="I77" s="112">
        <v>3.92</v>
      </c>
      <c r="J77" s="112">
        <v>0.16</v>
      </c>
      <c r="K77" s="112">
        <v>280.66000000000003</v>
      </c>
      <c r="L77" s="112">
        <v>29.09</v>
      </c>
      <c r="M77" s="112">
        <v>84.87</v>
      </c>
      <c r="N77" s="112">
        <v>53</v>
      </c>
      <c r="O77" s="112">
        <v>0</v>
      </c>
      <c r="P77" s="112">
        <v>0.3</v>
      </c>
      <c r="Q77" s="112">
        <v>4.5599999999999996</v>
      </c>
    </row>
    <row r="78" spans="1:17" customFormat="1">
      <c r="A78" s="80">
        <v>45480.729166666664</v>
      </c>
      <c r="B78" s="112">
        <v>9.2200000000000006</v>
      </c>
      <c r="C78" s="112">
        <v>4.09</v>
      </c>
      <c r="D78" s="112">
        <v>13.98</v>
      </c>
      <c r="E78" s="112">
        <v>6.9</v>
      </c>
      <c r="F78" s="112">
        <v>9.4700000000000006</v>
      </c>
      <c r="G78" s="112">
        <v>16.78</v>
      </c>
      <c r="H78" s="112">
        <v>8.6999999999999993</v>
      </c>
      <c r="I78" s="112">
        <v>3.89</v>
      </c>
      <c r="J78" s="112">
        <v>0.18</v>
      </c>
      <c r="K78" s="112">
        <v>289.51</v>
      </c>
      <c r="L78" s="112">
        <v>29.31</v>
      </c>
      <c r="M78" s="112">
        <v>81.75</v>
      </c>
      <c r="N78" s="112">
        <v>51.6</v>
      </c>
      <c r="O78" s="112">
        <v>0</v>
      </c>
      <c r="P78" s="112">
        <v>0.28999999999999998</v>
      </c>
      <c r="Q78" s="112">
        <v>4.58</v>
      </c>
    </row>
    <row r="79" spans="1:17" customFormat="1">
      <c r="A79" s="80">
        <v>45480.739583333336</v>
      </c>
      <c r="B79" s="112">
        <v>9.23</v>
      </c>
      <c r="C79" s="112">
        <v>4.0599999999999996</v>
      </c>
      <c r="D79" s="112">
        <v>13.98</v>
      </c>
      <c r="E79" s="112">
        <v>7.87</v>
      </c>
      <c r="F79" s="112">
        <v>10.76</v>
      </c>
      <c r="G79" s="112">
        <v>17.07</v>
      </c>
      <c r="H79" s="112">
        <v>22.1</v>
      </c>
      <c r="I79" s="112">
        <v>3.86</v>
      </c>
      <c r="J79" s="112">
        <v>0.19</v>
      </c>
      <c r="K79" s="112">
        <v>183.11</v>
      </c>
      <c r="L79" s="112">
        <v>29.43</v>
      </c>
      <c r="M79" s="112">
        <v>81.319999999999993</v>
      </c>
      <c r="N79" s="112">
        <v>40.1</v>
      </c>
      <c r="O79" s="112">
        <v>0</v>
      </c>
      <c r="P79" s="112">
        <v>0.3</v>
      </c>
      <c r="Q79" s="112">
        <v>4.58</v>
      </c>
    </row>
    <row r="80" spans="1:17" customFormat="1">
      <c r="A80" s="80">
        <v>45480.75</v>
      </c>
      <c r="B80" s="112">
        <v>9.23</v>
      </c>
      <c r="C80" s="112">
        <v>4.08</v>
      </c>
      <c r="D80" s="112">
        <v>13.99</v>
      </c>
      <c r="E80" s="112">
        <v>7.72</v>
      </c>
      <c r="F80" s="112">
        <v>11.4</v>
      </c>
      <c r="G80" s="112">
        <v>17.3</v>
      </c>
      <c r="H80" s="112">
        <v>26.38</v>
      </c>
      <c r="I80" s="112">
        <v>3.8</v>
      </c>
      <c r="J80" s="112">
        <v>0.18</v>
      </c>
      <c r="K80" s="112">
        <v>162.94999999999999</v>
      </c>
      <c r="L80" s="112">
        <v>29.66</v>
      </c>
      <c r="M80" s="112">
        <v>79.760000000000005</v>
      </c>
      <c r="N80" s="112">
        <v>37</v>
      </c>
      <c r="O80" s="112">
        <v>0</v>
      </c>
      <c r="P80" s="112">
        <v>0.28999999999999998</v>
      </c>
      <c r="Q80" s="112">
        <v>4.59</v>
      </c>
    </row>
    <row r="81" spans="1:17" customFormat="1">
      <c r="A81" s="80">
        <v>45480.760416666664</v>
      </c>
      <c r="B81" s="112">
        <v>9.23</v>
      </c>
      <c r="C81" s="112">
        <v>4.07</v>
      </c>
      <c r="D81" s="112">
        <v>13.98</v>
      </c>
      <c r="E81" s="112">
        <v>7.94</v>
      </c>
      <c r="F81" s="112">
        <v>9.1999999999999993</v>
      </c>
      <c r="G81" s="112">
        <v>17.3</v>
      </c>
      <c r="H81" s="112">
        <v>26.38</v>
      </c>
      <c r="I81" s="112">
        <v>3.77</v>
      </c>
      <c r="J81" s="112">
        <v>0.11</v>
      </c>
      <c r="K81" s="112">
        <v>222.14</v>
      </c>
      <c r="L81" s="112">
        <v>29.23</v>
      </c>
      <c r="M81" s="112">
        <v>83.56</v>
      </c>
      <c r="N81" s="112">
        <v>23.2</v>
      </c>
      <c r="O81" s="112">
        <v>0</v>
      </c>
      <c r="P81" s="112">
        <v>0.28000000000000003</v>
      </c>
      <c r="Q81" s="112">
        <v>4.59</v>
      </c>
    </row>
    <row r="82" spans="1:17" customFormat="1">
      <c r="A82" s="80">
        <v>45480.770833333336</v>
      </c>
      <c r="B82" s="112">
        <v>9.2100000000000009</v>
      </c>
      <c r="C82" s="112">
        <v>4.08</v>
      </c>
      <c r="D82" s="112">
        <v>13.97</v>
      </c>
      <c r="E82" s="112">
        <v>9.07</v>
      </c>
      <c r="F82" s="112">
        <v>9.6999999999999993</v>
      </c>
      <c r="G82" s="112">
        <v>17.3</v>
      </c>
      <c r="H82" s="112">
        <v>26.38</v>
      </c>
      <c r="I82" s="112">
        <v>3.71</v>
      </c>
      <c r="J82" s="112">
        <v>0.15</v>
      </c>
      <c r="K82" s="112">
        <v>200.28</v>
      </c>
      <c r="L82" s="112">
        <v>28.93</v>
      </c>
      <c r="M82" s="112">
        <v>85.55</v>
      </c>
      <c r="N82" s="112">
        <v>7.7</v>
      </c>
      <c r="O82" s="112">
        <v>0</v>
      </c>
      <c r="P82" s="112">
        <v>0.28999999999999998</v>
      </c>
      <c r="Q82" s="112">
        <v>4.58</v>
      </c>
    </row>
    <row r="83" spans="1:17" customFormat="1">
      <c r="A83" s="80">
        <v>45480.78125</v>
      </c>
      <c r="B83" s="112">
        <v>9.1999999999999993</v>
      </c>
      <c r="C83" s="112">
        <v>4.0999999999999996</v>
      </c>
      <c r="D83" s="112">
        <v>13.97</v>
      </c>
      <c r="E83" s="112">
        <v>9.27</v>
      </c>
      <c r="F83" s="112">
        <v>10.35</v>
      </c>
      <c r="G83" s="112">
        <v>16.32</v>
      </c>
      <c r="H83" s="112">
        <v>20.76</v>
      </c>
      <c r="I83" s="112">
        <v>3.7</v>
      </c>
      <c r="J83" s="112">
        <v>0.17</v>
      </c>
      <c r="K83" s="112">
        <v>207.66</v>
      </c>
      <c r="L83" s="112">
        <v>28.64</v>
      </c>
      <c r="M83" s="112">
        <v>86.9</v>
      </c>
      <c r="N83" s="112">
        <v>2.9</v>
      </c>
      <c r="O83" s="112">
        <v>0</v>
      </c>
      <c r="P83" s="112">
        <v>0.28999999999999998</v>
      </c>
      <c r="Q83" s="112">
        <v>4.59</v>
      </c>
    </row>
    <row r="84" spans="1:17" customFormat="1">
      <c r="A84" s="80">
        <v>45480.791666666664</v>
      </c>
      <c r="B84" s="112">
        <v>9.2100000000000009</v>
      </c>
      <c r="C84" s="112">
        <v>4.0599999999999996</v>
      </c>
      <c r="D84" s="112">
        <v>13.96</v>
      </c>
      <c r="E84" s="112">
        <v>9.5</v>
      </c>
      <c r="F84" s="112">
        <v>8.75</v>
      </c>
      <c r="G84" s="112">
        <v>15.57</v>
      </c>
      <c r="H84" s="112">
        <v>17.29</v>
      </c>
      <c r="I84" s="112">
        <v>3.63</v>
      </c>
      <c r="J84" s="112">
        <v>0.09</v>
      </c>
      <c r="K84" s="112">
        <v>226.67</v>
      </c>
      <c r="L84" s="112">
        <v>28.49</v>
      </c>
      <c r="M84" s="112">
        <v>87.81</v>
      </c>
      <c r="N84" s="112">
        <v>2.2000000000000002</v>
      </c>
      <c r="O84" s="112">
        <v>0</v>
      </c>
      <c r="P84" s="112">
        <v>0.3</v>
      </c>
      <c r="Q84" s="112">
        <v>4.59</v>
      </c>
    </row>
    <row r="85" spans="1:17" customFormat="1">
      <c r="A85" s="80">
        <v>45480.802083333336</v>
      </c>
      <c r="B85" s="112">
        <v>9.24</v>
      </c>
      <c r="C85" s="112">
        <v>4.03</v>
      </c>
      <c r="D85" s="112">
        <v>13.97</v>
      </c>
      <c r="E85" s="112">
        <v>9.23</v>
      </c>
      <c r="F85" s="112">
        <v>10</v>
      </c>
      <c r="G85" s="112">
        <v>15.57</v>
      </c>
      <c r="H85" s="112">
        <v>17.29</v>
      </c>
      <c r="I85" s="112">
        <v>3.64</v>
      </c>
      <c r="J85" s="112">
        <v>0.13</v>
      </c>
      <c r="K85" s="112">
        <v>183.1</v>
      </c>
      <c r="L85" s="112">
        <v>28.49</v>
      </c>
      <c r="M85" s="112">
        <v>87.03</v>
      </c>
      <c r="N85" s="112">
        <v>2.1</v>
      </c>
      <c r="O85" s="112">
        <v>0</v>
      </c>
      <c r="P85" s="112">
        <v>0.28999999999999998</v>
      </c>
      <c r="Q85" s="112">
        <v>4.58</v>
      </c>
    </row>
    <row r="86" spans="1:17" customFormat="1">
      <c r="A86" s="80">
        <v>45480.8125</v>
      </c>
      <c r="B86" s="112">
        <v>9.24</v>
      </c>
      <c r="C86" s="112">
        <v>4.03</v>
      </c>
      <c r="D86" s="112">
        <v>13.97</v>
      </c>
      <c r="E86" s="112">
        <v>9.15</v>
      </c>
      <c r="F86" s="112">
        <v>8.93</v>
      </c>
      <c r="G86" s="112">
        <v>15.57</v>
      </c>
      <c r="H86" s="112">
        <v>17.29</v>
      </c>
      <c r="I86" s="112">
        <v>3.64</v>
      </c>
      <c r="J86" s="112">
        <v>0.1</v>
      </c>
      <c r="K86" s="112">
        <v>177.15</v>
      </c>
      <c r="L86" s="112">
        <v>28.35</v>
      </c>
      <c r="M86" s="112">
        <v>88.16</v>
      </c>
      <c r="N86" s="112">
        <v>2.1</v>
      </c>
      <c r="O86" s="112">
        <v>0</v>
      </c>
      <c r="P86" s="112">
        <v>0.28999999999999998</v>
      </c>
      <c r="Q86" s="112">
        <v>4.58</v>
      </c>
    </row>
    <row r="87" spans="1:17" customFormat="1">
      <c r="A87" s="80">
        <v>45480.822916666664</v>
      </c>
      <c r="B87" s="112">
        <v>9.23</v>
      </c>
      <c r="C87" s="112">
        <v>4.03</v>
      </c>
      <c r="D87" s="112">
        <v>13.96</v>
      </c>
      <c r="E87" s="112">
        <v>9.66</v>
      </c>
      <c r="F87" s="112">
        <v>8.26</v>
      </c>
      <c r="G87" s="112">
        <v>14.19</v>
      </c>
      <c r="H87" s="112">
        <v>13.64</v>
      </c>
      <c r="I87" s="112">
        <v>3.64</v>
      </c>
      <c r="J87" s="112">
        <v>0.18</v>
      </c>
      <c r="K87" s="112">
        <v>148.84</v>
      </c>
      <c r="L87" s="112">
        <v>28.49</v>
      </c>
      <c r="M87" s="112">
        <v>87.95</v>
      </c>
      <c r="N87" s="112">
        <v>2.1</v>
      </c>
      <c r="O87" s="112">
        <v>0</v>
      </c>
      <c r="P87" s="112">
        <v>0.31</v>
      </c>
      <c r="Q87" s="112">
        <v>4.58</v>
      </c>
    </row>
    <row r="88" spans="1:17" customFormat="1">
      <c r="A88" s="80">
        <v>45480.833333333336</v>
      </c>
      <c r="B88" s="112">
        <v>9.2100000000000009</v>
      </c>
      <c r="C88" s="112">
        <v>4.07</v>
      </c>
      <c r="D88" s="112">
        <v>13.96</v>
      </c>
      <c r="E88" s="112">
        <v>9.9499999999999993</v>
      </c>
      <c r="F88" s="112">
        <v>7.26</v>
      </c>
      <c r="G88" s="112">
        <v>13.14</v>
      </c>
      <c r="H88" s="112">
        <v>12.47</v>
      </c>
      <c r="I88" s="112">
        <v>3.69</v>
      </c>
      <c r="J88" s="112">
        <v>0.1</v>
      </c>
      <c r="K88" s="112">
        <v>180.24</v>
      </c>
      <c r="L88" s="112">
        <v>28.41</v>
      </c>
      <c r="M88" s="112">
        <v>88.01</v>
      </c>
      <c r="N88" s="112">
        <v>2.1</v>
      </c>
      <c r="O88" s="112">
        <v>0</v>
      </c>
      <c r="P88" s="112">
        <v>0.31</v>
      </c>
      <c r="Q88" s="112">
        <v>4.59</v>
      </c>
    </row>
    <row r="89" spans="1:17" customFormat="1">
      <c r="A89" s="80">
        <v>45480.84375</v>
      </c>
      <c r="B89" s="112">
        <v>9.2200000000000006</v>
      </c>
      <c r="C89" s="112">
        <v>4.07</v>
      </c>
      <c r="D89" s="112">
        <v>13.97</v>
      </c>
      <c r="E89" s="112">
        <v>10.32</v>
      </c>
      <c r="F89" s="112">
        <v>7.25</v>
      </c>
      <c r="G89" s="112">
        <v>13.14</v>
      </c>
      <c r="H89" s="112">
        <v>12.47</v>
      </c>
      <c r="I89" s="112">
        <v>3.78</v>
      </c>
      <c r="J89" s="112">
        <v>0.11</v>
      </c>
      <c r="K89" s="112">
        <v>232.31</v>
      </c>
      <c r="L89" s="112">
        <v>28.13</v>
      </c>
      <c r="M89" s="112">
        <v>89.4</v>
      </c>
      <c r="N89" s="112">
        <v>2.1</v>
      </c>
      <c r="O89" s="112">
        <v>0</v>
      </c>
      <c r="P89" s="112">
        <v>0.31</v>
      </c>
      <c r="Q89" s="112">
        <v>4.58</v>
      </c>
    </row>
    <row r="90" spans="1:17" customFormat="1">
      <c r="A90" s="80">
        <v>45480.854166666664</v>
      </c>
      <c r="B90" s="112">
        <v>9.2200000000000006</v>
      </c>
      <c r="C90" s="112">
        <v>4.05</v>
      </c>
      <c r="D90" s="112">
        <v>13.96</v>
      </c>
      <c r="E90" s="112">
        <v>10.18</v>
      </c>
      <c r="F90" s="112">
        <v>8.1999999999999993</v>
      </c>
      <c r="G90" s="112">
        <v>13.14</v>
      </c>
      <c r="H90" s="112">
        <v>12.47</v>
      </c>
      <c r="I90" s="112">
        <v>3.85</v>
      </c>
      <c r="J90" s="112">
        <v>0.08</v>
      </c>
      <c r="K90" s="112">
        <v>183.6</v>
      </c>
      <c r="L90" s="112">
        <v>28.15</v>
      </c>
      <c r="M90" s="112">
        <v>87.92</v>
      </c>
      <c r="N90" s="112">
        <v>2.1</v>
      </c>
      <c r="O90" s="112">
        <v>0</v>
      </c>
      <c r="P90" s="112">
        <v>0.31</v>
      </c>
      <c r="Q90" s="112">
        <v>4.59</v>
      </c>
    </row>
    <row r="91" spans="1:17" customFormat="1">
      <c r="A91" s="80">
        <v>45480.864583333336</v>
      </c>
      <c r="B91" s="112">
        <v>9.1999999999999993</v>
      </c>
      <c r="C91" s="112">
        <v>4.07</v>
      </c>
      <c r="D91" s="112">
        <v>13.96</v>
      </c>
      <c r="E91" s="112">
        <v>10.45</v>
      </c>
      <c r="F91" s="112">
        <v>6.5</v>
      </c>
      <c r="G91" s="112">
        <v>12.72</v>
      </c>
      <c r="H91" s="112">
        <v>5.54</v>
      </c>
      <c r="I91" s="112">
        <v>3.91</v>
      </c>
      <c r="J91" s="112">
        <v>0.12</v>
      </c>
      <c r="K91" s="112">
        <v>172.51</v>
      </c>
      <c r="L91" s="112">
        <v>28.28</v>
      </c>
      <c r="M91" s="112">
        <v>87.32</v>
      </c>
      <c r="N91" s="112">
        <v>2.1</v>
      </c>
      <c r="O91" s="112">
        <v>0</v>
      </c>
      <c r="P91" s="112">
        <v>0.31</v>
      </c>
      <c r="Q91" s="112">
        <v>4.59</v>
      </c>
    </row>
    <row r="92" spans="1:17" customFormat="1">
      <c r="A92" s="80">
        <v>45480.875</v>
      </c>
      <c r="B92" s="112">
        <v>9.2200000000000006</v>
      </c>
      <c r="C92" s="112">
        <v>4.04</v>
      </c>
      <c r="D92" s="112">
        <v>13.96</v>
      </c>
      <c r="E92" s="112">
        <v>10.68</v>
      </c>
      <c r="F92" s="112">
        <v>6.34</v>
      </c>
      <c r="G92" s="112">
        <v>12.41</v>
      </c>
      <c r="H92" s="112">
        <v>3.33</v>
      </c>
      <c r="I92" s="112">
        <v>3.83</v>
      </c>
      <c r="J92" s="112">
        <v>0.09</v>
      </c>
      <c r="K92" s="112">
        <v>186.47</v>
      </c>
      <c r="L92" s="112">
        <v>28.07</v>
      </c>
      <c r="M92" s="112">
        <v>88</v>
      </c>
      <c r="N92" s="112">
        <v>2.1</v>
      </c>
      <c r="O92" s="112">
        <v>0</v>
      </c>
      <c r="P92" s="112">
        <v>0.31</v>
      </c>
      <c r="Q92" s="112">
        <v>4.5999999999999996</v>
      </c>
    </row>
    <row r="93" spans="1:17" customFormat="1">
      <c r="A93" s="80">
        <v>45480.885416666664</v>
      </c>
      <c r="B93" s="112">
        <v>9.23</v>
      </c>
      <c r="C93" s="112">
        <v>4.03</v>
      </c>
      <c r="D93" s="112">
        <v>13.96</v>
      </c>
      <c r="E93" s="112">
        <v>10.53</v>
      </c>
      <c r="F93" s="112">
        <v>6.6</v>
      </c>
      <c r="G93" s="112">
        <v>12.41</v>
      </c>
      <c r="H93" s="112">
        <v>3.33</v>
      </c>
      <c r="I93" s="112">
        <v>3.91</v>
      </c>
      <c r="J93" s="112">
        <v>0.13</v>
      </c>
      <c r="K93" s="112">
        <v>169.97</v>
      </c>
      <c r="L93" s="112">
        <v>28.01</v>
      </c>
      <c r="M93" s="112">
        <v>88.44</v>
      </c>
      <c r="N93" s="112">
        <v>2.1</v>
      </c>
      <c r="O93" s="112">
        <v>0</v>
      </c>
      <c r="P93" s="112">
        <v>0.31</v>
      </c>
      <c r="Q93" s="112">
        <v>4.59</v>
      </c>
    </row>
    <row r="94" spans="1:17" customFormat="1">
      <c r="A94" s="80">
        <v>45480.895833333336</v>
      </c>
      <c r="B94" s="112">
        <v>9.1999999999999993</v>
      </c>
      <c r="C94" s="112">
        <v>4.09</v>
      </c>
      <c r="D94" s="112">
        <v>13.97</v>
      </c>
      <c r="E94" s="112">
        <v>10.36</v>
      </c>
      <c r="F94" s="112">
        <v>7.14</v>
      </c>
      <c r="G94" s="112">
        <v>12.41</v>
      </c>
      <c r="H94" s="112">
        <v>3.33</v>
      </c>
      <c r="I94" s="112">
        <v>4</v>
      </c>
      <c r="J94" s="112">
        <v>0.15</v>
      </c>
      <c r="K94" s="112">
        <v>150.03</v>
      </c>
      <c r="L94" s="112">
        <v>28.05</v>
      </c>
      <c r="M94" s="112">
        <v>88.16</v>
      </c>
      <c r="N94" s="112">
        <v>2.1</v>
      </c>
      <c r="O94" s="112">
        <v>0</v>
      </c>
      <c r="P94" s="112">
        <v>0.33</v>
      </c>
      <c r="Q94" s="112">
        <v>4.58</v>
      </c>
    </row>
    <row r="95" spans="1:17" customFormat="1">
      <c r="A95" s="80">
        <v>45480.90625</v>
      </c>
      <c r="B95" s="112">
        <v>9.2100000000000009</v>
      </c>
      <c r="C95" s="112">
        <v>4.07</v>
      </c>
      <c r="D95" s="112">
        <v>13.96</v>
      </c>
      <c r="E95" s="112">
        <v>10.1</v>
      </c>
      <c r="F95" s="112">
        <v>10.93</v>
      </c>
      <c r="G95" s="112">
        <v>13.89</v>
      </c>
      <c r="H95" s="112">
        <v>7.35</v>
      </c>
      <c r="I95" s="112">
        <v>3.98</v>
      </c>
      <c r="J95" s="112">
        <v>0.13</v>
      </c>
      <c r="K95" s="112">
        <v>197.41</v>
      </c>
      <c r="L95" s="112">
        <v>28.1</v>
      </c>
      <c r="M95" s="112">
        <v>87.53</v>
      </c>
      <c r="N95" s="112">
        <v>1.9</v>
      </c>
      <c r="O95" s="112">
        <v>0</v>
      </c>
      <c r="P95" s="112">
        <v>0.35</v>
      </c>
      <c r="Q95" s="112">
        <v>4.58</v>
      </c>
    </row>
    <row r="96" spans="1:17" customFormat="1">
      <c r="A96" s="80">
        <v>45480.916666666664</v>
      </c>
      <c r="B96" s="112">
        <v>9.23</v>
      </c>
      <c r="C96" s="112">
        <v>4.04</v>
      </c>
      <c r="D96" s="112">
        <v>13.96</v>
      </c>
      <c r="E96" s="112">
        <v>9.9600000000000009</v>
      </c>
      <c r="F96" s="112">
        <v>10.47</v>
      </c>
      <c r="G96" s="112">
        <v>15.03</v>
      </c>
      <c r="H96" s="112">
        <v>8.6300000000000008</v>
      </c>
      <c r="I96" s="112">
        <v>3.97</v>
      </c>
      <c r="J96" s="112">
        <v>0.14000000000000001</v>
      </c>
      <c r="K96" s="112">
        <v>236.69</v>
      </c>
      <c r="L96" s="112">
        <v>27.78</v>
      </c>
      <c r="M96" s="112">
        <v>89.54</v>
      </c>
      <c r="N96" s="112">
        <v>1.8</v>
      </c>
      <c r="O96" s="112">
        <v>0</v>
      </c>
      <c r="P96" s="112">
        <v>0.39</v>
      </c>
      <c r="Q96" s="112">
        <v>4.57</v>
      </c>
    </row>
    <row r="97" spans="1:22" customFormat="1">
      <c r="A97" s="80">
        <v>45480.927083333336</v>
      </c>
      <c r="B97" s="112">
        <v>9.25</v>
      </c>
      <c r="C97" s="112">
        <v>4.07</v>
      </c>
      <c r="D97" s="112">
        <v>13.99</v>
      </c>
      <c r="E97" s="112">
        <v>9.4</v>
      </c>
      <c r="F97" s="112">
        <v>7.42</v>
      </c>
      <c r="G97" s="112">
        <v>15.03</v>
      </c>
      <c r="H97" s="112">
        <v>8.6300000000000008</v>
      </c>
      <c r="I97" s="112">
        <v>3.91</v>
      </c>
      <c r="J97" s="112">
        <v>0.27</v>
      </c>
      <c r="K97" s="112">
        <v>68.67</v>
      </c>
      <c r="L97" s="112">
        <v>28.02</v>
      </c>
      <c r="M97" s="112">
        <v>88.18</v>
      </c>
      <c r="N97" s="112">
        <v>1.4</v>
      </c>
      <c r="O97" s="112">
        <v>0</v>
      </c>
      <c r="P97" s="112">
        <v>0.45</v>
      </c>
      <c r="Q97" s="112">
        <v>4.58</v>
      </c>
    </row>
    <row r="98" spans="1:22" customFormat="1">
      <c r="A98" s="80">
        <v>45480.9375</v>
      </c>
      <c r="B98" s="112">
        <v>9.23</v>
      </c>
      <c r="C98" s="112">
        <v>4.07</v>
      </c>
      <c r="D98" s="112">
        <v>13.98</v>
      </c>
      <c r="E98" s="112">
        <v>8.65</v>
      </c>
      <c r="F98" s="112">
        <v>4.4400000000000004</v>
      </c>
      <c r="G98" s="112">
        <v>15.03</v>
      </c>
      <c r="H98" s="112">
        <v>8.6300000000000008</v>
      </c>
      <c r="I98" s="112">
        <v>4</v>
      </c>
      <c r="J98" s="112">
        <v>0.26</v>
      </c>
      <c r="K98" s="112">
        <v>173.17</v>
      </c>
      <c r="L98" s="112">
        <v>27.92</v>
      </c>
      <c r="M98" s="112">
        <v>91.08</v>
      </c>
      <c r="N98" s="112">
        <v>2</v>
      </c>
      <c r="O98" s="112">
        <v>0</v>
      </c>
      <c r="P98" s="112">
        <v>0.46</v>
      </c>
      <c r="Q98" s="112">
        <v>4.58</v>
      </c>
    </row>
    <row r="99" spans="1:22" customFormat="1">
      <c r="A99" s="80">
        <v>45480.947916666664</v>
      </c>
      <c r="B99" s="112">
        <v>9.25</v>
      </c>
      <c r="C99" s="112">
        <v>4.08</v>
      </c>
      <c r="D99" s="112">
        <v>14</v>
      </c>
      <c r="E99" s="112">
        <v>9.18</v>
      </c>
      <c r="F99" s="112">
        <v>4.08</v>
      </c>
      <c r="G99" s="112">
        <v>17.27</v>
      </c>
      <c r="H99" s="112">
        <v>10.09</v>
      </c>
      <c r="I99" s="112">
        <v>4.3600000000000003</v>
      </c>
      <c r="J99" s="112">
        <v>0.23</v>
      </c>
      <c r="K99" s="112">
        <v>169.61</v>
      </c>
      <c r="L99" s="112">
        <v>27.95</v>
      </c>
      <c r="M99" s="112">
        <v>91.34</v>
      </c>
      <c r="N99" s="112">
        <v>2</v>
      </c>
      <c r="O99" s="112">
        <v>0</v>
      </c>
      <c r="P99" s="112">
        <v>0.48</v>
      </c>
      <c r="Q99" s="112">
        <v>4.57</v>
      </c>
    </row>
    <row r="100" spans="1:22" customFormat="1">
      <c r="A100" s="80">
        <v>45480.958333333336</v>
      </c>
      <c r="B100" s="112">
        <v>9.25</v>
      </c>
      <c r="C100" s="112">
        <v>4.07</v>
      </c>
      <c r="D100" s="112">
        <v>13.99</v>
      </c>
      <c r="E100" s="112">
        <v>8.85</v>
      </c>
      <c r="F100" s="112">
        <v>3.55</v>
      </c>
      <c r="G100" s="112">
        <v>18.98</v>
      </c>
      <c r="H100" s="112">
        <v>10.56</v>
      </c>
      <c r="I100" s="112">
        <v>4.4000000000000004</v>
      </c>
      <c r="J100" s="112">
        <v>0.21</v>
      </c>
      <c r="K100" s="112">
        <v>171.14</v>
      </c>
      <c r="L100" s="112">
        <v>27.64</v>
      </c>
      <c r="M100" s="112">
        <v>93.39</v>
      </c>
      <c r="N100" s="112">
        <v>2.1</v>
      </c>
      <c r="O100" s="112">
        <v>0</v>
      </c>
      <c r="P100" s="112">
        <v>0.47</v>
      </c>
      <c r="Q100" s="112">
        <v>4.54</v>
      </c>
    </row>
    <row r="101" spans="1:22" customFormat="1">
      <c r="A101" s="80">
        <v>45480.96875</v>
      </c>
      <c r="B101" s="112">
        <v>9.25</v>
      </c>
      <c r="C101" s="112">
        <v>4.07</v>
      </c>
      <c r="D101" s="112">
        <v>13.99</v>
      </c>
      <c r="E101" s="112">
        <v>8.34</v>
      </c>
      <c r="F101" s="112">
        <v>3.22</v>
      </c>
      <c r="G101" s="112">
        <v>18.98</v>
      </c>
      <c r="H101" s="112">
        <v>10.56</v>
      </c>
      <c r="I101" s="112">
        <v>4.59</v>
      </c>
      <c r="J101" s="112">
        <v>0.21</v>
      </c>
      <c r="K101" s="112">
        <v>192.66</v>
      </c>
      <c r="L101" s="112">
        <v>27.58</v>
      </c>
      <c r="M101" s="112">
        <v>94.81</v>
      </c>
      <c r="N101" s="112">
        <v>2.1</v>
      </c>
      <c r="O101" s="112">
        <v>0</v>
      </c>
      <c r="P101" s="112">
        <v>0.44</v>
      </c>
      <c r="Q101" s="112">
        <v>4.54</v>
      </c>
    </row>
    <row r="102" spans="1:22" customFormat="1">
      <c r="A102" s="80">
        <v>45480.979166666664</v>
      </c>
      <c r="B102" s="112">
        <v>9.24</v>
      </c>
      <c r="C102" s="112">
        <v>4.07</v>
      </c>
      <c r="D102" s="112">
        <v>13.99</v>
      </c>
      <c r="E102" s="112">
        <v>7.96</v>
      </c>
      <c r="F102" s="112">
        <v>3.89</v>
      </c>
      <c r="G102" s="112">
        <v>18.98</v>
      </c>
      <c r="H102" s="112">
        <v>10.56</v>
      </c>
      <c r="I102" s="112">
        <v>4.78</v>
      </c>
      <c r="J102" s="112">
        <v>0.22</v>
      </c>
      <c r="K102" s="112">
        <v>179.87</v>
      </c>
      <c r="L102" s="112">
        <v>27.32</v>
      </c>
      <c r="M102" s="112">
        <v>94.16</v>
      </c>
      <c r="N102" s="112">
        <v>2.1</v>
      </c>
      <c r="O102" s="112">
        <v>0</v>
      </c>
      <c r="P102" s="112">
        <v>0.43</v>
      </c>
      <c r="Q102" s="112">
        <v>4.57</v>
      </c>
    </row>
    <row r="103" spans="1:22" customFormat="1">
      <c r="A103" s="80">
        <v>45480.989583333336</v>
      </c>
      <c r="B103" s="112">
        <v>9.24</v>
      </c>
      <c r="C103" s="112">
        <v>4.07</v>
      </c>
      <c r="D103" s="112">
        <v>13.98</v>
      </c>
      <c r="E103" s="112">
        <v>8.2899999999999991</v>
      </c>
      <c r="F103" s="112">
        <v>5.0999999999999996</v>
      </c>
      <c r="G103" s="112">
        <v>24.25</v>
      </c>
      <c r="H103" s="112">
        <v>12.92</v>
      </c>
      <c r="I103" s="112">
        <v>5.18</v>
      </c>
      <c r="J103" s="112">
        <v>0.1</v>
      </c>
      <c r="K103" s="112">
        <v>188.93</v>
      </c>
      <c r="L103" s="112">
        <v>27.31</v>
      </c>
      <c r="M103" s="112">
        <v>94.46</v>
      </c>
      <c r="N103" s="112">
        <v>2.1</v>
      </c>
      <c r="O103" s="112">
        <v>0</v>
      </c>
      <c r="P103" s="112">
        <v>0.43</v>
      </c>
      <c r="Q103" s="112">
        <v>4.5599999999999996</v>
      </c>
    </row>
    <row r="104" spans="1:22" customFormat="1">
      <c r="A104" s="80">
        <v>45481</v>
      </c>
      <c r="B104" s="112">
        <v>9.25</v>
      </c>
      <c r="C104" s="112">
        <v>4.07</v>
      </c>
      <c r="D104" s="112">
        <v>13.99</v>
      </c>
      <c r="E104" s="112">
        <v>7.81</v>
      </c>
      <c r="F104" s="112">
        <v>6.02</v>
      </c>
      <c r="G104" s="112">
        <v>28.28</v>
      </c>
      <c r="H104" s="112">
        <v>13.68</v>
      </c>
      <c r="I104" s="112">
        <v>4.6500000000000004</v>
      </c>
      <c r="J104" s="112">
        <v>0.11</v>
      </c>
      <c r="K104" s="112">
        <v>185.75</v>
      </c>
      <c r="L104" s="112">
        <v>27.24</v>
      </c>
      <c r="M104" s="112">
        <v>94.69</v>
      </c>
      <c r="N104" s="112">
        <v>2.1</v>
      </c>
      <c r="O104" s="112">
        <v>0</v>
      </c>
      <c r="P104" s="112">
        <v>0.43</v>
      </c>
      <c r="Q104" s="112">
        <v>4.57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9.15</v>
      </c>
      <c r="C106" s="183">
        <f>MIN(C9:C104)</f>
        <v>4.03</v>
      </c>
      <c r="D106" s="183">
        <f t="shared" ref="D106:Q106" si="0">MIN(D9:D104)</f>
        <v>13.9</v>
      </c>
      <c r="E106" s="183">
        <f t="shared" si="0"/>
        <v>5.9</v>
      </c>
      <c r="F106" s="183">
        <f t="shared" si="0"/>
        <v>3.22</v>
      </c>
      <c r="G106" s="183">
        <f t="shared" si="0"/>
        <v>5.47</v>
      </c>
      <c r="H106" s="183">
        <f t="shared" si="0"/>
        <v>2.2599999999999998</v>
      </c>
      <c r="I106" s="183">
        <f t="shared" si="0"/>
        <v>2.66</v>
      </c>
      <c r="J106" s="183">
        <f t="shared" si="0"/>
        <v>0.08</v>
      </c>
      <c r="K106" s="183">
        <f t="shared" si="0"/>
        <v>68.67</v>
      </c>
      <c r="L106" s="183">
        <f t="shared" si="0"/>
        <v>25.53</v>
      </c>
      <c r="M106" s="183">
        <f t="shared" si="0"/>
        <v>71.47</v>
      </c>
      <c r="N106" s="183">
        <f t="shared" si="0"/>
        <v>1.4</v>
      </c>
      <c r="O106" s="183">
        <f t="shared" si="0"/>
        <v>0</v>
      </c>
      <c r="P106" s="183">
        <f t="shared" si="0"/>
        <v>0.28000000000000003</v>
      </c>
      <c r="Q106" s="183">
        <f t="shared" si="0"/>
        <v>4.54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9.27</v>
      </c>
      <c r="C107" s="184">
        <f t="shared" ref="C107:Q107" si="1">MAX(C9:C104)</f>
        <v>4.1100000000000003</v>
      </c>
      <c r="D107" s="184">
        <f t="shared" si="1"/>
        <v>14</v>
      </c>
      <c r="E107" s="184">
        <f t="shared" si="1"/>
        <v>10.68</v>
      </c>
      <c r="F107" s="184">
        <f t="shared" si="1"/>
        <v>11.4</v>
      </c>
      <c r="G107" s="184">
        <f t="shared" si="1"/>
        <v>28.28</v>
      </c>
      <c r="H107" s="184">
        <f t="shared" si="1"/>
        <v>146.72</v>
      </c>
      <c r="I107" s="184">
        <f t="shared" si="1"/>
        <v>5.18</v>
      </c>
      <c r="J107" s="184">
        <f t="shared" si="1"/>
        <v>1.0900000000000001</v>
      </c>
      <c r="K107" s="184">
        <f t="shared" si="1"/>
        <v>309.88</v>
      </c>
      <c r="L107" s="184">
        <f t="shared" si="1"/>
        <v>31.86</v>
      </c>
      <c r="M107" s="184">
        <f t="shared" si="1"/>
        <v>94.81</v>
      </c>
      <c r="N107" s="184">
        <f t="shared" si="1"/>
        <v>359.1</v>
      </c>
      <c r="O107" s="184">
        <f t="shared" si="1"/>
        <v>0</v>
      </c>
      <c r="P107" s="184">
        <f t="shared" si="1"/>
        <v>0.51</v>
      </c>
      <c r="Q107" s="184">
        <f t="shared" si="1"/>
        <v>4.6500000000000004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9.216041666666678</v>
      </c>
      <c r="C108" s="183">
        <f t="shared" ref="C108:Q108" si="2">AVERAGE(C9:C104)</f>
        <v>4.0639583333333329</v>
      </c>
      <c r="D108" s="183">
        <f t="shared" si="2"/>
        <v>13.963541666666673</v>
      </c>
      <c r="E108" s="183">
        <f t="shared" si="2"/>
        <v>8.3879166666666674</v>
      </c>
      <c r="F108" s="183">
        <f t="shared" si="2"/>
        <v>6.281979166666666</v>
      </c>
      <c r="G108" s="183">
        <f t="shared" si="2"/>
        <v>14.578645833333338</v>
      </c>
      <c r="H108" s="183">
        <f t="shared" si="2"/>
        <v>32.828437499999986</v>
      </c>
      <c r="I108" s="183">
        <f t="shared" si="2"/>
        <v>3.5556249999999991</v>
      </c>
      <c r="J108" s="183">
        <f t="shared" si="2"/>
        <v>0.43666666666666659</v>
      </c>
      <c r="K108" s="183">
        <f t="shared" si="2"/>
        <v>245.44791666666652</v>
      </c>
      <c r="L108" s="183">
        <f t="shared" si="2"/>
        <v>27.954374999999995</v>
      </c>
      <c r="M108" s="183">
        <f t="shared" si="2"/>
        <v>85.479687499999997</v>
      </c>
      <c r="N108" s="183">
        <f t="shared" si="2"/>
        <v>78.545833333333377</v>
      </c>
      <c r="O108" s="183">
        <f t="shared" si="2"/>
        <v>0</v>
      </c>
      <c r="P108" s="183">
        <f t="shared" si="2"/>
        <v>0.34906249999999983</v>
      </c>
      <c r="Q108" s="183">
        <f t="shared" si="2"/>
        <v>4.5939583333333296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2.8152934470464189E-2</v>
      </c>
      <c r="C109" s="183">
        <f t="shared" ref="C109:Q109" si="3">STDEV(C9:C104)</f>
        <v>1.8092113237637802E-2</v>
      </c>
      <c r="D109" s="183">
        <f t="shared" si="3"/>
        <v>2.3439919465762078E-2</v>
      </c>
      <c r="E109" s="183">
        <f t="shared" si="3"/>
        <v>1.2034143676850737</v>
      </c>
      <c r="F109" s="183">
        <f t="shared" si="3"/>
        <v>2.0753351636944508</v>
      </c>
      <c r="G109" s="183">
        <f t="shared" si="3"/>
        <v>5.5430555168353877</v>
      </c>
      <c r="H109" s="183">
        <f t="shared" si="3"/>
        <v>43.21169939844205</v>
      </c>
      <c r="I109" s="183">
        <f t="shared" si="3"/>
        <v>0.71470982334018118</v>
      </c>
      <c r="J109" s="183">
        <f t="shared" si="3"/>
        <v>0.24866238649248976</v>
      </c>
      <c r="K109" s="183">
        <f t="shared" si="3"/>
        <v>44.039424178000964</v>
      </c>
      <c r="L109" s="183">
        <f t="shared" si="3"/>
        <v>1.4084772012059033</v>
      </c>
      <c r="M109" s="183">
        <f t="shared" si="3"/>
        <v>5.4659195697906675</v>
      </c>
      <c r="N109" s="183">
        <f t="shared" si="3"/>
        <v>99.226684565315097</v>
      </c>
      <c r="O109" s="183">
        <f t="shared" si="3"/>
        <v>0</v>
      </c>
      <c r="P109" s="183">
        <f t="shared" si="3"/>
        <v>6.3280131162949615E-2</v>
      </c>
      <c r="Q109" s="183">
        <f t="shared" si="3"/>
        <v>2.2733196995012278E-2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84" activePane="bottomRight" state="frozen"/>
      <selection activeCell="A9" sqref="A9"/>
      <selection pane="topRight" activeCell="A9" sqref="A9"/>
      <selection pane="bottomLeft" activeCell="A9" sqref="A9"/>
      <selection pane="bottomRight" activeCell="Q9" sqref="Q9:Q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45481.010416666664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45481.010416666664</v>
      </c>
      <c r="B9" s="112">
        <v>9.32</v>
      </c>
      <c r="C9" s="112">
        <v>4.01</v>
      </c>
      <c r="D9" s="112">
        <v>14.02</v>
      </c>
      <c r="E9" s="112">
        <v>8.36</v>
      </c>
      <c r="F9" s="112">
        <v>5.61</v>
      </c>
      <c r="G9" s="112">
        <v>28.28</v>
      </c>
      <c r="H9" s="112">
        <v>13.68</v>
      </c>
      <c r="I9" s="112">
        <v>4.46</v>
      </c>
      <c r="J9" s="112">
        <v>0.1</v>
      </c>
      <c r="K9" s="112">
        <v>183.91</v>
      </c>
      <c r="L9" s="112">
        <v>27.24</v>
      </c>
      <c r="M9" s="112">
        <v>94.96</v>
      </c>
      <c r="N9" s="112">
        <v>2.1</v>
      </c>
      <c r="O9" s="112">
        <v>0</v>
      </c>
      <c r="P9" s="112">
        <v>0.42</v>
      </c>
      <c r="Q9" s="112">
        <v>4.58</v>
      </c>
    </row>
    <row r="10" spans="1:21" customFormat="1">
      <c r="A10" s="80">
        <v>45481.020833333336</v>
      </c>
      <c r="B10" s="112">
        <v>9.3000000000000007</v>
      </c>
      <c r="C10" s="112">
        <v>4.05</v>
      </c>
      <c r="D10" s="112">
        <v>14.03</v>
      </c>
      <c r="E10" s="112">
        <v>7.62</v>
      </c>
      <c r="F10" s="112">
        <v>5.64</v>
      </c>
      <c r="G10" s="112">
        <v>28.28</v>
      </c>
      <c r="H10" s="112">
        <v>13.68</v>
      </c>
      <c r="I10" s="112">
        <v>4.45</v>
      </c>
      <c r="J10" s="112">
        <v>0.14000000000000001</v>
      </c>
      <c r="K10" s="112">
        <v>175.54</v>
      </c>
      <c r="L10" s="112">
        <v>27.22</v>
      </c>
      <c r="M10" s="112">
        <v>94.81</v>
      </c>
      <c r="N10" s="112">
        <v>2.1</v>
      </c>
      <c r="O10" s="112">
        <v>0</v>
      </c>
      <c r="P10" s="112">
        <v>0.42</v>
      </c>
      <c r="Q10" s="112">
        <v>4.57</v>
      </c>
    </row>
    <row r="11" spans="1:21" customFormat="1">
      <c r="A11" s="80">
        <v>45481.03125</v>
      </c>
      <c r="B11" s="112">
        <v>9.2899999999999991</v>
      </c>
      <c r="C11" s="112">
        <v>4.07</v>
      </c>
      <c r="D11" s="112">
        <v>14.03</v>
      </c>
      <c r="E11" s="112">
        <v>8</v>
      </c>
      <c r="F11" s="112">
        <v>5.47</v>
      </c>
      <c r="G11" s="112">
        <v>28.64</v>
      </c>
      <c r="H11" s="112">
        <v>10.57</v>
      </c>
      <c r="I11" s="112">
        <v>4.43</v>
      </c>
      <c r="J11" s="112">
        <v>0.11</v>
      </c>
      <c r="K11" s="112">
        <v>183.67</v>
      </c>
      <c r="L11" s="112">
        <v>27.44</v>
      </c>
      <c r="M11" s="112">
        <v>94.31</v>
      </c>
      <c r="N11" s="112">
        <v>2.1</v>
      </c>
      <c r="O11" s="112">
        <v>0</v>
      </c>
      <c r="P11" s="112">
        <v>0.44</v>
      </c>
      <c r="Q11" s="112">
        <v>4.58</v>
      </c>
    </row>
    <row r="12" spans="1:21" customFormat="1">
      <c r="A12" s="80">
        <v>45481.041666666664</v>
      </c>
      <c r="B12" s="112">
        <v>9.3000000000000007</v>
      </c>
      <c r="C12" s="112">
        <v>4.07</v>
      </c>
      <c r="D12" s="112">
        <v>14.04</v>
      </c>
      <c r="E12" s="112">
        <v>7.92</v>
      </c>
      <c r="F12" s="112">
        <v>5.62</v>
      </c>
      <c r="G12" s="112">
        <v>28.92</v>
      </c>
      <c r="H12" s="112">
        <v>8.66</v>
      </c>
      <c r="I12" s="112">
        <v>4.47</v>
      </c>
      <c r="J12" s="112">
        <v>7.0000000000000007E-2</v>
      </c>
      <c r="K12" s="112">
        <v>196.89</v>
      </c>
      <c r="L12" s="112">
        <v>27.29</v>
      </c>
      <c r="M12" s="112">
        <v>95.36</v>
      </c>
      <c r="N12" s="112">
        <v>2.6</v>
      </c>
      <c r="O12" s="112">
        <v>0.6</v>
      </c>
      <c r="P12" s="112">
        <v>0.43</v>
      </c>
      <c r="Q12" s="112">
        <v>4.57</v>
      </c>
    </row>
    <row r="13" spans="1:21" customFormat="1">
      <c r="A13" s="80">
        <v>45481.052083333336</v>
      </c>
      <c r="B13" s="112">
        <v>9.3000000000000007</v>
      </c>
      <c r="C13" s="112">
        <v>4.0999999999999996</v>
      </c>
      <c r="D13" s="112">
        <v>14.05</v>
      </c>
      <c r="E13" s="112">
        <v>8.18</v>
      </c>
      <c r="F13" s="112">
        <v>5.88</v>
      </c>
      <c r="G13" s="112">
        <v>28.92</v>
      </c>
      <c r="H13" s="112">
        <v>8.66</v>
      </c>
      <c r="I13" s="112">
        <v>4.5599999999999996</v>
      </c>
      <c r="J13" s="112">
        <v>0.1</v>
      </c>
      <c r="K13" s="112">
        <v>192.78</v>
      </c>
      <c r="L13" s="112">
        <v>27.05</v>
      </c>
      <c r="M13" s="112">
        <v>96.9</v>
      </c>
      <c r="N13" s="112">
        <v>2.6</v>
      </c>
      <c r="O13" s="112">
        <v>0</v>
      </c>
      <c r="P13" s="112">
        <v>0.42</v>
      </c>
      <c r="Q13" s="112">
        <v>4.54</v>
      </c>
    </row>
    <row r="14" spans="1:21" customFormat="1">
      <c r="A14" s="80">
        <v>45481.0625</v>
      </c>
      <c r="B14" s="112">
        <v>9.2899999999999991</v>
      </c>
      <c r="C14" s="112">
        <v>4.07</v>
      </c>
      <c r="D14" s="112">
        <v>14.03</v>
      </c>
      <c r="E14" s="112">
        <v>8.06</v>
      </c>
      <c r="F14" s="112">
        <v>6.43</v>
      </c>
      <c r="G14" s="112">
        <v>28.92</v>
      </c>
      <c r="H14" s="112">
        <v>8.66</v>
      </c>
      <c r="I14" s="112">
        <v>4.5599999999999996</v>
      </c>
      <c r="J14" s="112">
        <v>0.11</v>
      </c>
      <c r="K14" s="112">
        <v>150.35</v>
      </c>
      <c r="L14" s="112">
        <v>26.96</v>
      </c>
      <c r="M14" s="112">
        <v>98.51</v>
      </c>
      <c r="N14" s="112">
        <v>2.2999999999999998</v>
      </c>
      <c r="O14" s="112">
        <v>0</v>
      </c>
      <c r="P14" s="112">
        <v>0.42</v>
      </c>
      <c r="Q14" s="112">
        <v>4.55</v>
      </c>
    </row>
    <row r="15" spans="1:21" customFormat="1">
      <c r="A15" s="80">
        <v>45481.072916666664</v>
      </c>
      <c r="B15" s="112">
        <v>9.3000000000000007</v>
      </c>
      <c r="C15" s="112">
        <v>4.0599999999999996</v>
      </c>
      <c r="D15" s="112">
        <v>14.03</v>
      </c>
      <c r="E15" s="112">
        <v>8.1</v>
      </c>
      <c r="F15" s="112">
        <v>6.82</v>
      </c>
      <c r="G15" s="112">
        <v>26.66</v>
      </c>
      <c r="H15" s="112">
        <v>3.99</v>
      </c>
      <c r="I15" s="112">
        <v>4.4000000000000004</v>
      </c>
      <c r="J15" s="112">
        <v>0.09</v>
      </c>
      <c r="K15" s="112">
        <v>111.91</v>
      </c>
      <c r="L15" s="112">
        <v>26.88</v>
      </c>
      <c r="M15" s="112">
        <v>99.23</v>
      </c>
      <c r="N15" s="112">
        <v>2.5</v>
      </c>
      <c r="O15" s="112">
        <v>0</v>
      </c>
      <c r="P15" s="112">
        <v>0.41</v>
      </c>
      <c r="Q15" s="112">
        <v>4.57</v>
      </c>
    </row>
    <row r="16" spans="1:21" customFormat="1">
      <c r="A16" s="80">
        <v>45481.083333333336</v>
      </c>
      <c r="B16" s="112">
        <v>9.2799999999999994</v>
      </c>
      <c r="C16" s="112">
        <v>4.0999999999999996</v>
      </c>
      <c r="D16" s="112">
        <v>14.03</v>
      </c>
      <c r="E16" s="112">
        <v>8.02</v>
      </c>
      <c r="F16" s="112">
        <v>6.87</v>
      </c>
      <c r="G16" s="112">
        <v>24.85</v>
      </c>
      <c r="H16" s="112">
        <v>2.38</v>
      </c>
      <c r="I16" s="112">
        <v>4.4000000000000004</v>
      </c>
      <c r="J16" s="112">
        <v>0.08</v>
      </c>
      <c r="K16" s="112">
        <v>143.74</v>
      </c>
      <c r="L16" s="112">
        <v>26.74</v>
      </c>
      <c r="M16" s="112">
        <v>98.86</v>
      </c>
      <c r="N16" s="112">
        <v>2.5</v>
      </c>
      <c r="O16" s="112">
        <v>0</v>
      </c>
      <c r="P16" s="112">
        <v>0.39</v>
      </c>
      <c r="Q16" s="112">
        <v>4.57</v>
      </c>
    </row>
    <row r="17" spans="1:17" customFormat="1">
      <c r="A17" s="80">
        <v>45481.09375</v>
      </c>
      <c r="B17" s="112">
        <v>9.26</v>
      </c>
      <c r="C17" s="112">
        <v>4.08</v>
      </c>
      <c r="D17" s="112">
        <v>14.01</v>
      </c>
      <c r="E17" s="112">
        <v>7.71</v>
      </c>
      <c r="F17" s="112">
        <v>6.46</v>
      </c>
      <c r="G17" s="112">
        <v>24.85</v>
      </c>
      <c r="H17" s="112">
        <v>2.38</v>
      </c>
      <c r="I17" s="112">
        <v>4.34</v>
      </c>
      <c r="J17" s="112">
        <v>0.11</v>
      </c>
      <c r="K17" s="112">
        <v>192.51</v>
      </c>
      <c r="L17" s="112">
        <v>26.67</v>
      </c>
      <c r="M17" s="112">
        <v>98.4</v>
      </c>
      <c r="N17" s="112">
        <v>2.5</v>
      </c>
      <c r="O17" s="112">
        <v>0</v>
      </c>
      <c r="P17" s="112">
        <v>0.4</v>
      </c>
      <c r="Q17" s="112">
        <v>4.58</v>
      </c>
    </row>
    <row r="18" spans="1:17" customFormat="1">
      <c r="A18" s="80">
        <v>45481.104166666664</v>
      </c>
      <c r="B18" s="112">
        <v>9.2799999999999994</v>
      </c>
      <c r="C18" s="112">
        <v>4.0599999999999996</v>
      </c>
      <c r="D18" s="112">
        <v>14.02</v>
      </c>
      <c r="E18" s="112">
        <v>9.2100000000000009</v>
      </c>
      <c r="F18" s="112">
        <v>6.26</v>
      </c>
      <c r="G18" s="112">
        <v>24.85</v>
      </c>
      <c r="H18" s="112">
        <v>2.38</v>
      </c>
      <c r="I18" s="112">
        <v>4.42</v>
      </c>
      <c r="J18" s="112">
        <v>0.14000000000000001</v>
      </c>
      <c r="K18" s="112">
        <v>163.19</v>
      </c>
      <c r="L18" s="112">
        <v>26.64</v>
      </c>
      <c r="M18" s="112">
        <v>99.02</v>
      </c>
      <c r="N18" s="112">
        <v>2.2999999999999998</v>
      </c>
      <c r="O18" s="112">
        <v>0</v>
      </c>
      <c r="P18" s="112">
        <v>0.35</v>
      </c>
      <c r="Q18" s="112">
        <v>4.5599999999999996</v>
      </c>
    </row>
    <row r="19" spans="1:17" customFormat="1">
      <c r="A19" s="80">
        <v>45481.114583333336</v>
      </c>
      <c r="B19" s="112">
        <v>9.31</v>
      </c>
      <c r="C19" s="112">
        <v>4.07</v>
      </c>
      <c r="D19" s="112">
        <v>14.04</v>
      </c>
      <c r="E19" s="112">
        <v>9.43</v>
      </c>
      <c r="F19" s="112">
        <v>6.25</v>
      </c>
      <c r="G19" s="112">
        <v>22.82</v>
      </c>
      <c r="H19" s="112">
        <v>4.6399999999999997</v>
      </c>
      <c r="I19" s="112">
        <v>4.6100000000000003</v>
      </c>
      <c r="J19" s="112">
        <v>0.12</v>
      </c>
      <c r="K19" s="112">
        <v>144.9</v>
      </c>
      <c r="L19" s="112">
        <v>26.67</v>
      </c>
      <c r="M19" s="112">
        <v>98.59</v>
      </c>
      <c r="N19" s="112">
        <v>2.2999999999999998</v>
      </c>
      <c r="O19" s="112">
        <v>0</v>
      </c>
      <c r="P19" s="112">
        <v>0.34</v>
      </c>
      <c r="Q19" s="112">
        <v>4.58</v>
      </c>
    </row>
    <row r="20" spans="1:17" customFormat="1">
      <c r="A20" s="80">
        <v>45481.125</v>
      </c>
      <c r="B20" s="112">
        <v>9.31</v>
      </c>
      <c r="C20" s="112">
        <v>4.07</v>
      </c>
      <c r="D20" s="112">
        <v>14.04</v>
      </c>
      <c r="E20" s="112">
        <v>9.6999999999999993</v>
      </c>
      <c r="F20" s="112">
        <v>6.45</v>
      </c>
      <c r="G20" s="112">
        <v>21.26</v>
      </c>
      <c r="H20" s="112">
        <v>5.41</v>
      </c>
      <c r="I20" s="112">
        <v>4.68</v>
      </c>
      <c r="J20" s="112">
        <v>0.13</v>
      </c>
      <c r="K20" s="112">
        <v>148.18</v>
      </c>
      <c r="L20" s="112">
        <v>26.8</v>
      </c>
      <c r="M20" s="112">
        <v>98.99</v>
      </c>
      <c r="N20" s="112">
        <v>2.4</v>
      </c>
      <c r="O20" s="112">
        <v>0</v>
      </c>
      <c r="P20" s="112">
        <v>0.34</v>
      </c>
      <c r="Q20" s="112">
        <v>4.5599999999999996</v>
      </c>
    </row>
    <row r="21" spans="1:17" customFormat="1">
      <c r="A21" s="80">
        <v>45481.135416666664</v>
      </c>
      <c r="B21" s="112">
        <v>9.2899999999999991</v>
      </c>
      <c r="C21" s="112">
        <v>4.07</v>
      </c>
      <c r="D21" s="112">
        <v>14.03</v>
      </c>
      <c r="E21" s="112">
        <v>10.19</v>
      </c>
      <c r="F21" s="112">
        <v>5.52</v>
      </c>
      <c r="G21" s="112">
        <v>21.26</v>
      </c>
      <c r="H21" s="112">
        <v>5.41</v>
      </c>
      <c r="I21" s="112">
        <v>4.55</v>
      </c>
      <c r="J21" s="112">
        <v>0.09</v>
      </c>
      <c r="K21" s="112">
        <v>191.33</v>
      </c>
      <c r="L21" s="112">
        <v>26.79</v>
      </c>
      <c r="M21" s="112">
        <v>98.24</v>
      </c>
      <c r="N21" s="112">
        <v>2.6</v>
      </c>
      <c r="O21" s="112">
        <v>0</v>
      </c>
      <c r="P21" s="112">
        <v>0.33</v>
      </c>
      <c r="Q21" s="112">
        <v>4.57</v>
      </c>
    </row>
    <row r="22" spans="1:17" customFormat="1">
      <c r="A22" s="80">
        <v>45481.145833333336</v>
      </c>
      <c r="B22" s="112">
        <v>9.27</v>
      </c>
      <c r="C22" s="112">
        <v>4.08</v>
      </c>
      <c r="D22" s="112">
        <v>14.02</v>
      </c>
      <c r="E22" s="112">
        <v>10.02</v>
      </c>
      <c r="F22" s="112">
        <v>5.34</v>
      </c>
      <c r="G22" s="112">
        <v>21.26</v>
      </c>
      <c r="H22" s="112">
        <v>5.41</v>
      </c>
      <c r="I22" s="112">
        <v>4.47</v>
      </c>
      <c r="J22" s="112">
        <v>0.12</v>
      </c>
      <c r="K22" s="112">
        <v>223.99</v>
      </c>
      <c r="L22" s="112">
        <v>26.78</v>
      </c>
      <c r="M22" s="112">
        <v>98.34</v>
      </c>
      <c r="N22" s="112">
        <v>2.6</v>
      </c>
      <c r="O22" s="112">
        <v>0</v>
      </c>
      <c r="P22" s="112">
        <v>0.33</v>
      </c>
      <c r="Q22" s="112">
        <v>4.5599999999999996</v>
      </c>
    </row>
    <row r="23" spans="1:17" customFormat="1">
      <c r="A23" s="80">
        <v>45481.15625</v>
      </c>
      <c r="B23" s="112">
        <v>9.26</v>
      </c>
      <c r="C23" s="112">
        <v>4.08</v>
      </c>
      <c r="D23" s="112">
        <v>14</v>
      </c>
      <c r="E23" s="112">
        <v>10.3</v>
      </c>
      <c r="F23" s="112">
        <v>5.2</v>
      </c>
      <c r="G23" s="112">
        <v>19.5</v>
      </c>
      <c r="H23" s="112">
        <v>4.8499999999999996</v>
      </c>
      <c r="I23" s="112">
        <v>4.46</v>
      </c>
      <c r="J23" s="112">
        <v>0.09</v>
      </c>
      <c r="K23" s="112">
        <v>227.2</v>
      </c>
      <c r="L23" s="112">
        <v>26.82</v>
      </c>
      <c r="M23" s="112">
        <v>97.44</v>
      </c>
      <c r="N23" s="112">
        <v>2.6</v>
      </c>
      <c r="O23" s="112">
        <v>0</v>
      </c>
      <c r="P23" s="112">
        <v>0.33</v>
      </c>
      <c r="Q23" s="112">
        <v>4.55</v>
      </c>
    </row>
    <row r="24" spans="1:17" customFormat="1">
      <c r="A24" s="80">
        <v>45481.166666666664</v>
      </c>
      <c r="B24" s="112">
        <v>9.26</v>
      </c>
      <c r="C24" s="112">
        <v>4.07</v>
      </c>
      <c r="D24" s="112">
        <v>14</v>
      </c>
      <c r="E24" s="112">
        <v>10.050000000000001</v>
      </c>
      <c r="F24" s="112">
        <v>4.97</v>
      </c>
      <c r="G24" s="112">
        <v>18.149999999999999</v>
      </c>
      <c r="H24" s="112">
        <v>4.6500000000000004</v>
      </c>
      <c r="I24" s="112">
        <v>4.47</v>
      </c>
      <c r="J24" s="112">
        <v>0.11</v>
      </c>
      <c r="K24" s="112">
        <v>191.74</v>
      </c>
      <c r="L24" s="112">
        <v>26.82</v>
      </c>
      <c r="M24" s="112">
        <v>96.51</v>
      </c>
      <c r="N24" s="112">
        <v>2.6</v>
      </c>
      <c r="O24" s="112">
        <v>0</v>
      </c>
      <c r="P24" s="112">
        <v>0.33</v>
      </c>
      <c r="Q24" s="112">
        <v>4.55</v>
      </c>
    </row>
    <row r="25" spans="1:17" customFormat="1">
      <c r="A25" s="80">
        <v>45481.177083333336</v>
      </c>
      <c r="B25" s="112">
        <v>9.26</v>
      </c>
      <c r="C25" s="112">
        <v>4.0599999999999996</v>
      </c>
      <c r="D25" s="112">
        <v>13.99</v>
      </c>
      <c r="E25" s="112">
        <v>10.08</v>
      </c>
      <c r="F25" s="112">
        <v>4.91</v>
      </c>
      <c r="G25" s="112">
        <v>18.149999999999999</v>
      </c>
      <c r="H25" s="112">
        <v>4.6500000000000004</v>
      </c>
      <c r="I25" s="112">
        <v>4.47</v>
      </c>
      <c r="J25" s="112">
        <v>0.1</v>
      </c>
      <c r="K25" s="112">
        <v>258.89</v>
      </c>
      <c r="L25" s="112">
        <v>26.72</v>
      </c>
      <c r="M25" s="112">
        <v>95.77</v>
      </c>
      <c r="N25" s="112">
        <v>2.5</v>
      </c>
      <c r="O25" s="112">
        <v>0</v>
      </c>
      <c r="P25" s="112">
        <v>0.32</v>
      </c>
      <c r="Q25" s="112">
        <v>4.5599999999999996</v>
      </c>
    </row>
    <row r="26" spans="1:17" customFormat="1">
      <c r="A26" s="80">
        <v>45481.1875</v>
      </c>
      <c r="B26" s="112">
        <v>9.27</v>
      </c>
      <c r="C26" s="112">
        <v>4.0599999999999996</v>
      </c>
      <c r="D26" s="112">
        <v>14</v>
      </c>
      <c r="E26" s="112">
        <v>10.8</v>
      </c>
      <c r="F26" s="112">
        <v>4.95</v>
      </c>
      <c r="G26" s="112">
        <v>18.149999999999999</v>
      </c>
      <c r="H26" s="112">
        <v>4.6500000000000004</v>
      </c>
      <c r="I26" s="112">
        <v>4.46</v>
      </c>
      <c r="J26" s="112">
        <v>0.1</v>
      </c>
      <c r="K26" s="112">
        <v>227.93</v>
      </c>
      <c r="L26" s="112">
        <v>26.78</v>
      </c>
      <c r="M26" s="112">
        <v>95.46</v>
      </c>
      <c r="N26" s="112">
        <v>2.5</v>
      </c>
      <c r="O26" s="112">
        <v>0</v>
      </c>
      <c r="P26" s="112">
        <v>0.32</v>
      </c>
      <c r="Q26" s="112">
        <v>4.5999999999999996</v>
      </c>
    </row>
    <row r="27" spans="1:17" customFormat="1">
      <c r="A27" s="80">
        <v>45481.197916666664</v>
      </c>
      <c r="B27" s="112">
        <v>9.27</v>
      </c>
      <c r="C27" s="112">
        <v>4.07</v>
      </c>
      <c r="D27" s="112">
        <v>14.01</v>
      </c>
      <c r="E27" s="112">
        <v>10.79</v>
      </c>
      <c r="F27" s="112">
        <v>4.6900000000000004</v>
      </c>
      <c r="G27" s="112">
        <v>18.72</v>
      </c>
      <c r="H27" s="112">
        <v>5.82</v>
      </c>
      <c r="I27" s="112">
        <v>4.3499999999999996</v>
      </c>
      <c r="J27" s="112">
        <v>0.3</v>
      </c>
      <c r="K27" s="112">
        <v>259.69</v>
      </c>
      <c r="L27" s="112">
        <v>26.64</v>
      </c>
      <c r="M27" s="112">
        <v>96.12</v>
      </c>
      <c r="N27" s="112">
        <v>2.8</v>
      </c>
      <c r="O27" s="112">
        <v>0</v>
      </c>
      <c r="P27" s="112">
        <v>0.31</v>
      </c>
      <c r="Q27" s="112">
        <v>4.57</v>
      </c>
    </row>
    <row r="28" spans="1:17" customFormat="1">
      <c r="A28" s="80">
        <v>45481.208333333336</v>
      </c>
      <c r="B28" s="112">
        <v>9.2799999999999994</v>
      </c>
      <c r="C28" s="112">
        <v>4.08</v>
      </c>
      <c r="D28" s="112">
        <v>14.02</v>
      </c>
      <c r="E28" s="112">
        <v>11.18</v>
      </c>
      <c r="F28" s="112">
        <v>4.28</v>
      </c>
      <c r="G28" s="112">
        <v>19.16</v>
      </c>
      <c r="H28" s="112">
        <v>6.19</v>
      </c>
      <c r="I28" s="112">
        <v>4.28</v>
      </c>
      <c r="J28" s="112">
        <v>0.57999999999999996</v>
      </c>
      <c r="K28" s="112">
        <v>265.92</v>
      </c>
      <c r="L28" s="112">
        <v>26.54</v>
      </c>
      <c r="M28" s="112">
        <v>94.15</v>
      </c>
      <c r="N28" s="112">
        <v>3.2</v>
      </c>
      <c r="O28" s="112">
        <v>0</v>
      </c>
      <c r="P28" s="112">
        <v>0.31</v>
      </c>
      <c r="Q28" s="112">
        <v>4.5599999999999996</v>
      </c>
    </row>
    <row r="29" spans="1:17" customFormat="1">
      <c r="A29" s="80">
        <v>45481.21875</v>
      </c>
      <c r="B29" s="112">
        <v>9.2799999999999994</v>
      </c>
      <c r="C29" s="112">
        <v>4.04</v>
      </c>
      <c r="D29" s="112">
        <v>14</v>
      </c>
      <c r="E29" s="112">
        <v>11.01</v>
      </c>
      <c r="F29" s="112">
        <v>4.7699999999999996</v>
      </c>
      <c r="G29" s="112">
        <v>19.16</v>
      </c>
      <c r="H29" s="112">
        <v>6.19</v>
      </c>
      <c r="I29" s="112">
        <v>4.22</v>
      </c>
      <c r="J29" s="112">
        <v>0.45</v>
      </c>
      <c r="K29" s="112">
        <v>265.66000000000003</v>
      </c>
      <c r="L29" s="112">
        <v>26.3</v>
      </c>
      <c r="M29" s="112">
        <v>91.64</v>
      </c>
      <c r="N29" s="112">
        <v>4.8</v>
      </c>
      <c r="O29" s="112">
        <v>0</v>
      </c>
      <c r="P29" s="112">
        <v>0.31</v>
      </c>
      <c r="Q29" s="112">
        <v>4.57</v>
      </c>
    </row>
    <row r="30" spans="1:17" customFormat="1">
      <c r="A30" s="80">
        <v>45481.229166666664</v>
      </c>
      <c r="B30" s="112">
        <v>9.27</v>
      </c>
      <c r="C30" s="112">
        <v>4.0599999999999996</v>
      </c>
      <c r="D30" s="112">
        <v>14</v>
      </c>
      <c r="E30" s="112">
        <v>11.25</v>
      </c>
      <c r="F30" s="112">
        <v>4.63</v>
      </c>
      <c r="G30" s="112">
        <v>19.16</v>
      </c>
      <c r="H30" s="112">
        <v>6.19</v>
      </c>
      <c r="I30" s="112">
        <v>4.2300000000000004</v>
      </c>
      <c r="J30" s="112">
        <v>0.15</v>
      </c>
      <c r="K30" s="112">
        <v>227.01</v>
      </c>
      <c r="L30" s="112">
        <v>26.14</v>
      </c>
      <c r="M30" s="112">
        <v>93.69</v>
      </c>
      <c r="N30" s="112">
        <v>6.2</v>
      </c>
      <c r="O30" s="112">
        <v>0</v>
      </c>
      <c r="P30" s="112">
        <v>0.3</v>
      </c>
      <c r="Q30" s="112">
        <v>4.5599999999999996</v>
      </c>
    </row>
    <row r="31" spans="1:17" customFormat="1">
      <c r="A31" s="80">
        <v>45481.239583333336</v>
      </c>
      <c r="B31" s="112">
        <v>9.26</v>
      </c>
      <c r="C31" s="112">
        <v>4.07</v>
      </c>
      <c r="D31" s="112">
        <v>14</v>
      </c>
      <c r="E31" s="112">
        <v>10.78</v>
      </c>
      <c r="F31" s="112">
        <v>4.6100000000000003</v>
      </c>
      <c r="G31" s="112">
        <v>16.399999999999999</v>
      </c>
      <c r="H31" s="112">
        <v>6.52</v>
      </c>
      <c r="I31" s="112">
        <v>4.1500000000000004</v>
      </c>
      <c r="J31" s="112">
        <v>0.14000000000000001</v>
      </c>
      <c r="K31" s="112">
        <v>246.91</v>
      </c>
      <c r="L31" s="112">
        <v>26.05</v>
      </c>
      <c r="M31" s="112">
        <v>94.54</v>
      </c>
      <c r="N31" s="112">
        <v>8.1</v>
      </c>
      <c r="O31" s="112">
        <v>0</v>
      </c>
      <c r="P31" s="112">
        <v>0.3</v>
      </c>
      <c r="Q31" s="112">
        <v>4.5599999999999996</v>
      </c>
    </row>
    <row r="32" spans="1:17" customFormat="1">
      <c r="A32" s="80">
        <v>45481.25</v>
      </c>
      <c r="B32" s="112">
        <v>9.26</v>
      </c>
      <c r="C32" s="112">
        <v>4.09</v>
      </c>
      <c r="D32" s="112">
        <v>14.01</v>
      </c>
      <c r="E32" s="112">
        <v>11.22</v>
      </c>
      <c r="F32" s="112">
        <v>4.29</v>
      </c>
      <c r="G32" s="112">
        <v>14.29</v>
      </c>
      <c r="H32" s="112">
        <v>6.62</v>
      </c>
      <c r="I32" s="112">
        <v>4.0999999999999996</v>
      </c>
      <c r="J32" s="112">
        <v>0.37</v>
      </c>
      <c r="K32" s="112">
        <v>258.64999999999998</v>
      </c>
      <c r="L32" s="112">
        <v>26.03</v>
      </c>
      <c r="M32" s="112">
        <v>92.07</v>
      </c>
      <c r="N32" s="112">
        <v>13.1</v>
      </c>
      <c r="O32" s="112">
        <v>0</v>
      </c>
      <c r="P32" s="112">
        <v>0.28999999999999998</v>
      </c>
      <c r="Q32" s="112">
        <v>4.55</v>
      </c>
    </row>
    <row r="33" spans="1:17" customFormat="1">
      <c r="A33" s="80">
        <v>45481.260416666664</v>
      </c>
      <c r="B33" s="112">
        <v>9.2799999999999994</v>
      </c>
      <c r="C33" s="112">
        <v>4.07</v>
      </c>
      <c r="D33" s="112">
        <v>14.02</v>
      </c>
      <c r="E33" s="112">
        <v>11.58</v>
      </c>
      <c r="F33" s="112">
        <v>4.3499999999999996</v>
      </c>
      <c r="G33" s="112">
        <v>14.29</v>
      </c>
      <c r="H33" s="112">
        <v>6.62</v>
      </c>
      <c r="I33" s="112">
        <v>3.9</v>
      </c>
      <c r="J33" s="112">
        <v>0.35</v>
      </c>
      <c r="K33" s="112">
        <v>266.06</v>
      </c>
      <c r="L33" s="112">
        <v>26.06</v>
      </c>
      <c r="M33" s="112">
        <v>93.22</v>
      </c>
      <c r="N33" s="112">
        <v>24.8</v>
      </c>
      <c r="O33" s="112">
        <v>0</v>
      </c>
      <c r="P33" s="112">
        <v>0.28999999999999998</v>
      </c>
      <c r="Q33" s="112">
        <v>4.5599999999999996</v>
      </c>
    </row>
    <row r="34" spans="1:17" customFormat="1">
      <c r="A34" s="80">
        <v>45481.270833333336</v>
      </c>
      <c r="B34" s="112">
        <v>9.26</v>
      </c>
      <c r="C34" s="112">
        <v>4.08</v>
      </c>
      <c r="D34" s="112">
        <v>14.01</v>
      </c>
      <c r="E34" s="112">
        <v>11.28</v>
      </c>
      <c r="F34" s="112">
        <v>3.14</v>
      </c>
      <c r="G34" s="112">
        <v>14.29</v>
      </c>
      <c r="H34" s="112">
        <v>6.62</v>
      </c>
      <c r="I34" s="112">
        <v>3.8</v>
      </c>
      <c r="J34" s="112">
        <v>0.19</v>
      </c>
      <c r="K34" s="112">
        <v>250.35</v>
      </c>
      <c r="L34" s="112">
        <v>26.26</v>
      </c>
      <c r="M34" s="112">
        <v>95.29</v>
      </c>
      <c r="N34" s="112">
        <v>40.200000000000003</v>
      </c>
      <c r="O34" s="112">
        <v>0</v>
      </c>
      <c r="P34" s="112">
        <v>0.28999999999999998</v>
      </c>
      <c r="Q34" s="112">
        <v>4.57</v>
      </c>
    </row>
    <row r="35" spans="1:17" customFormat="1">
      <c r="A35" s="80">
        <v>45481.28125</v>
      </c>
      <c r="B35" s="112">
        <v>9.27</v>
      </c>
      <c r="C35" s="112">
        <v>4.07</v>
      </c>
      <c r="D35" s="112">
        <v>14.01</v>
      </c>
      <c r="E35" s="112">
        <v>11.53</v>
      </c>
      <c r="F35" s="112">
        <v>4.09</v>
      </c>
      <c r="G35" s="112">
        <v>13.65</v>
      </c>
      <c r="H35" s="112">
        <v>4.22</v>
      </c>
      <c r="I35" s="112">
        <v>3.7</v>
      </c>
      <c r="J35" s="112">
        <v>0.39</v>
      </c>
      <c r="K35" s="112">
        <v>266.02</v>
      </c>
      <c r="L35" s="112">
        <v>26.23</v>
      </c>
      <c r="M35" s="112">
        <v>95.67</v>
      </c>
      <c r="N35" s="112">
        <v>76.5</v>
      </c>
      <c r="O35" s="112">
        <v>0</v>
      </c>
      <c r="P35" s="112">
        <v>0.3</v>
      </c>
      <c r="Q35" s="112">
        <v>4.58</v>
      </c>
    </row>
    <row r="36" spans="1:17" customFormat="1">
      <c r="A36" s="80">
        <v>45481.291666666664</v>
      </c>
      <c r="B36" s="112">
        <v>9.25</v>
      </c>
      <c r="C36" s="112">
        <v>4.0599999999999996</v>
      </c>
      <c r="D36" s="112">
        <v>13.99</v>
      </c>
      <c r="E36" s="112">
        <v>11.57</v>
      </c>
      <c r="F36" s="112">
        <v>4.13</v>
      </c>
      <c r="G36" s="112">
        <v>13.15</v>
      </c>
      <c r="H36" s="112">
        <v>2.74</v>
      </c>
      <c r="I36" s="112">
        <v>3.64</v>
      </c>
      <c r="J36" s="112">
        <v>0.66</v>
      </c>
      <c r="K36" s="112">
        <v>262.69</v>
      </c>
      <c r="L36" s="112">
        <v>25.89</v>
      </c>
      <c r="M36" s="112">
        <v>95.6</v>
      </c>
      <c r="N36" s="112">
        <v>47.4</v>
      </c>
      <c r="O36" s="112">
        <v>0.2</v>
      </c>
      <c r="P36" s="112">
        <v>0.28999999999999998</v>
      </c>
      <c r="Q36" s="112">
        <v>4.55</v>
      </c>
    </row>
    <row r="37" spans="1:17" customFormat="1">
      <c r="A37" s="80">
        <v>45481.302083333336</v>
      </c>
      <c r="B37" s="112">
        <v>9.24</v>
      </c>
      <c r="C37" s="112">
        <v>4.07</v>
      </c>
      <c r="D37" s="112">
        <v>13.99</v>
      </c>
      <c r="E37" s="112">
        <v>11.94</v>
      </c>
      <c r="F37" s="112">
        <v>2.97</v>
      </c>
      <c r="G37" s="112">
        <v>13.15</v>
      </c>
      <c r="H37" s="112">
        <v>2.74</v>
      </c>
      <c r="I37" s="112">
        <v>3.61</v>
      </c>
      <c r="J37" s="112">
        <v>0.34</v>
      </c>
      <c r="K37" s="112">
        <v>266.8</v>
      </c>
      <c r="L37" s="112">
        <v>25.17</v>
      </c>
      <c r="M37" s="112">
        <v>100.21</v>
      </c>
      <c r="N37" s="112">
        <v>28.7</v>
      </c>
      <c r="O37" s="112">
        <v>2</v>
      </c>
      <c r="P37" s="112">
        <v>0.32</v>
      </c>
      <c r="Q37" s="112">
        <v>4.54</v>
      </c>
    </row>
    <row r="38" spans="1:17" customFormat="1">
      <c r="A38" s="80">
        <v>45481.3125</v>
      </c>
      <c r="B38" s="112">
        <v>9.25</v>
      </c>
      <c r="C38" s="112">
        <v>4.07</v>
      </c>
      <c r="D38" s="112">
        <v>14</v>
      </c>
      <c r="E38" s="112">
        <v>12.19</v>
      </c>
      <c r="F38" s="112">
        <v>3.43</v>
      </c>
      <c r="G38" s="112">
        <v>13.15</v>
      </c>
      <c r="H38" s="112">
        <v>2.74</v>
      </c>
      <c r="I38" s="112">
        <v>3.64</v>
      </c>
      <c r="J38" s="112">
        <v>0.38</v>
      </c>
      <c r="K38" s="112">
        <v>290.16000000000003</v>
      </c>
      <c r="L38" s="112">
        <v>24.67</v>
      </c>
      <c r="M38" s="112">
        <v>102.68</v>
      </c>
      <c r="N38" s="112">
        <v>30.4</v>
      </c>
      <c r="O38" s="112">
        <v>2</v>
      </c>
      <c r="P38" s="112">
        <v>0.34</v>
      </c>
      <c r="Q38" s="112">
        <v>4.54</v>
      </c>
    </row>
    <row r="39" spans="1:17" customFormat="1">
      <c r="A39" s="80">
        <v>45481.322916666664</v>
      </c>
      <c r="B39" s="112">
        <v>9.27</v>
      </c>
      <c r="C39" s="112">
        <v>4.07</v>
      </c>
      <c r="D39" s="112">
        <v>14.01</v>
      </c>
      <c r="E39" s="112">
        <v>10.79</v>
      </c>
      <c r="F39" s="112">
        <v>4.7699999999999996</v>
      </c>
      <c r="G39" s="112">
        <v>11.22</v>
      </c>
      <c r="H39" s="112">
        <v>4.92</v>
      </c>
      <c r="I39" s="112">
        <v>3.62</v>
      </c>
      <c r="J39" s="112">
        <v>0.44</v>
      </c>
      <c r="K39" s="112">
        <v>284.8</v>
      </c>
      <c r="L39" s="112">
        <v>24.7</v>
      </c>
      <c r="M39" s="112">
        <v>101.49</v>
      </c>
      <c r="N39" s="112">
        <v>27.5</v>
      </c>
      <c r="O39" s="112">
        <v>0.2</v>
      </c>
      <c r="P39" s="112">
        <v>0.34</v>
      </c>
      <c r="Q39" s="112">
        <v>4.55</v>
      </c>
    </row>
    <row r="40" spans="1:17" customFormat="1">
      <c r="A40" s="80">
        <v>45481.333333333336</v>
      </c>
      <c r="B40" s="112">
        <v>9.2799999999999994</v>
      </c>
      <c r="C40" s="112">
        <v>4.04</v>
      </c>
      <c r="D40" s="112">
        <v>14</v>
      </c>
      <c r="E40" s="112">
        <v>10.130000000000001</v>
      </c>
      <c r="F40" s="112">
        <v>4.04</v>
      </c>
      <c r="G40" s="112">
        <v>9.73</v>
      </c>
      <c r="H40" s="112">
        <v>5.61</v>
      </c>
      <c r="I40" s="112">
        <v>3.62</v>
      </c>
      <c r="J40" s="112">
        <v>0.22</v>
      </c>
      <c r="K40" s="112">
        <v>258.52</v>
      </c>
      <c r="L40" s="112">
        <v>24.86</v>
      </c>
      <c r="M40" s="112">
        <v>100.29</v>
      </c>
      <c r="N40" s="112">
        <v>34.9</v>
      </c>
      <c r="O40" s="112">
        <v>0.2</v>
      </c>
      <c r="P40" s="112">
        <v>0.33</v>
      </c>
      <c r="Q40" s="112">
        <v>4.5999999999999996</v>
      </c>
    </row>
    <row r="41" spans="1:17" customFormat="1">
      <c r="A41" s="80">
        <v>45481.34375</v>
      </c>
      <c r="B41" s="112">
        <v>9.25</v>
      </c>
      <c r="C41" s="112">
        <v>4.0599999999999996</v>
      </c>
      <c r="D41" s="112">
        <v>13.99</v>
      </c>
      <c r="E41" s="112">
        <v>10.050000000000001</v>
      </c>
      <c r="F41" s="112">
        <v>4.28</v>
      </c>
      <c r="G41" s="112">
        <v>9.73</v>
      </c>
      <c r="H41" s="112">
        <v>5.61</v>
      </c>
      <c r="I41" s="112">
        <v>3.62</v>
      </c>
      <c r="J41" s="112">
        <v>0.16</v>
      </c>
      <c r="K41" s="112">
        <v>262.77999999999997</v>
      </c>
      <c r="L41" s="112">
        <v>25.19</v>
      </c>
      <c r="M41" s="112">
        <v>100.35</v>
      </c>
      <c r="N41" s="112">
        <v>57.5</v>
      </c>
      <c r="O41" s="112">
        <v>0</v>
      </c>
      <c r="P41" s="112">
        <v>0.33</v>
      </c>
      <c r="Q41" s="112">
        <v>4.5599999999999996</v>
      </c>
    </row>
    <row r="42" spans="1:17" customFormat="1">
      <c r="A42" s="80">
        <v>45481.354166666664</v>
      </c>
      <c r="B42" s="112">
        <v>9.25</v>
      </c>
      <c r="C42" s="112">
        <v>4.07</v>
      </c>
      <c r="D42" s="112">
        <v>13.99</v>
      </c>
      <c r="E42" s="112">
        <v>9.43</v>
      </c>
      <c r="F42" s="112">
        <v>4.3499999999999996</v>
      </c>
      <c r="G42" s="112">
        <v>9.73</v>
      </c>
      <c r="H42" s="112">
        <v>5.61</v>
      </c>
      <c r="I42" s="112">
        <v>3.63</v>
      </c>
      <c r="J42" s="112">
        <v>0.27</v>
      </c>
      <c r="K42" s="112">
        <v>262.52</v>
      </c>
      <c r="L42" s="112">
        <v>25.44</v>
      </c>
      <c r="M42" s="112">
        <v>100.51</v>
      </c>
      <c r="N42" s="112">
        <v>78.3</v>
      </c>
      <c r="O42" s="112">
        <v>0</v>
      </c>
      <c r="P42" s="112">
        <v>0.32</v>
      </c>
      <c r="Q42" s="112">
        <v>4.57</v>
      </c>
    </row>
    <row r="43" spans="1:17" customFormat="1">
      <c r="A43" s="80">
        <v>45481.364583333336</v>
      </c>
      <c r="B43" s="112">
        <v>9.25</v>
      </c>
      <c r="C43" s="112">
        <v>4.07</v>
      </c>
      <c r="D43" s="112">
        <v>13.99</v>
      </c>
      <c r="E43" s="112">
        <v>9.18</v>
      </c>
      <c r="F43" s="112">
        <v>7.58</v>
      </c>
      <c r="G43" s="112">
        <v>8.52</v>
      </c>
      <c r="H43" s="112">
        <v>2.86</v>
      </c>
      <c r="I43" s="112">
        <v>3.68</v>
      </c>
      <c r="J43" s="112">
        <v>0.32</v>
      </c>
      <c r="K43" s="112">
        <v>285.07</v>
      </c>
      <c r="L43" s="112">
        <v>25.82</v>
      </c>
      <c r="M43" s="112">
        <v>100.53</v>
      </c>
      <c r="N43" s="112">
        <v>148.4</v>
      </c>
      <c r="O43" s="112">
        <v>0</v>
      </c>
      <c r="P43" s="112">
        <v>0.33</v>
      </c>
      <c r="Q43" s="112">
        <v>4.5599999999999996</v>
      </c>
    </row>
    <row r="44" spans="1:17" customFormat="1">
      <c r="A44" s="80">
        <v>45481.375</v>
      </c>
      <c r="B44" s="112">
        <v>9.26</v>
      </c>
      <c r="C44" s="112">
        <v>4.04</v>
      </c>
      <c r="D44" s="112">
        <v>13.99</v>
      </c>
      <c r="E44" s="112">
        <v>8.86</v>
      </c>
      <c r="F44" s="112">
        <v>6.26</v>
      </c>
      <c r="G44" s="112">
        <v>7.59</v>
      </c>
      <c r="H44" s="112">
        <v>1.98</v>
      </c>
      <c r="I44" s="112">
        <v>3.63</v>
      </c>
      <c r="J44" s="112">
        <v>0.09</v>
      </c>
      <c r="K44" s="112">
        <v>240.31</v>
      </c>
      <c r="L44" s="112">
        <v>26.5</v>
      </c>
      <c r="M44" s="112">
        <v>99.72</v>
      </c>
      <c r="N44" s="112">
        <v>161.9</v>
      </c>
      <c r="O44" s="112">
        <v>0</v>
      </c>
      <c r="P44" s="112">
        <v>0.33</v>
      </c>
      <c r="Q44" s="112">
        <v>4.57</v>
      </c>
    </row>
    <row r="45" spans="1:17" customFormat="1">
      <c r="A45" s="80">
        <v>45481.385416666664</v>
      </c>
      <c r="B45" s="112">
        <v>9.25</v>
      </c>
      <c r="C45" s="112">
        <v>4.04</v>
      </c>
      <c r="D45" s="112">
        <v>13.98</v>
      </c>
      <c r="E45" s="112">
        <v>8.4499999999999993</v>
      </c>
      <c r="F45" s="112">
        <v>6.78</v>
      </c>
      <c r="G45" s="112">
        <v>7.59</v>
      </c>
      <c r="H45" s="112">
        <v>1.98</v>
      </c>
      <c r="I45" s="112">
        <v>3.61</v>
      </c>
      <c r="J45" s="112">
        <v>0.43</v>
      </c>
      <c r="K45" s="112">
        <v>333.21</v>
      </c>
      <c r="L45" s="112">
        <v>27.01</v>
      </c>
      <c r="M45" s="112">
        <v>94.93</v>
      </c>
      <c r="N45" s="112">
        <v>177.8</v>
      </c>
      <c r="O45" s="112">
        <v>0</v>
      </c>
      <c r="P45" s="112">
        <v>0.37</v>
      </c>
      <c r="Q45" s="112">
        <v>4.55</v>
      </c>
    </row>
    <row r="46" spans="1:17" customFormat="1">
      <c r="A46" s="80">
        <v>45481.395833333336</v>
      </c>
      <c r="B46" s="112">
        <v>9.25</v>
      </c>
      <c r="C46" s="112">
        <v>4.0599999999999996</v>
      </c>
      <c r="D46" s="112">
        <v>13.99</v>
      </c>
      <c r="E46" s="112">
        <v>8.7899999999999991</v>
      </c>
      <c r="F46" s="112">
        <v>7.51</v>
      </c>
      <c r="G46" s="112">
        <v>7.59</v>
      </c>
      <c r="H46" s="112">
        <v>1.98</v>
      </c>
      <c r="I46" s="112">
        <v>3.57</v>
      </c>
      <c r="J46" s="112">
        <v>0.26</v>
      </c>
      <c r="K46" s="112">
        <v>294.60000000000002</v>
      </c>
      <c r="L46" s="112">
        <v>27.7</v>
      </c>
      <c r="M46" s="112">
        <v>91.87</v>
      </c>
      <c r="N46" s="112">
        <v>236.4</v>
      </c>
      <c r="O46" s="112">
        <v>0</v>
      </c>
      <c r="P46" s="112">
        <v>0.36</v>
      </c>
      <c r="Q46" s="112">
        <v>4.55</v>
      </c>
    </row>
    <row r="47" spans="1:17" customFormat="1">
      <c r="A47" s="80">
        <v>45481.40625</v>
      </c>
      <c r="B47" s="112">
        <v>9.25</v>
      </c>
      <c r="C47" s="112">
        <v>4.0999999999999996</v>
      </c>
      <c r="D47" s="112">
        <v>14.01</v>
      </c>
      <c r="E47" s="112">
        <v>8.59</v>
      </c>
      <c r="F47" s="112">
        <v>8.4</v>
      </c>
      <c r="G47" s="112">
        <v>12.47</v>
      </c>
      <c r="H47" s="112">
        <v>1.1599999999999999</v>
      </c>
      <c r="I47" s="112">
        <v>3.93</v>
      </c>
      <c r="J47" s="112">
        <v>0.28000000000000003</v>
      </c>
      <c r="K47" s="112">
        <v>283.89999999999998</v>
      </c>
      <c r="L47" s="112">
        <v>28.56</v>
      </c>
      <c r="M47" s="112">
        <v>90.67</v>
      </c>
      <c r="N47" s="112">
        <v>303.10000000000002</v>
      </c>
      <c r="O47" s="112">
        <v>0</v>
      </c>
      <c r="P47" s="112">
        <v>0.36</v>
      </c>
      <c r="Q47" s="112">
        <v>4.55</v>
      </c>
    </row>
    <row r="48" spans="1:17" customFormat="1">
      <c r="A48" s="80">
        <v>45481.416666666664</v>
      </c>
      <c r="B48" s="112">
        <v>9.24</v>
      </c>
      <c r="C48" s="112">
        <v>4.0999999999999996</v>
      </c>
      <c r="D48" s="112">
        <v>14.01</v>
      </c>
      <c r="E48" s="112">
        <v>9.17</v>
      </c>
      <c r="F48" s="112">
        <v>7.49</v>
      </c>
      <c r="G48" s="112">
        <v>16.2</v>
      </c>
      <c r="H48" s="112">
        <v>0.89</v>
      </c>
      <c r="I48" s="112">
        <v>3.93</v>
      </c>
      <c r="J48" s="112">
        <v>0.51</v>
      </c>
      <c r="K48" s="112">
        <v>287.98</v>
      </c>
      <c r="L48" s="112">
        <v>29.2</v>
      </c>
      <c r="M48" s="112">
        <v>87.55</v>
      </c>
      <c r="N48" s="112">
        <v>323.39999999999998</v>
      </c>
      <c r="O48" s="112">
        <v>0</v>
      </c>
      <c r="P48" s="112">
        <v>0.36</v>
      </c>
      <c r="Q48" s="112">
        <v>4.53</v>
      </c>
    </row>
    <row r="49" spans="1:17" customFormat="1">
      <c r="A49" s="80">
        <v>45481.427083333336</v>
      </c>
      <c r="B49" s="112">
        <v>9.24</v>
      </c>
      <c r="C49" s="112">
        <v>4.08</v>
      </c>
      <c r="D49" s="112">
        <v>14</v>
      </c>
      <c r="E49" s="112">
        <v>9.65</v>
      </c>
      <c r="F49" s="112">
        <v>6.55</v>
      </c>
      <c r="G49" s="112">
        <v>16.2</v>
      </c>
      <c r="H49" s="112">
        <v>0.89</v>
      </c>
      <c r="I49" s="112">
        <v>3.67</v>
      </c>
      <c r="J49" s="112">
        <v>0.66</v>
      </c>
      <c r="K49" s="112">
        <v>280.81</v>
      </c>
      <c r="L49" s="112">
        <v>29.45</v>
      </c>
      <c r="M49" s="112">
        <v>85.48</v>
      </c>
      <c r="N49" s="112">
        <v>320.8</v>
      </c>
      <c r="O49" s="112">
        <v>0</v>
      </c>
      <c r="P49" s="112">
        <v>0.36</v>
      </c>
      <c r="Q49" s="112">
        <v>4.5599999999999996</v>
      </c>
    </row>
    <row r="50" spans="1:17" customFormat="1">
      <c r="A50" s="80">
        <v>45481.4375</v>
      </c>
      <c r="B50" s="112">
        <v>9.25</v>
      </c>
      <c r="C50" s="112">
        <v>4.08</v>
      </c>
      <c r="D50" s="112">
        <v>14</v>
      </c>
      <c r="E50" s="112">
        <v>11.07</v>
      </c>
      <c r="F50" s="112">
        <v>6.49</v>
      </c>
      <c r="G50" s="112">
        <v>16.2</v>
      </c>
      <c r="H50" s="112">
        <v>0.89</v>
      </c>
      <c r="I50" s="112">
        <v>3.91</v>
      </c>
      <c r="J50" s="112">
        <v>0.43</v>
      </c>
      <c r="K50" s="112">
        <v>260.13</v>
      </c>
      <c r="L50" s="112">
        <v>29.62</v>
      </c>
      <c r="M50" s="112">
        <v>85.14</v>
      </c>
      <c r="N50" s="112">
        <v>315.7</v>
      </c>
      <c r="O50" s="112">
        <v>0</v>
      </c>
      <c r="P50" s="112">
        <v>0.37</v>
      </c>
      <c r="Q50" s="112">
        <v>4.54</v>
      </c>
    </row>
    <row r="51" spans="1:17" customFormat="1">
      <c r="A51" s="80">
        <v>45481.447916666664</v>
      </c>
      <c r="B51" s="112">
        <v>9.25</v>
      </c>
      <c r="C51" s="112">
        <v>4.07</v>
      </c>
      <c r="D51" s="112">
        <v>13.99</v>
      </c>
      <c r="E51" s="112">
        <v>10.28</v>
      </c>
      <c r="F51" s="112">
        <v>6.14</v>
      </c>
      <c r="G51" s="112">
        <v>17.29</v>
      </c>
      <c r="H51" s="112">
        <v>23.44</v>
      </c>
      <c r="I51" s="112">
        <v>3.74</v>
      </c>
      <c r="J51" s="112">
        <v>0.5</v>
      </c>
      <c r="K51" s="112">
        <v>264.99</v>
      </c>
      <c r="L51" s="112">
        <v>29.85</v>
      </c>
      <c r="M51" s="112">
        <v>83.79</v>
      </c>
      <c r="N51" s="112">
        <v>312.5</v>
      </c>
      <c r="O51" s="112">
        <v>0</v>
      </c>
      <c r="P51" s="112">
        <v>0.37</v>
      </c>
      <c r="Q51" s="112">
        <v>4.53</v>
      </c>
    </row>
    <row r="52" spans="1:17" customFormat="1">
      <c r="A52" s="80">
        <v>45481.458333333336</v>
      </c>
      <c r="B52" s="112">
        <v>9.24</v>
      </c>
      <c r="C52" s="112">
        <v>4.09</v>
      </c>
      <c r="D52" s="112">
        <v>14</v>
      </c>
      <c r="E52" s="112">
        <v>10.31</v>
      </c>
      <c r="F52" s="112">
        <v>5.8</v>
      </c>
      <c r="G52" s="112">
        <v>18.13</v>
      </c>
      <c r="H52" s="112">
        <v>30.66</v>
      </c>
      <c r="I52" s="112">
        <v>3.69</v>
      </c>
      <c r="J52" s="112">
        <v>0.69</v>
      </c>
      <c r="K52" s="112">
        <v>291.81</v>
      </c>
      <c r="L52" s="112">
        <v>29.8</v>
      </c>
      <c r="M52" s="112">
        <v>83.13</v>
      </c>
      <c r="N52" s="112">
        <v>370.8</v>
      </c>
      <c r="O52" s="112">
        <v>0</v>
      </c>
      <c r="P52" s="112">
        <v>0.37</v>
      </c>
      <c r="Q52" s="112">
        <v>4.54</v>
      </c>
    </row>
    <row r="53" spans="1:17" customFormat="1">
      <c r="A53" s="80">
        <v>45481.46875</v>
      </c>
      <c r="B53" s="112">
        <v>9.23</v>
      </c>
      <c r="C53" s="112">
        <v>4.0999999999999996</v>
      </c>
      <c r="D53" s="112">
        <v>14</v>
      </c>
      <c r="E53" s="112">
        <v>10.72</v>
      </c>
      <c r="F53" s="112">
        <v>6.59</v>
      </c>
      <c r="G53" s="112">
        <v>18.13</v>
      </c>
      <c r="H53" s="112">
        <v>30.66</v>
      </c>
      <c r="I53" s="112">
        <v>3.7</v>
      </c>
      <c r="J53" s="112">
        <v>0.7</v>
      </c>
      <c r="K53" s="112">
        <v>284.72000000000003</v>
      </c>
      <c r="L53" s="112">
        <v>30.19</v>
      </c>
      <c r="M53" s="112">
        <v>81.3</v>
      </c>
      <c r="N53" s="112">
        <v>376.8</v>
      </c>
      <c r="O53" s="112">
        <v>0</v>
      </c>
      <c r="P53" s="112">
        <v>0.36</v>
      </c>
      <c r="Q53" s="112">
        <v>4.55</v>
      </c>
    </row>
    <row r="54" spans="1:17" customFormat="1">
      <c r="A54" s="80">
        <v>45481.479166666664</v>
      </c>
      <c r="B54" s="112">
        <v>9.23</v>
      </c>
      <c r="C54" s="112">
        <v>4.08</v>
      </c>
      <c r="D54" s="112">
        <v>13.98</v>
      </c>
      <c r="E54" s="112">
        <v>10.43</v>
      </c>
      <c r="F54" s="112">
        <v>7.07</v>
      </c>
      <c r="G54" s="112">
        <v>18.13</v>
      </c>
      <c r="H54" s="112">
        <v>30.66</v>
      </c>
      <c r="I54" s="112">
        <v>3.87</v>
      </c>
      <c r="J54" s="112">
        <v>0.59</v>
      </c>
      <c r="K54" s="112">
        <v>287.33</v>
      </c>
      <c r="L54" s="112">
        <v>30.92</v>
      </c>
      <c r="M54" s="112">
        <v>79.19</v>
      </c>
      <c r="N54" s="112">
        <v>245.2</v>
      </c>
      <c r="O54" s="112">
        <v>0</v>
      </c>
      <c r="P54" s="112">
        <v>0.37</v>
      </c>
      <c r="Q54" s="112">
        <v>4.55</v>
      </c>
    </row>
    <row r="55" spans="1:17" customFormat="1">
      <c r="A55" s="80">
        <v>45481.489583333336</v>
      </c>
      <c r="B55" s="112">
        <v>9.2200000000000006</v>
      </c>
      <c r="C55" s="112">
        <v>4.08</v>
      </c>
      <c r="D55" s="112">
        <v>13.98</v>
      </c>
      <c r="E55" s="112">
        <v>10.53</v>
      </c>
      <c r="F55" s="112">
        <v>7.8</v>
      </c>
      <c r="G55" s="112">
        <v>19.010000000000002</v>
      </c>
      <c r="H55" s="112">
        <v>36.520000000000003</v>
      </c>
      <c r="I55" s="112">
        <v>4</v>
      </c>
      <c r="J55" s="112">
        <v>1</v>
      </c>
      <c r="K55" s="112">
        <v>316.37</v>
      </c>
      <c r="L55" s="112">
        <v>31.1</v>
      </c>
      <c r="M55" s="112">
        <v>76.72</v>
      </c>
      <c r="N55" s="112">
        <v>339.1</v>
      </c>
      <c r="O55" s="112">
        <v>0</v>
      </c>
      <c r="P55" s="112">
        <v>0.36</v>
      </c>
      <c r="Q55" s="112">
        <v>4.5599999999999996</v>
      </c>
    </row>
    <row r="56" spans="1:17" customFormat="1">
      <c r="A56" s="80">
        <v>45481.5</v>
      </c>
      <c r="B56" s="112">
        <v>9.26</v>
      </c>
      <c r="C56" s="112">
        <v>4.0599999999999996</v>
      </c>
      <c r="D56" s="112">
        <v>14</v>
      </c>
      <c r="E56" s="112">
        <v>11.28</v>
      </c>
      <c r="F56" s="112">
        <v>6.7</v>
      </c>
      <c r="G56" s="112">
        <v>19.670000000000002</v>
      </c>
      <c r="H56" s="112">
        <v>38.4</v>
      </c>
      <c r="I56" s="112">
        <v>3.93</v>
      </c>
      <c r="J56" s="112">
        <v>0.9</v>
      </c>
      <c r="K56" s="112">
        <v>296.58999999999997</v>
      </c>
      <c r="L56" s="112">
        <v>31.19</v>
      </c>
      <c r="M56" s="112">
        <v>75.900000000000006</v>
      </c>
      <c r="N56" s="112">
        <v>441.6</v>
      </c>
      <c r="O56" s="112">
        <v>0</v>
      </c>
      <c r="P56" s="112">
        <v>0.32</v>
      </c>
      <c r="Q56" s="112">
        <v>4.5999999999999996</v>
      </c>
    </row>
    <row r="57" spans="1:17" customFormat="1">
      <c r="A57" s="80">
        <v>45481.510416666664</v>
      </c>
      <c r="B57" s="112">
        <v>9.3000000000000007</v>
      </c>
      <c r="C57" s="112">
        <v>4.09</v>
      </c>
      <c r="D57" s="112">
        <v>14.05</v>
      </c>
      <c r="E57" s="112">
        <v>13.61</v>
      </c>
      <c r="F57" s="112">
        <v>6.66</v>
      </c>
      <c r="G57" s="112">
        <v>19.670000000000002</v>
      </c>
      <c r="H57" s="112">
        <v>38.4</v>
      </c>
      <c r="I57" s="112">
        <v>3.99</v>
      </c>
      <c r="J57" s="112">
        <v>0.4</v>
      </c>
      <c r="K57" s="112">
        <v>269.52999999999997</v>
      </c>
      <c r="L57" s="112">
        <v>30.86</v>
      </c>
      <c r="M57" s="112">
        <v>78.11</v>
      </c>
      <c r="N57" s="112">
        <v>197.1</v>
      </c>
      <c r="O57" s="112">
        <v>0</v>
      </c>
      <c r="P57" s="112">
        <v>0.3</v>
      </c>
      <c r="Q57" s="112">
        <v>4.59</v>
      </c>
    </row>
    <row r="58" spans="1:17" customFormat="1">
      <c r="A58" s="80">
        <v>45481.520833333336</v>
      </c>
      <c r="B58" s="112">
        <v>9.3000000000000007</v>
      </c>
      <c r="C58" s="112">
        <v>4.12</v>
      </c>
      <c r="D58" s="112">
        <v>14.06</v>
      </c>
      <c r="E58" s="112">
        <v>14.54</v>
      </c>
      <c r="F58" s="112">
        <v>8.19</v>
      </c>
      <c r="G58" s="112">
        <v>19.670000000000002</v>
      </c>
      <c r="H58" s="112">
        <v>38.4</v>
      </c>
      <c r="I58" s="112">
        <v>4.04</v>
      </c>
      <c r="J58" s="112">
        <v>0.26</v>
      </c>
      <c r="K58" s="112">
        <v>235.3</v>
      </c>
      <c r="L58" s="112">
        <v>31.12</v>
      </c>
      <c r="M58" s="112">
        <v>78.59</v>
      </c>
      <c r="N58" s="112">
        <v>258.60000000000002</v>
      </c>
      <c r="O58" s="112">
        <v>0</v>
      </c>
      <c r="P58" s="112">
        <v>0.31</v>
      </c>
      <c r="Q58" s="112">
        <v>4.5599999999999996</v>
      </c>
    </row>
    <row r="59" spans="1:17" customFormat="1">
      <c r="A59" s="80">
        <v>45481.53125</v>
      </c>
      <c r="B59" s="112">
        <v>9.2899999999999991</v>
      </c>
      <c r="C59" s="112">
        <v>4.07</v>
      </c>
      <c r="D59" s="112">
        <v>14.03</v>
      </c>
      <c r="E59" s="112">
        <v>14.59</v>
      </c>
      <c r="F59" s="112">
        <v>10.58</v>
      </c>
      <c r="G59" s="112">
        <v>21.97</v>
      </c>
      <c r="H59" s="112">
        <v>44.07</v>
      </c>
      <c r="I59" s="112">
        <v>4.01</v>
      </c>
      <c r="J59" s="112">
        <v>0.15</v>
      </c>
      <c r="K59" s="112">
        <v>203.17</v>
      </c>
      <c r="L59" s="112">
        <v>31.03</v>
      </c>
      <c r="M59" s="112">
        <v>77.86</v>
      </c>
      <c r="N59" s="112">
        <v>119.6</v>
      </c>
      <c r="O59" s="112">
        <v>0</v>
      </c>
      <c r="P59" s="112">
        <v>0.33</v>
      </c>
      <c r="Q59" s="112">
        <v>4.55</v>
      </c>
    </row>
    <row r="60" spans="1:17" customFormat="1">
      <c r="A60" s="80">
        <v>45481.541666666664</v>
      </c>
      <c r="B60" s="112">
        <v>9.2799999999999994</v>
      </c>
      <c r="C60" s="112">
        <v>4.07</v>
      </c>
      <c r="D60" s="112">
        <v>14.02</v>
      </c>
      <c r="E60" s="112">
        <v>13.89</v>
      </c>
      <c r="F60" s="112">
        <v>9.08</v>
      </c>
      <c r="G60" s="112">
        <v>23.73</v>
      </c>
      <c r="H60" s="112">
        <v>47.55</v>
      </c>
      <c r="I60" s="112">
        <v>4.1399999999999997</v>
      </c>
      <c r="J60" s="112">
        <v>0.22</v>
      </c>
      <c r="K60" s="112">
        <v>167.08</v>
      </c>
      <c r="L60" s="112">
        <v>30.93</v>
      </c>
      <c r="M60" s="112">
        <v>78.27</v>
      </c>
      <c r="N60" s="112">
        <v>98.1</v>
      </c>
      <c r="O60" s="112">
        <v>0</v>
      </c>
      <c r="P60" s="112">
        <v>0.33</v>
      </c>
      <c r="Q60" s="112">
        <v>4.55</v>
      </c>
    </row>
    <row r="61" spans="1:17" customFormat="1">
      <c r="A61" s="80">
        <v>45481.552083333336</v>
      </c>
      <c r="B61" s="112">
        <v>9.26</v>
      </c>
      <c r="C61" s="112">
        <v>4.07</v>
      </c>
      <c r="D61" s="112">
        <v>14.01</v>
      </c>
      <c r="E61" s="112">
        <v>13.08</v>
      </c>
      <c r="F61" s="112">
        <v>10.14</v>
      </c>
      <c r="G61" s="112">
        <v>23.73</v>
      </c>
      <c r="H61" s="112">
        <v>47.55</v>
      </c>
      <c r="I61" s="112">
        <v>4.3</v>
      </c>
      <c r="J61" s="112">
        <v>0.16</v>
      </c>
      <c r="K61" s="112">
        <v>177.07</v>
      </c>
      <c r="L61" s="112">
        <v>30.7</v>
      </c>
      <c r="M61" s="112">
        <v>78.64</v>
      </c>
      <c r="N61" s="112">
        <v>106.6</v>
      </c>
      <c r="O61" s="112">
        <v>0</v>
      </c>
      <c r="P61" s="112">
        <v>0.32</v>
      </c>
      <c r="Q61" s="112">
        <v>4.55</v>
      </c>
    </row>
    <row r="62" spans="1:17" customFormat="1">
      <c r="A62" s="80">
        <v>45481.5625</v>
      </c>
      <c r="B62" s="112">
        <v>9.27</v>
      </c>
      <c r="C62" s="112">
        <v>4.05</v>
      </c>
      <c r="D62" s="112">
        <v>14</v>
      </c>
      <c r="E62" s="112">
        <v>13.59</v>
      </c>
      <c r="F62" s="112">
        <v>10.18</v>
      </c>
      <c r="G62" s="112">
        <v>23.73</v>
      </c>
      <c r="H62" s="112">
        <v>47.55</v>
      </c>
      <c r="I62" s="112">
        <v>4.28</v>
      </c>
      <c r="J62" s="112">
        <v>0.21</v>
      </c>
      <c r="K62" s="112">
        <v>182.1</v>
      </c>
      <c r="L62" s="112">
        <v>30.65</v>
      </c>
      <c r="M62" s="112">
        <v>79.94</v>
      </c>
      <c r="N62" s="112">
        <v>144.19999999999999</v>
      </c>
      <c r="O62" s="112">
        <v>0</v>
      </c>
      <c r="P62" s="112">
        <v>0.35</v>
      </c>
      <c r="Q62" s="112">
        <v>4.5599999999999996</v>
      </c>
    </row>
    <row r="63" spans="1:17" customFormat="1">
      <c r="A63" s="80">
        <v>45481.572916666664</v>
      </c>
      <c r="B63" s="112">
        <v>9.25</v>
      </c>
      <c r="C63" s="112">
        <v>4.07</v>
      </c>
      <c r="D63" s="112">
        <v>13.99</v>
      </c>
      <c r="E63" s="112">
        <v>13.67</v>
      </c>
      <c r="F63" s="112">
        <v>13.28</v>
      </c>
      <c r="G63" s="112">
        <v>30.14</v>
      </c>
      <c r="H63" s="112">
        <v>60.69</v>
      </c>
      <c r="I63" s="112">
        <v>4.3899999999999997</v>
      </c>
      <c r="J63" s="112">
        <v>0.14000000000000001</v>
      </c>
      <c r="K63" s="112">
        <v>206.29</v>
      </c>
      <c r="L63" s="112">
        <v>31.56</v>
      </c>
      <c r="M63" s="112">
        <v>77.61</v>
      </c>
      <c r="N63" s="112">
        <v>238</v>
      </c>
      <c r="O63" s="112">
        <v>0</v>
      </c>
      <c r="P63" s="112">
        <v>0.35</v>
      </c>
      <c r="Q63" s="112">
        <v>4.54</v>
      </c>
    </row>
    <row r="64" spans="1:17" customFormat="1">
      <c r="A64" s="80">
        <v>45481.583333333336</v>
      </c>
      <c r="B64" s="112">
        <v>9.24</v>
      </c>
      <c r="C64" s="112">
        <v>4.09</v>
      </c>
      <c r="D64" s="112">
        <v>14</v>
      </c>
      <c r="E64" s="112">
        <v>15.07</v>
      </c>
      <c r="F64" s="112">
        <v>6.48</v>
      </c>
      <c r="G64" s="112">
        <v>35.049999999999997</v>
      </c>
      <c r="H64" s="112">
        <v>66.540000000000006</v>
      </c>
      <c r="I64" s="112">
        <v>4.57</v>
      </c>
      <c r="J64" s="112">
        <v>0.34</v>
      </c>
      <c r="K64" s="112">
        <v>48.22</v>
      </c>
      <c r="L64" s="112">
        <v>32.46</v>
      </c>
      <c r="M64" s="112">
        <v>72.739999999999995</v>
      </c>
      <c r="N64" s="112">
        <v>305.89999999999998</v>
      </c>
      <c r="O64" s="112">
        <v>0</v>
      </c>
      <c r="P64" s="112">
        <v>0.37</v>
      </c>
      <c r="Q64" s="112">
        <v>4.59</v>
      </c>
    </row>
    <row r="65" spans="1:17" customFormat="1">
      <c r="A65" s="80">
        <v>45481.59375</v>
      </c>
      <c r="B65" s="112">
        <v>9.24</v>
      </c>
      <c r="C65" s="112">
        <v>4.07</v>
      </c>
      <c r="D65" s="112">
        <v>13.99</v>
      </c>
      <c r="E65" s="112">
        <v>15.29</v>
      </c>
      <c r="F65" s="112">
        <v>9.64</v>
      </c>
      <c r="G65" s="112">
        <v>35.049999999999997</v>
      </c>
      <c r="H65" s="112">
        <v>66.540000000000006</v>
      </c>
      <c r="I65" s="112">
        <v>4.6900000000000004</v>
      </c>
      <c r="J65" s="112">
        <v>0.68</v>
      </c>
      <c r="K65" s="112">
        <v>57.62</v>
      </c>
      <c r="L65" s="112">
        <v>32.28</v>
      </c>
      <c r="M65" s="112">
        <v>71.790000000000006</v>
      </c>
      <c r="N65" s="112">
        <v>496</v>
      </c>
      <c r="O65" s="112">
        <v>0</v>
      </c>
      <c r="P65" s="112">
        <v>0.37</v>
      </c>
      <c r="Q65" s="112">
        <v>4.5599999999999996</v>
      </c>
    </row>
    <row r="66" spans="1:17" customFormat="1">
      <c r="A66" s="80">
        <v>45481.604166666664</v>
      </c>
      <c r="B66" s="112">
        <v>9.24</v>
      </c>
      <c r="C66" s="112">
        <v>4.0599999999999996</v>
      </c>
      <c r="D66" s="112">
        <v>13.98</v>
      </c>
      <c r="E66" s="112">
        <v>14.58</v>
      </c>
      <c r="F66" s="112">
        <v>11.16</v>
      </c>
      <c r="G66" s="112">
        <v>35.049999999999997</v>
      </c>
      <c r="H66" s="112">
        <v>66.540000000000006</v>
      </c>
      <c r="I66" s="112">
        <v>4.91</v>
      </c>
      <c r="J66" s="112">
        <v>0.64</v>
      </c>
      <c r="K66" s="112">
        <v>42.79</v>
      </c>
      <c r="L66" s="112">
        <v>33.18</v>
      </c>
      <c r="M66" s="112">
        <v>67.84</v>
      </c>
      <c r="N66" s="112">
        <v>772.4</v>
      </c>
      <c r="O66" s="112">
        <v>0</v>
      </c>
      <c r="P66" s="112">
        <v>0.39</v>
      </c>
      <c r="Q66" s="112">
        <v>4.57</v>
      </c>
    </row>
    <row r="67" spans="1:17" customFormat="1">
      <c r="A67" s="80">
        <v>45481.614583333336</v>
      </c>
      <c r="B67" s="112">
        <v>9.25</v>
      </c>
      <c r="C67" s="112">
        <v>4.0599999999999996</v>
      </c>
      <c r="D67" s="112">
        <v>13.99</v>
      </c>
      <c r="E67" s="112">
        <v>14.38</v>
      </c>
      <c r="F67" s="112">
        <v>8.25</v>
      </c>
      <c r="G67" s="112">
        <v>41.93</v>
      </c>
      <c r="H67" s="112">
        <v>70.3</v>
      </c>
      <c r="I67" s="112">
        <v>5.0599999999999996</v>
      </c>
      <c r="J67" s="112">
        <v>0.21</v>
      </c>
      <c r="K67" s="112">
        <v>106.74</v>
      </c>
      <c r="L67" s="112">
        <v>34.33</v>
      </c>
      <c r="M67" s="112">
        <v>63.15</v>
      </c>
      <c r="N67" s="112">
        <v>671</v>
      </c>
      <c r="O67" s="112">
        <v>0</v>
      </c>
      <c r="P67" s="112">
        <v>0.39</v>
      </c>
      <c r="Q67" s="112">
        <v>4.55</v>
      </c>
    </row>
    <row r="68" spans="1:17" customFormat="1">
      <c r="A68" s="80">
        <v>45481.625</v>
      </c>
      <c r="B68" s="112">
        <v>9.25</v>
      </c>
      <c r="C68" s="112">
        <v>4.05</v>
      </c>
      <c r="D68" s="112">
        <v>13.98</v>
      </c>
      <c r="E68" s="112">
        <v>14.01</v>
      </c>
      <c r="F68" s="112">
        <v>6.22</v>
      </c>
      <c r="G68" s="112">
        <v>47.2</v>
      </c>
      <c r="H68" s="112">
        <v>71.5</v>
      </c>
      <c r="I68" s="112">
        <v>5.13</v>
      </c>
      <c r="J68" s="112">
        <v>0.22</v>
      </c>
      <c r="K68" s="112">
        <v>146.63999999999999</v>
      </c>
      <c r="L68" s="112">
        <v>34.32</v>
      </c>
      <c r="M68" s="112">
        <v>63.45</v>
      </c>
      <c r="N68" s="112">
        <v>340.3</v>
      </c>
      <c r="O68" s="112">
        <v>0</v>
      </c>
      <c r="P68" s="112">
        <v>0.38</v>
      </c>
      <c r="Q68" s="112">
        <v>4.5599999999999996</v>
      </c>
    </row>
    <row r="69" spans="1:17" customFormat="1">
      <c r="A69" s="80">
        <v>45481.635416666664</v>
      </c>
      <c r="B69" s="112">
        <v>9.26</v>
      </c>
      <c r="C69" s="112">
        <v>4.08</v>
      </c>
      <c r="D69" s="112">
        <v>14.01</v>
      </c>
      <c r="E69" s="112">
        <v>13.74</v>
      </c>
      <c r="F69" s="112">
        <v>8.44</v>
      </c>
      <c r="G69" s="112">
        <v>47.2</v>
      </c>
      <c r="H69" s="112">
        <v>71.5</v>
      </c>
      <c r="I69" s="112">
        <v>5.05</v>
      </c>
      <c r="J69" s="112">
        <v>0.23</v>
      </c>
      <c r="K69" s="112">
        <v>187.29</v>
      </c>
      <c r="L69" s="112">
        <v>33.340000000000003</v>
      </c>
      <c r="M69" s="112">
        <v>64.64</v>
      </c>
      <c r="N69" s="112">
        <v>158.80000000000001</v>
      </c>
      <c r="O69" s="112">
        <v>0</v>
      </c>
      <c r="P69" s="112">
        <v>0.35</v>
      </c>
      <c r="Q69" s="112">
        <v>4.59</v>
      </c>
    </row>
    <row r="70" spans="1:17" customFormat="1">
      <c r="A70" s="80">
        <v>45481.645833333336</v>
      </c>
      <c r="B70" s="112">
        <v>9.25</v>
      </c>
      <c r="C70" s="112">
        <v>4.0599999999999996</v>
      </c>
      <c r="D70" s="112">
        <v>13.99</v>
      </c>
      <c r="E70" s="112">
        <v>13.58</v>
      </c>
      <c r="F70" s="112">
        <v>8.49</v>
      </c>
      <c r="G70" s="112">
        <v>47.2</v>
      </c>
      <c r="H70" s="112">
        <v>71.5</v>
      </c>
      <c r="I70" s="112">
        <v>4.87</v>
      </c>
      <c r="J70" s="112">
        <v>0.27</v>
      </c>
      <c r="K70" s="112">
        <v>79.849999999999994</v>
      </c>
      <c r="L70" s="112">
        <v>33.4</v>
      </c>
      <c r="M70" s="112">
        <v>63.49</v>
      </c>
      <c r="N70" s="112">
        <v>361.8</v>
      </c>
      <c r="O70" s="112">
        <v>0</v>
      </c>
      <c r="P70" s="112">
        <v>0.36</v>
      </c>
      <c r="Q70" s="112">
        <v>4.57</v>
      </c>
    </row>
    <row r="71" spans="1:17" customFormat="1">
      <c r="A71" s="80">
        <v>45481.65625</v>
      </c>
      <c r="B71" s="112">
        <v>9.25</v>
      </c>
      <c r="C71" s="112">
        <v>4.0599999999999996</v>
      </c>
      <c r="D71" s="112">
        <v>13.99</v>
      </c>
      <c r="E71" s="112">
        <v>14.13</v>
      </c>
      <c r="F71" s="112">
        <v>9.34</v>
      </c>
      <c r="G71" s="112">
        <v>36.6</v>
      </c>
      <c r="H71" s="112">
        <v>81.13</v>
      </c>
      <c r="I71" s="112">
        <v>4.8099999999999996</v>
      </c>
      <c r="J71" s="112">
        <v>0.36</v>
      </c>
      <c r="K71" s="112">
        <v>84.71</v>
      </c>
      <c r="L71" s="112">
        <v>33.770000000000003</v>
      </c>
      <c r="M71" s="112">
        <v>63.99</v>
      </c>
      <c r="N71" s="112">
        <v>384.1</v>
      </c>
      <c r="O71" s="112">
        <v>0</v>
      </c>
      <c r="P71" s="112">
        <v>0.36</v>
      </c>
      <c r="Q71" s="112">
        <v>4.57</v>
      </c>
    </row>
    <row r="72" spans="1:17" customFormat="1">
      <c r="A72" s="80">
        <v>45481.666666666664</v>
      </c>
      <c r="B72" s="112">
        <v>9.24</v>
      </c>
      <c r="C72" s="112">
        <v>4.04</v>
      </c>
      <c r="D72" s="112">
        <v>13.97</v>
      </c>
      <c r="E72" s="112">
        <v>13.97</v>
      </c>
      <c r="F72" s="112">
        <v>6.98</v>
      </c>
      <c r="G72" s="112">
        <v>28.5</v>
      </c>
      <c r="H72" s="112">
        <v>84.21</v>
      </c>
      <c r="I72" s="112">
        <v>4.59</v>
      </c>
      <c r="J72" s="112">
        <v>0.55000000000000004</v>
      </c>
      <c r="K72" s="112">
        <v>81.77</v>
      </c>
      <c r="L72" s="112">
        <v>33.450000000000003</v>
      </c>
      <c r="M72" s="112">
        <v>67.56</v>
      </c>
      <c r="N72" s="112">
        <v>260</v>
      </c>
      <c r="O72" s="112">
        <v>0</v>
      </c>
      <c r="P72" s="112">
        <v>0.36</v>
      </c>
      <c r="Q72" s="112">
        <v>4.57</v>
      </c>
    </row>
    <row r="73" spans="1:17" customFormat="1">
      <c r="A73" s="80">
        <v>45481.677083333336</v>
      </c>
      <c r="B73" s="112">
        <v>9.24</v>
      </c>
      <c r="C73" s="112">
        <v>4.08</v>
      </c>
      <c r="D73" s="112">
        <v>13.99</v>
      </c>
      <c r="E73" s="112">
        <v>13.42</v>
      </c>
      <c r="F73" s="112">
        <v>7.74</v>
      </c>
      <c r="G73" s="112">
        <v>28.5</v>
      </c>
      <c r="H73" s="112">
        <v>84.21</v>
      </c>
      <c r="I73" s="112">
        <v>4.62</v>
      </c>
      <c r="J73" s="112">
        <v>0.35</v>
      </c>
      <c r="K73" s="112">
        <v>135.21</v>
      </c>
      <c r="L73" s="112">
        <v>31.58</v>
      </c>
      <c r="M73" s="112">
        <v>78.040000000000006</v>
      </c>
      <c r="N73" s="112">
        <v>136.19999999999999</v>
      </c>
      <c r="O73" s="112">
        <v>0</v>
      </c>
      <c r="P73" s="112">
        <v>0.35</v>
      </c>
      <c r="Q73" s="112">
        <v>4.58</v>
      </c>
    </row>
    <row r="74" spans="1:17" customFormat="1">
      <c r="A74" s="80">
        <v>45481.6875</v>
      </c>
      <c r="B74" s="112">
        <v>9.24</v>
      </c>
      <c r="C74" s="112">
        <v>4.07</v>
      </c>
      <c r="D74" s="112">
        <v>13.99</v>
      </c>
      <c r="E74" s="112">
        <v>12.89</v>
      </c>
      <c r="F74" s="112">
        <v>10.31</v>
      </c>
      <c r="G74" s="112">
        <v>28.5</v>
      </c>
      <c r="H74" s="112">
        <v>84.21</v>
      </c>
      <c r="I74" s="112">
        <v>4.49</v>
      </c>
      <c r="J74" s="112">
        <v>0.3</v>
      </c>
      <c r="K74" s="112">
        <v>94.35</v>
      </c>
      <c r="L74" s="112">
        <v>31.2</v>
      </c>
      <c r="M74" s="112">
        <v>77.819999999999993</v>
      </c>
      <c r="N74" s="112">
        <v>97.1</v>
      </c>
      <c r="O74" s="112">
        <v>0</v>
      </c>
      <c r="P74" s="112">
        <v>0.34</v>
      </c>
      <c r="Q74" s="112">
        <v>4.57</v>
      </c>
    </row>
    <row r="75" spans="1:17" customFormat="1">
      <c r="A75" s="80">
        <v>45481.697916666664</v>
      </c>
      <c r="B75" s="112">
        <v>9.24</v>
      </c>
      <c r="C75" s="112">
        <v>4.08</v>
      </c>
      <c r="D75" s="112">
        <v>13.99</v>
      </c>
      <c r="E75" s="112">
        <v>13.07</v>
      </c>
      <c r="F75" s="112">
        <v>11.93</v>
      </c>
      <c r="G75" s="112">
        <v>29.87</v>
      </c>
      <c r="H75" s="112">
        <v>82.4</v>
      </c>
      <c r="I75" s="112">
        <v>4.49</v>
      </c>
      <c r="J75" s="112">
        <v>0.16</v>
      </c>
      <c r="K75" s="112">
        <v>125.54</v>
      </c>
      <c r="L75" s="112">
        <v>31.04</v>
      </c>
      <c r="M75" s="112">
        <v>77.680000000000007</v>
      </c>
      <c r="N75" s="112">
        <v>72.2</v>
      </c>
      <c r="O75" s="112">
        <v>0</v>
      </c>
      <c r="P75" s="112">
        <v>0.37</v>
      </c>
      <c r="Q75" s="112">
        <v>4.57</v>
      </c>
    </row>
    <row r="76" spans="1:17" customFormat="1">
      <c r="A76" s="80">
        <v>45481.708333333336</v>
      </c>
      <c r="B76" s="112">
        <v>9.27</v>
      </c>
      <c r="C76" s="112">
        <v>4.09</v>
      </c>
      <c r="D76" s="112">
        <v>14.03</v>
      </c>
      <c r="E76" s="112">
        <v>12.39</v>
      </c>
      <c r="F76" s="112">
        <v>15.15</v>
      </c>
      <c r="G76" s="112">
        <v>30.93</v>
      </c>
      <c r="H76" s="112">
        <v>81.819999999999993</v>
      </c>
      <c r="I76" s="112">
        <v>4.13</v>
      </c>
      <c r="J76" s="112">
        <v>0.27</v>
      </c>
      <c r="K76" s="112">
        <v>166.97</v>
      </c>
      <c r="L76" s="112">
        <v>30.75</v>
      </c>
      <c r="M76" s="112">
        <v>79.59</v>
      </c>
      <c r="N76" s="112">
        <v>62.4</v>
      </c>
      <c r="O76" s="112">
        <v>0</v>
      </c>
      <c r="P76" s="112">
        <v>0.38</v>
      </c>
      <c r="Q76" s="112">
        <v>4.55</v>
      </c>
    </row>
    <row r="77" spans="1:17" customFormat="1">
      <c r="A77" s="80">
        <v>45481.71875</v>
      </c>
      <c r="B77" s="112">
        <v>9.2799999999999994</v>
      </c>
      <c r="C77" s="112">
        <v>4.08</v>
      </c>
      <c r="D77" s="112">
        <v>14.03</v>
      </c>
      <c r="E77" s="112">
        <v>12.11</v>
      </c>
      <c r="F77" s="112">
        <v>15.1</v>
      </c>
      <c r="G77" s="112">
        <v>30.93</v>
      </c>
      <c r="H77" s="112">
        <v>81.819999999999993</v>
      </c>
      <c r="I77" s="112">
        <v>3.97</v>
      </c>
      <c r="J77" s="112">
        <v>0.3</v>
      </c>
      <c r="K77" s="112">
        <v>152.86000000000001</v>
      </c>
      <c r="L77" s="112">
        <v>30.84</v>
      </c>
      <c r="M77" s="112">
        <v>81.64</v>
      </c>
      <c r="N77" s="112">
        <v>48.5</v>
      </c>
      <c r="O77" s="112">
        <v>0</v>
      </c>
      <c r="P77" s="112">
        <v>0.38</v>
      </c>
      <c r="Q77" s="112">
        <v>4.53</v>
      </c>
    </row>
    <row r="78" spans="1:17" customFormat="1">
      <c r="A78" s="80">
        <v>45481.729166666664</v>
      </c>
      <c r="B78" s="112">
        <v>9.27</v>
      </c>
      <c r="C78" s="112">
        <v>4.09</v>
      </c>
      <c r="D78" s="112">
        <v>14.02</v>
      </c>
      <c r="E78" s="112">
        <v>11.19</v>
      </c>
      <c r="F78" s="112">
        <v>17.100000000000001</v>
      </c>
      <c r="G78" s="112">
        <v>30.93</v>
      </c>
      <c r="H78" s="112">
        <v>81.819999999999993</v>
      </c>
      <c r="I78" s="112">
        <v>3.76</v>
      </c>
      <c r="J78" s="112">
        <v>0.15</v>
      </c>
      <c r="K78" s="112">
        <v>112.95</v>
      </c>
      <c r="L78" s="112">
        <v>30.68</v>
      </c>
      <c r="M78" s="112">
        <v>83.86</v>
      </c>
      <c r="N78" s="112">
        <v>52.8</v>
      </c>
      <c r="O78" s="112">
        <v>0</v>
      </c>
      <c r="P78" s="112">
        <v>0.37</v>
      </c>
      <c r="Q78" s="112">
        <v>4.53</v>
      </c>
    </row>
    <row r="79" spans="1:17" customFormat="1">
      <c r="A79" s="80">
        <v>45481.739583333336</v>
      </c>
      <c r="B79" s="112">
        <v>9.26</v>
      </c>
      <c r="C79" s="112">
        <v>4.09</v>
      </c>
      <c r="D79" s="112">
        <v>14.01</v>
      </c>
      <c r="E79" s="112">
        <v>11.14</v>
      </c>
      <c r="F79" s="112">
        <v>19.989999999999998</v>
      </c>
      <c r="G79" s="112">
        <v>29.11</v>
      </c>
      <c r="H79" s="112">
        <v>67.680000000000007</v>
      </c>
      <c r="I79" s="112">
        <v>3.68</v>
      </c>
      <c r="J79" s="112">
        <v>0.17</v>
      </c>
      <c r="K79" s="112">
        <v>188.63</v>
      </c>
      <c r="L79" s="112">
        <v>30.8</v>
      </c>
      <c r="M79" s="112">
        <v>80.39</v>
      </c>
      <c r="N79" s="112">
        <v>52.2</v>
      </c>
      <c r="O79" s="112">
        <v>0</v>
      </c>
      <c r="P79" s="112">
        <v>0.36</v>
      </c>
      <c r="Q79" s="112">
        <v>4.53</v>
      </c>
    </row>
    <row r="80" spans="1:17" customFormat="1">
      <c r="A80" s="80">
        <v>45481.75</v>
      </c>
      <c r="B80" s="112">
        <v>9.2799999999999994</v>
      </c>
      <c r="C80" s="112">
        <v>4.07</v>
      </c>
      <c r="D80" s="112">
        <v>14.02</v>
      </c>
      <c r="E80" s="112">
        <v>11.35</v>
      </c>
      <c r="F80" s="112">
        <v>20.29</v>
      </c>
      <c r="G80" s="112">
        <v>27.72</v>
      </c>
      <c r="H80" s="112">
        <v>63.16</v>
      </c>
      <c r="I80" s="112">
        <v>3.5</v>
      </c>
      <c r="J80" s="112">
        <v>0.16</v>
      </c>
      <c r="K80" s="112">
        <v>190.2</v>
      </c>
      <c r="L80" s="112">
        <v>30.52</v>
      </c>
      <c r="M80" s="112">
        <v>82.06</v>
      </c>
      <c r="N80" s="112">
        <v>37.799999999999997</v>
      </c>
      <c r="O80" s="112">
        <v>0</v>
      </c>
      <c r="P80" s="112">
        <v>0.36</v>
      </c>
      <c r="Q80" s="112">
        <v>4.54</v>
      </c>
    </row>
    <row r="81" spans="1:17" customFormat="1">
      <c r="A81" s="80">
        <v>45481.760416666664</v>
      </c>
      <c r="B81" s="112">
        <v>9.27</v>
      </c>
      <c r="C81" s="112">
        <v>4.0599999999999996</v>
      </c>
      <c r="D81" s="112">
        <v>14.01</v>
      </c>
      <c r="E81" s="112">
        <v>7.26</v>
      </c>
      <c r="F81" s="112">
        <v>22.46</v>
      </c>
      <c r="G81" s="112">
        <v>27.72</v>
      </c>
      <c r="H81" s="112">
        <v>63.16</v>
      </c>
      <c r="I81" s="112">
        <v>3.29</v>
      </c>
      <c r="J81" s="112">
        <v>0.19</v>
      </c>
      <c r="K81" s="112">
        <v>173.11</v>
      </c>
      <c r="L81" s="112">
        <v>30.68</v>
      </c>
      <c r="M81" s="112">
        <v>82.83</v>
      </c>
      <c r="N81" s="112">
        <v>31.1</v>
      </c>
      <c r="O81" s="112">
        <v>0</v>
      </c>
      <c r="P81" s="112">
        <v>0.35</v>
      </c>
      <c r="Q81" s="112">
        <v>4.54</v>
      </c>
    </row>
    <row r="82" spans="1:17" customFormat="1">
      <c r="A82" s="80">
        <v>45481.770833333336</v>
      </c>
      <c r="B82" s="112">
        <v>9.26</v>
      </c>
      <c r="C82" s="112">
        <v>4.0599999999999996</v>
      </c>
      <c r="D82" s="112">
        <v>13.99</v>
      </c>
      <c r="E82" s="112">
        <v>8.08</v>
      </c>
      <c r="F82" s="112">
        <v>19.47</v>
      </c>
      <c r="G82" s="112">
        <v>27.72</v>
      </c>
      <c r="H82" s="112">
        <v>63.16</v>
      </c>
      <c r="I82" s="112">
        <v>3.18</v>
      </c>
      <c r="J82" s="112">
        <v>0.15</v>
      </c>
      <c r="K82" s="112">
        <v>226.95</v>
      </c>
      <c r="L82" s="112">
        <v>30.15</v>
      </c>
      <c r="M82" s="112">
        <v>84.65</v>
      </c>
      <c r="N82" s="112">
        <v>9.1</v>
      </c>
      <c r="O82" s="112">
        <v>0</v>
      </c>
      <c r="P82" s="112">
        <v>0.36</v>
      </c>
      <c r="Q82" s="112">
        <v>4.54</v>
      </c>
    </row>
    <row r="83" spans="1:17" customFormat="1">
      <c r="A83" s="80">
        <v>45481.78125</v>
      </c>
      <c r="B83" s="112">
        <v>9.26</v>
      </c>
      <c r="C83" s="112">
        <v>4.0599999999999996</v>
      </c>
      <c r="D83" s="112">
        <v>14</v>
      </c>
      <c r="E83" s="112">
        <v>7.97</v>
      </c>
      <c r="F83" s="112">
        <v>19.05</v>
      </c>
      <c r="G83" s="112">
        <v>25.28</v>
      </c>
      <c r="H83" s="112">
        <v>51.4</v>
      </c>
      <c r="I83" s="112">
        <v>3.11</v>
      </c>
      <c r="J83" s="112">
        <v>0.19</v>
      </c>
      <c r="K83" s="112">
        <v>174.32</v>
      </c>
      <c r="L83" s="112">
        <v>29.66</v>
      </c>
      <c r="M83" s="112">
        <v>86.67</v>
      </c>
      <c r="N83" s="112">
        <v>4</v>
      </c>
      <c r="O83" s="112">
        <v>0</v>
      </c>
      <c r="P83" s="112">
        <v>0.38</v>
      </c>
      <c r="Q83" s="112">
        <v>4.55</v>
      </c>
    </row>
    <row r="84" spans="1:17" customFormat="1">
      <c r="A84" s="80">
        <v>45481.791666666664</v>
      </c>
      <c r="B84" s="112">
        <v>9.27</v>
      </c>
      <c r="C84" s="112">
        <v>4.07</v>
      </c>
      <c r="D84" s="112">
        <v>14.01</v>
      </c>
      <c r="E84" s="112">
        <v>7.91</v>
      </c>
      <c r="F84" s="112">
        <v>17.059999999999999</v>
      </c>
      <c r="G84" s="112">
        <v>23.41</v>
      </c>
      <c r="H84" s="112">
        <v>44.17</v>
      </c>
      <c r="I84" s="112">
        <v>3.41</v>
      </c>
      <c r="J84" s="112">
        <v>0.2</v>
      </c>
      <c r="K84" s="112">
        <v>167.83</v>
      </c>
      <c r="L84" s="112">
        <v>29.51</v>
      </c>
      <c r="M84" s="112">
        <v>87.31</v>
      </c>
      <c r="N84" s="112">
        <v>2.1</v>
      </c>
      <c r="O84" s="112">
        <v>0</v>
      </c>
      <c r="P84" s="112">
        <v>0.38</v>
      </c>
      <c r="Q84" s="112">
        <v>4.54</v>
      </c>
    </row>
    <row r="85" spans="1:17" customFormat="1">
      <c r="A85" s="80">
        <v>45481.802083333336</v>
      </c>
      <c r="B85" s="112">
        <v>9.27</v>
      </c>
      <c r="C85" s="112">
        <v>4.08</v>
      </c>
      <c r="D85" s="112">
        <v>14.02</v>
      </c>
      <c r="E85" s="112">
        <v>7.9</v>
      </c>
      <c r="F85" s="112">
        <v>10.52</v>
      </c>
      <c r="G85" s="112">
        <v>23.41</v>
      </c>
      <c r="H85" s="112">
        <v>44.17</v>
      </c>
      <c r="I85" s="112">
        <v>3.69</v>
      </c>
      <c r="J85" s="112">
        <v>0.17</v>
      </c>
      <c r="K85" s="112">
        <v>164.55</v>
      </c>
      <c r="L85" s="112">
        <v>29.26</v>
      </c>
      <c r="M85" s="112">
        <v>87.63</v>
      </c>
      <c r="N85" s="112">
        <v>2.1</v>
      </c>
      <c r="O85" s="112">
        <v>0</v>
      </c>
      <c r="P85" s="112">
        <v>0.45</v>
      </c>
      <c r="Q85" s="112">
        <v>4.5199999999999996</v>
      </c>
    </row>
    <row r="86" spans="1:17" customFormat="1">
      <c r="A86" s="80">
        <v>45481.8125</v>
      </c>
      <c r="B86" s="112">
        <v>9.27</v>
      </c>
      <c r="C86" s="112">
        <v>4.09</v>
      </c>
      <c r="D86" s="112">
        <v>14.02</v>
      </c>
      <c r="E86" s="112">
        <v>7.84</v>
      </c>
      <c r="F86" s="112">
        <v>5.89</v>
      </c>
      <c r="G86" s="112">
        <v>23.41</v>
      </c>
      <c r="H86" s="112">
        <v>44.17</v>
      </c>
      <c r="I86" s="112">
        <v>3.57</v>
      </c>
      <c r="J86" s="112">
        <v>0.33</v>
      </c>
      <c r="K86" s="112">
        <v>75.010000000000005</v>
      </c>
      <c r="L86" s="112">
        <v>29.49</v>
      </c>
      <c r="M86" s="112">
        <v>85.59</v>
      </c>
      <c r="N86" s="112">
        <v>1.6</v>
      </c>
      <c r="O86" s="112">
        <v>0</v>
      </c>
      <c r="P86" s="112">
        <v>0.56999999999999995</v>
      </c>
      <c r="Q86" s="112">
        <v>4.55</v>
      </c>
    </row>
    <row r="87" spans="1:17" customFormat="1">
      <c r="A87" s="80">
        <v>45481.822916666664</v>
      </c>
      <c r="B87" s="112">
        <v>9.2799999999999994</v>
      </c>
      <c r="C87" s="112">
        <v>4.08</v>
      </c>
      <c r="D87" s="112">
        <v>14.02</v>
      </c>
      <c r="E87" s="112">
        <v>7.13</v>
      </c>
      <c r="F87" s="112">
        <v>6.97</v>
      </c>
      <c r="G87" s="112">
        <v>28.76</v>
      </c>
      <c r="H87" s="112">
        <v>32.86</v>
      </c>
      <c r="I87" s="112">
        <v>4.03</v>
      </c>
      <c r="J87" s="112">
        <v>0.09</v>
      </c>
      <c r="K87" s="112">
        <v>159.5</v>
      </c>
      <c r="L87" s="112">
        <v>29.22</v>
      </c>
      <c r="M87" s="112">
        <v>85.87</v>
      </c>
      <c r="N87" s="112">
        <v>2.2000000000000002</v>
      </c>
      <c r="O87" s="112">
        <v>0</v>
      </c>
      <c r="P87" s="112">
        <v>0.59</v>
      </c>
      <c r="Q87" s="112">
        <v>4.55</v>
      </c>
    </row>
    <row r="88" spans="1:17" customFormat="1">
      <c r="A88" s="80">
        <v>45481.833333333336</v>
      </c>
      <c r="B88" s="112">
        <v>9.2899999999999991</v>
      </c>
      <c r="C88" s="112">
        <v>4.07</v>
      </c>
      <c r="D88" s="112">
        <v>14.03</v>
      </c>
      <c r="E88" s="112">
        <v>7.6</v>
      </c>
      <c r="F88" s="112">
        <v>7.69</v>
      </c>
      <c r="G88" s="112">
        <v>32.840000000000003</v>
      </c>
      <c r="H88" s="112">
        <v>29.24</v>
      </c>
      <c r="I88" s="112">
        <v>4.97</v>
      </c>
      <c r="J88" s="112">
        <v>0.23</v>
      </c>
      <c r="K88" s="112">
        <v>181.99</v>
      </c>
      <c r="L88" s="112">
        <v>28.96</v>
      </c>
      <c r="M88" s="112">
        <v>87.44</v>
      </c>
      <c r="N88" s="112">
        <v>2.1</v>
      </c>
      <c r="O88" s="112">
        <v>0</v>
      </c>
      <c r="P88" s="112">
        <v>0.53</v>
      </c>
      <c r="Q88" s="112">
        <v>4.57</v>
      </c>
    </row>
    <row r="89" spans="1:17" customFormat="1">
      <c r="A89" s="80">
        <v>45481.84375</v>
      </c>
      <c r="B89" s="112">
        <v>9.2899999999999991</v>
      </c>
      <c r="C89" s="112">
        <v>4.08</v>
      </c>
      <c r="D89" s="112">
        <v>14.04</v>
      </c>
      <c r="E89" s="112">
        <v>7.5</v>
      </c>
      <c r="F89" s="112">
        <v>8.19</v>
      </c>
      <c r="G89" s="112">
        <v>32.840000000000003</v>
      </c>
      <c r="H89" s="112">
        <v>29.24</v>
      </c>
      <c r="I89" s="112">
        <v>5.6</v>
      </c>
      <c r="J89" s="112">
        <v>0.24</v>
      </c>
      <c r="K89" s="112">
        <v>180.28</v>
      </c>
      <c r="L89" s="112">
        <v>28.52</v>
      </c>
      <c r="M89" s="112">
        <v>91.84</v>
      </c>
      <c r="N89" s="112">
        <v>2.4</v>
      </c>
      <c r="O89" s="112">
        <v>0</v>
      </c>
      <c r="P89" s="112">
        <v>0.46</v>
      </c>
      <c r="Q89" s="112">
        <v>4.57</v>
      </c>
    </row>
    <row r="90" spans="1:17" customFormat="1">
      <c r="A90" s="80">
        <v>45481.854166666664</v>
      </c>
      <c r="B90" s="112">
        <v>9.2799999999999994</v>
      </c>
      <c r="C90" s="112">
        <v>4.08</v>
      </c>
      <c r="D90" s="112">
        <v>14.03</v>
      </c>
      <c r="E90" s="112">
        <v>7.1</v>
      </c>
      <c r="F90" s="112">
        <v>8.57</v>
      </c>
      <c r="G90" s="112">
        <v>32.840000000000003</v>
      </c>
      <c r="H90" s="112">
        <v>29.24</v>
      </c>
      <c r="I90" s="112">
        <v>5.18</v>
      </c>
      <c r="J90" s="112">
        <v>0.15</v>
      </c>
      <c r="K90" s="112">
        <v>164.67</v>
      </c>
      <c r="L90" s="112">
        <v>28.27</v>
      </c>
      <c r="M90" s="112">
        <v>93.19</v>
      </c>
      <c r="N90" s="112">
        <v>2.1</v>
      </c>
      <c r="O90" s="112">
        <v>0</v>
      </c>
      <c r="P90" s="112">
        <v>0.45</v>
      </c>
      <c r="Q90" s="112">
        <v>4.5599999999999996</v>
      </c>
    </row>
    <row r="91" spans="1:17" customFormat="1">
      <c r="A91" s="80">
        <v>45481.864583333336</v>
      </c>
      <c r="B91" s="112">
        <v>9.2799999999999994</v>
      </c>
      <c r="C91" s="112">
        <v>4.07</v>
      </c>
      <c r="D91" s="112">
        <v>14.02</v>
      </c>
      <c r="E91" s="112">
        <v>6.92</v>
      </c>
      <c r="F91" s="112">
        <v>11.33</v>
      </c>
      <c r="G91" s="112">
        <v>34.46</v>
      </c>
      <c r="H91" s="112">
        <v>22.85</v>
      </c>
      <c r="I91" s="112">
        <v>4.67</v>
      </c>
      <c r="J91" s="112">
        <v>0.15</v>
      </c>
      <c r="K91" s="112">
        <v>170</v>
      </c>
      <c r="L91" s="112">
        <v>28.27</v>
      </c>
      <c r="M91" s="112">
        <v>92.19</v>
      </c>
      <c r="N91" s="112">
        <v>2.1</v>
      </c>
      <c r="O91" s="112">
        <v>0</v>
      </c>
      <c r="P91" s="112">
        <v>0.44</v>
      </c>
      <c r="Q91" s="112">
        <v>4.54</v>
      </c>
    </row>
    <row r="92" spans="1:17" customFormat="1">
      <c r="A92" s="80">
        <v>45481.875</v>
      </c>
      <c r="B92" s="112">
        <v>9.27</v>
      </c>
      <c r="C92" s="112">
        <v>4.07</v>
      </c>
      <c r="D92" s="112">
        <v>14.01</v>
      </c>
      <c r="E92" s="112">
        <v>7.17</v>
      </c>
      <c r="F92" s="112">
        <v>10.38</v>
      </c>
      <c r="G92" s="112">
        <v>35.71</v>
      </c>
      <c r="H92" s="112">
        <v>20.8</v>
      </c>
      <c r="I92" s="112">
        <v>4.66</v>
      </c>
      <c r="J92" s="112">
        <v>0.18</v>
      </c>
      <c r="K92" s="112">
        <v>171.16</v>
      </c>
      <c r="L92" s="112">
        <v>28.45</v>
      </c>
      <c r="M92" s="112">
        <v>92.44</v>
      </c>
      <c r="N92" s="112">
        <v>1.8</v>
      </c>
      <c r="O92" s="112">
        <v>0</v>
      </c>
      <c r="P92" s="112">
        <v>0.47</v>
      </c>
      <c r="Q92" s="112">
        <v>4.54</v>
      </c>
    </row>
    <row r="93" spans="1:17" customFormat="1">
      <c r="A93" s="80">
        <v>45481.885416666664</v>
      </c>
      <c r="B93" s="112">
        <v>9.2799999999999994</v>
      </c>
      <c r="C93" s="112">
        <v>4.08</v>
      </c>
      <c r="D93" s="112">
        <v>14.02</v>
      </c>
      <c r="E93" s="112">
        <v>7.55</v>
      </c>
      <c r="F93" s="112">
        <v>8</v>
      </c>
      <c r="G93" s="112">
        <v>35.71</v>
      </c>
      <c r="H93" s="112">
        <v>20.8</v>
      </c>
      <c r="I93" s="112">
        <v>4.72</v>
      </c>
      <c r="J93" s="112">
        <v>0.14000000000000001</v>
      </c>
      <c r="K93" s="112">
        <v>173.11</v>
      </c>
      <c r="L93" s="112">
        <v>28.16</v>
      </c>
      <c r="M93" s="112">
        <v>95.05</v>
      </c>
      <c r="N93" s="112">
        <v>2.1</v>
      </c>
      <c r="O93" s="112">
        <v>0</v>
      </c>
      <c r="P93" s="112">
        <v>0.45</v>
      </c>
      <c r="Q93" s="112">
        <v>4.54</v>
      </c>
    </row>
    <row r="94" spans="1:17" customFormat="1">
      <c r="A94" s="80">
        <v>45481.895833333336</v>
      </c>
      <c r="B94" s="112">
        <v>9.2799999999999994</v>
      </c>
      <c r="C94" s="112">
        <v>4.0599999999999996</v>
      </c>
      <c r="D94" s="112">
        <v>14.01</v>
      </c>
      <c r="E94" s="112">
        <v>8.0500000000000007</v>
      </c>
      <c r="F94" s="112">
        <v>6.51</v>
      </c>
      <c r="G94" s="112">
        <v>35.71</v>
      </c>
      <c r="H94" s="112">
        <v>20.8</v>
      </c>
      <c r="I94" s="112">
        <v>5.36</v>
      </c>
      <c r="J94" s="112">
        <v>0.14000000000000001</v>
      </c>
      <c r="K94" s="112">
        <v>173.09</v>
      </c>
      <c r="L94" s="112">
        <v>28.19</v>
      </c>
      <c r="M94" s="112">
        <v>94.11</v>
      </c>
      <c r="N94" s="112">
        <v>1.9</v>
      </c>
      <c r="O94" s="112">
        <v>0</v>
      </c>
      <c r="P94" s="112">
        <v>0.43</v>
      </c>
      <c r="Q94" s="112">
        <v>4.54</v>
      </c>
    </row>
    <row r="95" spans="1:17" customFormat="1">
      <c r="A95" s="80">
        <v>45481.90625</v>
      </c>
      <c r="B95" s="112">
        <v>9.26</v>
      </c>
      <c r="C95" s="112">
        <v>4.05</v>
      </c>
      <c r="D95" s="112">
        <v>13.99</v>
      </c>
      <c r="E95" s="112">
        <v>8.76</v>
      </c>
      <c r="F95" s="112">
        <v>5.4</v>
      </c>
      <c r="G95" s="112">
        <v>40.409999999999997</v>
      </c>
      <c r="H95" s="112">
        <v>16.79</v>
      </c>
      <c r="I95" s="112">
        <v>5.0999999999999996</v>
      </c>
      <c r="J95" s="112">
        <v>0.15</v>
      </c>
      <c r="K95" s="112">
        <v>162.9</v>
      </c>
      <c r="L95" s="112">
        <v>28.2</v>
      </c>
      <c r="M95" s="112">
        <v>95.04</v>
      </c>
      <c r="N95" s="112">
        <v>2.1</v>
      </c>
      <c r="O95" s="112">
        <v>0</v>
      </c>
      <c r="P95" s="112">
        <v>0.46</v>
      </c>
      <c r="Q95" s="112">
        <v>4.54</v>
      </c>
    </row>
    <row r="96" spans="1:17" customFormat="1">
      <c r="A96" s="80">
        <v>45481.916666666664</v>
      </c>
      <c r="B96" s="112">
        <v>9.24</v>
      </c>
      <c r="C96" s="112">
        <v>4.07</v>
      </c>
      <c r="D96" s="112">
        <v>13.98</v>
      </c>
      <c r="E96" s="112">
        <v>8.4</v>
      </c>
      <c r="F96" s="112">
        <v>5.13</v>
      </c>
      <c r="G96" s="112">
        <v>44.01</v>
      </c>
      <c r="H96" s="112">
        <v>15.51</v>
      </c>
      <c r="I96" s="112">
        <v>5.33</v>
      </c>
      <c r="J96" s="112">
        <v>0.13</v>
      </c>
      <c r="K96" s="112">
        <v>162.28</v>
      </c>
      <c r="L96" s="112">
        <v>28.33</v>
      </c>
      <c r="M96" s="112">
        <v>94.6</v>
      </c>
      <c r="N96" s="112">
        <v>2</v>
      </c>
      <c r="O96" s="112">
        <v>0</v>
      </c>
      <c r="P96" s="112">
        <v>0.45</v>
      </c>
      <c r="Q96" s="112">
        <v>4.55</v>
      </c>
    </row>
    <row r="97" spans="1:22" customFormat="1">
      <c r="A97" s="80">
        <v>45481.927083333336</v>
      </c>
      <c r="B97" s="112">
        <v>9.24</v>
      </c>
      <c r="C97" s="112">
        <v>4.05</v>
      </c>
      <c r="D97" s="112">
        <v>13.98</v>
      </c>
      <c r="E97" s="112">
        <v>8.2799999999999994</v>
      </c>
      <c r="F97" s="112">
        <v>5.17</v>
      </c>
      <c r="G97" s="112">
        <v>44.01</v>
      </c>
      <c r="H97" s="112">
        <v>15.51</v>
      </c>
      <c r="I97" s="112">
        <v>5.6</v>
      </c>
      <c r="J97" s="112">
        <v>0.1</v>
      </c>
      <c r="K97" s="112">
        <v>226.21</v>
      </c>
      <c r="L97" s="112">
        <v>28.31</v>
      </c>
      <c r="M97" s="112">
        <v>94.17</v>
      </c>
      <c r="N97" s="112">
        <v>2.1</v>
      </c>
      <c r="O97" s="112">
        <v>0</v>
      </c>
      <c r="P97" s="112">
        <v>0.45</v>
      </c>
      <c r="Q97" s="112">
        <v>4.54</v>
      </c>
    </row>
    <row r="98" spans="1:22" customFormat="1">
      <c r="A98" s="80">
        <v>45481.9375</v>
      </c>
      <c r="B98" s="112">
        <v>9.25</v>
      </c>
      <c r="C98" s="112">
        <v>4.04</v>
      </c>
      <c r="D98" s="112">
        <v>13.97</v>
      </c>
      <c r="E98" s="112">
        <v>9.14</v>
      </c>
      <c r="F98" s="112">
        <v>5.61</v>
      </c>
      <c r="G98" s="112">
        <v>44.01</v>
      </c>
      <c r="H98" s="112">
        <v>15.51</v>
      </c>
      <c r="I98" s="112">
        <v>5.6</v>
      </c>
      <c r="J98" s="112">
        <v>0.28999999999999998</v>
      </c>
      <c r="K98" s="112">
        <v>164.05</v>
      </c>
      <c r="L98" s="112">
        <v>28.52</v>
      </c>
      <c r="M98" s="112">
        <v>94.86</v>
      </c>
      <c r="N98" s="112">
        <v>1.9</v>
      </c>
      <c r="O98" s="112">
        <v>0</v>
      </c>
      <c r="P98" s="112">
        <v>0.46</v>
      </c>
      <c r="Q98" s="112">
        <v>4.55</v>
      </c>
    </row>
    <row r="99" spans="1:22" customFormat="1">
      <c r="A99" s="80">
        <v>45481.947916666664</v>
      </c>
      <c r="B99" s="112">
        <v>9.24</v>
      </c>
      <c r="C99" s="112">
        <v>4.0599999999999996</v>
      </c>
      <c r="D99" s="112">
        <v>13.98</v>
      </c>
      <c r="E99" s="112">
        <v>8.57</v>
      </c>
      <c r="F99" s="112">
        <v>4.8</v>
      </c>
      <c r="G99" s="112">
        <v>41.24</v>
      </c>
      <c r="H99" s="112">
        <v>15.15</v>
      </c>
      <c r="I99" s="112">
        <v>5.64</v>
      </c>
      <c r="J99" s="112">
        <v>0.11</v>
      </c>
      <c r="K99" s="112">
        <v>195.9</v>
      </c>
      <c r="L99" s="112">
        <v>28.2</v>
      </c>
      <c r="M99" s="112">
        <v>96.69</v>
      </c>
      <c r="N99" s="112">
        <v>2.1</v>
      </c>
      <c r="O99" s="112">
        <v>0</v>
      </c>
      <c r="P99" s="112">
        <v>0.49</v>
      </c>
      <c r="Q99" s="112">
        <v>4.5599999999999996</v>
      </c>
    </row>
    <row r="100" spans="1:22" customFormat="1">
      <c r="A100" s="80">
        <v>45481.958333333336</v>
      </c>
      <c r="B100" s="112">
        <v>9.24</v>
      </c>
      <c r="C100" s="112">
        <v>4.03</v>
      </c>
      <c r="D100" s="112">
        <v>13.97</v>
      </c>
      <c r="E100" s="112">
        <v>8.69</v>
      </c>
      <c r="F100" s="112">
        <v>4.91</v>
      </c>
      <c r="G100" s="112">
        <v>39.130000000000003</v>
      </c>
      <c r="H100" s="112">
        <v>15.04</v>
      </c>
      <c r="I100" s="112">
        <v>5.72</v>
      </c>
      <c r="J100" s="112">
        <v>0.19</v>
      </c>
      <c r="K100" s="112">
        <v>167.24</v>
      </c>
      <c r="L100" s="112">
        <v>28.24</v>
      </c>
      <c r="M100" s="112">
        <v>96.25</v>
      </c>
      <c r="N100" s="112">
        <v>2</v>
      </c>
      <c r="O100" s="112">
        <v>0</v>
      </c>
      <c r="P100" s="112">
        <v>0.48</v>
      </c>
      <c r="Q100" s="112">
        <v>4.5599999999999996</v>
      </c>
    </row>
    <row r="101" spans="1:22" customFormat="1">
      <c r="A101" s="80">
        <v>45481.96875</v>
      </c>
      <c r="B101" s="112">
        <v>9.2200000000000006</v>
      </c>
      <c r="C101" s="112">
        <v>4.09</v>
      </c>
      <c r="D101" s="112">
        <v>13.98</v>
      </c>
      <c r="E101" s="112">
        <v>9.74</v>
      </c>
      <c r="F101" s="112">
        <v>4.68</v>
      </c>
      <c r="G101" s="112">
        <v>39.130000000000003</v>
      </c>
      <c r="H101" s="112">
        <v>15.04</v>
      </c>
      <c r="I101" s="112">
        <v>5.81</v>
      </c>
      <c r="J101" s="112">
        <v>0.32</v>
      </c>
      <c r="K101" s="112">
        <v>176.67</v>
      </c>
      <c r="L101" s="112">
        <v>28.3</v>
      </c>
      <c r="M101" s="112">
        <v>95.48</v>
      </c>
      <c r="N101" s="112">
        <v>2.1</v>
      </c>
      <c r="O101" s="112">
        <v>0</v>
      </c>
      <c r="P101" s="112">
        <v>0.49</v>
      </c>
      <c r="Q101" s="112">
        <v>4.55</v>
      </c>
    </row>
    <row r="102" spans="1:22" customFormat="1">
      <c r="A102" s="80">
        <v>45481.979166666664</v>
      </c>
      <c r="B102" s="112">
        <v>9.2200000000000006</v>
      </c>
      <c r="C102" s="112">
        <v>4.04</v>
      </c>
      <c r="D102" s="112">
        <v>13.96</v>
      </c>
      <c r="E102" s="112">
        <v>9.7200000000000006</v>
      </c>
      <c r="F102" s="112">
        <v>4.66</v>
      </c>
      <c r="G102" s="112">
        <v>39.130000000000003</v>
      </c>
      <c r="H102" s="112">
        <v>15.04</v>
      </c>
      <c r="I102" s="112">
        <v>5.91</v>
      </c>
      <c r="J102" s="112">
        <v>0.19</v>
      </c>
      <c r="K102" s="112">
        <v>167.63</v>
      </c>
      <c r="L102" s="112">
        <v>28.15</v>
      </c>
      <c r="M102" s="112">
        <v>96.8</v>
      </c>
      <c r="N102" s="112">
        <v>2.1</v>
      </c>
      <c r="O102" s="112">
        <v>0</v>
      </c>
      <c r="P102" s="112">
        <v>0.5</v>
      </c>
      <c r="Q102" s="112">
        <v>4.55</v>
      </c>
    </row>
    <row r="103" spans="1:22" customFormat="1">
      <c r="A103" s="80">
        <v>45481.989583333336</v>
      </c>
      <c r="B103" s="112">
        <v>9.1999999999999993</v>
      </c>
      <c r="C103" s="112">
        <v>4.09</v>
      </c>
      <c r="D103" s="112">
        <v>13.97</v>
      </c>
      <c r="E103" s="112">
        <v>9.39</v>
      </c>
      <c r="F103" s="112">
        <v>4.53</v>
      </c>
      <c r="G103" s="112">
        <v>41.9</v>
      </c>
      <c r="H103" s="112">
        <v>14.68</v>
      </c>
      <c r="I103" s="112">
        <v>6</v>
      </c>
      <c r="J103" s="112">
        <v>0.11</v>
      </c>
      <c r="K103" s="112">
        <v>189.26</v>
      </c>
      <c r="L103" s="112">
        <v>27.78</v>
      </c>
      <c r="M103" s="112">
        <v>97.62</v>
      </c>
      <c r="N103" s="112">
        <v>2.1</v>
      </c>
      <c r="O103" s="112">
        <v>0</v>
      </c>
      <c r="P103" s="112">
        <v>0.5</v>
      </c>
      <c r="Q103" s="112">
        <v>4.53</v>
      </c>
    </row>
    <row r="104" spans="1:22" customFormat="1">
      <c r="A104" s="80">
        <v>45482</v>
      </c>
      <c r="B104" s="112">
        <v>9.2100000000000009</v>
      </c>
      <c r="C104" s="112">
        <v>4.08</v>
      </c>
      <c r="D104" s="112">
        <v>13.96</v>
      </c>
      <c r="E104" s="112">
        <v>9.48</v>
      </c>
      <c r="F104" s="112">
        <v>4.2300000000000004</v>
      </c>
      <c r="G104" s="112">
        <v>44.02</v>
      </c>
      <c r="H104" s="112">
        <v>14.56</v>
      </c>
      <c r="I104" s="112">
        <v>6.08</v>
      </c>
      <c r="J104" s="112">
        <v>0.12</v>
      </c>
      <c r="K104" s="112">
        <v>223.17</v>
      </c>
      <c r="L104" s="112">
        <v>27.73</v>
      </c>
      <c r="M104" s="112">
        <v>98.22</v>
      </c>
      <c r="N104" s="112">
        <v>1.9</v>
      </c>
      <c r="O104" s="112">
        <v>0</v>
      </c>
      <c r="P104" s="112">
        <v>0.5</v>
      </c>
      <c r="Q104" s="112">
        <v>4.55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9.1999999999999993</v>
      </c>
      <c r="C106" s="183">
        <f>MIN(C9:C104)</f>
        <v>4.01</v>
      </c>
      <c r="D106" s="183">
        <f t="shared" ref="D106:Q106" si="0">MIN(D9:D104)</f>
        <v>13.96</v>
      </c>
      <c r="E106" s="183">
        <f t="shared" si="0"/>
        <v>6.92</v>
      </c>
      <c r="F106" s="183">
        <f t="shared" si="0"/>
        <v>2.97</v>
      </c>
      <c r="G106" s="183">
        <f t="shared" si="0"/>
        <v>7.59</v>
      </c>
      <c r="H106" s="183">
        <f t="shared" si="0"/>
        <v>0.89</v>
      </c>
      <c r="I106" s="183">
        <f t="shared" si="0"/>
        <v>3.11</v>
      </c>
      <c r="J106" s="183">
        <f t="shared" si="0"/>
        <v>7.0000000000000007E-2</v>
      </c>
      <c r="K106" s="183">
        <f t="shared" si="0"/>
        <v>42.79</v>
      </c>
      <c r="L106" s="183">
        <f t="shared" si="0"/>
        <v>24.67</v>
      </c>
      <c r="M106" s="183">
        <f t="shared" si="0"/>
        <v>63.15</v>
      </c>
      <c r="N106" s="183">
        <f t="shared" si="0"/>
        <v>1.6</v>
      </c>
      <c r="O106" s="183">
        <f t="shared" si="0"/>
        <v>0</v>
      </c>
      <c r="P106" s="183">
        <f t="shared" si="0"/>
        <v>0.28999999999999998</v>
      </c>
      <c r="Q106" s="183">
        <f t="shared" si="0"/>
        <v>4.5199999999999996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9.32</v>
      </c>
      <c r="C107" s="184">
        <f t="shared" ref="C107:Q107" si="1">MAX(C9:C104)</f>
        <v>4.12</v>
      </c>
      <c r="D107" s="184">
        <f t="shared" si="1"/>
        <v>14.06</v>
      </c>
      <c r="E107" s="184">
        <f t="shared" si="1"/>
        <v>15.29</v>
      </c>
      <c r="F107" s="184">
        <f t="shared" si="1"/>
        <v>22.46</v>
      </c>
      <c r="G107" s="184">
        <f t="shared" si="1"/>
        <v>47.2</v>
      </c>
      <c r="H107" s="184">
        <f t="shared" si="1"/>
        <v>84.21</v>
      </c>
      <c r="I107" s="184">
        <f t="shared" si="1"/>
        <v>6.08</v>
      </c>
      <c r="J107" s="184">
        <f t="shared" si="1"/>
        <v>1</v>
      </c>
      <c r="K107" s="184">
        <f t="shared" si="1"/>
        <v>333.21</v>
      </c>
      <c r="L107" s="184">
        <f t="shared" si="1"/>
        <v>34.33</v>
      </c>
      <c r="M107" s="184">
        <f t="shared" si="1"/>
        <v>102.68</v>
      </c>
      <c r="N107" s="184">
        <f t="shared" si="1"/>
        <v>772.4</v>
      </c>
      <c r="O107" s="184">
        <f t="shared" si="1"/>
        <v>2</v>
      </c>
      <c r="P107" s="184">
        <f t="shared" si="1"/>
        <v>0.59</v>
      </c>
      <c r="Q107" s="184">
        <f t="shared" si="1"/>
        <v>4.5999999999999996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9.2626041666666641</v>
      </c>
      <c r="C108" s="183">
        <f t="shared" ref="C108:Q108" si="2">AVERAGE(C9:C104)</f>
        <v>4.0699999999999967</v>
      </c>
      <c r="D108" s="183">
        <f t="shared" si="2"/>
        <v>14.005104166666664</v>
      </c>
      <c r="E108" s="183">
        <f t="shared" si="2"/>
        <v>10.366770833333335</v>
      </c>
      <c r="F108" s="183">
        <f t="shared" si="2"/>
        <v>7.7141666666666664</v>
      </c>
      <c r="G108" s="183">
        <f t="shared" si="2"/>
        <v>25.574375000000014</v>
      </c>
      <c r="H108" s="183">
        <f t="shared" si="2"/>
        <v>27.83979166666667</v>
      </c>
      <c r="I108" s="183">
        <f t="shared" si="2"/>
        <v>4.3471875000000022</v>
      </c>
      <c r="J108" s="183">
        <f t="shared" si="2"/>
        <v>0.26895833333333335</v>
      </c>
      <c r="K108" s="183">
        <f t="shared" si="2"/>
        <v>199.42468749999998</v>
      </c>
      <c r="L108" s="183">
        <f t="shared" si="2"/>
        <v>28.715937499999992</v>
      </c>
      <c r="M108" s="183">
        <f t="shared" si="2"/>
        <v>88.629479166666627</v>
      </c>
      <c r="N108" s="183">
        <f t="shared" si="2"/>
        <v>105.83750000000005</v>
      </c>
      <c r="O108" s="183">
        <f t="shared" si="2"/>
        <v>5.4166666666666669E-2</v>
      </c>
      <c r="P108" s="183">
        <f t="shared" si="2"/>
        <v>0.37833333333333335</v>
      </c>
      <c r="Q108" s="183">
        <f t="shared" si="2"/>
        <v>4.5571875000000022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2.2998617426027289E-2</v>
      </c>
      <c r="C109" s="183">
        <f t="shared" ref="C109:Q109" si="3">STDEV(C9:C104)</f>
        <v>1.722910633965553E-2</v>
      </c>
      <c r="D109" s="183">
        <f t="shared" si="3"/>
        <v>2.0875308591058402E-2</v>
      </c>
      <c r="E109" s="183">
        <f t="shared" si="3"/>
        <v>2.2469902652643858</v>
      </c>
      <c r="F109" s="183">
        <f t="shared" si="3"/>
        <v>4.0880278778189112</v>
      </c>
      <c r="G109" s="183">
        <f t="shared" si="3"/>
        <v>10.301323758828779</v>
      </c>
      <c r="H109" s="183">
        <f t="shared" si="3"/>
        <v>27.089555104239242</v>
      </c>
      <c r="I109" s="183">
        <f t="shared" si="3"/>
        <v>0.67601261764149778</v>
      </c>
      <c r="J109" s="183">
        <f t="shared" si="3"/>
        <v>0.19121483738216488</v>
      </c>
      <c r="K109" s="183">
        <f t="shared" si="3"/>
        <v>64.844788435692649</v>
      </c>
      <c r="L109" s="183">
        <f t="shared" si="3"/>
        <v>2.3766440639227993</v>
      </c>
      <c r="M109" s="183">
        <f t="shared" si="3"/>
        <v>10.297113174374719</v>
      </c>
      <c r="N109" s="183">
        <f t="shared" si="3"/>
        <v>157.9490639081906</v>
      </c>
      <c r="O109" s="183">
        <f t="shared" si="3"/>
        <v>0.29376563041655346</v>
      </c>
      <c r="P109" s="183">
        <f t="shared" si="3"/>
        <v>6.4492621637006337E-2</v>
      </c>
      <c r="Q109" s="183">
        <f t="shared" si="3"/>
        <v>1.6777373547665154E-2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3" activePane="bottomRight" state="frozen"/>
      <selection activeCell="A9" sqref="A9"/>
      <selection pane="topRight" activeCell="A9" sqref="A9"/>
      <selection pane="bottomLeft" activeCell="A9" sqref="A9"/>
      <selection pane="bottomRight" activeCell="Q105" sqref="Q105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45482.010416666664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45482.010416666664</v>
      </c>
      <c r="B9" s="112">
        <v>9.24</v>
      </c>
      <c r="C9" s="112">
        <v>4.17</v>
      </c>
      <c r="D9" s="112">
        <v>14.03</v>
      </c>
      <c r="E9" s="112">
        <v>9.65</v>
      </c>
      <c r="F9" s="112">
        <v>5.88</v>
      </c>
      <c r="G9" s="112">
        <v>44.02</v>
      </c>
      <c r="H9" s="112">
        <v>14.56</v>
      </c>
      <c r="I9" s="112">
        <v>6.08</v>
      </c>
      <c r="J9" s="112">
        <v>0.32</v>
      </c>
      <c r="K9" s="112">
        <v>263.88</v>
      </c>
      <c r="L9" s="112">
        <v>27.83</v>
      </c>
      <c r="M9" s="112">
        <v>92.75</v>
      </c>
      <c r="N9" s="112">
        <v>2</v>
      </c>
      <c r="O9" s="112">
        <v>0</v>
      </c>
      <c r="P9" s="112">
        <v>0.49</v>
      </c>
      <c r="Q9" s="112">
        <v>4.5599999999999996</v>
      </c>
    </row>
    <row r="10" spans="1:21" customFormat="1">
      <c r="A10" s="80">
        <v>45482.020833333336</v>
      </c>
      <c r="B10" s="112">
        <v>9.25</v>
      </c>
      <c r="C10" s="112">
        <v>4.09</v>
      </c>
      <c r="D10" s="112">
        <v>14.01</v>
      </c>
      <c r="E10" s="112">
        <v>9.86</v>
      </c>
      <c r="F10" s="112">
        <v>5.46</v>
      </c>
      <c r="G10" s="112">
        <v>44.02</v>
      </c>
      <c r="H10" s="112">
        <v>14.56</v>
      </c>
      <c r="I10" s="112">
        <v>6.02</v>
      </c>
      <c r="J10" s="112">
        <v>0.24</v>
      </c>
      <c r="K10" s="112">
        <v>275.24</v>
      </c>
      <c r="L10" s="112">
        <v>27.78</v>
      </c>
      <c r="M10" s="112">
        <v>88.47</v>
      </c>
      <c r="N10" s="112">
        <v>2.2999999999999998</v>
      </c>
      <c r="O10" s="112">
        <v>0</v>
      </c>
      <c r="P10" s="112">
        <v>0.48</v>
      </c>
      <c r="Q10" s="112">
        <v>4.55</v>
      </c>
    </row>
    <row r="11" spans="1:21" customFormat="1">
      <c r="A11" s="80">
        <v>45482.03125</v>
      </c>
      <c r="B11" s="112">
        <v>9.25</v>
      </c>
      <c r="C11" s="112">
        <v>4.1100000000000003</v>
      </c>
      <c r="D11" s="112">
        <v>14.01</v>
      </c>
      <c r="E11" s="112">
        <v>9.8800000000000008</v>
      </c>
      <c r="F11" s="112">
        <v>5.51</v>
      </c>
      <c r="G11" s="112">
        <v>39.72</v>
      </c>
      <c r="H11" s="112">
        <v>10.87</v>
      </c>
      <c r="I11" s="112">
        <v>5.85</v>
      </c>
      <c r="J11" s="112">
        <v>0.4</v>
      </c>
      <c r="K11" s="112">
        <v>268.04000000000002</v>
      </c>
      <c r="L11" s="112">
        <v>27.39</v>
      </c>
      <c r="M11" s="112">
        <v>87.45</v>
      </c>
      <c r="N11" s="112">
        <v>2.6</v>
      </c>
      <c r="O11" s="112">
        <v>0</v>
      </c>
      <c r="P11" s="112">
        <v>0.47</v>
      </c>
      <c r="Q11" s="112">
        <v>4.55</v>
      </c>
    </row>
    <row r="12" spans="1:21" customFormat="1">
      <c r="A12" s="80">
        <v>45482.041666666664</v>
      </c>
      <c r="B12" s="112">
        <v>9.25</v>
      </c>
      <c r="C12" s="112">
        <v>4.0999999999999996</v>
      </c>
      <c r="D12" s="112">
        <v>14.01</v>
      </c>
      <c r="E12" s="112">
        <v>9.99</v>
      </c>
      <c r="F12" s="112">
        <v>3.55</v>
      </c>
      <c r="G12" s="112">
        <v>36.44</v>
      </c>
      <c r="H12" s="112">
        <v>8.59</v>
      </c>
      <c r="I12" s="112">
        <v>5.66</v>
      </c>
      <c r="J12" s="112">
        <v>0.18</v>
      </c>
      <c r="K12" s="112">
        <v>275.48</v>
      </c>
      <c r="L12" s="112">
        <v>27.09</v>
      </c>
      <c r="M12" s="112">
        <v>88.68</v>
      </c>
      <c r="N12" s="112">
        <v>2.4</v>
      </c>
      <c r="O12" s="112">
        <v>0</v>
      </c>
      <c r="P12" s="112">
        <v>0.45</v>
      </c>
      <c r="Q12" s="112">
        <v>4.54</v>
      </c>
    </row>
    <row r="13" spans="1:21" customFormat="1">
      <c r="A13" s="80">
        <v>45482.052083333336</v>
      </c>
      <c r="B13" s="112">
        <v>9.26</v>
      </c>
      <c r="C13" s="112">
        <v>4.08</v>
      </c>
      <c r="D13" s="112">
        <v>14.01</v>
      </c>
      <c r="E13" s="112">
        <v>10.32</v>
      </c>
      <c r="F13" s="112">
        <v>3.06</v>
      </c>
      <c r="G13" s="112">
        <v>36.44</v>
      </c>
      <c r="H13" s="112">
        <v>8.59</v>
      </c>
      <c r="I13" s="112">
        <v>5.62</v>
      </c>
      <c r="J13" s="112">
        <v>0.27</v>
      </c>
      <c r="K13" s="112">
        <v>259.81</v>
      </c>
      <c r="L13" s="112">
        <v>26.76</v>
      </c>
      <c r="M13" s="112">
        <v>91.1</v>
      </c>
      <c r="N13" s="112">
        <v>2.2999999999999998</v>
      </c>
      <c r="O13" s="112">
        <v>0</v>
      </c>
      <c r="P13" s="112">
        <v>0.44</v>
      </c>
      <c r="Q13" s="112">
        <v>4.54</v>
      </c>
    </row>
    <row r="14" spans="1:21" customFormat="1">
      <c r="A14" s="80">
        <v>45482.0625</v>
      </c>
      <c r="B14" s="112">
        <v>9.25</v>
      </c>
      <c r="C14" s="112">
        <v>4.09</v>
      </c>
      <c r="D14" s="112">
        <v>14</v>
      </c>
      <c r="E14" s="112">
        <v>10.28</v>
      </c>
      <c r="F14" s="112">
        <v>3.63</v>
      </c>
      <c r="G14" s="112">
        <v>36.44</v>
      </c>
      <c r="H14" s="112">
        <v>8.59</v>
      </c>
      <c r="I14" s="112">
        <v>5.54</v>
      </c>
      <c r="J14" s="112">
        <v>0.23</v>
      </c>
      <c r="K14" s="112">
        <v>258.69</v>
      </c>
      <c r="L14" s="112">
        <v>26.58</v>
      </c>
      <c r="M14" s="112">
        <v>91.59</v>
      </c>
      <c r="N14" s="112">
        <v>2.1</v>
      </c>
      <c r="O14" s="112">
        <v>0</v>
      </c>
      <c r="P14" s="112">
        <v>0.44</v>
      </c>
      <c r="Q14" s="112">
        <v>4.54</v>
      </c>
    </row>
    <row r="15" spans="1:21" customFormat="1">
      <c r="A15" s="80">
        <v>45482.072916666664</v>
      </c>
      <c r="B15" s="112">
        <v>9.26</v>
      </c>
      <c r="C15" s="112">
        <v>4.04</v>
      </c>
      <c r="D15" s="112">
        <v>13.98</v>
      </c>
      <c r="E15" s="112">
        <v>9.86</v>
      </c>
      <c r="F15" s="112">
        <v>5.13</v>
      </c>
      <c r="G15" s="112">
        <v>32.83</v>
      </c>
      <c r="H15" s="112">
        <v>6.57</v>
      </c>
      <c r="I15" s="112">
        <v>5.3</v>
      </c>
      <c r="J15" s="112">
        <v>0.15</v>
      </c>
      <c r="K15" s="112">
        <v>235.13</v>
      </c>
      <c r="L15" s="112">
        <v>26.36</v>
      </c>
      <c r="M15" s="112">
        <v>91.48</v>
      </c>
      <c r="N15" s="112">
        <v>2.1</v>
      </c>
      <c r="O15" s="112">
        <v>0</v>
      </c>
      <c r="P15" s="112">
        <v>0.42</v>
      </c>
      <c r="Q15" s="112">
        <v>4.54</v>
      </c>
    </row>
    <row r="16" spans="1:21" customFormat="1">
      <c r="A16" s="80">
        <v>45482.083333333336</v>
      </c>
      <c r="B16" s="112">
        <v>9.26</v>
      </c>
      <c r="C16" s="112">
        <v>4.01</v>
      </c>
      <c r="D16" s="112">
        <v>13.97</v>
      </c>
      <c r="E16" s="112">
        <v>10.26</v>
      </c>
      <c r="F16" s="112">
        <v>2.37</v>
      </c>
      <c r="G16" s="112">
        <v>30.07</v>
      </c>
      <c r="H16" s="112">
        <v>5.88</v>
      </c>
      <c r="I16" s="112">
        <v>5.28</v>
      </c>
      <c r="J16" s="112">
        <v>0.13</v>
      </c>
      <c r="K16" s="112">
        <v>191.99</v>
      </c>
      <c r="L16" s="112">
        <v>26.36</v>
      </c>
      <c r="M16" s="112">
        <v>91.99</v>
      </c>
      <c r="N16" s="112">
        <v>2.1</v>
      </c>
      <c r="O16" s="112">
        <v>0</v>
      </c>
      <c r="P16" s="112">
        <v>0.41</v>
      </c>
      <c r="Q16" s="112">
        <v>4.54</v>
      </c>
    </row>
    <row r="17" spans="1:17" customFormat="1">
      <c r="A17" s="80">
        <v>45482.09375</v>
      </c>
      <c r="B17" s="112">
        <v>9.24</v>
      </c>
      <c r="C17" s="112">
        <v>4.05</v>
      </c>
      <c r="D17" s="112">
        <v>13.97</v>
      </c>
      <c r="E17" s="112">
        <v>7.61</v>
      </c>
      <c r="F17" s="112">
        <v>3.71</v>
      </c>
      <c r="G17" s="112">
        <v>30.07</v>
      </c>
      <c r="H17" s="112">
        <v>5.88</v>
      </c>
      <c r="I17" s="112">
        <v>5.14</v>
      </c>
      <c r="J17" s="112">
        <v>0.14000000000000001</v>
      </c>
      <c r="K17" s="112">
        <v>187.89</v>
      </c>
      <c r="L17" s="112">
        <v>25.97</v>
      </c>
      <c r="M17" s="112">
        <v>93.47</v>
      </c>
      <c r="N17" s="112">
        <v>2</v>
      </c>
      <c r="O17" s="112">
        <v>0</v>
      </c>
      <c r="P17" s="112">
        <v>0.44</v>
      </c>
      <c r="Q17" s="112">
        <v>4.55</v>
      </c>
    </row>
    <row r="18" spans="1:17" customFormat="1">
      <c r="A18" s="80">
        <v>45482.104166666664</v>
      </c>
      <c r="B18" s="112">
        <v>9.27</v>
      </c>
      <c r="C18" s="112">
        <v>4.0599999999999996</v>
      </c>
      <c r="D18" s="112">
        <v>14.01</v>
      </c>
      <c r="E18" s="112">
        <v>8.76</v>
      </c>
      <c r="F18" s="112">
        <v>4.1399999999999997</v>
      </c>
      <c r="G18" s="112">
        <v>30.07</v>
      </c>
      <c r="H18" s="112">
        <v>5.88</v>
      </c>
      <c r="I18" s="112">
        <v>5</v>
      </c>
      <c r="J18" s="112">
        <v>0.09</v>
      </c>
      <c r="K18" s="112">
        <v>107.38</v>
      </c>
      <c r="L18" s="112">
        <v>26.04</v>
      </c>
      <c r="M18" s="112">
        <v>95.27</v>
      </c>
      <c r="N18" s="112">
        <v>2</v>
      </c>
      <c r="O18" s="112">
        <v>0</v>
      </c>
      <c r="P18" s="112">
        <v>0.45</v>
      </c>
      <c r="Q18" s="112">
        <v>4.53</v>
      </c>
    </row>
    <row r="19" spans="1:17" customFormat="1">
      <c r="A19" s="80">
        <v>45482.114583333336</v>
      </c>
      <c r="B19" s="112">
        <v>9.3000000000000007</v>
      </c>
      <c r="C19" s="112">
        <v>4.04</v>
      </c>
      <c r="D19" s="112">
        <v>14.02</v>
      </c>
      <c r="E19" s="112">
        <v>7.61</v>
      </c>
      <c r="F19" s="112">
        <v>5.46</v>
      </c>
      <c r="G19" s="112">
        <v>25.23</v>
      </c>
      <c r="H19" s="112">
        <v>4.67</v>
      </c>
      <c r="I19" s="112">
        <v>4.95</v>
      </c>
      <c r="J19" s="112">
        <v>0.37</v>
      </c>
      <c r="K19" s="112">
        <v>38.97</v>
      </c>
      <c r="L19" s="112">
        <v>25.93</v>
      </c>
      <c r="M19" s="112">
        <v>94.21</v>
      </c>
      <c r="N19" s="112">
        <v>1.8</v>
      </c>
      <c r="O19" s="112">
        <v>0</v>
      </c>
      <c r="P19" s="112">
        <v>0.43</v>
      </c>
      <c r="Q19" s="112">
        <v>4.5199999999999996</v>
      </c>
    </row>
    <row r="20" spans="1:17" customFormat="1">
      <c r="A20" s="80">
        <v>45482.125</v>
      </c>
      <c r="B20" s="112">
        <v>9.31</v>
      </c>
      <c r="C20" s="112">
        <v>4.05</v>
      </c>
      <c r="D20" s="112">
        <v>14.04</v>
      </c>
      <c r="E20" s="112">
        <v>7.71</v>
      </c>
      <c r="F20" s="112">
        <v>4.8499999999999996</v>
      </c>
      <c r="G20" s="112">
        <v>21.52</v>
      </c>
      <c r="H20" s="112">
        <v>4.26</v>
      </c>
      <c r="I20" s="112">
        <v>4.92</v>
      </c>
      <c r="J20" s="112">
        <v>0.14000000000000001</v>
      </c>
      <c r="K20" s="112">
        <v>197.44</v>
      </c>
      <c r="L20" s="112">
        <v>26.05</v>
      </c>
      <c r="M20" s="112">
        <v>94.9</v>
      </c>
      <c r="N20" s="112">
        <v>1.9</v>
      </c>
      <c r="O20" s="112">
        <v>0</v>
      </c>
      <c r="P20" s="112">
        <v>0.43</v>
      </c>
      <c r="Q20" s="112">
        <v>4.5</v>
      </c>
    </row>
    <row r="21" spans="1:17" customFormat="1">
      <c r="A21" s="80">
        <v>45482.135416666664</v>
      </c>
      <c r="B21" s="112">
        <v>9.32</v>
      </c>
      <c r="C21" s="112">
        <v>4.05</v>
      </c>
      <c r="D21" s="112">
        <v>14.04</v>
      </c>
      <c r="E21" s="112">
        <v>6.74</v>
      </c>
      <c r="F21" s="112">
        <v>4.55</v>
      </c>
      <c r="G21" s="112">
        <v>21.52</v>
      </c>
      <c r="H21" s="112">
        <v>4.26</v>
      </c>
      <c r="I21" s="112">
        <v>4.54</v>
      </c>
      <c r="J21" s="112">
        <v>0.21</v>
      </c>
      <c r="K21" s="112">
        <v>199.97</v>
      </c>
      <c r="L21" s="112">
        <v>25.69</v>
      </c>
      <c r="M21" s="112">
        <v>96.71</v>
      </c>
      <c r="N21" s="112">
        <v>2.1</v>
      </c>
      <c r="O21" s="112">
        <v>0</v>
      </c>
      <c r="P21" s="112">
        <v>0.43</v>
      </c>
      <c r="Q21" s="112">
        <v>3.25</v>
      </c>
    </row>
    <row r="22" spans="1:17" customFormat="1">
      <c r="A22" s="80">
        <v>45482.145833333336</v>
      </c>
      <c r="B22" s="112">
        <v>9.31</v>
      </c>
      <c r="C22" s="112">
        <v>4.09</v>
      </c>
      <c r="D22" s="112">
        <v>14.06</v>
      </c>
      <c r="E22" s="112">
        <v>7.28</v>
      </c>
      <c r="F22" s="112">
        <v>4.25</v>
      </c>
      <c r="G22" s="112">
        <v>21.52</v>
      </c>
      <c r="H22" s="112">
        <v>4.26</v>
      </c>
      <c r="I22" s="112">
        <v>4.6900000000000004</v>
      </c>
      <c r="J22" s="112">
        <v>0</v>
      </c>
      <c r="K22" s="112">
        <v>27.4</v>
      </c>
      <c r="L22" s="112">
        <v>25.63</v>
      </c>
      <c r="M22" s="112">
        <v>96.49</v>
      </c>
      <c r="N22" s="112">
        <v>1.9</v>
      </c>
      <c r="O22" s="112">
        <v>0</v>
      </c>
      <c r="P22" s="112">
        <v>0.42</v>
      </c>
      <c r="Q22" s="112">
        <v>4.5599999999999996</v>
      </c>
    </row>
    <row r="23" spans="1:17" customFormat="1">
      <c r="A23" s="80">
        <v>45482.15625</v>
      </c>
      <c r="B23" s="112">
        <v>9.31</v>
      </c>
      <c r="C23" s="112">
        <v>4.09</v>
      </c>
      <c r="D23" s="112">
        <v>14.06</v>
      </c>
      <c r="E23" s="112">
        <v>6.57</v>
      </c>
      <c r="F23" s="112">
        <v>4.13</v>
      </c>
      <c r="G23" s="112">
        <v>20.51</v>
      </c>
      <c r="H23" s="112">
        <v>3.46</v>
      </c>
      <c r="I23" s="112">
        <v>4.7699999999999996</v>
      </c>
      <c r="J23" s="112">
        <v>0.11</v>
      </c>
      <c r="K23" s="112">
        <v>325.39999999999998</v>
      </c>
      <c r="L23" s="112">
        <v>25.62</v>
      </c>
      <c r="M23" s="112">
        <v>96.68</v>
      </c>
      <c r="N23" s="112">
        <v>1.7</v>
      </c>
      <c r="O23" s="112">
        <v>0</v>
      </c>
      <c r="P23" s="112">
        <v>0.41</v>
      </c>
      <c r="Q23" s="112">
        <v>4.55</v>
      </c>
    </row>
    <row r="24" spans="1:17" customFormat="1">
      <c r="A24" s="80">
        <v>45482.166666666664</v>
      </c>
      <c r="B24" s="112">
        <v>9.32</v>
      </c>
      <c r="C24" s="112">
        <v>4.0999999999999996</v>
      </c>
      <c r="D24" s="112">
        <v>14.06</v>
      </c>
      <c r="E24" s="112">
        <v>6.63</v>
      </c>
      <c r="F24" s="112">
        <v>3.98</v>
      </c>
      <c r="G24" s="112">
        <v>19.73</v>
      </c>
      <c r="H24" s="112">
        <v>3.2</v>
      </c>
      <c r="I24" s="112">
        <v>4.6500000000000004</v>
      </c>
      <c r="J24" s="112">
        <v>0.11</v>
      </c>
      <c r="K24" s="112">
        <v>71.290000000000006</v>
      </c>
      <c r="L24" s="112">
        <v>25.7</v>
      </c>
      <c r="M24" s="112">
        <v>96.05</v>
      </c>
      <c r="N24" s="112">
        <v>1.9</v>
      </c>
      <c r="O24" s="112">
        <v>0</v>
      </c>
      <c r="P24" s="112">
        <v>0.4</v>
      </c>
      <c r="Q24" s="112">
        <v>4.55</v>
      </c>
    </row>
    <row r="25" spans="1:17" customFormat="1">
      <c r="A25" s="80">
        <v>45482.177083333336</v>
      </c>
      <c r="B25" s="112">
        <v>9.32</v>
      </c>
      <c r="C25" s="112">
        <v>4.0999999999999996</v>
      </c>
      <c r="D25" s="112">
        <v>14.07</v>
      </c>
      <c r="E25" s="112">
        <v>6.44</v>
      </c>
      <c r="F25" s="112">
        <v>4.01</v>
      </c>
      <c r="G25" s="112">
        <v>19.73</v>
      </c>
      <c r="H25" s="112">
        <v>3.2</v>
      </c>
      <c r="I25" s="112">
        <v>4.49</v>
      </c>
      <c r="J25" s="112">
        <v>0.18</v>
      </c>
      <c r="K25" s="112">
        <v>184.28</v>
      </c>
      <c r="L25" s="112">
        <v>25.73</v>
      </c>
      <c r="M25" s="112">
        <v>96.65</v>
      </c>
      <c r="N25" s="112">
        <v>1.9</v>
      </c>
      <c r="O25" s="112">
        <v>0</v>
      </c>
      <c r="P25" s="112">
        <v>0.4</v>
      </c>
      <c r="Q25" s="112">
        <v>4.54</v>
      </c>
    </row>
    <row r="26" spans="1:17" customFormat="1">
      <c r="A26" s="80">
        <v>45482.1875</v>
      </c>
      <c r="B26" s="112">
        <v>9.32</v>
      </c>
      <c r="C26" s="112">
        <v>4.09</v>
      </c>
      <c r="D26" s="112">
        <v>14.06</v>
      </c>
      <c r="E26" s="112">
        <v>6.51</v>
      </c>
      <c r="F26" s="112">
        <v>4.16</v>
      </c>
      <c r="G26" s="112">
        <v>19.73</v>
      </c>
      <c r="H26" s="112">
        <v>3.2</v>
      </c>
      <c r="I26" s="112">
        <v>4.33</v>
      </c>
      <c r="J26" s="112">
        <v>0.13</v>
      </c>
      <c r="K26" s="112">
        <v>219.73</v>
      </c>
      <c r="L26" s="112">
        <v>25.58</v>
      </c>
      <c r="M26" s="112">
        <v>97.31</v>
      </c>
      <c r="N26" s="112">
        <v>2.1</v>
      </c>
      <c r="O26" s="112">
        <v>0</v>
      </c>
      <c r="P26" s="112">
        <v>0.39</v>
      </c>
      <c r="Q26" s="112">
        <v>4.54</v>
      </c>
    </row>
    <row r="27" spans="1:17" customFormat="1">
      <c r="A27" s="80">
        <v>45482.197916666664</v>
      </c>
      <c r="B27" s="112">
        <v>9.31</v>
      </c>
      <c r="C27" s="112">
        <v>4.0999999999999996</v>
      </c>
      <c r="D27" s="112">
        <v>14.06</v>
      </c>
      <c r="E27" s="112">
        <v>5.6</v>
      </c>
      <c r="F27" s="112">
        <v>5.09</v>
      </c>
      <c r="G27" s="112">
        <v>20.72</v>
      </c>
      <c r="H27" s="112">
        <v>2.42</v>
      </c>
      <c r="I27" s="112">
        <v>4.54</v>
      </c>
      <c r="J27" s="112">
        <v>0.12</v>
      </c>
      <c r="K27" s="112">
        <v>200.37</v>
      </c>
      <c r="L27" s="112">
        <v>25.35</v>
      </c>
      <c r="M27" s="112">
        <v>99.02</v>
      </c>
      <c r="N27" s="112">
        <v>2</v>
      </c>
      <c r="O27" s="112">
        <v>0</v>
      </c>
      <c r="P27" s="112">
        <v>0.37</v>
      </c>
      <c r="Q27" s="112">
        <v>4.54</v>
      </c>
    </row>
    <row r="28" spans="1:17" customFormat="1">
      <c r="A28" s="80">
        <v>45482.208333333336</v>
      </c>
      <c r="B28" s="112">
        <v>9.3000000000000007</v>
      </c>
      <c r="C28" s="112">
        <v>4.08</v>
      </c>
      <c r="D28" s="112">
        <v>14.04</v>
      </c>
      <c r="E28" s="112">
        <v>6.54</v>
      </c>
      <c r="F28" s="112">
        <v>5.18</v>
      </c>
      <c r="G28" s="112">
        <v>21.47</v>
      </c>
      <c r="H28" s="112">
        <v>2.17</v>
      </c>
      <c r="I28" s="112">
        <v>4.3899999999999997</v>
      </c>
      <c r="J28" s="112">
        <v>0.09</v>
      </c>
      <c r="K28" s="112">
        <v>165.14</v>
      </c>
      <c r="L28" s="112">
        <v>25.35</v>
      </c>
      <c r="M28" s="112">
        <v>97.86</v>
      </c>
      <c r="N28" s="112">
        <v>2.1</v>
      </c>
      <c r="O28" s="112">
        <v>0</v>
      </c>
      <c r="P28" s="112">
        <v>0.37</v>
      </c>
      <c r="Q28" s="112">
        <v>4.54</v>
      </c>
    </row>
    <row r="29" spans="1:17" customFormat="1">
      <c r="A29" s="80">
        <v>45482.21875</v>
      </c>
      <c r="B29" s="112">
        <v>9.33</v>
      </c>
      <c r="C29" s="112">
        <v>4.05</v>
      </c>
      <c r="D29" s="112">
        <v>14.05</v>
      </c>
      <c r="E29" s="112">
        <v>6.09</v>
      </c>
      <c r="F29" s="112">
        <v>5.93</v>
      </c>
      <c r="G29" s="112">
        <v>21.47</v>
      </c>
      <c r="H29" s="112">
        <v>2.17</v>
      </c>
      <c r="I29" s="112">
        <v>4.26</v>
      </c>
      <c r="J29" s="112">
        <v>0.17</v>
      </c>
      <c r="K29" s="112">
        <v>98.19</v>
      </c>
      <c r="L29" s="112">
        <v>25.41</v>
      </c>
      <c r="M29" s="112">
        <v>97.84</v>
      </c>
      <c r="N29" s="112">
        <v>3.5</v>
      </c>
      <c r="O29" s="112">
        <v>0</v>
      </c>
      <c r="P29" s="112">
        <v>0.36</v>
      </c>
      <c r="Q29" s="112">
        <v>4.54</v>
      </c>
    </row>
    <row r="30" spans="1:17" customFormat="1">
      <c r="A30" s="80">
        <v>45482.229166666664</v>
      </c>
      <c r="B30" s="112">
        <v>9.34</v>
      </c>
      <c r="C30" s="112">
        <v>4.07</v>
      </c>
      <c r="D30" s="112">
        <v>14.07</v>
      </c>
      <c r="E30" s="112">
        <v>5.91</v>
      </c>
      <c r="F30" s="112">
        <v>5.36</v>
      </c>
      <c r="G30" s="112">
        <v>21.47</v>
      </c>
      <c r="H30" s="112">
        <v>2.17</v>
      </c>
      <c r="I30" s="112">
        <v>4.16</v>
      </c>
      <c r="J30" s="112">
        <v>0.13</v>
      </c>
      <c r="K30" s="112">
        <v>203.07</v>
      </c>
      <c r="L30" s="112">
        <v>25.52</v>
      </c>
      <c r="M30" s="112">
        <v>97.28</v>
      </c>
      <c r="N30" s="112">
        <v>6.3</v>
      </c>
      <c r="O30" s="112">
        <v>0</v>
      </c>
      <c r="P30" s="112">
        <v>0.35</v>
      </c>
      <c r="Q30" s="112">
        <v>4.55</v>
      </c>
    </row>
    <row r="31" spans="1:17" customFormat="1">
      <c r="A31" s="80">
        <v>45482.239583333336</v>
      </c>
      <c r="B31" s="112">
        <v>9.36</v>
      </c>
      <c r="C31" s="112">
        <v>4.07</v>
      </c>
      <c r="D31" s="112">
        <v>14.08</v>
      </c>
      <c r="E31" s="112">
        <v>5.54</v>
      </c>
      <c r="F31" s="112">
        <v>5.62</v>
      </c>
      <c r="G31" s="112">
        <v>18.73</v>
      </c>
      <c r="H31" s="112">
        <v>1.89</v>
      </c>
      <c r="I31" s="112">
        <v>4</v>
      </c>
      <c r="J31" s="112">
        <v>0.11</v>
      </c>
      <c r="K31" s="112">
        <v>181.29</v>
      </c>
      <c r="L31" s="112">
        <v>25.42</v>
      </c>
      <c r="M31" s="112">
        <v>98.18</v>
      </c>
      <c r="N31" s="112">
        <v>15.2</v>
      </c>
      <c r="O31" s="112">
        <v>0</v>
      </c>
      <c r="P31" s="112">
        <v>0.35</v>
      </c>
      <c r="Q31" s="112">
        <v>4.53</v>
      </c>
    </row>
    <row r="32" spans="1:17" customFormat="1">
      <c r="A32" s="80">
        <v>45482.25</v>
      </c>
      <c r="B32" s="112">
        <v>9.35</v>
      </c>
      <c r="C32" s="112">
        <v>4.08</v>
      </c>
      <c r="D32" s="112">
        <v>14.08</v>
      </c>
      <c r="E32" s="112">
        <v>6.81</v>
      </c>
      <c r="F32" s="112">
        <v>4.6900000000000004</v>
      </c>
      <c r="G32" s="112">
        <v>16.63</v>
      </c>
      <c r="H32" s="112">
        <v>1.8</v>
      </c>
      <c r="I32" s="112">
        <v>4.08</v>
      </c>
      <c r="J32" s="112">
        <v>0.06</v>
      </c>
      <c r="K32" s="112">
        <v>170.55</v>
      </c>
      <c r="L32" s="112">
        <v>25.59</v>
      </c>
      <c r="M32" s="112">
        <v>98.47</v>
      </c>
      <c r="N32" s="112">
        <v>27</v>
      </c>
      <c r="O32" s="112">
        <v>0</v>
      </c>
      <c r="P32" s="112">
        <v>0.36</v>
      </c>
      <c r="Q32" s="112">
        <v>4.5199999999999996</v>
      </c>
    </row>
    <row r="33" spans="1:17" customFormat="1">
      <c r="A33" s="80">
        <v>45482.260416666664</v>
      </c>
      <c r="B33" s="112">
        <v>9.33</v>
      </c>
      <c r="C33" s="112">
        <v>4.08</v>
      </c>
      <c r="D33" s="112">
        <v>14.07</v>
      </c>
      <c r="E33" s="112">
        <v>6.52</v>
      </c>
      <c r="F33" s="112">
        <v>4.08</v>
      </c>
      <c r="G33" s="112">
        <v>16.63</v>
      </c>
      <c r="H33" s="112">
        <v>1.8</v>
      </c>
      <c r="I33" s="112">
        <v>4.08</v>
      </c>
      <c r="J33" s="112">
        <v>0.14000000000000001</v>
      </c>
      <c r="K33" s="112">
        <v>176.61</v>
      </c>
      <c r="L33" s="112">
        <v>25.89</v>
      </c>
      <c r="M33" s="112">
        <v>96.47</v>
      </c>
      <c r="N33" s="112">
        <v>41</v>
      </c>
      <c r="O33" s="112">
        <v>0</v>
      </c>
      <c r="P33" s="112">
        <v>0.37</v>
      </c>
      <c r="Q33" s="112">
        <v>4.5</v>
      </c>
    </row>
    <row r="34" spans="1:17" customFormat="1">
      <c r="A34" s="80">
        <v>45482.270833333336</v>
      </c>
      <c r="B34" s="112">
        <v>9.34</v>
      </c>
      <c r="C34" s="112">
        <v>4.08</v>
      </c>
      <c r="D34" s="112">
        <v>14.07</v>
      </c>
      <c r="E34" s="112">
        <v>7.36</v>
      </c>
      <c r="F34" s="112">
        <v>3.47</v>
      </c>
      <c r="G34" s="112">
        <v>16.63</v>
      </c>
      <c r="H34" s="112">
        <v>1.8</v>
      </c>
      <c r="I34" s="112">
        <v>3.96</v>
      </c>
      <c r="J34" s="112">
        <v>0.11</v>
      </c>
      <c r="K34" s="112">
        <v>296.58999999999997</v>
      </c>
      <c r="L34" s="112">
        <v>26.29</v>
      </c>
      <c r="M34" s="112">
        <v>95.56</v>
      </c>
      <c r="N34" s="112">
        <v>51.8</v>
      </c>
      <c r="O34" s="112">
        <v>0</v>
      </c>
      <c r="P34" s="112">
        <v>0.4</v>
      </c>
      <c r="Q34" s="112">
        <v>4.5599999999999996</v>
      </c>
    </row>
    <row r="35" spans="1:17" customFormat="1">
      <c r="A35" s="80">
        <v>45482.28125</v>
      </c>
      <c r="B35" s="112">
        <v>9.35</v>
      </c>
      <c r="C35" s="112">
        <v>4.05</v>
      </c>
      <c r="D35" s="112">
        <v>14.06</v>
      </c>
      <c r="E35" s="112">
        <v>7.18</v>
      </c>
      <c r="F35" s="112">
        <v>4.43</v>
      </c>
      <c r="G35" s="112">
        <v>17.71</v>
      </c>
      <c r="H35" s="112">
        <v>3.37</v>
      </c>
      <c r="I35" s="112">
        <v>4.05</v>
      </c>
      <c r="J35" s="112">
        <v>0.22</v>
      </c>
      <c r="K35" s="112">
        <v>260.64999999999998</v>
      </c>
      <c r="L35" s="112">
        <v>26.46</v>
      </c>
      <c r="M35" s="112">
        <v>94.87</v>
      </c>
      <c r="N35" s="112">
        <v>69</v>
      </c>
      <c r="O35" s="112">
        <v>0</v>
      </c>
      <c r="P35" s="112">
        <v>0.38</v>
      </c>
      <c r="Q35" s="112">
        <v>4.55</v>
      </c>
    </row>
    <row r="36" spans="1:17" customFormat="1">
      <c r="A36" s="80">
        <v>45482.291666666664</v>
      </c>
      <c r="B36" s="112">
        <v>9.34</v>
      </c>
      <c r="C36" s="112">
        <v>4.08</v>
      </c>
      <c r="D36" s="112">
        <v>14.07</v>
      </c>
      <c r="E36" s="112">
        <v>7.63</v>
      </c>
      <c r="F36" s="112">
        <v>4.3600000000000003</v>
      </c>
      <c r="G36" s="112">
        <v>18.579999999999998</v>
      </c>
      <c r="H36" s="112">
        <v>4.3899999999999997</v>
      </c>
      <c r="I36" s="112">
        <v>4.3899999999999997</v>
      </c>
      <c r="J36" s="112">
        <v>0.21</v>
      </c>
      <c r="K36" s="112">
        <v>262.83999999999997</v>
      </c>
      <c r="L36" s="112">
        <v>26.67</v>
      </c>
      <c r="M36" s="112">
        <v>92.32</v>
      </c>
      <c r="N36" s="112">
        <v>63.9</v>
      </c>
      <c r="O36" s="112">
        <v>0</v>
      </c>
      <c r="P36" s="112">
        <v>0.34</v>
      </c>
      <c r="Q36" s="112">
        <v>4.55</v>
      </c>
    </row>
    <row r="37" spans="1:17" customFormat="1">
      <c r="A37" s="80">
        <v>45482.302083333336</v>
      </c>
      <c r="B37" s="112">
        <v>9.34</v>
      </c>
      <c r="C37" s="112">
        <v>4.07</v>
      </c>
      <c r="D37" s="112">
        <v>14.07</v>
      </c>
      <c r="E37" s="112">
        <v>7.71</v>
      </c>
      <c r="F37" s="112">
        <v>4.72</v>
      </c>
      <c r="G37" s="112">
        <v>18.579999999999998</v>
      </c>
      <c r="H37" s="112">
        <v>4.3899999999999997</v>
      </c>
      <c r="I37" s="112">
        <v>4.41</v>
      </c>
      <c r="J37" s="112">
        <v>0.1</v>
      </c>
      <c r="K37" s="112">
        <v>226.82</v>
      </c>
      <c r="L37" s="112">
        <v>26.7</v>
      </c>
      <c r="M37" s="112">
        <v>91.98</v>
      </c>
      <c r="N37" s="112">
        <v>43.3</v>
      </c>
      <c r="O37" s="112">
        <v>0</v>
      </c>
      <c r="P37" s="112">
        <v>0.32</v>
      </c>
      <c r="Q37" s="112">
        <v>4.54</v>
      </c>
    </row>
    <row r="38" spans="1:17" customFormat="1">
      <c r="A38" s="80">
        <v>45482.3125</v>
      </c>
      <c r="B38" s="112">
        <v>9.34</v>
      </c>
      <c r="C38" s="112">
        <v>4.08</v>
      </c>
      <c r="D38" s="112">
        <v>14.07</v>
      </c>
      <c r="E38" s="112">
        <v>7.6</v>
      </c>
      <c r="F38" s="112">
        <v>3.94</v>
      </c>
      <c r="G38" s="112">
        <v>18.579999999999998</v>
      </c>
      <c r="H38" s="112">
        <v>4.3899999999999997</v>
      </c>
      <c r="I38" s="112">
        <v>4.0999999999999996</v>
      </c>
      <c r="J38" s="112">
        <v>0.21</v>
      </c>
      <c r="K38" s="112">
        <v>265.07</v>
      </c>
      <c r="L38" s="112">
        <v>26.78</v>
      </c>
      <c r="M38" s="112">
        <v>92.04</v>
      </c>
      <c r="N38" s="112">
        <v>70.3</v>
      </c>
      <c r="O38" s="112">
        <v>0</v>
      </c>
      <c r="P38" s="112">
        <v>0.32</v>
      </c>
      <c r="Q38" s="112">
        <v>4.54</v>
      </c>
    </row>
    <row r="39" spans="1:17" customFormat="1">
      <c r="A39" s="80">
        <v>45482.322916666664</v>
      </c>
      <c r="B39" s="112">
        <v>9.31</v>
      </c>
      <c r="C39" s="112">
        <v>4.08</v>
      </c>
      <c r="D39" s="112">
        <v>14.05</v>
      </c>
      <c r="E39" s="112">
        <v>7.68</v>
      </c>
      <c r="F39" s="112">
        <v>5.31</v>
      </c>
      <c r="G39" s="112">
        <v>15.44</v>
      </c>
      <c r="H39" s="112">
        <v>5.72</v>
      </c>
      <c r="I39" s="112">
        <v>4.01</v>
      </c>
      <c r="J39" s="112">
        <v>0.22</v>
      </c>
      <c r="K39" s="112">
        <v>268.69</v>
      </c>
      <c r="L39" s="112">
        <v>27</v>
      </c>
      <c r="M39" s="112">
        <v>91.05</v>
      </c>
      <c r="N39" s="112">
        <v>88.3</v>
      </c>
      <c r="O39" s="112">
        <v>0</v>
      </c>
      <c r="P39" s="112">
        <v>0.33</v>
      </c>
      <c r="Q39" s="112">
        <v>4.54</v>
      </c>
    </row>
    <row r="40" spans="1:17" customFormat="1">
      <c r="A40" s="80">
        <v>45482.333333333336</v>
      </c>
      <c r="B40" s="112">
        <v>9.3000000000000007</v>
      </c>
      <c r="C40" s="112">
        <v>4.08</v>
      </c>
      <c r="D40" s="112">
        <v>14.04</v>
      </c>
      <c r="E40" s="112">
        <v>8.32</v>
      </c>
      <c r="F40" s="112">
        <v>4.29</v>
      </c>
      <c r="G40" s="112">
        <v>13.04</v>
      </c>
      <c r="H40" s="112">
        <v>6.15</v>
      </c>
      <c r="I40" s="112">
        <v>3.97</v>
      </c>
      <c r="J40" s="112">
        <v>0.3</v>
      </c>
      <c r="K40" s="112">
        <v>269.89</v>
      </c>
      <c r="L40" s="112">
        <v>27.27</v>
      </c>
      <c r="M40" s="112">
        <v>88.93</v>
      </c>
      <c r="N40" s="112">
        <v>133.5</v>
      </c>
      <c r="O40" s="112">
        <v>0</v>
      </c>
      <c r="P40" s="112">
        <v>0.32</v>
      </c>
      <c r="Q40" s="112">
        <v>4.54</v>
      </c>
    </row>
    <row r="41" spans="1:17" customFormat="1">
      <c r="A41" s="80">
        <v>45482.34375</v>
      </c>
      <c r="B41" s="112">
        <v>9.3000000000000007</v>
      </c>
      <c r="C41" s="112">
        <v>4.07</v>
      </c>
      <c r="D41" s="112">
        <v>14.03</v>
      </c>
      <c r="E41" s="112">
        <v>8.0500000000000007</v>
      </c>
      <c r="F41" s="112">
        <v>3.62</v>
      </c>
      <c r="G41" s="112">
        <v>13.04</v>
      </c>
      <c r="H41" s="112">
        <v>6.15</v>
      </c>
      <c r="I41" s="112">
        <v>3.92</v>
      </c>
      <c r="J41" s="112">
        <v>0.21</v>
      </c>
      <c r="K41" s="112">
        <v>248.11</v>
      </c>
      <c r="L41" s="112">
        <v>27.75</v>
      </c>
      <c r="M41" s="112">
        <v>87</v>
      </c>
      <c r="N41" s="112">
        <v>163.5</v>
      </c>
      <c r="O41" s="112">
        <v>0</v>
      </c>
      <c r="P41" s="112">
        <v>0.31</v>
      </c>
      <c r="Q41" s="112">
        <v>4.54</v>
      </c>
    </row>
    <row r="42" spans="1:17" customFormat="1">
      <c r="A42" s="80">
        <v>45482.354166666664</v>
      </c>
      <c r="B42" s="112">
        <v>9.2899999999999991</v>
      </c>
      <c r="C42" s="112">
        <v>4.1100000000000003</v>
      </c>
      <c r="D42" s="112">
        <v>14.04</v>
      </c>
      <c r="E42" s="112">
        <v>8.08</v>
      </c>
      <c r="F42" s="112">
        <v>3.65</v>
      </c>
      <c r="G42" s="112">
        <v>13.04</v>
      </c>
      <c r="H42" s="112">
        <v>6.15</v>
      </c>
      <c r="I42" s="112">
        <v>3.86</v>
      </c>
      <c r="J42" s="112">
        <v>0.47</v>
      </c>
      <c r="K42" s="112">
        <v>295.75</v>
      </c>
      <c r="L42" s="112">
        <v>28.43</v>
      </c>
      <c r="M42" s="112">
        <v>84.36</v>
      </c>
      <c r="N42" s="112">
        <v>209.2</v>
      </c>
      <c r="O42" s="112">
        <v>0</v>
      </c>
      <c r="P42" s="112">
        <v>0.31</v>
      </c>
      <c r="Q42" s="112">
        <v>4.55</v>
      </c>
    </row>
    <row r="43" spans="1:17" customFormat="1">
      <c r="A43" s="80">
        <v>45482.364583333336</v>
      </c>
      <c r="B43" s="112">
        <v>9.3000000000000007</v>
      </c>
      <c r="C43" s="112">
        <v>4.07</v>
      </c>
      <c r="D43" s="112">
        <v>14.03</v>
      </c>
      <c r="E43" s="112">
        <v>8.93</v>
      </c>
      <c r="F43" s="112">
        <v>3.81</v>
      </c>
      <c r="G43" s="112">
        <v>10.82</v>
      </c>
      <c r="H43" s="112">
        <v>12.6</v>
      </c>
      <c r="I43" s="112">
        <v>3.82</v>
      </c>
      <c r="J43" s="112">
        <v>0.31</v>
      </c>
      <c r="K43" s="112">
        <v>261.82</v>
      </c>
      <c r="L43" s="112">
        <v>29.01</v>
      </c>
      <c r="M43" s="112">
        <v>82</v>
      </c>
      <c r="N43" s="112">
        <v>211.8</v>
      </c>
      <c r="O43" s="112">
        <v>0</v>
      </c>
      <c r="P43" s="112">
        <v>0.31</v>
      </c>
      <c r="Q43" s="112">
        <v>4.53</v>
      </c>
    </row>
    <row r="44" spans="1:17" customFormat="1">
      <c r="A44" s="80">
        <v>45482.375</v>
      </c>
      <c r="B44" s="112">
        <v>9.2899999999999991</v>
      </c>
      <c r="C44" s="112">
        <v>4.08</v>
      </c>
      <c r="D44" s="112">
        <v>14.03</v>
      </c>
      <c r="E44" s="112">
        <v>8.77</v>
      </c>
      <c r="F44" s="112">
        <v>4.0199999999999996</v>
      </c>
      <c r="G44" s="112">
        <v>9.1300000000000008</v>
      </c>
      <c r="H44" s="112">
        <v>14.7</v>
      </c>
      <c r="I44" s="112">
        <v>3.79</v>
      </c>
      <c r="J44" s="112">
        <v>0.32</v>
      </c>
      <c r="K44" s="112">
        <v>273.02</v>
      </c>
      <c r="L44" s="112">
        <v>29.25</v>
      </c>
      <c r="M44" s="112">
        <v>81.2</v>
      </c>
      <c r="N44" s="112">
        <v>203.4</v>
      </c>
      <c r="O44" s="112">
        <v>0</v>
      </c>
      <c r="P44" s="112">
        <v>0.3</v>
      </c>
      <c r="Q44" s="112">
        <v>4.5199999999999996</v>
      </c>
    </row>
    <row r="45" spans="1:17" customFormat="1">
      <c r="A45" s="80">
        <v>45482.385416666664</v>
      </c>
      <c r="B45" s="112">
        <v>9.2899999999999991</v>
      </c>
      <c r="C45" s="112">
        <v>4.07</v>
      </c>
      <c r="D45" s="112">
        <v>14.03</v>
      </c>
      <c r="E45" s="112">
        <v>8.89</v>
      </c>
      <c r="F45" s="112">
        <v>3.69</v>
      </c>
      <c r="G45" s="112">
        <v>9.1300000000000008</v>
      </c>
      <c r="H45" s="112">
        <v>14.7</v>
      </c>
      <c r="I45" s="112">
        <v>3.75</v>
      </c>
      <c r="J45" s="112">
        <v>0.48</v>
      </c>
      <c r="K45" s="112">
        <v>325.89</v>
      </c>
      <c r="L45" s="112">
        <v>29.65</v>
      </c>
      <c r="M45" s="112">
        <v>79.3</v>
      </c>
      <c r="N45" s="112">
        <v>200.9</v>
      </c>
      <c r="O45" s="112">
        <v>0</v>
      </c>
      <c r="P45" s="112">
        <v>0.31</v>
      </c>
      <c r="Q45" s="112">
        <v>4.5</v>
      </c>
    </row>
    <row r="46" spans="1:17" customFormat="1">
      <c r="A46" s="80">
        <v>45482.395833333336</v>
      </c>
      <c r="B46" s="112">
        <v>9.2899999999999991</v>
      </c>
      <c r="C46" s="112">
        <v>4.0999999999999996</v>
      </c>
      <c r="D46" s="112">
        <v>14.04</v>
      </c>
      <c r="E46" s="112">
        <v>8.81</v>
      </c>
      <c r="F46" s="112">
        <v>4.18</v>
      </c>
      <c r="G46" s="112">
        <v>9.1300000000000008</v>
      </c>
      <c r="H46" s="112">
        <v>14.7</v>
      </c>
      <c r="I46" s="112">
        <v>3.72</v>
      </c>
      <c r="J46" s="112">
        <v>0.36</v>
      </c>
      <c r="K46" s="112">
        <v>315.66000000000003</v>
      </c>
      <c r="L46" s="112">
        <v>30.29</v>
      </c>
      <c r="M46" s="112">
        <v>75.16</v>
      </c>
      <c r="N46" s="112">
        <v>219.7</v>
      </c>
      <c r="O46" s="112">
        <v>0</v>
      </c>
      <c r="P46" s="112">
        <v>0.32</v>
      </c>
      <c r="Q46" s="112">
        <v>4.5599999999999996</v>
      </c>
    </row>
    <row r="47" spans="1:17" customFormat="1">
      <c r="A47" s="80">
        <v>45482.40625</v>
      </c>
      <c r="B47" s="112">
        <v>9.3000000000000007</v>
      </c>
      <c r="C47" s="112">
        <v>4.1100000000000003</v>
      </c>
      <c r="D47" s="112">
        <v>14.05</v>
      </c>
      <c r="E47" s="112">
        <v>9.3000000000000007</v>
      </c>
      <c r="F47" s="112">
        <v>4.45</v>
      </c>
      <c r="G47" s="112">
        <v>9.4</v>
      </c>
      <c r="H47" s="112">
        <v>31.13</v>
      </c>
      <c r="I47" s="112">
        <v>3.66</v>
      </c>
      <c r="J47" s="112">
        <v>0.51</v>
      </c>
      <c r="K47" s="112">
        <v>302.39999999999998</v>
      </c>
      <c r="L47" s="112">
        <v>30.81</v>
      </c>
      <c r="M47" s="112">
        <v>73.069999999999993</v>
      </c>
      <c r="N47" s="112">
        <v>235.8</v>
      </c>
      <c r="O47" s="112">
        <v>0</v>
      </c>
      <c r="P47" s="112">
        <v>0.31</v>
      </c>
      <c r="Q47" s="112">
        <v>4.55</v>
      </c>
    </row>
    <row r="48" spans="1:17" customFormat="1">
      <c r="A48" s="80">
        <v>45482.416666666664</v>
      </c>
      <c r="B48" s="112">
        <v>9.31</v>
      </c>
      <c r="C48" s="112">
        <v>4.08</v>
      </c>
      <c r="D48" s="112">
        <v>14.05</v>
      </c>
      <c r="E48" s="112">
        <v>8.7100000000000009</v>
      </c>
      <c r="F48" s="112">
        <v>4.2300000000000004</v>
      </c>
      <c r="G48" s="112">
        <v>9.61</v>
      </c>
      <c r="H48" s="112">
        <v>36.39</v>
      </c>
      <c r="I48" s="112">
        <v>3.65</v>
      </c>
      <c r="J48" s="112">
        <v>0.25</v>
      </c>
      <c r="K48" s="112">
        <v>256.23</v>
      </c>
      <c r="L48" s="112">
        <v>30.96</v>
      </c>
      <c r="M48" s="112">
        <v>73.45</v>
      </c>
      <c r="N48" s="112">
        <v>235</v>
      </c>
      <c r="O48" s="112">
        <v>0</v>
      </c>
      <c r="P48" s="112">
        <v>0.31</v>
      </c>
      <c r="Q48" s="112">
        <v>4.55</v>
      </c>
    </row>
    <row r="49" spans="1:17" customFormat="1">
      <c r="A49" s="80">
        <v>45482.427083333336</v>
      </c>
      <c r="B49" s="112">
        <v>9.31</v>
      </c>
      <c r="C49" s="112">
        <v>4.0999999999999996</v>
      </c>
      <c r="D49" s="112">
        <v>14.06</v>
      </c>
      <c r="E49" s="112">
        <v>8.81</v>
      </c>
      <c r="F49" s="112">
        <v>4.6399999999999997</v>
      </c>
      <c r="G49" s="112">
        <v>9.61</v>
      </c>
      <c r="H49" s="112">
        <v>36.39</v>
      </c>
      <c r="I49" s="112">
        <v>3.68</v>
      </c>
      <c r="J49" s="112">
        <v>0.37</v>
      </c>
      <c r="K49" s="112">
        <v>287.29000000000002</v>
      </c>
      <c r="L49" s="112">
        <v>31.19</v>
      </c>
      <c r="M49" s="112">
        <v>71.760000000000005</v>
      </c>
      <c r="N49" s="112">
        <v>206.7</v>
      </c>
      <c r="O49" s="112">
        <v>0</v>
      </c>
      <c r="P49" s="112">
        <v>0.32</v>
      </c>
      <c r="Q49" s="112">
        <v>4.54</v>
      </c>
    </row>
    <row r="50" spans="1:17" customFormat="1">
      <c r="A50" s="80">
        <v>45482.4375</v>
      </c>
      <c r="B50" s="112">
        <v>9.32</v>
      </c>
      <c r="C50" s="112">
        <v>4.08</v>
      </c>
      <c r="D50" s="112">
        <v>14.06</v>
      </c>
      <c r="E50" s="112">
        <v>10.55</v>
      </c>
      <c r="F50" s="112">
        <v>5.13</v>
      </c>
      <c r="G50" s="112">
        <v>9.61</v>
      </c>
      <c r="H50" s="112">
        <v>36.39</v>
      </c>
      <c r="I50" s="112">
        <v>3.78</v>
      </c>
      <c r="J50" s="112">
        <v>0.52</v>
      </c>
      <c r="K50" s="112">
        <v>287.93</v>
      </c>
      <c r="L50" s="112">
        <v>30.8</v>
      </c>
      <c r="M50" s="112">
        <v>73.55</v>
      </c>
      <c r="N50" s="112">
        <v>268.2</v>
      </c>
      <c r="O50" s="112">
        <v>0</v>
      </c>
      <c r="P50" s="112">
        <v>0.31</v>
      </c>
      <c r="Q50" s="112">
        <v>4.54</v>
      </c>
    </row>
    <row r="51" spans="1:17" customFormat="1">
      <c r="A51" s="80">
        <v>45482.447916666664</v>
      </c>
      <c r="B51" s="112">
        <v>9.32</v>
      </c>
      <c r="C51" s="112">
        <v>4.0599999999999996</v>
      </c>
      <c r="D51" s="112">
        <v>14.04</v>
      </c>
      <c r="E51" s="112">
        <v>10.73</v>
      </c>
      <c r="F51" s="112">
        <v>4.8600000000000003</v>
      </c>
      <c r="G51" s="112">
        <v>14.16</v>
      </c>
      <c r="H51" s="112">
        <v>37.340000000000003</v>
      </c>
      <c r="I51" s="112">
        <v>3.87</v>
      </c>
      <c r="J51" s="112">
        <v>0.52</v>
      </c>
      <c r="K51" s="112">
        <v>267.29000000000002</v>
      </c>
      <c r="L51" s="112">
        <v>31.34</v>
      </c>
      <c r="M51" s="112">
        <v>71.849999999999994</v>
      </c>
      <c r="N51" s="112">
        <v>252.8</v>
      </c>
      <c r="O51" s="112">
        <v>0</v>
      </c>
      <c r="P51" s="112">
        <v>0.31</v>
      </c>
      <c r="Q51" s="112">
        <v>4.54</v>
      </c>
    </row>
    <row r="52" spans="1:17" customFormat="1">
      <c r="A52" s="80">
        <v>45482.458333333336</v>
      </c>
      <c r="B52" s="112">
        <v>9.33</v>
      </c>
      <c r="C52" s="112">
        <v>4.04</v>
      </c>
      <c r="D52" s="112">
        <v>14.04</v>
      </c>
      <c r="E52" s="112">
        <v>10.86</v>
      </c>
      <c r="F52" s="112">
        <v>5.39</v>
      </c>
      <c r="G52" s="112">
        <v>17.63</v>
      </c>
      <c r="H52" s="112">
        <v>37.65</v>
      </c>
      <c r="I52" s="112">
        <v>3.82</v>
      </c>
      <c r="J52" s="112">
        <v>0.38</v>
      </c>
      <c r="K52" s="112">
        <v>261.87</v>
      </c>
      <c r="L52" s="112">
        <v>31.62</v>
      </c>
      <c r="M52" s="112">
        <v>71.319999999999993</v>
      </c>
      <c r="N52" s="112">
        <v>170.4</v>
      </c>
      <c r="O52" s="112">
        <v>0</v>
      </c>
      <c r="P52" s="112">
        <v>0.31</v>
      </c>
      <c r="Q52" s="112">
        <v>4.54</v>
      </c>
    </row>
    <row r="53" spans="1:17" customFormat="1">
      <c r="A53" s="80">
        <v>45482.46875</v>
      </c>
      <c r="B53" s="112">
        <v>9.32</v>
      </c>
      <c r="C53" s="112">
        <v>4.0599999999999996</v>
      </c>
      <c r="D53" s="112">
        <v>14.05</v>
      </c>
      <c r="E53" s="112">
        <v>10.96</v>
      </c>
      <c r="F53" s="112">
        <v>5.15</v>
      </c>
      <c r="G53" s="112">
        <v>17.63</v>
      </c>
      <c r="H53" s="112">
        <v>37.65</v>
      </c>
      <c r="I53" s="112">
        <v>3.72</v>
      </c>
      <c r="J53" s="112">
        <v>0.33</v>
      </c>
      <c r="K53" s="112">
        <v>258.06</v>
      </c>
      <c r="L53" s="112">
        <v>30.84</v>
      </c>
      <c r="M53" s="112">
        <v>74.25</v>
      </c>
      <c r="N53" s="112">
        <v>223.2</v>
      </c>
      <c r="O53" s="112">
        <v>0</v>
      </c>
      <c r="P53" s="112">
        <v>0.28999999999999998</v>
      </c>
      <c r="Q53" s="112">
        <v>4.54</v>
      </c>
    </row>
    <row r="54" spans="1:17" customFormat="1">
      <c r="A54" s="80">
        <v>45482.479166666664</v>
      </c>
      <c r="B54" s="112">
        <v>9.34</v>
      </c>
      <c r="C54" s="112">
        <v>4.0199999999999996</v>
      </c>
      <c r="D54" s="112">
        <v>14.04</v>
      </c>
      <c r="E54" s="112">
        <v>10.86</v>
      </c>
      <c r="F54" s="112">
        <v>5.9</v>
      </c>
      <c r="G54" s="112">
        <v>17.63</v>
      </c>
      <c r="H54" s="112">
        <v>37.65</v>
      </c>
      <c r="I54" s="112">
        <v>3.81</v>
      </c>
      <c r="J54" s="112">
        <v>0.39</v>
      </c>
      <c r="K54" s="112">
        <v>249.66</v>
      </c>
      <c r="L54" s="112">
        <v>31.65</v>
      </c>
      <c r="M54" s="112">
        <v>71.430000000000007</v>
      </c>
      <c r="N54" s="112">
        <v>245.3</v>
      </c>
      <c r="O54" s="112">
        <v>0</v>
      </c>
      <c r="P54" s="112">
        <v>0.32</v>
      </c>
      <c r="Q54" s="112">
        <v>4.55</v>
      </c>
    </row>
    <row r="55" spans="1:17" customFormat="1">
      <c r="A55" s="80">
        <v>45482.489583333336</v>
      </c>
      <c r="B55" s="112">
        <v>9.32</v>
      </c>
      <c r="C55" s="112">
        <v>4.04</v>
      </c>
      <c r="D55" s="112">
        <v>14.03</v>
      </c>
      <c r="E55" s="112">
        <v>10.94</v>
      </c>
      <c r="F55" s="112">
        <v>7.11</v>
      </c>
      <c r="G55" s="112">
        <v>21.23</v>
      </c>
      <c r="H55" s="112">
        <v>38.770000000000003</v>
      </c>
      <c r="I55" s="112">
        <v>3.66</v>
      </c>
      <c r="J55" s="112">
        <v>0.51</v>
      </c>
      <c r="K55" s="112">
        <v>268.08999999999997</v>
      </c>
      <c r="L55" s="112">
        <v>30.61</v>
      </c>
      <c r="M55" s="112">
        <v>76.75</v>
      </c>
      <c r="N55" s="112">
        <v>202.3</v>
      </c>
      <c r="O55" s="112">
        <v>0</v>
      </c>
      <c r="P55" s="112">
        <v>0.35</v>
      </c>
      <c r="Q55" s="112">
        <v>4.53</v>
      </c>
    </row>
    <row r="56" spans="1:17" customFormat="1">
      <c r="A56" s="80">
        <v>45482.5</v>
      </c>
      <c r="B56" s="112">
        <v>9.34</v>
      </c>
      <c r="C56" s="112">
        <v>4.04</v>
      </c>
      <c r="D56" s="112">
        <v>14.05</v>
      </c>
      <c r="E56" s="112">
        <v>10.65</v>
      </c>
      <c r="F56" s="112">
        <v>7.73</v>
      </c>
      <c r="G56" s="112">
        <v>23.97</v>
      </c>
      <c r="H56" s="112">
        <v>39.119999999999997</v>
      </c>
      <c r="I56" s="112">
        <v>3.73</v>
      </c>
      <c r="J56" s="112">
        <v>0.28000000000000003</v>
      </c>
      <c r="K56" s="112">
        <v>263.47000000000003</v>
      </c>
      <c r="L56" s="112">
        <v>31.31</v>
      </c>
      <c r="M56" s="112">
        <v>73.650000000000006</v>
      </c>
      <c r="N56" s="112">
        <v>393.3</v>
      </c>
      <c r="O56" s="112">
        <v>0</v>
      </c>
      <c r="P56" s="112">
        <v>0.35</v>
      </c>
      <c r="Q56" s="112">
        <v>4.5199999999999996</v>
      </c>
    </row>
    <row r="57" spans="1:17" customFormat="1">
      <c r="A57" s="80">
        <v>45482.510416666664</v>
      </c>
      <c r="B57" s="112">
        <v>9.32</v>
      </c>
      <c r="C57" s="112">
        <v>4.07</v>
      </c>
      <c r="D57" s="112">
        <v>14.05</v>
      </c>
      <c r="E57" s="112">
        <v>9.41</v>
      </c>
      <c r="F57" s="112">
        <v>9.16</v>
      </c>
      <c r="G57" s="112">
        <v>23.97</v>
      </c>
      <c r="H57" s="112">
        <v>39.119999999999997</v>
      </c>
      <c r="I57" s="112">
        <v>3.57</v>
      </c>
      <c r="J57" s="112">
        <v>0.42</v>
      </c>
      <c r="K57" s="112">
        <v>297.25</v>
      </c>
      <c r="L57" s="112">
        <v>31.69</v>
      </c>
      <c r="M57" s="112">
        <v>71.28</v>
      </c>
      <c r="N57" s="112">
        <v>433.5</v>
      </c>
      <c r="O57" s="112">
        <v>0</v>
      </c>
      <c r="P57" s="112">
        <v>0.35</v>
      </c>
      <c r="Q57" s="112">
        <v>4.5</v>
      </c>
    </row>
    <row r="58" spans="1:17" customFormat="1">
      <c r="A58" s="80">
        <v>45482.520833333336</v>
      </c>
      <c r="B58" s="112">
        <v>9.32</v>
      </c>
      <c r="C58" s="112">
        <v>4.08</v>
      </c>
      <c r="D58" s="112">
        <v>14.06</v>
      </c>
      <c r="E58" s="112">
        <v>9.42</v>
      </c>
      <c r="F58" s="112">
        <v>9.27</v>
      </c>
      <c r="G58" s="112">
        <v>23.97</v>
      </c>
      <c r="H58" s="112">
        <v>39.119999999999997</v>
      </c>
      <c r="I58" s="112">
        <v>3.6</v>
      </c>
      <c r="J58" s="112">
        <v>0.08</v>
      </c>
      <c r="K58" s="112">
        <v>265.16000000000003</v>
      </c>
      <c r="L58" s="112">
        <v>32.729999999999997</v>
      </c>
      <c r="M58" s="112">
        <v>70.66</v>
      </c>
      <c r="N58" s="112">
        <v>663.8</v>
      </c>
      <c r="O58" s="112">
        <v>0</v>
      </c>
      <c r="P58" s="112">
        <v>0.35</v>
      </c>
      <c r="Q58" s="112">
        <v>4.5599999999999996</v>
      </c>
    </row>
    <row r="59" spans="1:17" customFormat="1">
      <c r="A59" s="80">
        <v>45482.53125</v>
      </c>
      <c r="B59" s="112">
        <v>9.33</v>
      </c>
      <c r="C59" s="112">
        <v>4.09</v>
      </c>
      <c r="D59" s="112">
        <v>14.06</v>
      </c>
      <c r="E59" s="112">
        <v>8.5500000000000007</v>
      </c>
      <c r="F59" s="112">
        <v>12.02</v>
      </c>
      <c r="G59" s="112">
        <v>21.68</v>
      </c>
      <c r="H59" s="112">
        <v>44.18</v>
      </c>
      <c r="I59" s="112">
        <v>3.64</v>
      </c>
      <c r="J59" s="112">
        <v>0.61</v>
      </c>
      <c r="K59" s="112">
        <v>321.38</v>
      </c>
      <c r="L59" s="112">
        <v>33.36</v>
      </c>
      <c r="M59" s="112">
        <v>66.69</v>
      </c>
      <c r="N59" s="112">
        <v>888.2</v>
      </c>
      <c r="O59" s="112">
        <v>0</v>
      </c>
      <c r="P59" s="112">
        <v>0.36</v>
      </c>
      <c r="Q59" s="112">
        <v>4.55</v>
      </c>
    </row>
    <row r="60" spans="1:17" customFormat="1">
      <c r="A60" s="80">
        <v>45482.541666666664</v>
      </c>
      <c r="B60" s="112">
        <v>9.33</v>
      </c>
      <c r="C60" s="112">
        <v>4.07</v>
      </c>
      <c r="D60" s="112">
        <v>14.06</v>
      </c>
      <c r="E60" s="112">
        <v>8.99</v>
      </c>
      <c r="F60" s="112">
        <v>12.88</v>
      </c>
      <c r="G60" s="112">
        <v>19.93</v>
      </c>
      <c r="H60" s="112">
        <v>47.29</v>
      </c>
      <c r="I60" s="112">
        <v>3.63</v>
      </c>
      <c r="J60" s="112">
        <v>0.62</v>
      </c>
      <c r="K60" s="112">
        <v>68.37</v>
      </c>
      <c r="L60" s="112">
        <v>33.53</v>
      </c>
      <c r="M60" s="112">
        <v>65.3</v>
      </c>
      <c r="N60" s="112">
        <v>958.6</v>
      </c>
      <c r="O60" s="112">
        <v>0</v>
      </c>
      <c r="P60" s="112">
        <v>0.35</v>
      </c>
      <c r="Q60" s="112">
        <v>4.55</v>
      </c>
    </row>
    <row r="61" spans="1:17" customFormat="1">
      <c r="A61" s="80">
        <v>45482.552083333336</v>
      </c>
      <c r="B61" s="112">
        <v>9.31</v>
      </c>
      <c r="C61" s="112">
        <v>4.1100000000000003</v>
      </c>
      <c r="D61" s="112">
        <v>14.06</v>
      </c>
      <c r="E61" s="112">
        <v>8.5299999999999994</v>
      </c>
      <c r="F61" s="112">
        <v>16.97</v>
      </c>
      <c r="G61" s="112">
        <v>19.93</v>
      </c>
      <c r="H61" s="112">
        <v>47.29</v>
      </c>
      <c r="I61" s="112">
        <v>3.56</v>
      </c>
      <c r="J61" s="112">
        <v>0.87</v>
      </c>
      <c r="K61" s="112">
        <v>38.08</v>
      </c>
      <c r="L61" s="112">
        <v>33.83</v>
      </c>
      <c r="M61" s="112">
        <v>62.73</v>
      </c>
      <c r="N61" s="112">
        <v>456.6</v>
      </c>
      <c r="O61" s="112">
        <v>0</v>
      </c>
      <c r="P61" s="112">
        <v>0.36</v>
      </c>
      <c r="Q61" s="112">
        <v>4.54</v>
      </c>
    </row>
    <row r="62" spans="1:17" customFormat="1">
      <c r="A62" s="80">
        <v>45482.5625</v>
      </c>
      <c r="B62" s="112">
        <v>9.31</v>
      </c>
      <c r="C62" s="112">
        <v>4.0999999999999996</v>
      </c>
      <c r="D62" s="112">
        <v>14.06</v>
      </c>
      <c r="E62" s="112">
        <v>9.84</v>
      </c>
      <c r="F62" s="112">
        <v>15.37</v>
      </c>
      <c r="G62" s="112">
        <v>19.93</v>
      </c>
      <c r="H62" s="112">
        <v>47.29</v>
      </c>
      <c r="I62" s="112">
        <v>3.67</v>
      </c>
      <c r="J62" s="112">
        <v>0.73</v>
      </c>
      <c r="K62" s="112">
        <v>13.81</v>
      </c>
      <c r="L62" s="112">
        <v>33.65</v>
      </c>
      <c r="M62" s="112">
        <v>62.77</v>
      </c>
      <c r="N62" s="112">
        <v>286.3</v>
      </c>
      <c r="O62" s="112">
        <v>0</v>
      </c>
      <c r="P62" s="112">
        <v>0.38</v>
      </c>
      <c r="Q62" s="112">
        <v>4.54</v>
      </c>
    </row>
    <row r="63" spans="1:17" customFormat="1">
      <c r="A63" s="80">
        <v>45482.572916666664</v>
      </c>
      <c r="B63" s="112">
        <v>9.31</v>
      </c>
      <c r="C63" s="112">
        <v>4.07</v>
      </c>
      <c r="D63" s="112">
        <v>14.04</v>
      </c>
      <c r="E63" s="112">
        <v>9.1999999999999993</v>
      </c>
      <c r="F63" s="112">
        <v>16.52</v>
      </c>
      <c r="G63" s="112">
        <v>20.72</v>
      </c>
      <c r="H63" s="112">
        <v>49.89</v>
      </c>
      <c r="I63" s="112">
        <v>3.87</v>
      </c>
      <c r="J63" s="112">
        <v>0.05</v>
      </c>
      <c r="K63" s="112">
        <v>28.51</v>
      </c>
      <c r="L63" s="112">
        <v>33.69</v>
      </c>
      <c r="M63" s="112">
        <v>62.11</v>
      </c>
      <c r="N63" s="112">
        <v>199.9</v>
      </c>
      <c r="O63" s="112">
        <v>0</v>
      </c>
      <c r="P63" s="112">
        <v>0.38</v>
      </c>
      <c r="Q63" s="112">
        <v>4.54</v>
      </c>
    </row>
    <row r="64" spans="1:17" customFormat="1">
      <c r="A64" s="80">
        <v>45482.583333333336</v>
      </c>
      <c r="B64" s="112">
        <v>9.31</v>
      </c>
      <c r="C64" s="112">
        <v>4.0599999999999996</v>
      </c>
      <c r="D64" s="112">
        <v>14.04</v>
      </c>
      <c r="E64" s="112">
        <v>9.26</v>
      </c>
      <c r="F64" s="112">
        <v>14.87</v>
      </c>
      <c r="G64" s="112">
        <v>21.33</v>
      </c>
      <c r="H64" s="112">
        <v>50.73</v>
      </c>
      <c r="I64" s="112">
        <v>4.2</v>
      </c>
      <c r="J64" s="112">
        <v>0.45</v>
      </c>
      <c r="K64" s="112">
        <v>65.59</v>
      </c>
      <c r="L64" s="112">
        <v>34.28</v>
      </c>
      <c r="M64" s="112">
        <v>60.29</v>
      </c>
      <c r="N64" s="112">
        <v>186.1</v>
      </c>
      <c r="O64" s="112">
        <v>0</v>
      </c>
      <c r="P64" s="112">
        <v>0.38</v>
      </c>
      <c r="Q64" s="112">
        <v>4.54</v>
      </c>
    </row>
    <row r="65" spans="1:17" customFormat="1">
      <c r="A65" s="80">
        <v>45482.59375</v>
      </c>
      <c r="B65" s="112">
        <v>9.3000000000000007</v>
      </c>
      <c r="C65" s="112">
        <v>4.07</v>
      </c>
      <c r="D65" s="112">
        <v>14.03</v>
      </c>
      <c r="E65" s="112">
        <v>8.39</v>
      </c>
      <c r="F65" s="112">
        <v>14.65</v>
      </c>
      <c r="G65" s="112">
        <v>21.33</v>
      </c>
      <c r="H65" s="112">
        <v>50.73</v>
      </c>
      <c r="I65" s="112">
        <v>4.26</v>
      </c>
      <c r="J65" s="112">
        <v>0.3</v>
      </c>
      <c r="K65" s="112">
        <v>155.18</v>
      </c>
      <c r="L65" s="112">
        <v>33.5</v>
      </c>
      <c r="M65" s="112">
        <v>64.3</v>
      </c>
      <c r="N65" s="112">
        <v>132.69999999999999</v>
      </c>
      <c r="O65" s="112">
        <v>0</v>
      </c>
      <c r="P65" s="112">
        <v>0.36</v>
      </c>
      <c r="Q65" s="112">
        <v>4.54</v>
      </c>
    </row>
    <row r="66" spans="1:17" customFormat="1">
      <c r="A66" s="80">
        <v>45482.604166666664</v>
      </c>
      <c r="B66" s="112">
        <v>9.31</v>
      </c>
      <c r="C66" s="112">
        <v>4.07</v>
      </c>
      <c r="D66" s="112">
        <v>14.04</v>
      </c>
      <c r="E66" s="112">
        <v>8.4600000000000009</v>
      </c>
      <c r="F66" s="112">
        <v>21.65</v>
      </c>
      <c r="G66" s="112">
        <v>21.33</v>
      </c>
      <c r="H66" s="112">
        <v>50.73</v>
      </c>
      <c r="I66" s="112">
        <v>4.29</v>
      </c>
      <c r="J66" s="112">
        <v>0.28999999999999998</v>
      </c>
      <c r="K66" s="112">
        <v>301.58999999999997</v>
      </c>
      <c r="L66" s="112">
        <v>33.6</v>
      </c>
      <c r="M66" s="112">
        <v>61.97</v>
      </c>
      <c r="N66" s="112">
        <v>651.4</v>
      </c>
      <c r="O66" s="112">
        <v>0</v>
      </c>
      <c r="P66" s="112">
        <v>0.39</v>
      </c>
      <c r="Q66" s="112">
        <v>4.55</v>
      </c>
    </row>
    <row r="67" spans="1:17" customFormat="1">
      <c r="A67" s="80">
        <v>45482.614583333336</v>
      </c>
      <c r="B67" s="112">
        <v>9.32</v>
      </c>
      <c r="C67" s="112">
        <v>4.0599999999999996</v>
      </c>
      <c r="D67" s="112">
        <v>14.04</v>
      </c>
      <c r="E67" s="112">
        <v>8.83</v>
      </c>
      <c r="F67" s="112">
        <v>23.37</v>
      </c>
      <c r="G67" s="112">
        <v>27.97</v>
      </c>
      <c r="H67" s="112">
        <v>60.81</v>
      </c>
      <c r="I67" s="112">
        <v>4.3</v>
      </c>
      <c r="J67" s="112">
        <v>0.04</v>
      </c>
      <c r="K67" s="112">
        <v>81.36</v>
      </c>
      <c r="L67" s="112">
        <v>34.979999999999997</v>
      </c>
      <c r="M67" s="112">
        <v>57.94</v>
      </c>
      <c r="N67" s="112">
        <v>686.6</v>
      </c>
      <c r="O67" s="112">
        <v>0</v>
      </c>
      <c r="P67" s="112">
        <v>0.39</v>
      </c>
      <c r="Q67" s="112">
        <v>4.53</v>
      </c>
    </row>
    <row r="68" spans="1:17" customFormat="1">
      <c r="A68" s="80">
        <v>45482.625</v>
      </c>
      <c r="B68" s="112">
        <v>9.32</v>
      </c>
      <c r="C68" s="112">
        <v>4.05</v>
      </c>
      <c r="D68" s="112">
        <v>14.04</v>
      </c>
      <c r="E68" s="112">
        <v>8.5399999999999991</v>
      </c>
      <c r="F68" s="112">
        <v>17.260000000000002</v>
      </c>
      <c r="G68" s="112">
        <v>33.049999999999997</v>
      </c>
      <c r="H68" s="112">
        <v>64.03</v>
      </c>
      <c r="I68" s="112">
        <v>4.37</v>
      </c>
      <c r="J68" s="112">
        <v>0.24</v>
      </c>
      <c r="K68" s="112">
        <v>99.73</v>
      </c>
      <c r="L68" s="112">
        <v>34.950000000000003</v>
      </c>
      <c r="M68" s="112">
        <v>59.07</v>
      </c>
      <c r="N68" s="112">
        <v>216.5</v>
      </c>
      <c r="O68" s="112">
        <v>0</v>
      </c>
      <c r="P68" s="112">
        <v>0.38</v>
      </c>
      <c r="Q68" s="112">
        <v>4.5199999999999996</v>
      </c>
    </row>
    <row r="69" spans="1:17" customFormat="1">
      <c r="A69" s="80">
        <v>45482.635416666664</v>
      </c>
      <c r="B69" s="112">
        <v>9.3000000000000007</v>
      </c>
      <c r="C69" s="112">
        <v>4.09</v>
      </c>
      <c r="D69" s="112">
        <v>14.04</v>
      </c>
      <c r="E69" s="112">
        <v>8.33</v>
      </c>
      <c r="F69" s="112">
        <v>20.46</v>
      </c>
      <c r="G69" s="112">
        <v>33.049999999999997</v>
      </c>
      <c r="H69" s="112">
        <v>64.03</v>
      </c>
      <c r="I69" s="112">
        <v>4.3099999999999996</v>
      </c>
      <c r="J69" s="112">
        <v>0.13</v>
      </c>
      <c r="K69" s="112">
        <v>98.83</v>
      </c>
      <c r="L69" s="112">
        <v>34.74</v>
      </c>
      <c r="M69" s="112">
        <v>58.8</v>
      </c>
      <c r="N69" s="112">
        <v>541.6</v>
      </c>
      <c r="O69" s="112">
        <v>0</v>
      </c>
      <c r="P69" s="112">
        <v>0.37</v>
      </c>
      <c r="Q69" s="112">
        <v>4.5</v>
      </c>
    </row>
    <row r="70" spans="1:17" customFormat="1">
      <c r="A70" s="80">
        <v>45482.645833333336</v>
      </c>
      <c r="B70" s="112">
        <v>9.3000000000000007</v>
      </c>
      <c r="C70" s="112">
        <v>4.07</v>
      </c>
      <c r="D70" s="112">
        <v>14.03</v>
      </c>
      <c r="E70" s="112">
        <v>8.25</v>
      </c>
      <c r="F70" s="112">
        <v>16.170000000000002</v>
      </c>
      <c r="G70" s="112">
        <v>33.049999999999997</v>
      </c>
      <c r="H70" s="112">
        <v>64.03</v>
      </c>
      <c r="I70" s="112">
        <v>4.17</v>
      </c>
      <c r="J70" s="112">
        <v>0.35</v>
      </c>
      <c r="K70" s="112">
        <v>84.44</v>
      </c>
      <c r="L70" s="112">
        <v>35.56</v>
      </c>
      <c r="M70" s="112">
        <v>56.05</v>
      </c>
      <c r="N70" s="112">
        <v>627.70000000000005</v>
      </c>
      <c r="O70" s="112">
        <v>0</v>
      </c>
      <c r="P70" s="112">
        <v>0.36</v>
      </c>
      <c r="Q70" s="112">
        <v>4.5599999999999996</v>
      </c>
    </row>
    <row r="71" spans="1:17" customFormat="1">
      <c r="A71" s="80">
        <v>45482.65625</v>
      </c>
      <c r="B71" s="112">
        <v>9.3000000000000007</v>
      </c>
      <c r="C71" s="112">
        <v>4.07</v>
      </c>
      <c r="D71" s="112">
        <v>14.04</v>
      </c>
      <c r="E71" s="112">
        <v>9</v>
      </c>
      <c r="F71" s="112">
        <v>20.420000000000002</v>
      </c>
      <c r="G71" s="112">
        <v>27.66</v>
      </c>
      <c r="H71" s="112">
        <v>68.040000000000006</v>
      </c>
      <c r="I71" s="112">
        <v>3.99</v>
      </c>
      <c r="J71" s="112">
        <v>0.71</v>
      </c>
      <c r="K71" s="112">
        <v>58.67</v>
      </c>
      <c r="L71" s="112">
        <v>35.159999999999997</v>
      </c>
      <c r="M71" s="112">
        <v>57.61</v>
      </c>
      <c r="N71" s="112">
        <v>252.8</v>
      </c>
      <c r="O71" s="112">
        <v>0</v>
      </c>
      <c r="P71" s="112">
        <v>0.39</v>
      </c>
      <c r="Q71" s="112">
        <v>4.55</v>
      </c>
    </row>
    <row r="72" spans="1:17" customFormat="1">
      <c r="A72" s="80">
        <v>45482.666666666664</v>
      </c>
      <c r="B72" s="112">
        <v>9.3000000000000007</v>
      </c>
      <c r="C72" s="112">
        <v>4.07</v>
      </c>
      <c r="D72" s="112">
        <v>14.03</v>
      </c>
      <c r="E72" s="112">
        <v>10.91</v>
      </c>
      <c r="F72" s="112">
        <v>24.59</v>
      </c>
      <c r="G72" s="112">
        <v>23.54</v>
      </c>
      <c r="H72" s="112">
        <v>69.319999999999993</v>
      </c>
      <c r="I72" s="112">
        <v>3.99</v>
      </c>
      <c r="J72" s="112">
        <v>0.92</v>
      </c>
      <c r="K72" s="112">
        <v>56.72</v>
      </c>
      <c r="L72" s="112">
        <v>34</v>
      </c>
      <c r="M72" s="112">
        <v>60.1</v>
      </c>
      <c r="N72" s="112">
        <v>86.3</v>
      </c>
      <c r="O72" s="112">
        <v>0</v>
      </c>
      <c r="P72" s="112">
        <v>0.43</v>
      </c>
      <c r="Q72" s="112">
        <v>4.55</v>
      </c>
    </row>
    <row r="73" spans="1:17" customFormat="1">
      <c r="A73" s="80">
        <v>45482.677083333336</v>
      </c>
      <c r="B73" s="112">
        <v>9.3000000000000007</v>
      </c>
      <c r="C73" s="112">
        <v>4.07</v>
      </c>
      <c r="D73" s="112">
        <v>14.03</v>
      </c>
      <c r="E73" s="112">
        <v>11.44</v>
      </c>
      <c r="F73" s="112">
        <v>22.03</v>
      </c>
      <c r="G73" s="112">
        <v>23.54</v>
      </c>
      <c r="H73" s="112">
        <v>69.319999999999993</v>
      </c>
      <c r="I73" s="112">
        <v>4.1500000000000004</v>
      </c>
      <c r="J73" s="112">
        <v>0.17</v>
      </c>
      <c r="K73" s="112">
        <v>134.5</v>
      </c>
      <c r="L73" s="112">
        <v>33.5</v>
      </c>
      <c r="M73" s="112">
        <v>63.23</v>
      </c>
      <c r="N73" s="112">
        <v>154.30000000000001</v>
      </c>
      <c r="O73" s="112">
        <v>0</v>
      </c>
      <c r="P73" s="112">
        <v>0.38</v>
      </c>
      <c r="Q73" s="112">
        <v>4.54</v>
      </c>
    </row>
    <row r="74" spans="1:17" customFormat="1">
      <c r="A74" s="80">
        <v>45482.6875</v>
      </c>
      <c r="B74" s="112">
        <v>9.33</v>
      </c>
      <c r="C74" s="112">
        <v>4.0599999999999996</v>
      </c>
      <c r="D74" s="112">
        <v>14.05</v>
      </c>
      <c r="E74" s="112">
        <v>11.48</v>
      </c>
      <c r="F74" s="112">
        <v>19.25</v>
      </c>
      <c r="G74" s="112">
        <v>23.54</v>
      </c>
      <c r="H74" s="112">
        <v>69.319999999999993</v>
      </c>
      <c r="I74" s="112">
        <v>4.43</v>
      </c>
      <c r="J74" s="112">
        <v>0.41</v>
      </c>
      <c r="K74" s="112">
        <v>163.08000000000001</v>
      </c>
      <c r="L74" s="112">
        <v>34.549999999999997</v>
      </c>
      <c r="M74" s="112">
        <v>58.45</v>
      </c>
      <c r="N74" s="112">
        <v>178.5</v>
      </c>
      <c r="O74" s="112">
        <v>0</v>
      </c>
      <c r="P74" s="112">
        <v>0.33</v>
      </c>
      <c r="Q74" s="112">
        <v>4.54</v>
      </c>
    </row>
    <row r="75" spans="1:17" customFormat="1">
      <c r="A75" s="80">
        <v>45482.697916666664</v>
      </c>
      <c r="B75" s="112">
        <v>9.33</v>
      </c>
      <c r="C75" s="112">
        <v>4.08</v>
      </c>
      <c r="D75" s="112">
        <v>14.06</v>
      </c>
      <c r="E75" s="112">
        <v>12.19</v>
      </c>
      <c r="F75" s="112">
        <v>25.51</v>
      </c>
      <c r="G75" s="112">
        <v>28.22</v>
      </c>
      <c r="H75" s="112">
        <v>73.87</v>
      </c>
      <c r="I75" s="112">
        <v>4.4400000000000004</v>
      </c>
      <c r="J75" s="112">
        <v>0.2</v>
      </c>
      <c r="K75" s="112">
        <v>189.11</v>
      </c>
      <c r="L75" s="112">
        <v>34.28</v>
      </c>
      <c r="M75" s="112">
        <v>59.64</v>
      </c>
      <c r="N75" s="112">
        <v>125</v>
      </c>
      <c r="O75" s="112">
        <v>0</v>
      </c>
      <c r="P75" s="112">
        <v>0.32</v>
      </c>
      <c r="Q75" s="112">
        <v>4.54</v>
      </c>
    </row>
    <row r="76" spans="1:17" customFormat="1">
      <c r="A76" s="80">
        <v>45482.708333333336</v>
      </c>
      <c r="B76" s="112">
        <v>9.33</v>
      </c>
      <c r="C76" s="112">
        <v>4.07</v>
      </c>
      <c r="D76" s="112">
        <v>14.05</v>
      </c>
      <c r="E76" s="112">
        <v>11.54</v>
      </c>
      <c r="F76" s="112">
        <v>15.04</v>
      </c>
      <c r="G76" s="112">
        <v>31.8</v>
      </c>
      <c r="H76" s="112">
        <v>75.319999999999993</v>
      </c>
      <c r="I76" s="112">
        <v>4.3899999999999997</v>
      </c>
      <c r="J76" s="112">
        <v>0.3</v>
      </c>
      <c r="K76" s="112">
        <v>234.24</v>
      </c>
      <c r="L76" s="112">
        <v>33.97</v>
      </c>
      <c r="M76" s="112">
        <v>61.12</v>
      </c>
      <c r="N76" s="112">
        <v>120.2</v>
      </c>
      <c r="O76" s="112">
        <v>0</v>
      </c>
      <c r="P76" s="112">
        <v>0.31</v>
      </c>
      <c r="Q76" s="112">
        <v>4.54</v>
      </c>
    </row>
    <row r="77" spans="1:17" customFormat="1">
      <c r="A77" s="80">
        <v>45482.71875</v>
      </c>
      <c r="B77" s="112">
        <v>9.32</v>
      </c>
      <c r="C77" s="112">
        <v>4.0599999999999996</v>
      </c>
      <c r="D77" s="112">
        <v>14.04</v>
      </c>
      <c r="E77" s="112">
        <v>11.72</v>
      </c>
      <c r="F77" s="112">
        <v>19.48</v>
      </c>
      <c r="G77" s="112">
        <v>31.8</v>
      </c>
      <c r="H77" s="112">
        <v>75.319999999999993</v>
      </c>
      <c r="I77" s="112">
        <v>4.17</v>
      </c>
      <c r="J77" s="112">
        <v>0.14000000000000001</v>
      </c>
      <c r="K77" s="112">
        <v>264.39</v>
      </c>
      <c r="L77" s="112">
        <v>34.090000000000003</v>
      </c>
      <c r="M77" s="112">
        <v>59.58</v>
      </c>
      <c r="N77" s="112">
        <v>155.19999999999999</v>
      </c>
      <c r="O77" s="112">
        <v>0</v>
      </c>
      <c r="P77" s="112">
        <v>0.32</v>
      </c>
      <c r="Q77" s="112">
        <v>4.54</v>
      </c>
    </row>
    <row r="78" spans="1:17" customFormat="1">
      <c r="A78" s="80">
        <v>45482.729166666664</v>
      </c>
      <c r="B78" s="112">
        <v>9.3000000000000007</v>
      </c>
      <c r="C78" s="112">
        <v>4.0599999999999996</v>
      </c>
      <c r="D78" s="112">
        <v>14.03</v>
      </c>
      <c r="E78" s="112">
        <v>11.82</v>
      </c>
      <c r="F78" s="112">
        <v>13.61</v>
      </c>
      <c r="G78" s="112">
        <v>31.8</v>
      </c>
      <c r="H78" s="112">
        <v>75.319999999999993</v>
      </c>
      <c r="I78" s="112">
        <v>4.34</v>
      </c>
      <c r="J78" s="112">
        <v>0.31</v>
      </c>
      <c r="K78" s="112">
        <v>137.54</v>
      </c>
      <c r="L78" s="112">
        <v>33.090000000000003</v>
      </c>
      <c r="M78" s="112">
        <v>70.02</v>
      </c>
      <c r="N78" s="112">
        <v>36.700000000000003</v>
      </c>
      <c r="O78" s="112">
        <v>4</v>
      </c>
      <c r="P78" s="112">
        <v>0.33</v>
      </c>
      <c r="Q78" s="112">
        <v>4.55</v>
      </c>
    </row>
    <row r="79" spans="1:17" customFormat="1">
      <c r="A79" s="80">
        <v>45482.739583333336</v>
      </c>
      <c r="B79" s="112">
        <v>9.3000000000000007</v>
      </c>
      <c r="C79" s="112">
        <v>4.07</v>
      </c>
      <c r="D79" s="112">
        <v>14.04</v>
      </c>
      <c r="E79" s="112">
        <v>11.1</v>
      </c>
      <c r="F79" s="112">
        <v>5.95</v>
      </c>
      <c r="G79" s="112">
        <v>35.119999999999997</v>
      </c>
      <c r="H79" s="112">
        <v>79.209999999999994</v>
      </c>
      <c r="I79" s="112">
        <v>4.24</v>
      </c>
      <c r="J79" s="112">
        <v>0.12</v>
      </c>
      <c r="K79" s="112">
        <v>208.66</v>
      </c>
      <c r="L79" s="112">
        <v>27.24</v>
      </c>
      <c r="M79" s="112">
        <v>98.84</v>
      </c>
      <c r="N79" s="112">
        <v>16.5</v>
      </c>
      <c r="O79" s="112">
        <v>26.2</v>
      </c>
      <c r="P79" s="112">
        <v>0.33</v>
      </c>
      <c r="Q79" s="112">
        <v>4.53</v>
      </c>
    </row>
    <row r="80" spans="1:17" customFormat="1">
      <c r="A80" s="80">
        <v>45482.75</v>
      </c>
      <c r="B80" s="112">
        <v>9.27</v>
      </c>
      <c r="C80" s="112">
        <v>4.0599999999999996</v>
      </c>
      <c r="D80" s="112">
        <v>14</v>
      </c>
      <c r="E80" s="112">
        <v>10.49</v>
      </c>
      <c r="F80" s="112">
        <v>5.74</v>
      </c>
      <c r="G80" s="112">
        <v>37.67</v>
      </c>
      <c r="H80" s="112">
        <v>80.45</v>
      </c>
      <c r="I80" s="112">
        <v>4.38</v>
      </c>
      <c r="J80" s="112">
        <v>0.65</v>
      </c>
      <c r="K80" s="112">
        <v>251.59</v>
      </c>
      <c r="L80" s="112">
        <v>25.55</v>
      </c>
      <c r="M80" s="112">
        <v>101.38</v>
      </c>
      <c r="N80" s="112">
        <v>8.8000000000000007</v>
      </c>
      <c r="O80" s="112">
        <v>8.6</v>
      </c>
      <c r="P80" s="112">
        <v>0.33</v>
      </c>
      <c r="Q80" s="112">
        <v>4.5199999999999996</v>
      </c>
    </row>
    <row r="81" spans="1:17" customFormat="1">
      <c r="A81" s="80">
        <v>45482.760416666664</v>
      </c>
      <c r="B81" s="112">
        <v>9.24</v>
      </c>
      <c r="C81" s="112">
        <v>4.08</v>
      </c>
      <c r="D81" s="112">
        <v>14</v>
      </c>
      <c r="E81" s="112">
        <v>8.3699999999999992</v>
      </c>
      <c r="F81" s="112">
        <v>6.68</v>
      </c>
      <c r="G81" s="112">
        <v>37.67</v>
      </c>
      <c r="H81" s="112">
        <v>80.45</v>
      </c>
      <c r="I81" s="112">
        <v>4.42</v>
      </c>
      <c r="J81" s="112">
        <v>0.7</v>
      </c>
      <c r="K81" s="112">
        <v>263.98</v>
      </c>
      <c r="L81" s="112">
        <v>25.61</v>
      </c>
      <c r="M81" s="112">
        <v>101.56</v>
      </c>
      <c r="N81" s="112">
        <v>9</v>
      </c>
      <c r="O81" s="112">
        <v>0</v>
      </c>
      <c r="P81" s="112">
        <v>0.33</v>
      </c>
      <c r="Q81" s="112">
        <v>4.5</v>
      </c>
    </row>
    <row r="82" spans="1:17" customFormat="1">
      <c r="A82" s="80">
        <v>45482.770833333336</v>
      </c>
      <c r="B82" s="112">
        <v>9.24</v>
      </c>
      <c r="C82" s="112">
        <v>4.09</v>
      </c>
      <c r="D82" s="112">
        <v>14</v>
      </c>
      <c r="E82" s="112">
        <v>10.1</v>
      </c>
      <c r="F82" s="112">
        <v>6.36</v>
      </c>
      <c r="G82" s="112">
        <v>37.67</v>
      </c>
      <c r="H82" s="112">
        <v>80.45</v>
      </c>
      <c r="I82" s="112">
        <v>4.34</v>
      </c>
      <c r="J82" s="112">
        <v>0.39</v>
      </c>
      <c r="K82" s="112">
        <v>258.92</v>
      </c>
      <c r="L82" s="112">
        <v>25.67</v>
      </c>
      <c r="M82" s="112">
        <v>101.69</v>
      </c>
      <c r="N82" s="112">
        <v>6.5</v>
      </c>
      <c r="O82" s="112">
        <v>0</v>
      </c>
      <c r="P82" s="112">
        <v>0.34</v>
      </c>
      <c r="Q82" s="112">
        <v>4.5599999999999996</v>
      </c>
    </row>
    <row r="83" spans="1:17" customFormat="1">
      <c r="A83" s="80">
        <v>45482.78125</v>
      </c>
      <c r="B83" s="112">
        <v>9.25</v>
      </c>
      <c r="C83" s="112">
        <v>4.0599999999999996</v>
      </c>
      <c r="D83" s="112">
        <v>13.99</v>
      </c>
      <c r="E83" s="112">
        <v>10.130000000000001</v>
      </c>
      <c r="F83" s="112">
        <v>7.28</v>
      </c>
      <c r="G83" s="112">
        <v>34.58</v>
      </c>
      <c r="H83" s="112">
        <v>63.84</v>
      </c>
      <c r="I83" s="112">
        <v>4.29</v>
      </c>
      <c r="J83" s="112">
        <v>0.25</v>
      </c>
      <c r="K83" s="112">
        <v>254.35</v>
      </c>
      <c r="L83" s="112">
        <v>25.95</v>
      </c>
      <c r="M83" s="112">
        <v>101.91</v>
      </c>
      <c r="N83" s="112">
        <v>4</v>
      </c>
      <c r="O83" s="112">
        <v>0</v>
      </c>
      <c r="P83" s="112">
        <v>0.34</v>
      </c>
      <c r="Q83" s="112">
        <v>4.55</v>
      </c>
    </row>
    <row r="84" spans="1:17" customFormat="1">
      <c r="A84" s="80">
        <v>45482.791666666664</v>
      </c>
      <c r="B84" s="112">
        <v>9.26</v>
      </c>
      <c r="C84" s="112">
        <v>4.05</v>
      </c>
      <c r="D84" s="112">
        <v>14</v>
      </c>
      <c r="E84" s="112">
        <v>10.220000000000001</v>
      </c>
      <c r="F84" s="112">
        <v>5.99</v>
      </c>
      <c r="G84" s="112">
        <v>32.22</v>
      </c>
      <c r="H84" s="112">
        <v>53.21</v>
      </c>
      <c r="I84" s="112">
        <v>4.21</v>
      </c>
      <c r="J84" s="112">
        <v>0.31</v>
      </c>
      <c r="K84" s="112">
        <v>83.71</v>
      </c>
      <c r="L84" s="112">
        <v>26.36</v>
      </c>
      <c r="M84" s="112">
        <v>101.85</v>
      </c>
      <c r="N84" s="112">
        <v>1.8</v>
      </c>
      <c r="O84" s="112">
        <v>0</v>
      </c>
      <c r="P84" s="112">
        <v>0.34</v>
      </c>
      <c r="Q84" s="112">
        <v>4.55</v>
      </c>
    </row>
    <row r="85" spans="1:17" customFormat="1">
      <c r="A85" s="80">
        <v>45482.802083333336</v>
      </c>
      <c r="B85" s="112">
        <v>9.27</v>
      </c>
      <c r="C85" s="112">
        <v>4.08</v>
      </c>
      <c r="D85" s="112">
        <v>14.01</v>
      </c>
      <c r="E85" s="112">
        <v>9.49</v>
      </c>
      <c r="F85" s="112">
        <v>4.17</v>
      </c>
      <c r="G85" s="112">
        <v>32.22</v>
      </c>
      <c r="H85" s="112">
        <v>53.21</v>
      </c>
      <c r="I85" s="112">
        <v>4.16</v>
      </c>
      <c r="J85" s="112">
        <v>0.17</v>
      </c>
      <c r="K85" s="112">
        <v>146.71</v>
      </c>
      <c r="L85" s="112">
        <v>26.58</v>
      </c>
      <c r="M85" s="112">
        <v>101.83</v>
      </c>
      <c r="N85" s="112">
        <v>2.2000000000000002</v>
      </c>
      <c r="O85" s="112">
        <v>0</v>
      </c>
      <c r="P85" s="112">
        <v>0.4</v>
      </c>
      <c r="Q85" s="112">
        <v>4.54</v>
      </c>
    </row>
    <row r="86" spans="1:17" customFormat="1">
      <c r="A86" s="80">
        <v>45482.8125</v>
      </c>
      <c r="B86" s="112">
        <v>9.26</v>
      </c>
      <c r="C86" s="112">
        <v>4.08</v>
      </c>
      <c r="D86" s="112">
        <v>14.01</v>
      </c>
      <c r="E86" s="112">
        <v>10.33</v>
      </c>
      <c r="F86" s="112">
        <v>3.49</v>
      </c>
      <c r="G86" s="112">
        <v>32.22</v>
      </c>
      <c r="H86" s="112">
        <v>53.21</v>
      </c>
      <c r="I86" s="112">
        <v>4.29</v>
      </c>
      <c r="J86" s="112">
        <v>0.17</v>
      </c>
      <c r="K86" s="112">
        <v>161.44999999999999</v>
      </c>
      <c r="L86" s="112">
        <v>26.62</v>
      </c>
      <c r="M86" s="112">
        <v>101.92</v>
      </c>
      <c r="N86" s="112">
        <v>2.1</v>
      </c>
      <c r="O86" s="112">
        <v>0</v>
      </c>
      <c r="P86" s="112">
        <v>0.45</v>
      </c>
      <c r="Q86" s="112">
        <v>4.54</v>
      </c>
    </row>
    <row r="87" spans="1:17" customFormat="1">
      <c r="A87" s="80">
        <v>45482.822916666664</v>
      </c>
      <c r="B87" s="112">
        <v>9.2799999999999994</v>
      </c>
      <c r="C87" s="112">
        <v>4.05</v>
      </c>
      <c r="D87" s="112">
        <v>14.01</v>
      </c>
      <c r="E87" s="112">
        <v>10.08</v>
      </c>
      <c r="F87" s="112">
        <v>3.23</v>
      </c>
      <c r="G87" s="112">
        <v>46.47</v>
      </c>
      <c r="H87" s="112">
        <v>40.75</v>
      </c>
      <c r="I87" s="112">
        <v>4.42</v>
      </c>
      <c r="J87" s="112">
        <v>0.15</v>
      </c>
      <c r="K87" s="112">
        <v>178.98</v>
      </c>
      <c r="L87" s="112">
        <v>26.58</v>
      </c>
      <c r="M87" s="112">
        <v>101.76</v>
      </c>
      <c r="N87" s="112">
        <v>2.4</v>
      </c>
      <c r="O87" s="112">
        <v>0</v>
      </c>
      <c r="P87" s="112">
        <v>0.46</v>
      </c>
      <c r="Q87" s="112">
        <v>4.54</v>
      </c>
    </row>
    <row r="88" spans="1:17" customFormat="1">
      <c r="A88" s="80">
        <v>45482.833333333336</v>
      </c>
      <c r="B88" s="112">
        <v>9.2799999999999994</v>
      </c>
      <c r="C88" s="112">
        <v>4.05</v>
      </c>
      <c r="D88" s="112">
        <v>14.01</v>
      </c>
      <c r="E88" s="112">
        <v>10.74</v>
      </c>
      <c r="F88" s="112">
        <v>2.96</v>
      </c>
      <c r="G88" s="112">
        <v>57.36</v>
      </c>
      <c r="H88" s="112">
        <v>36.76</v>
      </c>
      <c r="I88" s="112">
        <v>4.8899999999999997</v>
      </c>
      <c r="J88" s="112">
        <v>0.23</v>
      </c>
      <c r="K88" s="112">
        <v>210.73</v>
      </c>
      <c r="L88" s="112">
        <v>26.56</v>
      </c>
      <c r="M88" s="112">
        <v>101.48</v>
      </c>
      <c r="N88" s="112">
        <v>2.1</v>
      </c>
      <c r="O88" s="112">
        <v>0</v>
      </c>
      <c r="P88" s="112">
        <v>0.46</v>
      </c>
      <c r="Q88" s="112">
        <v>4.54</v>
      </c>
    </row>
    <row r="89" spans="1:17" customFormat="1">
      <c r="A89" s="80">
        <v>45482.84375</v>
      </c>
      <c r="B89" s="112">
        <v>9.2799999999999994</v>
      </c>
      <c r="C89" s="112">
        <v>4.07</v>
      </c>
      <c r="D89" s="112">
        <v>14.01</v>
      </c>
      <c r="E89" s="112">
        <v>10.41</v>
      </c>
      <c r="F89" s="112">
        <v>3.65</v>
      </c>
      <c r="G89" s="112">
        <v>57.36</v>
      </c>
      <c r="H89" s="112">
        <v>36.76</v>
      </c>
      <c r="I89" s="112">
        <v>5.07</v>
      </c>
      <c r="J89" s="112">
        <v>0.13</v>
      </c>
      <c r="K89" s="112">
        <v>219.82</v>
      </c>
      <c r="L89" s="112">
        <v>26.43</v>
      </c>
      <c r="M89" s="112">
        <v>101.92</v>
      </c>
      <c r="N89" s="112">
        <v>2.2999999999999998</v>
      </c>
      <c r="O89" s="112">
        <v>0</v>
      </c>
      <c r="P89" s="112">
        <v>0.45</v>
      </c>
      <c r="Q89" s="112">
        <v>4.54</v>
      </c>
    </row>
    <row r="90" spans="1:17" customFormat="1">
      <c r="A90" s="80">
        <v>45482.854166666664</v>
      </c>
      <c r="B90" s="112">
        <v>9.26</v>
      </c>
      <c r="C90" s="112">
        <v>4.0999999999999996</v>
      </c>
      <c r="D90" s="112">
        <v>14.02</v>
      </c>
      <c r="E90" s="112">
        <v>10.31</v>
      </c>
      <c r="F90" s="112">
        <v>3.08</v>
      </c>
      <c r="G90" s="112">
        <v>57.36</v>
      </c>
      <c r="H90" s="112">
        <v>36.76</v>
      </c>
      <c r="I90" s="112">
        <v>5.0599999999999996</v>
      </c>
      <c r="J90" s="112">
        <v>0.15</v>
      </c>
      <c r="K90" s="112">
        <v>217.69</v>
      </c>
      <c r="L90" s="112">
        <v>26.5</v>
      </c>
      <c r="M90" s="112">
        <v>103.05</v>
      </c>
      <c r="N90" s="112">
        <v>2.1</v>
      </c>
      <c r="O90" s="112">
        <v>0</v>
      </c>
      <c r="P90" s="112">
        <v>0.45</v>
      </c>
      <c r="Q90" s="112">
        <v>4.55</v>
      </c>
    </row>
    <row r="91" spans="1:17" customFormat="1">
      <c r="A91" s="80">
        <v>45482.864583333336</v>
      </c>
      <c r="B91" s="112">
        <v>9.27</v>
      </c>
      <c r="C91" s="112">
        <v>4.12</v>
      </c>
      <c r="D91" s="112">
        <v>14.04</v>
      </c>
      <c r="E91" s="112">
        <v>10.94</v>
      </c>
      <c r="F91" s="112">
        <v>3.97</v>
      </c>
      <c r="G91" s="112">
        <v>47.19</v>
      </c>
      <c r="H91" s="112">
        <v>24.29</v>
      </c>
      <c r="I91" s="112">
        <v>5</v>
      </c>
      <c r="J91" s="112">
        <v>0.13</v>
      </c>
      <c r="K91" s="112">
        <v>227.77</v>
      </c>
      <c r="L91" s="112">
        <v>26.49</v>
      </c>
      <c r="M91" s="112">
        <v>103.85</v>
      </c>
      <c r="N91" s="112">
        <v>2</v>
      </c>
      <c r="O91" s="112">
        <v>0</v>
      </c>
      <c r="P91" s="112">
        <v>0.46</v>
      </c>
      <c r="Q91" s="112">
        <v>4.53</v>
      </c>
    </row>
    <row r="92" spans="1:17" customFormat="1">
      <c r="A92" s="80">
        <v>45482.875</v>
      </c>
      <c r="B92" s="112">
        <v>9.27</v>
      </c>
      <c r="C92" s="112">
        <v>4.08</v>
      </c>
      <c r="D92" s="112">
        <v>14.02</v>
      </c>
      <c r="E92" s="112">
        <v>9.93</v>
      </c>
      <c r="F92" s="112">
        <v>5.14</v>
      </c>
      <c r="G92" s="112">
        <v>39.409999999999997</v>
      </c>
      <c r="H92" s="112">
        <v>20.3</v>
      </c>
      <c r="I92" s="112">
        <v>5.1100000000000003</v>
      </c>
      <c r="J92" s="112">
        <v>0.18</v>
      </c>
      <c r="K92" s="112">
        <v>172.63</v>
      </c>
      <c r="L92" s="112">
        <v>26.78</v>
      </c>
      <c r="M92" s="112">
        <v>103.71</v>
      </c>
      <c r="N92" s="112">
        <v>1.8</v>
      </c>
      <c r="O92" s="112">
        <v>0</v>
      </c>
      <c r="P92" s="112">
        <v>0.46</v>
      </c>
      <c r="Q92" s="112">
        <v>4.5199999999999996</v>
      </c>
    </row>
    <row r="93" spans="1:17" customFormat="1">
      <c r="A93" s="80">
        <v>45482.885416666664</v>
      </c>
      <c r="B93" s="112">
        <v>9.27</v>
      </c>
      <c r="C93" s="112">
        <v>4.08</v>
      </c>
      <c r="D93" s="112">
        <v>14.02</v>
      </c>
      <c r="E93" s="112">
        <v>9.9499999999999993</v>
      </c>
      <c r="F93" s="112">
        <v>5.26</v>
      </c>
      <c r="G93" s="112">
        <v>39.409999999999997</v>
      </c>
      <c r="H93" s="112">
        <v>20.3</v>
      </c>
      <c r="I93" s="112">
        <v>5.15</v>
      </c>
      <c r="J93" s="112">
        <v>0.12</v>
      </c>
      <c r="K93" s="112">
        <v>163.32</v>
      </c>
      <c r="L93" s="112">
        <v>26.78</v>
      </c>
      <c r="M93" s="112">
        <v>102.77</v>
      </c>
      <c r="N93" s="112">
        <v>2.1</v>
      </c>
      <c r="O93" s="112">
        <v>0</v>
      </c>
      <c r="P93" s="112">
        <v>0.5</v>
      </c>
      <c r="Q93" s="112">
        <v>4.5</v>
      </c>
    </row>
    <row r="94" spans="1:17" customFormat="1">
      <c r="A94" s="80">
        <v>45482.895833333336</v>
      </c>
      <c r="B94" s="112">
        <v>9.3000000000000007</v>
      </c>
      <c r="C94" s="112">
        <v>4.08</v>
      </c>
      <c r="D94" s="112">
        <v>14.04</v>
      </c>
      <c r="E94" s="112">
        <v>9.56</v>
      </c>
      <c r="F94" s="112">
        <v>5.67</v>
      </c>
      <c r="G94" s="112">
        <v>39.409999999999997</v>
      </c>
      <c r="H94" s="112">
        <v>20.3</v>
      </c>
      <c r="I94" s="112">
        <v>5.09</v>
      </c>
      <c r="J94" s="112">
        <v>0.15</v>
      </c>
      <c r="K94" s="112">
        <v>173.29</v>
      </c>
      <c r="L94" s="112">
        <v>26.86</v>
      </c>
      <c r="M94" s="112">
        <v>102.07</v>
      </c>
      <c r="N94" s="112">
        <v>2.1</v>
      </c>
      <c r="O94" s="112">
        <v>0</v>
      </c>
      <c r="P94" s="112">
        <v>0.51</v>
      </c>
      <c r="Q94" s="112">
        <v>4.5599999999999996</v>
      </c>
    </row>
    <row r="95" spans="1:17" customFormat="1">
      <c r="A95" s="80">
        <v>45482.90625</v>
      </c>
      <c r="B95" s="112">
        <v>9.32</v>
      </c>
      <c r="C95" s="112">
        <v>4.0599999999999996</v>
      </c>
      <c r="D95" s="112">
        <v>14.04</v>
      </c>
      <c r="E95" s="112">
        <v>9.16</v>
      </c>
      <c r="F95" s="112">
        <v>8.3000000000000007</v>
      </c>
      <c r="G95" s="112">
        <v>33.82</v>
      </c>
      <c r="H95" s="112">
        <v>16.86</v>
      </c>
      <c r="I95" s="112">
        <v>5.09</v>
      </c>
      <c r="J95" s="112">
        <v>0.14000000000000001</v>
      </c>
      <c r="K95" s="112">
        <v>182.09</v>
      </c>
      <c r="L95" s="112">
        <v>26.88</v>
      </c>
      <c r="M95" s="112">
        <v>102.29</v>
      </c>
      <c r="N95" s="112">
        <v>2.1</v>
      </c>
      <c r="O95" s="112">
        <v>0</v>
      </c>
      <c r="P95" s="112">
        <v>0.49</v>
      </c>
      <c r="Q95" s="112">
        <v>4.55</v>
      </c>
    </row>
    <row r="96" spans="1:17" customFormat="1">
      <c r="A96" s="80">
        <v>45482.916666666664</v>
      </c>
      <c r="B96" s="112">
        <v>9.33</v>
      </c>
      <c r="C96" s="112">
        <v>4.09</v>
      </c>
      <c r="D96" s="112">
        <v>14.07</v>
      </c>
      <c r="E96" s="112">
        <v>9.08</v>
      </c>
      <c r="F96" s="112">
        <v>8.4700000000000006</v>
      </c>
      <c r="G96" s="112">
        <v>29.55</v>
      </c>
      <c r="H96" s="112">
        <v>15.76</v>
      </c>
      <c r="I96" s="112">
        <v>4.9800000000000004</v>
      </c>
      <c r="J96" s="112">
        <v>0.13</v>
      </c>
      <c r="K96" s="112">
        <v>190.9</v>
      </c>
      <c r="L96" s="112">
        <v>26.94</v>
      </c>
      <c r="M96" s="112">
        <v>102.88</v>
      </c>
      <c r="N96" s="112">
        <v>2.1</v>
      </c>
      <c r="O96" s="112">
        <v>0</v>
      </c>
      <c r="P96" s="112">
        <v>0.46</v>
      </c>
      <c r="Q96" s="112">
        <v>4.55</v>
      </c>
    </row>
    <row r="97" spans="1:22" customFormat="1">
      <c r="A97" s="80">
        <v>45482.927083333336</v>
      </c>
      <c r="B97" s="112">
        <v>9.34</v>
      </c>
      <c r="C97" s="112">
        <v>4.08</v>
      </c>
      <c r="D97" s="112">
        <v>14.07</v>
      </c>
      <c r="E97" s="112">
        <v>8.43</v>
      </c>
      <c r="F97" s="112">
        <v>8.82</v>
      </c>
      <c r="G97" s="112">
        <v>29.55</v>
      </c>
      <c r="H97" s="112">
        <v>15.76</v>
      </c>
      <c r="I97" s="112">
        <v>5</v>
      </c>
      <c r="J97" s="112">
        <v>0.12</v>
      </c>
      <c r="K97" s="112">
        <v>215.29</v>
      </c>
      <c r="L97" s="112">
        <v>26.81</v>
      </c>
      <c r="M97" s="112">
        <v>102.53</v>
      </c>
      <c r="N97" s="112">
        <v>2.4</v>
      </c>
      <c r="O97" s="112">
        <v>0</v>
      </c>
      <c r="P97" s="112">
        <v>0.45</v>
      </c>
      <c r="Q97" s="112">
        <v>4.54</v>
      </c>
    </row>
    <row r="98" spans="1:22" customFormat="1">
      <c r="A98" s="80">
        <v>45482.9375</v>
      </c>
      <c r="B98" s="112">
        <v>9.31</v>
      </c>
      <c r="C98" s="112">
        <v>4.0999999999999996</v>
      </c>
      <c r="D98" s="112">
        <v>14.06</v>
      </c>
      <c r="E98" s="112">
        <v>9.1300000000000008</v>
      </c>
      <c r="F98" s="112">
        <v>7.87</v>
      </c>
      <c r="G98" s="112">
        <v>29.55</v>
      </c>
      <c r="H98" s="112">
        <v>15.76</v>
      </c>
      <c r="I98" s="112">
        <v>4.72</v>
      </c>
      <c r="J98" s="112">
        <v>0.28000000000000003</v>
      </c>
      <c r="K98" s="112">
        <v>256.3</v>
      </c>
      <c r="L98" s="112">
        <v>26.75</v>
      </c>
      <c r="M98" s="112">
        <v>102.06</v>
      </c>
      <c r="N98" s="112">
        <v>2.6</v>
      </c>
      <c r="O98" s="112">
        <v>0</v>
      </c>
      <c r="P98" s="112">
        <v>0.45</v>
      </c>
      <c r="Q98" s="112">
        <v>4.54</v>
      </c>
    </row>
    <row r="99" spans="1:22" customFormat="1">
      <c r="A99" s="80">
        <v>45482.947916666664</v>
      </c>
      <c r="B99" s="112">
        <v>9.3000000000000007</v>
      </c>
      <c r="C99" s="112">
        <v>4.09</v>
      </c>
      <c r="D99" s="112">
        <v>14.05</v>
      </c>
      <c r="E99" s="112">
        <v>8.5500000000000007</v>
      </c>
      <c r="F99" s="112">
        <v>9.0299999999999994</v>
      </c>
      <c r="G99" s="112">
        <v>30.24</v>
      </c>
      <c r="H99" s="112">
        <v>13.26</v>
      </c>
      <c r="I99" s="112">
        <v>4.79</v>
      </c>
      <c r="J99" s="112">
        <v>0.35</v>
      </c>
      <c r="K99" s="112">
        <v>247.32</v>
      </c>
      <c r="L99" s="112">
        <v>26.64</v>
      </c>
      <c r="M99" s="112">
        <v>101.6</v>
      </c>
      <c r="N99" s="112">
        <v>2.7</v>
      </c>
      <c r="O99" s="112">
        <v>0</v>
      </c>
      <c r="P99" s="112">
        <v>0.44</v>
      </c>
      <c r="Q99" s="112">
        <v>4.54</v>
      </c>
    </row>
    <row r="100" spans="1:22" customFormat="1">
      <c r="A100" s="80">
        <v>45482.958333333336</v>
      </c>
      <c r="B100" s="112">
        <v>9.31</v>
      </c>
      <c r="C100" s="112">
        <v>4.05</v>
      </c>
      <c r="D100" s="112">
        <v>14.03</v>
      </c>
      <c r="E100" s="112">
        <v>8.75</v>
      </c>
      <c r="F100" s="112">
        <v>7.48</v>
      </c>
      <c r="G100" s="112">
        <v>30.78</v>
      </c>
      <c r="H100" s="112">
        <v>12.47</v>
      </c>
      <c r="I100" s="112">
        <v>4.8899999999999997</v>
      </c>
      <c r="J100" s="112">
        <v>0.34</v>
      </c>
      <c r="K100" s="112">
        <v>255.72</v>
      </c>
      <c r="L100" s="112">
        <v>26.7</v>
      </c>
      <c r="M100" s="112">
        <v>98.74</v>
      </c>
      <c r="N100" s="112">
        <v>2.5</v>
      </c>
      <c r="O100" s="112">
        <v>0</v>
      </c>
      <c r="P100" s="112">
        <v>0.45</v>
      </c>
      <c r="Q100" s="112">
        <v>4.54</v>
      </c>
    </row>
    <row r="101" spans="1:22" customFormat="1">
      <c r="A101" s="80">
        <v>45482.96875</v>
      </c>
      <c r="B101" s="112">
        <v>9.3000000000000007</v>
      </c>
      <c r="C101" s="112">
        <v>4.03</v>
      </c>
      <c r="D101" s="112">
        <v>14.02</v>
      </c>
      <c r="E101" s="112">
        <v>8.27</v>
      </c>
      <c r="F101" s="112">
        <v>7</v>
      </c>
      <c r="G101" s="112">
        <v>30.78</v>
      </c>
      <c r="H101" s="112">
        <v>12.47</v>
      </c>
      <c r="I101" s="112">
        <v>4.74</v>
      </c>
      <c r="J101" s="112">
        <v>0.44</v>
      </c>
      <c r="K101" s="112">
        <v>263.72000000000003</v>
      </c>
      <c r="L101" s="112">
        <v>26.65</v>
      </c>
      <c r="M101" s="112">
        <v>94.15</v>
      </c>
      <c r="N101" s="112">
        <v>2.7</v>
      </c>
      <c r="O101" s="112">
        <v>0</v>
      </c>
      <c r="P101" s="112">
        <v>0.44</v>
      </c>
      <c r="Q101" s="112">
        <v>4.54</v>
      </c>
    </row>
    <row r="102" spans="1:22" customFormat="1">
      <c r="A102" s="80">
        <v>45482.979166666664</v>
      </c>
      <c r="B102" s="112">
        <v>9.31</v>
      </c>
      <c r="C102" s="112">
        <v>4.04</v>
      </c>
      <c r="D102" s="112">
        <v>14.03</v>
      </c>
      <c r="E102" s="112">
        <v>8.18</v>
      </c>
      <c r="F102" s="112">
        <v>7.17</v>
      </c>
      <c r="G102" s="112">
        <v>30.78</v>
      </c>
      <c r="H102" s="112">
        <v>12.47</v>
      </c>
      <c r="I102" s="112">
        <v>4.74</v>
      </c>
      <c r="J102" s="112">
        <v>0.45</v>
      </c>
      <c r="K102" s="112">
        <v>265.29000000000002</v>
      </c>
      <c r="L102" s="112">
        <v>26.53</v>
      </c>
      <c r="M102" s="112">
        <v>91.26</v>
      </c>
      <c r="N102" s="112">
        <v>2.9</v>
      </c>
      <c r="O102" s="112">
        <v>0</v>
      </c>
      <c r="P102" s="112">
        <v>0.43</v>
      </c>
      <c r="Q102" s="112">
        <v>4.55</v>
      </c>
    </row>
    <row r="103" spans="1:22" customFormat="1">
      <c r="A103" s="80">
        <v>45482.989583333336</v>
      </c>
      <c r="B103" s="112">
        <v>9.2899999999999991</v>
      </c>
      <c r="C103" s="112">
        <v>4.0999999999999996</v>
      </c>
      <c r="D103" s="112">
        <v>14.04</v>
      </c>
      <c r="E103" s="112">
        <v>8.33</v>
      </c>
      <c r="F103" s="112">
        <v>8.4700000000000006</v>
      </c>
      <c r="G103" s="112">
        <v>24.85</v>
      </c>
      <c r="H103" s="112">
        <v>9.83</v>
      </c>
      <c r="I103" s="112">
        <v>4.72</v>
      </c>
      <c r="J103" s="112">
        <v>0.38</v>
      </c>
      <c r="K103" s="112">
        <v>257.76</v>
      </c>
      <c r="L103" s="112">
        <v>26.29</v>
      </c>
      <c r="M103" s="112">
        <v>92.03</v>
      </c>
      <c r="N103" s="112">
        <v>2.8</v>
      </c>
      <c r="O103" s="112">
        <v>0</v>
      </c>
      <c r="P103" s="112">
        <v>0.41</v>
      </c>
      <c r="Q103" s="112">
        <v>4.53</v>
      </c>
    </row>
    <row r="104" spans="1:22" customFormat="1">
      <c r="A104" s="80">
        <v>45483</v>
      </c>
      <c r="B104" s="112">
        <v>9.3000000000000007</v>
      </c>
      <c r="C104" s="112">
        <v>4.0999999999999996</v>
      </c>
      <c r="D104" s="112">
        <v>14.04</v>
      </c>
      <c r="E104" s="112">
        <v>8.57</v>
      </c>
      <c r="F104" s="112">
        <v>8.2200000000000006</v>
      </c>
      <c r="G104" s="112">
        <v>20.309999999999999</v>
      </c>
      <c r="H104" s="112">
        <v>8.98</v>
      </c>
      <c r="I104" s="112">
        <v>4.7</v>
      </c>
      <c r="J104" s="112">
        <v>0.26</v>
      </c>
      <c r="K104" s="112">
        <v>244.39</v>
      </c>
      <c r="L104" s="112">
        <v>26.07</v>
      </c>
      <c r="M104" s="112">
        <v>92.55</v>
      </c>
      <c r="N104" s="112">
        <v>2.5</v>
      </c>
      <c r="O104" s="112">
        <v>0</v>
      </c>
      <c r="P104" s="112">
        <v>0.41</v>
      </c>
      <c r="Q104" s="112">
        <v>4.5199999999999996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Q105" s="11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9.24</v>
      </c>
      <c r="C106" s="183">
        <f>MIN(C9:C104)</f>
        <v>4.01</v>
      </c>
      <c r="D106" s="183">
        <f t="shared" ref="D106:Q106" si="0">MIN(D9:D104)</f>
        <v>13.97</v>
      </c>
      <c r="E106" s="183">
        <f t="shared" si="0"/>
        <v>5.54</v>
      </c>
      <c r="F106" s="183">
        <f t="shared" si="0"/>
        <v>2.37</v>
      </c>
      <c r="G106" s="183">
        <f t="shared" si="0"/>
        <v>9.1300000000000008</v>
      </c>
      <c r="H106" s="183">
        <f t="shared" si="0"/>
        <v>1.8</v>
      </c>
      <c r="I106" s="183">
        <f t="shared" si="0"/>
        <v>3.56</v>
      </c>
      <c r="J106" s="183">
        <f t="shared" si="0"/>
        <v>0</v>
      </c>
      <c r="K106" s="183">
        <f t="shared" si="0"/>
        <v>13.81</v>
      </c>
      <c r="L106" s="183">
        <f t="shared" si="0"/>
        <v>25.35</v>
      </c>
      <c r="M106" s="183">
        <f t="shared" si="0"/>
        <v>56.05</v>
      </c>
      <c r="N106" s="183">
        <f t="shared" si="0"/>
        <v>1.7</v>
      </c>
      <c r="O106" s="183">
        <f t="shared" si="0"/>
        <v>0</v>
      </c>
      <c r="P106" s="183">
        <f t="shared" si="0"/>
        <v>0.28999999999999998</v>
      </c>
      <c r="Q106" s="183">
        <f t="shared" si="0"/>
        <v>3.25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9.36</v>
      </c>
      <c r="C107" s="184">
        <f t="shared" ref="C107:Q107" si="1">MAX(C9:C104)</f>
        <v>4.17</v>
      </c>
      <c r="D107" s="184">
        <f t="shared" si="1"/>
        <v>14.08</v>
      </c>
      <c r="E107" s="184">
        <f t="shared" si="1"/>
        <v>12.19</v>
      </c>
      <c r="F107" s="184">
        <f t="shared" si="1"/>
        <v>25.51</v>
      </c>
      <c r="G107" s="184">
        <f t="shared" si="1"/>
        <v>57.36</v>
      </c>
      <c r="H107" s="184">
        <f t="shared" si="1"/>
        <v>80.45</v>
      </c>
      <c r="I107" s="184">
        <f t="shared" si="1"/>
        <v>6.08</v>
      </c>
      <c r="J107" s="184">
        <f t="shared" si="1"/>
        <v>0.92</v>
      </c>
      <c r="K107" s="184">
        <f t="shared" si="1"/>
        <v>325.89</v>
      </c>
      <c r="L107" s="184">
        <f t="shared" si="1"/>
        <v>35.56</v>
      </c>
      <c r="M107" s="184">
        <f t="shared" si="1"/>
        <v>103.85</v>
      </c>
      <c r="N107" s="184">
        <f t="shared" si="1"/>
        <v>958.6</v>
      </c>
      <c r="O107" s="184">
        <f t="shared" si="1"/>
        <v>26.2</v>
      </c>
      <c r="P107" s="184">
        <f t="shared" si="1"/>
        <v>0.51</v>
      </c>
      <c r="Q107" s="184">
        <f t="shared" si="1"/>
        <v>4.5599999999999996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9.3016666666666605</v>
      </c>
      <c r="C108" s="183">
        <f t="shared" ref="C108:Q108" si="2">AVERAGE(C9:C104)</f>
        <v>4.0742708333333324</v>
      </c>
      <c r="D108" s="183">
        <f t="shared" si="2"/>
        <v>14.037604166666647</v>
      </c>
      <c r="E108" s="183">
        <f t="shared" si="2"/>
        <v>9.0109375000000007</v>
      </c>
      <c r="F108" s="183">
        <f t="shared" si="2"/>
        <v>7.9360416666666671</v>
      </c>
      <c r="G108" s="183">
        <f t="shared" si="2"/>
        <v>26.216145833333339</v>
      </c>
      <c r="H108" s="183">
        <f t="shared" si="2"/>
        <v>29.287083333333342</v>
      </c>
      <c r="I108" s="183">
        <f t="shared" si="2"/>
        <v>4.4093749999999998</v>
      </c>
      <c r="J108" s="183">
        <f t="shared" si="2"/>
        <v>0.28156249999999999</v>
      </c>
      <c r="K108" s="183">
        <f t="shared" si="2"/>
        <v>206.10656250000002</v>
      </c>
      <c r="L108" s="183">
        <f t="shared" si="2"/>
        <v>28.758854166666662</v>
      </c>
      <c r="M108" s="183">
        <f t="shared" si="2"/>
        <v>85.568854166666654</v>
      </c>
      <c r="N108" s="183">
        <f t="shared" si="2"/>
        <v>129.45312500000003</v>
      </c>
      <c r="O108" s="183">
        <f t="shared" si="2"/>
        <v>0.40416666666666662</v>
      </c>
      <c r="P108" s="183">
        <f t="shared" si="2"/>
        <v>0.38322916666666657</v>
      </c>
      <c r="Q108" s="183">
        <f t="shared" si="2"/>
        <v>4.5253125000000027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2.9006956213500482E-2</v>
      </c>
      <c r="C109" s="183">
        <f t="shared" ref="C109:Q109" si="3">STDEV(C9:C104)</f>
        <v>2.324898601825881E-2</v>
      </c>
      <c r="D109" s="183">
        <f t="shared" si="3"/>
        <v>2.3830312040127206E-2</v>
      </c>
      <c r="E109" s="183">
        <f t="shared" si="3"/>
        <v>1.5354101650699075</v>
      </c>
      <c r="F109" s="183">
        <f t="shared" si="3"/>
        <v>5.7340338477084956</v>
      </c>
      <c r="G109" s="183">
        <f t="shared" si="3"/>
        <v>10.776315488855678</v>
      </c>
      <c r="H109" s="183">
        <f t="shared" si="3"/>
        <v>25.228363858610717</v>
      </c>
      <c r="I109" s="183">
        <f t="shared" si="3"/>
        <v>0.58885761392180858</v>
      </c>
      <c r="J109" s="183">
        <f t="shared" si="3"/>
        <v>0.1849342877604738</v>
      </c>
      <c r="K109" s="183">
        <f t="shared" si="3"/>
        <v>79.28421122210797</v>
      </c>
      <c r="L109" s="183">
        <f t="shared" si="3"/>
        <v>3.2839875856524952</v>
      </c>
      <c r="M109" s="183">
        <f t="shared" si="3"/>
        <v>15.520075682791106</v>
      </c>
      <c r="N109" s="183">
        <f t="shared" si="3"/>
        <v>201.03559200621535</v>
      </c>
      <c r="O109" s="183">
        <f t="shared" si="3"/>
        <v>2.8297634889701953</v>
      </c>
      <c r="P109" s="183">
        <f t="shared" si="3"/>
        <v>5.6744947220769101E-2</v>
      </c>
      <c r="Q109" s="183">
        <f t="shared" si="3"/>
        <v>0.13235481121817938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Q9" sqref="Q9:Q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45483.010416666664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45483.010416666664</v>
      </c>
      <c r="B9" s="112">
        <v>9.32</v>
      </c>
      <c r="C9" s="112">
        <v>4.04</v>
      </c>
      <c r="D9" s="112">
        <v>14.03</v>
      </c>
      <c r="E9" s="112">
        <v>8.26</v>
      </c>
      <c r="F9" s="112">
        <v>8.18</v>
      </c>
      <c r="G9" s="112">
        <v>20.309999999999999</v>
      </c>
      <c r="H9" s="112">
        <v>8.98</v>
      </c>
      <c r="I9" s="112">
        <v>4.42</v>
      </c>
      <c r="J9" s="112">
        <v>0.28000000000000003</v>
      </c>
      <c r="K9" s="112">
        <v>263.88</v>
      </c>
      <c r="L9" s="112">
        <v>25.89</v>
      </c>
      <c r="M9" s="112">
        <v>92.68</v>
      </c>
      <c r="N9" s="112">
        <v>2.5</v>
      </c>
      <c r="O9" s="112">
        <v>0</v>
      </c>
      <c r="P9" s="112">
        <v>0.4</v>
      </c>
      <c r="Q9" s="112">
        <v>4.58</v>
      </c>
    </row>
    <row r="10" spans="1:21" customFormat="1">
      <c r="A10" s="80">
        <v>45483.020833333336</v>
      </c>
      <c r="B10" s="112">
        <v>9.3000000000000007</v>
      </c>
      <c r="C10" s="112">
        <v>4.08</v>
      </c>
      <c r="D10" s="112">
        <v>14.04</v>
      </c>
      <c r="E10" s="112">
        <v>7.71</v>
      </c>
      <c r="F10" s="112">
        <v>7.56</v>
      </c>
      <c r="G10" s="112">
        <v>20.309999999999999</v>
      </c>
      <c r="H10" s="112">
        <v>8.98</v>
      </c>
      <c r="I10" s="112">
        <v>4.51</v>
      </c>
      <c r="J10" s="112">
        <v>0.37</v>
      </c>
      <c r="K10" s="112">
        <v>262.45999999999998</v>
      </c>
      <c r="L10" s="112">
        <v>25.82</v>
      </c>
      <c r="M10" s="112">
        <v>92.22</v>
      </c>
      <c r="N10" s="112">
        <v>2.4</v>
      </c>
      <c r="O10" s="112">
        <v>0</v>
      </c>
      <c r="P10" s="112">
        <v>0.4</v>
      </c>
      <c r="Q10" s="112">
        <v>4.57</v>
      </c>
    </row>
    <row r="11" spans="1:21" customFormat="1">
      <c r="A11" s="80">
        <v>45483.03125</v>
      </c>
      <c r="B11" s="112">
        <v>9.31</v>
      </c>
      <c r="C11" s="112">
        <v>4.07</v>
      </c>
      <c r="D11" s="112">
        <v>14.04</v>
      </c>
      <c r="E11" s="112">
        <v>7.78</v>
      </c>
      <c r="F11" s="112">
        <v>9.5399999999999991</v>
      </c>
      <c r="G11" s="112">
        <v>17.59</v>
      </c>
      <c r="H11" s="112">
        <v>7.75</v>
      </c>
      <c r="I11" s="112">
        <v>4.32</v>
      </c>
      <c r="J11" s="112">
        <v>0.38</v>
      </c>
      <c r="K11" s="112">
        <v>256.60000000000002</v>
      </c>
      <c r="L11" s="112">
        <v>25.68</v>
      </c>
      <c r="M11" s="112">
        <v>92.91</v>
      </c>
      <c r="N11" s="112">
        <v>2.4</v>
      </c>
      <c r="O11" s="112">
        <v>0</v>
      </c>
      <c r="P11" s="112">
        <v>0.39</v>
      </c>
      <c r="Q11" s="112">
        <v>4.58</v>
      </c>
    </row>
    <row r="12" spans="1:21" customFormat="1">
      <c r="A12" s="80">
        <v>45483.041666666664</v>
      </c>
      <c r="B12" s="112">
        <v>9.3000000000000007</v>
      </c>
      <c r="C12" s="112">
        <v>4.0999999999999996</v>
      </c>
      <c r="D12" s="112">
        <v>14.05</v>
      </c>
      <c r="E12" s="112">
        <v>8.17</v>
      </c>
      <c r="F12" s="112">
        <v>7.21</v>
      </c>
      <c r="G12" s="112">
        <v>15.5</v>
      </c>
      <c r="H12" s="112">
        <v>6.99</v>
      </c>
      <c r="I12" s="112">
        <v>4.4400000000000004</v>
      </c>
      <c r="J12" s="112">
        <v>0.19</v>
      </c>
      <c r="K12" s="112">
        <v>223.87</v>
      </c>
      <c r="L12" s="112">
        <v>25.57</v>
      </c>
      <c r="M12" s="112">
        <v>94.53</v>
      </c>
      <c r="N12" s="112">
        <v>2.1</v>
      </c>
      <c r="O12" s="112">
        <v>0</v>
      </c>
      <c r="P12" s="112">
        <v>0.39</v>
      </c>
      <c r="Q12" s="112">
        <v>4.57</v>
      </c>
    </row>
    <row r="13" spans="1:21" customFormat="1">
      <c r="A13" s="80">
        <v>45483.052083333336</v>
      </c>
      <c r="B13" s="112">
        <v>9.3000000000000007</v>
      </c>
      <c r="C13" s="112">
        <v>4.09</v>
      </c>
      <c r="D13" s="112">
        <v>14.04</v>
      </c>
      <c r="E13" s="112">
        <v>7.9</v>
      </c>
      <c r="F13" s="112">
        <v>5.18</v>
      </c>
      <c r="G13" s="112">
        <v>15.5</v>
      </c>
      <c r="H13" s="112">
        <v>6.99</v>
      </c>
      <c r="I13" s="112">
        <v>4.21</v>
      </c>
      <c r="J13" s="112">
        <v>0.28999999999999998</v>
      </c>
      <c r="K13" s="112">
        <v>258.41000000000003</v>
      </c>
      <c r="L13" s="112">
        <v>25.47</v>
      </c>
      <c r="M13" s="112">
        <v>95.9</v>
      </c>
      <c r="N13" s="112">
        <v>2.1</v>
      </c>
      <c r="O13" s="112">
        <v>0</v>
      </c>
      <c r="P13" s="112">
        <v>0.41</v>
      </c>
      <c r="Q13" s="112">
        <v>4.54</v>
      </c>
    </row>
    <row r="14" spans="1:21" customFormat="1">
      <c r="A14" s="80">
        <v>45483.0625</v>
      </c>
      <c r="B14" s="112">
        <v>9.3000000000000007</v>
      </c>
      <c r="C14" s="112">
        <v>4.08</v>
      </c>
      <c r="D14" s="112">
        <v>14.03</v>
      </c>
      <c r="E14" s="112">
        <v>8.86</v>
      </c>
      <c r="F14" s="112">
        <v>4.47</v>
      </c>
      <c r="G14" s="112">
        <v>15.5</v>
      </c>
      <c r="H14" s="112">
        <v>6.99</v>
      </c>
      <c r="I14" s="112">
        <v>4.46</v>
      </c>
      <c r="J14" s="112">
        <v>0.16</v>
      </c>
      <c r="K14" s="112">
        <v>228.63</v>
      </c>
      <c r="L14" s="112">
        <v>25.49</v>
      </c>
      <c r="M14" s="112">
        <v>96.7</v>
      </c>
      <c r="N14" s="112">
        <v>2</v>
      </c>
      <c r="O14" s="112">
        <v>0</v>
      </c>
      <c r="P14" s="112">
        <v>0.42</v>
      </c>
      <c r="Q14" s="112">
        <v>4.55</v>
      </c>
    </row>
    <row r="15" spans="1:21" customFormat="1">
      <c r="A15" s="80">
        <v>45483.072916666664</v>
      </c>
      <c r="B15" s="112">
        <v>9.31</v>
      </c>
      <c r="C15" s="112">
        <v>4.08</v>
      </c>
      <c r="D15" s="112">
        <v>14.05</v>
      </c>
      <c r="E15" s="112">
        <v>8.74</v>
      </c>
      <c r="F15" s="112">
        <v>4.8499999999999996</v>
      </c>
      <c r="G15" s="112">
        <v>12.87</v>
      </c>
      <c r="H15" s="112">
        <v>5.32</v>
      </c>
      <c r="I15" s="112">
        <v>4.4800000000000004</v>
      </c>
      <c r="J15" s="112">
        <v>0.14000000000000001</v>
      </c>
      <c r="K15" s="112">
        <v>250.35</v>
      </c>
      <c r="L15" s="112">
        <v>25.35</v>
      </c>
      <c r="M15" s="112">
        <v>97.65</v>
      </c>
      <c r="N15" s="112">
        <v>2.1</v>
      </c>
      <c r="O15" s="112">
        <v>0</v>
      </c>
      <c r="P15" s="112">
        <v>0.38</v>
      </c>
      <c r="Q15" s="112">
        <v>4.57</v>
      </c>
    </row>
    <row r="16" spans="1:21" customFormat="1">
      <c r="A16" s="80">
        <v>45483.083333333336</v>
      </c>
      <c r="B16" s="112">
        <v>9.32</v>
      </c>
      <c r="C16" s="112">
        <v>4.09</v>
      </c>
      <c r="D16" s="112">
        <v>14.06</v>
      </c>
      <c r="E16" s="112">
        <v>8.6300000000000008</v>
      </c>
      <c r="F16" s="112">
        <v>4.49</v>
      </c>
      <c r="G16" s="112">
        <v>10.85</v>
      </c>
      <c r="H16" s="112">
        <v>4.74</v>
      </c>
      <c r="I16" s="112">
        <v>4.54</v>
      </c>
      <c r="J16" s="112">
        <v>0.16</v>
      </c>
      <c r="K16" s="112">
        <v>221.64</v>
      </c>
      <c r="L16" s="112">
        <v>25.41</v>
      </c>
      <c r="M16" s="112">
        <v>96.3</v>
      </c>
      <c r="N16" s="112">
        <v>2</v>
      </c>
      <c r="O16" s="112">
        <v>0</v>
      </c>
      <c r="P16" s="112">
        <v>0.35</v>
      </c>
      <c r="Q16" s="112">
        <v>4.57</v>
      </c>
    </row>
    <row r="17" spans="1:17" customFormat="1">
      <c r="A17" s="80">
        <v>45483.09375</v>
      </c>
      <c r="B17" s="112">
        <v>9.33</v>
      </c>
      <c r="C17" s="112">
        <v>4.08</v>
      </c>
      <c r="D17" s="112">
        <v>14.06</v>
      </c>
      <c r="E17" s="112">
        <v>9.08</v>
      </c>
      <c r="F17" s="112">
        <v>4.1900000000000004</v>
      </c>
      <c r="G17" s="112">
        <v>10.85</v>
      </c>
      <c r="H17" s="112">
        <v>4.74</v>
      </c>
      <c r="I17" s="112">
        <v>4.4000000000000004</v>
      </c>
      <c r="J17" s="112">
        <v>0.15</v>
      </c>
      <c r="K17" s="112">
        <v>176.82</v>
      </c>
      <c r="L17" s="112">
        <v>25.29</v>
      </c>
      <c r="M17" s="112">
        <v>96.23</v>
      </c>
      <c r="N17" s="112">
        <v>2.1</v>
      </c>
      <c r="O17" s="112">
        <v>0</v>
      </c>
      <c r="P17" s="112">
        <v>0.34</v>
      </c>
      <c r="Q17" s="112">
        <v>4.58</v>
      </c>
    </row>
    <row r="18" spans="1:17" customFormat="1">
      <c r="A18" s="80">
        <v>45483.104166666664</v>
      </c>
      <c r="B18" s="112">
        <v>9.32</v>
      </c>
      <c r="C18" s="112">
        <v>4.0599999999999996</v>
      </c>
      <c r="D18" s="112">
        <v>14.05</v>
      </c>
      <c r="E18" s="112">
        <v>11.19</v>
      </c>
      <c r="F18" s="112">
        <v>3.8</v>
      </c>
      <c r="G18" s="112">
        <v>10.85</v>
      </c>
      <c r="H18" s="112">
        <v>4.74</v>
      </c>
      <c r="I18" s="112">
        <v>4.3899999999999997</v>
      </c>
      <c r="J18" s="112">
        <v>0.11</v>
      </c>
      <c r="K18" s="112">
        <v>172.78</v>
      </c>
      <c r="L18" s="112">
        <v>25.18</v>
      </c>
      <c r="M18" s="112">
        <v>97.24</v>
      </c>
      <c r="N18" s="112">
        <v>2.1</v>
      </c>
      <c r="O18" s="112">
        <v>0</v>
      </c>
      <c r="P18" s="112">
        <v>0.34</v>
      </c>
      <c r="Q18" s="112">
        <v>4.5599999999999996</v>
      </c>
    </row>
    <row r="19" spans="1:17" customFormat="1">
      <c r="A19" s="80">
        <v>45483.114583333336</v>
      </c>
      <c r="B19" s="112">
        <v>9.2899999999999991</v>
      </c>
      <c r="C19" s="112">
        <v>4.08</v>
      </c>
      <c r="D19" s="112">
        <v>14.03</v>
      </c>
      <c r="E19" s="112">
        <v>10.87</v>
      </c>
      <c r="F19" s="112">
        <v>5.36</v>
      </c>
      <c r="G19" s="112">
        <v>9.0399999999999991</v>
      </c>
      <c r="H19" s="112">
        <v>3.84</v>
      </c>
      <c r="I19" s="112">
        <v>4.34</v>
      </c>
      <c r="J19" s="112">
        <v>0.12</v>
      </c>
      <c r="K19" s="112">
        <v>186.55</v>
      </c>
      <c r="L19" s="112">
        <v>25.04</v>
      </c>
      <c r="M19" s="112">
        <v>98.6</v>
      </c>
      <c r="N19" s="112">
        <v>2.1</v>
      </c>
      <c r="O19" s="112">
        <v>0</v>
      </c>
      <c r="P19" s="112">
        <v>0.33</v>
      </c>
      <c r="Q19" s="112">
        <v>4.58</v>
      </c>
    </row>
    <row r="20" spans="1:17" customFormat="1">
      <c r="A20" s="80">
        <v>45483.125</v>
      </c>
      <c r="B20" s="112">
        <v>9.27</v>
      </c>
      <c r="C20" s="112">
        <v>4.09</v>
      </c>
      <c r="D20" s="112">
        <v>14.02</v>
      </c>
      <c r="E20" s="112">
        <v>11.01</v>
      </c>
      <c r="F20" s="112">
        <v>4.29</v>
      </c>
      <c r="G20" s="112">
        <v>7.6</v>
      </c>
      <c r="H20" s="112">
        <v>3.53</v>
      </c>
      <c r="I20" s="112">
        <v>4.28</v>
      </c>
      <c r="J20" s="112">
        <v>0.11</v>
      </c>
      <c r="K20" s="112">
        <v>181.02</v>
      </c>
      <c r="L20" s="112">
        <v>24.97</v>
      </c>
      <c r="M20" s="112">
        <v>98.4</v>
      </c>
      <c r="N20" s="112">
        <v>1.9</v>
      </c>
      <c r="O20" s="112">
        <v>0</v>
      </c>
      <c r="P20" s="112">
        <v>0.33</v>
      </c>
      <c r="Q20" s="112">
        <v>4.5599999999999996</v>
      </c>
    </row>
    <row r="21" spans="1:17" customFormat="1">
      <c r="A21" s="80">
        <v>45483.135416666664</v>
      </c>
      <c r="B21" s="112">
        <v>9.2799999999999994</v>
      </c>
      <c r="C21" s="112">
        <v>4.0999999999999996</v>
      </c>
      <c r="D21" s="112">
        <v>14.03</v>
      </c>
      <c r="E21" s="112">
        <v>11.41</v>
      </c>
      <c r="F21" s="112">
        <v>3.72</v>
      </c>
      <c r="G21" s="112">
        <v>7.6</v>
      </c>
      <c r="H21" s="112">
        <v>3.53</v>
      </c>
      <c r="I21" s="112">
        <v>4.12</v>
      </c>
      <c r="J21" s="112">
        <v>7.0000000000000007E-2</v>
      </c>
      <c r="K21" s="112">
        <v>181.23</v>
      </c>
      <c r="L21" s="112">
        <v>24.94</v>
      </c>
      <c r="M21" s="112">
        <v>97.48</v>
      </c>
      <c r="N21" s="112">
        <v>2</v>
      </c>
      <c r="O21" s="112">
        <v>0</v>
      </c>
      <c r="P21" s="112">
        <v>0.32</v>
      </c>
      <c r="Q21" s="112">
        <v>4.57</v>
      </c>
    </row>
    <row r="22" spans="1:17" customFormat="1">
      <c r="A22" s="80">
        <v>45483.145833333336</v>
      </c>
      <c r="B22" s="112">
        <v>9.3000000000000007</v>
      </c>
      <c r="C22" s="112">
        <v>4.07</v>
      </c>
      <c r="D22" s="112">
        <v>14.03</v>
      </c>
      <c r="E22" s="112">
        <v>11.62</v>
      </c>
      <c r="F22" s="112">
        <v>3.48</v>
      </c>
      <c r="G22" s="112">
        <v>7.6</v>
      </c>
      <c r="H22" s="112">
        <v>3.53</v>
      </c>
      <c r="I22" s="112">
        <v>4.0999999999999996</v>
      </c>
      <c r="J22" s="112">
        <v>0.15</v>
      </c>
      <c r="K22" s="112">
        <v>168.59</v>
      </c>
      <c r="L22" s="112">
        <v>24.99</v>
      </c>
      <c r="M22" s="112">
        <v>97.59</v>
      </c>
      <c r="N22" s="112">
        <v>1.8</v>
      </c>
      <c r="O22" s="112">
        <v>0</v>
      </c>
      <c r="P22" s="112">
        <v>0.32</v>
      </c>
      <c r="Q22" s="112">
        <v>4.5599999999999996</v>
      </c>
    </row>
    <row r="23" spans="1:17" customFormat="1">
      <c r="A23" s="80">
        <v>45483.15625</v>
      </c>
      <c r="B23" s="112">
        <v>9.2899999999999991</v>
      </c>
      <c r="C23" s="112">
        <v>4.08</v>
      </c>
      <c r="D23" s="112">
        <v>14.03</v>
      </c>
      <c r="E23" s="112">
        <v>11.42</v>
      </c>
      <c r="F23" s="112">
        <v>3.53</v>
      </c>
      <c r="G23" s="112">
        <v>6.74</v>
      </c>
      <c r="H23" s="112">
        <v>2.8</v>
      </c>
      <c r="I23" s="112">
        <v>3.86</v>
      </c>
      <c r="J23" s="112">
        <v>0.16</v>
      </c>
      <c r="K23" s="112">
        <v>190.89</v>
      </c>
      <c r="L23" s="112">
        <v>24.91</v>
      </c>
      <c r="M23" s="112">
        <v>99.12</v>
      </c>
      <c r="N23" s="112">
        <v>1.8</v>
      </c>
      <c r="O23" s="112">
        <v>0</v>
      </c>
      <c r="P23" s="112">
        <v>0.31</v>
      </c>
      <c r="Q23" s="112">
        <v>4.55</v>
      </c>
    </row>
    <row r="24" spans="1:17" customFormat="1">
      <c r="A24" s="80">
        <v>45483.166666666664</v>
      </c>
      <c r="B24" s="112">
        <v>9.2899999999999991</v>
      </c>
      <c r="C24" s="112">
        <v>4.05</v>
      </c>
      <c r="D24" s="112">
        <v>14.02</v>
      </c>
      <c r="E24" s="112">
        <v>11.43</v>
      </c>
      <c r="F24" s="112">
        <v>3.34</v>
      </c>
      <c r="G24" s="112">
        <v>6.09</v>
      </c>
      <c r="H24" s="112">
        <v>2.54</v>
      </c>
      <c r="I24" s="112">
        <v>3.96</v>
      </c>
      <c r="J24" s="112">
        <v>0.22</v>
      </c>
      <c r="K24" s="112">
        <v>179.57</v>
      </c>
      <c r="L24" s="112">
        <v>25.02</v>
      </c>
      <c r="M24" s="112">
        <v>98.49</v>
      </c>
      <c r="N24" s="112">
        <v>1.8</v>
      </c>
      <c r="O24" s="112">
        <v>0</v>
      </c>
      <c r="P24" s="112">
        <v>0.31</v>
      </c>
      <c r="Q24" s="112">
        <v>4.55</v>
      </c>
    </row>
    <row r="25" spans="1:17" customFormat="1">
      <c r="A25" s="80">
        <v>45483.177083333336</v>
      </c>
      <c r="B25" s="112">
        <v>9.2899999999999991</v>
      </c>
      <c r="C25" s="112">
        <v>4.0599999999999996</v>
      </c>
      <c r="D25" s="112">
        <v>14.02</v>
      </c>
      <c r="E25" s="112">
        <v>11.94</v>
      </c>
      <c r="F25" s="112">
        <v>3.47</v>
      </c>
      <c r="G25" s="112">
        <v>6.09</v>
      </c>
      <c r="H25" s="112">
        <v>2.54</v>
      </c>
      <c r="I25" s="112">
        <v>3.92</v>
      </c>
      <c r="J25" s="112">
        <v>0.11</v>
      </c>
      <c r="K25" s="112">
        <v>196.39</v>
      </c>
      <c r="L25" s="112">
        <v>24.99</v>
      </c>
      <c r="M25" s="112">
        <v>97.88</v>
      </c>
      <c r="N25" s="112">
        <v>2.1</v>
      </c>
      <c r="O25" s="112">
        <v>0</v>
      </c>
      <c r="P25" s="112">
        <v>0.3</v>
      </c>
      <c r="Q25" s="112">
        <v>4.5599999999999996</v>
      </c>
    </row>
    <row r="26" spans="1:17" customFormat="1">
      <c r="A26" s="80">
        <v>45483.1875</v>
      </c>
      <c r="B26" s="112">
        <v>9.2899999999999991</v>
      </c>
      <c r="C26" s="112">
        <v>4.08</v>
      </c>
      <c r="D26" s="112">
        <v>14.03</v>
      </c>
      <c r="E26" s="112">
        <v>11.73</v>
      </c>
      <c r="F26" s="112">
        <v>3.43</v>
      </c>
      <c r="G26" s="112">
        <v>6.09</v>
      </c>
      <c r="H26" s="112">
        <v>2.54</v>
      </c>
      <c r="I26" s="112">
        <v>3.9</v>
      </c>
      <c r="J26" s="112">
        <v>0.13</v>
      </c>
      <c r="K26" s="112">
        <v>191.27</v>
      </c>
      <c r="L26" s="112">
        <v>25.05</v>
      </c>
      <c r="M26" s="112">
        <v>98.84</v>
      </c>
      <c r="N26" s="112">
        <v>2</v>
      </c>
      <c r="O26" s="112">
        <v>0</v>
      </c>
      <c r="P26" s="112">
        <v>0.3</v>
      </c>
      <c r="Q26" s="112">
        <v>4.5999999999999996</v>
      </c>
    </row>
    <row r="27" spans="1:17" customFormat="1">
      <c r="A27" s="80">
        <v>45483.197916666664</v>
      </c>
      <c r="B27" s="112">
        <v>9.2899999999999991</v>
      </c>
      <c r="C27" s="112">
        <v>4.0599999999999996</v>
      </c>
      <c r="D27" s="112">
        <v>14.02</v>
      </c>
      <c r="E27" s="112">
        <v>12.07</v>
      </c>
      <c r="F27" s="112">
        <v>3.64</v>
      </c>
      <c r="G27" s="112">
        <v>6.56</v>
      </c>
      <c r="H27" s="112">
        <v>2.17</v>
      </c>
      <c r="I27" s="112">
        <v>3.87</v>
      </c>
      <c r="J27" s="112">
        <v>0.15</v>
      </c>
      <c r="K27" s="112">
        <v>186.14</v>
      </c>
      <c r="L27" s="112">
        <v>25.16</v>
      </c>
      <c r="M27" s="112">
        <v>97.6</v>
      </c>
      <c r="N27" s="112">
        <v>2.1</v>
      </c>
      <c r="O27" s="112">
        <v>0</v>
      </c>
      <c r="P27" s="112">
        <v>0.3</v>
      </c>
      <c r="Q27" s="112">
        <v>4.57</v>
      </c>
    </row>
    <row r="28" spans="1:17" customFormat="1">
      <c r="A28" s="80">
        <v>45483.208333333336</v>
      </c>
      <c r="B28" s="112">
        <v>9.2899999999999991</v>
      </c>
      <c r="C28" s="112">
        <v>4.09</v>
      </c>
      <c r="D28" s="112">
        <v>14.04</v>
      </c>
      <c r="E28" s="112">
        <v>12.28</v>
      </c>
      <c r="F28" s="112">
        <v>3.53</v>
      </c>
      <c r="G28" s="112">
        <v>6.93</v>
      </c>
      <c r="H28" s="112">
        <v>2.04</v>
      </c>
      <c r="I28" s="112">
        <v>3.88</v>
      </c>
      <c r="J28" s="112">
        <v>0.13</v>
      </c>
      <c r="K28" s="112">
        <v>199.05</v>
      </c>
      <c r="L28" s="112">
        <v>25.07</v>
      </c>
      <c r="M28" s="112">
        <v>96.42</v>
      </c>
      <c r="N28" s="112">
        <v>2.1</v>
      </c>
      <c r="O28" s="112">
        <v>0</v>
      </c>
      <c r="P28" s="112">
        <v>0.3</v>
      </c>
      <c r="Q28" s="112">
        <v>4.5599999999999996</v>
      </c>
    </row>
    <row r="29" spans="1:17" customFormat="1">
      <c r="A29" s="80">
        <v>45483.21875</v>
      </c>
      <c r="B29" s="112">
        <v>9.3000000000000007</v>
      </c>
      <c r="C29" s="112">
        <v>4.09</v>
      </c>
      <c r="D29" s="112">
        <v>14.05</v>
      </c>
      <c r="E29" s="112">
        <v>12.2</v>
      </c>
      <c r="F29" s="112">
        <v>3.36</v>
      </c>
      <c r="G29" s="112">
        <v>6.93</v>
      </c>
      <c r="H29" s="112">
        <v>2.04</v>
      </c>
      <c r="I29" s="112">
        <v>3.61</v>
      </c>
      <c r="J29" s="112">
        <v>0.15</v>
      </c>
      <c r="K29" s="112">
        <v>225.28</v>
      </c>
      <c r="L29" s="112">
        <v>24.92</v>
      </c>
      <c r="M29" s="112">
        <v>97.06</v>
      </c>
      <c r="N29" s="112">
        <v>3</v>
      </c>
      <c r="O29" s="112">
        <v>0</v>
      </c>
      <c r="P29" s="112">
        <v>0.31</v>
      </c>
      <c r="Q29" s="112">
        <v>4.57</v>
      </c>
    </row>
    <row r="30" spans="1:17" customFormat="1">
      <c r="A30" s="80">
        <v>45483.229166666664</v>
      </c>
      <c r="B30" s="112">
        <v>9.31</v>
      </c>
      <c r="C30" s="112">
        <v>4.09</v>
      </c>
      <c r="D30" s="112">
        <v>14.05</v>
      </c>
      <c r="E30" s="112">
        <v>12.03</v>
      </c>
      <c r="F30" s="112">
        <v>2.8</v>
      </c>
      <c r="G30" s="112">
        <v>6.93</v>
      </c>
      <c r="H30" s="112">
        <v>2.04</v>
      </c>
      <c r="I30" s="112">
        <v>3.56</v>
      </c>
      <c r="J30" s="112">
        <v>0.16</v>
      </c>
      <c r="K30" s="112">
        <v>188.53</v>
      </c>
      <c r="L30" s="112">
        <v>24.95</v>
      </c>
      <c r="M30" s="112">
        <v>100.24</v>
      </c>
      <c r="N30" s="112">
        <v>7.2</v>
      </c>
      <c r="O30" s="112">
        <v>0</v>
      </c>
      <c r="P30" s="112">
        <v>0.28999999999999998</v>
      </c>
      <c r="Q30" s="112">
        <v>4.5599999999999996</v>
      </c>
    </row>
    <row r="31" spans="1:17" customFormat="1">
      <c r="A31" s="80">
        <v>45483.239583333336</v>
      </c>
      <c r="B31" s="112">
        <v>9.32</v>
      </c>
      <c r="C31" s="112">
        <v>4.05</v>
      </c>
      <c r="D31" s="112">
        <v>14.04</v>
      </c>
      <c r="E31" s="112">
        <v>12.41</v>
      </c>
      <c r="F31" s="112">
        <v>3.41</v>
      </c>
      <c r="G31" s="112">
        <v>6.57</v>
      </c>
      <c r="H31" s="112">
        <v>1.69</v>
      </c>
      <c r="I31" s="112">
        <v>3.5</v>
      </c>
      <c r="J31" s="112">
        <v>-0.05</v>
      </c>
      <c r="K31" s="112">
        <v>-0.08</v>
      </c>
      <c r="L31" s="112">
        <v>24.95</v>
      </c>
      <c r="M31" s="112">
        <v>98.58</v>
      </c>
      <c r="N31" s="112">
        <v>17.100000000000001</v>
      </c>
      <c r="O31" s="112">
        <v>0</v>
      </c>
      <c r="P31" s="112">
        <v>0.3</v>
      </c>
      <c r="Q31" s="112">
        <v>4.5599999999999996</v>
      </c>
    </row>
    <row r="32" spans="1:17" customFormat="1">
      <c r="A32" s="80">
        <v>45483.25</v>
      </c>
      <c r="B32" s="112">
        <v>9.33</v>
      </c>
      <c r="C32" s="112">
        <v>4.05</v>
      </c>
      <c r="D32" s="112">
        <v>14.04</v>
      </c>
      <c r="E32" s="112">
        <v>12.85</v>
      </c>
      <c r="F32" s="112">
        <v>2.8</v>
      </c>
      <c r="G32" s="112">
        <v>6.3</v>
      </c>
      <c r="H32" s="112">
        <v>1.57</v>
      </c>
      <c r="I32" s="112">
        <v>3.63</v>
      </c>
      <c r="J32" s="112">
        <v>0.15</v>
      </c>
      <c r="K32" s="112">
        <v>265.75</v>
      </c>
      <c r="L32" s="112">
        <v>25.28</v>
      </c>
      <c r="M32" s="112">
        <v>98.96</v>
      </c>
      <c r="N32" s="112">
        <v>28.2</v>
      </c>
      <c r="O32" s="112">
        <v>0</v>
      </c>
      <c r="P32" s="112">
        <v>0.28000000000000003</v>
      </c>
      <c r="Q32" s="112">
        <v>4.55</v>
      </c>
    </row>
    <row r="33" spans="1:17" customFormat="1">
      <c r="A33" s="80">
        <v>45483.260416666664</v>
      </c>
      <c r="B33" s="112">
        <v>9.33</v>
      </c>
      <c r="C33" s="112">
        <v>4.07</v>
      </c>
      <c r="D33" s="112">
        <v>14.05</v>
      </c>
      <c r="E33" s="112">
        <v>12.83</v>
      </c>
      <c r="F33" s="112">
        <v>2.71</v>
      </c>
      <c r="G33" s="112">
        <v>6.3</v>
      </c>
      <c r="H33" s="112">
        <v>1.57</v>
      </c>
      <c r="I33" s="112">
        <v>3.4</v>
      </c>
      <c r="J33" s="112">
        <v>0.11</v>
      </c>
      <c r="K33" s="112">
        <v>237.11</v>
      </c>
      <c r="L33" s="112">
        <v>25.35</v>
      </c>
      <c r="M33" s="112">
        <v>98.92</v>
      </c>
      <c r="N33" s="112">
        <v>32.4</v>
      </c>
      <c r="O33" s="112">
        <v>0</v>
      </c>
      <c r="P33" s="112">
        <v>0.28999999999999998</v>
      </c>
      <c r="Q33" s="112">
        <v>4.5599999999999996</v>
      </c>
    </row>
    <row r="34" spans="1:17" customFormat="1">
      <c r="A34" s="80">
        <v>45483.270833333336</v>
      </c>
      <c r="B34" s="112">
        <v>9.33</v>
      </c>
      <c r="C34" s="112">
        <v>4.05</v>
      </c>
      <c r="D34" s="112">
        <v>14.05</v>
      </c>
      <c r="E34" s="112">
        <v>12.62</v>
      </c>
      <c r="F34" s="112">
        <v>3.46</v>
      </c>
      <c r="G34" s="112">
        <v>6.3</v>
      </c>
      <c r="H34" s="112">
        <v>1.57</v>
      </c>
      <c r="I34" s="112">
        <v>3.38</v>
      </c>
      <c r="J34" s="112">
        <v>0.17</v>
      </c>
      <c r="K34" s="112">
        <v>257.98</v>
      </c>
      <c r="L34" s="112">
        <v>25.44</v>
      </c>
      <c r="M34" s="112">
        <v>98.5</v>
      </c>
      <c r="N34" s="112">
        <v>40.9</v>
      </c>
      <c r="O34" s="112">
        <v>0</v>
      </c>
      <c r="P34" s="112">
        <v>0.31</v>
      </c>
      <c r="Q34" s="112">
        <v>4.57</v>
      </c>
    </row>
    <row r="35" spans="1:17" customFormat="1">
      <c r="A35" s="80">
        <v>45483.28125</v>
      </c>
      <c r="B35" s="112">
        <v>9.32</v>
      </c>
      <c r="C35" s="112">
        <v>4.04</v>
      </c>
      <c r="D35" s="112">
        <v>14.04</v>
      </c>
      <c r="E35" s="112">
        <v>12.69</v>
      </c>
      <c r="F35" s="112">
        <v>4.0599999999999996</v>
      </c>
      <c r="G35" s="112">
        <v>6.9</v>
      </c>
      <c r="H35" s="112">
        <v>1.49</v>
      </c>
      <c r="I35" s="112">
        <v>3.33</v>
      </c>
      <c r="J35" s="112">
        <v>0.08</v>
      </c>
      <c r="K35" s="112">
        <v>230.33</v>
      </c>
      <c r="L35" s="112">
        <v>25.6</v>
      </c>
      <c r="M35" s="112">
        <v>98.09</v>
      </c>
      <c r="N35" s="112">
        <v>48.8</v>
      </c>
      <c r="O35" s="112">
        <v>0</v>
      </c>
      <c r="P35" s="112">
        <v>0.33</v>
      </c>
      <c r="Q35" s="112">
        <v>4.58</v>
      </c>
    </row>
    <row r="36" spans="1:17" customFormat="1">
      <c r="A36" s="80">
        <v>45483.291666666664</v>
      </c>
      <c r="B36" s="112">
        <v>9.31</v>
      </c>
      <c r="C36" s="112">
        <v>4.07</v>
      </c>
      <c r="D36" s="112">
        <v>14.04</v>
      </c>
      <c r="E36" s="112">
        <v>11.79</v>
      </c>
      <c r="F36" s="112">
        <v>4.7300000000000004</v>
      </c>
      <c r="G36" s="112">
        <v>7.39</v>
      </c>
      <c r="H36" s="112">
        <v>1.44</v>
      </c>
      <c r="I36" s="112">
        <v>3.39</v>
      </c>
      <c r="J36" s="112">
        <v>0.17</v>
      </c>
      <c r="K36" s="112">
        <v>296.95</v>
      </c>
      <c r="L36" s="112">
        <v>26</v>
      </c>
      <c r="M36" s="112">
        <v>97.22</v>
      </c>
      <c r="N36" s="112">
        <v>79.599999999999994</v>
      </c>
      <c r="O36" s="112">
        <v>0</v>
      </c>
      <c r="P36" s="112">
        <v>0.32</v>
      </c>
      <c r="Q36" s="112">
        <v>4.55</v>
      </c>
    </row>
    <row r="37" spans="1:17" customFormat="1">
      <c r="A37" s="80">
        <v>45483.302083333336</v>
      </c>
      <c r="B37" s="112">
        <v>9.31</v>
      </c>
      <c r="C37" s="112">
        <v>4.0599999999999996</v>
      </c>
      <c r="D37" s="112">
        <v>14.04</v>
      </c>
      <c r="E37" s="112">
        <v>11.1</v>
      </c>
      <c r="F37" s="112">
        <v>5.83</v>
      </c>
      <c r="G37" s="112">
        <v>7.39</v>
      </c>
      <c r="H37" s="112">
        <v>1.44</v>
      </c>
      <c r="I37" s="112">
        <v>3.29</v>
      </c>
      <c r="J37" s="112">
        <v>0.27</v>
      </c>
      <c r="K37" s="112">
        <v>265.41000000000003</v>
      </c>
      <c r="L37" s="112">
        <v>26.55</v>
      </c>
      <c r="M37" s="112">
        <v>93.94</v>
      </c>
      <c r="N37" s="112">
        <v>114.2</v>
      </c>
      <c r="O37" s="112">
        <v>0</v>
      </c>
      <c r="P37" s="112">
        <v>0.31</v>
      </c>
      <c r="Q37" s="112">
        <v>4.54</v>
      </c>
    </row>
    <row r="38" spans="1:17" customFormat="1">
      <c r="A38" s="80">
        <v>45483.3125</v>
      </c>
      <c r="B38" s="112">
        <v>9.31</v>
      </c>
      <c r="C38" s="112">
        <v>4.09</v>
      </c>
      <c r="D38" s="112">
        <v>14.05</v>
      </c>
      <c r="E38" s="112">
        <v>10.76</v>
      </c>
      <c r="F38" s="112">
        <v>5.3</v>
      </c>
      <c r="G38" s="112">
        <v>7.39</v>
      </c>
      <c r="H38" s="112">
        <v>1.44</v>
      </c>
      <c r="I38" s="112">
        <v>3.31</v>
      </c>
      <c r="J38" s="112">
        <v>0.44</v>
      </c>
      <c r="K38" s="112">
        <v>257.11</v>
      </c>
      <c r="L38" s="112">
        <v>27</v>
      </c>
      <c r="M38" s="112">
        <v>91</v>
      </c>
      <c r="N38" s="112">
        <v>118</v>
      </c>
      <c r="O38" s="112">
        <v>0</v>
      </c>
      <c r="P38" s="112">
        <v>0.3</v>
      </c>
      <c r="Q38" s="112">
        <v>4.54</v>
      </c>
    </row>
    <row r="39" spans="1:17" customFormat="1">
      <c r="A39" s="80">
        <v>45483.322916666664</v>
      </c>
      <c r="B39" s="112">
        <v>9.31</v>
      </c>
      <c r="C39" s="112">
        <v>4.08</v>
      </c>
      <c r="D39" s="112">
        <v>14.04</v>
      </c>
      <c r="E39" s="112">
        <v>10.4</v>
      </c>
      <c r="F39" s="112">
        <v>6.69</v>
      </c>
      <c r="G39" s="112">
        <v>6.76</v>
      </c>
      <c r="H39" s="112">
        <v>2.37</v>
      </c>
      <c r="I39" s="112">
        <v>3.28</v>
      </c>
      <c r="J39" s="112">
        <v>0.4</v>
      </c>
      <c r="K39" s="112">
        <v>265.83999999999997</v>
      </c>
      <c r="L39" s="112">
        <v>27.35</v>
      </c>
      <c r="M39" s="112">
        <v>89.86</v>
      </c>
      <c r="N39" s="112">
        <v>133.30000000000001</v>
      </c>
      <c r="O39" s="112">
        <v>0</v>
      </c>
      <c r="P39" s="112">
        <v>0.3</v>
      </c>
      <c r="Q39" s="112">
        <v>4.55</v>
      </c>
    </row>
    <row r="40" spans="1:17" customFormat="1">
      <c r="A40" s="80">
        <v>45483.333333333336</v>
      </c>
      <c r="B40" s="112">
        <v>9.3000000000000007</v>
      </c>
      <c r="C40" s="112">
        <v>4.09</v>
      </c>
      <c r="D40" s="112">
        <v>14.04</v>
      </c>
      <c r="E40" s="112">
        <v>10.34</v>
      </c>
      <c r="F40" s="112">
        <v>5.77</v>
      </c>
      <c r="G40" s="112">
        <v>6.28</v>
      </c>
      <c r="H40" s="112">
        <v>2.68</v>
      </c>
      <c r="I40" s="112">
        <v>3.33</v>
      </c>
      <c r="J40" s="112">
        <v>0.59</v>
      </c>
      <c r="K40" s="112">
        <v>261.43</v>
      </c>
      <c r="L40" s="112">
        <v>27.45</v>
      </c>
      <c r="M40" s="112">
        <v>88.68</v>
      </c>
      <c r="N40" s="112">
        <v>164.3</v>
      </c>
      <c r="O40" s="112">
        <v>0</v>
      </c>
      <c r="P40" s="112">
        <v>0.3</v>
      </c>
      <c r="Q40" s="112">
        <v>4.5999999999999996</v>
      </c>
    </row>
    <row r="41" spans="1:17" customFormat="1">
      <c r="A41" s="80">
        <v>45483.34375</v>
      </c>
      <c r="B41" s="112">
        <v>9.3000000000000007</v>
      </c>
      <c r="C41" s="112">
        <v>4.07</v>
      </c>
      <c r="D41" s="112">
        <v>14.04</v>
      </c>
      <c r="E41" s="112">
        <v>9.9499999999999993</v>
      </c>
      <c r="F41" s="112">
        <v>6.49</v>
      </c>
      <c r="G41" s="112">
        <v>6.28</v>
      </c>
      <c r="H41" s="112">
        <v>2.68</v>
      </c>
      <c r="I41" s="112">
        <v>3.26</v>
      </c>
      <c r="J41" s="112">
        <v>0.53</v>
      </c>
      <c r="K41" s="112">
        <v>270.02</v>
      </c>
      <c r="L41" s="112">
        <v>27.55</v>
      </c>
      <c r="M41" s="112">
        <v>88.48</v>
      </c>
      <c r="N41" s="112">
        <v>173.4</v>
      </c>
      <c r="O41" s="112">
        <v>0</v>
      </c>
      <c r="P41" s="112">
        <v>0.3</v>
      </c>
      <c r="Q41" s="112">
        <v>4.5599999999999996</v>
      </c>
    </row>
    <row r="42" spans="1:17" customFormat="1">
      <c r="A42" s="80">
        <v>45483.354166666664</v>
      </c>
      <c r="B42" s="112">
        <v>9.32</v>
      </c>
      <c r="C42" s="112">
        <v>4.03</v>
      </c>
      <c r="D42" s="112">
        <v>14.03</v>
      </c>
      <c r="E42" s="112">
        <v>9.84</v>
      </c>
      <c r="F42" s="112">
        <v>6.91</v>
      </c>
      <c r="G42" s="112">
        <v>6.28</v>
      </c>
      <c r="H42" s="112">
        <v>2.68</v>
      </c>
      <c r="I42" s="112">
        <v>3.3</v>
      </c>
      <c r="J42" s="112">
        <v>0.6</v>
      </c>
      <c r="K42" s="112">
        <v>260.60000000000002</v>
      </c>
      <c r="L42" s="112">
        <v>27.86</v>
      </c>
      <c r="M42" s="112">
        <v>86.09</v>
      </c>
      <c r="N42" s="112">
        <v>200.2</v>
      </c>
      <c r="O42" s="112">
        <v>0</v>
      </c>
      <c r="P42" s="112">
        <v>0.3</v>
      </c>
      <c r="Q42" s="112">
        <v>4.57</v>
      </c>
    </row>
    <row r="43" spans="1:17" customFormat="1">
      <c r="A43" s="80">
        <v>45483.364583333336</v>
      </c>
      <c r="B43" s="112">
        <v>9.3000000000000007</v>
      </c>
      <c r="C43" s="112">
        <v>4.0599999999999996</v>
      </c>
      <c r="D43" s="112">
        <v>14.03</v>
      </c>
      <c r="E43" s="112">
        <v>9.4700000000000006</v>
      </c>
      <c r="F43" s="112">
        <v>8.01</v>
      </c>
      <c r="G43" s="112">
        <v>7.81</v>
      </c>
      <c r="H43" s="112">
        <v>3.87</v>
      </c>
      <c r="I43" s="112">
        <v>3.23</v>
      </c>
      <c r="J43" s="112">
        <v>0.48</v>
      </c>
      <c r="K43" s="112">
        <v>257.91000000000003</v>
      </c>
      <c r="L43" s="112">
        <v>27.85</v>
      </c>
      <c r="M43" s="112">
        <v>87.43</v>
      </c>
      <c r="N43" s="112">
        <v>153.6</v>
      </c>
      <c r="O43" s="112">
        <v>0</v>
      </c>
      <c r="P43" s="112">
        <v>0.28999999999999998</v>
      </c>
      <c r="Q43" s="112">
        <v>4.5599999999999996</v>
      </c>
    </row>
    <row r="44" spans="1:17" customFormat="1">
      <c r="A44" s="80">
        <v>45483.375</v>
      </c>
      <c r="B44" s="112">
        <v>9.27</v>
      </c>
      <c r="C44" s="112">
        <v>4.07</v>
      </c>
      <c r="D44" s="112">
        <v>14.02</v>
      </c>
      <c r="E44" s="112">
        <v>9.15</v>
      </c>
      <c r="F44" s="112">
        <v>6.89</v>
      </c>
      <c r="G44" s="112">
        <v>9.0299999999999994</v>
      </c>
      <c r="H44" s="112">
        <v>4.28</v>
      </c>
      <c r="I44" s="112">
        <v>3.2</v>
      </c>
      <c r="J44" s="112">
        <v>0.51</v>
      </c>
      <c r="K44" s="112">
        <v>262.77999999999997</v>
      </c>
      <c r="L44" s="112">
        <v>28.15</v>
      </c>
      <c r="M44" s="112">
        <v>87.31</v>
      </c>
      <c r="N44" s="112">
        <v>226.9</v>
      </c>
      <c r="O44" s="112">
        <v>0</v>
      </c>
      <c r="P44" s="112">
        <v>0.28999999999999998</v>
      </c>
      <c r="Q44" s="112">
        <v>4.57</v>
      </c>
    </row>
    <row r="45" spans="1:17" customFormat="1">
      <c r="A45" s="80">
        <v>45483.385416666664</v>
      </c>
      <c r="B45" s="112">
        <v>9.27</v>
      </c>
      <c r="C45" s="112">
        <v>4.0999999999999996</v>
      </c>
      <c r="D45" s="112">
        <v>14.03</v>
      </c>
      <c r="E45" s="112">
        <v>8.98</v>
      </c>
      <c r="F45" s="112">
        <v>7.01</v>
      </c>
      <c r="G45" s="112">
        <v>9.0299999999999994</v>
      </c>
      <c r="H45" s="112">
        <v>4.28</v>
      </c>
      <c r="I45" s="112">
        <v>3.13</v>
      </c>
      <c r="J45" s="112">
        <v>0.65</v>
      </c>
      <c r="K45" s="112">
        <v>270.04000000000002</v>
      </c>
      <c r="L45" s="112">
        <v>28.76</v>
      </c>
      <c r="M45" s="112">
        <v>84.44</v>
      </c>
      <c r="N45" s="112">
        <v>271.5</v>
      </c>
      <c r="O45" s="112">
        <v>0</v>
      </c>
      <c r="P45" s="112">
        <v>0.28999999999999998</v>
      </c>
      <c r="Q45" s="112">
        <v>4.55</v>
      </c>
    </row>
    <row r="46" spans="1:17" customFormat="1">
      <c r="A46" s="80">
        <v>45483.395833333336</v>
      </c>
      <c r="B46" s="112">
        <v>9.27</v>
      </c>
      <c r="C46" s="112">
        <v>4.08</v>
      </c>
      <c r="D46" s="112">
        <v>14.01</v>
      </c>
      <c r="E46" s="112">
        <v>9.32</v>
      </c>
      <c r="F46" s="112">
        <v>5.92</v>
      </c>
      <c r="G46" s="112">
        <v>9.0299999999999994</v>
      </c>
      <c r="H46" s="112">
        <v>4.28</v>
      </c>
      <c r="I46" s="112">
        <v>3.15</v>
      </c>
      <c r="J46" s="112">
        <v>0.81</v>
      </c>
      <c r="K46" s="112">
        <v>268.29000000000002</v>
      </c>
      <c r="L46" s="112">
        <v>29.16</v>
      </c>
      <c r="M46" s="112">
        <v>83.32</v>
      </c>
      <c r="N46" s="112">
        <v>261.39999999999998</v>
      </c>
      <c r="O46" s="112">
        <v>0</v>
      </c>
      <c r="P46" s="112">
        <v>0.28999999999999998</v>
      </c>
      <c r="Q46" s="112">
        <v>4.55</v>
      </c>
    </row>
    <row r="47" spans="1:17" customFormat="1">
      <c r="A47" s="80">
        <v>45483.40625</v>
      </c>
      <c r="B47" s="112">
        <v>9.2799999999999994</v>
      </c>
      <c r="C47" s="112">
        <v>4.0599999999999996</v>
      </c>
      <c r="D47" s="112">
        <v>14.01</v>
      </c>
      <c r="E47" s="112">
        <v>9.56</v>
      </c>
      <c r="F47" s="112">
        <v>6.77</v>
      </c>
      <c r="G47" s="112">
        <v>9.32</v>
      </c>
      <c r="H47" s="112">
        <v>3.63</v>
      </c>
      <c r="I47" s="112">
        <v>3.2</v>
      </c>
      <c r="J47" s="112">
        <v>0.85</v>
      </c>
      <c r="K47" s="112">
        <v>267.27</v>
      </c>
      <c r="L47" s="112">
        <v>29.54</v>
      </c>
      <c r="M47" s="112">
        <v>81.62</v>
      </c>
      <c r="N47" s="112">
        <v>227.5</v>
      </c>
      <c r="O47" s="112">
        <v>0</v>
      </c>
      <c r="P47" s="112">
        <v>0.28999999999999998</v>
      </c>
      <c r="Q47" s="112">
        <v>4.55</v>
      </c>
    </row>
    <row r="48" spans="1:17" customFormat="1">
      <c r="A48" s="80">
        <v>45483.416666666664</v>
      </c>
      <c r="B48" s="112">
        <v>9.27</v>
      </c>
      <c r="C48" s="112">
        <v>4.0599999999999996</v>
      </c>
      <c r="D48" s="112">
        <v>14.01</v>
      </c>
      <c r="E48" s="112">
        <v>9.16</v>
      </c>
      <c r="F48" s="112">
        <v>7.31</v>
      </c>
      <c r="G48" s="112">
        <v>9.5500000000000007</v>
      </c>
      <c r="H48" s="112">
        <v>3.41</v>
      </c>
      <c r="I48" s="112">
        <v>3.23</v>
      </c>
      <c r="J48" s="112">
        <v>0.75</v>
      </c>
      <c r="K48" s="112">
        <v>268.12</v>
      </c>
      <c r="L48" s="112">
        <v>30.04</v>
      </c>
      <c r="M48" s="112">
        <v>80.58</v>
      </c>
      <c r="N48" s="112">
        <v>207</v>
      </c>
      <c r="O48" s="112">
        <v>0</v>
      </c>
      <c r="P48" s="112">
        <v>0.3</v>
      </c>
      <c r="Q48" s="112">
        <v>4.53</v>
      </c>
    </row>
    <row r="49" spans="1:17" customFormat="1">
      <c r="A49" s="80">
        <v>45483.427083333336</v>
      </c>
      <c r="B49" s="112">
        <v>9.27</v>
      </c>
      <c r="C49" s="112">
        <v>4.08</v>
      </c>
      <c r="D49" s="112">
        <v>14.02</v>
      </c>
      <c r="E49" s="112">
        <v>6.52</v>
      </c>
      <c r="F49" s="112">
        <v>6.36</v>
      </c>
      <c r="G49" s="112">
        <v>9.5500000000000007</v>
      </c>
      <c r="H49" s="112">
        <v>3.41</v>
      </c>
      <c r="I49" s="112">
        <v>3.39</v>
      </c>
      <c r="J49" s="112">
        <v>0.57999999999999996</v>
      </c>
      <c r="K49" s="112">
        <v>263.58</v>
      </c>
      <c r="L49" s="112">
        <v>30.76</v>
      </c>
      <c r="M49" s="112">
        <v>76.89</v>
      </c>
      <c r="N49" s="112">
        <v>256.5</v>
      </c>
      <c r="O49" s="112">
        <v>0</v>
      </c>
      <c r="P49" s="112">
        <v>0.3</v>
      </c>
      <c r="Q49" s="112">
        <v>4.5599999999999996</v>
      </c>
    </row>
    <row r="50" spans="1:17" customFormat="1">
      <c r="A50" s="80">
        <v>45483.4375</v>
      </c>
      <c r="B50" s="112">
        <v>9.2799999999999994</v>
      </c>
      <c r="C50" s="112">
        <v>4.05</v>
      </c>
      <c r="D50" s="112">
        <v>14.01</v>
      </c>
      <c r="E50" s="112">
        <v>7.8</v>
      </c>
      <c r="F50" s="112">
        <v>6.02</v>
      </c>
      <c r="G50" s="112">
        <v>9.5500000000000007</v>
      </c>
      <c r="H50" s="112">
        <v>3.41</v>
      </c>
      <c r="I50" s="112">
        <v>3.44</v>
      </c>
      <c r="J50" s="112">
        <v>0.83</v>
      </c>
      <c r="K50" s="112">
        <v>270.20999999999998</v>
      </c>
      <c r="L50" s="112">
        <v>30.36</v>
      </c>
      <c r="M50" s="112">
        <v>77.25</v>
      </c>
      <c r="N50" s="112">
        <v>262.39999999999998</v>
      </c>
      <c r="O50" s="112">
        <v>0</v>
      </c>
      <c r="P50" s="112">
        <v>0.31</v>
      </c>
      <c r="Q50" s="112">
        <v>4.54</v>
      </c>
    </row>
    <row r="51" spans="1:17" customFormat="1">
      <c r="A51" s="80">
        <v>45483.447916666664</v>
      </c>
      <c r="B51" s="112">
        <v>9.2799999999999994</v>
      </c>
      <c r="C51" s="112">
        <v>4.08</v>
      </c>
      <c r="D51" s="112">
        <v>14.02</v>
      </c>
      <c r="E51" s="112">
        <v>8.2100000000000009</v>
      </c>
      <c r="F51" s="112">
        <v>8.2100000000000009</v>
      </c>
      <c r="G51" s="112">
        <v>10.02</v>
      </c>
      <c r="H51" s="112">
        <v>5.69</v>
      </c>
      <c r="I51" s="112">
        <v>3.24</v>
      </c>
      <c r="J51" s="112">
        <v>0.66</v>
      </c>
      <c r="K51" s="112">
        <v>261.92</v>
      </c>
      <c r="L51" s="112">
        <v>30.78</v>
      </c>
      <c r="M51" s="112">
        <v>78.52</v>
      </c>
      <c r="N51" s="112">
        <v>292.2</v>
      </c>
      <c r="O51" s="112">
        <v>0</v>
      </c>
      <c r="P51" s="112">
        <v>0.3</v>
      </c>
      <c r="Q51" s="112">
        <v>4.53</v>
      </c>
    </row>
    <row r="52" spans="1:17" customFormat="1">
      <c r="A52" s="80">
        <v>45483.458333333336</v>
      </c>
      <c r="B52" s="112">
        <v>9.2799999999999994</v>
      </c>
      <c r="C52" s="112">
        <v>4.08</v>
      </c>
      <c r="D52" s="112">
        <v>14.03</v>
      </c>
      <c r="E52" s="112">
        <v>7.75</v>
      </c>
      <c r="F52" s="112">
        <v>7.19</v>
      </c>
      <c r="G52" s="112">
        <v>10.38</v>
      </c>
      <c r="H52" s="112">
        <v>6.42</v>
      </c>
      <c r="I52" s="112">
        <v>3.42</v>
      </c>
      <c r="J52" s="112">
        <v>0.77</v>
      </c>
      <c r="K52" s="112">
        <v>270.24</v>
      </c>
      <c r="L52" s="112">
        <v>31.4</v>
      </c>
      <c r="M52" s="112">
        <v>75.849999999999994</v>
      </c>
      <c r="N52" s="112">
        <v>267.5</v>
      </c>
      <c r="O52" s="112">
        <v>0</v>
      </c>
      <c r="P52" s="112">
        <v>0.3</v>
      </c>
      <c r="Q52" s="112">
        <v>4.54</v>
      </c>
    </row>
    <row r="53" spans="1:17" customFormat="1">
      <c r="A53" s="80">
        <v>45483.46875</v>
      </c>
      <c r="B53" s="112">
        <v>9.2799999999999994</v>
      </c>
      <c r="C53" s="112">
        <v>4.09</v>
      </c>
      <c r="D53" s="112">
        <v>14.03</v>
      </c>
      <c r="E53" s="112">
        <v>7.55</v>
      </c>
      <c r="F53" s="112">
        <v>7.27</v>
      </c>
      <c r="G53" s="112">
        <v>10.38</v>
      </c>
      <c r="H53" s="112">
        <v>6.42</v>
      </c>
      <c r="I53" s="112">
        <v>3.4</v>
      </c>
      <c r="J53" s="112">
        <v>0.8</v>
      </c>
      <c r="K53" s="112">
        <v>274.45</v>
      </c>
      <c r="L53" s="112">
        <v>31.32</v>
      </c>
      <c r="M53" s="112">
        <v>76.09</v>
      </c>
      <c r="N53" s="112">
        <v>263.8</v>
      </c>
      <c r="O53" s="112">
        <v>0</v>
      </c>
      <c r="P53" s="112">
        <v>0.26</v>
      </c>
      <c r="Q53" s="112">
        <v>4.55</v>
      </c>
    </row>
    <row r="54" spans="1:17" customFormat="1">
      <c r="A54" s="80">
        <v>45483.479166666664</v>
      </c>
      <c r="B54" s="112">
        <v>9.3000000000000007</v>
      </c>
      <c r="C54" s="112">
        <v>4.09</v>
      </c>
      <c r="D54" s="112">
        <v>14.04</v>
      </c>
      <c r="E54" s="112">
        <v>8.06</v>
      </c>
      <c r="F54" s="112">
        <v>6.82</v>
      </c>
      <c r="G54" s="112">
        <v>10.38</v>
      </c>
      <c r="H54" s="112">
        <v>6.42</v>
      </c>
      <c r="I54" s="112">
        <v>3.47</v>
      </c>
      <c r="J54" s="112">
        <v>0.31</v>
      </c>
      <c r="K54" s="112">
        <v>234.24</v>
      </c>
      <c r="L54" s="112">
        <v>31.88</v>
      </c>
      <c r="M54" s="112">
        <v>75.69</v>
      </c>
      <c r="N54" s="112">
        <v>274</v>
      </c>
      <c r="O54" s="112">
        <v>0</v>
      </c>
      <c r="P54" s="112">
        <v>0.23</v>
      </c>
      <c r="Q54" s="112">
        <v>4.55</v>
      </c>
    </row>
    <row r="55" spans="1:17" customFormat="1">
      <c r="A55" s="80">
        <v>45483.489583333336</v>
      </c>
      <c r="B55" s="112">
        <v>9.31</v>
      </c>
      <c r="C55" s="112">
        <v>4.08</v>
      </c>
      <c r="D55" s="112">
        <v>14.05</v>
      </c>
      <c r="E55" s="112">
        <v>7.55</v>
      </c>
      <c r="F55" s="112">
        <v>9.39</v>
      </c>
      <c r="G55" s="112">
        <v>12.98</v>
      </c>
      <c r="H55" s="112">
        <v>6.37</v>
      </c>
      <c r="I55" s="112">
        <v>3.45</v>
      </c>
      <c r="J55" s="112">
        <v>0.62</v>
      </c>
      <c r="K55" s="112">
        <v>294</v>
      </c>
      <c r="L55" s="112">
        <v>32.1</v>
      </c>
      <c r="M55" s="112">
        <v>72.14</v>
      </c>
      <c r="N55" s="112">
        <v>307.3</v>
      </c>
      <c r="O55" s="112">
        <v>0</v>
      </c>
      <c r="P55" s="112">
        <v>0.22</v>
      </c>
      <c r="Q55" s="112">
        <v>4.5599999999999996</v>
      </c>
    </row>
    <row r="56" spans="1:17" customFormat="1">
      <c r="A56" s="80">
        <v>45483.5</v>
      </c>
      <c r="B56" s="112">
        <v>9.2899999999999991</v>
      </c>
      <c r="C56" s="112">
        <v>4.08</v>
      </c>
      <c r="D56" s="112">
        <v>14.03</v>
      </c>
      <c r="E56" s="112">
        <v>8.3000000000000007</v>
      </c>
      <c r="F56" s="112">
        <v>7.54</v>
      </c>
      <c r="G56" s="112">
        <v>14.97</v>
      </c>
      <c r="H56" s="112">
        <v>6.35</v>
      </c>
      <c r="I56" s="112">
        <v>3.42</v>
      </c>
      <c r="J56" s="112">
        <v>0.41</v>
      </c>
      <c r="K56" s="112">
        <v>258.08</v>
      </c>
      <c r="L56" s="112">
        <v>31.22</v>
      </c>
      <c r="M56" s="112">
        <v>75.819999999999993</v>
      </c>
      <c r="N56" s="112">
        <v>171.8</v>
      </c>
      <c r="O56" s="112">
        <v>0</v>
      </c>
      <c r="P56" s="112">
        <v>0.23</v>
      </c>
      <c r="Q56" s="112">
        <v>4.5999999999999996</v>
      </c>
    </row>
    <row r="57" spans="1:17" customFormat="1">
      <c r="A57" s="80">
        <v>45483.510416666664</v>
      </c>
      <c r="B57" s="112">
        <v>9.2799999999999994</v>
      </c>
      <c r="C57" s="112">
        <v>4.07</v>
      </c>
      <c r="D57" s="112">
        <v>14.02</v>
      </c>
      <c r="E57" s="112">
        <v>8.17</v>
      </c>
      <c r="F57" s="112">
        <v>7.11</v>
      </c>
      <c r="G57" s="112">
        <v>14.97</v>
      </c>
      <c r="H57" s="112">
        <v>6.35</v>
      </c>
      <c r="I57" s="112">
        <v>3.36</v>
      </c>
      <c r="J57" s="112">
        <v>0.39</v>
      </c>
      <c r="K57" s="112">
        <v>294.02999999999997</v>
      </c>
      <c r="L57" s="112">
        <v>30.96</v>
      </c>
      <c r="M57" s="112">
        <v>76.59</v>
      </c>
      <c r="N57" s="112">
        <v>173.9</v>
      </c>
      <c r="O57" s="112">
        <v>0</v>
      </c>
      <c r="P57" s="112">
        <v>0.23</v>
      </c>
      <c r="Q57" s="112">
        <v>4.59</v>
      </c>
    </row>
    <row r="58" spans="1:17" customFormat="1">
      <c r="A58" s="80">
        <v>45483.520833333336</v>
      </c>
      <c r="B58" s="112">
        <v>9.26</v>
      </c>
      <c r="C58" s="112">
        <v>4.05</v>
      </c>
      <c r="D58" s="112">
        <v>13.99</v>
      </c>
      <c r="E58" s="112">
        <v>8.94</v>
      </c>
      <c r="F58" s="112">
        <v>8.09</v>
      </c>
      <c r="G58" s="112">
        <v>14.97</v>
      </c>
      <c r="H58" s="112">
        <v>6.35</v>
      </c>
      <c r="I58" s="112">
        <v>3.31</v>
      </c>
      <c r="J58" s="112">
        <v>0.28999999999999998</v>
      </c>
      <c r="K58" s="112">
        <v>293.08999999999997</v>
      </c>
      <c r="L58" s="112">
        <v>30.84</v>
      </c>
      <c r="M58" s="112">
        <v>75.819999999999993</v>
      </c>
      <c r="N58" s="112">
        <v>116.1</v>
      </c>
      <c r="O58" s="112">
        <v>0</v>
      </c>
      <c r="P58" s="112">
        <v>0.24</v>
      </c>
      <c r="Q58" s="112">
        <v>4.5599999999999996</v>
      </c>
    </row>
    <row r="59" spans="1:17" customFormat="1">
      <c r="A59" s="80">
        <v>45483.53125</v>
      </c>
      <c r="B59" s="112">
        <v>9.25</v>
      </c>
      <c r="C59" s="112">
        <v>4.08</v>
      </c>
      <c r="D59" s="112">
        <v>14</v>
      </c>
      <c r="E59" s="112">
        <v>8.82</v>
      </c>
      <c r="F59" s="112">
        <v>9.5500000000000007</v>
      </c>
      <c r="G59" s="112">
        <v>15.75</v>
      </c>
      <c r="H59" s="112">
        <v>12.21</v>
      </c>
      <c r="I59" s="112">
        <v>3.3</v>
      </c>
      <c r="J59" s="112">
        <v>0.32</v>
      </c>
      <c r="K59" s="112">
        <v>305.04000000000002</v>
      </c>
      <c r="L59" s="112">
        <v>30.88</v>
      </c>
      <c r="M59" s="112">
        <v>75.27</v>
      </c>
      <c r="N59" s="112">
        <v>133.4</v>
      </c>
      <c r="O59" s="112">
        <v>0</v>
      </c>
      <c r="P59" s="112">
        <v>0.26</v>
      </c>
      <c r="Q59" s="112">
        <v>4.55</v>
      </c>
    </row>
    <row r="60" spans="1:17" customFormat="1">
      <c r="A60" s="80">
        <v>45483.541666666664</v>
      </c>
      <c r="B60" s="112">
        <v>9.25</v>
      </c>
      <c r="C60" s="112">
        <v>4.09</v>
      </c>
      <c r="D60" s="112">
        <v>14</v>
      </c>
      <c r="E60" s="112">
        <v>10.33</v>
      </c>
      <c r="F60" s="112">
        <v>10.98</v>
      </c>
      <c r="G60" s="112">
        <v>16.34</v>
      </c>
      <c r="H60" s="112">
        <v>16.2</v>
      </c>
      <c r="I60" s="112">
        <v>3.29</v>
      </c>
      <c r="J60" s="112">
        <v>0.45</v>
      </c>
      <c r="K60" s="112">
        <v>354.88</v>
      </c>
      <c r="L60" s="112">
        <v>31.38</v>
      </c>
      <c r="M60" s="112">
        <v>72.38</v>
      </c>
      <c r="N60" s="112">
        <v>355.1</v>
      </c>
      <c r="O60" s="112">
        <v>0</v>
      </c>
      <c r="P60" s="112">
        <v>0.31</v>
      </c>
      <c r="Q60" s="112">
        <v>4.55</v>
      </c>
    </row>
    <row r="61" spans="1:17" customFormat="1">
      <c r="A61" s="80">
        <v>45483.552083333336</v>
      </c>
      <c r="B61" s="112">
        <v>9.26</v>
      </c>
      <c r="C61" s="112">
        <v>4.07</v>
      </c>
      <c r="D61" s="112">
        <v>14</v>
      </c>
      <c r="E61" s="112">
        <v>10.75</v>
      </c>
      <c r="F61" s="112">
        <v>8.73</v>
      </c>
      <c r="G61" s="112">
        <v>16.34</v>
      </c>
      <c r="H61" s="112">
        <v>16.2</v>
      </c>
      <c r="I61" s="112">
        <v>3.39</v>
      </c>
      <c r="J61" s="112">
        <v>0.37</v>
      </c>
      <c r="K61" s="112">
        <v>330.28</v>
      </c>
      <c r="L61" s="112">
        <v>31.19</v>
      </c>
      <c r="M61" s="112">
        <v>73.959999999999994</v>
      </c>
      <c r="N61" s="112">
        <v>100</v>
      </c>
      <c r="O61" s="112">
        <v>0</v>
      </c>
      <c r="P61" s="112">
        <v>0.32</v>
      </c>
      <c r="Q61" s="112">
        <v>4.55</v>
      </c>
    </row>
    <row r="62" spans="1:17" customFormat="1">
      <c r="A62" s="80">
        <v>45483.5625</v>
      </c>
      <c r="B62" s="112">
        <v>9.25</v>
      </c>
      <c r="C62" s="112">
        <v>4.08</v>
      </c>
      <c r="D62" s="112">
        <v>14</v>
      </c>
      <c r="E62" s="112">
        <v>11.01</v>
      </c>
      <c r="F62" s="112">
        <v>8.6199999999999992</v>
      </c>
      <c r="G62" s="112">
        <v>16.34</v>
      </c>
      <c r="H62" s="112">
        <v>16.2</v>
      </c>
      <c r="I62" s="112">
        <v>3.79</v>
      </c>
      <c r="J62" s="112">
        <v>0.52</v>
      </c>
      <c r="K62" s="112">
        <v>304.67</v>
      </c>
      <c r="L62" s="112">
        <v>31.18</v>
      </c>
      <c r="M62" s="112">
        <v>74.819999999999993</v>
      </c>
      <c r="N62" s="112">
        <v>270.10000000000002</v>
      </c>
      <c r="O62" s="112">
        <v>0</v>
      </c>
      <c r="P62" s="112">
        <v>0.35</v>
      </c>
      <c r="Q62" s="112">
        <v>4.5599999999999996</v>
      </c>
    </row>
    <row r="63" spans="1:17" customFormat="1">
      <c r="A63" s="80">
        <v>45483.572916666664</v>
      </c>
      <c r="B63" s="112">
        <v>9.24</v>
      </c>
      <c r="C63" s="112">
        <v>4.09</v>
      </c>
      <c r="D63" s="112">
        <v>14</v>
      </c>
      <c r="E63" s="112">
        <v>10.6</v>
      </c>
      <c r="F63" s="112">
        <v>7.96</v>
      </c>
      <c r="G63" s="112">
        <v>33.01</v>
      </c>
      <c r="H63" s="112">
        <v>18.11</v>
      </c>
      <c r="I63" s="112">
        <v>4.12</v>
      </c>
      <c r="J63" s="112">
        <v>0.85</v>
      </c>
      <c r="K63" s="112">
        <v>285.02</v>
      </c>
      <c r="L63" s="112">
        <v>30.96</v>
      </c>
      <c r="M63" s="112">
        <v>76.62</v>
      </c>
      <c r="N63" s="112">
        <v>113.4</v>
      </c>
      <c r="O63" s="112">
        <v>0</v>
      </c>
      <c r="P63" s="112">
        <v>0.36</v>
      </c>
      <c r="Q63" s="112">
        <v>4.54</v>
      </c>
    </row>
    <row r="64" spans="1:17" customFormat="1">
      <c r="A64" s="80">
        <v>45483.583333333336</v>
      </c>
      <c r="B64" s="112">
        <v>9.24</v>
      </c>
      <c r="C64" s="112">
        <v>4.07</v>
      </c>
      <c r="D64" s="112">
        <v>13.99</v>
      </c>
      <c r="E64" s="112">
        <v>10.38</v>
      </c>
      <c r="F64" s="112">
        <v>5.2</v>
      </c>
      <c r="G64" s="112">
        <v>45.76</v>
      </c>
      <c r="H64" s="112">
        <v>18.739999999999998</v>
      </c>
      <c r="I64" s="112">
        <v>4.18</v>
      </c>
      <c r="J64" s="112">
        <v>1.08</v>
      </c>
      <c r="K64" s="112">
        <v>290.47000000000003</v>
      </c>
      <c r="L64" s="112">
        <v>27.67</v>
      </c>
      <c r="M64" s="112">
        <v>92.38</v>
      </c>
      <c r="N64" s="112">
        <v>108.6</v>
      </c>
      <c r="O64" s="112">
        <v>1.6</v>
      </c>
      <c r="P64" s="112">
        <v>0.36</v>
      </c>
      <c r="Q64" s="112">
        <v>4.59</v>
      </c>
    </row>
    <row r="65" spans="1:17" customFormat="1">
      <c r="A65" s="80">
        <v>45483.59375</v>
      </c>
      <c r="B65" s="112">
        <v>9.25</v>
      </c>
      <c r="C65" s="112">
        <v>4.04</v>
      </c>
      <c r="D65" s="112">
        <v>13.98</v>
      </c>
      <c r="E65" s="112">
        <v>10.41</v>
      </c>
      <c r="F65" s="112">
        <v>6.59</v>
      </c>
      <c r="G65" s="112">
        <v>45.76</v>
      </c>
      <c r="H65" s="112">
        <v>18.739999999999998</v>
      </c>
      <c r="I65" s="112">
        <v>4.24</v>
      </c>
      <c r="J65" s="112">
        <v>0.57999999999999996</v>
      </c>
      <c r="K65" s="112">
        <v>299.61</v>
      </c>
      <c r="L65" s="112">
        <v>27.72</v>
      </c>
      <c r="M65" s="112">
        <v>95.29</v>
      </c>
      <c r="N65" s="112">
        <v>385.9</v>
      </c>
      <c r="O65" s="112">
        <v>0</v>
      </c>
      <c r="P65" s="112">
        <v>0.35</v>
      </c>
      <c r="Q65" s="112">
        <v>4.5599999999999996</v>
      </c>
    </row>
    <row r="66" spans="1:17" customFormat="1">
      <c r="A66" s="80">
        <v>45483.604166666664</v>
      </c>
      <c r="B66" s="112">
        <v>9.26</v>
      </c>
      <c r="C66" s="112">
        <v>4.05</v>
      </c>
      <c r="D66" s="112">
        <v>13.99</v>
      </c>
      <c r="E66" s="112">
        <v>10.33</v>
      </c>
      <c r="F66" s="112">
        <v>5.55</v>
      </c>
      <c r="G66" s="112">
        <v>45.76</v>
      </c>
      <c r="H66" s="112">
        <v>18.739999999999998</v>
      </c>
      <c r="I66" s="112">
        <v>4.2300000000000004</v>
      </c>
      <c r="J66" s="112">
        <v>0.75</v>
      </c>
      <c r="K66" s="112">
        <v>302.63</v>
      </c>
      <c r="L66" s="112">
        <v>29.44</v>
      </c>
      <c r="M66" s="112">
        <v>88.15</v>
      </c>
      <c r="N66" s="112">
        <v>669</v>
      </c>
      <c r="O66" s="112">
        <v>0</v>
      </c>
      <c r="P66" s="112">
        <v>0.38</v>
      </c>
      <c r="Q66" s="112">
        <v>4.57</v>
      </c>
    </row>
    <row r="67" spans="1:17" customFormat="1">
      <c r="A67" s="80">
        <v>45483.614583333336</v>
      </c>
      <c r="B67" s="112">
        <v>9.25</v>
      </c>
      <c r="C67" s="112">
        <v>4.05</v>
      </c>
      <c r="D67" s="112">
        <v>13.99</v>
      </c>
      <c r="E67" s="112">
        <v>10.82</v>
      </c>
      <c r="F67" s="112">
        <v>5.69</v>
      </c>
      <c r="G67" s="112">
        <v>45.73</v>
      </c>
      <c r="H67" s="112">
        <v>19.84</v>
      </c>
      <c r="I67" s="112">
        <v>4.16</v>
      </c>
      <c r="J67" s="112">
        <v>0.66</v>
      </c>
      <c r="K67" s="112">
        <v>281.75</v>
      </c>
      <c r="L67" s="112">
        <v>30.27</v>
      </c>
      <c r="M67" s="112">
        <v>83.16</v>
      </c>
      <c r="N67" s="112">
        <v>523.4</v>
      </c>
      <c r="O67" s="112">
        <v>0</v>
      </c>
      <c r="P67" s="112">
        <v>0.38</v>
      </c>
      <c r="Q67" s="112">
        <v>4.55</v>
      </c>
    </row>
    <row r="68" spans="1:17" customFormat="1">
      <c r="A68" s="80">
        <v>45483.625</v>
      </c>
      <c r="B68" s="112">
        <v>9.24</v>
      </c>
      <c r="C68" s="112">
        <v>4.0599999999999996</v>
      </c>
      <c r="D68" s="112">
        <v>13.98</v>
      </c>
      <c r="E68" s="112">
        <v>10.94</v>
      </c>
      <c r="F68" s="112">
        <v>5.68</v>
      </c>
      <c r="G68" s="112">
        <v>45.7</v>
      </c>
      <c r="H68" s="112">
        <v>20.2</v>
      </c>
      <c r="I68" s="112">
        <v>4.2699999999999996</v>
      </c>
      <c r="J68" s="112">
        <v>0.54</v>
      </c>
      <c r="K68" s="112">
        <v>271.76</v>
      </c>
      <c r="L68" s="112">
        <v>31.15</v>
      </c>
      <c r="M68" s="112">
        <v>78.84</v>
      </c>
      <c r="N68" s="112">
        <v>413.9</v>
      </c>
      <c r="O68" s="112">
        <v>0</v>
      </c>
      <c r="P68" s="112">
        <v>0.38</v>
      </c>
      <c r="Q68" s="112">
        <v>4.5599999999999996</v>
      </c>
    </row>
    <row r="69" spans="1:17" customFormat="1">
      <c r="A69" s="80">
        <v>45483.635416666664</v>
      </c>
      <c r="B69" s="112">
        <v>9.23</v>
      </c>
      <c r="C69" s="112">
        <v>4.09</v>
      </c>
      <c r="D69" s="112">
        <v>13.99</v>
      </c>
      <c r="E69" s="112">
        <v>10.96</v>
      </c>
      <c r="F69" s="112">
        <v>5.89</v>
      </c>
      <c r="G69" s="112">
        <v>45.7</v>
      </c>
      <c r="H69" s="112">
        <v>20.2</v>
      </c>
      <c r="I69" s="112">
        <v>4.3099999999999996</v>
      </c>
      <c r="J69" s="112">
        <v>0.36</v>
      </c>
      <c r="K69" s="112">
        <v>258.74</v>
      </c>
      <c r="L69" s="112">
        <v>30.57</v>
      </c>
      <c r="M69" s="112">
        <v>80.25</v>
      </c>
      <c r="N69" s="112">
        <v>218.9</v>
      </c>
      <c r="O69" s="112">
        <v>0</v>
      </c>
      <c r="P69" s="112">
        <v>0.39</v>
      </c>
      <c r="Q69" s="112">
        <v>4.59</v>
      </c>
    </row>
    <row r="70" spans="1:17" customFormat="1">
      <c r="A70" s="80">
        <v>45483.645833333336</v>
      </c>
      <c r="B70" s="112">
        <v>9.25</v>
      </c>
      <c r="C70" s="112">
        <v>4.1100000000000003</v>
      </c>
      <c r="D70" s="112">
        <v>14.01</v>
      </c>
      <c r="E70" s="112">
        <v>12.29</v>
      </c>
      <c r="F70" s="112">
        <v>5.88</v>
      </c>
      <c r="G70" s="112">
        <v>45.7</v>
      </c>
      <c r="H70" s="112">
        <v>20.2</v>
      </c>
      <c r="I70" s="112">
        <v>4.3</v>
      </c>
      <c r="J70" s="112">
        <v>0.35</v>
      </c>
      <c r="K70" s="112">
        <v>272.51</v>
      </c>
      <c r="L70" s="112">
        <v>31.46</v>
      </c>
      <c r="M70" s="112">
        <v>76.44</v>
      </c>
      <c r="N70" s="112">
        <v>267.2</v>
      </c>
      <c r="O70" s="112">
        <v>0</v>
      </c>
      <c r="P70" s="112">
        <v>0.41</v>
      </c>
      <c r="Q70" s="112">
        <v>4.57</v>
      </c>
    </row>
    <row r="71" spans="1:17" customFormat="1">
      <c r="A71" s="80">
        <v>45483.65625</v>
      </c>
      <c r="B71" s="112">
        <v>9.25</v>
      </c>
      <c r="C71" s="112">
        <v>4.09</v>
      </c>
      <c r="D71" s="112">
        <v>14.01</v>
      </c>
      <c r="E71" s="112">
        <v>11.21</v>
      </c>
      <c r="F71" s="112">
        <v>6.75</v>
      </c>
      <c r="G71" s="112">
        <v>43.29</v>
      </c>
      <c r="H71" s="112">
        <v>17.850000000000001</v>
      </c>
      <c r="I71" s="112">
        <v>4.46</v>
      </c>
      <c r="J71" s="112">
        <v>0.59</v>
      </c>
      <c r="K71" s="112">
        <v>274.27</v>
      </c>
      <c r="L71" s="112">
        <v>31.42</v>
      </c>
      <c r="M71" s="112">
        <v>74.41</v>
      </c>
      <c r="N71" s="112">
        <v>420.3</v>
      </c>
      <c r="O71" s="112">
        <v>0</v>
      </c>
      <c r="P71" s="112">
        <v>0.42</v>
      </c>
      <c r="Q71" s="112">
        <v>4.57</v>
      </c>
    </row>
    <row r="72" spans="1:17" customFormat="1">
      <c r="A72" s="80">
        <v>45483.666666666664</v>
      </c>
      <c r="B72" s="112">
        <v>9.26</v>
      </c>
      <c r="C72" s="112">
        <v>4.08</v>
      </c>
      <c r="D72" s="112">
        <v>14</v>
      </c>
      <c r="E72" s="112">
        <v>12.49</v>
      </c>
      <c r="F72" s="112">
        <v>7.46</v>
      </c>
      <c r="G72" s="112">
        <v>41.44</v>
      </c>
      <c r="H72" s="112">
        <v>17.100000000000001</v>
      </c>
      <c r="I72" s="112">
        <v>4.63</v>
      </c>
      <c r="J72" s="112">
        <v>0.6</v>
      </c>
      <c r="K72" s="112">
        <v>290.75</v>
      </c>
      <c r="L72" s="112">
        <v>32.25</v>
      </c>
      <c r="M72" s="112">
        <v>72.56</v>
      </c>
      <c r="N72" s="112">
        <v>316.5</v>
      </c>
      <c r="O72" s="112">
        <v>0</v>
      </c>
      <c r="P72" s="112">
        <v>0.49</v>
      </c>
      <c r="Q72" s="112">
        <v>4.57</v>
      </c>
    </row>
    <row r="73" spans="1:17" customFormat="1">
      <c r="A73" s="80">
        <v>45483.677083333336</v>
      </c>
      <c r="B73" s="112">
        <v>9.26</v>
      </c>
      <c r="C73" s="112">
        <v>4.04</v>
      </c>
      <c r="D73" s="112">
        <v>13.99</v>
      </c>
      <c r="E73" s="112">
        <v>14.85</v>
      </c>
      <c r="F73" s="112">
        <v>10.53</v>
      </c>
      <c r="G73" s="112">
        <v>41.44</v>
      </c>
      <c r="H73" s="112">
        <v>17.100000000000001</v>
      </c>
      <c r="I73" s="112">
        <v>4.8</v>
      </c>
      <c r="J73" s="112">
        <v>0.59</v>
      </c>
      <c r="K73" s="112">
        <v>298.22000000000003</v>
      </c>
      <c r="L73" s="112">
        <v>31.38</v>
      </c>
      <c r="M73" s="112">
        <v>75.47</v>
      </c>
      <c r="N73" s="112">
        <v>175.9</v>
      </c>
      <c r="O73" s="112">
        <v>0</v>
      </c>
      <c r="P73" s="112">
        <v>0.56999999999999995</v>
      </c>
      <c r="Q73" s="112">
        <v>4.58</v>
      </c>
    </row>
    <row r="74" spans="1:17" customFormat="1">
      <c r="A74" s="80">
        <v>45483.6875</v>
      </c>
      <c r="B74" s="112">
        <v>9.2200000000000006</v>
      </c>
      <c r="C74" s="112">
        <v>4.0599999999999996</v>
      </c>
      <c r="D74" s="112">
        <v>13.96</v>
      </c>
      <c r="E74" s="112">
        <v>15.16</v>
      </c>
      <c r="F74" s="112">
        <v>14.45</v>
      </c>
      <c r="G74" s="112">
        <v>41.44</v>
      </c>
      <c r="H74" s="112">
        <v>17.100000000000001</v>
      </c>
      <c r="I74" s="112">
        <v>5.44</v>
      </c>
      <c r="J74" s="112">
        <v>0.17</v>
      </c>
      <c r="K74" s="112">
        <v>252.08</v>
      </c>
      <c r="L74" s="112">
        <v>31.13</v>
      </c>
      <c r="M74" s="112">
        <v>78.77</v>
      </c>
      <c r="N74" s="112">
        <v>88.6</v>
      </c>
      <c r="O74" s="112">
        <v>0</v>
      </c>
      <c r="P74" s="112">
        <v>0.61</v>
      </c>
      <c r="Q74" s="112">
        <v>4.57</v>
      </c>
    </row>
    <row r="75" spans="1:17" customFormat="1">
      <c r="A75" s="80">
        <v>45483.697916666664</v>
      </c>
      <c r="B75" s="112">
        <v>9.24</v>
      </c>
      <c r="C75" s="112">
        <v>4.04</v>
      </c>
      <c r="D75" s="112">
        <v>13.97</v>
      </c>
      <c r="E75" s="112">
        <v>17.59</v>
      </c>
      <c r="F75" s="112">
        <v>19.12</v>
      </c>
      <c r="G75" s="112">
        <v>45.62</v>
      </c>
      <c r="H75" s="112">
        <v>16.5</v>
      </c>
      <c r="I75" s="112">
        <v>6.58</v>
      </c>
      <c r="J75" s="112">
        <v>0.25</v>
      </c>
      <c r="K75" s="112">
        <v>273.81</v>
      </c>
      <c r="L75" s="112">
        <v>30.94</v>
      </c>
      <c r="M75" s="112">
        <v>78.2</v>
      </c>
      <c r="N75" s="112">
        <v>79.3</v>
      </c>
      <c r="O75" s="112">
        <v>0</v>
      </c>
      <c r="P75" s="112">
        <v>0.71</v>
      </c>
      <c r="Q75" s="112">
        <v>4.57</v>
      </c>
    </row>
    <row r="76" spans="1:17" customFormat="1">
      <c r="A76" s="80">
        <v>45483.708333333336</v>
      </c>
      <c r="B76" s="112">
        <v>9.26</v>
      </c>
      <c r="C76" s="112">
        <v>4.03</v>
      </c>
      <c r="D76" s="112">
        <v>13.98</v>
      </c>
      <c r="E76" s="112">
        <v>23.21</v>
      </c>
      <c r="F76" s="112">
        <v>13.59</v>
      </c>
      <c r="G76" s="112">
        <v>48.95</v>
      </c>
      <c r="H76" s="112">
        <v>16.309999999999999</v>
      </c>
      <c r="I76" s="112">
        <v>7.37</v>
      </c>
      <c r="J76" s="112">
        <v>0.23</v>
      </c>
      <c r="K76" s="112">
        <v>242.87</v>
      </c>
      <c r="L76" s="112">
        <v>31.21</v>
      </c>
      <c r="M76" s="112">
        <v>75.48</v>
      </c>
      <c r="N76" s="112">
        <v>82.3</v>
      </c>
      <c r="O76" s="112">
        <v>0</v>
      </c>
      <c r="P76" s="112">
        <v>0.68</v>
      </c>
      <c r="Q76" s="112">
        <v>4.55</v>
      </c>
    </row>
    <row r="77" spans="1:17" customFormat="1">
      <c r="A77" s="80">
        <v>45483.71875</v>
      </c>
      <c r="B77" s="112">
        <v>9.27</v>
      </c>
      <c r="C77" s="112">
        <v>4.05</v>
      </c>
      <c r="D77" s="112">
        <v>14</v>
      </c>
      <c r="E77" s="112">
        <v>21.99</v>
      </c>
      <c r="F77" s="112">
        <v>13.05</v>
      </c>
      <c r="G77" s="112">
        <v>48.95</v>
      </c>
      <c r="H77" s="112">
        <v>16.309999999999999</v>
      </c>
      <c r="I77" s="112">
        <v>8.01</v>
      </c>
      <c r="J77" s="112">
        <v>0.38</v>
      </c>
      <c r="K77" s="112">
        <v>272.22000000000003</v>
      </c>
      <c r="L77" s="112">
        <v>31.29</v>
      </c>
      <c r="M77" s="112">
        <v>74.23</v>
      </c>
      <c r="N77" s="112">
        <v>75.5</v>
      </c>
      <c r="O77" s="112">
        <v>0</v>
      </c>
      <c r="P77" s="112">
        <v>0.69</v>
      </c>
      <c r="Q77" s="112">
        <v>4.53</v>
      </c>
    </row>
    <row r="78" spans="1:17" customFormat="1">
      <c r="A78" s="80">
        <v>45483.729166666664</v>
      </c>
      <c r="B78" s="112">
        <v>9.26</v>
      </c>
      <c r="C78" s="112">
        <v>4.08</v>
      </c>
      <c r="D78" s="112">
        <v>14.01</v>
      </c>
      <c r="E78" s="112">
        <v>19.5</v>
      </c>
      <c r="F78" s="112">
        <v>14.11</v>
      </c>
      <c r="G78" s="112">
        <v>48.95</v>
      </c>
      <c r="H78" s="112">
        <v>16.309999999999999</v>
      </c>
      <c r="I78" s="112">
        <v>7.39</v>
      </c>
      <c r="J78" s="112">
        <v>0.28999999999999998</v>
      </c>
      <c r="K78" s="112">
        <v>267.45</v>
      </c>
      <c r="L78" s="112">
        <v>31.23</v>
      </c>
      <c r="M78" s="112">
        <v>74.73</v>
      </c>
      <c r="N78" s="112">
        <v>88.8</v>
      </c>
      <c r="O78" s="112">
        <v>0</v>
      </c>
      <c r="P78" s="112">
        <v>0.67</v>
      </c>
      <c r="Q78" s="112">
        <v>4.53</v>
      </c>
    </row>
    <row r="79" spans="1:17" customFormat="1">
      <c r="A79" s="80">
        <v>45483.739583333336</v>
      </c>
      <c r="B79" s="112">
        <v>9.25</v>
      </c>
      <c r="C79" s="112">
        <v>4.1100000000000003</v>
      </c>
      <c r="D79" s="112">
        <v>14.01</v>
      </c>
      <c r="E79" s="112">
        <v>16.809999999999999</v>
      </c>
      <c r="F79" s="112">
        <v>17.170000000000002</v>
      </c>
      <c r="G79" s="112">
        <v>46.76</v>
      </c>
      <c r="H79" s="112">
        <v>16.23</v>
      </c>
      <c r="I79" s="112">
        <v>7.42</v>
      </c>
      <c r="J79" s="112">
        <v>0.26</v>
      </c>
      <c r="K79" s="112">
        <v>245.17</v>
      </c>
      <c r="L79" s="112">
        <v>31.02</v>
      </c>
      <c r="M79" s="112">
        <v>75.09</v>
      </c>
      <c r="N79" s="112">
        <v>39.9</v>
      </c>
      <c r="O79" s="112">
        <v>0</v>
      </c>
      <c r="P79" s="112">
        <v>0.59</v>
      </c>
      <c r="Q79" s="112">
        <v>4.53</v>
      </c>
    </row>
    <row r="80" spans="1:17" customFormat="1">
      <c r="A80" s="80">
        <v>45483.75</v>
      </c>
      <c r="B80" s="112">
        <v>9.25</v>
      </c>
      <c r="C80" s="112">
        <v>4.08</v>
      </c>
      <c r="D80" s="112">
        <v>14</v>
      </c>
      <c r="E80" s="112">
        <v>14.52</v>
      </c>
      <c r="F80" s="112">
        <v>16.55</v>
      </c>
      <c r="G80" s="112">
        <v>45.08</v>
      </c>
      <c r="H80" s="112">
        <v>16.2</v>
      </c>
      <c r="I80" s="112">
        <v>7.28</v>
      </c>
      <c r="J80" s="112">
        <v>0.21</v>
      </c>
      <c r="K80" s="112">
        <v>260.58999999999997</v>
      </c>
      <c r="L80" s="112">
        <v>30.44</v>
      </c>
      <c r="M80" s="112">
        <v>77.290000000000006</v>
      </c>
      <c r="N80" s="112">
        <v>26.6</v>
      </c>
      <c r="O80" s="112">
        <v>0</v>
      </c>
      <c r="P80" s="112">
        <v>0.57999999999999996</v>
      </c>
      <c r="Q80" s="112">
        <v>4.54</v>
      </c>
    </row>
    <row r="81" spans="1:17" customFormat="1">
      <c r="A81" s="80">
        <v>45483.760416666664</v>
      </c>
      <c r="B81" s="112">
        <v>9.27</v>
      </c>
      <c r="C81" s="112">
        <v>4.04</v>
      </c>
      <c r="D81" s="112">
        <v>13.99</v>
      </c>
      <c r="E81" s="112">
        <v>10.57</v>
      </c>
      <c r="F81" s="112">
        <v>17.3</v>
      </c>
      <c r="G81" s="112">
        <v>45.08</v>
      </c>
      <c r="H81" s="112">
        <v>16.2</v>
      </c>
      <c r="I81" s="112">
        <v>6.45</v>
      </c>
      <c r="J81" s="112">
        <v>0.17</v>
      </c>
      <c r="K81" s="112">
        <v>242.57</v>
      </c>
      <c r="L81" s="112">
        <v>30.2</v>
      </c>
      <c r="M81" s="112">
        <v>77.760000000000005</v>
      </c>
      <c r="N81" s="112">
        <v>12.2</v>
      </c>
      <c r="O81" s="112">
        <v>0</v>
      </c>
      <c r="P81" s="112">
        <v>0.56000000000000005</v>
      </c>
      <c r="Q81" s="112">
        <v>4.54</v>
      </c>
    </row>
    <row r="82" spans="1:17" customFormat="1">
      <c r="A82" s="80">
        <v>45483.770833333336</v>
      </c>
      <c r="B82" s="112">
        <v>9.2899999999999991</v>
      </c>
      <c r="C82" s="112">
        <v>4.08</v>
      </c>
      <c r="D82" s="112">
        <v>14.03</v>
      </c>
      <c r="E82" s="112">
        <v>11.62</v>
      </c>
      <c r="F82" s="112">
        <v>18.12</v>
      </c>
      <c r="G82" s="112">
        <v>45.08</v>
      </c>
      <c r="H82" s="112">
        <v>16.2</v>
      </c>
      <c r="I82" s="112">
        <v>6.05</v>
      </c>
      <c r="J82" s="112">
        <v>0.12</v>
      </c>
      <c r="K82" s="112">
        <v>195.08</v>
      </c>
      <c r="L82" s="112">
        <v>29.79</v>
      </c>
      <c r="M82" s="112">
        <v>80.22</v>
      </c>
      <c r="N82" s="112">
        <v>7.5</v>
      </c>
      <c r="O82" s="112">
        <v>0</v>
      </c>
      <c r="P82" s="112">
        <v>0.55000000000000004</v>
      </c>
      <c r="Q82" s="112">
        <v>4.54</v>
      </c>
    </row>
    <row r="83" spans="1:17" customFormat="1">
      <c r="A83" s="80">
        <v>45483.78125</v>
      </c>
      <c r="B83" s="112">
        <v>9.3000000000000007</v>
      </c>
      <c r="C83" s="112">
        <v>4.07</v>
      </c>
      <c r="D83" s="112">
        <v>14.03</v>
      </c>
      <c r="E83" s="112">
        <v>10.47</v>
      </c>
      <c r="F83" s="112">
        <v>20.239999999999998</v>
      </c>
      <c r="G83" s="112">
        <v>41.68</v>
      </c>
      <c r="H83" s="112">
        <v>15.28</v>
      </c>
      <c r="I83" s="112">
        <v>5.83</v>
      </c>
      <c r="J83" s="112">
        <v>0.09</v>
      </c>
      <c r="K83" s="112">
        <v>194.04</v>
      </c>
      <c r="L83" s="112">
        <v>29.61</v>
      </c>
      <c r="M83" s="112">
        <v>80.44</v>
      </c>
      <c r="N83" s="112">
        <v>3.3</v>
      </c>
      <c r="O83" s="112">
        <v>0</v>
      </c>
      <c r="P83" s="112">
        <v>0.52</v>
      </c>
      <c r="Q83" s="112">
        <v>4.55</v>
      </c>
    </row>
    <row r="84" spans="1:17" customFormat="1">
      <c r="A84" s="80">
        <v>45483.791666666664</v>
      </c>
      <c r="B84" s="112">
        <v>9.3000000000000007</v>
      </c>
      <c r="C84" s="112">
        <v>4.04</v>
      </c>
      <c r="D84" s="112">
        <v>14.01</v>
      </c>
      <c r="E84" s="112">
        <v>9.94</v>
      </c>
      <c r="F84" s="112">
        <v>18.88</v>
      </c>
      <c r="G84" s="112">
        <v>39.08</v>
      </c>
      <c r="H84" s="112">
        <v>14.71</v>
      </c>
      <c r="I84" s="112">
        <v>5.6</v>
      </c>
      <c r="J84" s="112">
        <v>0.21</v>
      </c>
      <c r="K84" s="112">
        <v>168.13</v>
      </c>
      <c r="L84" s="112">
        <v>29.45</v>
      </c>
      <c r="M84" s="112">
        <v>81.87</v>
      </c>
      <c r="N84" s="112">
        <v>2.2000000000000002</v>
      </c>
      <c r="O84" s="112">
        <v>0</v>
      </c>
      <c r="P84" s="112">
        <v>0.51</v>
      </c>
      <c r="Q84" s="112">
        <v>4.54</v>
      </c>
    </row>
    <row r="85" spans="1:17" customFormat="1">
      <c r="A85" s="80">
        <v>45483.802083333336</v>
      </c>
      <c r="B85" s="112">
        <v>9.3000000000000007</v>
      </c>
      <c r="C85" s="112">
        <v>4.04</v>
      </c>
      <c r="D85" s="112">
        <v>14.02</v>
      </c>
      <c r="E85" s="112">
        <v>9.06</v>
      </c>
      <c r="F85" s="112">
        <v>16.14</v>
      </c>
      <c r="G85" s="112">
        <v>39.08</v>
      </c>
      <c r="H85" s="112">
        <v>14.71</v>
      </c>
      <c r="I85" s="112">
        <v>5.24</v>
      </c>
      <c r="J85" s="112">
        <v>0.1</v>
      </c>
      <c r="K85" s="112">
        <v>219.28</v>
      </c>
      <c r="L85" s="112">
        <v>29.16</v>
      </c>
      <c r="M85" s="112">
        <v>85.13</v>
      </c>
      <c r="N85" s="112">
        <v>2.4</v>
      </c>
      <c r="O85" s="112">
        <v>0</v>
      </c>
      <c r="P85" s="112">
        <v>0.52</v>
      </c>
      <c r="Q85" s="112">
        <v>4.5199999999999996</v>
      </c>
    </row>
    <row r="86" spans="1:17" customFormat="1">
      <c r="A86" s="80">
        <v>45483.8125</v>
      </c>
      <c r="B86" s="112">
        <v>9.2799999999999994</v>
      </c>
      <c r="C86" s="112">
        <v>4.05</v>
      </c>
      <c r="D86" s="112">
        <v>14.01</v>
      </c>
      <c r="E86" s="112">
        <v>8.61</v>
      </c>
      <c r="F86" s="112">
        <v>16.600000000000001</v>
      </c>
      <c r="G86" s="112">
        <v>39.08</v>
      </c>
      <c r="H86" s="112">
        <v>14.71</v>
      </c>
      <c r="I86" s="112">
        <v>5.71</v>
      </c>
      <c r="J86" s="112">
        <v>0.1</v>
      </c>
      <c r="K86" s="112">
        <v>195.96</v>
      </c>
      <c r="L86" s="112">
        <v>29.19</v>
      </c>
      <c r="M86" s="112">
        <v>84.68</v>
      </c>
      <c r="N86" s="112">
        <v>2.1</v>
      </c>
      <c r="O86" s="112">
        <v>0</v>
      </c>
      <c r="P86" s="112">
        <v>0.52</v>
      </c>
      <c r="Q86" s="112">
        <v>4.55</v>
      </c>
    </row>
    <row r="87" spans="1:17" customFormat="1">
      <c r="A87" s="80">
        <v>45483.822916666664</v>
      </c>
      <c r="B87" s="112">
        <v>9.27</v>
      </c>
      <c r="C87" s="112">
        <v>4.08</v>
      </c>
      <c r="D87" s="112">
        <v>14.02</v>
      </c>
      <c r="E87" s="112">
        <v>8.6199999999999992</v>
      </c>
      <c r="F87" s="112">
        <v>18.71</v>
      </c>
      <c r="G87" s="112">
        <v>38.83</v>
      </c>
      <c r="H87" s="112">
        <v>13.37</v>
      </c>
      <c r="I87" s="112">
        <v>5.54</v>
      </c>
      <c r="J87" s="112">
        <v>0.05</v>
      </c>
      <c r="K87" s="112">
        <v>305.55</v>
      </c>
      <c r="L87" s="112">
        <v>28.7</v>
      </c>
      <c r="M87" s="112">
        <v>83.29</v>
      </c>
      <c r="N87" s="112">
        <v>2.4</v>
      </c>
      <c r="O87" s="112">
        <v>0</v>
      </c>
      <c r="P87" s="112">
        <v>0.47</v>
      </c>
      <c r="Q87" s="112">
        <v>4.55</v>
      </c>
    </row>
    <row r="88" spans="1:17" customFormat="1">
      <c r="A88" s="80">
        <v>45483.833333333336</v>
      </c>
      <c r="B88" s="112">
        <v>9.3000000000000007</v>
      </c>
      <c r="C88" s="112">
        <v>4.05</v>
      </c>
      <c r="D88" s="112">
        <v>14.02</v>
      </c>
      <c r="E88" s="112">
        <v>8.02</v>
      </c>
      <c r="F88" s="112">
        <v>16.510000000000002</v>
      </c>
      <c r="G88" s="112">
        <v>38.64</v>
      </c>
      <c r="H88" s="112">
        <v>12.94</v>
      </c>
      <c r="I88" s="112">
        <v>5.49</v>
      </c>
      <c r="J88" s="112">
        <v>0.09</v>
      </c>
      <c r="K88" s="112">
        <v>249.48</v>
      </c>
      <c r="L88" s="112">
        <v>28.3</v>
      </c>
      <c r="M88" s="112">
        <v>86.41</v>
      </c>
      <c r="N88" s="112">
        <v>2.2999999999999998</v>
      </c>
      <c r="O88" s="112">
        <v>0</v>
      </c>
      <c r="P88" s="112">
        <v>0.46</v>
      </c>
      <c r="Q88" s="112">
        <v>4.57</v>
      </c>
    </row>
    <row r="89" spans="1:17" customFormat="1">
      <c r="A89" s="80">
        <v>45483.84375</v>
      </c>
      <c r="B89" s="112">
        <v>9.3000000000000007</v>
      </c>
      <c r="C89" s="112">
        <v>4.0199999999999996</v>
      </c>
      <c r="D89" s="112">
        <v>14.01</v>
      </c>
      <c r="E89" s="112">
        <v>7.58</v>
      </c>
      <c r="F89" s="112">
        <v>17.010000000000002</v>
      </c>
      <c r="G89" s="112">
        <v>38.64</v>
      </c>
      <c r="H89" s="112">
        <v>12.94</v>
      </c>
      <c r="I89" s="112">
        <v>4.8099999999999996</v>
      </c>
      <c r="J89" s="112">
        <v>0.09</v>
      </c>
      <c r="K89" s="112">
        <v>219.31</v>
      </c>
      <c r="L89" s="112">
        <v>28</v>
      </c>
      <c r="M89" s="112">
        <v>85.73</v>
      </c>
      <c r="N89" s="112">
        <v>2.1</v>
      </c>
      <c r="O89" s="112">
        <v>0</v>
      </c>
      <c r="P89" s="112">
        <v>0.44</v>
      </c>
      <c r="Q89" s="112">
        <v>4.57</v>
      </c>
    </row>
    <row r="90" spans="1:17" customFormat="1">
      <c r="A90" s="80">
        <v>45483.854166666664</v>
      </c>
      <c r="B90" s="112">
        <v>9.2799999999999994</v>
      </c>
      <c r="C90" s="112">
        <v>4.07</v>
      </c>
      <c r="D90" s="112">
        <v>14.02</v>
      </c>
      <c r="E90" s="112">
        <v>7.76</v>
      </c>
      <c r="F90" s="112">
        <v>13.79</v>
      </c>
      <c r="G90" s="112">
        <v>38.64</v>
      </c>
      <c r="H90" s="112">
        <v>12.94</v>
      </c>
      <c r="I90" s="112">
        <v>4.79</v>
      </c>
      <c r="J90" s="112">
        <v>0.15</v>
      </c>
      <c r="K90" s="112">
        <v>230.8</v>
      </c>
      <c r="L90" s="112">
        <v>27.87</v>
      </c>
      <c r="M90" s="112">
        <v>86.94</v>
      </c>
      <c r="N90" s="112">
        <v>2.1</v>
      </c>
      <c r="O90" s="112">
        <v>0</v>
      </c>
      <c r="P90" s="112">
        <v>0.45</v>
      </c>
      <c r="Q90" s="112">
        <v>4.5599999999999996</v>
      </c>
    </row>
    <row r="91" spans="1:17" customFormat="1">
      <c r="A91" s="80">
        <v>45483.864583333336</v>
      </c>
      <c r="B91" s="112">
        <v>9.2799999999999994</v>
      </c>
      <c r="C91" s="112">
        <v>4.07</v>
      </c>
      <c r="D91" s="112">
        <v>14.02</v>
      </c>
      <c r="E91" s="112">
        <v>8.44</v>
      </c>
      <c r="F91" s="112">
        <v>10.15</v>
      </c>
      <c r="G91" s="112">
        <v>34.54</v>
      </c>
      <c r="H91" s="112">
        <v>11.19</v>
      </c>
      <c r="I91" s="112">
        <v>4.49</v>
      </c>
      <c r="J91" s="112">
        <v>0.15</v>
      </c>
      <c r="K91" s="112">
        <v>175.6</v>
      </c>
      <c r="L91" s="112">
        <v>27.76</v>
      </c>
      <c r="M91" s="112">
        <v>88.79</v>
      </c>
      <c r="N91" s="112">
        <v>2.1</v>
      </c>
      <c r="O91" s="112">
        <v>0</v>
      </c>
      <c r="P91" s="112">
        <v>0.44</v>
      </c>
      <c r="Q91" s="112">
        <v>4.54</v>
      </c>
    </row>
    <row r="92" spans="1:17" customFormat="1">
      <c r="A92" s="80">
        <v>45483.875</v>
      </c>
      <c r="B92" s="112">
        <v>9.2899999999999991</v>
      </c>
      <c r="C92" s="112">
        <v>4.05</v>
      </c>
      <c r="D92" s="112">
        <v>14.02</v>
      </c>
      <c r="E92" s="112">
        <v>8.8800000000000008</v>
      </c>
      <c r="F92" s="112">
        <v>9.14</v>
      </c>
      <c r="G92" s="112">
        <v>31.39</v>
      </c>
      <c r="H92" s="112">
        <v>10.64</v>
      </c>
      <c r="I92" s="112">
        <v>4.9000000000000004</v>
      </c>
      <c r="J92" s="112">
        <v>0.14000000000000001</v>
      </c>
      <c r="K92" s="112">
        <v>176.09</v>
      </c>
      <c r="L92" s="112">
        <v>27.72</v>
      </c>
      <c r="M92" s="112">
        <v>91.02</v>
      </c>
      <c r="N92" s="112">
        <v>2.1</v>
      </c>
      <c r="O92" s="112">
        <v>0</v>
      </c>
      <c r="P92" s="112">
        <v>0.43</v>
      </c>
      <c r="Q92" s="112">
        <v>4.54</v>
      </c>
    </row>
    <row r="93" spans="1:17" customFormat="1">
      <c r="A93" s="80">
        <v>45483.885416666664</v>
      </c>
      <c r="B93" s="112">
        <v>9.2799999999999994</v>
      </c>
      <c r="C93" s="112">
        <v>4.07</v>
      </c>
      <c r="D93" s="112">
        <v>14.02</v>
      </c>
      <c r="E93" s="112">
        <v>8.59</v>
      </c>
      <c r="F93" s="112">
        <v>8.27</v>
      </c>
      <c r="G93" s="112">
        <v>31.39</v>
      </c>
      <c r="H93" s="112">
        <v>10.64</v>
      </c>
      <c r="I93" s="112">
        <v>5.19</v>
      </c>
      <c r="J93" s="112">
        <v>0.13</v>
      </c>
      <c r="K93" s="112">
        <v>219.86</v>
      </c>
      <c r="L93" s="112">
        <v>27.54</v>
      </c>
      <c r="M93" s="112">
        <v>91.08</v>
      </c>
      <c r="N93" s="112">
        <v>2</v>
      </c>
      <c r="O93" s="112">
        <v>0</v>
      </c>
      <c r="P93" s="112">
        <v>0.43</v>
      </c>
      <c r="Q93" s="112">
        <v>4.54</v>
      </c>
    </row>
    <row r="94" spans="1:17" customFormat="1">
      <c r="A94" s="80">
        <v>45483.895833333336</v>
      </c>
      <c r="B94" s="112">
        <v>9.3000000000000007</v>
      </c>
      <c r="C94" s="112">
        <v>4.04</v>
      </c>
      <c r="D94" s="112">
        <v>14.02</v>
      </c>
      <c r="E94" s="112">
        <v>8.74</v>
      </c>
      <c r="F94" s="112">
        <v>8.3800000000000008</v>
      </c>
      <c r="G94" s="112">
        <v>31.39</v>
      </c>
      <c r="H94" s="112">
        <v>10.64</v>
      </c>
      <c r="I94" s="112">
        <v>5.19</v>
      </c>
      <c r="J94" s="112">
        <v>0.1</v>
      </c>
      <c r="K94" s="112">
        <v>240.17</v>
      </c>
      <c r="L94" s="112">
        <v>27.79</v>
      </c>
      <c r="M94" s="112">
        <v>88.34</v>
      </c>
      <c r="N94" s="112">
        <v>1.8</v>
      </c>
      <c r="O94" s="112">
        <v>0</v>
      </c>
      <c r="P94" s="112">
        <v>0.42</v>
      </c>
      <c r="Q94" s="112">
        <v>4.54</v>
      </c>
    </row>
    <row r="95" spans="1:17" customFormat="1">
      <c r="A95" s="80">
        <v>45483.90625</v>
      </c>
      <c r="B95" s="112">
        <v>9.27</v>
      </c>
      <c r="C95" s="112">
        <v>4.08</v>
      </c>
      <c r="D95" s="112">
        <v>14.01</v>
      </c>
      <c r="E95" s="112">
        <v>8.99</v>
      </c>
      <c r="F95" s="112">
        <v>8.44</v>
      </c>
      <c r="G95" s="112">
        <v>29.63</v>
      </c>
      <c r="H95" s="112">
        <v>10.79</v>
      </c>
      <c r="I95" s="112">
        <v>5.12</v>
      </c>
      <c r="J95" s="112">
        <v>0.16</v>
      </c>
      <c r="K95" s="112">
        <v>256.22000000000003</v>
      </c>
      <c r="L95" s="112">
        <v>27.82</v>
      </c>
      <c r="M95" s="112">
        <v>86.89</v>
      </c>
      <c r="N95" s="112">
        <v>1.8</v>
      </c>
      <c r="O95" s="112">
        <v>0</v>
      </c>
      <c r="P95" s="112">
        <v>0.41</v>
      </c>
      <c r="Q95" s="112">
        <v>4.54</v>
      </c>
    </row>
    <row r="96" spans="1:17" customFormat="1">
      <c r="A96" s="80">
        <v>45483.916666666664</v>
      </c>
      <c r="B96" s="112">
        <v>9.27</v>
      </c>
      <c r="C96" s="112">
        <v>4.12</v>
      </c>
      <c r="D96" s="112">
        <v>14.04</v>
      </c>
      <c r="E96" s="112">
        <v>9.6</v>
      </c>
      <c r="F96" s="112">
        <v>6.78</v>
      </c>
      <c r="G96" s="112">
        <v>28.28</v>
      </c>
      <c r="H96" s="112">
        <v>10.84</v>
      </c>
      <c r="I96" s="112">
        <v>5.08</v>
      </c>
      <c r="J96" s="112">
        <v>0.14000000000000001</v>
      </c>
      <c r="K96" s="112">
        <v>250.23</v>
      </c>
      <c r="L96" s="112">
        <v>27.81</v>
      </c>
      <c r="M96" s="112">
        <v>87.47</v>
      </c>
      <c r="N96" s="112">
        <v>2</v>
      </c>
      <c r="O96" s="112">
        <v>0</v>
      </c>
      <c r="P96" s="112">
        <v>0.41</v>
      </c>
      <c r="Q96" s="112">
        <v>4.55</v>
      </c>
    </row>
    <row r="97" spans="1:22" customFormat="1">
      <c r="A97" s="80">
        <v>45483.927083333336</v>
      </c>
      <c r="B97" s="112">
        <v>9.2899999999999991</v>
      </c>
      <c r="C97" s="112">
        <v>4.0599999999999996</v>
      </c>
      <c r="D97" s="112">
        <v>14.02</v>
      </c>
      <c r="E97" s="112">
        <v>8.92</v>
      </c>
      <c r="F97" s="112">
        <v>7.76</v>
      </c>
      <c r="G97" s="112">
        <v>28.28</v>
      </c>
      <c r="H97" s="112">
        <v>10.84</v>
      </c>
      <c r="I97" s="112">
        <v>4.95</v>
      </c>
      <c r="J97" s="112">
        <v>0.17</v>
      </c>
      <c r="K97" s="112">
        <v>248.17</v>
      </c>
      <c r="L97" s="112">
        <v>27.61</v>
      </c>
      <c r="M97" s="112">
        <v>89.38</v>
      </c>
      <c r="N97" s="112">
        <v>2.1</v>
      </c>
      <c r="O97" s="112">
        <v>0</v>
      </c>
      <c r="P97" s="112">
        <v>0.4</v>
      </c>
      <c r="Q97" s="112">
        <v>4.54</v>
      </c>
    </row>
    <row r="98" spans="1:22" customFormat="1">
      <c r="A98" s="80">
        <v>45483.9375</v>
      </c>
      <c r="B98" s="112">
        <v>9.27</v>
      </c>
      <c r="C98" s="112">
        <v>4.08</v>
      </c>
      <c r="D98" s="112">
        <v>14.02</v>
      </c>
      <c r="E98" s="112">
        <v>9.16</v>
      </c>
      <c r="F98" s="112">
        <v>7.74</v>
      </c>
      <c r="G98" s="112">
        <v>28.28</v>
      </c>
      <c r="H98" s="112">
        <v>10.84</v>
      </c>
      <c r="I98" s="112">
        <v>4.87</v>
      </c>
      <c r="J98" s="112">
        <v>0.15</v>
      </c>
      <c r="K98" s="112">
        <v>247.31</v>
      </c>
      <c r="L98" s="112">
        <v>27.7</v>
      </c>
      <c r="M98" s="112">
        <v>89.51</v>
      </c>
      <c r="N98" s="112">
        <v>1.9</v>
      </c>
      <c r="O98" s="112">
        <v>0</v>
      </c>
      <c r="P98" s="112">
        <v>0.39</v>
      </c>
      <c r="Q98" s="112">
        <v>4.55</v>
      </c>
    </row>
    <row r="99" spans="1:22" customFormat="1">
      <c r="A99" s="80">
        <v>45483.947916666664</v>
      </c>
      <c r="B99" s="112">
        <v>9.27</v>
      </c>
      <c r="C99" s="112">
        <v>4.07</v>
      </c>
      <c r="D99" s="112">
        <v>14.01</v>
      </c>
      <c r="E99" s="112">
        <v>9.59</v>
      </c>
      <c r="F99" s="112">
        <v>6.81</v>
      </c>
      <c r="G99" s="112">
        <v>27.98</v>
      </c>
      <c r="H99" s="112">
        <v>11.72</v>
      </c>
      <c r="I99" s="112">
        <v>4.79</v>
      </c>
      <c r="J99" s="112">
        <v>0.19</v>
      </c>
      <c r="K99" s="112">
        <v>250.61</v>
      </c>
      <c r="L99" s="112">
        <v>27.76</v>
      </c>
      <c r="M99" s="112">
        <v>90</v>
      </c>
      <c r="N99" s="112">
        <v>2</v>
      </c>
      <c r="O99" s="112">
        <v>0</v>
      </c>
      <c r="P99" s="112">
        <v>0.38</v>
      </c>
      <c r="Q99" s="112">
        <v>4.5599999999999996</v>
      </c>
    </row>
    <row r="100" spans="1:22" customFormat="1">
      <c r="A100" s="80">
        <v>45483.958333333336</v>
      </c>
      <c r="B100" s="112">
        <v>9.2899999999999991</v>
      </c>
      <c r="C100" s="112">
        <v>4.07</v>
      </c>
      <c r="D100" s="112">
        <v>14.03</v>
      </c>
      <c r="E100" s="112">
        <v>9.8699999999999992</v>
      </c>
      <c r="F100" s="112">
        <v>7.33</v>
      </c>
      <c r="G100" s="112">
        <v>27.75</v>
      </c>
      <c r="H100" s="112">
        <v>12</v>
      </c>
      <c r="I100" s="112">
        <v>4.7300000000000004</v>
      </c>
      <c r="J100" s="112">
        <v>0.23</v>
      </c>
      <c r="K100" s="112">
        <v>250.2</v>
      </c>
      <c r="L100" s="112">
        <v>27.91</v>
      </c>
      <c r="M100" s="112">
        <v>88.58</v>
      </c>
      <c r="N100" s="112">
        <v>2.1</v>
      </c>
      <c r="O100" s="112">
        <v>0</v>
      </c>
      <c r="P100" s="112">
        <v>0.39</v>
      </c>
      <c r="Q100" s="112">
        <v>4.5599999999999996</v>
      </c>
    </row>
    <row r="101" spans="1:22" customFormat="1">
      <c r="A101" s="80">
        <v>45483.96875</v>
      </c>
      <c r="B101" s="112">
        <v>9.2799999999999994</v>
      </c>
      <c r="C101" s="112">
        <v>4.1100000000000003</v>
      </c>
      <c r="D101" s="112">
        <v>14.04</v>
      </c>
      <c r="E101" s="112">
        <v>10.26</v>
      </c>
      <c r="F101" s="112">
        <v>6.49</v>
      </c>
      <c r="G101" s="112">
        <v>27.75</v>
      </c>
      <c r="H101" s="112">
        <v>12</v>
      </c>
      <c r="I101" s="112">
        <v>4.6399999999999997</v>
      </c>
      <c r="J101" s="112">
        <v>0.24</v>
      </c>
      <c r="K101" s="112">
        <v>257.27</v>
      </c>
      <c r="L101" s="112">
        <v>27.95</v>
      </c>
      <c r="M101" s="112">
        <v>89.75</v>
      </c>
      <c r="N101" s="112">
        <v>2.1</v>
      </c>
      <c r="O101" s="112">
        <v>0</v>
      </c>
      <c r="P101" s="112">
        <v>0.37</v>
      </c>
      <c r="Q101" s="112">
        <v>4.55</v>
      </c>
    </row>
    <row r="102" spans="1:22" customFormat="1">
      <c r="A102" s="80">
        <v>45483.979166666664</v>
      </c>
      <c r="B102" s="112">
        <v>9.2799999999999994</v>
      </c>
      <c r="C102" s="112">
        <v>4.09</v>
      </c>
      <c r="D102" s="112">
        <v>14.03</v>
      </c>
      <c r="E102" s="112">
        <v>9.6300000000000008</v>
      </c>
      <c r="F102" s="112">
        <v>6.2</v>
      </c>
      <c r="G102" s="112">
        <v>27.75</v>
      </c>
      <c r="H102" s="112">
        <v>12</v>
      </c>
      <c r="I102" s="112">
        <v>4.58</v>
      </c>
      <c r="J102" s="112">
        <v>0.3</v>
      </c>
      <c r="K102" s="112">
        <v>248.27</v>
      </c>
      <c r="L102" s="112">
        <v>27.99</v>
      </c>
      <c r="M102" s="112">
        <v>88.71</v>
      </c>
      <c r="N102" s="112">
        <v>2.1</v>
      </c>
      <c r="O102" s="112">
        <v>0</v>
      </c>
      <c r="P102" s="112">
        <v>0.36</v>
      </c>
      <c r="Q102" s="112">
        <v>4.55</v>
      </c>
    </row>
    <row r="103" spans="1:22" customFormat="1">
      <c r="A103" s="80">
        <v>45483.989583333336</v>
      </c>
      <c r="B103" s="112">
        <v>9.3000000000000007</v>
      </c>
      <c r="C103" s="112">
        <v>4.05</v>
      </c>
      <c r="D103" s="112">
        <v>14.02</v>
      </c>
      <c r="E103" s="112">
        <v>10.34</v>
      </c>
      <c r="F103" s="112">
        <v>7.73</v>
      </c>
      <c r="G103" s="112">
        <v>26.26</v>
      </c>
      <c r="H103" s="112">
        <v>9.4</v>
      </c>
      <c r="I103" s="112">
        <v>4.51</v>
      </c>
      <c r="J103" s="112">
        <v>0.4</v>
      </c>
      <c r="K103" s="112">
        <v>265.81</v>
      </c>
      <c r="L103" s="112">
        <v>28</v>
      </c>
      <c r="M103" s="112">
        <v>87</v>
      </c>
      <c r="N103" s="112">
        <v>2.1</v>
      </c>
      <c r="O103" s="112">
        <v>0</v>
      </c>
      <c r="P103" s="112">
        <v>0.36</v>
      </c>
      <c r="Q103" s="112">
        <v>4.53</v>
      </c>
    </row>
    <row r="104" spans="1:22" customFormat="1">
      <c r="A104" s="80">
        <v>45484</v>
      </c>
      <c r="B104" s="112">
        <v>9.2899999999999991</v>
      </c>
      <c r="C104" s="112">
        <v>4.07</v>
      </c>
      <c r="D104" s="112">
        <v>14.03</v>
      </c>
      <c r="E104" s="112">
        <v>10.24</v>
      </c>
      <c r="F104" s="112">
        <v>6.68</v>
      </c>
      <c r="G104" s="112">
        <v>25.12</v>
      </c>
      <c r="H104" s="112">
        <v>8.57</v>
      </c>
      <c r="I104" s="112">
        <v>4.45</v>
      </c>
      <c r="J104" s="112">
        <v>0.28999999999999998</v>
      </c>
      <c r="K104" s="112">
        <v>261.89999999999998</v>
      </c>
      <c r="L104" s="112">
        <v>27.97</v>
      </c>
      <c r="M104" s="112">
        <v>87.7</v>
      </c>
      <c r="N104" s="112">
        <v>2.1</v>
      </c>
      <c r="O104" s="112">
        <v>0</v>
      </c>
      <c r="P104" s="112">
        <v>0.35</v>
      </c>
      <c r="Q104" s="112">
        <v>4.55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9.2200000000000006</v>
      </c>
      <c r="C106" s="183">
        <f>MIN(C9:C104)</f>
        <v>4.0199999999999996</v>
      </c>
      <c r="D106" s="183">
        <f t="shared" ref="D106:Q106" si="0">MIN(D9:D104)</f>
        <v>13.96</v>
      </c>
      <c r="E106" s="183">
        <f t="shared" si="0"/>
        <v>6.52</v>
      </c>
      <c r="F106" s="183">
        <f t="shared" si="0"/>
        <v>2.71</v>
      </c>
      <c r="G106" s="183">
        <f t="shared" si="0"/>
        <v>6.09</v>
      </c>
      <c r="H106" s="183">
        <f t="shared" si="0"/>
        <v>1.44</v>
      </c>
      <c r="I106" s="183">
        <f t="shared" si="0"/>
        <v>3.13</v>
      </c>
      <c r="J106" s="183">
        <f t="shared" si="0"/>
        <v>-0.05</v>
      </c>
      <c r="K106" s="183">
        <f t="shared" si="0"/>
        <v>-0.08</v>
      </c>
      <c r="L106" s="183">
        <f t="shared" si="0"/>
        <v>24.91</v>
      </c>
      <c r="M106" s="183">
        <f t="shared" si="0"/>
        <v>72.14</v>
      </c>
      <c r="N106" s="183">
        <f t="shared" si="0"/>
        <v>1.8</v>
      </c>
      <c r="O106" s="183">
        <f t="shared" si="0"/>
        <v>0</v>
      </c>
      <c r="P106" s="183">
        <f t="shared" si="0"/>
        <v>0.22</v>
      </c>
      <c r="Q106" s="183">
        <f t="shared" si="0"/>
        <v>4.5199999999999996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9.33</v>
      </c>
      <c r="C107" s="184">
        <f t="shared" ref="C107:Q107" si="1">MAX(C9:C104)</f>
        <v>4.12</v>
      </c>
      <c r="D107" s="184">
        <f t="shared" si="1"/>
        <v>14.06</v>
      </c>
      <c r="E107" s="184">
        <f t="shared" si="1"/>
        <v>23.21</v>
      </c>
      <c r="F107" s="184">
        <f t="shared" si="1"/>
        <v>20.239999999999998</v>
      </c>
      <c r="G107" s="184">
        <f t="shared" si="1"/>
        <v>48.95</v>
      </c>
      <c r="H107" s="184">
        <f t="shared" si="1"/>
        <v>20.2</v>
      </c>
      <c r="I107" s="184">
        <f t="shared" si="1"/>
        <v>8.01</v>
      </c>
      <c r="J107" s="184">
        <f t="shared" si="1"/>
        <v>1.08</v>
      </c>
      <c r="K107" s="184">
        <f t="shared" si="1"/>
        <v>354.88</v>
      </c>
      <c r="L107" s="184">
        <f t="shared" si="1"/>
        <v>32.25</v>
      </c>
      <c r="M107" s="184">
        <f t="shared" si="1"/>
        <v>100.24</v>
      </c>
      <c r="N107" s="184">
        <f t="shared" si="1"/>
        <v>669</v>
      </c>
      <c r="O107" s="184">
        <f t="shared" si="1"/>
        <v>1.6</v>
      </c>
      <c r="P107" s="184">
        <f t="shared" si="1"/>
        <v>0.71</v>
      </c>
      <c r="Q107" s="184">
        <f t="shared" si="1"/>
        <v>4.5999999999999996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9.2835416666666557</v>
      </c>
      <c r="C108" s="183">
        <f t="shared" ref="C108:Q108" si="2">AVERAGE(C9:C104)</f>
        <v>4.0703125000000009</v>
      </c>
      <c r="D108" s="183">
        <f t="shared" si="2"/>
        <v>14.021041666666664</v>
      </c>
      <c r="E108" s="183">
        <f t="shared" si="2"/>
        <v>10.592395833333336</v>
      </c>
      <c r="F108" s="183">
        <f t="shared" si="2"/>
        <v>8.1019791666666663</v>
      </c>
      <c r="G108" s="183">
        <f t="shared" si="2"/>
        <v>22.560625000000005</v>
      </c>
      <c r="H108" s="183">
        <f t="shared" si="2"/>
        <v>9.183541666666672</v>
      </c>
      <c r="I108" s="183">
        <f t="shared" si="2"/>
        <v>4.3642708333333333</v>
      </c>
      <c r="J108" s="183">
        <f t="shared" si="2"/>
        <v>0.3272916666666667</v>
      </c>
      <c r="K108" s="183">
        <f t="shared" si="2"/>
        <v>245.51406250000005</v>
      </c>
      <c r="L108" s="183">
        <f t="shared" si="2"/>
        <v>28.254583333333333</v>
      </c>
      <c r="M108" s="183">
        <f t="shared" si="2"/>
        <v>86.710833333333326</v>
      </c>
      <c r="N108" s="183">
        <f t="shared" si="2"/>
        <v>103.69791666666664</v>
      </c>
      <c r="O108" s="183">
        <f t="shared" si="2"/>
        <v>1.6666666666666666E-2</v>
      </c>
      <c r="P108" s="183">
        <f t="shared" si="2"/>
        <v>0.37864583333333335</v>
      </c>
      <c r="Q108" s="183">
        <f t="shared" si="2"/>
        <v>4.5571875000000022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2.4793002691407651E-2</v>
      </c>
      <c r="C109" s="183">
        <f t="shared" ref="C109:Q109" si="3">STDEV(C9:C104)</f>
        <v>2.0076334588921285E-2</v>
      </c>
      <c r="D109" s="183">
        <f t="shared" si="3"/>
        <v>2.0697275013451668E-2</v>
      </c>
      <c r="E109" s="183">
        <f t="shared" si="3"/>
        <v>2.8264378715384044</v>
      </c>
      <c r="F109" s="183">
        <f t="shared" si="3"/>
        <v>4.4268778637561317</v>
      </c>
      <c r="G109" s="183">
        <f t="shared" si="3"/>
        <v>15.245455220111358</v>
      </c>
      <c r="H109" s="183">
        <f t="shared" si="3"/>
        <v>6.0056168409540396</v>
      </c>
      <c r="I109" s="183">
        <f t="shared" si="3"/>
        <v>1.0875116403894072</v>
      </c>
      <c r="J109" s="183">
        <f t="shared" si="3"/>
        <v>0.23661418370381898</v>
      </c>
      <c r="K109" s="183">
        <f t="shared" si="3"/>
        <v>46.720056632493446</v>
      </c>
      <c r="L109" s="183">
        <f t="shared" si="3"/>
        <v>2.3551734394360282</v>
      </c>
      <c r="M109" s="183">
        <f t="shared" si="3"/>
        <v>8.6544558242581822</v>
      </c>
      <c r="N109" s="183">
        <f t="shared" si="3"/>
        <v>137.46980298398682</v>
      </c>
      <c r="O109" s="183">
        <f t="shared" si="3"/>
        <v>0.16329931618554522</v>
      </c>
      <c r="P109" s="183">
        <f t="shared" si="3"/>
        <v>0.10786560635850398</v>
      </c>
      <c r="Q109" s="183">
        <f t="shared" si="3"/>
        <v>1.6777373547665154E-2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Q9" sqref="Q9:Q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45484.010416666664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45484.010416666664</v>
      </c>
      <c r="B9" s="112">
        <v>9.4</v>
      </c>
      <c r="C9" s="112">
        <v>4.05</v>
      </c>
      <c r="D9" s="112">
        <v>14.1</v>
      </c>
      <c r="E9" s="112">
        <v>10.26</v>
      </c>
      <c r="F9" s="112">
        <v>6.86</v>
      </c>
      <c r="G9" s="112">
        <v>25.12</v>
      </c>
      <c r="H9" s="112">
        <v>8.57</v>
      </c>
      <c r="I9" s="112">
        <v>4.3499999999999996</v>
      </c>
      <c r="J9" s="112">
        <v>0.31</v>
      </c>
      <c r="K9" s="112">
        <v>271.2</v>
      </c>
      <c r="L9" s="112">
        <v>27.74</v>
      </c>
      <c r="M9" s="112">
        <v>88.12</v>
      </c>
      <c r="N9" s="112">
        <v>2.1</v>
      </c>
      <c r="O9" s="112">
        <v>0</v>
      </c>
      <c r="P9" s="112">
        <v>0.35</v>
      </c>
      <c r="Q9" s="112">
        <v>4.63</v>
      </c>
    </row>
    <row r="10" spans="1:21" customFormat="1">
      <c r="A10" s="80">
        <v>45484.020833333336</v>
      </c>
      <c r="B10" s="112">
        <v>9.4</v>
      </c>
      <c r="C10" s="112">
        <v>4.08</v>
      </c>
      <c r="D10" s="112">
        <v>14.12</v>
      </c>
      <c r="E10" s="112">
        <v>10.54</v>
      </c>
      <c r="F10" s="112">
        <v>6.68</v>
      </c>
      <c r="G10" s="112">
        <v>25.12</v>
      </c>
      <c r="H10" s="112">
        <v>8.57</v>
      </c>
      <c r="I10" s="112">
        <v>4.32</v>
      </c>
      <c r="J10" s="112">
        <v>0.28000000000000003</v>
      </c>
      <c r="K10" s="112">
        <v>254.39</v>
      </c>
      <c r="L10" s="112">
        <v>27.6</v>
      </c>
      <c r="M10" s="112">
        <v>89.79</v>
      </c>
      <c r="N10" s="112">
        <v>2.1</v>
      </c>
      <c r="O10" s="112">
        <v>0</v>
      </c>
      <c r="P10" s="112">
        <v>0.34</v>
      </c>
      <c r="Q10" s="112">
        <v>4.63</v>
      </c>
    </row>
    <row r="11" spans="1:21" customFormat="1">
      <c r="A11" s="80">
        <v>45484.03125</v>
      </c>
      <c r="B11" s="112">
        <v>9.41</v>
      </c>
      <c r="C11" s="112">
        <v>4.09</v>
      </c>
      <c r="D11" s="112">
        <v>14.13</v>
      </c>
      <c r="E11" s="112">
        <v>10.63</v>
      </c>
      <c r="F11" s="112">
        <v>6.42</v>
      </c>
      <c r="G11" s="112">
        <v>22.84</v>
      </c>
      <c r="H11" s="112">
        <v>9.73</v>
      </c>
      <c r="I11" s="112">
        <v>4.1900000000000004</v>
      </c>
      <c r="J11" s="112">
        <v>0.13</v>
      </c>
      <c r="K11" s="112">
        <v>211.94</v>
      </c>
      <c r="L11" s="112">
        <v>27.35</v>
      </c>
      <c r="M11" s="112">
        <v>91.42</v>
      </c>
      <c r="N11" s="112">
        <v>2.2000000000000002</v>
      </c>
      <c r="O11" s="112">
        <v>0</v>
      </c>
      <c r="P11" s="112">
        <v>0.34</v>
      </c>
      <c r="Q11" s="112">
        <v>4.63</v>
      </c>
    </row>
    <row r="12" spans="1:21" customFormat="1">
      <c r="A12" s="80">
        <v>45484.041666666664</v>
      </c>
      <c r="B12" s="112">
        <v>9.41</v>
      </c>
      <c r="C12" s="112">
        <v>4.08</v>
      </c>
      <c r="D12" s="112">
        <v>14.13</v>
      </c>
      <c r="E12" s="112">
        <v>10.94</v>
      </c>
      <c r="F12" s="112">
        <v>6.33</v>
      </c>
      <c r="G12" s="112">
        <v>21.1</v>
      </c>
      <c r="H12" s="112">
        <v>10.44</v>
      </c>
      <c r="I12" s="112">
        <v>4.08</v>
      </c>
      <c r="J12" s="112">
        <v>0.24</v>
      </c>
      <c r="K12" s="112">
        <v>266.3</v>
      </c>
      <c r="L12" s="112">
        <v>27.16</v>
      </c>
      <c r="M12" s="112">
        <v>91.91</v>
      </c>
      <c r="N12" s="112">
        <v>2.1</v>
      </c>
      <c r="O12" s="112">
        <v>0</v>
      </c>
      <c r="P12" s="112">
        <v>0.34</v>
      </c>
      <c r="Q12" s="112">
        <v>4.63</v>
      </c>
    </row>
    <row r="13" spans="1:21" customFormat="1">
      <c r="A13" s="80">
        <v>45484.052083333336</v>
      </c>
      <c r="B13" s="112">
        <v>9.42</v>
      </c>
      <c r="C13" s="112">
        <v>4.07</v>
      </c>
      <c r="D13" s="112">
        <v>14.13</v>
      </c>
      <c r="E13" s="112">
        <v>11.18</v>
      </c>
      <c r="F13" s="112">
        <v>5.56</v>
      </c>
      <c r="G13" s="112">
        <v>21.1</v>
      </c>
      <c r="H13" s="112">
        <v>10.44</v>
      </c>
      <c r="I13" s="112">
        <v>4.03</v>
      </c>
      <c r="J13" s="112">
        <v>0.28000000000000003</v>
      </c>
      <c r="K13" s="112">
        <v>247.63</v>
      </c>
      <c r="L13" s="112">
        <v>27.18</v>
      </c>
      <c r="M13" s="112">
        <v>91.26</v>
      </c>
      <c r="N13" s="112">
        <v>2</v>
      </c>
      <c r="O13" s="112">
        <v>0</v>
      </c>
      <c r="P13" s="112">
        <v>0.33</v>
      </c>
      <c r="Q13" s="112">
        <v>4.63</v>
      </c>
    </row>
    <row r="14" spans="1:21" customFormat="1">
      <c r="A14" s="80">
        <v>45484.0625</v>
      </c>
      <c r="B14" s="112">
        <v>9.41</v>
      </c>
      <c r="C14" s="112">
        <v>4.09</v>
      </c>
      <c r="D14" s="112">
        <v>14.13</v>
      </c>
      <c r="E14" s="112">
        <v>10.96</v>
      </c>
      <c r="F14" s="112">
        <v>4.92</v>
      </c>
      <c r="G14" s="112">
        <v>21.1</v>
      </c>
      <c r="H14" s="112">
        <v>10.44</v>
      </c>
      <c r="I14" s="112">
        <v>4.09</v>
      </c>
      <c r="J14" s="112">
        <v>0.27</v>
      </c>
      <c r="K14" s="112">
        <v>262.02</v>
      </c>
      <c r="L14" s="112">
        <v>27.05</v>
      </c>
      <c r="M14" s="112">
        <v>91.45</v>
      </c>
      <c r="N14" s="112">
        <v>2.1</v>
      </c>
      <c r="O14" s="112">
        <v>0</v>
      </c>
      <c r="P14" s="112">
        <v>0.36</v>
      </c>
      <c r="Q14" s="112">
        <v>4.63</v>
      </c>
    </row>
    <row r="15" spans="1:21" customFormat="1">
      <c r="A15" s="80">
        <v>45484.072916666664</v>
      </c>
      <c r="B15" s="112">
        <v>9.39</v>
      </c>
      <c r="C15" s="112">
        <v>4.09</v>
      </c>
      <c r="D15" s="112">
        <v>14.11</v>
      </c>
      <c r="E15" s="112">
        <v>10.87</v>
      </c>
      <c r="F15" s="112">
        <v>8.4700000000000006</v>
      </c>
      <c r="G15" s="112">
        <v>21.99</v>
      </c>
      <c r="H15" s="112">
        <v>8.41</v>
      </c>
      <c r="I15" s="112">
        <v>3.99</v>
      </c>
      <c r="J15" s="112">
        <v>0.26</v>
      </c>
      <c r="K15" s="112">
        <v>265.77</v>
      </c>
      <c r="L15" s="112">
        <v>26.94</v>
      </c>
      <c r="M15" s="112">
        <v>91.2</v>
      </c>
      <c r="N15" s="112">
        <v>2.1</v>
      </c>
      <c r="O15" s="112">
        <v>0</v>
      </c>
      <c r="P15" s="112">
        <v>0.36</v>
      </c>
      <c r="Q15" s="112">
        <v>4.6500000000000004</v>
      </c>
    </row>
    <row r="16" spans="1:21" customFormat="1">
      <c r="A16" s="80">
        <v>45484.083333333336</v>
      </c>
      <c r="B16" s="112">
        <v>9.34</v>
      </c>
      <c r="C16" s="112">
        <v>4.1100000000000003</v>
      </c>
      <c r="D16" s="112">
        <v>14.09</v>
      </c>
      <c r="E16" s="112">
        <v>10.16</v>
      </c>
      <c r="F16" s="112">
        <v>8.81</v>
      </c>
      <c r="G16" s="112">
        <v>22.68</v>
      </c>
      <c r="H16" s="112">
        <v>7.75</v>
      </c>
      <c r="I16" s="112">
        <v>4.03</v>
      </c>
      <c r="J16" s="112">
        <v>0.08</v>
      </c>
      <c r="K16" s="112">
        <v>189.91</v>
      </c>
      <c r="L16" s="112">
        <v>26.82</v>
      </c>
      <c r="M16" s="112">
        <v>92.67</v>
      </c>
      <c r="N16" s="112">
        <v>2.1</v>
      </c>
      <c r="O16" s="112">
        <v>0</v>
      </c>
      <c r="P16" s="112">
        <v>0.36</v>
      </c>
      <c r="Q16" s="112">
        <v>4.6399999999999997</v>
      </c>
    </row>
    <row r="17" spans="1:17" customFormat="1">
      <c r="A17" s="80">
        <v>45484.09375</v>
      </c>
      <c r="B17" s="112">
        <v>9.35</v>
      </c>
      <c r="C17" s="112">
        <v>4.09</v>
      </c>
      <c r="D17" s="112">
        <v>14.09</v>
      </c>
      <c r="E17" s="112">
        <v>7.42</v>
      </c>
      <c r="F17" s="112">
        <v>8.01</v>
      </c>
      <c r="G17" s="112">
        <v>22.68</v>
      </c>
      <c r="H17" s="112">
        <v>7.75</v>
      </c>
      <c r="I17" s="112">
        <v>3.67</v>
      </c>
      <c r="J17" s="112">
        <v>0.12</v>
      </c>
      <c r="K17" s="112">
        <v>235.79</v>
      </c>
      <c r="L17" s="112">
        <v>26.6</v>
      </c>
      <c r="M17" s="112">
        <v>94.69</v>
      </c>
      <c r="N17" s="112">
        <v>2.1</v>
      </c>
      <c r="O17" s="112">
        <v>0</v>
      </c>
      <c r="P17" s="112">
        <v>0.36</v>
      </c>
      <c r="Q17" s="112">
        <v>4.6500000000000004</v>
      </c>
    </row>
    <row r="18" spans="1:17" customFormat="1">
      <c r="A18" s="80">
        <v>45484.104166666664</v>
      </c>
      <c r="B18" s="112">
        <v>9.36</v>
      </c>
      <c r="C18" s="112">
        <v>4.09</v>
      </c>
      <c r="D18" s="112">
        <v>14.09</v>
      </c>
      <c r="E18" s="112">
        <v>8.2899999999999991</v>
      </c>
      <c r="F18" s="112">
        <v>8.3800000000000008</v>
      </c>
      <c r="G18" s="112">
        <v>22.68</v>
      </c>
      <c r="H18" s="112">
        <v>7.75</v>
      </c>
      <c r="I18" s="112">
        <v>3.66</v>
      </c>
      <c r="J18" s="112">
        <v>0.28000000000000003</v>
      </c>
      <c r="K18" s="112">
        <v>260.11</v>
      </c>
      <c r="L18" s="112">
        <v>26.58</v>
      </c>
      <c r="M18" s="112">
        <v>93.47</v>
      </c>
      <c r="N18" s="112">
        <v>1.8</v>
      </c>
      <c r="O18" s="112">
        <v>0</v>
      </c>
      <c r="P18" s="112">
        <v>0.35</v>
      </c>
      <c r="Q18" s="112">
        <v>4.6399999999999997</v>
      </c>
    </row>
    <row r="19" spans="1:17" customFormat="1">
      <c r="A19" s="80">
        <v>45484.114583333336</v>
      </c>
      <c r="B19" s="112">
        <v>9.3699999999999992</v>
      </c>
      <c r="C19" s="112">
        <v>4.0599999999999996</v>
      </c>
      <c r="D19" s="112">
        <v>14.08</v>
      </c>
      <c r="E19" s="112">
        <v>8.42</v>
      </c>
      <c r="F19" s="112">
        <v>10.3</v>
      </c>
      <c r="G19" s="112">
        <v>20.99</v>
      </c>
      <c r="H19" s="112">
        <v>7.34</v>
      </c>
      <c r="I19" s="112">
        <v>3.62</v>
      </c>
      <c r="J19" s="112">
        <v>0.22</v>
      </c>
      <c r="K19" s="112">
        <v>256.07</v>
      </c>
      <c r="L19" s="112">
        <v>26.61</v>
      </c>
      <c r="M19" s="112">
        <v>93.75</v>
      </c>
      <c r="N19" s="112">
        <v>2</v>
      </c>
      <c r="O19" s="112">
        <v>0</v>
      </c>
      <c r="P19" s="112">
        <v>0.34</v>
      </c>
      <c r="Q19" s="112">
        <v>4.63</v>
      </c>
    </row>
    <row r="20" spans="1:17" customFormat="1">
      <c r="A20" s="80">
        <v>45484.125</v>
      </c>
      <c r="B20" s="112">
        <v>9.3699999999999992</v>
      </c>
      <c r="C20" s="112">
        <v>4.08</v>
      </c>
      <c r="D20" s="112">
        <v>14.09</v>
      </c>
      <c r="E20" s="112">
        <v>7.87</v>
      </c>
      <c r="F20" s="112">
        <v>9.8000000000000007</v>
      </c>
      <c r="G20" s="112">
        <v>19.63</v>
      </c>
      <c r="H20" s="112">
        <v>7.2</v>
      </c>
      <c r="I20" s="112">
        <v>3.73</v>
      </c>
      <c r="J20" s="112">
        <v>0.11</v>
      </c>
      <c r="K20" s="112">
        <v>203.65</v>
      </c>
      <c r="L20" s="112">
        <v>26.5</v>
      </c>
      <c r="M20" s="112">
        <v>94.63</v>
      </c>
      <c r="N20" s="112">
        <v>2.1</v>
      </c>
      <c r="O20" s="112">
        <v>0</v>
      </c>
      <c r="P20" s="112">
        <v>0.34</v>
      </c>
      <c r="Q20" s="112">
        <v>4.63</v>
      </c>
    </row>
    <row r="21" spans="1:17" customFormat="1">
      <c r="A21" s="80">
        <v>45484.135416666664</v>
      </c>
      <c r="B21" s="112">
        <v>9.36</v>
      </c>
      <c r="C21" s="112">
        <v>4.08</v>
      </c>
      <c r="D21" s="112">
        <v>14.09</v>
      </c>
      <c r="E21" s="112">
        <v>8.14</v>
      </c>
      <c r="F21" s="112">
        <v>9.19</v>
      </c>
      <c r="G21" s="112">
        <v>19.63</v>
      </c>
      <c r="H21" s="112">
        <v>7.2</v>
      </c>
      <c r="I21" s="112">
        <v>3.5</v>
      </c>
      <c r="J21" s="112">
        <v>0.13</v>
      </c>
      <c r="K21" s="112">
        <v>206.1</v>
      </c>
      <c r="L21" s="112">
        <v>26.36</v>
      </c>
      <c r="M21" s="112">
        <v>95.64</v>
      </c>
      <c r="N21" s="112">
        <v>2.1</v>
      </c>
      <c r="O21" s="112">
        <v>0</v>
      </c>
      <c r="P21" s="112">
        <v>0.34</v>
      </c>
      <c r="Q21" s="112">
        <v>4.63</v>
      </c>
    </row>
    <row r="22" spans="1:17" customFormat="1">
      <c r="A22" s="80">
        <v>45484.145833333336</v>
      </c>
      <c r="B22" s="112">
        <v>9.33</v>
      </c>
      <c r="C22" s="112">
        <v>4.12</v>
      </c>
      <c r="D22" s="112">
        <v>14.08</v>
      </c>
      <c r="E22" s="112">
        <v>8.0399999999999991</v>
      </c>
      <c r="F22" s="112">
        <v>8.92</v>
      </c>
      <c r="G22" s="112">
        <v>19.63</v>
      </c>
      <c r="H22" s="112">
        <v>7.2</v>
      </c>
      <c r="I22" s="112">
        <v>3.43</v>
      </c>
      <c r="J22" s="112">
        <v>0.21</v>
      </c>
      <c r="K22" s="112">
        <v>255.47</v>
      </c>
      <c r="L22" s="112">
        <v>26.34</v>
      </c>
      <c r="M22" s="112">
        <v>96.09</v>
      </c>
      <c r="N22" s="112">
        <v>1.9</v>
      </c>
      <c r="O22" s="112">
        <v>0</v>
      </c>
      <c r="P22" s="112">
        <v>0.33</v>
      </c>
      <c r="Q22" s="112">
        <v>4.6399999999999997</v>
      </c>
    </row>
    <row r="23" spans="1:17" customFormat="1">
      <c r="A23" s="80">
        <v>45484.15625</v>
      </c>
      <c r="B23" s="112">
        <v>9.35</v>
      </c>
      <c r="C23" s="112">
        <v>4.08</v>
      </c>
      <c r="D23" s="112">
        <v>14.08</v>
      </c>
      <c r="E23" s="112">
        <v>7.64</v>
      </c>
      <c r="F23" s="112">
        <v>10.06</v>
      </c>
      <c r="G23" s="112">
        <v>18.690000000000001</v>
      </c>
      <c r="H23" s="112">
        <v>5.6</v>
      </c>
      <c r="I23" s="112">
        <v>3.57</v>
      </c>
      <c r="J23" s="112">
        <v>0.24</v>
      </c>
      <c r="K23" s="112">
        <v>268.11</v>
      </c>
      <c r="L23" s="112">
        <v>26.3</v>
      </c>
      <c r="M23" s="112">
        <v>95.62</v>
      </c>
      <c r="N23" s="112">
        <v>2</v>
      </c>
      <c r="O23" s="112">
        <v>0</v>
      </c>
      <c r="P23" s="112">
        <v>0.33</v>
      </c>
      <c r="Q23" s="112">
        <v>4.63</v>
      </c>
    </row>
    <row r="24" spans="1:17" customFormat="1">
      <c r="A24" s="80">
        <v>45484.166666666664</v>
      </c>
      <c r="B24" s="112">
        <v>9.35</v>
      </c>
      <c r="C24" s="112">
        <v>4.08</v>
      </c>
      <c r="D24" s="112">
        <v>14.08</v>
      </c>
      <c r="E24" s="112">
        <v>8.32</v>
      </c>
      <c r="F24" s="112">
        <v>7.67</v>
      </c>
      <c r="G24" s="112">
        <v>17.96</v>
      </c>
      <c r="H24" s="112">
        <v>5.09</v>
      </c>
      <c r="I24" s="112">
        <v>3.69</v>
      </c>
      <c r="J24" s="112">
        <v>0.28999999999999998</v>
      </c>
      <c r="K24" s="112">
        <v>262.82</v>
      </c>
      <c r="L24" s="112">
        <v>26.35</v>
      </c>
      <c r="M24" s="112">
        <v>93.99</v>
      </c>
      <c r="N24" s="112">
        <v>1.8</v>
      </c>
      <c r="O24" s="112">
        <v>0</v>
      </c>
      <c r="P24" s="112">
        <v>0.33</v>
      </c>
      <c r="Q24" s="112">
        <v>4.6399999999999997</v>
      </c>
    </row>
    <row r="25" spans="1:17" customFormat="1">
      <c r="A25" s="80">
        <v>45484.177083333336</v>
      </c>
      <c r="B25" s="112">
        <v>9.36</v>
      </c>
      <c r="C25" s="112">
        <v>4.05</v>
      </c>
      <c r="D25" s="112">
        <v>14.07</v>
      </c>
      <c r="E25" s="112">
        <v>7.77</v>
      </c>
      <c r="F25" s="112">
        <v>9.17</v>
      </c>
      <c r="G25" s="112">
        <v>17.96</v>
      </c>
      <c r="H25" s="112">
        <v>5.09</v>
      </c>
      <c r="I25" s="112">
        <v>3.55</v>
      </c>
      <c r="J25" s="112">
        <v>0.17</v>
      </c>
      <c r="K25" s="112">
        <v>255.36</v>
      </c>
      <c r="L25" s="112">
        <v>26.3</v>
      </c>
      <c r="M25" s="112">
        <v>95.06</v>
      </c>
      <c r="N25" s="112">
        <v>2.1</v>
      </c>
      <c r="O25" s="112">
        <v>0</v>
      </c>
      <c r="P25" s="112">
        <v>0.32</v>
      </c>
      <c r="Q25" s="112">
        <v>4.63</v>
      </c>
    </row>
    <row r="26" spans="1:17" customFormat="1">
      <c r="A26" s="80">
        <v>45484.1875</v>
      </c>
      <c r="B26" s="112">
        <v>9.36</v>
      </c>
      <c r="C26" s="112">
        <v>4.0599999999999996</v>
      </c>
      <c r="D26" s="112">
        <v>14.08</v>
      </c>
      <c r="E26" s="112">
        <v>7.35</v>
      </c>
      <c r="F26" s="112">
        <v>8.8000000000000007</v>
      </c>
      <c r="G26" s="112">
        <v>17.96</v>
      </c>
      <c r="H26" s="112">
        <v>5.09</v>
      </c>
      <c r="I26" s="112">
        <v>3.75</v>
      </c>
      <c r="J26" s="112">
        <v>0.22</v>
      </c>
      <c r="K26" s="112">
        <v>245.91</v>
      </c>
      <c r="L26" s="112">
        <v>26.47</v>
      </c>
      <c r="M26" s="112">
        <v>94.29</v>
      </c>
      <c r="N26" s="112">
        <v>1.9</v>
      </c>
      <c r="O26" s="112">
        <v>0</v>
      </c>
      <c r="P26" s="112">
        <v>0.32</v>
      </c>
      <c r="Q26" s="112">
        <v>4.6399999999999997</v>
      </c>
    </row>
    <row r="27" spans="1:17" customFormat="1">
      <c r="A27" s="80">
        <v>45484.197916666664</v>
      </c>
      <c r="B27" s="112">
        <v>9.36</v>
      </c>
      <c r="C27" s="112">
        <v>4.0599999999999996</v>
      </c>
      <c r="D27" s="112">
        <v>14.08</v>
      </c>
      <c r="E27" s="112">
        <v>7.54</v>
      </c>
      <c r="F27" s="112">
        <v>11.36</v>
      </c>
      <c r="G27" s="112">
        <v>18.71</v>
      </c>
      <c r="H27" s="112">
        <v>5.94</v>
      </c>
      <c r="I27" s="112">
        <v>3.4</v>
      </c>
      <c r="J27" s="112">
        <v>0.17</v>
      </c>
      <c r="K27" s="112">
        <v>242.5</v>
      </c>
      <c r="L27" s="112">
        <v>26.37</v>
      </c>
      <c r="M27" s="112">
        <v>94.56</v>
      </c>
      <c r="N27" s="112">
        <v>2.1</v>
      </c>
      <c r="O27" s="112">
        <v>0</v>
      </c>
      <c r="P27" s="112">
        <v>0.32</v>
      </c>
      <c r="Q27" s="112">
        <v>4.6399999999999997</v>
      </c>
    </row>
    <row r="28" spans="1:17" customFormat="1">
      <c r="A28" s="80">
        <v>45484.208333333336</v>
      </c>
      <c r="B28" s="112">
        <v>9.36</v>
      </c>
      <c r="C28" s="112">
        <v>4.0599999999999996</v>
      </c>
      <c r="D28" s="112">
        <v>14.08</v>
      </c>
      <c r="E28" s="112">
        <v>7.69</v>
      </c>
      <c r="F28" s="112">
        <v>9.41</v>
      </c>
      <c r="G28" s="112">
        <v>19.28</v>
      </c>
      <c r="H28" s="112">
        <v>6.22</v>
      </c>
      <c r="I28" s="112">
        <v>3.58</v>
      </c>
      <c r="J28" s="112">
        <v>0.13</v>
      </c>
      <c r="K28" s="112">
        <v>233.86</v>
      </c>
      <c r="L28" s="112">
        <v>26.26</v>
      </c>
      <c r="M28" s="112">
        <v>95.41</v>
      </c>
      <c r="N28" s="112">
        <v>2.1</v>
      </c>
      <c r="O28" s="112">
        <v>0</v>
      </c>
      <c r="P28" s="112">
        <v>0.32</v>
      </c>
      <c r="Q28" s="112">
        <v>4.6500000000000004</v>
      </c>
    </row>
    <row r="29" spans="1:17" customFormat="1">
      <c r="A29" s="80">
        <v>45484.21875</v>
      </c>
      <c r="B29" s="112">
        <v>9.36</v>
      </c>
      <c r="C29" s="112">
        <v>4.07</v>
      </c>
      <c r="D29" s="112">
        <v>14.08</v>
      </c>
      <c r="E29" s="112">
        <v>7.25</v>
      </c>
      <c r="F29" s="112">
        <v>9.06</v>
      </c>
      <c r="G29" s="112">
        <v>19.28</v>
      </c>
      <c r="H29" s="112">
        <v>6.22</v>
      </c>
      <c r="I29" s="112">
        <v>3.26</v>
      </c>
      <c r="J29" s="112">
        <v>0.15</v>
      </c>
      <c r="K29" s="112">
        <v>241.45</v>
      </c>
      <c r="L29" s="112">
        <v>26.23</v>
      </c>
      <c r="M29" s="112">
        <v>95.93</v>
      </c>
      <c r="N29" s="112">
        <v>2.8</v>
      </c>
      <c r="O29" s="112">
        <v>0</v>
      </c>
      <c r="P29" s="112">
        <v>0.31</v>
      </c>
      <c r="Q29" s="112">
        <v>4.66</v>
      </c>
    </row>
    <row r="30" spans="1:17" customFormat="1">
      <c r="A30" s="80">
        <v>45484.229166666664</v>
      </c>
      <c r="B30" s="112">
        <v>9.35</v>
      </c>
      <c r="C30" s="112">
        <v>4.09</v>
      </c>
      <c r="D30" s="112">
        <v>14.08</v>
      </c>
      <c r="E30" s="112">
        <v>7.85</v>
      </c>
      <c r="F30" s="112">
        <v>7.77</v>
      </c>
      <c r="G30" s="112">
        <v>19.28</v>
      </c>
      <c r="H30" s="112">
        <v>6.22</v>
      </c>
      <c r="I30" s="112">
        <v>3.35</v>
      </c>
      <c r="J30" s="112">
        <v>0.16</v>
      </c>
      <c r="K30" s="112">
        <v>235.82</v>
      </c>
      <c r="L30" s="112">
        <v>26.29</v>
      </c>
      <c r="M30" s="112">
        <v>96.15</v>
      </c>
      <c r="N30" s="112">
        <v>6.8</v>
      </c>
      <c r="O30" s="112">
        <v>0</v>
      </c>
      <c r="P30" s="112">
        <v>0.32</v>
      </c>
      <c r="Q30" s="112">
        <v>4.6500000000000004</v>
      </c>
    </row>
    <row r="31" spans="1:17" customFormat="1">
      <c r="A31" s="80">
        <v>45484.239583333336</v>
      </c>
      <c r="B31" s="112">
        <v>9.36</v>
      </c>
      <c r="C31" s="112">
        <v>4.0999999999999996</v>
      </c>
      <c r="D31" s="112">
        <v>14.1</v>
      </c>
      <c r="E31" s="112">
        <v>6.74</v>
      </c>
      <c r="F31" s="112">
        <v>9.93</v>
      </c>
      <c r="G31" s="112">
        <v>21.79</v>
      </c>
      <c r="H31" s="112">
        <v>7.65</v>
      </c>
      <c r="I31" s="112">
        <v>3.38</v>
      </c>
      <c r="J31" s="112">
        <v>0.13</v>
      </c>
      <c r="K31" s="112">
        <v>238.89</v>
      </c>
      <c r="L31" s="112">
        <v>26.3</v>
      </c>
      <c r="M31" s="112">
        <v>96.45</v>
      </c>
      <c r="N31" s="112">
        <v>15.3</v>
      </c>
      <c r="O31" s="112">
        <v>0</v>
      </c>
      <c r="P31" s="112">
        <v>0.31</v>
      </c>
      <c r="Q31" s="112">
        <v>4.63</v>
      </c>
    </row>
    <row r="32" spans="1:17" customFormat="1">
      <c r="A32" s="80">
        <v>45484.25</v>
      </c>
      <c r="B32" s="112">
        <v>9.3699999999999992</v>
      </c>
      <c r="C32" s="112">
        <v>4.08</v>
      </c>
      <c r="D32" s="112">
        <v>14.09</v>
      </c>
      <c r="E32" s="112">
        <v>7.73</v>
      </c>
      <c r="F32" s="112">
        <v>7.36</v>
      </c>
      <c r="G32" s="112">
        <v>23.7</v>
      </c>
      <c r="H32" s="112">
        <v>8.11</v>
      </c>
      <c r="I32" s="112">
        <v>3.42</v>
      </c>
      <c r="J32" s="112">
        <v>0.23</v>
      </c>
      <c r="K32" s="112">
        <v>249.69</v>
      </c>
      <c r="L32" s="112">
        <v>26.44</v>
      </c>
      <c r="M32" s="112">
        <v>95.3</v>
      </c>
      <c r="N32" s="112">
        <v>26.2</v>
      </c>
      <c r="O32" s="112">
        <v>0</v>
      </c>
      <c r="P32" s="112">
        <v>0.31</v>
      </c>
      <c r="Q32" s="112">
        <v>4.6399999999999997</v>
      </c>
    </row>
    <row r="33" spans="1:17" customFormat="1">
      <c r="A33" s="80">
        <v>45484.260416666664</v>
      </c>
      <c r="B33" s="112">
        <v>9.3699999999999992</v>
      </c>
      <c r="C33" s="112">
        <v>4.0599999999999996</v>
      </c>
      <c r="D33" s="112">
        <v>14.09</v>
      </c>
      <c r="E33" s="112">
        <v>7.82</v>
      </c>
      <c r="F33" s="112">
        <v>7.03</v>
      </c>
      <c r="G33" s="112">
        <v>23.7</v>
      </c>
      <c r="H33" s="112">
        <v>8.11</v>
      </c>
      <c r="I33" s="112">
        <v>3.38</v>
      </c>
      <c r="J33" s="112">
        <v>0.31</v>
      </c>
      <c r="K33" s="112">
        <v>265.73</v>
      </c>
      <c r="L33" s="112">
        <v>26.58</v>
      </c>
      <c r="M33" s="112">
        <v>94.8</v>
      </c>
      <c r="N33" s="112">
        <v>36.4</v>
      </c>
      <c r="O33" s="112">
        <v>0</v>
      </c>
      <c r="P33" s="112">
        <v>0.28000000000000003</v>
      </c>
      <c r="Q33" s="112">
        <v>4.6500000000000004</v>
      </c>
    </row>
    <row r="34" spans="1:17" customFormat="1">
      <c r="A34" s="80">
        <v>45484.270833333336</v>
      </c>
      <c r="B34" s="112">
        <v>9.3699999999999992</v>
      </c>
      <c r="C34" s="112">
        <v>4.07</v>
      </c>
      <c r="D34" s="112">
        <v>14.09</v>
      </c>
      <c r="E34" s="112">
        <v>8.18</v>
      </c>
      <c r="F34" s="112">
        <v>6.97</v>
      </c>
      <c r="G34" s="112">
        <v>23.7</v>
      </c>
      <c r="H34" s="112">
        <v>8.11</v>
      </c>
      <c r="I34" s="112">
        <v>3.57</v>
      </c>
      <c r="J34" s="112">
        <v>0.28000000000000003</v>
      </c>
      <c r="K34" s="112">
        <v>250.71</v>
      </c>
      <c r="L34" s="112">
        <v>26.88</v>
      </c>
      <c r="M34" s="112">
        <v>93.82</v>
      </c>
      <c r="N34" s="112">
        <v>56.4</v>
      </c>
      <c r="O34" s="112">
        <v>0</v>
      </c>
      <c r="P34" s="112">
        <v>0.27</v>
      </c>
      <c r="Q34" s="112">
        <v>4.6500000000000004</v>
      </c>
    </row>
    <row r="35" spans="1:17" customFormat="1">
      <c r="A35" s="80">
        <v>45484.28125</v>
      </c>
      <c r="B35" s="112">
        <v>9.3800000000000008</v>
      </c>
      <c r="C35" s="112">
        <v>4.0599999999999996</v>
      </c>
      <c r="D35" s="112">
        <v>14.09</v>
      </c>
      <c r="E35" s="112">
        <v>8.4700000000000006</v>
      </c>
      <c r="F35" s="112">
        <v>7.72</v>
      </c>
      <c r="G35" s="112">
        <v>23.29</v>
      </c>
      <c r="H35" s="112">
        <v>9.52</v>
      </c>
      <c r="I35" s="112">
        <v>3.58</v>
      </c>
      <c r="J35" s="112">
        <v>0.38</v>
      </c>
      <c r="K35" s="112">
        <v>275.08999999999997</v>
      </c>
      <c r="L35" s="112">
        <v>27.04</v>
      </c>
      <c r="M35" s="112">
        <v>93.38</v>
      </c>
      <c r="N35" s="112">
        <v>57.4</v>
      </c>
      <c r="O35" s="112">
        <v>0</v>
      </c>
      <c r="P35" s="112">
        <v>0.28000000000000003</v>
      </c>
      <c r="Q35" s="112">
        <v>4.63</v>
      </c>
    </row>
    <row r="36" spans="1:17" customFormat="1">
      <c r="A36" s="80">
        <v>45484.291666666664</v>
      </c>
      <c r="B36" s="112">
        <v>9.3800000000000008</v>
      </c>
      <c r="C36" s="112">
        <v>4.07</v>
      </c>
      <c r="D36" s="112">
        <v>14.1</v>
      </c>
      <c r="E36" s="112">
        <v>8.18</v>
      </c>
      <c r="F36" s="112">
        <v>6.56</v>
      </c>
      <c r="G36" s="112">
        <v>22.97</v>
      </c>
      <c r="H36" s="112">
        <v>10.39</v>
      </c>
      <c r="I36" s="112">
        <v>3.59</v>
      </c>
      <c r="J36" s="112">
        <v>0.34</v>
      </c>
      <c r="K36" s="112">
        <v>260.56</v>
      </c>
      <c r="L36" s="112">
        <v>27.25</v>
      </c>
      <c r="M36" s="112">
        <v>91.56</v>
      </c>
      <c r="N36" s="112">
        <v>77.5</v>
      </c>
      <c r="O36" s="112">
        <v>0</v>
      </c>
      <c r="P36" s="112">
        <v>0.26</v>
      </c>
      <c r="Q36" s="112">
        <v>4.63</v>
      </c>
    </row>
    <row r="37" spans="1:17" customFormat="1">
      <c r="A37" s="80">
        <v>45484.302083333336</v>
      </c>
      <c r="B37" s="112">
        <v>9.3800000000000008</v>
      </c>
      <c r="C37" s="112">
        <v>4.08</v>
      </c>
      <c r="D37" s="112">
        <v>14.1</v>
      </c>
      <c r="E37" s="112">
        <v>8.58</v>
      </c>
      <c r="F37" s="112">
        <v>6.05</v>
      </c>
      <c r="G37" s="112">
        <v>22.97</v>
      </c>
      <c r="H37" s="112">
        <v>10.39</v>
      </c>
      <c r="I37" s="112">
        <v>3.54</v>
      </c>
      <c r="J37" s="112">
        <v>0.49</v>
      </c>
      <c r="K37" s="112">
        <v>259.99</v>
      </c>
      <c r="L37" s="112">
        <v>27.58</v>
      </c>
      <c r="M37" s="112">
        <v>89.66</v>
      </c>
      <c r="N37" s="112">
        <v>98.1</v>
      </c>
      <c r="O37" s="112">
        <v>0</v>
      </c>
      <c r="P37" s="112">
        <v>0.27</v>
      </c>
      <c r="Q37" s="112">
        <v>4.6399999999999997</v>
      </c>
    </row>
    <row r="38" spans="1:17" customFormat="1">
      <c r="A38" s="80">
        <v>45484.3125</v>
      </c>
      <c r="B38" s="112">
        <v>9.3699999999999992</v>
      </c>
      <c r="C38" s="112">
        <v>4.0599999999999996</v>
      </c>
      <c r="D38" s="112">
        <v>14.08</v>
      </c>
      <c r="E38" s="112">
        <v>8.73</v>
      </c>
      <c r="F38" s="112">
        <v>6</v>
      </c>
      <c r="G38" s="112">
        <v>22.97</v>
      </c>
      <c r="H38" s="112">
        <v>10.39</v>
      </c>
      <c r="I38" s="112">
        <v>3.55</v>
      </c>
      <c r="J38" s="112">
        <v>0.49</v>
      </c>
      <c r="K38" s="112">
        <v>267.45</v>
      </c>
      <c r="L38" s="112">
        <v>27.72</v>
      </c>
      <c r="M38" s="112">
        <v>88.83</v>
      </c>
      <c r="N38" s="112">
        <v>82.2</v>
      </c>
      <c r="O38" s="112">
        <v>0</v>
      </c>
      <c r="P38" s="112">
        <v>0.26</v>
      </c>
      <c r="Q38" s="112">
        <v>4.6500000000000004</v>
      </c>
    </row>
    <row r="39" spans="1:17" customFormat="1">
      <c r="A39" s="80">
        <v>45484.322916666664</v>
      </c>
      <c r="B39" s="112">
        <v>9.3699999999999992</v>
      </c>
      <c r="C39" s="112">
        <v>4.07</v>
      </c>
      <c r="D39" s="112">
        <v>14.09</v>
      </c>
      <c r="E39" s="112">
        <v>8.51</v>
      </c>
      <c r="F39" s="112">
        <v>6.62</v>
      </c>
      <c r="G39" s="112">
        <v>21.11</v>
      </c>
      <c r="H39" s="112">
        <v>8.2200000000000006</v>
      </c>
      <c r="I39" s="112">
        <v>3.57</v>
      </c>
      <c r="J39" s="112">
        <v>0.41</v>
      </c>
      <c r="K39" s="112">
        <v>260.61</v>
      </c>
      <c r="L39" s="112">
        <v>27.77</v>
      </c>
      <c r="M39" s="112">
        <v>88.82</v>
      </c>
      <c r="N39" s="112">
        <v>106.3</v>
      </c>
      <c r="O39" s="112">
        <v>0</v>
      </c>
      <c r="P39" s="112">
        <v>0.27</v>
      </c>
      <c r="Q39" s="112">
        <v>4.6399999999999997</v>
      </c>
    </row>
    <row r="40" spans="1:17" customFormat="1">
      <c r="A40" s="80">
        <v>45484.333333333336</v>
      </c>
      <c r="B40" s="112">
        <v>9.36</v>
      </c>
      <c r="C40" s="112">
        <v>4.09</v>
      </c>
      <c r="D40" s="112">
        <v>14.09</v>
      </c>
      <c r="E40" s="112">
        <v>8.98</v>
      </c>
      <c r="F40" s="112">
        <v>5.28</v>
      </c>
      <c r="G40" s="112">
        <v>19.68</v>
      </c>
      <c r="H40" s="112">
        <v>7.51</v>
      </c>
      <c r="I40" s="112">
        <v>3.52</v>
      </c>
      <c r="J40" s="112">
        <v>0.46</v>
      </c>
      <c r="K40" s="112">
        <v>253.33</v>
      </c>
      <c r="L40" s="112">
        <v>28.01</v>
      </c>
      <c r="M40" s="112">
        <v>87.85</v>
      </c>
      <c r="N40" s="112">
        <v>121.6</v>
      </c>
      <c r="O40" s="112">
        <v>0</v>
      </c>
      <c r="P40" s="112">
        <v>0.27</v>
      </c>
      <c r="Q40" s="112">
        <v>4.6399999999999997</v>
      </c>
    </row>
    <row r="41" spans="1:17" customFormat="1">
      <c r="A41" s="80">
        <v>45484.34375</v>
      </c>
      <c r="B41" s="112">
        <v>9.35</v>
      </c>
      <c r="C41" s="112">
        <v>4.07</v>
      </c>
      <c r="D41" s="112">
        <v>14.08</v>
      </c>
      <c r="E41" s="112">
        <v>9.02</v>
      </c>
      <c r="F41" s="112">
        <v>5.59</v>
      </c>
      <c r="G41" s="112">
        <v>19.68</v>
      </c>
      <c r="H41" s="112">
        <v>7.51</v>
      </c>
      <c r="I41" s="112">
        <v>3.49</v>
      </c>
      <c r="J41" s="112">
        <v>0.48</v>
      </c>
      <c r="K41" s="112">
        <v>256.25</v>
      </c>
      <c r="L41" s="112">
        <v>28.16</v>
      </c>
      <c r="M41" s="112">
        <v>87.66</v>
      </c>
      <c r="N41" s="112">
        <v>151.30000000000001</v>
      </c>
      <c r="O41" s="112">
        <v>0</v>
      </c>
      <c r="P41" s="112">
        <v>0.27</v>
      </c>
      <c r="Q41" s="112">
        <v>4.6500000000000004</v>
      </c>
    </row>
    <row r="42" spans="1:17" customFormat="1">
      <c r="A42" s="80">
        <v>45484.354166666664</v>
      </c>
      <c r="B42" s="112">
        <v>9.35</v>
      </c>
      <c r="C42" s="112">
        <v>4.0999999999999996</v>
      </c>
      <c r="D42" s="112">
        <v>14.09</v>
      </c>
      <c r="E42" s="112">
        <v>8.8699999999999992</v>
      </c>
      <c r="F42" s="112">
        <v>5</v>
      </c>
      <c r="G42" s="112">
        <v>19.68</v>
      </c>
      <c r="H42" s="112">
        <v>7.51</v>
      </c>
      <c r="I42" s="112">
        <v>3.48</v>
      </c>
      <c r="J42" s="112">
        <v>0.56000000000000005</v>
      </c>
      <c r="K42" s="112">
        <v>260.39</v>
      </c>
      <c r="L42" s="112">
        <v>28.47</v>
      </c>
      <c r="M42" s="112">
        <v>86.57</v>
      </c>
      <c r="N42" s="112">
        <v>147.69999999999999</v>
      </c>
      <c r="O42" s="112">
        <v>0</v>
      </c>
      <c r="P42" s="112">
        <v>0.27</v>
      </c>
      <c r="Q42" s="112">
        <v>4.6399999999999997</v>
      </c>
    </row>
    <row r="43" spans="1:17" customFormat="1">
      <c r="A43" s="80">
        <v>45484.364583333336</v>
      </c>
      <c r="B43" s="112">
        <v>9.36</v>
      </c>
      <c r="C43" s="112">
        <v>4.09</v>
      </c>
      <c r="D43" s="112">
        <v>14.09</v>
      </c>
      <c r="E43" s="112">
        <v>9.15</v>
      </c>
      <c r="F43" s="112">
        <v>4.8</v>
      </c>
      <c r="G43" s="112">
        <v>16.62</v>
      </c>
      <c r="H43" s="112">
        <v>9.76</v>
      </c>
      <c r="I43" s="112">
        <v>3.43</v>
      </c>
      <c r="J43" s="112">
        <v>0.52</v>
      </c>
      <c r="K43" s="112">
        <v>263.68</v>
      </c>
      <c r="L43" s="112">
        <v>28.59</v>
      </c>
      <c r="M43" s="112">
        <v>86.33</v>
      </c>
      <c r="N43" s="112">
        <v>182.3</v>
      </c>
      <c r="O43" s="112">
        <v>0</v>
      </c>
      <c r="P43" s="112">
        <v>0.27</v>
      </c>
      <c r="Q43" s="112">
        <v>4.6399999999999997</v>
      </c>
    </row>
    <row r="44" spans="1:17" customFormat="1">
      <c r="A44" s="80">
        <v>45484.375</v>
      </c>
      <c r="B44" s="112">
        <v>9.3699999999999992</v>
      </c>
      <c r="C44" s="112">
        <v>4.08</v>
      </c>
      <c r="D44" s="112">
        <v>14.1</v>
      </c>
      <c r="E44" s="112">
        <v>9.6300000000000008</v>
      </c>
      <c r="F44" s="112">
        <v>4.59</v>
      </c>
      <c r="G44" s="112">
        <v>14.28</v>
      </c>
      <c r="H44" s="112">
        <v>10.48</v>
      </c>
      <c r="I44" s="112">
        <v>3.43</v>
      </c>
      <c r="J44" s="112">
        <v>0.52</v>
      </c>
      <c r="K44" s="112">
        <v>263.04000000000002</v>
      </c>
      <c r="L44" s="112">
        <v>28.82</v>
      </c>
      <c r="M44" s="112">
        <v>85.35</v>
      </c>
      <c r="N44" s="112">
        <v>170.8</v>
      </c>
      <c r="O44" s="112">
        <v>0</v>
      </c>
      <c r="P44" s="112">
        <v>0.26</v>
      </c>
      <c r="Q44" s="112">
        <v>4.63</v>
      </c>
    </row>
    <row r="45" spans="1:17" customFormat="1">
      <c r="A45" s="80">
        <v>45484.385416666664</v>
      </c>
      <c r="B45" s="112">
        <v>9.36</v>
      </c>
      <c r="C45" s="112">
        <v>4.09</v>
      </c>
      <c r="D45" s="112">
        <v>14.1</v>
      </c>
      <c r="E45" s="112">
        <v>9.6999999999999993</v>
      </c>
      <c r="F45" s="112">
        <v>5.28</v>
      </c>
      <c r="G45" s="112">
        <v>14.28</v>
      </c>
      <c r="H45" s="112">
        <v>10.48</v>
      </c>
      <c r="I45" s="112">
        <v>3.33</v>
      </c>
      <c r="J45" s="112">
        <v>0.62</v>
      </c>
      <c r="K45" s="112">
        <v>262.07</v>
      </c>
      <c r="L45" s="112">
        <v>28.92</v>
      </c>
      <c r="M45" s="112">
        <v>85.35</v>
      </c>
      <c r="N45" s="112">
        <v>199.3</v>
      </c>
      <c r="O45" s="112">
        <v>0</v>
      </c>
      <c r="P45" s="112">
        <v>0.27</v>
      </c>
      <c r="Q45" s="112">
        <v>4.62</v>
      </c>
    </row>
    <row r="46" spans="1:17" customFormat="1">
      <c r="A46" s="80">
        <v>45484.395833333336</v>
      </c>
      <c r="B46" s="112">
        <v>9.3699999999999992</v>
      </c>
      <c r="C46" s="112">
        <v>4.08</v>
      </c>
      <c r="D46" s="112">
        <v>14.09</v>
      </c>
      <c r="E46" s="112">
        <v>9.76</v>
      </c>
      <c r="F46" s="112">
        <v>5.62</v>
      </c>
      <c r="G46" s="112">
        <v>14.28</v>
      </c>
      <c r="H46" s="112">
        <v>10.48</v>
      </c>
      <c r="I46" s="112">
        <v>3.37</v>
      </c>
      <c r="J46" s="112">
        <v>0.62</v>
      </c>
      <c r="K46" s="112">
        <v>272.26</v>
      </c>
      <c r="L46" s="112">
        <v>29.29</v>
      </c>
      <c r="M46" s="112">
        <v>83.63</v>
      </c>
      <c r="N46" s="112">
        <v>223.1</v>
      </c>
      <c r="O46" s="112">
        <v>0</v>
      </c>
      <c r="P46" s="112">
        <v>0.25</v>
      </c>
      <c r="Q46" s="112">
        <v>4.62</v>
      </c>
    </row>
    <row r="47" spans="1:17" customFormat="1">
      <c r="A47" s="80">
        <v>45484.40625</v>
      </c>
      <c r="B47" s="112">
        <v>9.3800000000000008</v>
      </c>
      <c r="C47" s="112">
        <v>4.07</v>
      </c>
      <c r="D47" s="112">
        <v>14.1</v>
      </c>
      <c r="E47" s="112">
        <v>9.58</v>
      </c>
      <c r="F47" s="112">
        <v>5.94</v>
      </c>
      <c r="G47" s="112">
        <v>17.579999999999998</v>
      </c>
      <c r="H47" s="112">
        <v>9.9</v>
      </c>
      <c r="I47" s="112">
        <v>3.4</v>
      </c>
      <c r="J47" s="112">
        <v>0.61</v>
      </c>
      <c r="K47" s="112">
        <v>262.43</v>
      </c>
      <c r="L47" s="112">
        <v>29.37</v>
      </c>
      <c r="M47" s="112">
        <v>83.54</v>
      </c>
      <c r="N47" s="112">
        <v>166.5</v>
      </c>
      <c r="O47" s="112">
        <v>0</v>
      </c>
      <c r="P47" s="112">
        <v>0.26</v>
      </c>
      <c r="Q47" s="112">
        <v>4.66</v>
      </c>
    </row>
    <row r="48" spans="1:17" customFormat="1">
      <c r="A48" s="80">
        <v>45484.416666666664</v>
      </c>
      <c r="B48" s="112">
        <v>9.39</v>
      </c>
      <c r="C48" s="112">
        <v>4.07</v>
      </c>
      <c r="D48" s="112">
        <v>14.11</v>
      </c>
      <c r="E48" s="112">
        <v>9.5</v>
      </c>
      <c r="F48" s="112">
        <v>4.88</v>
      </c>
      <c r="G48" s="112">
        <v>20.100000000000001</v>
      </c>
      <c r="H48" s="112">
        <v>9.7200000000000006</v>
      </c>
      <c r="I48" s="112">
        <v>3.34</v>
      </c>
      <c r="J48" s="112">
        <v>0.72</v>
      </c>
      <c r="K48" s="112">
        <v>262.33</v>
      </c>
      <c r="L48" s="112">
        <v>29.39</v>
      </c>
      <c r="M48" s="112">
        <v>82.51</v>
      </c>
      <c r="N48" s="112">
        <v>142.5</v>
      </c>
      <c r="O48" s="112">
        <v>0</v>
      </c>
      <c r="P48" s="112">
        <v>0.27</v>
      </c>
      <c r="Q48" s="112">
        <v>4.63</v>
      </c>
    </row>
    <row r="49" spans="1:17" customFormat="1">
      <c r="A49" s="80">
        <v>45484.427083333336</v>
      </c>
      <c r="B49" s="112">
        <v>9.39</v>
      </c>
      <c r="C49" s="112">
        <v>4.08</v>
      </c>
      <c r="D49" s="112">
        <v>14.11</v>
      </c>
      <c r="E49" s="112">
        <v>7.29</v>
      </c>
      <c r="F49" s="112">
        <v>5.95</v>
      </c>
      <c r="G49" s="112">
        <v>20.100000000000001</v>
      </c>
      <c r="H49" s="112">
        <v>9.7200000000000006</v>
      </c>
      <c r="I49" s="112">
        <v>3.39</v>
      </c>
      <c r="J49" s="112">
        <v>0.98</v>
      </c>
      <c r="K49" s="112">
        <v>274.66000000000003</v>
      </c>
      <c r="L49" s="112">
        <v>29.57</v>
      </c>
      <c r="M49" s="112">
        <v>81.37</v>
      </c>
      <c r="N49" s="112">
        <v>234.4</v>
      </c>
      <c r="O49" s="112">
        <v>0</v>
      </c>
      <c r="P49" s="112">
        <v>0.26</v>
      </c>
      <c r="Q49" s="112">
        <v>4.6500000000000004</v>
      </c>
    </row>
    <row r="50" spans="1:17" customFormat="1">
      <c r="A50" s="80">
        <v>45484.4375</v>
      </c>
      <c r="B50" s="112">
        <v>9.3699999999999992</v>
      </c>
      <c r="C50" s="112">
        <v>4.1100000000000003</v>
      </c>
      <c r="D50" s="112">
        <v>14.11</v>
      </c>
      <c r="E50" s="112">
        <v>8.4499999999999993</v>
      </c>
      <c r="F50" s="112">
        <v>4.3600000000000003</v>
      </c>
      <c r="G50" s="112">
        <v>20.100000000000001</v>
      </c>
      <c r="H50" s="112">
        <v>9.7200000000000006</v>
      </c>
      <c r="I50" s="112">
        <v>3.33</v>
      </c>
      <c r="J50" s="112">
        <v>1.08</v>
      </c>
      <c r="K50" s="112">
        <v>281.52</v>
      </c>
      <c r="L50" s="112">
        <v>30.22</v>
      </c>
      <c r="M50" s="112">
        <v>79.89</v>
      </c>
      <c r="N50" s="112">
        <v>305.60000000000002</v>
      </c>
      <c r="O50" s="112">
        <v>0</v>
      </c>
      <c r="P50" s="112">
        <v>0.27</v>
      </c>
      <c r="Q50" s="112">
        <v>4.62</v>
      </c>
    </row>
    <row r="51" spans="1:17" customFormat="1">
      <c r="A51" s="80">
        <v>45484.447916666664</v>
      </c>
      <c r="B51" s="112">
        <v>9.36</v>
      </c>
      <c r="C51" s="112">
        <v>4.13</v>
      </c>
      <c r="D51" s="112">
        <v>14.11</v>
      </c>
      <c r="E51" s="112">
        <v>8.76</v>
      </c>
      <c r="F51" s="112">
        <v>6.52</v>
      </c>
      <c r="G51" s="112">
        <v>22.6</v>
      </c>
      <c r="H51" s="112">
        <v>10.87</v>
      </c>
      <c r="I51" s="112">
        <v>3.3</v>
      </c>
      <c r="J51" s="112">
        <v>1.23</v>
      </c>
      <c r="K51" s="112">
        <v>271</v>
      </c>
      <c r="L51" s="112">
        <v>30.35</v>
      </c>
      <c r="M51" s="112">
        <v>78.53</v>
      </c>
      <c r="N51" s="112">
        <v>323.2</v>
      </c>
      <c r="O51" s="112">
        <v>0</v>
      </c>
      <c r="P51" s="112">
        <v>0.26</v>
      </c>
      <c r="Q51" s="112">
        <v>4.6399999999999997</v>
      </c>
    </row>
    <row r="52" spans="1:17" customFormat="1">
      <c r="A52" s="80">
        <v>45484.458333333336</v>
      </c>
      <c r="B52" s="112">
        <v>9.36</v>
      </c>
      <c r="C52" s="112">
        <v>4.1100000000000003</v>
      </c>
      <c r="D52" s="112">
        <v>14.1</v>
      </c>
      <c r="E52" s="112">
        <v>9.25</v>
      </c>
      <c r="F52" s="112">
        <v>5.97</v>
      </c>
      <c r="G52" s="112">
        <v>24.5</v>
      </c>
      <c r="H52" s="112">
        <v>11.24</v>
      </c>
      <c r="I52" s="112">
        <v>3.25</v>
      </c>
      <c r="J52" s="112">
        <v>1.0900000000000001</v>
      </c>
      <c r="K52" s="112">
        <v>270.19</v>
      </c>
      <c r="L52" s="112">
        <v>31.05</v>
      </c>
      <c r="M52" s="112">
        <v>76.680000000000007</v>
      </c>
      <c r="N52" s="112">
        <v>332.2</v>
      </c>
      <c r="O52" s="112">
        <v>0</v>
      </c>
      <c r="P52" s="112">
        <v>0.32</v>
      </c>
      <c r="Q52" s="112">
        <v>4.6500000000000004</v>
      </c>
    </row>
    <row r="53" spans="1:17" customFormat="1">
      <c r="A53" s="80">
        <v>45484.46875</v>
      </c>
      <c r="B53" s="112">
        <v>9.35</v>
      </c>
      <c r="C53" s="112">
        <v>4.1100000000000003</v>
      </c>
      <c r="D53" s="112">
        <v>14.1</v>
      </c>
      <c r="E53" s="112">
        <v>9.7100000000000009</v>
      </c>
      <c r="F53" s="112">
        <v>6.48</v>
      </c>
      <c r="G53" s="112">
        <v>24.5</v>
      </c>
      <c r="H53" s="112">
        <v>11.24</v>
      </c>
      <c r="I53" s="112">
        <v>3.47</v>
      </c>
      <c r="J53" s="112">
        <v>1.06</v>
      </c>
      <c r="K53" s="112">
        <v>269.58999999999997</v>
      </c>
      <c r="L53" s="112">
        <v>31.17</v>
      </c>
      <c r="M53" s="112">
        <v>76.099999999999994</v>
      </c>
      <c r="N53" s="112">
        <v>319.2</v>
      </c>
      <c r="O53" s="112">
        <v>0</v>
      </c>
      <c r="P53" s="112">
        <v>0.33</v>
      </c>
      <c r="Q53" s="112">
        <v>4.6399999999999997</v>
      </c>
    </row>
    <row r="54" spans="1:17" customFormat="1">
      <c r="A54" s="80">
        <v>45484.479166666664</v>
      </c>
      <c r="B54" s="112">
        <v>9.35</v>
      </c>
      <c r="C54" s="112">
        <v>4.09</v>
      </c>
      <c r="D54" s="112">
        <v>14.09</v>
      </c>
      <c r="E54" s="112">
        <v>8.81</v>
      </c>
      <c r="F54" s="112">
        <v>8.08</v>
      </c>
      <c r="G54" s="112">
        <v>24.5</v>
      </c>
      <c r="H54" s="112">
        <v>11.24</v>
      </c>
      <c r="I54" s="112">
        <v>3.45</v>
      </c>
      <c r="J54" s="112">
        <v>0.86</v>
      </c>
      <c r="K54" s="112">
        <v>268.62</v>
      </c>
      <c r="L54" s="112">
        <v>31.21</v>
      </c>
      <c r="M54" s="112">
        <v>76.36</v>
      </c>
      <c r="N54" s="112">
        <v>306.2</v>
      </c>
      <c r="O54" s="112">
        <v>0</v>
      </c>
      <c r="P54" s="112">
        <v>0.33</v>
      </c>
      <c r="Q54" s="112">
        <v>4.6399999999999997</v>
      </c>
    </row>
    <row r="55" spans="1:17" customFormat="1">
      <c r="A55" s="80">
        <v>45484.489583333336</v>
      </c>
      <c r="B55" s="112">
        <v>9.35</v>
      </c>
      <c r="C55" s="112">
        <v>4.0599999999999996</v>
      </c>
      <c r="D55" s="112">
        <v>14.07</v>
      </c>
      <c r="E55" s="112">
        <v>8.33</v>
      </c>
      <c r="F55" s="112">
        <v>11.71</v>
      </c>
      <c r="G55" s="112">
        <v>24.61</v>
      </c>
      <c r="H55" s="112">
        <v>12.05</v>
      </c>
      <c r="I55" s="112">
        <v>3.47</v>
      </c>
      <c r="J55" s="112">
        <v>0.91</v>
      </c>
      <c r="K55" s="112">
        <v>272.54000000000002</v>
      </c>
      <c r="L55" s="112">
        <v>31.24</v>
      </c>
      <c r="M55" s="112">
        <v>76.27</v>
      </c>
      <c r="N55" s="112">
        <v>367.5</v>
      </c>
      <c r="O55" s="112">
        <v>0</v>
      </c>
      <c r="P55" s="112">
        <v>0.33</v>
      </c>
      <c r="Q55" s="112">
        <v>4.63</v>
      </c>
    </row>
    <row r="56" spans="1:17" customFormat="1">
      <c r="A56" s="80">
        <v>45484.5</v>
      </c>
      <c r="B56" s="112">
        <v>9.3699999999999992</v>
      </c>
      <c r="C56" s="112">
        <v>4.05</v>
      </c>
      <c r="D56" s="112">
        <v>14.08</v>
      </c>
      <c r="E56" s="112">
        <v>8.15</v>
      </c>
      <c r="F56" s="112">
        <v>10.61</v>
      </c>
      <c r="G56" s="112">
        <v>24.68</v>
      </c>
      <c r="H56" s="112">
        <v>12.31</v>
      </c>
      <c r="I56" s="112">
        <v>3.5</v>
      </c>
      <c r="J56" s="112">
        <v>1.1499999999999999</v>
      </c>
      <c r="K56" s="112">
        <v>276.60000000000002</v>
      </c>
      <c r="L56" s="112">
        <v>31.89</v>
      </c>
      <c r="M56" s="112">
        <v>73.91</v>
      </c>
      <c r="N56" s="112">
        <v>498.7</v>
      </c>
      <c r="O56" s="112">
        <v>0</v>
      </c>
      <c r="P56" s="112">
        <v>0.31</v>
      </c>
      <c r="Q56" s="112">
        <v>4.6399999999999997</v>
      </c>
    </row>
    <row r="57" spans="1:17" customFormat="1">
      <c r="A57" s="80">
        <v>45484.510416666664</v>
      </c>
      <c r="B57" s="112">
        <v>9.3699999999999992</v>
      </c>
      <c r="C57" s="112">
        <v>4.0599999999999996</v>
      </c>
      <c r="D57" s="112">
        <v>14.08</v>
      </c>
      <c r="E57" s="112">
        <v>7.69</v>
      </c>
      <c r="F57" s="112">
        <v>11.21</v>
      </c>
      <c r="G57" s="112">
        <v>24.68</v>
      </c>
      <c r="H57" s="112">
        <v>12.31</v>
      </c>
      <c r="I57" s="112">
        <v>3.37</v>
      </c>
      <c r="J57" s="112">
        <v>1</v>
      </c>
      <c r="K57" s="112">
        <v>268.07</v>
      </c>
      <c r="L57" s="112">
        <v>32.08</v>
      </c>
      <c r="M57" s="112">
        <v>73.48</v>
      </c>
      <c r="N57" s="112">
        <v>545.20000000000005</v>
      </c>
      <c r="O57" s="112">
        <v>0</v>
      </c>
      <c r="P57" s="112">
        <v>0.31</v>
      </c>
      <c r="Q57" s="112">
        <v>4.6399999999999997</v>
      </c>
    </row>
    <row r="58" spans="1:17" customFormat="1">
      <c r="A58" s="80">
        <v>45484.520833333336</v>
      </c>
      <c r="B58" s="112">
        <v>9.36</v>
      </c>
      <c r="C58" s="112">
        <v>4.07</v>
      </c>
      <c r="D58" s="112">
        <v>14.09</v>
      </c>
      <c r="E58" s="112">
        <v>7.19</v>
      </c>
      <c r="F58" s="112">
        <v>9.99</v>
      </c>
      <c r="G58" s="112">
        <v>24.68</v>
      </c>
      <c r="H58" s="112">
        <v>12.31</v>
      </c>
      <c r="I58" s="112">
        <v>3.42</v>
      </c>
      <c r="J58" s="112">
        <v>0.78</v>
      </c>
      <c r="K58" s="112">
        <v>266.98</v>
      </c>
      <c r="L58" s="112">
        <v>31.59</v>
      </c>
      <c r="M58" s="112">
        <v>74.900000000000006</v>
      </c>
      <c r="N58" s="112">
        <v>152.4</v>
      </c>
      <c r="O58" s="112">
        <v>0</v>
      </c>
      <c r="P58" s="112">
        <v>0.32</v>
      </c>
      <c r="Q58" s="112">
        <v>4.6399999999999997</v>
      </c>
    </row>
    <row r="59" spans="1:17" customFormat="1">
      <c r="A59" s="80">
        <v>45484.53125</v>
      </c>
      <c r="B59" s="112">
        <v>9.3699999999999992</v>
      </c>
      <c r="C59" s="112">
        <v>4.08</v>
      </c>
      <c r="D59" s="112">
        <v>14.09</v>
      </c>
      <c r="E59" s="112">
        <v>6.46</v>
      </c>
      <c r="F59" s="112">
        <v>8.4700000000000006</v>
      </c>
      <c r="G59" s="112">
        <v>24.76</v>
      </c>
      <c r="H59" s="112">
        <v>14.32</v>
      </c>
      <c r="I59" s="112">
        <v>3.36</v>
      </c>
      <c r="J59" s="112">
        <v>1.41</v>
      </c>
      <c r="K59" s="112">
        <v>271.94</v>
      </c>
      <c r="L59" s="112">
        <v>29.12</v>
      </c>
      <c r="M59" s="112">
        <v>81.63</v>
      </c>
      <c r="N59" s="112">
        <v>72.099999999999994</v>
      </c>
      <c r="O59" s="112">
        <v>0</v>
      </c>
      <c r="P59" s="112">
        <v>0.31</v>
      </c>
      <c r="Q59" s="112">
        <v>4.6399999999999997</v>
      </c>
    </row>
    <row r="60" spans="1:17" customFormat="1">
      <c r="A60" s="80">
        <v>45484.541666666664</v>
      </c>
      <c r="B60" s="112">
        <v>9.3699999999999992</v>
      </c>
      <c r="C60" s="112">
        <v>4.0599999999999996</v>
      </c>
      <c r="D60" s="112">
        <v>14.09</v>
      </c>
      <c r="E60" s="112">
        <v>6.19</v>
      </c>
      <c r="F60" s="112">
        <v>8.2799999999999994</v>
      </c>
      <c r="G60" s="112">
        <v>24.81</v>
      </c>
      <c r="H60" s="112">
        <v>15.55</v>
      </c>
      <c r="I60" s="112">
        <v>3.43</v>
      </c>
      <c r="J60" s="112">
        <v>1.0900000000000001</v>
      </c>
      <c r="K60" s="112">
        <v>264.97000000000003</v>
      </c>
      <c r="L60" s="112">
        <v>27.98</v>
      </c>
      <c r="M60" s="112">
        <v>87.8</v>
      </c>
      <c r="N60" s="112">
        <v>214</v>
      </c>
      <c r="O60" s="112">
        <v>0</v>
      </c>
      <c r="P60" s="112">
        <v>0.28999999999999998</v>
      </c>
      <c r="Q60" s="112">
        <v>4.6399999999999997</v>
      </c>
    </row>
    <row r="61" spans="1:17" customFormat="1">
      <c r="A61" s="80">
        <v>45484.552083333336</v>
      </c>
      <c r="B61" s="112">
        <v>9.3699999999999992</v>
      </c>
      <c r="C61" s="112">
        <v>4.07</v>
      </c>
      <c r="D61" s="112">
        <v>14.09</v>
      </c>
      <c r="E61" s="112">
        <v>6.14</v>
      </c>
      <c r="F61" s="112">
        <v>9.32</v>
      </c>
      <c r="G61" s="112">
        <v>24.81</v>
      </c>
      <c r="H61" s="112">
        <v>15.55</v>
      </c>
      <c r="I61" s="112">
        <v>3.42</v>
      </c>
      <c r="J61" s="112">
        <v>0.85</v>
      </c>
      <c r="K61" s="112">
        <v>260.70999999999998</v>
      </c>
      <c r="L61" s="112">
        <v>29.24</v>
      </c>
      <c r="M61" s="112">
        <v>80.69</v>
      </c>
      <c r="N61" s="112">
        <v>320.2</v>
      </c>
      <c r="O61" s="112">
        <v>0</v>
      </c>
      <c r="P61" s="112">
        <v>0.28000000000000003</v>
      </c>
      <c r="Q61" s="112">
        <v>4.6399999999999997</v>
      </c>
    </row>
    <row r="62" spans="1:17" customFormat="1">
      <c r="A62" s="80">
        <v>45484.5625</v>
      </c>
      <c r="B62" s="112">
        <v>9.35</v>
      </c>
      <c r="C62" s="112">
        <v>4.09</v>
      </c>
      <c r="D62" s="112">
        <v>14.08</v>
      </c>
      <c r="E62" s="112">
        <v>5.43</v>
      </c>
      <c r="F62" s="112">
        <v>7.91</v>
      </c>
      <c r="G62" s="112">
        <v>24.81</v>
      </c>
      <c r="H62" s="112">
        <v>15.55</v>
      </c>
      <c r="I62" s="112">
        <v>3.35</v>
      </c>
      <c r="J62" s="112">
        <v>1.1399999999999999</v>
      </c>
      <c r="K62" s="112">
        <v>266.60000000000002</v>
      </c>
      <c r="L62" s="112">
        <v>30.31</v>
      </c>
      <c r="M62" s="112">
        <v>77.73</v>
      </c>
      <c r="N62" s="112">
        <v>297.3</v>
      </c>
      <c r="O62" s="112">
        <v>0</v>
      </c>
      <c r="P62" s="112">
        <v>0.28000000000000003</v>
      </c>
      <c r="Q62" s="112">
        <v>4.63</v>
      </c>
    </row>
    <row r="63" spans="1:17" customFormat="1">
      <c r="A63" s="80">
        <v>45484.572916666664</v>
      </c>
      <c r="B63" s="112">
        <v>9.3699999999999992</v>
      </c>
      <c r="C63" s="112">
        <v>4.0599999999999996</v>
      </c>
      <c r="D63" s="112">
        <v>14.09</v>
      </c>
      <c r="E63" s="112">
        <v>5.64</v>
      </c>
      <c r="F63" s="112">
        <v>9.0500000000000007</v>
      </c>
      <c r="G63" s="112">
        <v>22.43</v>
      </c>
      <c r="H63" s="112">
        <v>12.3</v>
      </c>
      <c r="I63" s="112">
        <v>3.26</v>
      </c>
      <c r="J63" s="112">
        <v>1.05</v>
      </c>
      <c r="K63" s="112">
        <v>269.08999999999997</v>
      </c>
      <c r="L63" s="112">
        <v>30.9</v>
      </c>
      <c r="M63" s="112">
        <v>76.42</v>
      </c>
      <c r="N63" s="112">
        <v>259.3</v>
      </c>
      <c r="O63" s="112">
        <v>0</v>
      </c>
      <c r="P63" s="112">
        <v>0.28000000000000003</v>
      </c>
      <c r="Q63" s="112">
        <v>4.6500000000000004</v>
      </c>
    </row>
    <row r="64" spans="1:17" customFormat="1">
      <c r="A64" s="80">
        <v>45484.583333333336</v>
      </c>
      <c r="B64" s="112">
        <v>9.3699999999999992</v>
      </c>
      <c r="C64" s="112">
        <v>4.05</v>
      </c>
      <c r="D64" s="112">
        <v>14.08</v>
      </c>
      <c r="E64" s="112">
        <v>5.1100000000000003</v>
      </c>
      <c r="F64" s="112">
        <v>8.32</v>
      </c>
      <c r="G64" s="112">
        <v>20.61</v>
      </c>
      <c r="H64" s="112">
        <v>11.26</v>
      </c>
      <c r="I64" s="112">
        <v>3.3</v>
      </c>
      <c r="J64" s="112">
        <v>1.28</v>
      </c>
      <c r="K64" s="112">
        <v>278.16000000000003</v>
      </c>
      <c r="L64" s="112">
        <v>31.17</v>
      </c>
      <c r="M64" s="112">
        <v>74.75</v>
      </c>
      <c r="N64" s="112">
        <v>535.29999999999995</v>
      </c>
      <c r="O64" s="112">
        <v>0</v>
      </c>
      <c r="P64" s="112">
        <v>0.28000000000000003</v>
      </c>
      <c r="Q64" s="112">
        <v>4.6500000000000004</v>
      </c>
    </row>
    <row r="65" spans="1:17" customFormat="1">
      <c r="A65" s="80">
        <v>45484.59375</v>
      </c>
      <c r="B65" s="112">
        <v>9.3699999999999992</v>
      </c>
      <c r="C65" s="112">
        <v>4.0599999999999996</v>
      </c>
      <c r="D65" s="112">
        <v>14.08</v>
      </c>
      <c r="E65" s="112">
        <v>4.8899999999999997</v>
      </c>
      <c r="F65" s="112">
        <v>9.0399999999999991</v>
      </c>
      <c r="G65" s="112">
        <v>20.61</v>
      </c>
      <c r="H65" s="112">
        <v>11.26</v>
      </c>
      <c r="I65" s="112">
        <v>3.22</v>
      </c>
      <c r="J65" s="112">
        <v>0.71</v>
      </c>
      <c r="K65" s="112">
        <v>263.02</v>
      </c>
      <c r="L65" s="112">
        <v>32.18</v>
      </c>
      <c r="M65" s="112">
        <v>73.55</v>
      </c>
      <c r="N65" s="112">
        <v>744.1</v>
      </c>
      <c r="O65" s="112">
        <v>0</v>
      </c>
      <c r="P65" s="112">
        <v>0.28000000000000003</v>
      </c>
      <c r="Q65" s="112">
        <v>4.6399999999999997</v>
      </c>
    </row>
    <row r="66" spans="1:17" customFormat="1">
      <c r="A66" s="80">
        <v>45484.604166666664</v>
      </c>
      <c r="B66" s="112">
        <v>9.35</v>
      </c>
      <c r="C66" s="112">
        <v>4.07</v>
      </c>
      <c r="D66" s="112">
        <v>14.08</v>
      </c>
      <c r="E66" s="112">
        <v>5.73</v>
      </c>
      <c r="F66" s="112">
        <v>7.16</v>
      </c>
      <c r="G66" s="112">
        <v>20.61</v>
      </c>
      <c r="H66" s="112">
        <v>11.26</v>
      </c>
      <c r="I66" s="112">
        <v>3.24</v>
      </c>
      <c r="J66" s="112">
        <v>1.1299999999999999</v>
      </c>
      <c r="K66" s="112">
        <v>269.24</v>
      </c>
      <c r="L66" s="112">
        <v>32.270000000000003</v>
      </c>
      <c r="M66" s="112">
        <v>72.06</v>
      </c>
      <c r="N66" s="112">
        <v>717</v>
      </c>
      <c r="O66" s="112">
        <v>0</v>
      </c>
      <c r="P66" s="112">
        <v>0.28999999999999998</v>
      </c>
      <c r="Q66" s="112">
        <v>4.63</v>
      </c>
    </row>
    <row r="67" spans="1:17" customFormat="1">
      <c r="A67" s="80">
        <v>45484.614583333336</v>
      </c>
      <c r="B67" s="112">
        <v>9.35</v>
      </c>
      <c r="C67" s="112">
        <v>4.07</v>
      </c>
      <c r="D67" s="112">
        <v>14.08</v>
      </c>
      <c r="E67" s="112">
        <v>5.54</v>
      </c>
      <c r="F67" s="112">
        <v>9.81</v>
      </c>
      <c r="G67" s="112">
        <v>21.45</v>
      </c>
      <c r="H67" s="112">
        <v>11.44</v>
      </c>
      <c r="I67" s="112">
        <v>3.18</v>
      </c>
      <c r="J67" s="112">
        <v>1.1399999999999999</v>
      </c>
      <c r="K67" s="112">
        <v>267.3</v>
      </c>
      <c r="L67" s="112">
        <v>32.21</v>
      </c>
      <c r="M67" s="112">
        <v>71.37</v>
      </c>
      <c r="N67" s="112">
        <v>697.8</v>
      </c>
      <c r="O67" s="112">
        <v>0</v>
      </c>
      <c r="P67" s="112">
        <v>0.31</v>
      </c>
      <c r="Q67" s="112">
        <v>4.6500000000000004</v>
      </c>
    </row>
    <row r="68" spans="1:17" customFormat="1">
      <c r="A68" s="80">
        <v>45484.625</v>
      </c>
      <c r="B68" s="112">
        <v>9.36</v>
      </c>
      <c r="C68" s="112">
        <v>4.07</v>
      </c>
      <c r="D68" s="112">
        <v>14.08</v>
      </c>
      <c r="E68" s="112">
        <v>5.23</v>
      </c>
      <c r="F68" s="112">
        <v>8.4600000000000009</v>
      </c>
      <c r="G68" s="112">
        <v>22.1</v>
      </c>
      <c r="H68" s="112">
        <v>11.5</v>
      </c>
      <c r="I68" s="112">
        <v>3.26</v>
      </c>
      <c r="J68" s="112">
        <v>0.87</v>
      </c>
      <c r="K68" s="112">
        <v>265.02</v>
      </c>
      <c r="L68" s="112">
        <v>31.83</v>
      </c>
      <c r="M68" s="112">
        <v>71.98</v>
      </c>
      <c r="N68" s="112">
        <v>321.5</v>
      </c>
      <c r="O68" s="112">
        <v>0</v>
      </c>
      <c r="P68" s="112">
        <v>0.3</v>
      </c>
      <c r="Q68" s="112">
        <v>4.63</v>
      </c>
    </row>
    <row r="69" spans="1:17" customFormat="1">
      <c r="A69" s="80">
        <v>45484.635416666664</v>
      </c>
      <c r="B69" s="112">
        <v>9.36</v>
      </c>
      <c r="C69" s="112">
        <v>4.08</v>
      </c>
      <c r="D69" s="112">
        <v>14.08</v>
      </c>
      <c r="E69" s="112">
        <v>5.07</v>
      </c>
      <c r="F69" s="112">
        <v>9.1999999999999993</v>
      </c>
      <c r="G69" s="112">
        <v>22.1</v>
      </c>
      <c r="H69" s="112">
        <v>11.5</v>
      </c>
      <c r="I69" s="112">
        <v>3.18</v>
      </c>
      <c r="J69" s="112">
        <v>0.87</v>
      </c>
      <c r="K69" s="112">
        <v>262.05</v>
      </c>
      <c r="L69" s="112">
        <v>31.61</v>
      </c>
      <c r="M69" s="112">
        <v>72.180000000000007</v>
      </c>
      <c r="N69" s="112">
        <v>339.2</v>
      </c>
      <c r="O69" s="112">
        <v>0</v>
      </c>
      <c r="P69" s="112">
        <v>0.28999999999999998</v>
      </c>
      <c r="Q69" s="112">
        <v>4.63</v>
      </c>
    </row>
    <row r="70" spans="1:17" customFormat="1">
      <c r="A70" s="80">
        <v>45484.645833333336</v>
      </c>
      <c r="B70" s="112">
        <v>9.35</v>
      </c>
      <c r="C70" s="112">
        <v>4.09</v>
      </c>
      <c r="D70" s="112">
        <v>14.09</v>
      </c>
      <c r="E70" s="112">
        <v>5.01</v>
      </c>
      <c r="F70" s="112">
        <v>9.26</v>
      </c>
      <c r="G70" s="112">
        <v>22.1</v>
      </c>
      <c r="H70" s="112">
        <v>11.5</v>
      </c>
      <c r="I70" s="112">
        <v>3.16</v>
      </c>
      <c r="J70" s="112">
        <v>0.54</v>
      </c>
      <c r="K70" s="112">
        <v>270.67</v>
      </c>
      <c r="L70" s="112">
        <v>32.03</v>
      </c>
      <c r="M70" s="112">
        <v>71.84</v>
      </c>
      <c r="N70" s="112">
        <v>429.7</v>
      </c>
      <c r="O70" s="112">
        <v>0</v>
      </c>
      <c r="P70" s="112">
        <v>0.28000000000000003</v>
      </c>
      <c r="Q70" s="112">
        <v>4.62</v>
      </c>
    </row>
    <row r="71" spans="1:17" customFormat="1">
      <c r="A71" s="80">
        <v>45484.65625</v>
      </c>
      <c r="B71" s="112">
        <v>9.3699999999999992</v>
      </c>
      <c r="C71" s="112">
        <v>4.08</v>
      </c>
      <c r="D71" s="112">
        <v>14.09</v>
      </c>
      <c r="E71" s="112">
        <v>5.22</v>
      </c>
      <c r="F71" s="112">
        <v>8.31</v>
      </c>
      <c r="G71" s="112">
        <v>19.79</v>
      </c>
      <c r="H71" s="112">
        <v>12.93</v>
      </c>
      <c r="I71" s="112">
        <v>3.11</v>
      </c>
      <c r="J71" s="112">
        <v>0.95</v>
      </c>
      <c r="K71" s="112">
        <v>276.45999999999998</v>
      </c>
      <c r="L71" s="112">
        <v>32.58</v>
      </c>
      <c r="M71" s="112">
        <v>69.040000000000006</v>
      </c>
      <c r="N71" s="112">
        <v>378.4</v>
      </c>
      <c r="O71" s="112">
        <v>0</v>
      </c>
      <c r="P71" s="112">
        <v>0.23</v>
      </c>
      <c r="Q71" s="112">
        <v>4.63</v>
      </c>
    </row>
    <row r="72" spans="1:17" customFormat="1">
      <c r="A72" s="80">
        <v>45484.666666666664</v>
      </c>
      <c r="B72" s="112">
        <v>9.4</v>
      </c>
      <c r="C72" s="112">
        <v>4.08</v>
      </c>
      <c r="D72" s="112">
        <v>14.12</v>
      </c>
      <c r="E72" s="112">
        <v>5.63</v>
      </c>
      <c r="F72" s="112">
        <v>7.92</v>
      </c>
      <c r="G72" s="112">
        <v>18.010000000000002</v>
      </c>
      <c r="H72" s="112">
        <v>13.39</v>
      </c>
      <c r="I72" s="112">
        <v>3.12</v>
      </c>
      <c r="J72" s="112">
        <v>1.28</v>
      </c>
      <c r="K72" s="112">
        <v>274.19</v>
      </c>
      <c r="L72" s="112">
        <v>32.06</v>
      </c>
      <c r="M72" s="112">
        <v>70.25</v>
      </c>
      <c r="N72" s="112">
        <v>329.9</v>
      </c>
      <c r="O72" s="112">
        <v>0</v>
      </c>
      <c r="P72" s="112">
        <v>0.21</v>
      </c>
      <c r="Q72" s="112">
        <v>4.6399999999999997</v>
      </c>
    </row>
    <row r="73" spans="1:17" customFormat="1">
      <c r="A73" s="80">
        <v>45484.677083333336</v>
      </c>
      <c r="B73" s="112">
        <v>9.44</v>
      </c>
      <c r="C73" s="112">
        <v>4.0599999999999996</v>
      </c>
      <c r="D73" s="112">
        <v>14.15</v>
      </c>
      <c r="E73" s="112">
        <v>6.09</v>
      </c>
      <c r="F73" s="112">
        <v>9.67</v>
      </c>
      <c r="G73" s="112">
        <v>18.010000000000002</v>
      </c>
      <c r="H73" s="112">
        <v>13.39</v>
      </c>
      <c r="I73" s="112">
        <v>3.12</v>
      </c>
      <c r="J73" s="112">
        <v>0.97</v>
      </c>
      <c r="K73" s="112">
        <v>271.24</v>
      </c>
      <c r="L73" s="112">
        <v>31.76</v>
      </c>
      <c r="M73" s="112">
        <v>71.23</v>
      </c>
      <c r="N73" s="112">
        <v>190.9</v>
      </c>
      <c r="O73" s="112">
        <v>0</v>
      </c>
      <c r="P73" s="112">
        <v>0.23</v>
      </c>
      <c r="Q73" s="112">
        <v>4.62</v>
      </c>
    </row>
    <row r="74" spans="1:17" customFormat="1">
      <c r="A74" s="80">
        <v>45484.6875</v>
      </c>
      <c r="B74" s="112">
        <v>9.4499999999999993</v>
      </c>
      <c r="C74" s="112">
        <v>4.07</v>
      </c>
      <c r="D74" s="112">
        <v>14.16</v>
      </c>
      <c r="E74" s="112">
        <v>6.59</v>
      </c>
      <c r="F74" s="112">
        <v>10.130000000000001</v>
      </c>
      <c r="G74" s="112">
        <v>18.010000000000002</v>
      </c>
      <c r="H74" s="112">
        <v>13.39</v>
      </c>
      <c r="I74" s="112">
        <v>3.13</v>
      </c>
      <c r="J74" s="112">
        <v>0.97</v>
      </c>
      <c r="K74" s="112">
        <v>268.98</v>
      </c>
      <c r="L74" s="112">
        <v>31.41</v>
      </c>
      <c r="M74" s="112">
        <v>72.75</v>
      </c>
      <c r="N74" s="112">
        <v>124.9</v>
      </c>
      <c r="O74" s="112">
        <v>0</v>
      </c>
      <c r="P74" s="112">
        <v>0.24</v>
      </c>
      <c r="Q74" s="112">
        <v>4.6399999999999997</v>
      </c>
    </row>
    <row r="75" spans="1:17" customFormat="1">
      <c r="A75" s="80">
        <v>45484.697916666664</v>
      </c>
      <c r="B75" s="112">
        <v>9.4499999999999993</v>
      </c>
      <c r="C75" s="112">
        <v>4.1100000000000003</v>
      </c>
      <c r="D75" s="112">
        <v>14.18</v>
      </c>
      <c r="E75" s="112">
        <v>6.5</v>
      </c>
      <c r="F75" s="112">
        <v>12.23</v>
      </c>
      <c r="G75" s="112">
        <v>16.23</v>
      </c>
      <c r="H75" s="112">
        <v>17.309999999999999</v>
      </c>
      <c r="I75" s="112">
        <v>3.18</v>
      </c>
      <c r="J75" s="112">
        <v>0.85</v>
      </c>
      <c r="K75" s="112">
        <v>268.70999999999998</v>
      </c>
      <c r="L75" s="112">
        <v>31.81</v>
      </c>
      <c r="M75" s="112">
        <v>71.56</v>
      </c>
      <c r="N75" s="112">
        <v>151.1</v>
      </c>
      <c r="O75" s="112">
        <v>0</v>
      </c>
      <c r="P75" s="112">
        <v>0.24</v>
      </c>
      <c r="Q75" s="112">
        <v>4.6399999999999997</v>
      </c>
    </row>
    <row r="76" spans="1:17" customFormat="1">
      <c r="A76" s="80">
        <v>45484.708333333336</v>
      </c>
      <c r="B76" s="112">
        <v>9.4600000000000009</v>
      </c>
      <c r="C76" s="112">
        <v>4.0999999999999996</v>
      </c>
      <c r="D76" s="112">
        <v>14.18</v>
      </c>
      <c r="E76" s="112">
        <v>7.31</v>
      </c>
      <c r="F76" s="112">
        <v>10.119999999999999</v>
      </c>
      <c r="G76" s="112">
        <v>14.86</v>
      </c>
      <c r="H76" s="112">
        <v>18.57</v>
      </c>
      <c r="I76" s="112">
        <v>3.23</v>
      </c>
      <c r="J76" s="112">
        <v>0.94</v>
      </c>
      <c r="K76" s="112">
        <v>269.8</v>
      </c>
      <c r="L76" s="112">
        <v>32</v>
      </c>
      <c r="M76" s="112">
        <v>70.27</v>
      </c>
      <c r="N76" s="112">
        <v>146.69999999999999</v>
      </c>
      <c r="O76" s="112">
        <v>0</v>
      </c>
      <c r="P76" s="112">
        <v>0.25</v>
      </c>
      <c r="Q76" s="112">
        <v>4.6500000000000004</v>
      </c>
    </row>
    <row r="77" spans="1:17" customFormat="1">
      <c r="A77" s="80">
        <v>45484.71875</v>
      </c>
      <c r="B77" s="112">
        <v>9.4499999999999993</v>
      </c>
      <c r="C77" s="112">
        <v>4.0999999999999996</v>
      </c>
      <c r="D77" s="112">
        <v>14.17</v>
      </c>
      <c r="E77" s="112">
        <v>7.56</v>
      </c>
      <c r="F77" s="112">
        <v>10.25</v>
      </c>
      <c r="G77" s="112">
        <v>14.86</v>
      </c>
      <c r="H77" s="112">
        <v>18.57</v>
      </c>
      <c r="I77" s="112">
        <v>3.13</v>
      </c>
      <c r="J77" s="112">
        <v>1.05</v>
      </c>
      <c r="K77" s="112">
        <v>266.56</v>
      </c>
      <c r="L77" s="112">
        <v>31.85</v>
      </c>
      <c r="M77" s="112">
        <v>70.52</v>
      </c>
      <c r="N77" s="112">
        <v>112.2</v>
      </c>
      <c r="O77" s="112">
        <v>0</v>
      </c>
      <c r="P77" s="112">
        <v>0.25</v>
      </c>
      <c r="Q77" s="112">
        <v>4.6500000000000004</v>
      </c>
    </row>
    <row r="78" spans="1:17" customFormat="1">
      <c r="A78" s="80">
        <v>45484.729166666664</v>
      </c>
      <c r="B78" s="112">
        <v>9.44</v>
      </c>
      <c r="C78" s="112">
        <v>4.08</v>
      </c>
      <c r="D78" s="112">
        <v>14.15</v>
      </c>
      <c r="E78" s="112">
        <v>7.19</v>
      </c>
      <c r="F78" s="112">
        <v>10.67</v>
      </c>
      <c r="G78" s="112">
        <v>14.86</v>
      </c>
      <c r="H78" s="112">
        <v>18.57</v>
      </c>
      <c r="I78" s="112">
        <v>3.23</v>
      </c>
      <c r="J78" s="112">
        <v>1</v>
      </c>
      <c r="K78" s="112">
        <v>268.06</v>
      </c>
      <c r="L78" s="112">
        <v>31.58</v>
      </c>
      <c r="M78" s="112">
        <v>71.28</v>
      </c>
      <c r="N78" s="112">
        <v>79.3</v>
      </c>
      <c r="O78" s="112">
        <v>0</v>
      </c>
      <c r="P78" s="112">
        <v>0.25</v>
      </c>
      <c r="Q78" s="112">
        <v>4.63</v>
      </c>
    </row>
    <row r="79" spans="1:17" customFormat="1">
      <c r="A79" s="80">
        <v>45484.739583333336</v>
      </c>
      <c r="B79" s="112">
        <v>9.44</v>
      </c>
      <c r="C79" s="112">
        <v>4.07</v>
      </c>
      <c r="D79" s="112">
        <v>14.14</v>
      </c>
      <c r="E79" s="112">
        <v>8.48</v>
      </c>
      <c r="F79" s="112">
        <v>10.32</v>
      </c>
      <c r="G79" s="112">
        <v>17.440000000000001</v>
      </c>
      <c r="H79" s="112">
        <v>17.79</v>
      </c>
      <c r="I79" s="112">
        <v>3.22</v>
      </c>
      <c r="J79" s="112">
        <v>1</v>
      </c>
      <c r="K79" s="112">
        <v>277.92</v>
      </c>
      <c r="L79" s="112">
        <v>31.28</v>
      </c>
      <c r="M79" s="112">
        <v>71.569999999999993</v>
      </c>
      <c r="N79" s="112">
        <v>56.2</v>
      </c>
      <c r="O79" s="112">
        <v>0</v>
      </c>
      <c r="P79" s="112">
        <v>0.28999999999999998</v>
      </c>
      <c r="Q79" s="112">
        <v>4.66</v>
      </c>
    </row>
    <row r="80" spans="1:17" customFormat="1">
      <c r="A80" s="80">
        <v>45484.75</v>
      </c>
      <c r="B80" s="112">
        <v>9.43</v>
      </c>
      <c r="C80" s="112">
        <v>4.08</v>
      </c>
      <c r="D80" s="112">
        <v>14.14</v>
      </c>
      <c r="E80" s="112">
        <v>8.3000000000000007</v>
      </c>
      <c r="F80" s="112">
        <v>10.6</v>
      </c>
      <c r="G80" s="112">
        <v>19.41</v>
      </c>
      <c r="H80" s="112">
        <v>17.54</v>
      </c>
      <c r="I80" s="112">
        <v>3.21</v>
      </c>
      <c r="J80" s="112">
        <v>0.85</v>
      </c>
      <c r="K80" s="112">
        <v>279.2</v>
      </c>
      <c r="L80" s="112">
        <v>31.03</v>
      </c>
      <c r="M80" s="112">
        <v>73.11</v>
      </c>
      <c r="N80" s="112">
        <v>25.4</v>
      </c>
      <c r="O80" s="112">
        <v>0</v>
      </c>
      <c r="P80" s="112">
        <v>0.3</v>
      </c>
      <c r="Q80" s="112">
        <v>4.66</v>
      </c>
    </row>
    <row r="81" spans="1:17" customFormat="1">
      <c r="A81" s="80">
        <v>45484.760416666664</v>
      </c>
      <c r="B81" s="112">
        <v>9.44</v>
      </c>
      <c r="C81" s="112">
        <v>4.08</v>
      </c>
      <c r="D81" s="112">
        <v>14.15</v>
      </c>
      <c r="E81" s="112">
        <v>9.52</v>
      </c>
      <c r="F81" s="112">
        <v>8.7100000000000009</v>
      </c>
      <c r="G81" s="112">
        <v>19.41</v>
      </c>
      <c r="H81" s="112">
        <v>17.54</v>
      </c>
      <c r="I81" s="112">
        <v>3.31</v>
      </c>
      <c r="J81" s="112">
        <v>0.93</v>
      </c>
      <c r="K81" s="112">
        <v>268.45999999999998</v>
      </c>
      <c r="L81" s="112">
        <v>30.76</v>
      </c>
      <c r="M81" s="112">
        <v>74.010000000000005</v>
      </c>
      <c r="N81" s="112">
        <v>14.1</v>
      </c>
      <c r="O81" s="112">
        <v>0</v>
      </c>
      <c r="P81" s="112">
        <v>0.3</v>
      </c>
      <c r="Q81" s="112">
        <v>4.6399999999999997</v>
      </c>
    </row>
    <row r="82" spans="1:17" customFormat="1">
      <c r="A82" s="80">
        <v>45484.770833333336</v>
      </c>
      <c r="B82" s="112">
        <v>9.44</v>
      </c>
      <c r="C82" s="112">
        <v>4.08</v>
      </c>
      <c r="D82" s="112">
        <v>14.15</v>
      </c>
      <c r="E82" s="112">
        <v>11.53</v>
      </c>
      <c r="F82" s="112">
        <v>8.2899999999999991</v>
      </c>
      <c r="G82" s="112">
        <v>19.41</v>
      </c>
      <c r="H82" s="112">
        <v>17.54</v>
      </c>
      <c r="I82" s="112">
        <v>3.44</v>
      </c>
      <c r="J82" s="112">
        <v>0.87</v>
      </c>
      <c r="K82" s="112">
        <v>265.54000000000002</v>
      </c>
      <c r="L82" s="112">
        <v>30.49</v>
      </c>
      <c r="M82" s="112">
        <v>76.13</v>
      </c>
      <c r="N82" s="112">
        <v>7.3</v>
      </c>
      <c r="O82" s="112">
        <v>0</v>
      </c>
      <c r="P82" s="112">
        <v>0.32</v>
      </c>
      <c r="Q82" s="112">
        <v>4.6500000000000004</v>
      </c>
    </row>
    <row r="83" spans="1:17" customFormat="1">
      <c r="A83" s="80">
        <v>45484.78125</v>
      </c>
      <c r="B83" s="112">
        <v>9.44</v>
      </c>
      <c r="C83" s="112">
        <v>4.0999999999999996</v>
      </c>
      <c r="D83" s="112">
        <v>14.16</v>
      </c>
      <c r="E83" s="112">
        <v>11.7</v>
      </c>
      <c r="F83" s="112">
        <v>10.93</v>
      </c>
      <c r="G83" s="112">
        <v>22.46</v>
      </c>
      <c r="H83" s="112">
        <v>17.899999999999999</v>
      </c>
      <c r="I83" s="112">
        <v>3.59</v>
      </c>
      <c r="J83" s="112">
        <v>0.63</v>
      </c>
      <c r="K83" s="112">
        <v>267.49</v>
      </c>
      <c r="L83" s="112">
        <v>30.31</v>
      </c>
      <c r="M83" s="112">
        <v>77.989999999999995</v>
      </c>
      <c r="N83" s="112">
        <v>3</v>
      </c>
      <c r="O83" s="112">
        <v>0</v>
      </c>
      <c r="P83" s="112">
        <v>0.34</v>
      </c>
      <c r="Q83" s="112">
        <v>4.6100000000000003</v>
      </c>
    </row>
    <row r="84" spans="1:17" customFormat="1">
      <c r="A84" s="80">
        <v>45484.791666666664</v>
      </c>
      <c r="B84" s="112">
        <v>9.4499999999999993</v>
      </c>
      <c r="C84" s="112">
        <v>4.0599999999999996</v>
      </c>
      <c r="D84" s="112">
        <v>14.15</v>
      </c>
      <c r="E84" s="112">
        <v>11.31</v>
      </c>
      <c r="F84" s="112">
        <v>12.04</v>
      </c>
      <c r="G84" s="112">
        <v>24.79</v>
      </c>
      <c r="H84" s="112">
        <v>18.13</v>
      </c>
      <c r="I84" s="112">
        <v>3.68</v>
      </c>
      <c r="J84" s="112">
        <v>0.47</v>
      </c>
      <c r="K84" s="112">
        <v>269.57</v>
      </c>
      <c r="L84" s="112">
        <v>30.1</v>
      </c>
      <c r="M84" s="112">
        <v>78.73</v>
      </c>
      <c r="N84" s="112">
        <v>2.2000000000000002</v>
      </c>
      <c r="O84" s="112">
        <v>0</v>
      </c>
      <c r="P84" s="112">
        <v>0.32</v>
      </c>
      <c r="Q84" s="112">
        <v>4.5999999999999996</v>
      </c>
    </row>
    <row r="85" spans="1:17" customFormat="1">
      <c r="A85" s="80">
        <v>45484.802083333336</v>
      </c>
      <c r="B85" s="112">
        <v>9.4600000000000009</v>
      </c>
      <c r="C85" s="112">
        <v>4.04</v>
      </c>
      <c r="D85" s="112">
        <v>14.15</v>
      </c>
      <c r="E85" s="112">
        <v>10.95</v>
      </c>
      <c r="F85" s="112">
        <v>11.84</v>
      </c>
      <c r="G85" s="112">
        <v>24.79</v>
      </c>
      <c r="H85" s="112">
        <v>18.13</v>
      </c>
      <c r="I85" s="112">
        <v>3.74</v>
      </c>
      <c r="J85" s="112">
        <v>0.24</v>
      </c>
      <c r="K85" s="112">
        <v>243.85</v>
      </c>
      <c r="L85" s="112">
        <v>30.04</v>
      </c>
      <c r="M85" s="112">
        <v>79.849999999999994</v>
      </c>
      <c r="N85" s="112">
        <v>2.1</v>
      </c>
      <c r="O85" s="112">
        <v>0</v>
      </c>
      <c r="P85" s="112">
        <v>0.34</v>
      </c>
      <c r="Q85" s="112">
        <v>4.62</v>
      </c>
    </row>
    <row r="86" spans="1:17" customFormat="1">
      <c r="A86" s="80">
        <v>45484.8125</v>
      </c>
      <c r="B86" s="112">
        <v>9.4499999999999993</v>
      </c>
      <c r="C86" s="112">
        <v>4.07</v>
      </c>
      <c r="D86" s="112">
        <v>14.15</v>
      </c>
      <c r="E86" s="112">
        <v>10.66</v>
      </c>
      <c r="F86" s="112">
        <v>6.97</v>
      </c>
      <c r="G86" s="112">
        <v>24.79</v>
      </c>
      <c r="H86" s="112">
        <v>18.13</v>
      </c>
      <c r="I86" s="112">
        <v>3.67</v>
      </c>
      <c r="J86" s="112">
        <v>0.5</v>
      </c>
      <c r="K86" s="112">
        <v>255.49</v>
      </c>
      <c r="L86" s="112">
        <v>29.72</v>
      </c>
      <c r="M86" s="112">
        <v>77.069999999999993</v>
      </c>
      <c r="N86" s="112">
        <v>2.6</v>
      </c>
      <c r="O86" s="112">
        <v>0</v>
      </c>
      <c r="P86" s="112">
        <v>0.34</v>
      </c>
      <c r="Q86" s="112">
        <v>4.62</v>
      </c>
    </row>
    <row r="87" spans="1:17" customFormat="1">
      <c r="A87" s="80">
        <v>45484.822916666664</v>
      </c>
      <c r="B87" s="112">
        <v>9.44</v>
      </c>
      <c r="C87" s="112">
        <v>4.09</v>
      </c>
      <c r="D87" s="112">
        <v>14.15</v>
      </c>
      <c r="E87" s="112">
        <v>10.55</v>
      </c>
      <c r="F87" s="112">
        <v>6.84</v>
      </c>
      <c r="G87" s="112">
        <v>25.49</v>
      </c>
      <c r="H87" s="112">
        <v>17.66</v>
      </c>
      <c r="I87" s="112">
        <v>3.74</v>
      </c>
      <c r="J87" s="112">
        <v>0.56999999999999995</v>
      </c>
      <c r="K87" s="112">
        <v>264.22000000000003</v>
      </c>
      <c r="L87" s="112">
        <v>28.77</v>
      </c>
      <c r="M87" s="112">
        <v>76.23</v>
      </c>
      <c r="N87" s="112">
        <v>3</v>
      </c>
      <c r="O87" s="112">
        <v>0</v>
      </c>
      <c r="P87" s="112">
        <v>0.33</v>
      </c>
      <c r="Q87" s="112">
        <v>4.63</v>
      </c>
    </row>
    <row r="88" spans="1:17" customFormat="1">
      <c r="A88" s="80">
        <v>45484.833333333336</v>
      </c>
      <c r="B88" s="112">
        <v>9.44</v>
      </c>
      <c r="C88" s="112">
        <v>4.09</v>
      </c>
      <c r="D88" s="112">
        <v>14.15</v>
      </c>
      <c r="E88" s="112">
        <v>10.87</v>
      </c>
      <c r="F88" s="112">
        <v>6.15</v>
      </c>
      <c r="G88" s="112">
        <v>26.02</v>
      </c>
      <c r="H88" s="112">
        <v>17.510000000000002</v>
      </c>
      <c r="I88" s="112">
        <v>3.8</v>
      </c>
      <c r="J88" s="112">
        <v>0.49</v>
      </c>
      <c r="K88" s="112">
        <v>263.98</v>
      </c>
      <c r="L88" s="112">
        <v>28.32</v>
      </c>
      <c r="M88" s="112">
        <v>81.27</v>
      </c>
      <c r="N88" s="112">
        <v>2.4</v>
      </c>
      <c r="O88" s="112">
        <v>0</v>
      </c>
      <c r="P88" s="112">
        <v>0.34</v>
      </c>
      <c r="Q88" s="112">
        <v>4.62</v>
      </c>
    </row>
    <row r="89" spans="1:17" customFormat="1">
      <c r="A89" s="80">
        <v>45484.84375</v>
      </c>
      <c r="B89" s="112">
        <v>9.44</v>
      </c>
      <c r="C89" s="112">
        <v>4.08</v>
      </c>
      <c r="D89" s="112">
        <v>14.15</v>
      </c>
      <c r="E89" s="112">
        <v>10.78</v>
      </c>
      <c r="F89" s="112">
        <v>5.24</v>
      </c>
      <c r="G89" s="112">
        <v>26.02</v>
      </c>
      <c r="H89" s="112">
        <v>17.510000000000002</v>
      </c>
      <c r="I89" s="112">
        <v>3.75</v>
      </c>
      <c r="J89" s="112">
        <v>0.36</v>
      </c>
      <c r="K89" s="112">
        <v>256.14</v>
      </c>
      <c r="L89" s="112">
        <v>28.21</v>
      </c>
      <c r="M89" s="112">
        <v>83.58</v>
      </c>
      <c r="N89" s="112">
        <v>2.1</v>
      </c>
      <c r="O89" s="112">
        <v>0</v>
      </c>
      <c r="P89" s="112">
        <v>0.35</v>
      </c>
      <c r="Q89" s="112">
        <v>4.63</v>
      </c>
    </row>
    <row r="90" spans="1:17" customFormat="1">
      <c r="A90" s="80">
        <v>45484.854166666664</v>
      </c>
      <c r="B90" s="112">
        <v>9.43</v>
      </c>
      <c r="C90" s="112">
        <v>4.08</v>
      </c>
      <c r="D90" s="112">
        <v>14.15</v>
      </c>
      <c r="E90" s="112">
        <v>10.74</v>
      </c>
      <c r="F90" s="112">
        <v>6.92</v>
      </c>
      <c r="G90" s="112">
        <v>26.02</v>
      </c>
      <c r="H90" s="112">
        <v>17.510000000000002</v>
      </c>
      <c r="I90" s="112">
        <v>3.73</v>
      </c>
      <c r="J90" s="112">
        <v>0.28000000000000003</v>
      </c>
      <c r="K90" s="112">
        <v>260.98</v>
      </c>
      <c r="L90" s="112">
        <v>28.15</v>
      </c>
      <c r="M90" s="112">
        <v>84.84</v>
      </c>
      <c r="N90" s="112">
        <v>2.1</v>
      </c>
      <c r="O90" s="112">
        <v>0</v>
      </c>
      <c r="P90" s="112">
        <v>0.4</v>
      </c>
      <c r="Q90" s="112">
        <v>4.62</v>
      </c>
    </row>
    <row r="91" spans="1:17" customFormat="1">
      <c r="A91" s="80">
        <v>45484.864583333336</v>
      </c>
      <c r="B91" s="112">
        <v>9.42</v>
      </c>
      <c r="C91" s="112">
        <v>4.08</v>
      </c>
      <c r="D91" s="112">
        <v>14.13</v>
      </c>
      <c r="E91" s="112">
        <v>11.24</v>
      </c>
      <c r="F91" s="112">
        <v>8.41</v>
      </c>
      <c r="G91" s="112">
        <v>23.66</v>
      </c>
      <c r="H91" s="112">
        <v>15.03</v>
      </c>
      <c r="I91" s="112">
        <v>3.85</v>
      </c>
      <c r="J91" s="112">
        <v>0.43</v>
      </c>
      <c r="K91" s="112">
        <v>265.10000000000002</v>
      </c>
      <c r="L91" s="112">
        <v>28.14</v>
      </c>
      <c r="M91" s="112">
        <v>84.44</v>
      </c>
      <c r="N91" s="112">
        <v>2.1</v>
      </c>
      <c r="O91" s="112">
        <v>0</v>
      </c>
      <c r="P91" s="112">
        <v>0.43</v>
      </c>
      <c r="Q91" s="112">
        <v>4.6399999999999997</v>
      </c>
    </row>
    <row r="92" spans="1:17" customFormat="1">
      <c r="A92" s="80">
        <v>45484.875</v>
      </c>
      <c r="B92" s="112">
        <v>9.42</v>
      </c>
      <c r="C92" s="112">
        <v>4.07</v>
      </c>
      <c r="D92" s="112">
        <v>14.13</v>
      </c>
      <c r="E92" s="112">
        <v>11.55</v>
      </c>
      <c r="F92" s="112">
        <v>8.3699999999999992</v>
      </c>
      <c r="G92" s="112">
        <v>21.85</v>
      </c>
      <c r="H92" s="112">
        <v>14.24</v>
      </c>
      <c r="I92" s="112">
        <v>3.93</v>
      </c>
      <c r="J92" s="112">
        <v>0.4</v>
      </c>
      <c r="K92" s="112">
        <v>263.83999999999997</v>
      </c>
      <c r="L92" s="112">
        <v>28.07</v>
      </c>
      <c r="M92" s="112">
        <v>84.64</v>
      </c>
      <c r="N92" s="112">
        <v>2</v>
      </c>
      <c r="O92" s="112">
        <v>0</v>
      </c>
      <c r="P92" s="112">
        <v>0.44</v>
      </c>
      <c r="Q92" s="112">
        <v>4.6399999999999997</v>
      </c>
    </row>
    <row r="93" spans="1:17" customFormat="1">
      <c r="A93" s="80">
        <v>45484.885416666664</v>
      </c>
      <c r="B93" s="112">
        <v>9.39</v>
      </c>
      <c r="C93" s="112">
        <v>4.07</v>
      </c>
      <c r="D93" s="112">
        <v>14.1</v>
      </c>
      <c r="E93" s="112">
        <v>10.82</v>
      </c>
      <c r="F93" s="112">
        <v>7.57</v>
      </c>
      <c r="G93" s="112">
        <v>21.85</v>
      </c>
      <c r="H93" s="112">
        <v>14.24</v>
      </c>
      <c r="I93" s="112">
        <v>4.05</v>
      </c>
      <c r="J93" s="112">
        <v>0.54</v>
      </c>
      <c r="K93" s="112">
        <v>266.17</v>
      </c>
      <c r="L93" s="112">
        <v>28.2</v>
      </c>
      <c r="M93" s="112">
        <v>82.53</v>
      </c>
      <c r="N93" s="112">
        <v>1.7</v>
      </c>
      <c r="O93" s="112">
        <v>0</v>
      </c>
      <c r="P93" s="112">
        <v>0.45</v>
      </c>
      <c r="Q93" s="112">
        <v>4.6500000000000004</v>
      </c>
    </row>
    <row r="94" spans="1:17" customFormat="1">
      <c r="A94" s="80">
        <v>45484.895833333336</v>
      </c>
      <c r="B94" s="112">
        <v>9.3699999999999992</v>
      </c>
      <c r="C94" s="112">
        <v>4.08</v>
      </c>
      <c r="D94" s="112">
        <v>14.09</v>
      </c>
      <c r="E94" s="112">
        <v>10.210000000000001</v>
      </c>
      <c r="F94" s="112">
        <v>8.2899999999999991</v>
      </c>
      <c r="G94" s="112">
        <v>21.85</v>
      </c>
      <c r="H94" s="112">
        <v>14.24</v>
      </c>
      <c r="I94" s="112">
        <v>4.18</v>
      </c>
      <c r="J94" s="112">
        <v>0.17</v>
      </c>
      <c r="K94" s="112">
        <v>227.12</v>
      </c>
      <c r="L94" s="112">
        <v>28.16</v>
      </c>
      <c r="M94" s="112">
        <v>83.53</v>
      </c>
      <c r="N94" s="112">
        <v>2.1</v>
      </c>
      <c r="O94" s="112">
        <v>0</v>
      </c>
      <c r="P94" s="112">
        <v>0.46</v>
      </c>
      <c r="Q94" s="112">
        <v>4.66</v>
      </c>
    </row>
    <row r="95" spans="1:17" customFormat="1">
      <c r="A95" s="80">
        <v>45484.90625</v>
      </c>
      <c r="B95" s="112">
        <v>9.36</v>
      </c>
      <c r="C95" s="112">
        <v>4.0999999999999996</v>
      </c>
      <c r="D95" s="112">
        <v>14.1</v>
      </c>
      <c r="E95" s="112">
        <v>9.5299999999999994</v>
      </c>
      <c r="F95" s="112">
        <v>8.73</v>
      </c>
      <c r="G95" s="112">
        <v>25.52</v>
      </c>
      <c r="H95" s="112">
        <v>15.44</v>
      </c>
      <c r="I95" s="112">
        <v>4.3499999999999996</v>
      </c>
      <c r="J95" s="112">
        <v>0.16</v>
      </c>
      <c r="K95" s="112">
        <v>213.79</v>
      </c>
      <c r="L95" s="112">
        <v>27.98</v>
      </c>
      <c r="M95" s="112">
        <v>85.94</v>
      </c>
      <c r="N95" s="112">
        <v>2.1</v>
      </c>
      <c r="O95" s="112">
        <v>0</v>
      </c>
      <c r="P95" s="112">
        <v>0.46</v>
      </c>
      <c r="Q95" s="112">
        <v>4.63</v>
      </c>
    </row>
    <row r="96" spans="1:17" customFormat="1">
      <c r="A96" s="80">
        <v>45484.916666666664</v>
      </c>
      <c r="B96" s="112">
        <v>9.3699999999999992</v>
      </c>
      <c r="C96" s="112">
        <v>4.07</v>
      </c>
      <c r="D96" s="112">
        <v>14.1</v>
      </c>
      <c r="E96" s="112">
        <v>9.3699999999999992</v>
      </c>
      <c r="F96" s="112">
        <v>8.68</v>
      </c>
      <c r="G96" s="112">
        <v>28.33</v>
      </c>
      <c r="H96" s="112">
        <v>15.83</v>
      </c>
      <c r="I96" s="112">
        <v>4.42</v>
      </c>
      <c r="J96" s="112">
        <v>0.24</v>
      </c>
      <c r="K96" s="112">
        <v>252.22</v>
      </c>
      <c r="L96" s="112">
        <v>27.77</v>
      </c>
      <c r="M96" s="112">
        <v>87.32</v>
      </c>
      <c r="N96" s="112">
        <v>2.1</v>
      </c>
      <c r="O96" s="112">
        <v>0</v>
      </c>
      <c r="P96" s="112">
        <v>0.46</v>
      </c>
      <c r="Q96" s="112">
        <v>4.63</v>
      </c>
    </row>
    <row r="97" spans="1:22" customFormat="1">
      <c r="A97" s="80">
        <v>45484.927083333336</v>
      </c>
      <c r="B97" s="112">
        <v>9.3699999999999992</v>
      </c>
      <c r="C97" s="112">
        <v>4.08</v>
      </c>
      <c r="D97" s="112">
        <v>14.09</v>
      </c>
      <c r="E97" s="112">
        <v>9.8800000000000008</v>
      </c>
      <c r="F97" s="112">
        <v>8.02</v>
      </c>
      <c r="G97" s="112">
        <v>28.33</v>
      </c>
      <c r="H97" s="112">
        <v>15.83</v>
      </c>
      <c r="I97" s="112">
        <v>4.4400000000000004</v>
      </c>
      <c r="J97" s="112">
        <v>0.41</v>
      </c>
      <c r="K97" s="112">
        <v>263.48</v>
      </c>
      <c r="L97" s="112">
        <v>27.82</v>
      </c>
      <c r="M97" s="112">
        <v>85.06</v>
      </c>
      <c r="N97" s="112">
        <v>2</v>
      </c>
      <c r="O97" s="112">
        <v>0</v>
      </c>
      <c r="P97" s="112">
        <v>0.47</v>
      </c>
      <c r="Q97" s="112">
        <v>4.63</v>
      </c>
    </row>
    <row r="98" spans="1:22" customFormat="1">
      <c r="A98" s="80">
        <v>45484.9375</v>
      </c>
      <c r="B98" s="112">
        <v>9.3800000000000008</v>
      </c>
      <c r="C98" s="112">
        <v>4.0599999999999996</v>
      </c>
      <c r="D98" s="112">
        <v>14.09</v>
      </c>
      <c r="E98" s="112">
        <v>10.1</v>
      </c>
      <c r="F98" s="112">
        <v>8.32</v>
      </c>
      <c r="G98" s="112">
        <v>28.33</v>
      </c>
      <c r="H98" s="112">
        <v>15.83</v>
      </c>
      <c r="I98" s="112">
        <v>4.46</v>
      </c>
      <c r="J98" s="112">
        <v>0.33</v>
      </c>
      <c r="K98" s="112">
        <v>253.74</v>
      </c>
      <c r="L98" s="112">
        <v>27.66</v>
      </c>
      <c r="M98" s="112">
        <v>85.32</v>
      </c>
      <c r="N98" s="112">
        <v>2.1</v>
      </c>
      <c r="O98" s="112">
        <v>0</v>
      </c>
      <c r="P98" s="112">
        <v>0.46</v>
      </c>
      <c r="Q98" s="112">
        <v>4.62</v>
      </c>
    </row>
    <row r="99" spans="1:22" customFormat="1">
      <c r="A99" s="80">
        <v>45484.947916666664</v>
      </c>
      <c r="B99" s="112">
        <v>9.3800000000000008</v>
      </c>
      <c r="C99" s="112">
        <v>4.07</v>
      </c>
      <c r="D99" s="112">
        <v>14.1</v>
      </c>
      <c r="E99" s="112">
        <v>10.039999999999999</v>
      </c>
      <c r="F99" s="112">
        <v>9.24</v>
      </c>
      <c r="G99" s="112">
        <v>29.12</v>
      </c>
      <c r="H99" s="112">
        <v>14.61</v>
      </c>
      <c r="I99" s="112">
        <v>4.51</v>
      </c>
      <c r="J99" s="112">
        <v>0.39</v>
      </c>
      <c r="K99" s="112">
        <v>262.26</v>
      </c>
      <c r="L99" s="112">
        <v>27.61</v>
      </c>
      <c r="M99" s="112">
        <v>84.56</v>
      </c>
      <c r="N99" s="112">
        <v>2.1</v>
      </c>
      <c r="O99" s="112">
        <v>0</v>
      </c>
      <c r="P99" s="112">
        <v>0.42</v>
      </c>
      <c r="Q99" s="112">
        <v>4.62</v>
      </c>
    </row>
    <row r="100" spans="1:22" customFormat="1">
      <c r="A100" s="80">
        <v>45484.958333333336</v>
      </c>
      <c r="B100" s="112">
        <v>9.3699999999999992</v>
      </c>
      <c r="C100" s="112">
        <v>4.1100000000000003</v>
      </c>
      <c r="D100" s="112">
        <v>14.11</v>
      </c>
      <c r="E100" s="112">
        <v>9.2899999999999991</v>
      </c>
      <c r="F100" s="112">
        <v>9.0500000000000007</v>
      </c>
      <c r="G100" s="112">
        <v>29.73</v>
      </c>
      <c r="H100" s="112">
        <v>14.22</v>
      </c>
      <c r="I100" s="112">
        <v>4.38</v>
      </c>
      <c r="J100" s="112">
        <v>0.43</v>
      </c>
      <c r="K100" s="112">
        <v>267.05</v>
      </c>
      <c r="L100" s="112">
        <v>27.51</v>
      </c>
      <c r="M100" s="112">
        <v>84.22</v>
      </c>
      <c r="N100" s="112">
        <v>2.1</v>
      </c>
      <c r="O100" s="112">
        <v>0</v>
      </c>
      <c r="P100" s="112">
        <v>0.4</v>
      </c>
      <c r="Q100" s="112">
        <v>4.6399999999999997</v>
      </c>
    </row>
    <row r="101" spans="1:22" customFormat="1">
      <c r="A101" s="80">
        <v>45484.96875</v>
      </c>
      <c r="B101" s="112">
        <v>9.3699999999999992</v>
      </c>
      <c r="C101" s="112">
        <v>4.08</v>
      </c>
      <c r="D101" s="112">
        <v>14.1</v>
      </c>
      <c r="E101" s="112">
        <v>9.23</v>
      </c>
      <c r="F101" s="112">
        <v>8.69</v>
      </c>
      <c r="G101" s="112">
        <v>29.73</v>
      </c>
      <c r="H101" s="112">
        <v>14.22</v>
      </c>
      <c r="I101" s="112">
        <v>4.13</v>
      </c>
      <c r="J101" s="112">
        <v>0.45</v>
      </c>
      <c r="K101" s="112">
        <v>260</v>
      </c>
      <c r="L101" s="112">
        <v>27.6</v>
      </c>
      <c r="M101" s="112">
        <v>83.98</v>
      </c>
      <c r="N101" s="112">
        <v>2.1</v>
      </c>
      <c r="O101" s="112">
        <v>0</v>
      </c>
      <c r="P101" s="112">
        <v>0.41</v>
      </c>
      <c r="Q101" s="112">
        <v>4.63</v>
      </c>
    </row>
    <row r="102" spans="1:22" customFormat="1">
      <c r="A102" s="80">
        <v>45484.979166666664</v>
      </c>
      <c r="B102" s="112">
        <v>9.36</v>
      </c>
      <c r="C102" s="112">
        <v>4.1100000000000003</v>
      </c>
      <c r="D102" s="112">
        <v>14.1</v>
      </c>
      <c r="E102" s="112">
        <v>8.76</v>
      </c>
      <c r="F102" s="112">
        <v>9.24</v>
      </c>
      <c r="G102" s="112">
        <v>29.73</v>
      </c>
      <c r="H102" s="112">
        <v>14.22</v>
      </c>
      <c r="I102" s="112">
        <v>3.97</v>
      </c>
      <c r="J102" s="112">
        <v>0.36</v>
      </c>
      <c r="K102" s="112">
        <v>259.37</v>
      </c>
      <c r="L102" s="112">
        <v>27.55</v>
      </c>
      <c r="M102" s="112">
        <v>85.01</v>
      </c>
      <c r="N102" s="112">
        <v>2.1</v>
      </c>
      <c r="O102" s="112">
        <v>0</v>
      </c>
      <c r="P102" s="112">
        <v>0.42</v>
      </c>
      <c r="Q102" s="112">
        <v>4.6399999999999997</v>
      </c>
    </row>
    <row r="103" spans="1:22" customFormat="1">
      <c r="A103" s="80">
        <v>45484.989583333336</v>
      </c>
      <c r="B103" s="112">
        <v>9.3800000000000008</v>
      </c>
      <c r="C103" s="112">
        <v>4.08</v>
      </c>
      <c r="D103" s="112">
        <v>14.11</v>
      </c>
      <c r="E103" s="112">
        <v>8.33</v>
      </c>
      <c r="F103" s="112">
        <v>11.21</v>
      </c>
      <c r="G103" s="112">
        <v>29.69</v>
      </c>
      <c r="H103" s="112">
        <v>16.059999999999999</v>
      </c>
      <c r="I103" s="112">
        <v>3.98</v>
      </c>
      <c r="J103" s="112">
        <v>0.31</v>
      </c>
      <c r="K103" s="112">
        <v>258.48</v>
      </c>
      <c r="L103" s="112">
        <v>27.55</v>
      </c>
      <c r="M103" s="112">
        <v>84.84</v>
      </c>
      <c r="N103" s="112">
        <v>2.2000000000000002</v>
      </c>
      <c r="O103" s="112">
        <v>0</v>
      </c>
      <c r="P103" s="112">
        <v>0.4</v>
      </c>
      <c r="Q103" s="112">
        <v>4.62</v>
      </c>
    </row>
    <row r="104" spans="1:22" customFormat="1">
      <c r="A104" s="80">
        <v>45485</v>
      </c>
      <c r="B104" s="112">
        <v>9.3699999999999992</v>
      </c>
      <c r="C104" s="112">
        <v>4.07</v>
      </c>
      <c r="D104" s="112">
        <v>14.09</v>
      </c>
      <c r="E104" s="112">
        <v>8.31</v>
      </c>
      <c r="F104" s="112">
        <v>9.86</v>
      </c>
      <c r="G104" s="112">
        <v>29.67</v>
      </c>
      <c r="H104" s="112">
        <v>16.64</v>
      </c>
      <c r="I104" s="112">
        <v>3.98</v>
      </c>
      <c r="J104" s="112">
        <v>0.38</v>
      </c>
      <c r="K104" s="112">
        <v>262.58999999999997</v>
      </c>
      <c r="L104" s="112">
        <v>27.47</v>
      </c>
      <c r="M104" s="112">
        <v>85.55</v>
      </c>
      <c r="N104" s="112">
        <v>2.2000000000000002</v>
      </c>
      <c r="O104" s="112">
        <v>0</v>
      </c>
      <c r="P104" s="112">
        <v>0.39</v>
      </c>
      <c r="Q104" s="112">
        <v>4.63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9.33</v>
      </c>
      <c r="C106" s="183">
        <f>MIN(C9:C104)</f>
        <v>4.04</v>
      </c>
      <c r="D106" s="183">
        <f t="shared" ref="D106:Q106" si="0">MIN(D9:D104)</f>
        <v>14.07</v>
      </c>
      <c r="E106" s="183">
        <f t="shared" si="0"/>
        <v>4.8899999999999997</v>
      </c>
      <c r="F106" s="183">
        <f t="shared" si="0"/>
        <v>4.3600000000000003</v>
      </c>
      <c r="G106" s="183">
        <f t="shared" si="0"/>
        <v>14.28</v>
      </c>
      <c r="H106" s="183">
        <f t="shared" si="0"/>
        <v>5.09</v>
      </c>
      <c r="I106" s="183">
        <f t="shared" si="0"/>
        <v>3.11</v>
      </c>
      <c r="J106" s="183">
        <f t="shared" si="0"/>
        <v>0.08</v>
      </c>
      <c r="K106" s="183">
        <f t="shared" si="0"/>
        <v>189.91</v>
      </c>
      <c r="L106" s="183">
        <f t="shared" si="0"/>
        <v>26.23</v>
      </c>
      <c r="M106" s="183">
        <f t="shared" si="0"/>
        <v>69.040000000000006</v>
      </c>
      <c r="N106" s="183">
        <f t="shared" si="0"/>
        <v>1.7</v>
      </c>
      <c r="O106" s="183">
        <f t="shared" si="0"/>
        <v>0</v>
      </c>
      <c r="P106" s="183">
        <f t="shared" si="0"/>
        <v>0.21</v>
      </c>
      <c r="Q106" s="183">
        <f t="shared" si="0"/>
        <v>4.5999999999999996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9.4600000000000009</v>
      </c>
      <c r="C107" s="184">
        <f t="shared" ref="C107:Q107" si="1">MAX(C9:C104)</f>
        <v>4.13</v>
      </c>
      <c r="D107" s="184">
        <f t="shared" si="1"/>
        <v>14.18</v>
      </c>
      <c r="E107" s="184">
        <f t="shared" si="1"/>
        <v>11.7</v>
      </c>
      <c r="F107" s="184">
        <f t="shared" si="1"/>
        <v>12.23</v>
      </c>
      <c r="G107" s="184">
        <f t="shared" si="1"/>
        <v>29.73</v>
      </c>
      <c r="H107" s="184">
        <f t="shared" si="1"/>
        <v>18.57</v>
      </c>
      <c r="I107" s="184">
        <f t="shared" si="1"/>
        <v>4.51</v>
      </c>
      <c r="J107" s="184">
        <f t="shared" si="1"/>
        <v>1.41</v>
      </c>
      <c r="K107" s="184">
        <f t="shared" si="1"/>
        <v>281.52</v>
      </c>
      <c r="L107" s="184">
        <f t="shared" si="1"/>
        <v>32.58</v>
      </c>
      <c r="M107" s="184">
        <f t="shared" si="1"/>
        <v>96.45</v>
      </c>
      <c r="N107" s="184">
        <f t="shared" si="1"/>
        <v>744.1</v>
      </c>
      <c r="O107" s="184">
        <f t="shared" si="1"/>
        <v>0</v>
      </c>
      <c r="P107" s="184">
        <f t="shared" si="1"/>
        <v>0.47</v>
      </c>
      <c r="Q107" s="184">
        <f t="shared" si="1"/>
        <v>4.66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9.3838541666666764</v>
      </c>
      <c r="C108" s="183">
        <f t="shared" ref="C108:Q108" si="2">AVERAGE(C9:C104)</f>
        <v>4.0788541666666669</v>
      </c>
      <c r="D108" s="183">
        <f t="shared" si="2"/>
        <v>14.105729166666672</v>
      </c>
      <c r="E108" s="183">
        <f t="shared" si="2"/>
        <v>8.5048958333333307</v>
      </c>
      <c r="F108" s="183">
        <f t="shared" si="2"/>
        <v>8.1891666666666669</v>
      </c>
      <c r="G108" s="183">
        <f t="shared" si="2"/>
        <v>22.000104166666656</v>
      </c>
      <c r="H108" s="183">
        <f t="shared" si="2"/>
        <v>11.918333333333335</v>
      </c>
      <c r="I108" s="183">
        <f t="shared" si="2"/>
        <v>3.5966666666666689</v>
      </c>
      <c r="J108" s="183">
        <f t="shared" si="2"/>
        <v>0.57333333333333336</v>
      </c>
      <c r="K108" s="183">
        <f t="shared" si="2"/>
        <v>259.34656249999995</v>
      </c>
      <c r="L108" s="183">
        <f t="shared" si="2"/>
        <v>28.880416666666665</v>
      </c>
      <c r="M108" s="183">
        <f t="shared" si="2"/>
        <v>83.606458333333322</v>
      </c>
      <c r="N108" s="183">
        <f t="shared" si="2"/>
        <v>126.12812500000008</v>
      </c>
      <c r="O108" s="183">
        <f t="shared" si="2"/>
        <v>0</v>
      </c>
      <c r="P108" s="183">
        <f t="shared" si="2"/>
        <v>0.32041666666666668</v>
      </c>
      <c r="Q108" s="183">
        <f t="shared" si="2"/>
        <v>4.63645833333333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3.3697408667094857E-2</v>
      </c>
      <c r="C109" s="183">
        <f t="shared" ref="C109:Q109" si="3">STDEV(C9:C104)</f>
        <v>1.6974891157959256E-2</v>
      </c>
      <c r="D109" s="183">
        <f t="shared" si="3"/>
        <v>2.7481852066090121E-2</v>
      </c>
      <c r="E109" s="183">
        <f t="shared" si="3"/>
        <v>1.790400128634398</v>
      </c>
      <c r="F109" s="183">
        <f t="shared" si="3"/>
        <v>1.9019168539392659</v>
      </c>
      <c r="G109" s="183">
        <f t="shared" si="3"/>
        <v>3.7493793155925834</v>
      </c>
      <c r="H109" s="183">
        <f t="shared" si="3"/>
        <v>3.9054004893808352</v>
      </c>
      <c r="I109" s="183">
        <f t="shared" si="3"/>
        <v>0.36513780143266034</v>
      </c>
      <c r="J109" s="183">
        <f t="shared" si="3"/>
        <v>0.35448900707969905</v>
      </c>
      <c r="K109" s="183">
        <f t="shared" si="3"/>
        <v>16.516961605900871</v>
      </c>
      <c r="L109" s="183">
        <f t="shared" si="3"/>
        <v>2.0031148989125236</v>
      </c>
      <c r="M109" s="183">
        <f t="shared" si="3"/>
        <v>8.2905772739354191</v>
      </c>
      <c r="N109" s="183">
        <f t="shared" si="3"/>
        <v>176.59656592186246</v>
      </c>
      <c r="O109" s="183">
        <f t="shared" si="3"/>
        <v>0</v>
      </c>
      <c r="P109" s="183">
        <f t="shared" si="3"/>
        <v>5.946988033170001E-2</v>
      </c>
      <c r="Q109" s="183">
        <f t="shared" si="3"/>
        <v>1.160573058691877E-2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Q9" sqref="Q9:Q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45485.010416666664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45485.010416666664</v>
      </c>
      <c r="B9" s="112">
        <v>9.27</v>
      </c>
      <c r="C9" s="112">
        <v>4</v>
      </c>
      <c r="D9" s="112">
        <v>13.97</v>
      </c>
      <c r="E9" s="112">
        <v>8.42</v>
      </c>
      <c r="F9" s="112">
        <v>9.27</v>
      </c>
      <c r="G9" s="112">
        <v>29.67</v>
      </c>
      <c r="H9" s="112">
        <v>16.64</v>
      </c>
      <c r="I9" s="112">
        <v>3.85</v>
      </c>
      <c r="J9" s="112">
        <v>0.31</v>
      </c>
      <c r="K9" s="112">
        <v>258.27999999999997</v>
      </c>
      <c r="L9" s="112">
        <v>27.48</v>
      </c>
      <c r="M9" s="112">
        <v>85.25</v>
      </c>
      <c r="N9" s="112">
        <v>2.2000000000000002</v>
      </c>
      <c r="O9" s="112">
        <v>0</v>
      </c>
      <c r="P9" s="112">
        <v>0.39</v>
      </c>
      <c r="Q9" s="112">
        <v>4.58</v>
      </c>
    </row>
    <row r="10" spans="1:21" customFormat="1">
      <c r="A10" s="80">
        <v>45485.020833333336</v>
      </c>
      <c r="B10" s="112">
        <v>9.26</v>
      </c>
      <c r="C10" s="112">
        <v>4.07</v>
      </c>
      <c r="D10" s="112">
        <v>14</v>
      </c>
      <c r="E10" s="112">
        <v>8.1300000000000008</v>
      </c>
      <c r="F10" s="112">
        <v>9.93</v>
      </c>
      <c r="G10" s="112">
        <v>29.67</v>
      </c>
      <c r="H10" s="112">
        <v>16.64</v>
      </c>
      <c r="I10" s="112">
        <v>3.87</v>
      </c>
      <c r="J10" s="112">
        <v>0.34</v>
      </c>
      <c r="K10" s="112">
        <v>263.75</v>
      </c>
      <c r="L10" s="112">
        <v>27.3</v>
      </c>
      <c r="M10" s="112">
        <v>85.52</v>
      </c>
      <c r="N10" s="112">
        <v>2.2000000000000002</v>
      </c>
      <c r="O10" s="112">
        <v>0</v>
      </c>
      <c r="P10" s="112">
        <v>0.39</v>
      </c>
      <c r="Q10" s="112">
        <v>4.57</v>
      </c>
    </row>
    <row r="11" spans="1:21" customFormat="1">
      <c r="A11" s="80">
        <v>45485.03125</v>
      </c>
      <c r="B11" s="112">
        <v>9.25</v>
      </c>
      <c r="C11" s="112">
        <v>4.07</v>
      </c>
      <c r="D11" s="112">
        <v>14</v>
      </c>
      <c r="E11" s="112">
        <v>7.81</v>
      </c>
      <c r="F11" s="112">
        <v>12.26</v>
      </c>
      <c r="G11" s="112">
        <v>27.74</v>
      </c>
      <c r="H11" s="112">
        <v>13.59</v>
      </c>
      <c r="I11" s="112">
        <v>3.8</v>
      </c>
      <c r="J11" s="112">
        <v>0.28000000000000003</v>
      </c>
      <c r="K11" s="112">
        <v>263.25</v>
      </c>
      <c r="L11" s="112">
        <v>27.3</v>
      </c>
      <c r="M11" s="112">
        <v>86.89</v>
      </c>
      <c r="N11" s="112">
        <v>2.1</v>
      </c>
      <c r="O11" s="112">
        <v>0</v>
      </c>
      <c r="P11" s="112">
        <v>0.37</v>
      </c>
      <c r="Q11" s="112">
        <v>4.58</v>
      </c>
    </row>
    <row r="12" spans="1:21" customFormat="1">
      <c r="A12" s="80">
        <v>45485.041666666664</v>
      </c>
      <c r="B12" s="112">
        <v>9.26</v>
      </c>
      <c r="C12" s="112">
        <v>4.07</v>
      </c>
      <c r="D12" s="112">
        <v>14</v>
      </c>
      <c r="E12" s="112">
        <v>8.07</v>
      </c>
      <c r="F12" s="112">
        <v>9.33</v>
      </c>
      <c r="G12" s="112">
        <v>26.26</v>
      </c>
      <c r="H12" s="112">
        <v>11.71</v>
      </c>
      <c r="I12" s="112">
        <v>3.84</v>
      </c>
      <c r="J12" s="112">
        <v>0.21</v>
      </c>
      <c r="K12" s="112">
        <v>243.36</v>
      </c>
      <c r="L12" s="112">
        <v>27.25</v>
      </c>
      <c r="M12" s="112">
        <v>87.68</v>
      </c>
      <c r="N12" s="112">
        <v>2.1</v>
      </c>
      <c r="O12" s="112">
        <v>0</v>
      </c>
      <c r="P12" s="112">
        <v>0.36</v>
      </c>
      <c r="Q12" s="112">
        <v>4.57</v>
      </c>
    </row>
    <row r="13" spans="1:21" customFormat="1">
      <c r="A13" s="80">
        <v>45485.052083333336</v>
      </c>
      <c r="B13" s="112">
        <v>9.25</v>
      </c>
      <c r="C13" s="112">
        <v>4.08</v>
      </c>
      <c r="D13" s="112">
        <v>14</v>
      </c>
      <c r="E13" s="112">
        <v>8.36</v>
      </c>
      <c r="F13" s="112">
        <v>8.3699999999999992</v>
      </c>
      <c r="G13" s="112">
        <v>26.26</v>
      </c>
      <c r="H13" s="112">
        <v>11.71</v>
      </c>
      <c r="I13" s="112">
        <v>3.51</v>
      </c>
      <c r="J13" s="112">
        <v>0.15</v>
      </c>
      <c r="K13" s="112">
        <v>241.51</v>
      </c>
      <c r="L13" s="112">
        <v>27.27</v>
      </c>
      <c r="M13" s="112">
        <v>87.26</v>
      </c>
      <c r="N13" s="112">
        <v>2.1</v>
      </c>
      <c r="O13" s="112">
        <v>0</v>
      </c>
      <c r="P13" s="112">
        <v>0.34</v>
      </c>
      <c r="Q13" s="112">
        <v>4.54</v>
      </c>
    </row>
    <row r="14" spans="1:21" customFormat="1">
      <c r="A14" s="80">
        <v>45485.0625</v>
      </c>
      <c r="B14" s="112">
        <v>9.2899999999999991</v>
      </c>
      <c r="C14" s="112">
        <v>4.09</v>
      </c>
      <c r="D14" s="112">
        <v>14.04</v>
      </c>
      <c r="E14" s="112">
        <v>8.6999999999999993</v>
      </c>
      <c r="F14" s="112">
        <v>8.2100000000000009</v>
      </c>
      <c r="G14" s="112">
        <v>26.26</v>
      </c>
      <c r="H14" s="112">
        <v>11.71</v>
      </c>
      <c r="I14" s="112">
        <v>3.89</v>
      </c>
      <c r="J14" s="112">
        <v>0.17</v>
      </c>
      <c r="K14" s="112">
        <v>230.78</v>
      </c>
      <c r="L14" s="112">
        <v>27.14</v>
      </c>
      <c r="M14" s="112">
        <v>88.53</v>
      </c>
      <c r="N14" s="112">
        <v>2.1</v>
      </c>
      <c r="O14" s="112">
        <v>0</v>
      </c>
      <c r="P14" s="112">
        <v>0.33</v>
      </c>
      <c r="Q14" s="112">
        <v>4.55</v>
      </c>
    </row>
    <row r="15" spans="1:21" customFormat="1">
      <c r="A15" s="80">
        <v>45485.072916666664</v>
      </c>
      <c r="B15" s="112">
        <v>9.2899999999999991</v>
      </c>
      <c r="C15" s="112">
        <v>4.08</v>
      </c>
      <c r="D15" s="112">
        <v>14.03</v>
      </c>
      <c r="E15" s="112">
        <v>9</v>
      </c>
      <c r="F15" s="112">
        <v>6.79</v>
      </c>
      <c r="G15" s="112">
        <v>24.71</v>
      </c>
      <c r="H15" s="112">
        <v>10.67</v>
      </c>
      <c r="I15" s="112">
        <v>4</v>
      </c>
      <c r="J15" s="112">
        <v>0.2</v>
      </c>
      <c r="K15" s="112">
        <v>241.81</v>
      </c>
      <c r="L15" s="112">
        <v>27.08</v>
      </c>
      <c r="M15" s="112">
        <v>87.8</v>
      </c>
      <c r="N15" s="112">
        <v>2.1</v>
      </c>
      <c r="O15" s="112">
        <v>0</v>
      </c>
      <c r="P15" s="112">
        <v>0.33</v>
      </c>
      <c r="Q15" s="112">
        <v>4.57</v>
      </c>
    </row>
    <row r="16" spans="1:21" customFormat="1">
      <c r="A16" s="80">
        <v>45485.083333333336</v>
      </c>
      <c r="B16" s="112">
        <v>9.2799999999999994</v>
      </c>
      <c r="C16" s="112">
        <v>4.07</v>
      </c>
      <c r="D16" s="112">
        <v>14.02</v>
      </c>
      <c r="E16" s="112">
        <v>9.23</v>
      </c>
      <c r="F16" s="112">
        <v>6.71</v>
      </c>
      <c r="G16" s="112">
        <v>23.53</v>
      </c>
      <c r="H16" s="112">
        <v>10.34</v>
      </c>
      <c r="I16" s="112">
        <v>3.9</v>
      </c>
      <c r="J16" s="112">
        <v>0.2</v>
      </c>
      <c r="K16" s="112">
        <v>243.48</v>
      </c>
      <c r="L16" s="112">
        <v>26.88</v>
      </c>
      <c r="M16" s="112">
        <v>88.91</v>
      </c>
      <c r="N16" s="112">
        <v>2.1</v>
      </c>
      <c r="O16" s="112">
        <v>0</v>
      </c>
      <c r="P16" s="112">
        <v>0.32</v>
      </c>
      <c r="Q16" s="112">
        <v>4.57</v>
      </c>
    </row>
    <row r="17" spans="1:17" customFormat="1">
      <c r="A17" s="80">
        <v>45485.09375</v>
      </c>
      <c r="B17" s="112">
        <v>9.2899999999999991</v>
      </c>
      <c r="C17" s="112">
        <v>4.0599999999999996</v>
      </c>
      <c r="D17" s="112">
        <v>14.02</v>
      </c>
      <c r="E17" s="112">
        <v>8.73</v>
      </c>
      <c r="F17" s="112">
        <v>6.86</v>
      </c>
      <c r="G17" s="112">
        <v>23.53</v>
      </c>
      <c r="H17" s="112">
        <v>10.34</v>
      </c>
      <c r="I17" s="112">
        <v>3.86</v>
      </c>
      <c r="J17" s="112">
        <v>0.28000000000000003</v>
      </c>
      <c r="K17" s="112">
        <v>250.66</v>
      </c>
      <c r="L17" s="112">
        <v>26.89</v>
      </c>
      <c r="M17" s="112">
        <v>89.1</v>
      </c>
      <c r="N17" s="112">
        <v>2.1</v>
      </c>
      <c r="O17" s="112">
        <v>0</v>
      </c>
      <c r="P17" s="112">
        <v>0.31</v>
      </c>
      <c r="Q17" s="112">
        <v>4.58</v>
      </c>
    </row>
    <row r="18" spans="1:17" customFormat="1">
      <c r="A18" s="80">
        <v>45485.104166666664</v>
      </c>
      <c r="B18" s="112">
        <v>9.2799999999999994</v>
      </c>
      <c r="C18" s="112">
        <v>4.0599999999999996</v>
      </c>
      <c r="D18" s="112">
        <v>14.01</v>
      </c>
      <c r="E18" s="112">
        <v>10.19</v>
      </c>
      <c r="F18" s="112">
        <v>7.2</v>
      </c>
      <c r="G18" s="112">
        <v>23.53</v>
      </c>
      <c r="H18" s="112">
        <v>10.34</v>
      </c>
      <c r="I18" s="112">
        <v>3.85</v>
      </c>
      <c r="J18" s="112">
        <v>0.27</v>
      </c>
      <c r="K18" s="112">
        <v>259.14999999999998</v>
      </c>
      <c r="L18" s="112">
        <v>26.79</v>
      </c>
      <c r="M18" s="112">
        <v>89.63</v>
      </c>
      <c r="N18" s="112">
        <v>2.1</v>
      </c>
      <c r="O18" s="112">
        <v>0</v>
      </c>
      <c r="P18" s="112">
        <v>0.32</v>
      </c>
      <c r="Q18" s="112">
        <v>4.5599999999999996</v>
      </c>
    </row>
    <row r="19" spans="1:17" customFormat="1">
      <c r="A19" s="80">
        <v>45485.114583333336</v>
      </c>
      <c r="B19" s="112">
        <v>9.2899999999999991</v>
      </c>
      <c r="C19" s="112">
        <v>4.05</v>
      </c>
      <c r="D19" s="112">
        <v>14.01</v>
      </c>
      <c r="E19" s="112">
        <v>10.67</v>
      </c>
      <c r="F19" s="112">
        <v>5.66</v>
      </c>
      <c r="G19" s="112">
        <v>21.24</v>
      </c>
      <c r="H19" s="112">
        <v>8.35</v>
      </c>
      <c r="I19" s="112">
        <v>3.61</v>
      </c>
      <c r="J19" s="112">
        <v>0.23</v>
      </c>
      <c r="K19" s="112">
        <v>248.49</v>
      </c>
      <c r="L19" s="112">
        <v>26.72</v>
      </c>
      <c r="M19" s="112">
        <v>90.75</v>
      </c>
      <c r="N19" s="112">
        <v>2.1</v>
      </c>
      <c r="O19" s="112">
        <v>0</v>
      </c>
      <c r="P19" s="112">
        <v>0.31</v>
      </c>
      <c r="Q19" s="112">
        <v>4.58</v>
      </c>
    </row>
    <row r="20" spans="1:17" customFormat="1">
      <c r="A20" s="80">
        <v>45485.125</v>
      </c>
      <c r="B20" s="112">
        <v>9.2899999999999991</v>
      </c>
      <c r="C20" s="112">
        <v>4.0599999999999996</v>
      </c>
      <c r="D20" s="112">
        <v>14.03</v>
      </c>
      <c r="E20" s="112">
        <v>10.54</v>
      </c>
      <c r="F20" s="112">
        <v>5.0599999999999996</v>
      </c>
      <c r="G20" s="112">
        <v>19.489999999999998</v>
      </c>
      <c r="H20" s="112">
        <v>7.68</v>
      </c>
      <c r="I20" s="112">
        <v>3.67</v>
      </c>
      <c r="J20" s="112">
        <v>0.24</v>
      </c>
      <c r="K20" s="112">
        <v>250.95</v>
      </c>
      <c r="L20" s="112">
        <v>26.68</v>
      </c>
      <c r="M20" s="112">
        <v>90.78</v>
      </c>
      <c r="N20" s="112">
        <v>2</v>
      </c>
      <c r="O20" s="112">
        <v>0</v>
      </c>
      <c r="P20" s="112">
        <v>0.3</v>
      </c>
      <c r="Q20" s="112">
        <v>4.5599999999999996</v>
      </c>
    </row>
    <row r="21" spans="1:17" customFormat="1">
      <c r="A21" s="80">
        <v>45485.135416666664</v>
      </c>
      <c r="B21" s="112">
        <v>9.2799999999999994</v>
      </c>
      <c r="C21" s="112">
        <v>4.1100000000000003</v>
      </c>
      <c r="D21" s="112">
        <v>14.04</v>
      </c>
      <c r="E21" s="112">
        <v>10.39</v>
      </c>
      <c r="F21" s="112">
        <v>5.12</v>
      </c>
      <c r="G21" s="112">
        <v>19.489999999999998</v>
      </c>
      <c r="H21" s="112">
        <v>7.68</v>
      </c>
      <c r="I21" s="112">
        <v>3.48</v>
      </c>
      <c r="J21" s="112">
        <v>0.16</v>
      </c>
      <c r="K21" s="112">
        <v>222.19</v>
      </c>
      <c r="L21" s="112">
        <v>26.8</v>
      </c>
      <c r="M21" s="112">
        <v>89.63</v>
      </c>
      <c r="N21" s="112">
        <v>2</v>
      </c>
      <c r="O21" s="112">
        <v>0</v>
      </c>
      <c r="P21" s="112">
        <v>0.3</v>
      </c>
      <c r="Q21" s="112">
        <v>4.57</v>
      </c>
    </row>
    <row r="22" spans="1:17" customFormat="1">
      <c r="A22" s="80">
        <v>45485.145833333336</v>
      </c>
      <c r="B22" s="112">
        <v>9.3000000000000007</v>
      </c>
      <c r="C22" s="112">
        <v>4.09</v>
      </c>
      <c r="D22" s="112">
        <v>14.05</v>
      </c>
      <c r="E22" s="112">
        <v>10.81</v>
      </c>
      <c r="F22" s="112">
        <v>5.0599999999999996</v>
      </c>
      <c r="G22" s="112">
        <v>19.489999999999998</v>
      </c>
      <c r="H22" s="112">
        <v>7.68</v>
      </c>
      <c r="I22" s="112">
        <v>3.62</v>
      </c>
      <c r="J22" s="112">
        <v>0.15</v>
      </c>
      <c r="K22" s="112">
        <v>236.19</v>
      </c>
      <c r="L22" s="112">
        <v>26.59</v>
      </c>
      <c r="M22" s="112">
        <v>90.66</v>
      </c>
      <c r="N22" s="112">
        <v>2.1</v>
      </c>
      <c r="O22" s="112">
        <v>0</v>
      </c>
      <c r="P22" s="112">
        <v>0.3</v>
      </c>
      <c r="Q22" s="112">
        <v>4.5599999999999996</v>
      </c>
    </row>
    <row r="23" spans="1:17" customFormat="1">
      <c r="A23" s="80">
        <v>45485.15625</v>
      </c>
      <c r="B23" s="112">
        <v>9.31</v>
      </c>
      <c r="C23" s="112">
        <v>4.07</v>
      </c>
      <c r="D23" s="112">
        <v>14.04</v>
      </c>
      <c r="E23" s="112">
        <v>10.55</v>
      </c>
      <c r="F23" s="112">
        <v>6.23</v>
      </c>
      <c r="G23" s="112">
        <v>17.899999999999999</v>
      </c>
      <c r="H23" s="112">
        <v>6.12</v>
      </c>
      <c r="I23" s="112">
        <v>3.45</v>
      </c>
      <c r="J23" s="112">
        <v>0.09</v>
      </c>
      <c r="K23" s="112">
        <v>215.53</v>
      </c>
      <c r="L23" s="112">
        <v>26.55</v>
      </c>
      <c r="M23" s="112">
        <v>91.29</v>
      </c>
      <c r="N23" s="112">
        <v>2.1</v>
      </c>
      <c r="O23" s="112">
        <v>0</v>
      </c>
      <c r="P23" s="112">
        <v>0.3</v>
      </c>
      <c r="Q23" s="112">
        <v>4.55</v>
      </c>
    </row>
    <row r="24" spans="1:17" customFormat="1">
      <c r="A24" s="80">
        <v>45485.166666666664</v>
      </c>
      <c r="B24" s="112">
        <v>9.31</v>
      </c>
      <c r="C24" s="112">
        <v>4.0599999999999996</v>
      </c>
      <c r="D24" s="112">
        <v>14.04</v>
      </c>
      <c r="E24" s="112">
        <v>11.11</v>
      </c>
      <c r="F24" s="112">
        <v>5.23</v>
      </c>
      <c r="G24" s="112">
        <v>16.68</v>
      </c>
      <c r="H24" s="112">
        <v>5.58</v>
      </c>
      <c r="I24" s="112">
        <v>3.35</v>
      </c>
      <c r="J24" s="112">
        <v>0.13</v>
      </c>
      <c r="K24" s="112">
        <v>211.28</v>
      </c>
      <c r="L24" s="112">
        <v>26.39</v>
      </c>
      <c r="M24" s="112">
        <v>91.97</v>
      </c>
      <c r="N24" s="112">
        <v>2.1</v>
      </c>
      <c r="O24" s="112">
        <v>0</v>
      </c>
      <c r="P24" s="112">
        <v>0.3</v>
      </c>
      <c r="Q24" s="112">
        <v>4.55</v>
      </c>
    </row>
    <row r="25" spans="1:17" customFormat="1">
      <c r="A25" s="80">
        <v>45485.177083333336</v>
      </c>
      <c r="B25" s="112">
        <v>9.31</v>
      </c>
      <c r="C25" s="112">
        <v>4.07</v>
      </c>
      <c r="D25" s="112">
        <v>14.05</v>
      </c>
      <c r="E25" s="112">
        <v>11.57</v>
      </c>
      <c r="F25" s="112">
        <v>4.83</v>
      </c>
      <c r="G25" s="112">
        <v>16.68</v>
      </c>
      <c r="H25" s="112">
        <v>5.58</v>
      </c>
      <c r="I25" s="112">
        <v>3.43</v>
      </c>
      <c r="J25" s="112">
        <v>0.13</v>
      </c>
      <c r="K25" s="112">
        <v>217.19</v>
      </c>
      <c r="L25" s="112">
        <v>26.35</v>
      </c>
      <c r="M25" s="112">
        <v>91.17</v>
      </c>
      <c r="N25" s="112">
        <v>2.1</v>
      </c>
      <c r="O25" s="112">
        <v>0</v>
      </c>
      <c r="P25" s="112">
        <v>0.3</v>
      </c>
      <c r="Q25" s="112">
        <v>4.5599999999999996</v>
      </c>
    </row>
    <row r="26" spans="1:17" customFormat="1">
      <c r="A26" s="80">
        <v>45485.1875</v>
      </c>
      <c r="B26" s="112">
        <v>9.31</v>
      </c>
      <c r="C26" s="112">
        <v>4.09</v>
      </c>
      <c r="D26" s="112">
        <v>14.05</v>
      </c>
      <c r="E26" s="112">
        <v>11.27</v>
      </c>
      <c r="F26" s="112">
        <v>4.79</v>
      </c>
      <c r="G26" s="112">
        <v>16.68</v>
      </c>
      <c r="H26" s="112">
        <v>5.58</v>
      </c>
      <c r="I26" s="112">
        <v>3.28</v>
      </c>
      <c r="J26" s="112">
        <v>0.21</v>
      </c>
      <c r="K26" s="112">
        <v>248.81</v>
      </c>
      <c r="L26" s="112">
        <v>26.22</v>
      </c>
      <c r="M26" s="112">
        <v>91.25</v>
      </c>
      <c r="N26" s="112">
        <v>1.9</v>
      </c>
      <c r="O26" s="112">
        <v>0</v>
      </c>
      <c r="P26" s="112">
        <v>0.28999999999999998</v>
      </c>
      <c r="Q26" s="112">
        <v>4.5999999999999996</v>
      </c>
    </row>
    <row r="27" spans="1:17" customFormat="1">
      <c r="A27" s="80">
        <v>45485.197916666664</v>
      </c>
      <c r="B27" s="112">
        <v>9.31</v>
      </c>
      <c r="C27" s="112">
        <v>4.07</v>
      </c>
      <c r="D27" s="112">
        <v>14.05</v>
      </c>
      <c r="E27" s="112">
        <v>11.99</v>
      </c>
      <c r="F27" s="112">
        <v>4.8600000000000003</v>
      </c>
      <c r="G27" s="112">
        <v>17.2</v>
      </c>
      <c r="H27" s="112">
        <v>6.48</v>
      </c>
      <c r="I27" s="112">
        <v>3.23</v>
      </c>
      <c r="J27" s="112">
        <v>0.12</v>
      </c>
      <c r="K27" s="112">
        <v>234.86</v>
      </c>
      <c r="L27" s="112">
        <v>26.31</v>
      </c>
      <c r="M27" s="112">
        <v>90.72</v>
      </c>
      <c r="N27" s="112">
        <v>2</v>
      </c>
      <c r="O27" s="112">
        <v>0</v>
      </c>
      <c r="P27" s="112">
        <v>0.28999999999999998</v>
      </c>
      <c r="Q27" s="112">
        <v>4.57</v>
      </c>
    </row>
    <row r="28" spans="1:17" customFormat="1">
      <c r="A28" s="80">
        <v>45485.208333333336</v>
      </c>
      <c r="B28" s="112">
        <v>9.32</v>
      </c>
      <c r="C28" s="112">
        <v>4.0599999999999996</v>
      </c>
      <c r="D28" s="112">
        <v>14.04</v>
      </c>
      <c r="E28" s="112">
        <v>11.88</v>
      </c>
      <c r="F28" s="112">
        <v>4.17</v>
      </c>
      <c r="G28" s="112">
        <v>17.600000000000001</v>
      </c>
      <c r="H28" s="112">
        <v>6.77</v>
      </c>
      <c r="I28" s="112">
        <v>3.16</v>
      </c>
      <c r="J28" s="112">
        <v>0.14000000000000001</v>
      </c>
      <c r="K28" s="112">
        <v>188.72</v>
      </c>
      <c r="L28" s="112">
        <v>26.22</v>
      </c>
      <c r="M28" s="112">
        <v>92.86</v>
      </c>
      <c r="N28" s="112">
        <v>2.1</v>
      </c>
      <c r="O28" s="112">
        <v>0</v>
      </c>
      <c r="P28" s="112">
        <v>0.28999999999999998</v>
      </c>
      <c r="Q28" s="112">
        <v>4.5599999999999996</v>
      </c>
    </row>
    <row r="29" spans="1:17" customFormat="1">
      <c r="A29" s="80">
        <v>45485.21875</v>
      </c>
      <c r="B29" s="112">
        <v>9.33</v>
      </c>
      <c r="C29" s="112">
        <v>4.05</v>
      </c>
      <c r="D29" s="112">
        <v>14.05</v>
      </c>
      <c r="E29" s="112">
        <v>11.87</v>
      </c>
      <c r="F29" s="112">
        <v>4.33</v>
      </c>
      <c r="G29" s="112">
        <v>17.600000000000001</v>
      </c>
      <c r="H29" s="112">
        <v>6.77</v>
      </c>
      <c r="I29" s="112">
        <v>3.33</v>
      </c>
      <c r="J29" s="112">
        <v>0.15</v>
      </c>
      <c r="K29" s="112">
        <v>184.27</v>
      </c>
      <c r="L29" s="112">
        <v>26.22</v>
      </c>
      <c r="M29" s="112">
        <v>92.17</v>
      </c>
      <c r="N29" s="112">
        <v>2.2999999999999998</v>
      </c>
      <c r="O29" s="112">
        <v>0</v>
      </c>
      <c r="P29" s="112">
        <v>0.28999999999999998</v>
      </c>
      <c r="Q29" s="112">
        <v>4.57</v>
      </c>
    </row>
    <row r="30" spans="1:17" customFormat="1">
      <c r="A30" s="80">
        <v>45485.229166666664</v>
      </c>
      <c r="B30" s="112">
        <v>9.33</v>
      </c>
      <c r="C30" s="112">
        <v>4.07</v>
      </c>
      <c r="D30" s="112">
        <v>14.06</v>
      </c>
      <c r="E30" s="112">
        <v>11.98</v>
      </c>
      <c r="F30" s="112">
        <v>4.3600000000000003</v>
      </c>
      <c r="G30" s="112">
        <v>17.600000000000001</v>
      </c>
      <c r="H30" s="112">
        <v>6.77</v>
      </c>
      <c r="I30" s="112">
        <v>3.22</v>
      </c>
      <c r="J30" s="112">
        <v>0.13</v>
      </c>
      <c r="K30" s="112">
        <v>188.24</v>
      </c>
      <c r="L30" s="112">
        <v>26</v>
      </c>
      <c r="M30" s="112">
        <v>95.26</v>
      </c>
      <c r="N30" s="112">
        <v>4.8</v>
      </c>
      <c r="O30" s="112">
        <v>0</v>
      </c>
      <c r="P30" s="112">
        <v>0.28999999999999998</v>
      </c>
      <c r="Q30" s="112">
        <v>4.5599999999999996</v>
      </c>
    </row>
    <row r="31" spans="1:17" customFormat="1">
      <c r="A31" s="80">
        <v>45485.239583333336</v>
      </c>
      <c r="B31" s="112">
        <v>9.31</v>
      </c>
      <c r="C31" s="112">
        <v>4.08</v>
      </c>
      <c r="D31" s="112">
        <v>14.04</v>
      </c>
      <c r="E31" s="112">
        <v>11.92</v>
      </c>
      <c r="F31" s="112">
        <v>4.33</v>
      </c>
      <c r="G31" s="112">
        <v>17.13</v>
      </c>
      <c r="H31" s="112">
        <v>5.44</v>
      </c>
      <c r="I31" s="112">
        <v>3.2</v>
      </c>
      <c r="J31" s="112">
        <v>0.11</v>
      </c>
      <c r="K31" s="112">
        <v>188.77</v>
      </c>
      <c r="L31" s="112">
        <v>26.03</v>
      </c>
      <c r="M31" s="112">
        <v>95.68</v>
      </c>
      <c r="N31" s="112">
        <v>12.1</v>
      </c>
      <c r="O31" s="112">
        <v>0</v>
      </c>
      <c r="P31" s="112">
        <v>0.28999999999999998</v>
      </c>
      <c r="Q31" s="112">
        <v>4.5599999999999996</v>
      </c>
    </row>
    <row r="32" spans="1:17" customFormat="1">
      <c r="A32" s="80">
        <v>45485.25</v>
      </c>
      <c r="B32" s="112">
        <v>9.3000000000000007</v>
      </c>
      <c r="C32" s="112">
        <v>4.09</v>
      </c>
      <c r="D32" s="112">
        <v>14.05</v>
      </c>
      <c r="E32" s="112">
        <v>12.04</v>
      </c>
      <c r="F32" s="112">
        <v>3.41</v>
      </c>
      <c r="G32" s="112">
        <v>16.760000000000002</v>
      </c>
      <c r="H32" s="112">
        <v>5.01</v>
      </c>
      <c r="I32" s="112">
        <v>3.22</v>
      </c>
      <c r="J32" s="112">
        <v>0.12</v>
      </c>
      <c r="K32" s="112">
        <v>225.91</v>
      </c>
      <c r="L32" s="112">
        <v>26.05</v>
      </c>
      <c r="M32" s="112">
        <v>95.21</v>
      </c>
      <c r="N32" s="112">
        <v>16.600000000000001</v>
      </c>
      <c r="O32" s="112">
        <v>0</v>
      </c>
      <c r="P32" s="112">
        <v>0.33</v>
      </c>
      <c r="Q32" s="112">
        <v>4.55</v>
      </c>
    </row>
    <row r="33" spans="1:17" customFormat="1">
      <c r="A33" s="80">
        <v>45485.260416666664</v>
      </c>
      <c r="B33" s="112">
        <v>9.3000000000000007</v>
      </c>
      <c r="C33" s="112">
        <v>4.08</v>
      </c>
      <c r="D33" s="112">
        <v>14.03</v>
      </c>
      <c r="E33" s="112">
        <v>12.63</v>
      </c>
      <c r="F33" s="112">
        <v>3.84</v>
      </c>
      <c r="G33" s="112">
        <v>16.760000000000002</v>
      </c>
      <c r="H33" s="112">
        <v>5.01</v>
      </c>
      <c r="I33" s="112">
        <v>3.22</v>
      </c>
      <c r="J33" s="112">
        <v>0.17</v>
      </c>
      <c r="K33" s="112">
        <v>250.76</v>
      </c>
      <c r="L33" s="112">
        <v>26.39</v>
      </c>
      <c r="M33" s="112">
        <v>92.65</v>
      </c>
      <c r="N33" s="112">
        <v>21.6</v>
      </c>
      <c r="O33" s="112">
        <v>0</v>
      </c>
      <c r="P33" s="112">
        <v>0.34</v>
      </c>
      <c r="Q33" s="112">
        <v>4.5599999999999996</v>
      </c>
    </row>
    <row r="34" spans="1:17" customFormat="1">
      <c r="A34" s="80">
        <v>45485.270833333336</v>
      </c>
      <c r="B34" s="112">
        <v>9.2799999999999994</v>
      </c>
      <c r="C34" s="112">
        <v>4.0999999999999996</v>
      </c>
      <c r="D34" s="112">
        <v>14.04</v>
      </c>
      <c r="E34" s="112">
        <v>11.86</v>
      </c>
      <c r="F34" s="112">
        <v>4.71</v>
      </c>
      <c r="G34" s="112">
        <v>16.760000000000002</v>
      </c>
      <c r="H34" s="112">
        <v>5.01</v>
      </c>
      <c r="I34" s="112">
        <v>3.23</v>
      </c>
      <c r="J34" s="112">
        <v>0.24</v>
      </c>
      <c r="K34" s="112">
        <v>263.27</v>
      </c>
      <c r="L34" s="112">
        <v>26.45</v>
      </c>
      <c r="M34" s="112">
        <v>92.97</v>
      </c>
      <c r="N34" s="112">
        <v>25.7</v>
      </c>
      <c r="O34" s="112">
        <v>0</v>
      </c>
      <c r="P34" s="112">
        <v>0.34</v>
      </c>
      <c r="Q34" s="112">
        <v>4.57</v>
      </c>
    </row>
    <row r="35" spans="1:17" customFormat="1">
      <c r="A35" s="80">
        <v>45485.28125</v>
      </c>
      <c r="B35" s="112">
        <v>9.27</v>
      </c>
      <c r="C35" s="112">
        <v>4.0999999999999996</v>
      </c>
      <c r="D35" s="112">
        <v>14.02</v>
      </c>
      <c r="E35" s="112">
        <v>10.83</v>
      </c>
      <c r="F35" s="112">
        <v>6.22</v>
      </c>
      <c r="G35" s="112">
        <v>15.91</v>
      </c>
      <c r="H35" s="112">
        <v>4.91</v>
      </c>
      <c r="I35" s="112">
        <v>3.23</v>
      </c>
      <c r="J35" s="112">
        <v>0.28000000000000003</v>
      </c>
      <c r="K35" s="112">
        <v>265.5</v>
      </c>
      <c r="L35" s="112">
        <v>26.66</v>
      </c>
      <c r="M35" s="112">
        <v>91.9</v>
      </c>
      <c r="N35" s="112">
        <v>42.1</v>
      </c>
      <c r="O35" s="112">
        <v>0</v>
      </c>
      <c r="P35" s="112">
        <v>0.34</v>
      </c>
      <c r="Q35" s="112">
        <v>4.58</v>
      </c>
    </row>
    <row r="36" spans="1:17" customFormat="1">
      <c r="A36" s="80">
        <v>45485.291666666664</v>
      </c>
      <c r="B36" s="112">
        <v>9.2799999999999994</v>
      </c>
      <c r="C36" s="112">
        <v>4.07</v>
      </c>
      <c r="D36" s="112">
        <v>14.01</v>
      </c>
      <c r="E36" s="112">
        <v>10.33</v>
      </c>
      <c r="F36" s="112">
        <v>6.71</v>
      </c>
      <c r="G36" s="112">
        <v>15.26</v>
      </c>
      <c r="H36" s="112">
        <v>4.8499999999999996</v>
      </c>
      <c r="I36" s="112">
        <v>3.32</v>
      </c>
      <c r="J36" s="112">
        <v>0.35</v>
      </c>
      <c r="K36" s="112">
        <v>269.07</v>
      </c>
      <c r="L36" s="112">
        <v>26.87</v>
      </c>
      <c r="M36" s="112">
        <v>90.06</v>
      </c>
      <c r="N36" s="112">
        <v>55.1</v>
      </c>
      <c r="O36" s="112">
        <v>0</v>
      </c>
      <c r="P36" s="112">
        <v>0.33</v>
      </c>
      <c r="Q36" s="112">
        <v>4.55</v>
      </c>
    </row>
    <row r="37" spans="1:17" customFormat="1">
      <c r="A37" s="80">
        <v>45485.302083333336</v>
      </c>
      <c r="B37" s="112">
        <v>9.27</v>
      </c>
      <c r="C37" s="112">
        <v>4.05</v>
      </c>
      <c r="D37" s="112">
        <v>14</v>
      </c>
      <c r="E37" s="112">
        <v>10.44</v>
      </c>
      <c r="F37" s="112">
        <v>5.65</v>
      </c>
      <c r="G37" s="112">
        <v>15.26</v>
      </c>
      <c r="H37" s="112">
        <v>4.8499999999999996</v>
      </c>
      <c r="I37" s="112">
        <v>3.2</v>
      </c>
      <c r="J37" s="112">
        <v>0.52</v>
      </c>
      <c r="K37" s="112">
        <v>271.93</v>
      </c>
      <c r="L37" s="112">
        <v>27.08</v>
      </c>
      <c r="M37" s="112">
        <v>88.82</v>
      </c>
      <c r="N37" s="112">
        <v>52.7</v>
      </c>
      <c r="O37" s="112">
        <v>0</v>
      </c>
      <c r="P37" s="112">
        <v>0.33</v>
      </c>
      <c r="Q37" s="112">
        <v>4.54</v>
      </c>
    </row>
    <row r="38" spans="1:17" customFormat="1">
      <c r="A38" s="80">
        <v>45485.3125</v>
      </c>
      <c r="B38" s="112">
        <v>9.26</v>
      </c>
      <c r="C38" s="112">
        <v>4.0599999999999996</v>
      </c>
      <c r="D38" s="112">
        <v>14</v>
      </c>
      <c r="E38" s="112">
        <v>10.01</v>
      </c>
      <c r="F38" s="112">
        <v>6.1</v>
      </c>
      <c r="G38" s="112">
        <v>15.26</v>
      </c>
      <c r="H38" s="112">
        <v>4.8499999999999996</v>
      </c>
      <c r="I38" s="112">
        <v>3.26</v>
      </c>
      <c r="J38" s="112">
        <v>0.38</v>
      </c>
      <c r="K38" s="112">
        <v>268.26</v>
      </c>
      <c r="L38" s="112">
        <v>27.11</v>
      </c>
      <c r="M38" s="112">
        <v>89.51</v>
      </c>
      <c r="N38" s="112">
        <v>58.2</v>
      </c>
      <c r="O38" s="112">
        <v>0</v>
      </c>
      <c r="P38" s="112">
        <v>0.33</v>
      </c>
      <c r="Q38" s="112">
        <v>4.54</v>
      </c>
    </row>
    <row r="39" spans="1:17" customFormat="1">
      <c r="A39" s="80">
        <v>45485.322916666664</v>
      </c>
      <c r="B39" s="112">
        <v>9.2799999999999994</v>
      </c>
      <c r="C39" s="112">
        <v>4.0599999999999996</v>
      </c>
      <c r="D39" s="112">
        <v>14.01</v>
      </c>
      <c r="E39" s="112">
        <v>10.34</v>
      </c>
      <c r="F39" s="112">
        <v>6.92</v>
      </c>
      <c r="G39" s="112">
        <v>12.92</v>
      </c>
      <c r="H39" s="112">
        <v>4.4000000000000004</v>
      </c>
      <c r="I39" s="112">
        <v>3.29</v>
      </c>
      <c r="J39" s="112">
        <v>0.43</v>
      </c>
      <c r="K39" s="112">
        <v>270.70999999999998</v>
      </c>
      <c r="L39" s="112">
        <v>27.13</v>
      </c>
      <c r="M39" s="112">
        <v>90.86</v>
      </c>
      <c r="N39" s="112">
        <v>61.9</v>
      </c>
      <c r="O39" s="112">
        <v>0</v>
      </c>
      <c r="P39" s="112">
        <v>0.33</v>
      </c>
      <c r="Q39" s="112">
        <v>4.55</v>
      </c>
    </row>
    <row r="40" spans="1:17" customFormat="1">
      <c r="A40" s="80">
        <v>45485.333333333336</v>
      </c>
      <c r="B40" s="112">
        <v>9.26</v>
      </c>
      <c r="C40" s="112">
        <v>4.08</v>
      </c>
      <c r="D40" s="112">
        <v>14.01</v>
      </c>
      <c r="E40" s="112">
        <v>9.92</v>
      </c>
      <c r="F40" s="112">
        <v>6.48</v>
      </c>
      <c r="G40" s="112">
        <v>11.14</v>
      </c>
      <c r="H40" s="112">
        <v>4.26</v>
      </c>
      <c r="I40" s="112">
        <v>3.33</v>
      </c>
      <c r="J40" s="112">
        <v>0.45</v>
      </c>
      <c r="K40" s="112">
        <v>270.05</v>
      </c>
      <c r="L40" s="112">
        <v>26.77</v>
      </c>
      <c r="M40" s="112">
        <v>93.87</v>
      </c>
      <c r="N40" s="112">
        <v>50</v>
      </c>
      <c r="O40" s="112">
        <v>1</v>
      </c>
      <c r="P40" s="112">
        <v>0.33</v>
      </c>
      <c r="Q40" s="112">
        <v>4.5999999999999996</v>
      </c>
    </row>
    <row r="41" spans="1:17" customFormat="1">
      <c r="A41" s="80">
        <v>45485.34375</v>
      </c>
      <c r="B41" s="112">
        <v>9.27</v>
      </c>
      <c r="C41" s="112">
        <v>4.0999999999999996</v>
      </c>
      <c r="D41" s="112">
        <v>14.02</v>
      </c>
      <c r="E41" s="112">
        <v>10.37</v>
      </c>
      <c r="F41" s="112">
        <v>5.14</v>
      </c>
      <c r="G41" s="112">
        <v>11.14</v>
      </c>
      <c r="H41" s="112">
        <v>4.26</v>
      </c>
      <c r="I41" s="112">
        <v>3.31</v>
      </c>
      <c r="J41" s="112">
        <v>0.38</v>
      </c>
      <c r="K41" s="112">
        <v>258.74</v>
      </c>
      <c r="L41" s="112">
        <v>26.33</v>
      </c>
      <c r="M41" s="112">
        <v>97.89</v>
      </c>
      <c r="N41" s="112">
        <v>97.9</v>
      </c>
      <c r="O41" s="112">
        <v>0.4</v>
      </c>
      <c r="P41" s="112">
        <v>0.33</v>
      </c>
      <c r="Q41" s="112">
        <v>4.5599999999999996</v>
      </c>
    </row>
    <row r="42" spans="1:17" customFormat="1">
      <c r="A42" s="80">
        <v>45485.354166666664</v>
      </c>
      <c r="B42" s="112">
        <v>9.26</v>
      </c>
      <c r="C42" s="112">
        <v>4.0999999999999996</v>
      </c>
      <c r="D42" s="112">
        <v>14.02</v>
      </c>
      <c r="E42" s="112">
        <v>10.029999999999999</v>
      </c>
      <c r="F42" s="112">
        <v>5.4</v>
      </c>
      <c r="G42" s="112">
        <v>11.14</v>
      </c>
      <c r="H42" s="112">
        <v>4.26</v>
      </c>
      <c r="I42" s="112">
        <v>3.36</v>
      </c>
      <c r="J42" s="112">
        <v>0.38</v>
      </c>
      <c r="K42" s="112">
        <v>267.33999999999997</v>
      </c>
      <c r="L42" s="112">
        <v>26.77</v>
      </c>
      <c r="M42" s="112">
        <v>97.19</v>
      </c>
      <c r="N42" s="112">
        <v>135.19999999999999</v>
      </c>
      <c r="O42" s="112">
        <v>0</v>
      </c>
      <c r="P42" s="112">
        <v>0.34</v>
      </c>
      <c r="Q42" s="112">
        <v>4.57</v>
      </c>
    </row>
    <row r="43" spans="1:17" customFormat="1">
      <c r="A43" s="80">
        <v>45485.364583333336</v>
      </c>
      <c r="B43" s="112">
        <v>9.2799999999999994</v>
      </c>
      <c r="C43" s="112">
        <v>4.07</v>
      </c>
      <c r="D43" s="112">
        <v>14.02</v>
      </c>
      <c r="E43" s="112">
        <v>9.4700000000000006</v>
      </c>
      <c r="F43" s="112">
        <v>6.17</v>
      </c>
      <c r="G43" s="112">
        <v>11.95</v>
      </c>
      <c r="H43" s="112">
        <v>6.93</v>
      </c>
      <c r="I43" s="112">
        <v>3.35</v>
      </c>
      <c r="J43" s="112">
        <v>0.48</v>
      </c>
      <c r="K43" s="112">
        <v>262.77999999999997</v>
      </c>
      <c r="L43" s="112">
        <v>27.33</v>
      </c>
      <c r="M43" s="112">
        <v>94.9</v>
      </c>
      <c r="N43" s="112">
        <v>189.9</v>
      </c>
      <c r="O43" s="112">
        <v>0.2</v>
      </c>
      <c r="P43" s="112">
        <v>0.34</v>
      </c>
      <c r="Q43" s="112">
        <v>4.5599999999999996</v>
      </c>
    </row>
    <row r="44" spans="1:17" customFormat="1">
      <c r="A44" s="80">
        <v>45485.375</v>
      </c>
      <c r="B44" s="112">
        <v>9.27</v>
      </c>
      <c r="C44" s="112">
        <v>4.0599999999999996</v>
      </c>
      <c r="D44" s="112">
        <v>14.01</v>
      </c>
      <c r="E44" s="112">
        <v>10.17</v>
      </c>
      <c r="F44" s="112">
        <v>5.8</v>
      </c>
      <c r="G44" s="112">
        <v>12.58</v>
      </c>
      <c r="H44" s="112">
        <v>7.8</v>
      </c>
      <c r="I44" s="112">
        <v>3.37</v>
      </c>
      <c r="J44" s="112">
        <v>0.79</v>
      </c>
      <c r="K44" s="112">
        <v>267.94</v>
      </c>
      <c r="L44" s="112">
        <v>27.97</v>
      </c>
      <c r="M44" s="112">
        <v>91.21</v>
      </c>
      <c r="N44" s="112">
        <v>219.3</v>
      </c>
      <c r="O44" s="112">
        <v>0</v>
      </c>
      <c r="P44" s="112">
        <v>0.34</v>
      </c>
      <c r="Q44" s="112">
        <v>4.57</v>
      </c>
    </row>
    <row r="45" spans="1:17" customFormat="1">
      <c r="A45" s="80">
        <v>45485.385416666664</v>
      </c>
      <c r="B45" s="112">
        <v>9.2799999999999994</v>
      </c>
      <c r="C45" s="112">
        <v>4.04</v>
      </c>
      <c r="D45" s="112">
        <v>14</v>
      </c>
      <c r="E45" s="112">
        <v>9.51</v>
      </c>
      <c r="F45" s="112">
        <v>6.11</v>
      </c>
      <c r="G45" s="112">
        <v>12.58</v>
      </c>
      <c r="H45" s="112">
        <v>7.8</v>
      </c>
      <c r="I45" s="112">
        <v>3.32</v>
      </c>
      <c r="J45" s="112">
        <v>0.87</v>
      </c>
      <c r="K45" s="112">
        <v>272</v>
      </c>
      <c r="L45" s="112">
        <v>28.33</v>
      </c>
      <c r="M45" s="112">
        <v>89.37</v>
      </c>
      <c r="N45" s="112">
        <v>218.3</v>
      </c>
      <c r="O45" s="112">
        <v>0</v>
      </c>
      <c r="P45" s="112">
        <v>0.34</v>
      </c>
      <c r="Q45" s="112">
        <v>4.55</v>
      </c>
    </row>
    <row r="46" spans="1:17" customFormat="1">
      <c r="A46" s="80">
        <v>45485.395833333336</v>
      </c>
      <c r="B46" s="112">
        <v>9.2799999999999994</v>
      </c>
      <c r="C46" s="112">
        <v>4.03</v>
      </c>
      <c r="D46" s="112">
        <v>14</v>
      </c>
      <c r="E46" s="112">
        <v>9.7799999999999994</v>
      </c>
      <c r="F46" s="112">
        <v>5.79</v>
      </c>
      <c r="G46" s="112">
        <v>12.58</v>
      </c>
      <c r="H46" s="112">
        <v>7.8</v>
      </c>
      <c r="I46" s="112">
        <v>3.41</v>
      </c>
      <c r="J46" s="112">
        <v>1.01</v>
      </c>
      <c r="K46" s="112">
        <v>270.64999999999998</v>
      </c>
      <c r="L46" s="112">
        <v>28.77</v>
      </c>
      <c r="M46" s="112">
        <v>86.78</v>
      </c>
      <c r="N46" s="112">
        <v>246.1</v>
      </c>
      <c r="O46" s="112">
        <v>0</v>
      </c>
      <c r="P46" s="112">
        <v>0.35</v>
      </c>
      <c r="Q46" s="112">
        <v>4.55</v>
      </c>
    </row>
    <row r="47" spans="1:17" customFormat="1">
      <c r="A47" s="80">
        <v>45485.40625</v>
      </c>
      <c r="B47" s="112">
        <v>9.27</v>
      </c>
      <c r="C47" s="112">
        <v>4.08</v>
      </c>
      <c r="D47" s="112">
        <v>14.01</v>
      </c>
      <c r="E47" s="112">
        <v>10.130000000000001</v>
      </c>
      <c r="F47" s="112">
        <v>6</v>
      </c>
      <c r="G47" s="112">
        <v>13.96</v>
      </c>
      <c r="H47" s="112">
        <v>8.6300000000000008</v>
      </c>
      <c r="I47" s="112">
        <v>3.4</v>
      </c>
      <c r="J47" s="112">
        <v>1.1000000000000001</v>
      </c>
      <c r="K47" s="112">
        <v>277.18</v>
      </c>
      <c r="L47" s="112">
        <v>28.98</v>
      </c>
      <c r="M47" s="112">
        <v>84.46</v>
      </c>
      <c r="N47" s="112">
        <v>258.89999999999998</v>
      </c>
      <c r="O47" s="112">
        <v>0</v>
      </c>
      <c r="P47" s="112">
        <v>0.37</v>
      </c>
      <c r="Q47" s="112">
        <v>4.55</v>
      </c>
    </row>
    <row r="48" spans="1:17" customFormat="1">
      <c r="A48" s="80">
        <v>45485.416666666664</v>
      </c>
      <c r="B48" s="112">
        <v>9.2899999999999991</v>
      </c>
      <c r="C48" s="112">
        <v>4.0599999999999996</v>
      </c>
      <c r="D48" s="112">
        <v>14.02</v>
      </c>
      <c r="E48" s="112">
        <v>10.98</v>
      </c>
      <c r="F48" s="112">
        <v>5.81</v>
      </c>
      <c r="G48" s="112">
        <v>15.02</v>
      </c>
      <c r="H48" s="112">
        <v>8.9</v>
      </c>
      <c r="I48" s="112">
        <v>3.45</v>
      </c>
      <c r="J48" s="112">
        <v>1.03</v>
      </c>
      <c r="K48" s="112">
        <v>271.47000000000003</v>
      </c>
      <c r="L48" s="112">
        <v>29.43</v>
      </c>
      <c r="M48" s="112">
        <v>83.23</v>
      </c>
      <c r="N48" s="112">
        <v>293.3</v>
      </c>
      <c r="O48" s="112">
        <v>0</v>
      </c>
      <c r="P48" s="112">
        <v>0.39</v>
      </c>
      <c r="Q48" s="112">
        <v>4.53</v>
      </c>
    </row>
    <row r="49" spans="1:17" customFormat="1">
      <c r="A49" s="80">
        <v>45485.427083333336</v>
      </c>
      <c r="B49" s="112">
        <v>9.3000000000000007</v>
      </c>
      <c r="C49" s="112">
        <v>4.03</v>
      </c>
      <c r="D49" s="112">
        <v>14.01</v>
      </c>
      <c r="E49" s="112">
        <v>10.08</v>
      </c>
      <c r="F49" s="112">
        <v>5.42</v>
      </c>
      <c r="G49" s="112">
        <v>15.02</v>
      </c>
      <c r="H49" s="112">
        <v>8.9</v>
      </c>
      <c r="I49" s="112">
        <v>3.6</v>
      </c>
      <c r="J49" s="112">
        <v>0.92</v>
      </c>
      <c r="K49" s="112">
        <v>274.83</v>
      </c>
      <c r="L49" s="112">
        <v>29.8</v>
      </c>
      <c r="M49" s="112">
        <v>80.72</v>
      </c>
      <c r="N49" s="112">
        <v>292.89999999999998</v>
      </c>
      <c r="O49" s="112">
        <v>0</v>
      </c>
      <c r="P49" s="112">
        <v>0.39</v>
      </c>
      <c r="Q49" s="112">
        <v>4.5599999999999996</v>
      </c>
    </row>
    <row r="50" spans="1:17" customFormat="1">
      <c r="A50" s="80">
        <v>45485.4375</v>
      </c>
      <c r="B50" s="112">
        <v>9.3000000000000007</v>
      </c>
      <c r="C50" s="112">
        <v>4.03</v>
      </c>
      <c r="D50" s="112">
        <v>14.02</v>
      </c>
      <c r="E50" s="112">
        <v>11.94</v>
      </c>
      <c r="F50" s="112">
        <v>7.23</v>
      </c>
      <c r="G50" s="112">
        <v>15.02</v>
      </c>
      <c r="H50" s="112">
        <v>8.9</v>
      </c>
      <c r="I50" s="112">
        <v>3.74</v>
      </c>
      <c r="J50" s="112">
        <v>1.06</v>
      </c>
      <c r="K50" s="112">
        <v>274.85000000000002</v>
      </c>
      <c r="L50" s="112">
        <v>30.1</v>
      </c>
      <c r="M50" s="112">
        <v>80.06</v>
      </c>
      <c r="N50" s="112">
        <v>311.5</v>
      </c>
      <c r="O50" s="112">
        <v>0</v>
      </c>
      <c r="P50" s="112">
        <v>0.39</v>
      </c>
      <c r="Q50" s="112">
        <v>4.54</v>
      </c>
    </row>
    <row r="51" spans="1:17" customFormat="1">
      <c r="A51" s="80">
        <v>45485.447916666664</v>
      </c>
      <c r="B51" s="112">
        <v>9.33</v>
      </c>
      <c r="C51" s="112">
        <v>4.0599999999999996</v>
      </c>
      <c r="D51" s="112">
        <v>14.05</v>
      </c>
      <c r="E51" s="112">
        <v>10.97</v>
      </c>
      <c r="F51" s="112">
        <v>6.21</v>
      </c>
      <c r="G51" s="112">
        <v>23.31</v>
      </c>
      <c r="H51" s="112">
        <v>11.72</v>
      </c>
      <c r="I51" s="112">
        <v>3.98</v>
      </c>
      <c r="J51" s="112">
        <v>1.0900000000000001</v>
      </c>
      <c r="K51" s="112">
        <v>274.02999999999997</v>
      </c>
      <c r="L51" s="112">
        <v>30.32</v>
      </c>
      <c r="M51" s="112">
        <v>78.540000000000006</v>
      </c>
      <c r="N51" s="112">
        <v>313</v>
      </c>
      <c r="O51" s="112">
        <v>0</v>
      </c>
      <c r="P51" s="112">
        <v>0.35</v>
      </c>
      <c r="Q51" s="112">
        <v>4.53</v>
      </c>
    </row>
    <row r="52" spans="1:17" customFormat="1">
      <c r="A52" s="80">
        <v>45485.458333333336</v>
      </c>
      <c r="B52" s="112">
        <v>9.36</v>
      </c>
      <c r="C52" s="112">
        <v>4.07</v>
      </c>
      <c r="D52" s="112">
        <v>14.08</v>
      </c>
      <c r="E52" s="112">
        <v>10.89</v>
      </c>
      <c r="F52" s="112">
        <v>5.56</v>
      </c>
      <c r="G52" s="112">
        <v>29.65</v>
      </c>
      <c r="H52" s="112">
        <v>12.7</v>
      </c>
      <c r="I52" s="112">
        <v>4.13</v>
      </c>
      <c r="J52" s="112">
        <v>1.07</v>
      </c>
      <c r="K52" s="112">
        <v>285.41000000000003</v>
      </c>
      <c r="L52" s="112">
        <v>30.31</v>
      </c>
      <c r="M52" s="112">
        <v>78</v>
      </c>
      <c r="N52" s="112">
        <v>277.2</v>
      </c>
      <c r="O52" s="112">
        <v>0</v>
      </c>
      <c r="P52" s="112">
        <v>0.36</v>
      </c>
      <c r="Q52" s="112">
        <v>4.54</v>
      </c>
    </row>
    <row r="53" spans="1:17" customFormat="1">
      <c r="A53" s="80">
        <v>45485.46875</v>
      </c>
      <c r="B53" s="112">
        <v>9.3699999999999992</v>
      </c>
      <c r="C53" s="112">
        <v>4.05</v>
      </c>
      <c r="D53" s="112">
        <v>14.08</v>
      </c>
      <c r="E53" s="112">
        <v>11.32</v>
      </c>
      <c r="F53" s="112">
        <v>5.45</v>
      </c>
      <c r="G53" s="112">
        <v>29.65</v>
      </c>
      <c r="H53" s="112">
        <v>12.7</v>
      </c>
      <c r="I53" s="112">
        <v>4.45</v>
      </c>
      <c r="J53" s="112">
        <v>1.06</v>
      </c>
      <c r="K53" s="112">
        <v>274.12</v>
      </c>
      <c r="L53" s="112">
        <v>30.54</v>
      </c>
      <c r="M53" s="112">
        <v>76.12</v>
      </c>
      <c r="N53" s="112">
        <v>293.8</v>
      </c>
      <c r="O53" s="112">
        <v>0</v>
      </c>
      <c r="P53" s="112">
        <v>0.37</v>
      </c>
      <c r="Q53" s="112">
        <v>4.55</v>
      </c>
    </row>
    <row r="54" spans="1:17" customFormat="1">
      <c r="A54" s="80">
        <v>45485.479166666664</v>
      </c>
      <c r="B54" s="112">
        <v>9.33</v>
      </c>
      <c r="C54" s="112">
        <v>4.05</v>
      </c>
      <c r="D54" s="112">
        <v>14.05</v>
      </c>
      <c r="E54" s="112">
        <v>11.03</v>
      </c>
      <c r="F54" s="112">
        <v>6.84</v>
      </c>
      <c r="G54" s="112">
        <v>29.65</v>
      </c>
      <c r="H54" s="112">
        <v>12.7</v>
      </c>
      <c r="I54" s="112">
        <v>4.57</v>
      </c>
      <c r="J54" s="112">
        <v>1.08</v>
      </c>
      <c r="K54" s="112">
        <v>274.56</v>
      </c>
      <c r="L54" s="112">
        <v>30.89</v>
      </c>
      <c r="M54" s="112">
        <v>73.819999999999993</v>
      </c>
      <c r="N54" s="112">
        <v>332.2</v>
      </c>
      <c r="O54" s="112">
        <v>0</v>
      </c>
      <c r="P54" s="112">
        <v>0.38</v>
      </c>
      <c r="Q54" s="112">
        <v>4.55</v>
      </c>
    </row>
    <row r="55" spans="1:17" customFormat="1">
      <c r="A55" s="80">
        <v>45485.489583333336</v>
      </c>
      <c r="B55" s="112">
        <v>9.31</v>
      </c>
      <c r="C55" s="112">
        <v>4.09</v>
      </c>
      <c r="D55" s="112">
        <v>14.05</v>
      </c>
      <c r="E55" s="112">
        <v>11.48</v>
      </c>
      <c r="F55" s="112">
        <v>7.62</v>
      </c>
      <c r="G55" s="112">
        <v>34.549999999999997</v>
      </c>
      <c r="H55" s="112">
        <v>13.46</v>
      </c>
      <c r="I55" s="112">
        <v>4.68</v>
      </c>
      <c r="J55" s="112">
        <v>1.1100000000000001</v>
      </c>
      <c r="K55" s="112">
        <v>283.07</v>
      </c>
      <c r="L55" s="112">
        <v>31.45</v>
      </c>
      <c r="M55" s="112">
        <v>72.209999999999994</v>
      </c>
      <c r="N55" s="112">
        <v>398.6</v>
      </c>
      <c r="O55" s="112">
        <v>0</v>
      </c>
      <c r="P55" s="112">
        <v>0.4</v>
      </c>
      <c r="Q55" s="112">
        <v>4.5599999999999996</v>
      </c>
    </row>
    <row r="56" spans="1:17" customFormat="1">
      <c r="A56" s="80">
        <v>45485.5</v>
      </c>
      <c r="B56" s="112">
        <v>9.32</v>
      </c>
      <c r="C56" s="112">
        <v>4.08</v>
      </c>
      <c r="D56" s="112">
        <v>14.05</v>
      </c>
      <c r="E56" s="112">
        <v>12.3</v>
      </c>
      <c r="F56" s="112">
        <v>7.37</v>
      </c>
      <c r="G56" s="112">
        <v>38.299999999999997</v>
      </c>
      <c r="H56" s="112">
        <v>13.71</v>
      </c>
      <c r="I56" s="112">
        <v>4.6900000000000004</v>
      </c>
      <c r="J56" s="112">
        <v>0.97</v>
      </c>
      <c r="K56" s="112">
        <v>282.39</v>
      </c>
      <c r="L56" s="112">
        <v>31.78</v>
      </c>
      <c r="M56" s="112">
        <v>71.88</v>
      </c>
      <c r="N56" s="112">
        <v>590.6</v>
      </c>
      <c r="O56" s="112">
        <v>0</v>
      </c>
      <c r="P56" s="112">
        <v>0.4</v>
      </c>
      <c r="Q56" s="112">
        <v>4.5999999999999996</v>
      </c>
    </row>
    <row r="57" spans="1:17" customFormat="1">
      <c r="A57" s="80">
        <v>45485.510416666664</v>
      </c>
      <c r="B57" s="112">
        <v>9.31</v>
      </c>
      <c r="C57" s="112">
        <v>4.07</v>
      </c>
      <c r="D57" s="112">
        <v>14.04</v>
      </c>
      <c r="E57" s="112">
        <v>11.76</v>
      </c>
      <c r="F57" s="112">
        <v>7.14</v>
      </c>
      <c r="G57" s="112">
        <v>38.299999999999997</v>
      </c>
      <c r="H57" s="112">
        <v>13.71</v>
      </c>
      <c r="I57" s="112">
        <v>4.75</v>
      </c>
      <c r="J57" s="112">
        <v>1.26</v>
      </c>
      <c r="K57" s="112">
        <v>289.98</v>
      </c>
      <c r="L57" s="112">
        <v>32.1</v>
      </c>
      <c r="M57" s="112">
        <v>69.5</v>
      </c>
      <c r="N57" s="112">
        <v>622.1</v>
      </c>
      <c r="O57" s="112">
        <v>0</v>
      </c>
      <c r="P57" s="112">
        <v>0.41</v>
      </c>
      <c r="Q57" s="112">
        <v>4.59</v>
      </c>
    </row>
    <row r="58" spans="1:17" customFormat="1">
      <c r="A58" s="80">
        <v>45485.520833333336</v>
      </c>
      <c r="B58" s="112">
        <v>9.3000000000000007</v>
      </c>
      <c r="C58" s="112">
        <v>4.08</v>
      </c>
      <c r="D58" s="112">
        <v>14.04</v>
      </c>
      <c r="E58" s="112">
        <v>11.86</v>
      </c>
      <c r="F58" s="112">
        <v>7.05</v>
      </c>
      <c r="G58" s="112">
        <v>38.299999999999997</v>
      </c>
      <c r="H58" s="112">
        <v>13.71</v>
      </c>
      <c r="I58" s="112">
        <v>4.7699999999999996</v>
      </c>
      <c r="J58" s="112">
        <v>1.33</v>
      </c>
      <c r="K58" s="112">
        <v>292.05</v>
      </c>
      <c r="L58" s="112">
        <v>31.91</v>
      </c>
      <c r="M58" s="112">
        <v>68</v>
      </c>
      <c r="N58" s="112">
        <v>526.6</v>
      </c>
      <c r="O58" s="112">
        <v>0</v>
      </c>
      <c r="P58" s="112">
        <v>0.41</v>
      </c>
      <c r="Q58" s="112">
        <v>4.5599999999999996</v>
      </c>
    </row>
    <row r="59" spans="1:17" customFormat="1">
      <c r="A59" s="80">
        <v>45485.53125</v>
      </c>
      <c r="B59" s="112">
        <v>9.3000000000000007</v>
      </c>
      <c r="C59" s="112">
        <v>4.09</v>
      </c>
      <c r="D59" s="112">
        <v>14.05</v>
      </c>
      <c r="E59" s="112">
        <v>12.08</v>
      </c>
      <c r="F59" s="112">
        <v>7.98</v>
      </c>
      <c r="G59" s="112">
        <v>35.57</v>
      </c>
      <c r="H59" s="112">
        <v>19.11</v>
      </c>
      <c r="I59" s="112">
        <v>4.8099999999999996</v>
      </c>
      <c r="J59" s="112">
        <v>1.03</v>
      </c>
      <c r="K59" s="112">
        <v>290.3</v>
      </c>
      <c r="L59" s="112">
        <v>31.85</v>
      </c>
      <c r="M59" s="112">
        <v>69.39</v>
      </c>
      <c r="N59" s="112">
        <v>291.60000000000002</v>
      </c>
      <c r="O59" s="112">
        <v>0</v>
      </c>
      <c r="P59" s="112">
        <v>0.41</v>
      </c>
      <c r="Q59" s="112">
        <v>4.55</v>
      </c>
    </row>
    <row r="60" spans="1:17" customFormat="1">
      <c r="A60" s="80">
        <v>45485.541666666664</v>
      </c>
      <c r="B60" s="112">
        <v>9.31</v>
      </c>
      <c r="C60" s="112">
        <v>4.09</v>
      </c>
      <c r="D60" s="112">
        <v>14.05</v>
      </c>
      <c r="E60" s="112">
        <v>11.99</v>
      </c>
      <c r="F60" s="112">
        <v>7.81</v>
      </c>
      <c r="G60" s="112">
        <v>33.479999999999997</v>
      </c>
      <c r="H60" s="112">
        <v>22.44</v>
      </c>
      <c r="I60" s="112">
        <v>4.78</v>
      </c>
      <c r="J60" s="112">
        <v>1.03</v>
      </c>
      <c r="K60" s="112">
        <v>285.76</v>
      </c>
      <c r="L60" s="112">
        <v>31.58</v>
      </c>
      <c r="M60" s="112">
        <v>70.040000000000006</v>
      </c>
      <c r="N60" s="112">
        <v>281.7</v>
      </c>
      <c r="O60" s="112">
        <v>0</v>
      </c>
      <c r="P60" s="112">
        <v>0.41</v>
      </c>
      <c r="Q60" s="112">
        <v>4.55</v>
      </c>
    </row>
    <row r="61" spans="1:17" customFormat="1">
      <c r="A61" s="80">
        <v>45485.552083333336</v>
      </c>
      <c r="B61" s="112">
        <v>9.31</v>
      </c>
      <c r="C61" s="112">
        <v>4.08</v>
      </c>
      <c r="D61" s="112">
        <v>14.05</v>
      </c>
      <c r="E61" s="112">
        <v>11.4</v>
      </c>
      <c r="F61" s="112">
        <v>7.44</v>
      </c>
      <c r="G61" s="112">
        <v>33.479999999999997</v>
      </c>
      <c r="H61" s="112">
        <v>22.44</v>
      </c>
      <c r="I61" s="112">
        <v>4.7300000000000004</v>
      </c>
      <c r="J61" s="112">
        <v>1.29</v>
      </c>
      <c r="K61" s="112">
        <v>302.23</v>
      </c>
      <c r="L61" s="112">
        <v>31.75</v>
      </c>
      <c r="M61" s="112">
        <v>69.08</v>
      </c>
      <c r="N61" s="112">
        <v>269.7</v>
      </c>
      <c r="O61" s="112">
        <v>0</v>
      </c>
      <c r="P61" s="112">
        <v>0.42</v>
      </c>
      <c r="Q61" s="112">
        <v>4.55</v>
      </c>
    </row>
    <row r="62" spans="1:17" customFormat="1">
      <c r="A62" s="80">
        <v>45485.5625</v>
      </c>
      <c r="B62" s="112">
        <v>9.31</v>
      </c>
      <c r="C62" s="112">
        <v>4.07</v>
      </c>
      <c r="D62" s="112">
        <v>14.04</v>
      </c>
      <c r="E62" s="112">
        <v>12.41</v>
      </c>
      <c r="F62" s="112">
        <v>10.029999999999999</v>
      </c>
      <c r="G62" s="112">
        <v>33.479999999999997</v>
      </c>
      <c r="H62" s="112">
        <v>22.44</v>
      </c>
      <c r="I62" s="112">
        <v>4.6399999999999997</v>
      </c>
      <c r="J62" s="112">
        <v>1.02</v>
      </c>
      <c r="K62" s="112">
        <v>278.89999999999998</v>
      </c>
      <c r="L62" s="112">
        <v>31.44</v>
      </c>
      <c r="M62" s="112">
        <v>71.31</v>
      </c>
      <c r="N62" s="112">
        <v>185.1</v>
      </c>
      <c r="O62" s="112">
        <v>0</v>
      </c>
      <c r="P62" s="112">
        <v>0.4</v>
      </c>
      <c r="Q62" s="112">
        <v>4.5599999999999996</v>
      </c>
    </row>
    <row r="63" spans="1:17" customFormat="1">
      <c r="A63" s="80">
        <v>45485.572916666664</v>
      </c>
      <c r="B63" s="112">
        <v>9.31</v>
      </c>
      <c r="C63" s="112">
        <v>4.07</v>
      </c>
      <c r="D63" s="112">
        <v>14.04</v>
      </c>
      <c r="E63" s="112">
        <v>12</v>
      </c>
      <c r="F63" s="112">
        <v>11.57</v>
      </c>
      <c r="G63" s="112">
        <v>34.51</v>
      </c>
      <c r="H63" s="112">
        <v>21.77</v>
      </c>
      <c r="I63" s="112">
        <v>4.68</v>
      </c>
      <c r="J63" s="112">
        <v>0.95</v>
      </c>
      <c r="K63" s="112">
        <v>294.10000000000002</v>
      </c>
      <c r="L63" s="112">
        <v>31.38</v>
      </c>
      <c r="M63" s="112">
        <v>71.83</v>
      </c>
      <c r="N63" s="112">
        <v>187.6</v>
      </c>
      <c r="O63" s="112">
        <v>0</v>
      </c>
      <c r="P63" s="112">
        <v>0.42</v>
      </c>
      <c r="Q63" s="112">
        <v>4.54</v>
      </c>
    </row>
    <row r="64" spans="1:17" customFormat="1">
      <c r="A64" s="80">
        <v>45485.583333333336</v>
      </c>
      <c r="B64" s="112">
        <v>9.32</v>
      </c>
      <c r="C64" s="112">
        <v>4.07</v>
      </c>
      <c r="D64" s="112">
        <v>14.05</v>
      </c>
      <c r="E64" s="112">
        <v>13.35</v>
      </c>
      <c r="F64" s="112">
        <v>9.09</v>
      </c>
      <c r="G64" s="112">
        <v>35.29</v>
      </c>
      <c r="H64" s="112">
        <v>21.56</v>
      </c>
      <c r="I64" s="112">
        <v>4.57</v>
      </c>
      <c r="J64" s="112">
        <v>0.9</v>
      </c>
      <c r="K64" s="112">
        <v>294.62</v>
      </c>
      <c r="L64" s="112">
        <v>31.58</v>
      </c>
      <c r="M64" s="112">
        <v>70.8</v>
      </c>
      <c r="N64" s="112">
        <v>202</v>
      </c>
      <c r="O64" s="112">
        <v>0</v>
      </c>
      <c r="P64" s="112">
        <v>0.42</v>
      </c>
      <c r="Q64" s="112">
        <v>4.59</v>
      </c>
    </row>
    <row r="65" spans="1:17" customFormat="1">
      <c r="A65" s="80">
        <v>45485.59375</v>
      </c>
      <c r="B65" s="112">
        <v>9.31</v>
      </c>
      <c r="C65" s="112">
        <v>4.08</v>
      </c>
      <c r="D65" s="112">
        <v>14.04</v>
      </c>
      <c r="E65" s="112">
        <v>12.87</v>
      </c>
      <c r="F65" s="112">
        <v>11.05</v>
      </c>
      <c r="G65" s="112">
        <v>35.29</v>
      </c>
      <c r="H65" s="112">
        <v>21.56</v>
      </c>
      <c r="I65" s="112">
        <v>4.58</v>
      </c>
      <c r="J65" s="112">
        <v>0.62</v>
      </c>
      <c r="K65" s="112">
        <v>285.14999999999998</v>
      </c>
      <c r="L65" s="112">
        <v>31.76</v>
      </c>
      <c r="M65" s="112">
        <v>72.48</v>
      </c>
      <c r="N65" s="112">
        <v>197.6</v>
      </c>
      <c r="O65" s="112">
        <v>0</v>
      </c>
      <c r="P65" s="112">
        <v>0.48</v>
      </c>
      <c r="Q65" s="112">
        <v>4.5599999999999996</v>
      </c>
    </row>
    <row r="66" spans="1:17" customFormat="1">
      <c r="A66" s="80">
        <v>45485.604166666664</v>
      </c>
      <c r="B66" s="112">
        <v>9.3000000000000007</v>
      </c>
      <c r="C66" s="112">
        <v>4.08</v>
      </c>
      <c r="D66" s="112">
        <v>14.04</v>
      </c>
      <c r="E66" s="112">
        <v>14.18</v>
      </c>
      <c r="F66" s="112">
        <v>10.59</v>
      </c>
      <c r="G66" s="112">
        <v>35.29</v>
      </c>
      <c r="H66" s="112">
        <v>21.56</v>
      </c>
      <c r="I66" s="112">
        <v>4.67</v>
      </c>
      <c r="J66" s="112">
        <v>0.77</v>
      </c>
      <c r="K66" s="112">
        <v>270.16000000000003</v>
      </c>
      <c r="L66" s="112">
        <v>31.46</v>
      </c>
      <c r="M66" s="112">
        <v>72.760000000000005</v>
      </c>
      <c r="N66" s="112">
        <v>170.5</v>
      </c>
      <c r="O66" s="112">
        <v>0</v>
      </c>
      <c r="P66" s="112">
        <v>0.5</v>
      </c>
      <c r="Q66" s="112">
        <v>4.57</v>
      </c>
    </row>
    <row r="67" spans="1:17" customFormat="1">
      <c r="A67" s="80">
        <v>45485.614583333336</v>
      </c>
      <c r="B67" s="112">
        <v>9.3000000000000007</v>
      </c>
      <c r="C67" s="112">
        <v>4.0999999999999996</v>
      </c>
      <c r="D67" s="112">
        <v>14.05</v>
      </c>
      <c r="E67" s="112">
        <v>13.16</v>
      </c>
      <c r="F67" s="112">
        <v>10.64</v>
      </c>
      <c r="G67" s="112">
        <v>39.630000000000003</v>
      </c>
      <c r="H67" s="112">
        <v>24.74</v>
      </c>
      <c r="I67" s="112">
        <v>4.83</v>
      </c>
      <c r="J67" s="112">
        <v>0.65</v>
      </c>
      <c r="K67" s="112">
        <v>264.83</v>
      </c>
      <c r="L67" s="112">
        <v>31.18</v>
      </c>
      <c r="M67" s="112">
        <v>72.489999999999995</v>
      </c>
      <c r="N67" s="112">
        <v>160.30000000000001</v>
      </c>
      <c r="O67" s="112">
        <v>0</v>
      </c>
      <c r="P67" s="112">
        <v>0.48</v>
      </c>
      <c r="Q67" s="112">
        <v>4.55</v>
      </c>
    </row>
    <row r="68" spans="1:17" customFormat="1">
      <c r="A68" s="80">
        <v>45485.625</v>
      </c>
      <c r="B68" s="112">
        <v>9.31</v>
      </c>
      <c r="C68" s="112">
        <v>4.08</v>
      </c>
      <c r="D68" s="112">
        <v>14.05</v>
      </c>
      <c r="E68" s="112">
        <v>13.22</v>
      </c>
      <c r="F68" s="112">
        <v>9.2200000000000006</v>
      </c>
      <c r="G68" s="112">
        <v>42.95</v>
      </c>
      <c r="H68" s="112">
        <v>25.75</v>
      </c>
      <c r="I68" s="112">
        <v>4.9000000000000004</v>
      </c>
      <c r="J68" s="112">
        <v>0.74</v>
      </c>
      <c r="K68" s="112">
        <v>270.33999999999997</v>
      </c>
      <c r="L68" s="112">
        <v>30.86</v>
      </c>
      <c r="M68" s="112">
        <v>73.95</v>
      </c>
      <c r="N68" s="112">
        <v>102.8</v>
      </c>
      <c r="O68" s="112">
        <v>0</v>
      </c>
      <c r="P68" s="112">
        <v>0.47</v>
      </c>
      <c r="Q68" s="112">
        <v>4.5599999999999996</v>
      </c>
    </row>
    <row r="69" spans="1:17" customFormat="1">
      <c r="A69" s="80">
        <v>45485.635416666664</v>
      </c>
      <c r="B69" s="112">
        <v>9.2899999999999991</v>
      </c>
      <c r="C69" s="112">
        <v>4.08</v>
      </c>
      <c r="D69" s="112">
        <v>14.03</v>
      </c>
      <c r="E69" s="112">
        <v>12.71</v>
      </c>
      <c r="F69" s="112">
        <v>9.11</v>
      </c>
      <c r="G69" s="112">
        <v>42.95</v>
      </c>
      <c r="H69" s="112">
        <v>25.75</v>
      </c>
      <c r="I69" s="112">
        <v>4.5999999999999996</v>
      </c>
      <c r="J69" s="112">
        <v>0.56000000000000005</v>
      </c>
      <c r="K69" s="112">
        <v>266.66000000000003</v>
      </c>
      <c r="L69" s="112">
        <v>30.58</v>
      </c>
      <c r="M69" s="112">
        <v>75.180000000000007</v>
      </c>
      <c r="N69" s="112">
        <v>72.900000000000006</v>
      </c>
      <c r="O69" s="112">
        <v>0</v>
      </c>
      <c r="P69" s="112">
        <v>0.48</v>
      </c>
      <c r="Q69" s="112">
        <v>4.59</v>
      </c>
    </row>
    <row r="70" spans="1:17" customFormat="1">
      <c r="A70" s="80">
        <v>45485.645833333336</v>
      </c>
      <c r="B70" s="112">
        <v>9.2799999999999994</v>
      </c>
      <c r="C70" s="112">
        <v>4.0599999999999996</v>
      </c>
      <c r="D70" s="112">
        <v>14.01</v>
      </c>
      <c r="E70" s="112">
        <v>12.88</v>
      </c>
      <c r="F70" s="112">
        <v>11.82</v>
      </c>
      <c r="G70" s="112">
        <v>42.95</v>
      </c>
      <c r="H70" s="112">
        <v>25.75</v>
      </c>
      <c r="I70" s="112">
        <v>4.6500000000000004</v>
      </c>
      <c r="J70" s="112">
        <v>0.6</v>
      </c>
      <c r="K70" s="112">
        <v>272.19</v>
      </c>
      <c r="L70" s="112">
        <v>30.27</v>
      </c>
      <c r="M70" s="112">
        <v>73.61</v>
      </c>
      <c r="N70" s="112">
        <v>89.8</v>
      </c>
      <c r="O70" s="112">
        <v>0</v>
      </c>
      <c r="P70" s="112">
        <v>0.5</v>
      </c>
      <c r="Q70" s="112">
        <v>4.57</v>
      </c>
    </row>
    <row r="71" spans="1:17" customFormat="1">
      <c r="A71" s="80">
        <v>45485.65625</v>
      </c>
      <c r="B71" s="112">
        <v>9.34</v>
      </c>
      <c r="C71" s="112">
        <v>4.05</v>
      </c>
      <c r="D71" s="112">
        <v>14.05</v>
      </c>
      <c r="E71" s="112">
        <v>12.04</v>
      </c>
      <c r="F71" s="112">
        <v>21.81</v>
      </c>
      <c r="G71" s="112">
        <v>37.96</v>
      </c>
      <c r="H71" s="112">
        <v>23.83</v>
      </c>
      <c r="I71" s="112">
        <v>4.3499999999999996</v>
      </c>
      <c r="J71" s="112">
        <v>0.36</v>
      </c>
      <c r="K71" s="112">
        <v>275.76</v>
      </c>
      <c r="L71" s="112">
        <v>30.35</v>
      </c>
      <c r="M71" s="112">
        <v>74.88</v>
      </c>
      <c r="N71" s="112">
        <v>87.1</v>
      </c>
      <c r="O71" s="112">
        <v>0</v>
      </c>
      <c r="P71" s="112">
        <v>0.49</v>
      </c>
      <c r="Q71" s="112">
        <v>4.57</v>
      </c>
    </row>
    <row r="72" spans="1:17" customFormat="1">
      <c r="A72" s="80">
        <v>45485.666666666664</v>
      </c>
      <c r="B72" s="112">
        <v>9.31</v>
      </c>
      <c r="C72" s="112">
        <v>4.1100000000000003</v>
      </c>
      <c r="D72" s="112">
        <v>14.06</v>
      </c>
      <c r="E72" s="112">
        <v>12.37</v>
      </c>
      <c r="F72" s="112">
        <v>14.98</v>
      </c>
      <c r="G72" s="112">
        <v>34.14</v>
      </c>
      <c r="H72" s="112">
        <v>23.22</v>
      </c>
      <c r="I72" s="112">
        <v>4.13</v>
      </c>
      <c r="J72" s="112">
        <v>0.34</v>
      </c>
      <c r="K72" s="112">
        <v>277.33999999999997</v>
      </c>
      <c r="L72" s="112">
        <v>30.52</v>
      </c>
      <c r="M72" s="112">
        <v>74.52</v>
      </c>
      <c r="N72" s="112">
        <v>91.4</v>
      </c>
      <c r="O72" s="112">
        <v>0</v>
      </c>
      <c r="P72" s="112">
        <v>0.52</v>
      </c>
      <c r="Q72" s="112">
        <v>4.57</v>
      </c>
    </row>
    <row r="73" spans="1:17" customFormat="1">
      <c r="A73" s="80">
        <v>45485.677083333336</v>
      </c>
      <c r="B73" s="112">
        <v>9.32</v>
      </c>
      <c r="C73" s="112">
        <v>4.0599999999999996</v>
      </c>
      <c r="D73" s="112">
        <v>14.05</v>
      </c>
      <c r="E73" s="112">
        <v>12.55</v>
      </c>
      <c r="F73" s="112">
        <v>13.72</v>
      </c>
      <c r="G73" s="112">
        <v>34.14</v>
      </c>
      <c r="H73" s="112">
        <v>23.22</v>
      </c>
      <c r="I73" s="112">
        <v>3.92</v>
      </c>
      <c r="J73" s="112">
        <v>0.47</v>
      </c>
      <c r="K73" s="112">
        <v>3.1</v>
      </c>
      <c r="L73" s="112">
        <v>30.95</v>
      </c>
      <c r="M73" s="112">
        <v>73.14</v>
      </c>
      <c r="N73" s="112">
        <v>82.4</v>
      </c>
      <c r="O73" s="112">
        <v>0</v>
      </c>
      <c r="P73" s="112">
        <v>0.6</v>
      </c>
      <c r="Q73" s="112">
        <v>4.58</v>
      </c>
    </row>
    <row r="74" spans="1:17" customFormat="1">
      <c r="A74" s="80">
        <v>45485.6875</v>
      </c>
      <c r="B74" s="112">
        <v>9.33</v>
      </c>
      <c r="C74" s="112">
        <v>4.05</v>
      </c>
      <c r="D74" s="112">
        <v>14.05</v>
      </c>
      <c r="E74" s="112">
        <v>12.7</v>
      </c>
      <c r="F74" s="112">
        <v>9.59</v>
      </c>
      <c r="G74" s="112">
        <v>34.14</v>
      </c>
      <c r="H74" s="112">
        <v>23.22</v>
      </c>
      <c r="I74" s="112">
        <v>4.24</v>
      </c>
      <c r="J74" s="112">
        <v>1.67</v>
      </c>
      <c r="K74" s="112">
        <v>36.33</v>
      </c>
      <c r="L74" s="112">
        <v>28.91</v>
      </c>
      <c r="M74" s="112">
        <v>79.599999999999994</v>
      </c>
      <c r="N74" s="112">
        <v>33.5</v>
      </c>
      <c r="O74" s="112">
        <v>0</v>
      </c>
      <c r="P74" s="112">
        <v>0.55000000000000004</v>
      </c>
      <c r="Q74" s="112">
        <v>4.57</v>
      </c>
    </row>
    <row r="75" spans="1:17" customFormat="1">
      <c r="A75" s="80">
        <v>45485.697916666664</v>
      </c>
      <c r="B75" s="112">
        <v>9.35</v>
      </c>
      <c r="C75" s="112">
        <v>4.04</v>
      </c>
      <c r="D75" s="112">
        <v>14.06</v>
      </c>
      <c r="E75" s="112">
        <v>19.02</v>
      </c>
      <c r="F75" s="112">
        <v>7.89</v>
      </c>
      <c r="G75" s="112">
        <v>38.909999999999997</v>
      </c>
      <c r="H75" s="112">
        <v>23.8</v>
      </c>
      <c r="I75" s="112">
        <v>5.31</v>
      </c>
      <c r="J75" s="112">
        <v>1.5</v>
      </c>
      <c r="K75" s="112">
        <v>40.53</v>
      </c>
      <c r="L75" s="112">
        <v>28</v>
      </c>
      <c r="M75" s="112">
        <v>81.400000000000006</v>
      </c>
      <c r="N75" s="112">
        <v>29.5</v>
      </c>
      <c r="O75" s="112">
        <v>0</v>
      </c>
      <c r="P75" s="112">
        <v>0.55000000000000004</v>
      </c>
      <c r="Q75" s="112">
        <v>4.57</v>
      </c>
    </row>
    <row r="76" spans="1:17" customFormat="1">
      <c r="A76" s="80">
        <v>45485.708333333336</v>
      </c>
      <c r="B76" s="112">
        <v>9.33</v>
      </c>
      <c r="C76" s="112">
        <v>4.07</v>
      </c>
      <c r="D76" s="112">
        <v>14.06</v>
      </c>
      <c r="E76" s="112">
        <v>21.56</v>
      </c>
      <c r="F76" s="112">
        <v>5.74</v>
      </c>
      <c r="G76" s="112">
        <v>42.56</v>
      </c>
      <c r="H76" s="112">
        <v>23.99</v>
      </c>
      <c r="I76" s="112">
        <v>4.7</v>
      </c>
      <c r="J76" s="112">
        <v>1.33</v>
      </c>
      <c r="K76" s="112">
        <v>44.1</v>
      </c>
      <c r="L76" s="112">
        <v>28.01</v>
      </c>
      <c r="M76" s="112">
        <v>81.260000000000005</v>
      </c>
      <c r="N76" s="112">
        <v>39.799999999999997</v>
      </c>
      <c r="O76" s="112">
        <v>0</v>
      </c>
      <c r="P76" s="112">
        <v>0.56000000000000005</v>
      </c>
      <c r="Q76" s="112">
        <v>4.55</v>
      </c>
    </row>
    <row r="77" spans="1:17" customFormat="1">
      <c r="A77" s="80">
        <v>45485.71875</v>
      </c>
      <c r="B77" s="112">
        <v>9.33</v>
      </c>
      <c r="C77" s="112">
        <v>4.0999999999999996</v>
      </c>
      <c r="D77" s="112">
        <v>14.07</v>
      </c>
      <c r="E77" s="112">
        <v>21.58</v>
      </c>
      <c r="F77" s="112">
        <v>5.12</v>
      </c>
      <c r="G77" s="112">
        <v>42.56</v>
      </c>
      <c r="H77" s="112">
        <v>23.99</v>
      </c>
      <c r="I77" s="112">
        <v>4.49</v>
      </c>
      <c r="J77" s="112">
        <v>1.56</v>
      </c>
      <c r="K77" s="112">
        <v>48.51</v>
      </c>
      <c r="L77" s="112">
        <v>27.65</v>
      </c>
      <c r="M77" s="112">
        <v>83.93</v>
      </c>
      <c r="N77" s="112">
        <v>40.9</v>
      </c>
      <c r="O77" s="112">
        <v>0</v>
      </c>
      <c r="P77" s="112">
        <v>0.56999999999999995</v>
      </c>
      <c r="Q77" s="112">
        <v>4.53</v>
      </c>
    </row>
    <row r="78" spans="1:17" customFormat="1">
      <c r="A78" s="80">
        <v>45485.729166666664</v>
      </c>
      <c r="B78" s="112">
        <v>9.35</v>
      </c>
      <c r="C78" s="112">
        <v>4.0999999999999996</v>
      </c>
      <c r="D78" s="112">
        <v>14.09</v>
      </c>
      <c r="E78" s="112">
        <v>23.92</v>
      </c>
      <c r="F78" s="112">
        <v>5.12</v>
      </c>
      <c r="G78" s="112">
        <v>42.56</v>
      </c>
      <c r="H78" s="112">
        <v>23.99</v>
      </c>
      <c r="I78" s="112">
        <v>4.62</v>
      </c>
      <c r="J78" s="112">
        <v>1.1499999999999999</v>
      </c>
      <c r="K78" s="112">
        <v>47.29</v>
      </c>
      <c r="L78" s="112">
        <v>27.45</v>
      </c>
      <c r="M78" s="112">
        <v>86.17</v>
      </c>
      <c r="N78" s="112">
        <v>37.4</v>
      </c>
      <c r="O78" s="112">
        <v>0</v>
      </c>
      <c r="P78" s="112">
        <v>0.57999999999999996</v>
      </c>
      <c r="Q78" s="112">
        <v>4.53</v>
      </c>
    </row>
    <row r="79" spans="1:17" customFormat="1">
      <c r="A79" s="80">
        <v>45485.739583333336</v>
      </c>
      <c r="B79" s="112">
        <v>9.35</v>
      </c>
      <c r="C79" s="112">
        <v>4.0999999999999996</v>
      </c>
      <c r="D79" s="112">
        <v>14.09</v>
      </c>
      <c r="E79" s="112">
        <v>24.82</v>
      </c>
      <c r="F79" s="112">
        <v>5.36</v>
      </c>
      <c r="G79" s="112">
        <v>52.43</v>
      </c>
      <c r="H79" s="112">
        <v>25.23</v>
      </c>
      <c r="I79" s="112">
        <v>4.71</v>
      </c>
      <c r="J79" s="112">
        <v>1.34</v>
      </c>
      <c r="K79" s="112">
        <v>42.08</v>
      </c>
      <c r="L79" s="112">
        <v>27.25</v>
      </c>
      <c r="M79" s="112">
        <v>87.61</v>
      </c>
      <c r="N79" s="112">
        <v>31.1</v>
      </c>
      <c r="O79" s="112">
        <v>0</v>
      </c>
      <c r="P79" s="112">
        <v>0.6</v>
      </c>
      <c r="Q79" s="112">
        <v>4.53</v>
      </c>
    </row>
    <row r="80" spans="1:17" customFormat="1">
      <c r="A80" s="80">
        <v>45485.75</v>
      </c>
      <c r="B80" s="112">
        <v>9.36</v>
      </c>
      <c r="C80" s="112">
        <v>4.09</v>
      </c>
      <c r="D80" s="112">
        <v>14.09</v>
      </c>
      <c r="E80" s="112">
        <v>29.09</v>
      </c>
      <c r="F80" s="112">
        <v>4.8899999999999997</v>
      </c>
      <c r="G80" s="112">
        <v>59.97</v>
      </c>
      <c r="H80" s="112">
        <v>25.63</v>
      </c>
      <c r="I80" s="112">
        <v>4.82</v>
      </c>
      <c r="J80" s="112">
        <v>1.34</v>
      </c>
      <c r="K80" s="112">
        <v>31.24</v>
      </c>
      <c r="L80" s="112">
        <v>27.06</v>
      </c>
      <c r="M80" s="112">
        <v>87.14</v>
      </c>
      <c r="N80" s="112">
        <v>16.3</v>
      </c>
      <c r="O80" s="112">
        <v>0</v>
      </c>
      <c r="P80" s="112">
        <v>0.6</v>
      </c>
      <c r="Q80" s="112">
        <v>4.54</v>
      </c>
    </row>
    <row r="81" spans="1:17" customFormat="1">
      <c r="A81" s="80">
        <v>45485.760416666664</v>
      </c>
      <c r="B81" s="112">
        <v>9.3699999999999992</v>
      </c>
      <c r="C81" s="112">
        <v>4.08</v>
      </c>
      <c r="D81" s="112">
        <v>14.1</v>
      </c>
      <c r="E81" s="112">
        <v>16.79</v>
      </c>
      <c r="F81" s="112">
        <v>5.3</v>
      </c>
      <c r="G81" s="112">
        <v>59.97</v>
      </c>
      <c r="H81" s="112">
        <v>25.63</v>
      </c>
      <c r="I81" s="112">
        <v>4.78</v>
      </c>
      <c r="J81" s="112">
        <v>0.92</v>
      </c>
      <c r="K81" s="112">
        <v>30.51</v>
      </c>
      <c r="L81" s="112">
        <v>26.99</v>
      </c>
      <c r="M81" s="112">
        <v>87.54</v>
      </c>
      <c r="N81" s="112">
        <v>11.4</v>
      </c>
      <c r="O81" s="112">
        <v>0</v>
      </c>
      <c r="P81" s="112">
        <v>0.61</v>
      </c>
      <c r="Q81" s="112">
        <v>4.54</v>
      </c>
    </row>
    <row r="82" spans="1:17" customFormat="1">
      <c r="A82" s="80">
        <v>45485.770833333336</v>
      </c>
      <c r="B82" s="112">
        <v>9.3699999999999992</v>
      </c>
      <c r="C82" s="112">
        <v>4.0999999999999996</v>
      </c>
      <c r="D82" s="112">
        <v>14.1</v>
      </c>
      <c r="E82" s="112">
        <v>17.670000000000002</v>
      </c>
      <c r="F82" s="112">
        <v>5.17</v>
      </c>
      <c r="G82" s="112">
        <v>59.97</v>
      </c>
      <c r="H82" s="112">
        <v>25.63</v>
      </c>
      <c r="I82" s="112">
        <v>4.82</v>
      </c>
      <c r="J82" s="112">
        <v>0.82</v>
      </c>
      <c r="K82" s="112">
        <v>314.64999999999998</v>
      </c>
      <c r="L82" s="112">
        <v>26.95</v>
      </c>
      <c r="M82" s="112">
        <v>87.66</v>
      </c>
      <c r="N82" s="112">
        <v>5.3</v>
      </c>
      <c r="O82" s="112">
        <v>0</v>
      </c>
      <c r="P82" s="112">
        <v>0.6</v>
      </c>
      <c r="Q82" s="112">
        <v>4.54</v>
      </c>
    </row>
    <row r="83" spans="1:17" customFormat="1">
      <c r="A83" s="80">
        <v>45485.78125</v>
      </c>
      <c r="B83" s="112">
        <v>9.36</v>
      </c>
      <c r="C83" s="112">
        <v>4.09</v>
      </c>
      <c r="D83" s="112">
        <v>14.09</v>
      </c>
      <c r="E83" s="112">
        <v>15.39</v>
      </c>
      <c r="F83" s="112">
        <v>7.8</v>
      </c>
      <c r="G83" s="112">
        <v>65.72</v>
      </c>
      <c r="H83" s="112">
        <v>25.13</v>
      </c>
      <c r="I83" s="112">
        <v>4.9000000000000004</v>
      </c>
      <c r="J83" s="112">
        <v>0.4</v>
      </c>
      <c r="K83" s="112">
        <v>350.12</v>
      </c>
      <c r="L83" s="112">
        <v>26.81</v>
      </c>
      <c r="M83" s="112">
        <v>88.13</v>
      </c>
      <c r="N83" s="112">
        <v>2.7</v>
      </c>
      <c r="O83" s="112">
        <v>0</v>
      </c>
      <c r="P83" s="112">
        <v>0.59</v>
      </c>
      <c r="Q83" s="112">
        <v>4.55</v>
      </c>
    </row>
    <row r="84" spans="1:17" customFormat="1">
      <c r="A84" s="80">
        <v>45485.791666666664</v>
      </c>
      <c r="B84" s="112">
        <v>9.35</v>
      </c>
      <c r="C84" s="112">
        <v>4.09</v>
      </c>
      <c r="D84" s="112">
        <v>14.09</v>
      </c>
      <c r="E84" s="112">
        <v>13.29</v>
      </c>
      <c r="F84" s="112">
        <v>7.39</v>
      </c>
      <c r="G84" s="112">
        <v>70.11</v>
      </c>
      <c r="H84" s="112">
        <v>24.82</v>
      </c>
      <c r="I84" s="112">
        <v>4.95</v>
      </c>
      <c r="J84" s="112">
        <v>0.37</v>
      </c>
      <c r="K84" s="112">
        <v>332.21</v>
      </c>
      <c r="L84" s="112">
        <v>26.77</v>
      </c>
      <c r="M84" s="112">
        <v>89.36</v>
      </c>
      <c r="N84" s="112">
        <v>2.1</v>
      </c>
      <c r="O84" s="112">
        <v>0</v>
      </c>
      <c r="P84" s="112">
        <v>0.59</v>
      </c>
      <c r="Q84" s="112">
        <v>4.54</v>
      </c>
    </row>
    <row r="85" spans="1:17" customFormat="1">
      <c r="A85" s="80">
        <v>45485.802083333336</v>
      </c>
      <c r="B85" s="112">
        <v>9.33</v>
      </c>
      <c r="C85" s="112">
        <v>4.0599999999999996</v>
      </c>
      <c r="D85" s="112">
        <v>14.05</v>
      </c>
      <c r="E85" s="112">
        <v>13.81</v>
      </c>
      <c r="F85" s="112">
        <v>7.03</v>
      </c>
      <c r="G85" s="112">
        <v>70.11</v>
      </c>
      <c r="H85" s="112">
        <v>24.82</v>
      </c>
      <c r="I85" s="112">
        <v>4.71</v>
      </c>
      <c r="J85" s="112">
        <v>0.13</v>
      </c>
      <c r="K85" s="112">
        <v>47.67</v>
      </c>
      <c r="L85" s="112">
        <v>26.81</v>
      </c>
      <c r="M85" s="112">
        <v>89.93</v>
      </c>
      <c r="N85" s="112">
        <v>2.1</v>
      </c>
      <c r="O85" s="112">
        <v>0</v>
      </c>
      <c r="P85" s="112">
        <v>0.6</v>
      </c>
      <c r="Q85" s="112">
        <v>4.5199999999999996</v>
      </c>
    </row>
    <row r="86" spans="1:17" customFormat="1">
      <c r="A86" s="80">
        <v>45485.8125</v>
      </c>
      <c r="B86" s="112">
        <v>9.31</v>
      </c>
      <c r="C86" s="112">
        <v>4.09</v>
      </c>
      <c r="D86" s="112">
        <v>14.05</v>
      </c>
      <c r="E86" s="112">
        <v>14.48</v>
      </c>
      <c r="F86" s="112">
        <v>6.44</v>
      </c>
      <c r="G86" s="112">
        <v>70.11</v>
      </c>
      <c r="H86" s="112">
        <v>24.82</v>
      </c>
      <c r="I86" s="112">
        <v>4.71</v>
      </c>
      <c r="J86" s="112">
        <v>0.19</v>
      </c>
      <c r="K86" s="112">
        <v>230.85</v>
      </c>
      <c r="L86" s="112">
        <v>26.85</v>
      </c>
      <c r="M86" s="112">
        <v>91.79</v>
      </c>
      <c r="N86" s="112">
        <v>2.1</v>
      </c>
      <c r="O86" s="112">
        <v>0</v>
      </c>
      <c r="P86" s="112">
        <v>0.57999999999999996</v>
      </c>
      <c r="Q86" s="112">
        <v>4.55</v>
      </c>
    </row>
    <row r="87" spans="1:17" customFormat="1">
      <c r="A87" s="80">
        <v>45485.822916666664</v>
      </c>
      <c r="B87" s="112">
        <v>9.31</v>
      </c>
      <c r="C87" s="112">
        <v>4.08</v>
      </c>
      <c r="D87" s="112">
        <v>14.04</v>
      </c>
      <c r="E87" s="112">
        <v>12.69</v>
      </c>
      <c r="F87" s="112">
        <v>7.08</v>
      </c>
      <c r="G87" s="112">
        <v>67.11</v>
      </c>
      <c r="H87" s="112">
        <v>23.05</v>
      </c>
      <c r="I87" s="112">
        <v>4.8</v>
      </c>
      <c r="J87" s="112">
        <v>0.22</v>
      </c>
      <c r="K87" s="112">
        <v>259.51</v>
      </c>
      <c r="L87" s="112">
        <v>26.98</v>
      </c>
      <c r="M87" s="112">
        <v>92.2</v>
      </c>
      <c r="N87" s="112">
        <v>2</v>
      </c>
      <c r="O87" s="112">
        <v>0</v>
      </c>
      <c r="P87" s="112">
        <v>0.57999999999999996</v>
      </c>
      <c r="Q87" s="112">
        <v>4.55</v>
      </c>
    </row>
    <row r="88" spans="1:17" customFormat="1">
      <c r="A88" s="80">
        <v>45485.833333333336</v>
      </c>
      <c r="B88" s="112">
        <v>9.31</v>
      </c>
      <c r="C88" s="112">
        <v>4.0599999999999996</v>
      </c>
      <c r="D88" s="112">
        <v>14.04</v>
      </c>
      <c r="E88" s="112">
        <v>10.9</v>
      </c>
      <c r="F88" s="112">
        <v>5.66</v>
      </c>
      <c r="G88" s="112">
        <v>64.819999999999993</v>
      </c>
      <c r="H88" s="112">
        <v>22.48</v>
      </c>
      <c r="I88" s="112">
        <v>4.7</v>
      </c>
      <c r="J88" s="112">
        <v>0.32</v>
      </c>
      <c r="K88" s="112">
        <v>258.58</v>
      </c>
      <c r="L88" s="112">
        <v>27.11</v>
      </c>
      <c r="M88" s="112">
        <v>90.03</v>
      </c>
      <c r="N88" s="112">
        <v>2.1</v>
      </c>
      <c r="O88" s="112">
        <v>0</v>
      </c>
      <c r="P88" s="112">
        <v>0.56999999999999995</v>
      </c>
      <c r="Q88" s="112">
        <v>4.57</v>
      </c>
    </row>
    <row r="89" spans="1:17" customFormat="1">
      <c r="A89" s="80">
        <v>45485.84375</v>
      </c>
      <c r="B89" s="112">
        <v>9.33</v>
      </c>
      <c r="C89" s="112">
        <v>4.04</v>
      </c>
      <c r="D89" s="112">
        <v>14.05</v>
      </c>
      <c r="E89" s="112">
        <v>9.5299999999999994</v>
      </c>
      <c r="F89" s="112">
        <v>5.83</v>
      </c>
      <c r="G89" s="112">
        <v>64.819999999999993</v>
      </c>
      <c r="H89" s="112">
        <v>22.48</v>
      </c>
      <c r="I89" s="112">
        <v>4.74</v>
      </c>
      <c r="J89" s="112">
        <v>0.37</v>
      </c>
      <c r="K89" s="112">
        <v>266.95999999999998</v>
      </c>
      <c r="L89" s="112">
        <v>27.02</v>
      </c>
      <c r="M89" s="112">
        <v>90.9</v>
      </c>
      <c r="N89" s="112">
        <v>2.1</v>
      </c>
      <c r="O89" s="112">
        <v>0</v>
      </c>
      <c r="P89" s="112">
        <v>0.53</v>
      </c>
      <c r="Q89" s="112">
        <v>4.57</v>
      </c>
    </row>
    <row r="90" spans="1:17" customFormat="1">
      <c r="A90" s="80">
        <v>45485.854166666664</v>
      </c>
      <c r="B90" s="112">
        <v>9.33</v>
      </c>
      <c r="C90" s="112">
        <v>4.09</v>
      </c>
      <c r="D90" s="112">
        <v>14.07</v>
      </c>
      <c r="E90" s="112">
        <v>9.25</v>
      </c>
      <c r="F90" s="112">
        <v>6.53</v>
      </c>
      <c r="G90" s="112">
        <v>64.819999999999993</v>
      </c>
      <c r="H90" s="112">
        <v>22.48</v>
      </c>
      <c r="I90" s="112">
        <v>4.87</v>
      </c>
      <c r="J90" s="112">
        <v>0.1</v>
      </c>
      <c r="K90" s="112">
        <v>189.75</v>
      </c>
      <c r="L90" s="112">
        <v>26.9</v>
      </c>
      <c r="M90" s="112">
        <v>92.62</v>
      </c>
      <c r="N90" s="112">
        <v>2.1</v>
      </c>
      <c r="O90" s="112">
        <v>0</v>
      </c>
      <c r="P90" s="112">
        <v>0.51</v>
      </c>
      <c r="Q90" s="112">
        <v>4.5599999999999996</v>
      </c>
    </row>
    <row r="91" spans="1:17" customFormat="1">
      <c r="A91" s="80">
        <v>45485.864583333336</v>
      </c>
      <c r="B91" s="112">
        <v>9.33</v>
      </c>
      <c r="C91" s="112">
        <v>4.08</v>
      </c>
      <c r="D91" s="112">
        <v>14.06</v>
      </c>
      <c r="E91" s="112">
        <v>9.6300000000000008</v>
      </c>
      <c r="F91" s="112">
        <v>6.82</v>
      </c>
      <c r="G91" s="112">
        <v>56.83</v>
      </c>
      <c r="H91" s="112">
        <v>18.23</v>
      </c>
      <c r="I91" s="112">
        <v>4.83</v>
      </c>
      <c r="J91" s="112">
        <v>0.16</v>
      </c>
      <c r="K91" s="112">
        <v>235.48</v>
      </c>
      <c r="L91" s="112">
        <v>26.76</v>
      </c>
      <c r="M91" s="112">
        <v>93.56</v>
      </c>
      <c r="N91" s="112">
        <v>2.1</v>
      </c>
      <c r="O91" s="112">
        <v>0</v>
      </c>
      <c r="P91" s="112">
        <v>0.5</v>
      </c>
      <c r="Q91" s="112">
        <v>4.54</v>
      </c>
    </row>
    <row r="92" spans="1:17" customFormat="1">
      <c r="A92" s="80">
        <v>45485.875</v>
      </c>
      <c r="B92" s="112">
        <v>9.34</v>
      </c>
      <c r="C92" s="112">
        <v>4.0599999999999996</v>
      </c>
      <c r="D92" s="112">
        <v>14.06</v>
      </c>
      <c r="E92" s="112">
        <v>9.3699999999999992</v>
      </c>
      <c r="F92" s="112">
        <v>5.66</v>
      </c>
      <c r="G92" s="112">
        <v>50.71</v>
      </c>
      <c r="H92" s="112">
        <v>16.87</v>
      </c>
      <c r="I92" s="112">
        <v>4.6399999999999997</v>
      </c>
      <c r="J92" s="112">
        <v>0.11</v>
      </c>
      <c r="K92" s="112">
        <v>263.14</v>
      </c>
      <c r="L92" s="112">
        <v>26.68</v>
      </c>
      <c r="M92" s="112">
        <v>92.16</v>
      </c>
      <c r="N92" s="112">
        <v>2.1</v>
      </c>
      <c r="O92" s="112">
        <v>0</v>
      </c>
      <c r="P92" s="112">
        <v>0.5</v>
      </c>
      <c r="Q92" s="112">
        <v>4.54</v>
      </c>
    </row>
    <row r="93" spans="1:17" customFormat="1">
      <c r="A93" s="80">
        <v>45485.885416666664</v>
      </c>
      <c r="B93" s="112">
        <v>9.32</v>
      </c>
      <c r="C93" s="112">
        <v>4.05</v>
      </c>
      <c r="D93" s="112">
        <v>14.04</v>
      </c>
      <c r="E93" s="112">
        <v>9.6</v>
      </c>
      <c r="F93" s="112">
        <v>5.23</v>
      </c>
      <c r="G93" s="112">
        <v>50.71</v>
      </c>
      <c r="H93" s="112">
        <v>16.87</v>
      </c>
      <c r="I93" s="112">
        <v>4.63</v>
      </c>
      <c r="J93" s="112">
        <v>0.23</v>
      </c>
      <c r="K93" s="112">
        <v>248.58</v>
      </c>
      <c r="L93" s="112">
        <v>26.56</v>
      </c>
      <c r="M93" s="112">
        <v>92.5</v>
      </c>
      <c r="N93" s="112">
        <v>2.1</v>
      </c>
      <c r="O93" s="112">
        <v>0</v>
      </c>
      <c r="P93" s="112">
        <v>0.5</v>
      </c>
      <c r="Q93" s="112">
        <v>4.54</v>
      </c>
    </row>
    <row r="94" spans="1:17" customFormat="1">
      <c r="A94" s="80">
        <v>45485.895833333336</v>
      </c>
      <c r="B94" s="112">
        <v>9.3000000000000007</v>
      </c>
      <c r="C94" s="112">
        <v>4.05</v>
      </c>
      <c r="D94" s="112">
        <v>14.03</v>
      </c>
      <c r="E94" s="112">
        <v>9.75</v>
      </c>
      <c r="F94" s="112">
        <v>5.5</v>
      </c>
      <c r="G94" s="112">
        <v>50.71</v>
      </c>
      <c r="H94" s="112">
        <v>16.87</v>
      </c>
      <c r="I94" s="112">
        <v>4.57</v>
      </c>
      <c r="J94" s="112">
        <v>0.12</v>
      </c>
      <c r="K94" s="112">
        <v>247.66</v>
      </c>
      <c r="L94" s="112">
        <v>26.55</v>
      </c>
      <c r="M94" s="112">
        <v>90.3</v>
      </c>
      <c r="N94" s="112">
        <v>2.2000000000000002</v>
      </c>
      <c r="O94" s="112">
        <v>0</v>
      </c>
      <c r="P94" s="112">
        <v>0.49</v>
      </c>
      <c r="Q94" s="112">
        <v>4.54</v>
      </c>
    </row>
    <row r="95" spans="1:17" customFormat="1">
      <c r="A95" s="80">
        <v>45485.90625</v>
      </c>
      <c r="B95" s="112">
        <v>9.3000000000000007</v>
      </c>
      <c r="C95" s="112">
        <v>4.0999999999999996</v>
      </c>
      <c r="D95" s="112">
        <v>14.05</v>
      </c>
      <c r="E95" s="112">
        <v>9.66</v>
      </c>
      <c r="F95" s="112">
        <v>5.49</v>
      </c>
      <c r="G95" s="112">
        <v>40.71</v>
      </c>
      <c r="H95" s="112">
        <v>13.04</v>
      </c>
      <c r="I95" s="112">
        <v>4.54</v>
      </c>
      <c r="J95" s="112">
        <v>0.2</v>
      </c>
      <c r="K95" s="112">
        <v>174.72</v>
      </c>
      <c r="L95" s="112">
        <v>26.56</v>
      </c>
      <c r="M95" s="112">
        <v>90.09</v>
      </c>
      <c r="N95" s="112">
        <v>1.7</v>
      </c>
      <c r="O95" s="112">
        <v>0</v>
      </c>
      <c r="P95" s="112">
        <v>0.48</v>
      </c>
      <c r="Q95" s="112">
        <v>4.54</v>
      </c>
    </row>
    <row r="96" spans="1:17" customFormat="1">
      <c r="A96" s="80">
        <v>45485.916666666664</v>
      </c>
      <c r="B96" s="112">
        <v>9.31</v>
      </c>
      <c r="C96" s="112">
        <v>4.0599999999999996</v>
      </c>
      <c r="D96" s="112">
        <v>14.04</v>
      </c>
      <c r="E96" s="112">
        <v>9.7799999999999994</v>
      </c>
      <c r="F96" s="112">
        <v>5.07</v>
      </c>
      <c r="G96" s="112">
        <v>33.049999999999997</v>
      </c>
      <c r="H96" s="112">
        <v>11.81</v>
      </c>
      <c r="I96" s="112">
        <v>4.41</v>
      </c>
      <c r="J96" s="112">
        <v>0.15</v>
      </c>
      <c r="K96" s="112">
        <v>195.64</v>
      </c>
      <c r="L96" s="112">
        <v>26.29</v>
      </c>
      <c r="M96" s="112">
        <v>91.67</v>
      </c>
      <c r="N96" s="112">
        <v>1.8</v>
      </c>
      <c r="O96" s="112">
        <v>0</v>
      </c>
      <c r="P96" s="112">
        <v>0.46</v>
      </c>
      <c r="Q96" s="112">
        <v>4.55</v>
      </c>
    </row>
    <row r="97" spans="1:22" customFormat="1">
      <c r="A97" s="80">
        <v>45485.927083333336</v>
      </c>
      <c r="B97" s="112">
        <v>9.3000000000000007</v>
      </c>
      <c r="C97" s="112">
        <v>4.07</v>
      </c>
      <c r="D97" s="112">
        <v>14.04</v>
      </c>
      <c r="E97" s="112">
        <v>9.99</v>
      </c>
      <c r="F97" s="112">
        <v>4.8600000000000003</v>
      </c>
      <c r="G97" s="112">
        <v>33.049999999999997</v>
      </c>
      <c r="H97" s="112">
        <v>11.81</v>
      </c>
      <c r="I97" s="112">
        <v>4.3600000000000003</v>
      </c>
      <c r="J97" s="112">
        <v>0.18</v>
      </c>
      <c r="K97" s="112">
        <v>182.06</v>
      </c>
      <c r="L97" s="112">
        <v>26.34</v>
      </c>
      <c r="M97" s="112">
        <v>91.08</v>
      </c>
      <c r="N97" s="112">
        <v>1.8</v>
      </c>
      <c r="O97" s="112">
        <v>0</v>
      </c>
      <c r="P97" s="112">
        <v>0.46</v>
      </c>
      <c r="Q97" s="112">
        <v>4.54</v>
      </c>
    </row>
    <row r="98" spans="1:22" customFormat="1">
      <c r="A98" s="80">
        <v>45485.9375</v>
      </c>
      <c r="B98" s="112">
        <v>9.2899999999999991</v>
      </c>
      <c r="C98" s="112">
        <v>4.07</v>
      </c>
      <c r="D98" s="112">
        <v>14.02</v>
      </c>
      <c r="E98" s="112">
        <v>10.62</v>
      </c>
      <c r="F98" s="112">
        <v>4.5199999999999996</v>
      </c>
      <c r="G98" s="112">
        <v>33.049999999999997</v>
      </c>
      <c r="H98" s="112">
        <v>11.81</v>
      </c>
      <c r="I98" s="112">
        <v>4.34</v>
      </c>
      <c r="J98" s="112">
        <v>0.15</v>
      </c>
      <c r="K98" s="112">
        <v>204.67</v>
      </c>
      <c r="L98" s="112">
        <v>26.01</v>
      </c>
      <c r="M98" s="112">
        <v>92.86</v>
      </c>
      <c r="N98" s="112">
        <v>1.7</v>
      </c>
      <c r="O98" s="112">
        <v>0</v>
      </c>
      <c r="P98" s="112">
        <v>0.46</v>
      </c>
      <c r="Q98" s="112">
        <v>4.55</v>
      </c>
    </row>
    <row r="99" spans="1:22" customFormat="1">
      <c r="A99" s="80">
        <v>45485.947916666664</v>
      </c>
      <c r="B99" s="112">
        <v>9.2799999999999994</v>
      </c>
      <c r="C99" s="112">
        <v>4.0999999999999996</v>
      </c>
      <c r="D99" s="112">
        <v>14.03</v>
      </c>
      <c r="E99" s="112">
        <v>10.17</v>
      </c>
      <c r="F99" s="112">
        <v>4.32</v>
      </c>
      <c r="G99" s="112">
        <v>27.58</v>
      </c>
      <c r="H99" s="112">
        <v>12.8</v>
      </c>
      <c r="I99" s="112">
        <v>4.32</v>
      </c>
      <c r="J99" s="112">
        <v>0.15</v>
      </c>
      <c r="K99" s="112">
        <v>222.38</v>
      </c>
      <c r="L99" s="112">
        <v>26</v>
      </c>
      <c r="M99" s="112">
        <v>92.81</v>
      </c>
      <c r="N99" s="112">
        <v>1.6</v>
      </c>
      <c r="O99" s="112">
        <v>0</v>
      </c>
      <c r="P99" s="112">
        <v>0.46</v>
      </c>
      <c r="Q99" s="112">
        <v>4.5599999999999996</v>
      </c>
    </row>
    <row r="100" spans="1:22" customFormat="1">
      <c r="A100" s="80">
        <v>45485.958333333336</v>
      </c>
      <c r="B100" s="112">
        <v>9.27</v>
      </c>
      <c r="C100" s="112">
        <v>4.0999999999999996</v>
      </c>
      <c r="D100" s="112">
        <v>14.03</v>
      </c>
      <c r="E100" s="112">
        <v>10.5</v>
      </c>
      <c r="F100" s="112">
        <v>4.1399999999999997</v>
      </c>
      <c r="G100" s="112">
        <v>23.39</v>
      </c>
      <c r="H100" s="112">
        <v>13.12</v>
      </c>
      <c r="I100" s="112">
        <v>4.2699999999999996</v>
      </c>
      <c r="J100" s="112">
        <v>0.26</v>
      </c>
      <c r="K100" s="112">
        <v>262.47000000000003</v>
      </c>
      <c r="L100" s="112">
        <v>25.78</v>
      </c>
      <c r="M100" s="112">
        <v>94.84</v>
      </c>
      <c r="N100" s="112">
        <v>1.8</v>
      </c>
      <c r="O100" s="112">
        <v>0</v>
      </c>
      <c r="P100" s="112">
        <v>0.46</v>
      </c>
      <c r="Q100" s="112">
        <v>4.5599999999999996</v>
      </c>
    </row>
    <row r="101" spans="1:22" customFormat="1">
      <c r="A101" s="80">
        <v>45485.96875</v>
      </c>
      <c r="B101" s="112">
        <v>9.2799999999999994</v>
      </c>
      <c r="C101" s="112">
        <v>4.09</v>
      </c>
      <c r="D101" s="112">
        <v>14.03</v>
      </c>
      <c r="E101" s="112">
        <v>10.77</v>
      </c>
      <c r="F101" s="112">
        <v>3.79</v>
      </c>
      <c r="G101" s="112">
        <v>23.39</v>
      </c>
      <c r="H101" s="112">
        <v>13.12</v>
      </c>
      <c r="I101" s="112">
        <v>4.25</v>
      </c>
      <c r="J101" s="112">
        <v>0.24</v>
      </c>
      <c r="K101" s="112">
        <v>256</v>
      </c>
      <c r="L101" s="112">
        <v>25.77</v>
      </c>
      <c r="M101" s="112">
        <v>95.37</v>
      </c>
      <c r="N101" s="112">
        <v>1.7</v>
      </c>
      <c r="O101" s="112">
        <v>0</v>
      </c>
      <c r="P101" s="112">
        <v>0.45</v>
      </c>
      <c r="Q101" s="112">
        <v>4.55</v>
      </c>
    </row>
    <row r="102" spans="1:22" customFormat="1">
      <c r="A102" s="80">
        <v>45485.979166666664</v>
      </c>
      <c r="B102" s="112">
        <v>9.2899999999999991</v>
      </c>
      <c r="C102" s="112">
        <v>4.07</v>
      </c>
      <c r="D102" s="112">
        <v>14.03</v>
      </c>
      <c r="E102" s="112">
        <v>10.56</v>
      </c>
      <c r="F102" s="112">
        <v>3.47</v>
      </c>
      <c r="G102" s="112">
        <v>23.39</v>
      </c>
      <c r="H102" s="112">
        <v>13.12</v>
      </c>
      <c r="I102" s="112">
        <v>4</v>
      </c>
      <c r="J102" s="112">
        <v>0.2</v>
      </c>
      <c r="K102" s="112">
        <v>251.91</v>
      </c>
      <c r="L102" s="112">
        <v>25.56</v>
      </c>
      <c r="M102" s="112">
        <v>96.46</v>
      </c>
      <c r="N102" s="112">
        <v>1.5</v>
      </c>
      <c r="O102" s="112">
        <v>0</v>
      </c>
      <c r="P102" s="112">
        <v>0.44</v>
      </c>
      <c r="Q102" s="112">
        <v>4.55</v>
      </c>
    </row>
    <row r="103" spans="1:22" customFormat="1">
      <c r="A103" s="80">
        <v>45485.989583333336</v>
      </c>
      <c r="B103" s="112">
        <v>9.3000000000000007</v>
      </c>
      <c r="C103" s="112">
        <v>4.05</v>
      </c>
      <c r="D103" s="112">
        <v>14.02</v>
      </c>
      <c r="E103" s="112">
        <v>10.26</v>
      </c>
      <c r="F103" s="112">
        <v>3.55</v>
      </c>
      <c r="G103" s="112">
        <v>21.04</v>
      </c>
      <c r="H103" s="112">
        <v>10.86</v>
      </c>
      <c r="I103" s="112">
        <v>3.94</v>
      </c>
      <c r="J103" s="112">
        <v>0.19</v>
      </c>
      <c r="K103" s="112">
        <v>192.1</v>
      </c>
      <c r="L103" s="112">
        <v>25.7</v>
      </c>
      <c r="M103" s="112">
        <v>95.41</v>
      </c>
      <c r="N103" s="112">
        <v>1.4</v>
      </c>
      <c r="O103" s="112">
        <v>0</v>
      </c>
      <c r="P103" s="112">
        <v>0.43</v>
      </c>
      <c r="Q103" s="112">
        <v>4.53</v>
      </c>
    </row>
    <row r="104" spans="1:22" customFormat="1">
      <c r="A104" s="80">
        <v>45486</v>
      </c>
      <c r="B104" s="112">
        <v>9.2899999999999991</v>
      </c>
      <c r="C104" s="112">
        <v>4.05</v>
      </c>
      <c r="D104" s="112">
        <v>14.02</v>
      </c>
      <c r="E104" s="112">
        <v>10.38</v>
      </c>
      <c r="F104" s="112">
        <v>3.37</v>
      </c>
      <c r="G104" s="112">
        <v>19.25</v>
      </c>
      <c r="H104" s="112">
        <v>10.14</v>
      </c>
      <c r="I104" s="112">
        <v>3.89</v>
      </c>
      <c r="J104" s="112">
        <v>0.17</v>
      </c>
      <c r="K104" s="112">
        <v>177.37</v>
      </c>
      <c r="L104" s="112">
        <v>25.61</v>
      </c>
      <c r="M104" s="112">
        <v>95.18</v>
      </c>
      <c r="N104" s="112">
        <v>1.7</v>
      </c>
      <c r="O104" s="112">
        <v>0</v>
      </c>
      <c r="P104" s="112">
        <v>0.42</v>
      </c>
      <c r="Q104" s="112">
        <v>4.55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9.25</v>
      </c>
      <c r="C106" s="183">
        <f>MIN(C9:C104)</f>
        <v>4</v>
      </c>
      <c r="D106" s="183">
        <f t="shared" ref="D106:Q106" si="0">MIN(D9:D104)</f>
        <v>13.97</v>
      </c>
      <c r="E106" s="183">
        <f t="shared" si="0"/>
        <v>7.81</v>
      </c>
      <c r="F106" s="183">
        <f t="shared" si="0"/>
        <v>3.37</v>
      </c>
      <c r="G106" s="183">
        <f t="shared" si="0"/>
        <v>11.14</v>
      </c>
      <c r="H106" s="183">
        <f t="shared" si="0"/>
        <v>4.26</v>
      </c>
      <c r="I106" s="183">
        <f t="shared" si="0"/>
        <v>3.16</v>
      </c>
      <c r="J106" s="183">
        <f t="shared" si="0"/>
        <v>0.09</v>
      </c>
      <c r="K106" s="183">
        <f t="shared" si="0"/>
        <v>3.1</v>
      </c>
      <c r="L106" s="183">
        <f t="shared" si="0"/>
        <v>25.56</v>
      </c>
      <c r="M106" s="183">
        <f t="shared" si="0"/>
        <v>68</v>
      </c>
      <c r="N106" s="183">
        <f t="shared" si="0"/>
        <v>1.4</v>
      </c>
      <c r="O106" s="183">
        <f t="shared" si="0"/>
        <v>0</v>
      </c>
      <c r="P106" s="183">
        <f t="shared" si="0"/>
        <v>0.28999999999999998</v>
      </c>
      <c r="Q106" s="183">
        <f t="shared" si="0"/>
        <v>4.5199999999999996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9.3699999999999992</v>
      </c>
      <c r="C107" s="184">
        <f t="shared" ref="C107:Q107" si="1">MAX(C9:C104)</f>
        <v>4.1100000000000003</v>
      </c>
      <c r="D107" s="184">
        <f t="shared" si="1"/>
        <v>14.1</v>
      </c>
      <c r="E107" s="184">
        <f t="shared" si="1"/>
        <v>29.09</v>
      </c>
      <c r="F107" s="184">
        <f t="shared" si="1"/>
        <v>21.81</v>
      </c>
      <c r="G107" s="184">
        <f t="shared" si="1"/>
        <v>70.11</v>
      </c>
      <c r="H107" s="184">
        <f t="shared" si="1"/>
        <v>25.75</v>
      </c>
      <c r="I107" s="184">
        <f t="shared" si="1"/>
        <v>5.31</v>
      </c>
      <c r="J107" s="184">
        <f t="shared" si="1"/>
        <v>1.67</v>
      </c>
      <c r="K107" s="184">
        <f t="shared" si="1"/>
        <v>350.12</v>
      </c>
      <c r="L107" s="184">
        <f t="shared" si="1"/>
        <v>32.1</v>
      </c>
      <c r="M107" s="184">
        <f t="shared" si="1"/>
        <v>97.89</v>
      </c>
      <c r="N107" s="184">
        <f t="shared" si="1"/>
        <v>622.1</v>
      </c>
      <c r="O107" s="184">
        <f t="shared" si="1"/>
        <v>1</v>
      </c>
      <c r="P107" s="184">
        <f t="shared" si="1"/>
        <v>0.61</v>
      </c>
      <c r="Q107" s="184">
        <f t="shared" si="1"/>
        <v>4.5999999999999996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9.3045833333333281</v>
      </c>
      <c r="C108" s="183">
        <f t="shared" ref="C108:Q108" si="2">AVERAGE(C9:C104)</f>
        <v>4.0720833333333344</v>
      </c>
      <c r="D108" s="183">
        <f t="shared" si="2"/>
        <v>14.038854166666646</v>
      </c>
      <c r="E108" s="183">
        <f t="shared" si="2"/>
        <v>11.899999999999999</v>
      </c>
      <c r="F108" s="183">
        <f t="shared" si="2"/>
        <v>6.7885416666666663</v>
      </c>
      <c r="G108" s="183">
        <f t="shared" si="2"/>
        <v>31.597187500000015</v>
      </c>
      <c r="H108" s="183">
        <f t="shared" si="2"/>
        <v>14.361562499999989</v>
      </c>
      <c r="I108" s="183">
        <f t="shared" si="2"/>
        <v>4.0909374999999981</v>
      </c>
      <c r="J108" s="183">
        <f t="shared" si="2"/>
        <v>0.54062500000000002</v>
      </c>
      <c r="K108" s="183">
        <f t="shared" si="2"/>
        <v>231.84249999999994</v>
      </c>
      <c r="L108" s="183">
        <f t="shared" si="2"/>
        <v>27.971666666666668</v>
      </c>
      <c r="M108" s="183">
        <f t="shared" si="2"/>
        <v>85.911562500000016</v>
      </c>
      <c r="N108" s="183">
        <f t="shared" si="2"/>
        <v>91.900000000000034</v>
      </c>
      <c r="O108" s="183">
        <f t="shared" si="2"/>
        <v>1.6666666666666666E-2</v>
      </c>
      <c r="P108" s="183">
        <f t="shared" si="2"/>
        <v>0.41927083333333343</v>
      </c>
      <c r="Q108" s="183">
        <f t="shared" si="2"/>
        <v>4.5571875000000022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2.8206631048172389E-2</v>
      </c>
      <c r="C109" s="183">
        <f t="shared" ref="C109:Q109" si="3">STDEV(C9:C104)</f>
        <v>2.0205088815322899E-2</v>
      </c>
      <c r="D109" s="183">
        <f t="shared" si="3"/>
        <v>2.5209429800715423E-2</v>
      </c>
      <c r="E109" s="183">
        <f t="shared" si="3"/>
        <v>3.5175329273138067</v>
      </c>
      <c r="F109" s="183">
        <f t="shared" si="3"/>
        <v>2.7521880211040801</v>
      </c>
      <c r="G109" s="183">
        <f t="shared" si="3"/>
        <v>16.299529583339439</v>
      </c>
      <c r="H109" s="183">
        <f t="shared" si="3"/>
        <v>7.3678302637922499</v>
      </c>
      <c r="I109" s="183">
        <f t="shared" si="3"/>
        <v>0.61036154622099215</v>
      </c>
      <c r="J109" s="183">
        <f t="shared" si="3"/>
        <v>0.43199369512942987</v>
      </c>
      <c r="K109" s="183">
        <f t="shared" si="3"/>
        <v>74.418142991583778</v>
      </c>
      <c r="L109" s="183">
        <f t="shared" si="3"/>
        <v>1.9922268242591787</v>
      </c>
      <c r="M109" s="183">
        <f t="shared" si="3"/>
        <v>8.3190311085801891</v>
      </c>
      <c r="N109" s="183">
        <f t="shared" si="3"/>
        <v>137.79429214364589</v>
      </c>
      <c r="O109" s="183">
        <f t="shared" si="3"/>
        <v>0.11113450046219876</v>
      </c>
      <c r="P109" s="183">
        <f t="shared" si="3"/>
        <v>9.8282565693505283E-2</v>
      </c>
      <c r="Q109" s="183">
        <f t="shared" si="3"/>
        <v>1.6777373547665154E-2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Q9" sqref="Q9:Q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45486.010416666664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45486.010416666664</v>
      </c>
      <c r="B9" s="112">
        <v>9.2799999999999994</v>
      </c>
      <c r="C9" s="112">
        <v>4.03</v>
      </c>
      <c r="D9" s="112">
        <v>14</v>
      </c>
      <c r="E9" s="112">
        <v>10.88</v>
      </c>
      <c r="F9" s="112">
        <v>3.54</v>
      </c>
      <c r="G9" s="112">
        <v>19.25</v>
      </c>
      <c r="H9" s="112">
        <v>10.14</v>
      </c>
      <c r="I9" s="112">
        <v>3.83</v>
      </c>
      <c r="J9" s="112">
        <v>0.19</v>
      </c>
      <c r="K9" s="112">
        <v>212.82</v>
      </c>
      <c r="L9" s="112">
        <v>25.74</v>
      </c>
      <c r="M9" s="112">
        <v>96.17</v>
      </c>
      <c r="N9" s="112">
        <v>1.8</v>
      </c>
      <c r="O9" s="112">
        <v>0</v>
      </c>
      <c r="P9" s="112">
        <v>0.42</v>
      </c>
      <c r="Q9" s="112">
        <v>4.62</v>
      </c>
    </row>
    <row r="10" spans="1:21" customFormat="1">
      <c r="A10" s="80">
        <v>45486.020833333336</v>
      </c>
      <c r="B10" s="112">
        <v>9.25</v>
      </c>
      <c r="C10" s="112">
        <v>4.04</v>
      </c>
      <c r="D10" s="112">
        <v>13.98</v>
      </c>
      <c r="E10" s="112">
        <v>10.89</v>
      </c>
      <c r="F10" s="112">
        <v>3.16</v>
      </c>
      <c r="G10" s="112">
        <v>19.25</v>
      </c>
      <c r="H10" s="112">
        <v>10.14</v>
      </c>
      <c r="I10" s="112">
        <v>3.77</v>
      </c>
      <c r="J10" s="112">
        <v>0.21</v>
      </c>
      <c r="K10" s="112">
        <v>247.72</v>
      </c>
      <c r="L10" s="112">
        <v>25.76</v>
      </c>
      <c r="M10" s="112">
        <v>96.83</v>
      </c>
      <c r="N10" s="112">
        <v>1.7</v>
      </c>
      <c r="O10" s="112">
        <v>0</v>
      </c>
      <c r="P10" s="112">
        <v>0.42</v>
      </c>
      <c r="Q10" s="112">
        <v>4.62</v>
      </c>
    </row>
    <row r="11" spans="1:21" customFormat="1">
      <c r="A11" s="80">
        <v>45486.03125</v>
      </c>
      <c r="B11" s="112">
        <v>9.24</v>
      </c>
      <c r="C11" s="112">
        <v>4.08</v>
      </c>
      <c r="D11" s="112">
        <v>13.99</v>
      </c>
      <c r="E11" s="112">
        <v>10.93</v>
      </c>
      <c r="F11" s="112">
        <v>3.54</v>
      </c>
      <c r="G11" s="112">
        <v>17.96</v>
      </c>
      <c r="H11" s="112">
        <v>8.5299999999999994</v>
      </c>
      <c r="I11" s="112">
        <v>3.71</v>
      </c>
      <c r="J11" s="112">
        <v>0.17</v>
      </c>
      <c r="K11" s="112">
        <v>228.76</v>
      </c>
      <c r="L11" s="112">
        <v>25.99</v>
      </c>
      <c r="M11" s="112">
        <v>95.5</v>
      </c>
      <c r="N11" s="112">
        <v>1.9</v>
      </c>
      <c r="O11" s="112">
        <v>0</v>
      </c>
      <c r="P11" s="112">
        <v>0.43</v>
      </c>
      <c r="Q11" s="112">
        <v>4.62</v>
      </c>
    </row>
    <row r="12" spans="1:21" customFormat="1">
      <c r="A12" s="80">
        <v>45486.041666666664</v>
      </c>
      <c r="B12" s="112">
        <v>9.23</v>
      </c>
      <c r="C12" s="112">
        <v>4.08</v>
      </c>
      <c r="D12" s="112">
        <v>13.98</v>
      </c>
      <c r="E12" s="112">
        <v>11.06</v>
      </c>
      <c r="F12" s="112">
        <v>3.91</v>
      </c>
      <c r="G12" s="112">
        <v>16.98</v>
      </c>
      <c r="H12" s="112">
        <v>7.54</v>
      </c>
      <c r="I12" s="112">
        <v>3.61</v>
      </c>
      <c r="J12" s="112">
        <v>0.24</v>
      </c>
      <c r="K12" s="112">
        <v>260.66000000000003</v>
      </c>
      <c r="L12" s="112">
        <v>25.84</v>
      </c>
      <c r="M12" s="112">
        <v>94.18</v>
      </c>
      <c r="N12" s="112">
        <v>2.1</v>
      </c>
      <c r="O12" s="112">
        <v>0</v>
      </c>
      <c r="P12" s="112">
        <v>0.46</v>
      </c>
      <c r="Q12" s="112">
        <v>4.6100000000000003</v>
      </c>
    </row>
    <row r="13" spans="1:21" customFormat="1">
      <c r="A13" s="80">
        <v>45486.052083333336</v>
      </c>
      <c r="B13" s="112">
        <v>9.25</v>
      </c>
      <c r="C13" s="112">
        <v>4.0599999999999996</v>
      </c>
      <c r="D13" s="112">
        <v>13.99</v>
      </c>
      <c r="E13" s="112">
        <v>10.55</v>
      </c>
      <c r="F13" s="112">
        <v>4.17</v>
      </c>
      <c r="G13" s="112">
        <v>16.98</v>
      </c>
      <c r="H13" s="112">
        <v>7.54</v>
      </c>
      <c r="I13" s="112">
        <v>3.55</v>
      </c>
      <c r="J13" s="112">
        <v>0.16</v>
      </c>
      <c r="K13" s="112">
        <v>227.81</v>
      </c>
      <c r="L13" s="112">
        <v>25.97</v>
      </c>
      <c r="M13" s="112">
        <v>94.52</v>
      </c>
      <c r="N13" s="112">
        <v>2</v>
      </c>
      <c r="O13" s="112">
        <v>0</v>
      </c>
      <c r="P13" s="112">
        <v>0.47</v>
      </c>
      <c r="Q13" s="112">
        <v>4.62</v>
      </c>
    </row>
    <row r="14" spans="1:21" customFormat="1">
      <c r="A14" s="80">
        <v>45486.0625</v>
      </c>
      <c r="B14" s="112">
        <v>9.27</v>
      </c>
      <c r="C14" s="112">
        <v>4.07</v>
      </c>
      <c r="D14" s="112">
        <v>14.01</v>
      </c>
      <c r="E14" s="112">
        <v>9.84</v>
      </c>
      <c r="F14" s="112">
        <v>4.9400000000000004</v>
      </c>
      <c r="G14" s="112">
        <v>16.98</v>
      </c>
      <c r="H14" s="112">
        <v>7.54</v>
      </c>
      <c r="I14" s="112">
        <v>3.6</v>
      </c>
      <c r="J14" s="112">
        <v>0.1</v>
      </c>
      <c r="K14" s="112">
        <v>187.48</v>
      </c>
      <c r="L14" s="112">
        <v>25.91</v>
      </c>
      <c r="M14" s="112">
        <v>96.06</v>
      </c>
      <c r="N14" s="112">
        <v>2.1</v>
      </c>
      <c r="O14" s="112">
        <v>0</v>
      </c>
      <c r="P14" s="112">
        <v>0.46</v>
      </c>
      <c r="Q14" s="112">
        <v>4.6100000000000003</v>
      </c>
    </row>
    <row r="15" spans="1:21" customFormat="1">
      <c r="A15" s="80">
        <v>45486.072916666664</v>
      </c>
      <c r="B15" s="112">
        <v>9.27</v>
      </c>
      <c r="C15" s="112">
        <v>4.08</v>
      </c>
      <c r="D15" s="112">
        <v>14.02</v>
      </c>
      <c r="E15" s="112">
        <v>9.51</v>
      </c>
      <c r="F15" s="112">
        <v>6.03</v>
      </c>
      <c r="G15" s="112">
        <v>14.09</v>
      </c>
      <c r="H15" s="112">
        <v>5.98</v>
      </c>
      <c r="I15" s="112">
        <v>3.58</v>
      </c>
      <c r="J15" s="112">
        <v>0.09</v>
      </c>
      <c r="K15" s="112">
        <v>205.83</v>
      </c>
      <c r="L15" s="112">
        <v>25.99</v>
      </c>
      <c r="M15" s="112">
        <v>94.98</v>
      </c>
      <c r="N15" s="112">
        <v>2.1</v>
      </c>
      <c r="O15" s="112">
        <v>0</v>
      </c>
      <c r="P15" s="112">
        <v>0.45</v>
      </c>
      <c r="Q15" s="112">
        <v>4.5999999999999996</v>
      </c>
    </row>
    <row r="16" spans="1:21" customFormat="1">
      <c r="A16" s="80">
        <v>45486.083333333336</v>
      </c>
      <c r="B16" s="112">
        <v>9.3000000000000007</v>
      </c>
      <c r="C16" s="112">
        <v>4.04</v>
      </c>
      <c r="D16" s="112">
        <v>14.02</v>
      </c>
      <c r="E16" s="112">
        <v>8.9499999999999993</v>
      </c>
      <c r="F16" s="112">
        <v>6.44</v>
      </c>
      <c r="G16" s="112">
        <v>11.87</v>
      </c>
      <c r="H16" s="112">
        <v>5.48</v>
      </c>
      <c r="I16" s="112">
        <v>3.57</v>
      </c>
      <c r="J16" s="112">
        <v>0.17</v>
      </c>
      <c r="K16" s="112">
        <v>170.23</v>
      </c>
      <c r="L16" s="112">
        <v>25.94</v>
      </c>
      <c r="M16" s="112">
        <v>95.64</v>
      </c>
      <c r="N16" s="112">
        <v>2</v>
      </c>
      <c r="O16" s="112">
        <v>0</v>
      </c>
      <c r="P16" s="112">
        <v>0.44</v>
      </c>
      <c r="Q16" s="112">
        <v>4.6100000000000003</v>
      </c>
    </row>
    <row r="17" spans="1:17" customFormat="1">
      <c r="A17" s="80">
        <v>45486.09375</v>
      </c>
      <c r="B17" s="112">
        <v>9.2899999999999991</v>
      </c>
      <c r="C17" s="112">
        <v>4.03</v>
      </c>
      <c r="D17" s="112">
        <v>14</v>
      </c>
      <c r="E17" s="112">
        <v>8.61</v>
      </c>
      <c r="F17" s="112">
        <v>5.56</v>
      </c>
      <c r="G17" s="112">
        <v>11.87</v>
      </c>
      <c r="H17" s="112">
        <v>5.48</v>
      </c>
      <c r="I17" s="112">
        <v>3.46</v>
      </c>
      <c r="J17" s="112">
        <v>0.14000000000000001</v>
      </c>
      <c r="K17" s="112">
        <v>216.45</v>
      </c>
      <c r="L17" s="112">
        <v>26.02</v>
      </c>
      <c r="M17" s="112">
        <v>95.53</v>
      </c>
      <c r="N17" s="112">
        <v>2.2999999999999998</v>
      </c>
      <c r="O17" s="112">
        <v>0</v>
      </c>
      <c r="P17" s="112">
        <v>0.44</v>
      </c>
      <c r="Q17" s="112">
        <v>4.6399999999999997</v>
      </c>
    </row>
    <row r="18" spans="1:17" customFormat="1">
      <c r="A18" s="80">
        <v>45486.104166666664</v>
      </c>
      <c r="B18" s="112">
        <v>9.27</v>
      </c>
      <c r="C18" s="112">
        <v>4.09</v>
      </c>
      <c r="D18" s="112">
        <v>14.02</v>
      </c>
      <c r="E18" s="112">
        <v>10.18</v>
      </c>
      <c r="F18" s="112">
        <v>5.7</v>
      </c>
      <c r="G18" s="112">
        <v>11.87</v>
      </c>
      <c r="H18" s="112">
        <v>5.48</v>
      </c>
      <c r="I18" s="112">
        <v>3.48</v>
      </c>
      <c r="J18" s="112">
        <v>0.13</v>
      </c>
      <c r="K18" s="112">
        <v>219.9</v>
      </c>
      <c r="L18" s="112">
        <v>25.74</v>
      </c>
      <c r="M18" s="112">
        <v>97.03</v>
      </c>
      <c r="N18" s="112">
        <v>2.2000000000000002</v>
      </c>
      <c r="O18" s="112">
        <v>0</v>
      </c>
      <c r="P18" s="112">
        <v>0.44</v>
      </c>
      <c r="Q18" s="112">
        <v>4.63</v>
      </c>
    </row>
    <row r="19" spans="1:17" customFormat="1">
      <c r="A19" s="80">
        <v>45486.114583333336</v>
      </c>
      <c r="B19" s="112">
        <v>9.2899999999999991</v>
      </c>
      <c r="C19" s="112">
        <v>4.0599999999999996</v>
      </c>
      <c r="D19" s="112">
        <v>14.02</v>
      </c>
      <c r="E19" s="112">
        <v>10.17</v>
      </c>
      <c r="F19" s="112">
        <v>7.35</v>
      </c>
      <c r="G19" s="112">
        <v>13.06</v>
      </c>
      <c r="H19" s="112">
        <v>5.84</v>
      </c>
      <c r="I19" s="112">
        <v>3.53</v>
      </c>
      <c r="J19" s="112">
        <v>0.12</v>
      </c>
      <c r="K19" s="112">
        <v>220.4</v>
      </c>
      <c r="L19" s="112">
        <v>25.68</v>
      </c>
      <c r="M19" s="112">
        <v>96.97</v>
      </c>
      <c r="N19" s="112">
        <v>2.1</v>
      </c>
      <c r="O19" s="112">
        <v>0</v>
      </c>
      <c r="P19" s="112">
        <v>0.43</v>
      </c>
      <c r="Q19" s="112">
        <v>4.63</v>
      </c>
    </row>
    <row r="20" spans="1:17" customFormat="1">
      <c r="A20" s="80">
        <v>45486.125</v>
      </c>
      <c r="B20" s="112">
        <v>9.2799999999999994</v>
      </c>
      <c r="C20" s="112">
        <v>4.0599999999999996</v>
      </c>
      <c r="D20" s="112">
        <v>14.01</v>
      </c>
      <c r="E20" s="112">
        <v>9.76</v>
      </c>
      <c r="F20" s="112">
        <v>7.08</v>
      </c>
      <c r="G20" s="112">
        <v>13.97</v>
      </c>
      <c r="H20" s="112">
        <v>5.96</v>
      </c>
      <c r="I20" s="112">
        <v>3.48</v>
      </c>
      <c r="J20" s="112">
        <v>0.11</v>
      </c>
      <c r="K20" s="112">
        <v>210.55</v>
      </c>
      <c r="L20" s="112">
        <v>25.6</v>
      </c>
      <c r="M20" s="112">
        <v>98.06</v>
      </c>
      <c r="N20" s="112">
        <v>2.1</v>
      </c>
      <c r="O20" s="112">
        <v>0</v>
      </c>
      <c r="P20" s="112">
        <v>0.43</v>
      </c>
      <c r="Q20" s="112">
        <v>4.63</v>
      </c>
    </row>
    <row r="21" spans="1:17" customFormat="1">
      <c r="A21" s="80">
        <v>45486.135416666664</v>
      </c>
      <c r="B21" s="112">
        <v>9.27</v>
      </c>
      <c r="C21" s="112">
        <v>4.0999999999999996</v>
      </c>
      <c r="D21" s="112">
        <v>14.03</v>
      </c>
      <c r="E21" s="112">
        <v>9.7100000000000009</v>
      </c>
      <c r="F21" s="112">
        <v>6.06</v>
      </c>
      <c r="G21" s="112">
        <v>13.97</v>
      </c>
      <c r="H21" s="112">
        <v>5.96</v>
      </c>
      <c r="I21" s="112">
        <v>3.28</v>
      </c>
      <c r="J21" s="112">
        <v>0.16</v>
      </c>
      <c r="K21" s="112">
        <v>246.44</v>
      </c>
      <c r="L21" s="112">
        <v>25.58</v>
      </c>
      <c r="M21" s="112">
        <v>97.66</v>
      </c>
      <c r="N21" s="112">
        <v>2.1</v>
      </c>
      <c r="O21" s="112">
        <v>0</v>
      </c>
      <c r="P21" s="112">
        <v>0.43</v>
      </c>
      <c r="Q21" s="112">
        <v>4.6399999999999997</v>
      </c>
    </row>
    <row r="22" spans="1:17" customFormat="1">
      <c r="A22" s="80">
        <v>45486.145833333336</v>
      </c>
      <c r="B22" s="112">
        <v>9.27</v>
      </c>
      <c r="C22" s="112">
        <v>4.09</v>
      </c>
      <c r="D22" s="112">
        <v>14.02</v>
      </c>
      <c r="E22" s="112">
        <v>9.57</v>
      </c>
      <c r="F22" s="112">
        <v>6.24</v>
      </c>
      <c r="G22" s="112">
        <v>13.97</v>
      </c>
      <c r="H22" s="112">
        <v>5.96</v>
      </c>
      <c r="I22" s="112">
        <v>3.36</v>
      </c>
      <c r="J22" s="112">
        <v>0.13</v>
      </c>
      <c r="K22" s="112">
        <v>215.99</v>
      </c>
      <c r="L22" s="112">
        <v>25.57</v>
      </c>
      <c r="M22" s="112">
        <v>97.28</v>
      </c>
      <c r="N22" s="112">
        <v>2.1</v>
      </c>
      <c r="O22" s="112">
        <v>0</v>
      </c>
      <c r="P22" s="112">
        <v>0.43</v>
      </c>
      <c r="Q22" s="112">
        <v>4.6399999999999997</v>
      </c>
    </row>
    <row r="23" spans="1:17" customFormat="1">
      <c r="A23" s="80">
        <v>45486.15625</v>
      </c>
      <c r="B23" s="112">
        <v>9.2799999999999994</v>
      </c>
      <c r="C23" s="112">
        <v>4.0999999999999996</v>
      </c>
      <c r="D23" s="112">
        <v>14.03</v>
      </c>
      <c r="E23" s="112">
        <v>9.56</v>
      </c>
      <c r="F23" s="112">
        <v>7.64</v>
      </c>
      <c r="G23" s="112">
        <v>11.82</v>
      </c>
      <c r="H23" s="112">
        <v>5.32</v>
      </c>
      <c r="I23" s="112">
        <v>3.46</v>
      </c>
      <c r="J23" s="112">
        <v>0.08</v>
      </c>
      <c r="K23" s="112">
        <v>213.14</v>
      </c>
      <c r="L23" s="112">
        <v>25.5</v>
      </c>
      <c r="M23" s="112">
        <v>98.16</v>
      </c>
      <c r="N23" s="112">
        <v>2.1</v>
      </c>
      <c r="O23" s="112">
        <v>0</v>
      </c>
      <c r="P23" s="112">
        <v>0.42</v>
      </c>
      <c r="Q23" s="112">
        <v>4.63</v>
      </c>
    </row>
    <row r="24" spans="1:17" customFormat="1">
      <c r="A24" s="80">
        <v>45486.166666666664</v>
      </c>
      <c r="B24" s="112">
        <v>9.27</v>
      </c>
      <c r="C24" s="112">
        <v>4.05</v>
      </c>
      <c r="D24" s="112">
        <v>14</v>
      </c>
      <c r="E24" s="112">
        <v>9.4700000000000006</v>
      </c>
      <c r="F24" s="112">
        <v>6.68</v>
      </c>
      <c r="G24" s="112">
        <v>10.17</v>
      </c>
      <c r="H24" s="112">
        <v>5.12</v>
      </c>
      <c r="I24" s="112">
        <v>3.52</v>
      </c>
      <c r="J24" s="112">
        <v>0.18</v>
      </c>
      <c r="K24" s="112">
        <v>259.73</v>
      </c>
      <c r="L24" s="112">
        <v>25.4</v>
      </c>
      <c r="M24" s="112">
        <v>99.62</v>
      </c>
      <c r="N24" s="112">
        <v>2.1</v>
      </c>
      <c r="O24" s="112">
        <v>0</v>
      </c>
      <c r="P24" s="112">
        <v>0.41</v>
      </c>
      <c r="Q24" s="112">
        <v>4.62</v>
      </c>
    </row>
    <row r="25" spans="1:17" customFormat="1">
      <c r="A25" s="80">
        <v>45486.177083333336</v>
      </c>
      <c r="B25" s="112">
        <v>9.2899999999999991</v>
      </c>
      <c r="C25" s="112">
        <v>4.04</v>
      </c>
      <c r="D25" s="112">
        <v>14.01</v>
      </c>
      <c r="E25" s="112">
        <v>9.7899999999999991</v>
      </c>
      <c r="F25" s="112">
        <v>5.97</v>
      </c>
      <c r="G25" s="112">
        <v>10.17</v>
      </c>
      <c r="H25" s="112">
        <v>5.12</v>
      </c>
      <c r="I25" s="112">
        <v>3.25</v>
      </c>
      <c r="J25" s="112">
        <v>0.14000000000000001</v>
      </c>
      <c r="K25" s="112">
        <v>217.12</v>
      </c>
      <c r="L25" s="112">
        <v>25.4</v>
      </c>
      <c r="M25" s="112">
        <v>100.04</v>
      </c>
      <c r="N25" s="112">
        <v>2.1</v>
      </c>
      <c r="O25" s="112">
        <v>0</v>
      </c>
      <c r="P25" s="112">
        <v>0.41</v>
      </c>
      <c r="Q25" s="112">
        <v>4.62</v>
      </c>
    </row>
    <row r="26" spans="1:17" customFormat="1">
      <c r="A26" s="80">
        <v>45486.1875</v>
      </c>
      <c r="B26" s="112">
        <v>9.2899999999999991</v>
      </c>
      <c r="C26" s="112">
        <v>4.0599999999999996</v>
      </c>
      <c r="D26" s="112">
        <v>14.02</v>
      </c>
      <c r="E26" s="112">
        <v>9.67</v>
      </c>
      <c r="F26" s="112">
        <v>6.25</v>
      </c>
      <c r="G26" s="112">
        <v>10.17</v>
      </c>
      <c r="H26" s="112">
        <v>5.12</v>
      </c>
      <c r="I26" s="112">
        <v>3.44</v>
      </c>
      <c r="J26" s="112">
        <v>0.09</v>
      </c>
      <c r="K26" s="112">
        <v>205.63</v>
      </c>
      <c r="L26" s="112">
        <v>25.42</v>
      </c>
      <c r="M26" s="112">
        <v>100.23</v>
      </c>
      <c r="N26" s="112">
        <v>1.9</v>
      </c>
      <c r="O26" s="112">
        <v>0</v>
      </c>
      <c r="P26" s="112">
        <v>0.41</v>
      </c>
      <c r="Q26" s="112">
        <v>4.6399999999999997</v>
      </c>
    </row>
    <row r="27" spans="1:17" customFormat="1">
      <c r="A27" s="80">
        <v>45486.197916666664</v>
      </c>
      <c r="B27" s="112">
        <v>9.2799999999999994</v>
      </c>
      <c r="C27" s="112">
        <v>4.05</v>
      </c>
      <c r="D27" s="112">
        <v>14.01</v>
      </c>
      <c r="E27" s="112">
        <v>8.74</v>
      </c>
      <c r="F27" s="112">
        <v>7</v>
      </c>
      <c r="G27" s="112">
        <v>10.15</v>
      </c>
      <c r="H27" s="112">
        <v>4.12</v>
      </c>
      <c r="I27" s="112">
        <v>3.29</v>
      </c>
      <c r="J27" s="112">
        <v>0.15</v>
      </c>
      <c r="K27" s="112">
        <v>253.59</v>
      </c>
      <c r="L27" s="112">
        <v>25.43</v>
      </c>
      <c r="M27" s="112">
        <v>99.95</v>
      </c>
      <c r="N27" s="112">
        <v>2.1</v>
      </c>
      <c r="O27" s="112">
        <v>0</v>
      </c>
      <c r="P27" s="112">
        <v>0.4</v>
      </c>
      <c r="Q27" s="112">
        <v>4.6399999999999997</v>
      </c>
    </row>
    <row r="28" spans="1:17" customFormat="1">
      <c r="A28" s="80">
        <v>45486.208333333336</v>
      </c>
      <c r="B28" s="112">
        <v>9.27</v>
      </c>
      <c r="C28" s="112">
        <v>4.0599999999999996</v>
      </c>
      <c r="D28" s="112">
        <v>14</v>
      </c>
      <c r="E28" s="112">
        <v>9.5299999999999994</v>
      </c>
      <c r="F28" s="112">
        <v>6.44</v>
      </c>
      <c r="G28" s="112">
        <v>10.130000000000001</v>
      </c>
      <c r="H28" s="112">
        <v>3.8</v>
      </c>
      <c r="I28" s="112">
        <v>3.43</v>
      </c>
      <c r="J28" s="112">
        <v>0.1</v>
      </c>
      <c r="K28" s="112">
        <v>209.53</v>
      </c>
      <c r="L28" s="112">
        <v>25.49</v>
      </c>
      <c r="M28" s="112">
        <v>98.91</v>
      </c>
      <c r="N28" s="112">
        <v>1.9</v>
      </c>
      <c r="O28" s="112">
        <v>0</v>
      </c>
      <c r="P28" s="112">
        <v>0.41</v>
      </c>
      <c r="Q28" s="112">
        <v>4.6399999999999997</v>
      </c>
    </row>
    <row r="29" spans="1:17" customFormat="1">
      <c r="A29" s="80">
        <v>45486.21875</v>
      </c>
      <c r="B29" s="112">
        <v>9.26</v>
      </c>
      <c r="C29" s="112">
        <v>4.08</v>
      </c>
      <c r="D29" s="112">
        <v>14</v>
      </c>
      <c r="E29" s="112">
        <v>8.86</v>
      </c>
      <c r="F29" s="112">
        <v>6.86</v>
      </c>
      <c r="G29" s="112">
        <v>10.130000000000001</v>
      </c>
      <c r="H29" s="112">
        <v>3.8</v>
      </c>
      <c r="I29" s="112">
        <v>3.29</v>
      </c>
      <c r="J29" s="112">
        <v>0.11</v>
      </c>
      <c r="K29" s="112">
        <v>251.57</v>
      </c>
      <c r="L29" s="112">
        <v>25.44</v>
      </c>
      <c r="M29" s="112">
        <v>99.73</v>
      </c>
      <c r="N29" s="112">
        <v>3</v>
      </c>
      <c r="O29" s="112">
        <v>0</v>
      </c>
      <c r="P29" s="112">
        <v>0.4</v>
      </c>
      <c r="Q29" s="112">
        <v>4.6399999999999997</v>
      </c>
    </row>
    <row r="30" spans="1:17" customFormat="1">
      <c r="A30" s="80">
        <v>45486.229166666664</v>
      </c>
      <c r="B30" s="112">
        <v>9.26</v>
      </c>
      <c r="C30" s="112">
        <v>4.04</v>
      </c>
      <c r="D30" s="112">
        <v>13.98</v>
      </c>
      <c r="E30" s="112">
        <v>9.5500000000000007</v>
      </c>
      <c r="F30" s="112">
        <v>5.55</v>
      </c>
      <c r="G30" s="112">
        <v>10.130000000000001</v>
      </c>
      <c r="H30" s="112">
        <v>3.8</v>
      </c>
      <c r="I30" s="112">
        <v>3.44</v>
      </c>
      <c r="J30" s="112">
        <v>0.12</v>
      </c>
      <c r="K30" s="112">
        <v>247.4</v>
      </c>
      <c r="L30" s="112">
        <v>25.56</v>
      </c>
      <c r="M30" s="112">
        <v>99.28</v>
      </c>
      <c r="N30" s="112">
        <v>5.8</v>
      </c>
      <c r="O30" s="112">
        <v>0</v>
      </c>
      <c r="P30" s="112">
        <v>0.38</v>
      </c>
      <c r="Q30" s="112">
        <v>4.6399999999999997</v>
      </c>
    </row>
    <row r="31" spans="1:17" customFormat="1">
      <c r="A31" s="80">
        <v>45486.239583333336</v>
      </c>
      <c r="B31" s="112">
        <v>9.27</v>
      </c>
      <c r="C31" s="112">
        <v>4.04</v>
      </c>
      <c r="D31" s="112">
        <v>13.99</v>
      </c>
      <c r="E31" s="112">
        <v>9.81</v>
      </c>
      <c r="F31" s="112">
        <v>6.16</v>
      </c>
      <c r="G31" s="112">
        <v>11.76</v>
      </c>
      <c r="H31" s="112">
        <v>3.39</v>
      </c>
      <c r="I31" s="112">
        <v>3.57</v>
      </c>
      <c r="J31" s="112">
        <v>0.12</v>
      </c>
      <c r="K31" s="112">
        <v>249.31</v>
      </c>
      <c r="L31" s="112">
        <v>25.72</v>
      </c>
      <c r="M31" s="112">
        <v>98.53</v>
      </c>
      <c r="N31" s="112">
        <v>8.6999999999999993</v>
      </c>
      <c r="O31" s="112">
        <v>0</v>
      </c>
      <c r="P31" s="112">
        <v>0.37</v>
      </c>
      <c r="Q31" s="112">
        <v>4.6399999999999997</v>
      </c>
    </row>
    <row r="32" spans="1:17" customFormat="1">
      <c r="A32" s="80">
        <v>45486.25</v>
      </c>
      <c r="B32" s="112">
        <v>9.26</v>
      </c>
      <c r="C32" s="112">
        <v>4.07</v>
      </c>
      <c r="D32" s="112">
        <v>14</v>
      </c>
      <c r="E32" s="112">
        <v>10.01</v>
      </c>
      <c r="F32" s="112">
        <v>5.19</v>
      </c>
      <c r="G32" s="112">
        <v>13</v>
      </c>
      <c r="H32" s="112">
        <v>3.25</v>
      </c>
      <c r="I32" s="112">
        <v>3.58</v>
      </c>
      <c r="J32" s="112">
        <v>0.27</v>
      </c>
      <c r="K32" s="112">
        <v>254.28</v>
      </c>
      <c r="L32" s="112">
        <v>25.97</v>
      </c>
      <c r="M32" s="112">
        <v>97.54</v>
      </c>
      <c r="N32" s="112">
        <v>11.3</v>
      </c>
      <c r="O32" s="112">
        <v>0</v>
      </c>
      <c r="P32" s="112">
        <v>0.36</v>
      </c>
      <c r="Q32" s="112">
        <v>4.62</v>
      </c>
    </row>
    <row r="33" spans="1:17" customFormat="1">
      <c r="A33" s="80">
        <v>45486.260416666664</v>
      </c>
      <c r="B33" s="112">
        <v>9.25</v>
      </c>
      <c r="C33" s="112">
        <v>4.03</v>
      </c>
      <c r="D33" s="112">
        <v>13.98</v>
      </c>
      <c r="E33" s="112">
        <v>10.029999999999999</v>
      </c>
      <c r="F33" s="112">
        <v>5.38</v>
      </c>
      <c r="G33" s="112">
        <v>13</v>
      </c>
      <c r="H33" s="112">
        <v>3.25</v>
      </c>
      <c r="I33" s="112">
        <v>3.43</v>
      </c>
      <c r="J33" s="112">
        <v>0.42</v>
      </c>
      <c r="K33" s="112">
        <v>268.35000000000002</v>
      </c>
      <c r="L33" s="112">
        <v>26.11</v>
      </c>
      <c r="M33" s="112">
        <v>96.76</v>
      </c>
      <c r="N33" s="112">
        <v>22.2</v>
      </c>
      <c r="O33" s="112">
        <v>0</v>
      </c>
      <c r="P33" s="112">
        <v>0.36</v>
      </c>
      <c r="Q33" s="112">
        <v>4.62</v>
      </c>
    </row>
    <row r="34" spans="1:17" customFormat="1">
      <c r="A34" s="80">
        <v>45486.270833333336</v>
      </c>
      <c r="B34" s="112">
        <v>9.23</v>
      </c>
      <c r="C34" s="112">
        <v>4.03</v>
      </c>
      <c r="D34" s="112">
        <v>13.96</v>
      </c>
      <c r="E34" s="112">
        <v>10.29</v>
      </c>
      <c r="F34" s="112">
        <v>4.46</v>
      </c>
      <c r="G34" s="112">
        <v>13</v>
      </c>
      <c r="H34" s="112">
        <v>3.25</v>
      </c>
      <c r="I34" s="112">
        <v>3.42</v>
      </c>
      <c r="J34" s="112">
        <v>0.49</v>
      </c>
      <c r="K34" s="112">
        <v>270.33999999999997</v>
      </c>
      <c r="L34" s="112">
        <v>26.3</v>
      </c>
      <c r="M34" s="112">
        <v>96.06</v>
      </c>
      <c r="N34" s="112">
        <v>41.5</v>
      </c>
      <c r="O34" s="112">
        <v>0</v>
      </c>
      <c r="P34" s="112">
        <v>0.36</v>
      </c>
      <c r="Q34" s="112">
        <v>4.63</v>
      </c>
    </row>
    <row r="35" spans="1:17" customFormat="1">
      <c r="A35" s="80">
        <v>45486.28125</v>
      </c>
      <c r="B35" s="112">
        <v>9.23</v>
      </c>
      <c r="C35" s="112">
        <v>4.0199999999999996</v>
      </c>
      <c r="D35" s="112">
        <v>13.96</v>
      </c>
      <c r="E35" s="112">
        <v>10.73</v>
      </c>
      <c r="F35" s="112">
        <v>4.6399999999999997</v>
      </c>
      <c r="G35" s="112">
        <v>12.97</v>
      </c>
      <c r="H35" s="112">
        <v>3.45</v>
      </c>
      <c r="I35" s="112">
        <v>3.42</v>
      </c>
      <c r="J35" s="112">
        <v>0.61</v>
      </c>
      <c r="K35" s="112">
        <v>275.76</v>
      </c>
      <c r="L35" s="112">
        <v>26.53</v>
      </c>
      <c r="M35" s="112">
        <v>94.28</v>
      </c>
      <c r="N35" s="112">
        <v>68</v>
      </c>
      <c r="O35" s="112">
        <v>0</v>
      </c>
      <c r="P35" s="112">
        <v>0.36</v>
      </c>
      <c r="Q35" s="112">
        <v>4.6399999999999997</v>
      </c>
    </row>
    <row r="36" spans="1:17" customFormat="1">
      <c r="A36" s="80">
        <v>45486.291666666664</v>
      </c>
      <c r="B36" s="112">
        <v>9.23</v>
      </c>
      <c r="C36" s="112">
        <v>4.0599999999999996</v>
      </c>
      <c r="D36" s="112">
        <v>13.97</v>
      </c>
      <c r="E36" s="112">
        <v>10.55</v>
      </c>
      <c r="F36" s="112">
        <v>4.29</v>
      </c>
      <c r="G36" s="112">
        <v>12.95</v>
      </c>
      <c r="H36" s="112">
        <v>3.57</v>
      </c>
      <c r="I36" s="112">
        <v>3.43</v>
      </c>
      <c r="J36" s="112">
        <v>0.56000000000000005</v>
      </c>
      <c r="K36" s="112">
        <v>269.8</v>
      </c>
      <c r="L36" s="112">
        <v>26.94</v>
      </c>
      <c r="M36" s="112">
        <v>93.03</v>
      </c>
      <c r="N36" s="112">
        <v>126.7</v>
      </c>
      <c r="O36" s="112">
        <v>0</v>
      </c>
      <c r="P36" s="112">
        <v>0.36</v>
      </c>
      <c r="Q36" s="112">
        <v>4.6399999999999997</v>
      </c>
    </row>
    <row r="37" spans="1:17" customFormat="1">
      <c r="A37" s="80">
        <v>45486.302083333336</v>
      </c>
      <c r="B37" s="112">
        <v>9.2100000000000009</v>
      </c>
      <c r="C37" s="112">
        <v>4.08</v>
      </c>
      <c r="D37" s="112">
        <v>13.97</v>
      </c>
      <c r="E37" s="112">
        <v>10.98</v>
      </c>
      <c r="F37" s="112">
        <v>5.1100000000000003</v>
      </c>
      <c r="G37" s="112">
        <v>12.95</v>
      </c>
      <c r="H37" s="112">
        <v>3.57</v>
      </c>
      <c r="I37" s="112">
        <v>3.42</v>
      </c>
      <c r="J37" s="112">
        <v>0.56999999999999995</v>
      </c>
      <c r="K37" s="112">
        <v>277.8</v>
      </c>
      <c r="L37" s="112">
        <v>27.51</v>
      </c>
      <c r="M37" s="112">
        <v>90.43</v>
      </c>
      <c r="N37" s="112">
        <v>124</v>
      </c>
      <c r="O37" s="112">
        <v>0</v>
      </c>
      <c r="P37" s="112">
        <v>0.37</v>
      </c>
      <c r="Q37" s="112">
        <v>4.6399999999999997</v>
      </c>
    </row>
    <row r="38" spans="1:17" customFormat="1">
      <c r="A38" s="80">
        <v>45486.3125</v>
      </c>
      <c r="B38" s="112">
        <v>9.2100000000000009</v>
      </c>
      <c r="C38" s="112">
        <v>4.08</v>
      </c>
      <c r="D38" s="112">
        <v>13.97</v>
      </c>
      <c r="E38" s="112">
        <v>10.85</v>
      </c>
      <c r="F38" s="112">
        <v>4.01</v>
      </c>
      <c r="G38" s="112">
        <v>12.95</v>
      </c>
      <c r="H38" s="112">
        <v>3.57</v>
      </c>
      <c r="I38" s="112">
        <v>3.49</v>
      </c>
      <c r="J38" s="112">
        <v>0.79</v>
      </c>
      <c r="K38" s="112">
        <v>293.19</v>
      </c>
      <c r="L38" s="112">
        <v>27.57</v>
      </c>
      <c r="M38" s="112">
        <v>89.56</v>
      </c>
      <c r="N38" s="112">
        <v>119.4</v>
      </c>
      <c r="O38" s="112">
        <v>0</v>
      </c>
      <c r="P38" s="112">
        <v>0.39</v>
      </c>
      <c r="Q38" s="112">
        <v>4.63</v>
      </c>
    </row>
    <row r="39" spans="1:17" customFormat="1">
      <c r="A39" s="80">
        <v>45486.322916666664</v>
      </c>
      <c r="B39" s="112">
        <v>9.2200000000000006</v>
      </c>
      <c r="C39" s="112">
        <v>4.08</v>
      </c>
      <c r="D39" s="112">
        <v>13.97</v>
      </c>
      <c r="E39" s="112">
        <v>11.22</v>
      </c>
      <c r="F39" s="112">
        <v>3.89</v>
      </c>
      <c r="G39" s="112">
        <v>14.47</v>
      </c>
      <c r="H39" s="112">
        <v>6.46</v>
      </c>
      <c r="I39" s="112">
        <v>3.59</v>
      </c>
      <c r="J39" s="112">
        <v>0.7</v>
      </c>
      <c r="K39" s="112">
        <v>291.24</v>
      </c>
      <c r="L39" s="112">
        <v>27.84</v>
      </c>
      <c r="M39" s="112">
        <v>88.71</v>
      </c>
      <c r="N39" s="112">
        <v>137.4</v>
      </c>
      <c r="O39" s="112">
        <v>0</v>
      </c>
      <c r="P39" s="112">
        <v>0.41</v>
      </c>
      <c r="Q39" s="112">
        <v>4.63</v>
      </c>
    </row>
    <row r="40" spans="1:17" customFormat="1">
      <c r="A40" s="80">
        <v>45486.333333333336</v>
      </c>
      <c r="B40" s="112">
        <v>9.2100000000000009</v>
      </c>
      <c r="C40" s="112">
        <v>4.07</v>
      </c>
      <c r="D40" s="112">
        <v>13.96</v>
      </c>
      <c r="E40" s="112">
        <v>11.36</v>
      </c>
      <c r="F40" s="112">
        <v>3.66</v>
      </c>
      <c r="G40" s="112">
        <v>15.63</v>
      </c>
      <c r="H40" s="112">
        <v>7.39</v>
      </c>
      <c r="I40" s="112">
        <v>3.76</v>
      </c>
      <c r="J40" s="112">
        <v>0.65</v>
      </c>
      <c r="K40" s="112">
        <v>283.35000000000002</v>
      </c>
      <c r="L40" s="112">
        <v>28.18</v>
      </c>
      <c r="M40" s="112">
        <v>87.74</v>
      </c>
      <c r="N40" s="112">
        <v>175.4</v>
      </c>
      <c r="O40" s="112">
        <v>0</v>
      </c>
      <c r="P40" s="112">
        <v>0.42</v>
      </c>
      <c r="Q40" s="112">
        <v>4.6399999999999997</v>
      </c>
    </row>
    <row r="41" spans="1:17" customFormat="1">
      <c r="A41" s="80">
        <v>45486.34375</v>
      </c>
      <c r="B41" s="112">
        <v>9.2200000000000006</v>
      </c>
      <c r="C41" s="112">
        <v>4.07</v>
      </c>
      <c r="D41" s="112">
        <v>13.97</v>
      </c>
      <c r="E41" s="112">
        <v>11.38</v>
      </c>
      <c r="F41" s="112">
        <v>3.87</v>
      </c>
      <c r="G41" s="112">
        <v>15.63</v>
      </c>
      <c r="H41" s="112">
        <v>7.39</v>
      </c>
      <c r="I41" s="112">
        <v>3.92</v>
      </c>
      <c r="J41" s="112">
        <v>0.64</v>
      </c>
      <c r="K41" s="112">
        <v>299.51</v>
      </c>
      <c r="L41" s="112">
        <v>28.72</v>
      </c>
      <c r="M41" s="112">
        <v>85.78</v>
      </c>
      <c r="N41" s="112">
        <v>179.5</v>
      </c>
      <c r="O41" s="112">
        <v>0</v>
      </c>
      <c r="P41" s="112">
        <v>0.43</v>
      </c>
      <c r="Q41" s="112">
        <v>4.63</v>
      </c>
    </row>
    <row r="42" spans="1:17" customFormat="1">
      <c r="A42" s="80">
        <v>45486.354166666664</v>
      </c>
      <c r="B42" s="112">
        <v>9.2100000000000009</v>
      </c>
      <c r="C42" s="112">
        <v>4.07</v>
      </c>
      <c r="D42" s="112">
        <v>13.97</v>
      </c>
      <c r="E42" s="112">
        <v>11.7</v>
      </c>
      <c r="F42" s="112">
        <v>4.71</v>
      </c>
      <c r="G42" s="112">
        <v>15.63</v>
      </c>
      <c r="H42" s="112">
        <v>7.39</v>
      </c>
      <c r="I42" s="112">
        <v>3.99</v>
      </c>
      <c r="J42" s="112">
        <v>0.67</v>
      </c>
      <c r="K42" s="112">
        <v>300.52</v>
      </c>
      <c r="L42" s="112">
        <v>28.81</v>
      </c>
      <c r="M42" s="112">
        <v>86.69</v>
      </c>
      <c r="N42" s="112">
        <v>185.6</v>
      </c>
      <c r="O42" s="112">
        <v>0</v>
      </c>
      <c r="P42" s="112">
        <v>0.42</v>
      </c>
      <c r="Q42" s="112">
        <v>4.63</v>
      </c>
    </row>
    <row r="43" spans="1:17" customFormat="1">
      <c r="A43" s="80">
        <v>45486.364583333336</v>
      </c>
      <c r="B43" s="112">
        <v>9.2100000000000009</v>
      </c>
      <c r="C43" s="112">
        <v>4.08</v>
      </c>
      <c r="D43" s="112">
        <v>13.97</v>
      </c>
      <c r="E43" s="112">
        <v>11.75</v>
      </c>
      <c r="F43" s="112">
        <v>3.86</v>
      </c>
      <c r="G43" s="112">
        <v>21.17</v>
      </c>
      <c r="H43" s="112">
        <v>5.88</v>
      </c>
      <c r="I43" s="112">
        <v>4.0599999999999996</v>
      </c>
      <c r="J43" s="112">
        <v>0.56999999999999995</v>
      </c>
      <c r="K43" s="112">
        <v>292.17</v>
      </c>
      <c r="L43" s="112">
        <v>29.15</v>
      </c>
      <c r="M43" s="112">
        <v>85.48</v>
      </c>
      <c r="N43" s="112">
        <v>161.5</v>
      </c>
      <c r="O43" s="112">
        <v>0</v>
      </c>
      <c r="P43" s="112">
        <v>0.44</v>
      </c>
      <c r="Q43" s="112">
        <v>4.66</v>
      </c>
    </row>
    <row r="44" spans="1:17" customFormat="1">
      <c r="A44" s="80">
        <v>45486.375</v>
      </c>
      <c r="B44" s="112">
        <v>9.2200000000000006</v>
      </c>
      <c r="C44" s="112">
        <v>4.07</v>
      </c>
      <c r="D44" s="112">
        <v>13.97</v>
      </c>
      <c r="E44" s="112">
        <v>11.55</v>
      </c>
      <c r="F44" s="112">
        <v>3.74</v>
      </c>
      <c r="G44" s="112">
        <v>25.41</v>
      </c>
      <c r="H44" s="112">
        <v>5.39</v>
      </c>
      <c r="I44" s="112">
        <v>4.07</v>
      </c>
      <c r="J44" s="112">
        <v>0.71</v>
      </c>
      <c r="K44" s="112">
        <v>300.8</v>
      </c>
      <c r="L44" s="112">
        <v>29.04</v>
      </c>
      <c r="M44" s="112">
        <v>85.92</v>
      </c>
      <c r="N44" s="112">
        <v>151.69999999999999</v>
      </c>
      <c r="O44" s="112">
        <v>0</v>
      </c>
      <c r="P44" s="112">
        <v>0.44</v>
      </c>
      <c r="Q44" s="112">
        <v>4.6399999999999997</v>
      </c>
    </row>
    <row r="45" spans="1:17" customFormat="1">
      <c r="A45" s="80">
        <v>45486.385416666664</v>
      </c>
      <c r="B45" s="112">
        <v>9.2200000000000006</v>
      </c>
      <c r="C45" s="112">
        <v>4.09</v>
      </c>
      <c r="D45" s="112">
        <v>13.98</v>
      </c>
      <c r="E45" s="112">
        <v>11.7</v>
      </c>
      <c r="F45" s="112">
        <v>3.7</v>
      </c>
      <c r="G45" s="112">
        <v>25.41</v>
      </c>
      <c r="H45" s="112">
        <v>5.39</v>
      </c>
      <c r="I45" s="112">
        <v>4.13</v>
      </c>
      <c r="J45" s="112">
        <v>1.08</v>
      </c>
      <c r="K45" s="112">
        <v>309.7</v>
      </c>
      <c r="L45" s="112">
        <v>29.09</v>
      </c>
      <c r="M45" s="112">
        <v>84.82</v>
      </c>
      <c r="N45" s="112">
        <v>167.4</v>
      </c>
      <c r="O45" s="112">
        <v>0</v>
      </c>
      <c r="P45" s="112">
        <v>0.44</v>
      </c>
      <c r="Q45" s="112">
        <v>4.63</v>
      </c>
    </row>
    <row r="46" spans="1:17" customFormat="1">
      <c r="A46" s="80">
        <v>45486.395833333336</v>
      </c>
      <c r="B46" s="112">
        <v>9.2200000000000006</v>
      </c>
      <c r="C46" s="112">
        <v>4.09</v>
      </c>
      <c r="D46" s="112">
        <v>13.98</v>
      </c>
      <c r="E46" s="112">
        <v>11.76</v>
      </c>
      <c r="F46" s="112">
        <v>4.6900000000000004</v>
      </c>
      <c r="G46" s="112">
        <v>25.41</v>
      </c>
      <c r="H46" s="112">
        <v>5.39</v>
      </c>
      <c r="I46" s="112">
        <v>4.17</v>
      </c>
      <c r="J46" s="112">
        <v>0.74</v>
      </c>
      <c r="K46" s="112">
        <v>306.60000000000002</v>
      </c>
      <c r="L46" s="112">
        <v>29.49</v>
      </c>
      <c r="M46" s="112">
        <v>80.959999999999994</v>
      </c>
      <c r="N46" s="112">
        <v>220</v>
      </c>
      <c r="O46" s="112">
        <v>0</v>
      </c>
      <c r="P46" s="112">
        <v>0.47</v>
      </c>
      <c r="Q46" s="112">
        <v>4.5999999999999996</v>
      </c>
    </row>
    <row r="47" spans="1:17" customFormat="1">
      <c r="A47" s="80">
        <v>45486.40625</v>
      </c>
      <c r="B47" s="112">
        <v>9.24</v>
      </c>
      <c r="C47" s="112">
        <v>4.04</v>
      </c>
      <c r="D47" s="112">
        <v>13.97</v>
      </c>
      <c r="E47" s="112">
        <v>11.89</v>
      </c>
      <c r="F47" s="112">
        <v>4.7300000000000004</v>
      </c>
      <c r="G47" s="112">
        <v>26.75</v>
      </c>
      <c r="H47" s="112">
        <v>8.68</v>
      </c>
      <c r="I47" s="112">
        <v>4.1900000000000004</v>
      </c>
      <c r="J47" s="112">
        <v>0.75</v>
      </c>
      <c r="K47" s="112">
        <v>291.02</v>
      </c>
      <c r="L47" s="112">
        <v>29.79</v>
      </c>
      <c r="M47" s="112">
        <v>80.540000000000006</v>
      </c>
      <c r="N47" s="112">
        <v>264.89999999999998</v>
      </c>
      <c r="O47" s="112">
        <v>0</v>
      </c>
      <c r="P47" s="112">
        <v>0.47</v>
      </c>
      <c r="Q47" s="112">
        <v>4.6100000000000003</v>
      </c>
    </row>
    <row r="48" spans="1:17" customFormat="1">
      <c r="A48" s="80">
        <v>45486.416666666664</v>
      </c>
      <c r="B48" s="112">
        <v>9.24</v>
      </c>
      <c r="C48" s="112">
        <v>4.03</v>
      </c>
      <c r="D48" s="112">
        <v>13.96</v>
      </c>
      <c r="E48" s="112">
        <v>11.67</v>
      </c>
      <c r="F48" s="112">
        <v>4.47</v>
      </c>
      <c r="G48" s="112">
        <v>27.78</v>
      </c>
      <c r="H48" s="112">
        <v>9.73</v>
      </c>
      <c r="I48" s="112">
        <v>4.16</v>
      </c>
      <c r="J48" s="112">
        <v>0.72</v>
      </c>
      <c r="K48" s="112">
        <v>302.73</v>
      </c>
      <c r="L48" s="112">
        <v>30.12</v>
      </c>
      <c r="M48" s="112">
        <v>78.12</v>
      </c>
      <c r="N48" s="112">
        <v>261</v>
      </c>
      <c r="O48" s="112">
        <v>0</v>
      </c>
      <c r="P48" s="112">
        <v>0.46</v>
      </c>
      <c r="Q48" s="112">
        <v>4.6399999999999997</v>
      </c>
    </row>
    <row r="49" spans="1:17" customFormat="1">
      <c r="A49" s="80">
        <v>45486.427083333336</v>
      </c>
      <c r="B49" s="112">
        <v>9.2200000000000006</v>
      </c>
      <c r="C49" s="112">
        <v>4.04</v>
      </c>
      <c r="D49" s="112">
        <v>13.95</v>
      </c>
      <c r="E49" s="112">
        <v>9.6199999999999992</v>
      </c>
      <c r="F49" s="112">
        <v>4.55</v>
      </c>
      <c r="G49" s="112">
        <v>27.78</v>
      </c>
      <c r="H49" s="112">
        <v>9.73</v>
      </c>
      <c r="I49" s="112">
        <v>4.3899999999999997</v>
      </c>
      <c r="J49" s="112">
        <v>0.68</v>
      </c>
      <c r="K49" s="112">
        <v>291.62</v>
      </c>
      <c r="L49" s="112">
        <v>30.34</v>
      </c>
      <c r="M49" s="112">
        <v>78.16</v>
      </c>
      <c r="N49" s="112">
        <v>227.4</v>
      </c>
      <c r="O49" s="112">
        <v>0</v>
      </c>
      <c r="P49" s="112">
        <v>0.5</v>
      </c>
      <c r="Q49" s="112">
        <v>4.63</v>
      </c>
    </row>
    <row r="50" spans="1:17" customFormat="1">
      <c r="A50" s="80">
        <v>45486.4375</v>
      </c>
      <c r="B50" s="112">
        <v>9.19</v>
      </c>
      <c r="C50" s="112">
        <v>4.07</v>
      </c>
      <c r="D50" s="112">
        <v>13.94</v>
      </c>
      <c r="E50" s="112">
        <v>10.81</v>
      </c>
      <c r="F50" s="112">
        <v>8.9600000000000009</v>
      </c>
      <c r="G50" s="112">
        <v>27.78</v>
      </c>
      <c r="H50" s="112">
        <v>9.73</v>
      </c>
      <c r="I50" s="112">
        <v>4.45</v>
      </c>
      <c r="J50" s="112">
        <v>0.67</v>
      </c>
      <c r="K50" s="112">
        <v>306.62</v>
      </c>
      <c r="L50" s="112">
        <v>30.18</v>
      </c>
      <c r="M50" s="112">
        <v>78.28</v>
      </c>
      <c r="N50" s="112">
        <v>149.19999999999999</v>
      </c>
      <c r="O50" s="112">
        <v>0</v>
      </c>
      <c r="P50" s="112">
        <v>0.53</v>
      </c>
      <c r="Q50" s="112">
        <v>4.6399999999999997</v>
      </c>
    </row>
    <row r="51" spans="1:17" customFormat="1">
      <c r="A51" s="80">
        <v>45486.447916666664</v>
      </c>
      <c r="B51" s="112">
        <v>9.27</v>
      </c>
      <c r="C51" s="112">
        <v>4.0599999999999996</v>
      </c>
      <c r="D51" s="112">
        <v>14</v>
      </c>
      <c r="E51" s="112">
        <v>10.9</v>
      </c>
      <c r="F51" s="112">
        <v>10.26</v>
      </c>
      <c r="G51" s="112">
        <v>29.62</v>
      </c>
      <c r="H51" s="112">
        <v>9.9</v>
      </c>
      <c r="I51" s="112">
        <v>4.4400000000000004</v>
      </c>
      <c r="J51" s="112">
        <v>0.77</v>
      </c>
      <c r="K51" s="112">
        <v>311.23</v>
      </c>
      <c r="L51" s="112">
        <v>30.18</v>
      </c>
      <c r="M51" s="112">
        <v>77.2</v>
      </c>
      <c r="N51" s="112">
        <v>157.30000000000001</v>
      </c>
      <c r="O51" s="112">
        <v>0</v>
      </c>
      <c r="P51" s="112">
        <v>0.53</v>
      </c>
      <c r="Q51" s="112">
        <v>4.62</v>
      </c>
    </row>
    <row r="52" spans="1:17" customFormat="1">
      <c r="A52" s="80">
        <v>45486.458333333336</v>
      </c>
      <c r="B52" s="112">
        <v>9.31</v>
      </c>
      <c r="C52" s="112">
        <v>4.05</v>
      </c>
      <c r="D52" s="112">
        <v>14.04</v>
      </c>
      <c r="E52" s="112">
        <v>10.039999999999999</v>
      </c>
      <c r="F52" s="112">
        <v>9.6300000000000008</v>
      </c>
      <c r="G52" s="112">
        <v>31.04</v>
      </c>
      <c r="H52" s="112">
        <v>9.9600000000000009</v>
      </c>
      <c r="I52" s="112">
        <v>4.3099999999999996</v>
      </c>
      <c r="J52" s="112">
        <v>0.95</v>
      </c>
      <c r="K52" s="112">
        <v>312.60000000000002</v>
      </c>
      <c r="L52" s="112">
        <v>30.5</v>
      </c>
      <c r="M52" s="112">
        <v>75.66</v>
      </c>
      <c r="N52" s="112">
        <v>290.2</v>
      </c>
      <c r="O52" s="112">
        <v>0</v>
      </c>
      <c r="P52" s="112">
        <v>0.53</v>
      </c>
      <c r="Q52" s="112">
        <v>4.6500000000000004</v>
      </c>
    </row>
    <row r="53" spans="1:17" customFormat="1">
      <c r="A53" s="80">
        <v>45486.46875</v>
      </c>
      <c r="B53" s="112">
        <v>9.31</v>
      </c>
      <c r="C53" s="112">
        <v>4.05</v>
      </c>
      <c r="D53" s="112">
        <v>14.03</v>
      </c>
      <c r="E53" s="112">
        <v>9.25</v>
      </c>
      <c r="F53" s="112">
        <v>13.15</v>
      </c>
      <c r="G53" s="112">
        <v>31.04</v>
      </c>
      <c r="H53" s="112">
        <v>9.9600000000000009</v>
      </c>
      <c r="I53" s="112">
        <v>4.26</v>
      </c>
      <c r="J53" s="112">
        <v>0.67</v>
      </c>
      <c r="K53" s="112">
        <v>332.7</v>
      </c>
      <c r="L53" s="112">
        <v>31.1</v>
      </c>
      <c r="M53" s="112">
        <v>74.41</v>
      </c>
      <c r="N53" s="112">
        <v>299.39999999999998</v>
      </c>
      <c r="O53" s="112">
        <v>0</v>
      </c>
      <c r="P53" s="112">
        <v>0.53</v>
      </c>
      <c r="Q53" s="112">
        <v>4.6500000000000004</v>
      </c>
    </row>
    <row r="54" spans="1:17" customFormat="1">
      <c r="A54" s="80">
        <v>45486.479166666664</v>
      </c>
      <c r="B54" s="112">
        <v>9.32</v>
      </c>
      <c r="C54" s="112">
        <v>4.05</v>
      </c>
      <c r="D54" s="112">
        <v>14.04</v>
      </c>
      <c r="E54" s="112">
        <v>8.7100000000000009</v>
      </c>
      <c r="F54" s="112">
        <v>10.33</v>
      </c>
      <c r="G54" s="112">
        <v>31.04</v>
      </c>
      <c r="H54" s="112">
        <v>9.9600000000000009</v>
      </c>
      <c r="I54" s="112">
        <v>4.21</v>
      </c>
      <c r="J54" s="112">
        <v>0.8</v>
      </c>
      <c r="K54" s="112">
        <v>321.12</v>
      </c>
      <c r="L54" s="112">
        <v>30.81</v>
      </c>
      <c r="M54" s="112">
        <v>75.400000000000006</v>
      </c>
      <c r="N54" s="112">
        <v>193.4</v>
      </c>
      <c r="O54" s="112">
        <v>0</v>
      </c>
      <c r="P54" s="112">
        <v>0.53</v>
      </c>
      <c r="Q54" s="112">
        <v>4.63</v>
      </c>
    </row>
    <row r="55" spans="1:17" customFormat="1">
      <c r="A55" s="80">
        <v>45486.489583333336</v>
      </c>
      <c r="B55" s="112">
        <v>9.32</v>
      </c>
      <c r="C55" s="112">
        <v>4.05</v>
      </c>
      <c r="D55" s="112">
        <v>14.04</v>
      </c>
      <c r="E55" s="112">
        <v>8.3000000000000007</v>
      </c>
      <c r="F55" s="112">
        <v>14.91</v>
      </c>
      <c r="G55" s="112">
        <v>34.03</v>
      </c>
      <c r="H55" s="112">
        <v>9.3699999999999992</v>
      </c>
      <c r="I55" s="112">
        <v>4.0999999999999996</v>
      </c>
      <c r="J55" s="112">
        <v>0.53</v>
      </c>
      <c r="K55" s="112">
        <v>344.01</v>
      </c>
      <c r="L55" s="112">
        <v>31.2</v>
      </c>
      <c r="M55" s="112">
        <v>74.239999999999995</v>
      </c>
      <c r="N55" s="112">
        <v>306</v>
      </c>
      <c r="O55" s="112">
        <v>0</v>
      </c>
      <c r="P55" s="112">
        <v>0.54</v>
      </c>
      <c r="Q55" s="112">
        <v>4.6399999999999997</v>
      </c>
    </row>
    <row r="56" spans="1:17" customFormat="1">
      <c r="A56" s="80">
        <v>45486.5</v>
      </c>
      <c r="B56" s="112">
        <v>9.31</v>
      </c>
      <c r="C56" s="112">
        <v>4.0999999999999996</v>
      </c>
      <c r="D56" s="112">
        <v>14.05</v>
      </c>
      <c r="E56" s="112">
        <v>8.2799999999999994</v>
      </c>
      <c r="F56" s="112">
        <v>12.38</v>
      </c>
      <c r="G56" s="112">
        <v>36.31</v>
      </c>
      <c r="H56" s="112">
        <v>9.18</v>
      </c>
      <c r="I56" s="112">
        <v>4.13</v>
      </c>
      <c r="J56" s="112">
        <v>0.62</v>
      </c>
      <c r="K56" s="112">
        <v>285.89999999999998</v>
      </c>
      <c r="L56" s="112">
        <v>30.98</v>
      </c>
      <c r="M56" s="112">
        <v>75.3</v>
      </c>
      <c r="N56" s="112">
        <v>164.2</v>
      </c>
      <c r="O56" s="112">
        <v>0</v>
      </c>
      <c r="P56" s="112">
        <v>0.51</v>
      </c>
      <c r="Q56" s="112">
        <v>4.6500000000000004</v>
      </c>
    </row>
    <row r="57" spans="1:17" customFormat="1">
      <c r="A57" s="80">
        <v>45486.510416666664</v>
      </c>
      <c r="B57" s="112">
        <v>9.3000000000000007</v>
      </c>
      <c r="C57" s="112">
        <v>4.0999999999999996</v>
      </c>
      <c r="D57" s="112">
        <v>14.05</v>
      </c>
      <c r="E57" s="112">
        <v>8.25</v>
      </c>
      <c r="F57" s="112">
        <v>11.14</v>
      </c>
      <c r="G57" s="112">
        <v>36.31</v>
      </c>
      <c r="H57" s="112">
        <v>9.18</v>
      </c>
      <c r="I57" s="112">
        <v>4.0599999999999996</v>
      </c>
      <c r="J57" s="112">
        <v>0.55000000000000004</v>
      </c>
      <c r="K57" s="112">
        <v>267.8</v>
      </c>
      <c r="L57" s="112">
        <v>29.47</v>
      </c>
      <c r="M57" s="112">
        <v>87.32</v>
      </c>
      <c r="N57" s="112">
        <v>99.2</v>
      </c>
      <c r="O57" s="112">
        <v>1.6</v>
      </c>
      <c r="P57" s="112">
        <v>0.51</v>
      </c>
      <c r="Q57" s="112">
        <v>4.6500000000000004</v>
      </c>
    </row>
    <row r="58" spans="1:17" customFormat="1">
      <c r="A58" s="80">
        <v>45486.520833333336</v>
      </c>
      <c r="B58" s="112">
        <v>9.31</v>
      </c>
      <c r="C58" s="112">
        <v>4.07</v>
      </c>
      <c r="D58" s="112">
        <v>14.05</v>
      </c>
      <c r="E58" s="112">
        <v>7.74</v>
      </c>
      <c r="F58" s="112">
        <v>16.97</v>
      </c>
      <c r="G58" s="112">
        <v>36.31</v>
      </c>
      <c r="H58" s="112">
        <v>9.18</v>
      </c>
      <c r="I58" s="112">
        <v>4.09</v>
      </c>
      <c r="J58" s="112">
        <v>0.24</v>
      </c>
      <c r="K58" s="112">
        <v>245.22</v>
      </c>
      <c r="L58" s="112">
        <v>28.47</v>
      </c>
      <c r="M58" s="112">
        <v>94.8</v>
      </c>
      <c r="N58" s="112">
        <v>136</v>
      </c>
      <c r="O58" s="112">
        <v>0.2</v>
      </c>
      <c r="P58" s="112">
        <v>0.49</v>
      </c>
      <c r="Q58" s="112">
        <v>4.6399999999999997</v>
      </c>
    </row>
    <row r="59" spans="1:17" customFormat="1">
      <c r="A59" s="80">
        <v>45486.53125</v>
      </c>
      <c r="B59" s="112">
        <v>9.33</v>
      </c>
      <c r="C59" s="112">
        <v>4.03</v>
      </c>
      <c r="D59" s="112">
        <v>14.03</v>
      </c>
      <c r="E59" s="112">
        <v>7.63</v>
      </c>
      <c r="F59" s="112">
        <v>18.91</v>
      </c>
      <c r="G59" s="112">
        <v>35.1</v>
      </c>
      <c r="H59" s="112">
        <v>11.11</v>
      </c>
      <c r="I59" s="112">
        <v>4.18</v>
      </c>
      <c r="J59" s="112">
        <v>0.69</v>
      </c>
      <c r="K59" s="112">
        <v>37.78</v>
      </c>
      <c r="L59" s="112">
        <v>28.6</v>
      </c>
      <c r="M59" s="112">
        <v>93.72</v>
      </c>
      <c r="N59" s="112">
        <v>65.900000000000006</v>
      </c>
      <c r="O59" s="112">
        <v>1</v>
      </c>
      <c r="P59" s="112">
        <v>0.54</v>
      </c>
      <c r="Q59" s="112">
        <v>4.6399999999999997</v>
      </c>
    </row>
    <row r="60" spans="1:17" customFormat="1">
      <c r="A60" s="80">
        <v>45486.541666666664</v>
      </c>
      <c r="B60" s="112">
        <v>9.31</v>
      </c>
      <c r="C60" s="112">
        <v>4.05</v>
      </c>
      <c r="D60" s="112">
        <v>14.04</v>
      </c>
      <c r="E60" s="112">
        <v>8.4499999999999993</v>
      </c>
      <c r="F60" s="112">
        <v>9.2899999999999991</v>
      </c>
      <c r="G60" s="112">
        <v>34.17</v>
      </c>
      <c r="H60" s="112">
        <v>12.29</v>
      </c>
      <c r="I60" s="112">
        <v>3.99</v>
      </c>
      <c r="J60" s="112">
        <v>0.56999999999999995</v>
      </c>
      <c r="K60" s="112">
        <v>63.62</v>
      </c>
      <c r="L60" s="112">
        <v>26.78</v>
      </c>
      <c r="M60" s="112">
        <v>97.92</v>
      </c>
      <c r="N60" s="112">
        <v>73</v>
      </c>
      <c r="O60" s="112">
        <v>4.4000000000000004</v>
      </c>
      <c r="P60" s="112">
        <v>0.49</v>
      </c>
      <c r="Q60" s="112">
        <v>4.6399999999999997</v>
      </c>
    </row>
    <row r="61" spans="1:17" customFormat="1">
      <c r="A61" s="80">
        <v>45486.552083333336</v>
      </c>
      <c r="B61" s="112">
        <v>9.32</v>
      </c>
      <c r="C61" s="112">
        <v>4.07</v>
      </c>
      <c r="D61" s="112">
        <v>14.05</v>
      </c>
      <c r="E61" s="112">
        <v>7.78</v>
      </c>
      <c r="F61" s="112">
        <v>10.73</v>
      </c>
      <c r="G61" s="112">
        <v>34.17</v>
      </c>
      <c r="H61" s="112">
        <v>12.29</v>
      </c>
      <c r="I61" s="112">
        <v>4.2300000000000004</v>
      </c>
      <c r="J61" s="112">
        <v>0.15</v>
      </c>
      <c r="K61" s="112">
        <v>169.33</v>
      </c>
      <c r="L61" s="112">
        <v>26.88</v>
      </c>
      <c r="M61" s="112">
        <v>100.69</v>
      </c>
      <c r="N61" s="112">
        <v>123.3</v>
      </c>
      <c r="O61" s="112">
        <v>0</v>
      </c>
      <c r="P61" s="112">
        <v>0.48</v>
      </c>
      <c r="Q61" s="112">
        <v>4.6399999999999997</v>
      </c>
    </row>
    <row r="62" spans="1:17" customFormat="1">
      <c r="A62" s="80">
        <v>45486.5625</v>
      </c>
      <c r="B62" s="112">
        <v>9.31</v>
      </c>
      <c r="C62" s="112">
        <v>4.09</v>
      </c>
      <c r="D62" s="112">
        <v>14.05</v>
      </c>
      <c r="E62" s="112">
        <v>8.27</v>
      </c>
      <c r="F62" s="112">
        <v>11.24</v>
      </c>
      <c r="G62" s="112">
        <v>34.17</v>
      </c>
      <c r="H62" s="112">
        <v>12.29</v>
      </c>
      <c r="I62" s="112">
        <v>4.16</v>
      </c>
      <c r="J62" s="112">
        <v>0.15</v>
      </c>
      <c r="K62" s="112">
        <v>199.38</v>
      </c>
      <c r="L62" s="112">
        <v>27.66</v>
      </c>
      <c r="M62" s="112">
        <v>100.27</v>
      </c>
      <c r="N62" s="112">
        <v>123.6</v>
      </c>
      <c r="O62" s="112">
        <v>0</v>
      </c>
      <c r="P62" s="112">
        <v>0.49</v>
      </c>
      <c r="Q62" s="112">
        <v>4.6399999999999997</v>
      </c>
    </row>
    <row r="63" spans="1:17" customFormat="1">
      <c r="A63" s="80">
        <v>45486.572916666664</v>
      </c>
      <c r="B63" s="112">
        <v>9.2899999999999991</v>
      </c>
      <c r="C63" s="112">
        <v>4.09</v>
      </c>
      <c r="D63" s="112">
        <v>14.04</v>
      </c>
      <c r="E63" s="112">
        <v>7.74</v>
      </c>
      <c r="F63" s="112">
        <v>13.17</v>
      </c>
      <c r="G63" s="112">
        <v>27.6</v>
      </c>
      <c r="H63" s="112">
        <v>10.82</v>
      </c>
      <c r="I63" s="112">
        <v>3.96</v>
      </c>
      <c r="J63" s="112">
        <v>0.21</v>
      </c>
      <c r="K63" s="112">
        <v>246.44</v>
      </c>
      <c r="L63" s="112">
        <v>27.68</v>
      </c>
      <c r="M63" s="112">
        <v>98.57</v>
      </c>
      <c r="N63" s="112">
        <v>71.3</v>
      </c>
      <c r="O63" s="112">
        <v>0</v>
      </c>
      <c r="P63" s="112">
        <v>0.49</v>
      </c>
      <c r="Q63" s="112">
        <v>4.6500000000000004</v>
      </c>
    </row>
    <row r="64" spans="1:17" customFormat="1">
      <c r="A64" s="80">
        <v>45486.583333333336</v>
      </c>
      <c r="B64" s="112">
        <v>9.2899999999999991</v>
      </c>
      <c r="C64" s="112">
        <v>4.07</v>
      </c>
      <c r="D64" s="112">
        <v>14.03</v>
      </c>
      <c r="E64" s="112">
        <v>8.2200000000000006</v>
      </c>
      <c r="F64" s="112">
        <v>7.86</v>
      </c>
      <c r="G64" s="112">
        <v>22.57</v>
      </c>
      <c r="H64" s="112">
        <v>10.34</v>
      </c>
      <c r="I64" s="112">
        <v>3.98</v>
      </c>
      <c r="J64" s="112">
        <v>0.6</v>
      </c>
      <c r="K64" s="112">
        <v>272.12</v>
      </c>
      <c r="L64" s="112">
        <v>27.26</v>
      </c>
      <c r="M64" s="112">
        <v>95.04</v>
      </c>
      <c r="N64" s="112">
        <v>98.5</v>
      </c>
      <c r="O64" s="112">
        <v>0</v>
      </c>
      <c r="P64" s="112">
        <v>0.49</v>
      </c>
      <c r="Q64" s="112">
        <v>4.6399999999999997</v>
      </c>
    </row>
    <row r="65" spans="1:17" customFormat="1">
      <c r="A65" s="80">
        <v>45486.59375</v>
      </c>
      <c r="B65" s="112">
        <v>9.3000000000000007</v>
      </c>
      <c r="C65" s="112">
        <v>4.07</v>
      </c>
      <c r="D65" s="112">
        <v>14.03</v>
      </c>
      <c r="E65" s="112">
        <v>8.44</v>
      </c>
      <c r="F65" s="112">
        <v>6.97</v>
      </c>
      <c r="G65" s="112">
        <v>22.57</v>
      </c>
      <c r="H65" s="112">
        <v>10.34</v>
      </c>
      <c r="I65" s="112">
        <v>4</v>
      </c>
      <c r="J65" s="112">
        <v>0.75</v>
      </c>
      <c r="K65" s="112">
        <v>274.97000000000003</v>
      </c>
      <c r="L65" s="112">
        <v>26.92</v>
      </c>
      <c r="M65" s="112">
        <v>90.81</v>
      </c>
      <c r="N65" s="112">
        <v>103.7</v>
      </c>
      <c r="O65" s="112">
        <v>0.2</v>
      </c>
      <c r="P65" s="112">
        <v>0.39</v>
      </c>
      <c r="Q65" s="112">
        <v>4.6399999999999997</v>
      </c>
    </row>
    <row r="66" spans="1:17" customFormat="1">
      <c r="A66" s="80">
        <v>45486.604166666664</v>
      </c>
      <c r="B66" s="112">
        <v>9.3000000000000007</v>
      </c>
      <c r="C66" s="112">
        <v>4.05</v>
      </c>
      <c r="D66" s="112">
        <v>14.02</v>
      </c>
      <c r="E66" s="112">
        <v>8.07</v>
      </c>
      <c r="F66" s="112">
        <v>6.1</v>
      </c>
      <c r="G66" s="112">
        <v>22.57</v>
      </c>
      <c r="H66" s="112">
        <v>10.34</v>
      </c>
      <c r="I66" s="112">
        <v>4.2699999999999996</v>
      </c>
      <c r="J66" s="112">
        <v>1.21</v>
      </c>
      <c r="K66" s="112">
        <v>288.83</v>
      </c>
      <c r="L66" s="112">
        <v>26.91</v>
      </c>
      <c r="M66" s="112">
        <v>91.71</v>
      </c>
      <c r="N66" s="112">
        <v>95.8</v>
      </c>
      <c r="O66" s="112">
        <v>0</v>
      </c>
      <c r="P66" s="112">
        <v>0.41</v>
      </c>
      <c r="Q66" s="112">
        <v>4.62</v>
      </c>
    </row>
    <row r="67" spans="1:17" customFormat="1">
      <c r="A67" s="80">
        <v>45486.614583333336</v>
      </c>
      <c r="B67" s="112">
        <v>9.3000000000000007</v>
      </c>
      <c r="C67" s="112">
        <v>4.04</v>
      </c>
      <c r="D67" s="112">
        <v>14.02</v>
      </c>
      <c r="E67" s="112">
        <v>7.49</v>
      </c>
      <c r="F67" s="112">
        <v>6.67</v>
      </c>
      <c r="G67" s="112">
        <v>23.83</v>
      </c>
      <c r="H67" s="112">
        <v>7.99</v>
      </c>
      <c r="I67" s="112">
        <v>4.3099999999999996</v>
      </c>
      <c r="J67" s="112">
        <v>0.96</v>
      </c>
      <c r="K67" s="112">
        <v>284.95</v>
      </c>
      <c r="L67" s="112">
        <v>26.62</v>
      </c>
      <c r="M67" s="112">
        <v>91.78</v>
      </c>
      <c r="N67" s="112">
        <v>70.3</v>
      </c>
      <c r="O67" s="112">
        <v>0</v>
      </c>
      <c r="P67" s="112">
        <v>0.42</v>
      </c>
      <c r="Q67" s="112">
        <v>4.63</v>
      </c>
    </row>
    <row r="68" spans="1:17" customFormat="1">
      <c r="A68" s="80">
        <v>45486.625</v>
      </c>
      <c r="B68" s="112">
        <v>9.31</v>
      </c>
      <c r="C68" s="112">
        <v>4.03</v>
      </c>
      <c r="D68" s="112">
        <v>14.02</v>
      </c>
      <c r="E68" s="112">
        <v>7.47</v>
      </c>
      <c r="F68" s="112">
        <v>6.88</v>
      </c>
      <c r="G68" s="112">
        <v>24.78</v>
      </c>
      <c r="H68" s="112">
        <v>7.24</v>
      </c>
      <c r="I68" s="112">
        <v>4.3899999999999997</v>
      </c>
      <c r="J68" s="112">
        <v>0.79</v>
      </c>
      <c r="K68" s="112">
        <v>275.36</v>
      </c>
      <c r="L68" s="112">
        <v>26.36</v>
      </c>
      <c r="M68" s="112">
        <v>94.61</v>
      </c>
      <c r="N68" s="112">
        <v>73.900000000000006</v>
      </c>
      <c r="O68" s="112">
        <v>0.2</v>
      </c>
      <c r="P68" s="112">
        <v>0.39</v>
      </c>
      <c r="Q68" s="112">
        <v>4.6500000000000004</v>
      </c>
    </row>
    <row r="69" spans="1:17" customFormat="1">
      <c r="A69" s="80">
        <v>45486.635416666664</v>
      </c>
      <c r="B69" s="112">
        <v>9.31</v>
      </c>
      <c r="C69" s="112">
        <v>4.08</v>
      </c>
      <c r="D69" s="112">
        <v>14.05</v>
      </c>
      <c r="E69" s="112">
        <v>7.61</v>
      </c>
      <c r="F69" s="112">
        <v>6.81</v>
      </c>
      <c r="G69" s="112">
        <v>24.78</v>
      </c>
      <c r="H69" s="112">
        <v>7.24</v>
      </c>
      <c r="I69" s="112">
        <v>4.2300000000000004</v>
      </c>
      <c r="J69" s="112">
        <v>0.4</v>
      </c>
      <c r="K69" s="112">
        <v>293.20999999999998</v>
      </c>
      <c r="L69" s="112">
        <v>26.42</v>
      </c>
      <c r="M69" s="112">
        <v>96.49</v>
      </c>
      <c r="N69" s="112">
        <v>102.7</v>
      </c>
      <c r="O69" s="112">
        <v>0</v>
      </c>
      <c r="P69" s="112">
        <v>0.38</v>
      </c>
      <c r="Q69" s="112">
        <v>4.6500000000000004</v>
      </c>
    </row>
    <row r="70" spans="1:17" customFormat="1">
      <c r="A70" s="80">
        <v>45486.645833333336</v>
      </c>
      <c r="B70" s="112">
        <v>9.2899999999999991</v>
      </c>
      <c r="C70" s="112">
        <v>4.09</v>
      </c>
      <c r="D70" s="112">
        <v>14.03</v>
      </c>
      <c r="E70" s="112">
        <v>7.96</v>
      </c>
      <c r="F70" s="112">
        <v>5.77</v>
      </c>
      <c r="G70" s="112">
        <v>24.78</v>
      </c>
      <c r="H70" s="112">
        <v>7.24</v>
      </c>
      <c r="I70" s="112">
        <v>4.1900000000000004</v>
      </c>
      <c r="J70" s="112">
        <v>0.43</v>
      </c>
      <c r="K70" s="112">
        <v>262.87</v>
      </c>
      <c r="L70" s="112">
        <v>26.72</v>
      </c>
      <c r="M70" s="112">
        <v>94.23</v>
      </c>
      <c r="N70" s="112">
        <v>142.6</v>
      </c>
      <c r="O70" s="112">
        <v>0</v>
      </c>
      <c r="P70" s="112">
        <v>0.37</v>
      </c>
      <c r="Q70" s="112">
        <v>4.63</v>
      </c>
    </row>
    <row r="71" spans="1:17" customFormat="1">
      <c r="A71" s="80">
        <v>45486.65625</v>
      </c>
      <c r="B71" s="112">
        <v>9.26</v>
      </c>
      <c r="C71" s="112">
        <v>4.0999999999999996</v>
      </c>
      <c r="D71" s="112">
        <v>14.01</v>
      </c>
      <c r="E71" s="112">
        <v>8.01</v>
      </c>
      <c r="F71" s="112">
        <v>5.41</v>
      </c>
      <c r="G71" s="112">
        <v>20.66</v>
      </c>
      <c r="H71" s="112">
        <v>7.02</v>
      </c>
      <c r="I71" s="112">
        <v>4.21</v>
      </c>
      <c r="J71" s="112">
        <v>0.62</v>
      </c>
      <c r="K71" s="112">
        <v>262.79000000000002</v>
      </c>
      <c r="L71" s="112">
        <v>27</v>
      </c>
      <c r="M71" s="112">
        <v>92.36</v>
      </c>
      <c r="N71" s="112">
        <v>152.80000000000001</v>
      </c>
      <c r="O71" s="112">
        <v>0</v>
      </c>
      <c r="P71" s="112">
        <v>0.36</v>
      </c>
      <c r="Q71" s="112">
        <v>4.6399999999999997</v>
      </c>
    </row>
    <row r="72" spans="1:17" customFormat="1">
      <c r="A72" s="80">
        <v>45486.666666666664</v>
      </c>
      <c r="B72" s="112">
        <v>9.2100000000000009</v>
      </c>
      <c r="C72" s="112">
        <v>4.0999999999999996</v>
      </c>
      <c r="D72" s="112">
        <v>13.98</v>
      </c>
      <c r="E72" s="112">
        <v>7.95</v>
      </c>
      <c r="F72" s="112">
        <v>5.8</v>
      </c>
      <c r="G72" s="112">
        <v>17.510000000000002</v>
      </c>
      <c r="H72" s="112">
        <v>6.95</v>
      </c>
      <c r="I72" s="112">
        <v>4.18</v>
      </c>
      <c r="J72" s="112">
        <v>0.56999999999999995</v>
      </c>
      <c r="K72" s="112">
        <v>274.31</v>
      </c>
      <c r="L72" s="112">
        <v>26.88</v>
      </c>
      <c r="M72" s="112">
        <v>92.31</v>
      </c>
      <c r="N72" s="112">
        <v>88.8</v>
      </c>
      <c r="O72" s="112">
        <v>0</v>
      </c>
      <c r="P72" s="112">
        <v>0.36</v>
      </c>
      <c r="Q72" s="112">
        <v>4.6399999999999997</v>
      </c>
    </row>
    <row r="73" spans="1:17" customFormat="1">
      <c r="A73" s="80">
        <v>45486.677083333336</v>
      </c>
      <c r="B73" s="112">
        <v>9.1999999999999993</v>
      </c>
      <c r="C73" s="112">
        <v>4.09</v>
      </c>
      <c r="D73" s="112">
        <v>13.96</v>
      </c>
      <c r="E73" s="112">
        <v>8.56</v>
      </c>
      <c r="F73" s="112">
        <v>5.34</v>
      </c>
      <c r="G73" s="112">
        <v>17.510000000000002</v>
      </c>
      <c r="H73" s="112">
        <v>6.95</v>
      </c>
      <c r="I73" s="112">
        <v>4.1500000000000004</v>
      </c>
      <c r="J73" s="112">
        <v>0.32</v>
      </c>
      <c r="K73" s="112">
        <v>255.93</v>
      </c>
      <c r="L73" s="112">
        <v>27.45</v>
      </c>
      <c r="M73" s="112">
        <v>91.28</v>
      </c>
      <c r="N73" s="112">
        <v>120.8</v>
      </c>
      <c r="O73" s="112">
        <v>0</v>
      </c>
      <c r="P73" s="112">
        <v>0.35</v>
      </c>
      <c r="Q73" s="112">
        <v>4.6399999999999997</v>
      </c>
    </row>
    <row r="74" spans="1:17" customFormat="1">
      <c r="A74" s="80">
        <v>45486.6875</v>
      </c>
      <c r="B74" s="112">
        <v>9.17</v>
      </c>
      <c r="C74" s="112">
        <v>4.09</v>
      </c>
      <c r="D74" s="112">
        <v>13.94</v>
      </c>
      <c r="E74" s="112">
        <v>8.9700000000000006</v>
      </c>
      <c r="F74" s="112">
        <v>4.9400000000000004</v>
      </c>
      <c r="G74" s="112">
        <v>17.510000000000002</v>
      </c>
      <c r="H74" s="112">
        <v>6.95</v>
      </c>
      <c r="I74" s="112">
        <v>4.07</v>
      </c>
      <c r="J74" s="112">
        <v>0.63</v>
      </c>
      <c r="K74" s="112">
        <v>270.66000000000003</v>
      </c>
      <c r="L74" s="112">
        <v>27.68</v>
      </c>
      <c r="M74" s="112">
        <v>88.58</v>
      </c>
      <c r="N74" s="112">
        <v>105.9</v>
      </c>
      <c r="O74" s="112">
        <v>0</v>
      </c>
      <c r="P74" s="112">
        <v>0.37</v>
      </c>
      <c r="Q74" s="112">
        <v>4.6399999999999997</v>
      </c>
    </row>
    <row r="75" spans="1:17" customFormat="1">
      <c r="A75" s="80">
        <v>45486.697916666664</v>
      </c>
      <c r="B75" s="112">
        <v>9.19</v>
      </c>
      <c r="C75" s="112">
        <v>4.05</v>
      </c>
      <c r="D75" s="112">
        <v>13.93</v>
      </c>
      <c r="E75" s="112">
        <v>9.89</v>
      </c>
      <c r="F75" s="112">
        <v>4.3099999999999996</v>
      </c>
      <c r="G75" s="112">
        <v>18.47</v>
      </c>
      <c r="H75" s="112">
        <v>6.38</v>
      </c>
      <c r="I75" s="112">
        <v>4.0999999999999996</v>
      </c>
      <c r="J75" s="112">
        <v>0.7</v>
      </c>
      <c r="K75" s="112">
        <v>275.45</v>
      </c>
      <c r="L75" s="112">
        <v>27.34</v>
      </c>
      <c r="M75" s="112">
        <v>88.61</v>
      </c>
      <c r="N75" s="112">
        <v>85.9</v>
      </c>
      <c r="O75" s="112">
        <v>0</v>
      </c>
      <c r="P75" s="112">
        <v>0.4</v>
      </c>
      <c r="Q75" s="112">
        <v>4.66</v>
      </c>
    </row>
    <row r="76" spans="1:17" customFormat="1">
      <c r="A76" s="80">
        <v>45486.708333333336</v>
      </c>
      <c r="B76" s="112">
        <v>9.17</v>
      </c>
      <c r="C76" s="112">
        <v>4.07</v>
      </c>
      <c r="D76" s="112">
        <v>13.93</v>
      </c>
      <c r="E76" s="112">
        <v>9.81</v>
      </c>
      <c r="F76" s="112">
        <v>5.4</v>
      </c>
      <c r="G76" s="112">
        <v>19.21</v>
      </c>
      <c r="H76" s="112">
        <v>6.2</v>
      </c>
      <c r="I76" s="112">
        <v>4.4400000000000004</v>
      </c>
      <c r="J76" s="112">
        <v>0.85</v>
      </c>
      <c r="K76" s="112">
        <v>282.08999999999997</v>
      </c>
      <c r="L76" s="112">
        <v>27.22</v>
      </c>
      <c r="M76" s="112">
        <v>89.26</v>
      </c>
      <c r="N76" s="112">
        <v>74.900000000000006</v>
      </c>
      <c r="O76" s="112">
        <v>0</v>
      </c>
      <c r="P76" s="112">
        <v>0.41</v>
      </c>
      <c r="Q76" s="112">
        <v>4.6399999999999997</v>
      </c>
    </row>
    <row r="77" spans="1:17" customFormat="1">
      <c r="A77" s="80">
        <v>45486.71875</v>
      </c>
      <c r="B77" s="112">
        <v>9.17</v>
      </c>
      <c r="C77" s="112">
        <v>4.07</v>
      </c>
      <c r="D77" s="112">
        <v>13.93</v>
      </c>
      <c r="E77" s="112">
        <v>9.34</v>
      </c>
      <c r="F77" s="112">
        <v>4.74</v>
      </c>
      <c r="G77" s="112">
        <v>19.21</v>
      </c>
      <c r="H77" s="112">
        <v>6.2</v>
      </c>
      <c r="I77" s="112">
        <v>4.6399999999999997</v>
      </c>
      <c r="J77" s="112">
        <v>0.88</v>
      </c>
      <c r="K77" s="112">
        <v>283.14999999999998</v>
      </c>
      <c r="L77" s="112">
        <v>27.16</v>
      </c>
      <c r="M77" s="112">
        <v>88.99</v>
      </c>
      <c r="N77" s="112">
        <v>41.2</v>
      </c>
      <c r="O77" s="112">
        <v>0</v>
      </c>
      <c r="P77" s="112">
        <v>0.41</v>
      </c>
      <c r="Q77" s="112">
        <v>4.63</v>
      </c>
    </row>
    <row r="78" spans="1:17" customFormat="1">
      <c r="A78" s="80">
        <v>45486.729166666664</v>
      </c>
      <c r="B78" s="112">
        <v>9.17</v>
      </c>
      <c r="C78" s="112">
        <v>4.08</v>
      </c>
      <c r="D78" s="112">
        <v>13.93</v>
      </c>
      <c r="E78" s="112">
        <v>9.4600000000000009</v>
      </c>
      <c r="F78" s="112">
        <v>5.81</v>
      </c>
      <c r="G78" s="112">
        <v>19.21</v>
      </c>
      <c r="H78" s="112">
        <v>6.2</v>
      </c>
      <c r="I78" s="112">
        <v>4.66</v>
      </c>
      <c r="J78" s="112">
        <v>0.56999999999999995</v>
      </c>
      <c r="K78" s="112">
        <v>270.61</v>
      </c>
      <c r="L78" s="112">
        <v>27.04</v>
      </c>
      <c r="M78" s="112">
        <v>89.5</v>
      </c>
      <c r="N78" s="112">
        <v>23.1</v>
      </c>
      <c r="O78" s="112">
        <v>0</v>
      </c>
      <c r="P78" s="112">
        <v>0.41</v>
      </c>
      <c r="Q78" s="112">
        <v>4.6399999999999997</v>
      </c>
    </row>
    <row r="79" spans="1:17" customFormat="1">
      <c r="A79" s="80">
        <v>45486.739583333336</v>
      </c>
      <c r="B79" s="112">
        <v>9.18</v>
      </c>
      <c r="C79" s="112">
        <v>4.08</v>
      </c>
      <c r="D79" s="112">
        <v>13.94</v>
      </c>
      <c r="E79" s="112">
        <v>9.9499999999999993</v>
      </c>
      <c r="F79" s="112">
        <v>5.94</v>
      </c>
      <c r="G79" s="112">
        <v>18.68</v>
      </c>
      <c r="H79" s="112">
        <v>7.1</v>
      </c>
      <c r="I79" s="112">
        <v>4.68</v>
      </c>
      <c r="J79" s="112">
        <v>0.82</v>
      </c>
      <c r="K79" s="112">
        <v>289.95</v>
      </c>
      <c r="L79" s="112">
        <v>27.01</v>
      </c>
      <c r="M79" s="112">
        <v>89.08</v>
      </c>
      <c r="N79" s="112">
        <v>13</v>
      </c>
      <c r="O79" s="112">
        <v>0</v>
      </c>
      <c r="P79" s="112">
        <v>0.42</v>
      </c>
      <c r="Q79" s="112">
        <v>4.6399999999999997</v>
      </c>
    </row>
    <row r="80" spans="1:17" customFormat="1">
      <c r="A80" s="80">
        <v>45486.75</v>
      </c>
      <c r="B80" s="112">
        <v>9.18</v>
      </c>
      <c r="C80" s="112">
        <v>4.08</v>
      </c>
      <c r="D80" s="112">
        <v>13.94</v>
      </c>
      <c r="E80" s="112">
        <v>9.3699999999999992</v>
      </c>
      <c r="F80" s="112">
        <v>4.2300000000000004</v>
      </c>
      <c r="G80" s="112">
        <v>18.28</v>
      </c>
      <c r="H80" s="112">
        <v>7.39</v>
      </c>
      <c r="I80" s="112">
        <v>4.5999999999999996</v>
      </c>
      <c r="J80" s="112">
        <v>0.49</v>
      </c>
      <c r="K80" s="112">
        <v>268.81</v>
      </c>
      <c r="L80" s="112">
        <v>27.07</v>
      </c>
      <c r="M80" s="112">
        <v>89.15</v>
      </c>
      <c r="N80" s="112">
        <v>8.9</v>
      </c>
      <c r="O80" s="112">
        <v>0</v>
      </c>
      <c r="P80" s="112">
        <v>0.46</v>
      </c>
      <c r="Q80" s="112">
        <v>4.6500000000000004</v>
      </c>
    </row>
    <row r="81" spans="1:17" customFormat="1">
      <c r="A81" s="80">
        <v>45486.760416666664</v>
      </c>
      <c r="B81" s="112">
        <v>9.18</v>
      </c>
      <c r="C81" s="112">
        <v>4.08</v>
      </c>
      <c r="D81" s="112">
        <v>13.94</v>
      </c>
      <c r="E81" s="112">
        <v>8.1999999999999993</v>
      </c>
      <c r="F81" s="112">
        <v>4.29</v>
      </c>
      <c r="G81" s="112">
        <v>18.28</v>
      </c>
      <c r="H81" s="112">
        <v>7.39</v>
      </c>
      <c r="I81" s="112">
        <v>4.58</v>
      </c>
      <c r="J81" s="112">
        <v>0.41</v>
      </c>
      <c r="K81" s="112">
        <v>263.25</v>
      </c>
      <c r="L81" s="112">
        <v>26.97</v>
      </c>
      <c r="M81" s="112">
        <v>91.09</v>
      </c>
      <c r="N81" s="112">
        <v>9.6</v>
      </c>
      <c r="O81" s="112">
        <v>0</v>
      </c>
      <c r="P81" s="112">
        <v>0.48</v>
      </c>
      <c r="Q81" s="112">
        <v>4.62</v>
      </c>
    </row>
    <row r="82" spans="1:17" customFormat="1">
      <c r="A82" s="80">
        <v>45486.770833333336</v>
      </c>
      <c r="B82" s="112">
        <v>9.18</v>
      </c>
      <c r="C82" s="112">
        <v>4.04</v>
      </c>
      <c r="D82" s="112">
        <v>13.93</v>
      </c>
      <c r="E82" s="112">
        <v>9.91</v>
      </c>
      <c r="F82" s="112">
        <v>4.5599999999999996</v>
      </c>
      <c r="G82" s="112">
        <v>18.28</v>
      </c>
      <c r="H82" s="112">
        <v>7.39</v>
      </c>
      <c r="I82" s="112">
        <v>4.91</v>
      </c>
      <c r="J82" s="112">
        <v>0.72</v>
      </c>
      <c r="K82" s="112">
        <v>275.92</v>
      </c>
      <c r="L82" s="112">
        <v>26.8</v>
      </c>
      <c r="M82" s="112">
        <v>92.35</v>
      </c>
      <c r="N82" s="112">
        <v>5</v>
      </c>
      <c r="O82" s="112">
        <v>0</v>
      </c>
      <c r="P82" s="112">
        <v>0.5</v>
      </c>
      <c r="Q82" s="112">
        <v>4.63</v>
      </c>
    </row>
    <row r="83" spans="1:17" customFormat="1">
      <c r="A83" s="80">
        <v>45486.78125</v>
      </c>
      <c r="B83" s="112">
        <v>9.19</v>
      </c>
      <c r="C83" s="112">
        <v>4.04</v>
      </c>
      <c r="D83" s="112">
        <v>13.93</v>
      </c>
      <c r="E83" s="112">
        <v>9.9</v>
      </c>
      <c r="F83" s="112">
        <v>5.0199999999999996</v>
      </c>
      <c r="G83" s="112">
        <v>23.4</v>
      </c>
      <c r="H83" s="112">
        <v>8.43</v>
      </c>
      <c r="I83" s="112">
        <v>5.21</v>
      </c>
      <c r="J83" s="112">
        <v>0.52</v>
      </c>
      <c r="K83" s="112">
        <v>274.94</v>
      </c>
      <c r="L83" s="112">
        <v>26.61</v>
      </c>
      <c r="M83" s="112">
        <v>91.72</v>
      </c>
      <c r="N83" s="112">
        <v>2.8</v>
      </c>
      <c r="O83" s="112">
        <v>0</v>
      </c>
      <c r="P83" s="112">
        <v>0.52</v>
      </c>
      <c r="Q83" s="112">
        <v>4.62</v>
      </c>
    </row>
    <row r="84" spans="1:17" customFormat="1">
      <c r="A84" s="80">
        <v>45486.791666666664</v>
      </c>
      <c r="B84" s="112">
        <v>9.17</v>
      </c>
      <c r="C84" s="112">
        <v>4.08</v>
      </c>
      <c r="D84" s="112">
        <v>13.94</v>
      </c>
      <c r="E84" s="112">
        <v>10.44</v>
      </c>
      <c r="F84" s="112">
        <v>4.83</v>
      </c>
      <c r="G84" s="112">
        <v>27.31</v>
      </c>
      <c r="H84" s="112">
        <v>9.08</v>
      </c>
      <c r="I84" s="112">
        <v>5.44</v>
      </c>
      <c r="J84" s="112">
        <v>0.43</v>
      </c>
      <c r="K84" s="112">
        <v>267.64</v>
      </c>
      <c r="L84" s="112">
        <v>26.46</v>
      </c>
      <c r="M84" s="112">
        <v>94.31</v>
      </c>
      <c r="N84" s="112">
        <v>2.4</v>
      </c>
      <c r="O84" s="112">
        <v>0</v>
      </c>
      <c r="P84" s="112">
        <v>0.53</v>
      </c>
      <c r="Q84" s="112">
        <v>4.62</v>
      </c>
    </row>
    <row r="85" spans="1:17" customFormat="1">
      <c r="A85" s="80">
        <v>45486.802083333336</v>
      </c>
      <c r="B85" s="112">
        <v>9.19</v>
      </c>
      <c r="C85" s="112">
        <v>4.05</v>
      </c>
      <c r="D85" s="112">
        <v>13.94</v>
      </c>
      <c r="E85" s="112">
        <v>10.31</v>
      </c>
      <c r="F85" s="112">
        <v>4.0199999999999996</v>
      </c>
      <c r="G85" s="112">
        <v>27.31</v>
      </c>
      <c r="H85" s="112">
        <v>9.08</v>
      </c>
      <c r="I85" s="112">
        <v>5.47</v>
      </c>
      <c r="J85" s="112">
        <v>0.39</v>
      </c>
      <c r="K85" s="112">
        <v>254.13</v>
      </c>
      <c r="L85" s="112">
        <v>26.4</v>
      </c>
      <c r="M85" s="112">
        <v>96.57</v>
      </c>
      <c r="N85" s="112">
        <v>2.2000000000000002</v>
      </c>
      <c r="O85" s="112">
        <v>0</v>
      </c>
      <c r="P85" s="112">
        <v>0.55000000000000004</v>
      </c>
      <c r="Q85" s="112">
        <v>4.63</v>
      </c>
    </row>
    <row r="86" spans="1:17" customFormat="1">
      <c r="A86" s="80">
        <v>45486.8125</v>
      </c>
      <c r="B86" s="112">
        <v>9.1999999999999993</v>
      </c>
      <c r="C86" s="112">
        <v>4.05</v>
      </c>
      <c r="D86" s="112">
        <v>13.95</v>
      </c>
      <c r="E86" s="112">
        <v>10.44</v>
      </c>
      <c r="F86" s="112">
        <v>4.43</v>
      </c>
      <c r="G86" s="112">
        <v>27.31</v>
      </c>
      <c r="H86" s="112">
        <v>9.08</v>
      </c>
      <c r="I86" s="112">
        <v>5.6</v>
      </c>
      <c r="J86" s="112">
        <v>0.45</v>
      </c>
      <c r="K86" s="112">
        <v>274.37</v>
      </c>
      <c r="L86" s="112">
        <v>26.28</v>
      </c>
      <c r="M86" s="112">
        <v>97.13</v>
      </c>
      <c r="N86" s="112">
        <v>2</v>
      </c>
      <c r="O86" s="112">
        <v>0</v>
      </c>
      <c r="P86" s="112">
        <v>0.54</v>
      </c>
      <c r="Q86" s="112">
        <v>4.6100000000000003</v>
      </c>
    </row>
    <row r="87" spans="1:17" customFormat="1">
      <c r="A87" s="80">
        <v>45486.822916666664</v>
      </c>
      <c r="B87" s="112">
        <v>9.19</v>
      </c>
      <c r="C87" s="112">
        <v>4.03</v>
      </c>
      <c r="D87" s="112">
        <v>13.92</v>
      </c>
      <c r="E87" s="112">
        <v>10.84</v>
      </c>
      <c r="F87" s="112">
        <v>4.3</v>
      </c>
      <c r="G87" s="112">
        <v>26.15</v>
      </c>
      <c r="H87" s="112">
        <v>9.26</v>
      </c>
      <c r="I87" s="112">
        <v>5.66</v>
      </c>
      <c r="J87" s="112">
        <v>0.43</v>
      </c>
      <c r="K87" s="112">
        <v>265.74</v>
      </c>
      <c r="L87" s="112">
        <v>26.24</v>
      </c>
      <c r="M87" s="112">
        <v>97.59</v>
      </c>
      <c r="N87" s="112">
        <v>2</v>
      </c>
      <c r="O87" s="112">
        <v>0</v>
      </c>
      <c r="P87" s="112">
        <v>0.56999999999999995</v>
      </c>
      <c r="Q87" s="112">
        <v>4.62</v>
      </c>
    </row>
    <row r="88" spans="1:17" customFormat="1">
      <c r="A88" s="80">
        <v>45486.833333333336</v>
      </c>
      <c r="B88" s="112">
        <v>9.18</v>
      </c>
      <c r="C88" s="112">
        <v>4.05</v>
      </c>
      <c r="D88" s="112">
        <v>13.93</v>
      </c>
      <c r="E88" s="112">
        <v>11.05</v>
      </c>
      <c r="F88" s="112">
        <v>3.33</v>
      </c>
      <c r="G88" s="112">
        <v>25.26</v>
      </c>
      <c r="H88" s="112">
        <v>9.32</v>
      </c>
      <c r="I88" s="112">
        <v>5.55</v>
      </c>
      <c r="J88" s="112">
        <v>0.36</v>
      </c>
      <c r="K88" s="112">
        <v>262.92</v>
      </c>
      <c r="L88" s="112">
        <v>26.15</v>
      </c>
      <c r="M88" s="112">
        <v>98.08</v>
      </c>
      <c r="N88" s="112">
        <v>1.9</v>
      </c>
      <c r="O88" s="112">
        <v>0</v>
      </c>
      <c r="P88" s="112">
        <v>0.6</v>
      </c>
      <c r="Q88" s="112">
        <v>4.6399999999999997</v>
      </c>
    </row>
    <row r="89" spans="1:17" customFormat="1">
      <c r="A89" s="80">
        <v>45486.84375</v>
      </c>
      <c r="B89" s="112">
        <v>9.26</v>
      </c>
      <c r="C89" s="112">
        <v>4.07</v>
      </c>
      <c r="D89" s="112">
        <v>14</v>
      </c>
      <c r="E89" s="112">
        <v>10.29</v>
      </c>
      <c r="F89" s="112">
        <v>4.37</v>
      </c>
      <c r="G89" s="112">
        <v>25.26</v>
      </c>
      <c r="H89" s="112">
        <v>9.32</v>
      </c>
      <c r="I89" s="112">
        <v>5.63</v>
      </c>
      <c r="J89" s="112">
        <v>0.39</v>
      </c>
      <c r="K89" s="112">
        <v>272.04000000000002</v>
      </c>
      <c r="L89" s="112">
        <v>26.12</v>
      </c>
      <c r="M89" s="112">
        <v>98.51</v>
      </c>
      <c r="N89" s="112">
        <v>2</v>
      </c>
      <c r="O89" s="112">
        <v>0</v>
      </c>
      <c r="P89" s="112">
        <v>0.6</v>
      </c>
      <c r="Q89" s="112">
        <v>4.63</v>
      </c>
    </row>
    <row r="90" spans="1:17" customFormat="1">
      <c r="A90" s="80">
        <v>45486.854166666664</v>
      </c>
      <c r="B90" s="112">
        <v>9.2899999999999991</v>
      </c>
      <c r="C90" s="112">
        <v>4.05</v>
      </c>
      <c r="D90" s="112">
        <v>14.01</v>
      </c>
      <c r="E90" s="112">
        <v>10.24</v>
      </c>
      <c r="F90" s="112">
        <v>4.95</v>
      </c>
      <c r="G90" s="112">
        <v>25.26</v>
      </c>
      <c r="H90" s="112">
        <v>9.32</v>
      </c>
      <c r="I90" s="112">
        <v>5.71</v>
      </c>
      <c r="J90" s="112">
        <v>0.63</v>
      </c>
      <c r="K90" s="112">
        <v>283.54000000000002</v>
      </c>
      <c r="L90" s="112">
        <v>25.99</v>
      </c>
      <c r="M90" s="112">
        <v>99.5</v>
      </c>
      <c r="N90" s="112">
        <v>2.1</v>
      </c>
      <c r="O90" s="112">
        <v>0</v>
      </c>
      <c r="P90" s="112">
        <v>0.6</v>
      </c>
      <c r="Q90" s="112">
        <v>4.62</v>
      </c>
    </row>
    <row r="91" spans="1:17" customFormat="1">
      <c r="A91" s="80">
        <v>45486.864583333336</v>
      </c>
      <c r="B91" s="112">
        <v>9.2899999999999991</v>
      </c>
      <c r="C91" s="112">
        <v>4.0599999999999996</v>
      </c>
      <c r="D91" s="112">
        <v>14.02</v>
      </c>
      <c r="E91" s="112">
        <v>8.81</v>
      </c>
      <c r="F91" s="112">
        <v>7.37</v>
      </c>
      <c r="G91" s="112">
        <v>23.3</v>
      </c>
      <c r="H91" s="112">
        <v>7.26</v>
      </c>
      <c r="I91" s="112">
        <v>5.77</v>
      </c>
      <c r="J91" s="112">
        <v>0.49</v>
      </c>
      <c r="K91" s="112">
        <v>268.04000000000002</v>
      </c>
      <c r="L91" s="112">
        <v>25.97</v>
      </c>
      <c r="M91" s="112">
        <v>98.47</v>
      </c>
      <c r="N91" s="112">
        <v>2.1</v>
      </c>
      <c r="O91" s="112">
        <v>0</v>
      </c>
      <c r="P91" s="112">
        <v>0.56999999999999995</v>
      </c>
      <c r="Q91" s="112">
        <v>4.63</v>
      </c>
    </row>
    <row r="92" spans="1:17" customFormat="1">
      <c r="A92" s="80">
        <v>45486.875</v>
      </c>
      <c r="B92" s="112">
        <v>9.2899999999999991</v>
      </c>
      <c r="C92" s="112">
        <v>4.0999999999999996</v>
      </c>
      <c r="D92" s="112">
        <v>14.04</v>
      </c>
      <c r="E92" s="112">
        <v>8.2799999999999994</v>
      </c>
      <c r="F92" s="112">
        <v>6.82</v>
      </c>
      <c r="G92" s="112">
        <v>21.79</v>
      </c>
      <c r="H92" s="112">
        <v>6.6</v>
      </c>
      <c r="I92" s="112">
        <v>5.69</v>
      </c>
      <c r="J92" s="112">
        <v>0.37</v>
      </c>
      <c r="K92" s="112">
        <v>270.89</v>
      </c>
      <c r="L92" s="112">
        <v>25.97</v>
      </c>
      <c r="M92" s="112">
        <v>97.84</v>
      </c>
      <c r="N92" s="112">
        <v>2.1</v>
      </c>
      <c r="O92" s="112">
        <v>0</v>
      </c>
      <c r="P92" s="112">
        <v>0.56000000000000005</v>
      </c>
      <c r="Q92" s="112">
        <v>4.6500000000000004</v>
      </c>
    </row>
    <row r="93" spans="1:17" customFormat="1">
      <c r="A93" s="80">
        <v>45486.885416666664</v>
      </c>
      <c r="B93" s="112">
        <v>9.27</v>
      </c>
      <c r="C93" s="112">
        <v>4.08</v>
      </c>
      <c r="D93" s="112">
        <v>14.01</v>
      </c>
      <c r="E93" s="112">
        <v>8.57</v>
      </c>
      <c r="F93" s="112">
        <v>6.3</v>
      </c>
      <c r="G93" s="112">
        <v>21.79</v>
      </c>
      <c r="H93" s="112">
        <v>6.6</v>
      </c>
      <c r="I93" s="112">
        <v>5.52</v>
      </c>
      <c r="J93" s="112">
        <v>0.28000000000000003</v>
      </c>
      <c r="K93" s="112">
        <v>260.86</v>
      </c>
      <c r="L93" s="112">
        <v>26.07</v>
      </c>
      <c r="M93" s="112">
        <v>96.1</v>
      </c>
      <c r="N93" s="112">
        <v>2</v>
      </c>
      <c r="O93" s="112">
        <v>0</v>
      </c>
      <c r="P93" s="112">
        <v>0.6</v>
      </c>
      <c r="Q93" s="112">
        <v>4.6500000000000004</v>
      </c>
    </row>
    <row r="94" spans="1:17" customFormat="1">
      <c r="A94" s="80">
        <v>45486.895833333336</v>
      </c>
      <c r="B94" s="112">
        <v>9.2899999999999991</v>
      </c>
      <c r="C94" s="112">
        <v>4.0599999999999996</v>
      </c>
      <c r="D94" s="112">
        <v>14.02</v>
      </c>
      <c r="E94" s="112">
        <v>8.66</v>
      </c>
      <c r="F94" s="112">
        <v>5.89</v>
      </c>
      <c r="G94" s="112">
        <v>21.79</v>
      </c>
      <c r="H94" s="112">
        <v>6.6</v>
      </c>
      <c r="I94" s="112">
        <v>5.6</v>
      </c>
      <c r="J94" s="112">
        <v>0.51</v>
      </c>
      <c r="K94" s="112">
        <v>269.85000000000002</v>
      </c>
      <c r="L94" s="112">
        <v>25.94</v>
      </c>
      <c r="M94" s="112">
        <v>95.93</v>
      </c>
      <c r="N94" s="112">
        <v>2.1</v>
      </c>
      <c r="O94" s="112">
        <v>0</v>
      </c>
      <c r="P94" s="112">
        <v>0.61</v>
      </c>
      <c r="Q94" s="112">
        <v>4.6399999999999997</v>
      </c>
    </row>
    <row r="95" spans="1:17" customFormat="1">
      <c r="A95" s="80">
        <v>45486.90625</v>
      </c>
      <c r="B95" s="112">
        <v>9.3000000000000007</v>
      </c>
      <c r="C95" s="112">
        <v>4.0599999999999996</v>
      </c>
      <c r="D95" s="112">
        <v>14.03</v>
      </c>
      <c r="E95" s="112">
        <v>8.44</v>
      </c>
      <c r="F95" s="112">
        <v>6.48</v>
      </c>
      <c r="G95" s="112">
        <v>21.14</v>
      </c>
      <c r="H95" s="112">
        <v>5.61</v>
      </c>
      <c r="I95" s="112">
        <v>5.77</v>
      </c>
      <c r="J95" s="112">
        <v>0.56000000000000005</v>
      </c>
      <c r="K95" s="112">
        <v>269.88</v>
      </c>
      <c r="L95" s="112">
        <v>25.93</v>
      </c>
      <c r="M95" s="112">
        <v>96.09</v>
      </c>
      <c r="N95" s="112">
        <v>2.1</v>
      </c>
      <c r="O95" s="112">
        <v>0</v>
      </c>
      <c r="P95" s="112">
        <v>0.57999999999999996</v>
      </c>
      <c r="Q95" s="112">
        <v>4.63</v>
      </c>
    </row>
    <row r="96" spans="1:17" customFormat="1">
      <c r="A96" s="80">
        <v>45486.916666666664</v>
      </c>
      <c r="B96" s="112">
        <v>9.3000000000000007</v>
      </c>
      <c r="C96" s="112">
        <v>4.04</v>
      </c>
      <c r="D96" s="112">
        <v>14.02</v>
      </c>
      <c r="E96" s="112">
        <v>8.33</v>
      </c>
      <c r="F96" s="112">
        <v>5.81</v>
      </c>
      <c r="G96" s="112">
        <v>20.64</v>
      </c>
      <c r="H96" s="112">
        <v>5.29</v>
      </c>
      <c r="I96" s="112">
        <v>5.93</v>
      </c>
      <c r="J96" s="112">
        <v>0.46</v>
      </c>
      <c r="K96" s="112">
        <v>274.14999999999998</v>
      </c>
      <c r="L96" s="112">
        <v>25.93</v>
      </c>
      <c r="M96" s="112">
        <v>96.35</v>
      </c>
      <c r="N96" s="112">
        <v>2.1</v>
      </c>
      <c r="O96" s="112">
        <v>0</v>
      </c>
      <c r="P96" s="112">
        <v>0.56999999999999995</v>
      </c>
      <c r="Q96" s="112">
        <v>4.63</v>
      </c>
    </row>
    <row r="97" spans="1:22" customFormat="1">
      <c r="A97" s="80">
        <v>45486.927083333336</v>
      </c>
      <c r="B97" s="112">
        <v>9.2799999999999994</v>
      </c>
      <c r="C97" s="112">
        <v>4.09</v>
      </c>
      <c r="D97" s="112">
        <v>14.02</v>
      </c>
      <c r="E97" s="112">
        <v>8</v>
      </c>
      <c r="F97" s="112">
        <v>6.13</v>
      </c>
      <c r="G97" s="112">
        <v>20.64</v>
      </c>
      <c r="H97" s="112">
        <v>5.29</v>
      </c>
      <c r="I97" s="112">
        <v>5.75</v>
      </c>
      <c r="J97" s="112">
        <v>0.38</v>
      </c>
      <c r="K97" s="112">
        <v>268.04000000000002</v>
      </c>
      <c r="L97" s="112">
        <v>25.92</v>
      </c>
      <c r="M97" s="112">
        <v>96.16</v>
      </c>
      <c r="N97" s="112">
        <v>2.1</v>
      </c>
      <c r="O97" s="112">
        <v>0</v>
      </c>
      <c r="P97" s="112">
        <v>0.56000000000000005</v>
      </c>
      <c r="Q97" s="112">
        <v>4.6500000000000004</v>
      </c>
    </row>
    <row r="98" spans="1:22" customFormat="1">
      <c r="A98" s="80">
        <v>45486.9375</v>
      </c>
      <c r="B98" s="112">
        <v>9.27</v>
      </c>
      <c r="C98" s="112">
        <v>4.09</v>
      </c>
      <c r="D98" s="112">
        <v>14.02</v>
      </c>
      <c r="E98" s="112">
        <v>8.26</v>
      </c>
      <c r="F98" s="112">
        <v>6.21</v>
      </c>
      <c r="G98" s="112">
        <v>20.64</v>
      </c>
      <c r="H98" s="112">
        <v>5.29</v>
      </c>
      <c r="I98" s="112">
        <v>5.59</v>
      </c>
      <c r="J98" s="112">
        <v>0.34</v>
      </c>
      <c r="K98" s="112">
        <v>267.35000000000002</v>
      </c>
      <c r="L98" s="112">
        <v>25.96</v>
      </c>
      <c r="M98" s="112">
        <v>96.2</v>
      </c>
      <c r="N98" s="112">
        <v>2.1</v>
      </c>
      <c r="O98" s="112">
        <v>0</v>
      </c>
      <c r="P98" s="112">
        <v>0.54</v>
      </c>
      <c r="Q98" s="112">
        <v>4.6500000000000004</v>
      </c>
    </row>
    <row r="99" spans="1:22" customFormat="1">
      <c r="A99" s="80">
        <v>45486.947916666664</v>
      </c>
      <c r="B99" s="112">
        <v>9.2799999999999994</v>
      </c>
      <c r="C99" s="112">
        <v>4.09</v>
      </c>
      <c r="D99" s="112">
        <v>14.02</v>
      </c>
      <c r="E99" s="112">
        <v>7.74</v>
      </c>
      <c r="F99" s="112">
        <v>8.18</v>
      </c>
      <c r="G99" s="112">
        <v>19.66</v>
      </c>
      <c r="H99" s="112">
        <v>5.46</v>
      </c>
      <c r="I99" s="112">
        <v>5.47</v>
      </c>
      <c r="J99" s="112">
        <v>0.26</v>
      </c>
      <c r="K99" s="112">
        <v>264.31</v>
      </c>
      <c r="L99" s="112">
        <v>26.01</v>
      </c>
      <c r="M99" s="112">
        <v>95.69</v>
      </c>
      <c r="N99" s="112">
        <v>2.1</v>
      </c>
      <c r="O99" s="112">
        <v>0</v>
      </c>
      <c r="P99" s="112">
        <v>0.52</v>
      </c>
      <c r="Q99" s="112">
        <v>4.6399999999999997</v>
      </c>
    </row>
    <row r="100" spans="1:22" customFormat="1">
      <c r="A100" s="80">
        <v>45486.958333333336</v>
      </c>
      <c r="B100" s="112">
        <v>9.2799999999999994</v>
      </c>
      <c r="C100" s="112">
        <v>4.07</v>
      </c>
      <c r="D100" s="112">
        <v>14.02</v>
      </c>
      <c r="E100" s="112">
        <v>7.94</v>
      </c>
      <c r="F100" s="112">
        <v>7.77</v>
      </c>
      <c r="G100" s="112">
        <v>18.899999999999999</v>
      </c>
      <c r="H100" s="112">
        <v>5.52</v>
      </c>
      <c r="I100" s="112">
        <v>5.37</v>
      </c>
      <c r="J100" s="112">
        <v>0.2</v>
      </c>
      <c r="K100" s="112">
        <v>252.08</v>
      </c>
      <c r="L100" s="112">
        <v>25.97</v>
      </c>
      <c r="M100" s="112">
        <v>96.32</v>
      </c>
      <c r="N100" s="112">
        <v>2.1</v>
      </c>
      <c r="O100" s="112">
        <v>0</v>
      </c>
      <c r="P100" s="112">
        <v>0.52</v>
      </c>
      <c r="Q100" s="112">
        <v>4.6399999999999997</v>
      </c>
    </row>
    <row r="101" spans="1:22" customFormat="1">
      <c r="A101" s="80">
        <v>45486.96875</v>
      </c>
      <c r="B101" s="112">
        <v>9.27</v>
      </c>
      <c r="C101" s="112">
        <v>4.09</v>
      </c>
      <c r="D101" s="112">
        <v>14.02</v>
      </c>
      <c r="E101" s="112">
        <v>8.23</v>
      </c>
      <c r="F101" s="112">
        <v>7.02</v>
      </c>
      <c r="G101" s="112">
        <v>18.899999999999999</v>
      </c>
      <c r="H101" s="112">
        <v>5.52</v>
      </c>
      <c r="I101" s="112">
        <v>5.0999999999999996</v>
      </c>
      <c r="J101" s="112">
        <v>0.46</v>
      </c>
      <c r="K101" s="112">
        <v>270.05</v>
      </c>
      <c r="L101" s="112">
        <v>25.97</v>
      </c>
      <c r="M101" s="112">
        <v>95.67</v>
      </c>
      <c r="N101" s="112">
        <v>2.1</v>
      </c>
      <c r="O101" s="112">
        <v>0</v>
      </c>
      <c r="P101" s="112">
        <v>0.52</v>
      </c>
      <c r="Q101" s="112">
        <v>4.63</v>
      </c>
    </row>
    <row r="102" spans="1:22" customFormat="1">
      <c r="A102" s="80">
        <v>45486.979166666664</v>
      </c>
      <c r="B102" s="112">
        <v>9.2799999999999994</v>
      </c>
      <c r="C102" s="112">
        <v>4.08</v>
      </c>
      <c r="D102" s="112">
        <v>14.02</v>
      </c>
      <c r="E102" s="112">
        <v>8.02</v>
      </c>
      <c r="F102" s="112">
        <v>7</v>
      </c>
      <c r="G102" s="112">
        <v>18.899999999999999</v>
      </c>
      <c r="H102" s="112">
        <v>5.52</v>
      </c>
      <c r="I102" s="112">
        <v>4.8499999999999996</v>
      </c>
      <c r="J102" s="112">
        <v>0.28999999999999998</v>
      </c>
      <c r="K102" s="112">
        <v>265.58</v>
      </c>
      <c r="L102" s="112">
        <v>25.98</v>
      </c>
      <c r="M102" s="112">
        <v>95.93</v>
      </c>
      <c r="N102" s="112">
        <v>2.1</v>
      </c>
      <c r="O102" s="112">
        <v>0</v>
      </c>
      <c r="P102" s="112">
        <v>0.5</v>
      </c>
      <c r="Q102" s="112">
        <v>4.62</v>
      </c>
    </row>
    <row r="103" spans="1:22" customFormat="1">
      <c r="A103" s="80">
        <v>45486.989583333336</v>
      </c>
      <c r="B103" s="112">
        <v>9.2899999999999991</v>
      </c>
      <c r="C103" s="112">
        <v>4.07</v>
      </c>
      <c r="D103" s="112">
        <v>14.02</v>
      </c>
      <c r="E103" s="112">
        <v>8.01</v>
      </c>
      <c r="F103" s="112">
        <v>9.32</v>
      </c>
      <c r="G103" s="112">
        <v>17.3</v>
      </c>
      <c r="H103" s="112">
        <v>8.14</v>
      </c>
      <c r="I103" s="112">
        <v>5.07</v>
      </c>
      <c r="J103" s="112">
        <v>0.32</v>
      </c>
      <c r="K103" s="112">
        <v>268.12</v>
      </c>
      <c r="L103" s="112">
        <v>25.95</v>
      </c>
      <c r="M103" s="112">
        <v>96.42</v>
      </c>
      <c r="N103" s="112">
        <v>2.1</v>
      </c>
      <c r="O103" s="112">
        <v>0</v>
      </c>
      <c r="P103" s="112">
        <v>0.49</v>
      </c>
      <c r="Q103" s="112">
        <v>4.6399999999999997</v>
      </c>
    </row>
    <row r="104" spans="1:22" customFormat="1">
      <c r="A104" s="80">
        <v>45487</v>
      </c>
      <c r="B104" s="112">
        <v>9.3000000000000007</v>
      </c>
      <c r="C104" s="112">
        <v>4.05</v>
      </c>
      <c r="D104" s="112">
        <v>14.03</v>
      </c>
      <c r="E104" s="112">
        <v>7.92</v>
      </c>
      <c r="F104" s="112">
        <v>7.13</v>
      </c>
      <c r="G104" s="112">
        <v>16.07</v>
      </c>
      <c r="H104" s="112">
        <v>8.9700000000000006</v>
      </c>
      <c r="I104" s="112">
        <v>4.7</v>
      </c>
      <c r="J104" s="112">
        <v>0.42</v>
      </c>
      <c r="K104" s="112">
        <v>267.24</v>
      </c>
      <c r="L104" s="112">
        <v>25.91</v>
      </c>
      <c r="M104" s="112">
        <v>97.08</v>
      </c>
      <c r="N104" s="112">
        <v>2.1</v>
      </c>
      <c r="O104" s="112">
        <v>0</v>
      </c>
      <c r="P104" s="112">
        <v>0.49</v>
      </c>
      <c r="Q104" s="112">
        <v>4.63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9.17</v>
      </c>
      <c r="C106" s="183">
        <f>MIN(C9:C104)</f>
        <v>4.0199999999999996</v>
      </c>
      <c r="D106" s="183">
        <f t="shared" ref="D106:Q106" si="0">MIN(D9:D104)</f>
        <v>13.92</v>
      </c>
      <c r="E106" s="183">
        <f t="shared" si="0"/>
        <v>7.47</v>
      </c>
      <c r="F106" s="183">
        <f t="shared" si="0"/>
        <v>3.16</v>
      </c>
      <c r="G106" s="183">
        <f t="shared" si="0"/>
        <v>10.130000000000001</v>
      </c>
      <c r="H106" s="183">
        <f t="shared" si="0"/>
        <v>3.25</v>
      </c>
      <c r="I106" s="183">
        <f t="shared" si="0"/>
        <v>3.25</v>
      </c>
      <c r="J106" s="183">
        <f t="shared" si="0"/>
        <v>0.08</v>
      </c>
      <c r="K106" s="183">
        <f t="shared" si="0"/>
        <v>37.78</v>
      </c>
      <c r="L106" s="183">
        <f t="shared" si="0"/>
        <v>25.4</v>
      </c>
      <c r="M106" s="183">
        <f t="shared" si="0"/>
        <v>74.239999999999995</v>
      </c>
      <c r="N106" s="183">
        <f t="shared" si="0"/>
        <v>1.7</v>
      </c>
      <c r="O106" s="183">
        <f t="shared" si="0"/>
        <v>0</v>
      </c>
      <c r="P106" s="183">
        <f t="shared" si="0"/>
        <v>0.35</v>
      </c>
      <c r="Q106" s="183">
        <f t="shared" si="0"/>
        <v>4.5999999999999996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9.33</v>
      </c>
      <c r="C107" s="184">
        <f t="shared" ref="C107:Q107" si="1">MAX(C9:C104)</f>
        <v>4.0999999999999996</v>
      </c>
      <c r="D107" s="184">
        <f t="shared" si="1"/>
        <v>14.05</v>
      </c>
      <c r="E107" s="184">
        <f t="shared" si="1"/>
        <v>11.89</v>
      </c>
      <c r="F107" s="184">
        <f t="shared" si="1"/>
        <v>18.91</v>
      </c>
      <c r="G107" s="184">
        <f t="shared" si="1"/>
        <v>36.31</v>
      </c>
      <c r="H107" s="184">
        <f t="shared" si="1"/>
        <v>12.29</v>
      </c>
      <c r="I107" s="184">
        <f t="shared" si="1"/>
        <v>5.93</v>
      </c>
      <c r="J107" s="184">
        <f t="shared" si="1"/>
        <v>1.21</v>
      </c>
      <c r="K107" s="184">
        <f t="shared" si="1"/>
        <v>344.01</v>
      </c>
      <c r="L107" s="184">
        <f t="shared" si="1"/>
        <v>31.2</v>
      </c>
      <c r="M107" s="184">
        <f t="shared" si="1"/>
        <v>100.69</v>
      </c>
      <c r="N107" s="184">
        <f t="shared" si="1"/>
        <v>306</v>
      </c>
      <c r="O107" s="184">
        <f t="shared" si="1"/>
        <v>4.4000000000000004</v>
      </c>
      <c r="P107" s="184">
        <f t="shared" si="1"/>
        <v>0.61</v>
      </c>
      <c r="Q107" s="184">
        <f t="shared" si="1"/>
        <v>4.66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9.2552083333333233</v>
      </c>
      <c r="C108" s="183">
        <f t="shared" ref="C108:Q108" si="2">AVERAGE(C9:C104)</f>
        <v>4.0653124999999983</v>
      </c>
      <c r="D108" s="183">
        <f t="shared" si="2"/>
        <v>13.995104166666666</v>
      </c>
      <c r="E108" s="183">
        <f t="shared" si="2"/>
        <v>9.4810416666666715</v>
      </c>
      <c r="F108" s="183">
        <f t="shared" si="2"/>
        <v>6.4875000000000007</v>
      </c>
      <c r="G108" s="183">
        <f t="shared" si="2"/>
        <v>20.569687500000001</v>
      </c>
      <c r="H108" s="183">
        <f t="shared" si="2"/>
        <v>7.1720833333333331</v>
      </c>
      <c r="I108" s="183">
        <f t="shared" si="2"/>
        <v>4.2784375000000008</v>
      </c>
      <c r="J108" s="183">
        <f t="shared" si="2"/>
        <v>0.45895833333333358</v>
      </c>
      <c r="K108" s="183">
        <f t="shared" si="2"/>
        <v>259.55812500000013</v>
      </c>
      <c r="L108" s="183">
        <f t="shared" si="2"/>
        <v>27.033749999999994</v>
      </c>
      <c r="M108" s="183">
        <f t="shared" si="2"/>
        <v>92.563645833333354</v>
      </c>
      <c r="N108" s="183">
        <f t="shared" si="2"/>
        <v>66.867708333333368</v>
      </c>
      <c r="O108" s="183">
        <f t="shared" si="2"/>
        <v>7.9166666666666677E-2</v>
      </c>
      <c r="P108" s="183">
        <f t="shared" si="2"/>
        <v>0.46177083333333352</v>
      </c>
      <c r="Q108" s="183">
        <f t="shared" si="2"/>
        <v>4.6335416666666616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4.5351937616975452E-2</v>
      </c>
      <c r="C109" s="183">
        <f t="shared" ref="C109:Q109" si="3">STDEV(C9:C104)</f>
        <v>2.1223280415123048E-2</v>
      </c>
      <c r="D109" s="183">
        <f t="shared" si="3"/>
        <v>3.68208977181698E-2</v>
      </c>
      <c r="E109" s="183">
        <f t="shared" si="3"/>
        <v>1.2495940217919532</v>
      </c>
      <c r="F109" s="183">
        <f t="shared" si="3"/>
        <v>2.8862990325437727</v>
      </c>
      <c r="G109" s="183">
        <f t="shared" si="3"/>
        <v>7.0903662518607655</v>
      </c>
      <c r="H109" s="183">
        <f t="shared" si="3"/>
        <v>2.2762591271722745</v>
      </c>
      <c r="I109" s="183">
        <f t="shared" si="3"/>
        <v>0.76517535399959924</v>
      </c>
      <c r="J109" s="183">
        <f t="shared" si="3"/>
        <v>0.26048327218406753</v>
      </c>
      <c r="K109" s="183">
        <f t="shared" si="3"/>
        <v>44.844848658280974</v>
      </c>
      <c r="L109" s="183">
        <f t="shared" si="3"/>
        <v>1.5589579853223419</v>
      </c>
      <c r="M109" s="183">
        <f t="shared" si="3"/>
        <v>6.8017734714888762</v>
      </c>
      <c r="N109" s="183">
        <f t="shared" si="3"/>
        <v>82.813772684692466</v>
      </c>
      <c r="O109" s="183">
        <f t="shared" si="3"/>
        <v>0.48599689552109321</v>
      </c>
      <c r="P109" s="183">
        <f t="shared" si="3"/>
        <v>6.9615406517244752E-2</v>
      </c>
      <c r="Q109" s="183">
        <f t="shared" si="3"/>
        <v>1.2309958883737088E-2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Q9" sqref="Q9:Q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45487.010416666664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45487.010416666664</v>
      </c>
      <c r="B9" s="112">
        <v>9.2899999999999991</v>
      </c>
      <c r="C9" s="112">
        <v>3.98</v>
      </c>
      <c r="D9" s="112">
        <v>13.98</v>
      </c>
      <c r="E9" s="112">
        <v>8.3000000000000007</v>
      </c>
      <c r="F9" s="112">
        <v>6.42</v>
      </c>
      <c r="G9" s="112">
        <v>16.07</v>
      </c>
      <c r="H9" s="112">
        <v>8.9700000000000006</v>
      </c>
      <c r="I9" s="112">
        <v>4.5599999999999996</v>
      </c>
      <c r="J9" s="112">
        <v>0.53</v>
      </c>
      <c r="K9" s="112">
        <v>269.61</v>
      </c>
      <c r="L9" s="112">
        <v>25.93</v>
      </c>
      <c r="M9" s="112">
        <v>97.98</v>
      </c>
      <c r="N9" s="112">
        <v>2.1</v>
      </c>
      <c r="O9" s="112">
        <v>0</v>
      </c>
      <c r="P9" s="112">
        <v>0.49</v>
      </c>
      <c r="Q9" s="112">
        <v>4.71</v>
      </c>
    </row>
    <row r="10" spans="1:21" customFormat="1">
      <c r="A10" s="80">
        <v>45487.020833333336</v>
      </c>
      <c r="B10" s="112">
        <v>9.27</v>
      </c>
      <c r="C10" s="112">
        <v>4.07</v>
      </c>
      <c r="D10" s="112">
        <v>14.01</v>
      </c>
      <c r="E10" s="112">
        <v>8.1999999999999993</v>
      </c>
      <c r="F10" s="112">
        <v>7.14</v>
      </c>
      <c r="G10" s="112">
        <v>16.07</v>
      </c>
      <c r="H10" s="112">
        <v>8.9700000000000006</v>
      </c>
      <c r="I10" s="112">
        <v>4.63</v>
      </c>
      <c r="J10" s="112">
        <v>0.43</v>
      </c>
      <c r="K10" s="112">
        <v>266.81</v>
      </c>
      <c r="L10" s="112">
        <v>25.92</v>
      </c>
      <c r="M10" s="112">
        <v>98.15</v>
      </c>
      <c r="N10" s="112">
        <v>2.1</v>
      </c>
      <c r="O10" s="112">
        <v>0</v>
      </c>
      <c r="P10" s="112">
        <v>0.46</v>
      </c>
      <c r="Q10" s="112">
        <v>4.72</v>
      </c>
    </row>
    <row r="11" spans="1:21" customFormat="1">
      <c r="A11" s="80">
        <v>45487.03125</v>
      </c>
      <c r="B11" s="112">
        <v>9.2799999999999994</v>
      </c>
      <c r="C11" s="112">
        <v>4.08</v>
      </c>
      <c r="D11" s="112">
        <v>14.03</v>
      </c>
      <c r="E11" s="112">
        <v>8.4700000000000006</v>
      </c>
      <c r="F11" s="112">
        <v>6.93</v>
      </c>
      <c r="G11" s="112">
        <v>16.89</v>
      </c>
      <c r="H11" s="112">
        <v>7.33</v>
      </c>
      <c r="I11" s="112">
        <v>4.68</v>
      </c>
      <c r="J11" s="112">
        <v>0.59</v>
      </c>
      <c r="K11" s="112">
        <v>268.54000000000002</v>
      </c>
      <c r="L11" s="112">
        <v>25.91</v>
      </c>
      <c r="M11" s="112">
        <v>98.04</v>
      </c>
      <c r="N11" s="112">
        <v>2.1</v>
      </c>
      <c r="O11" s="112">
        <v>0</v>
      </c>
      <c r="P11" s="112">
        <v>0.43</v>
      </c>
      <c r="Q11" s="112">
        <v>4.72</v>
      </c>
    </row>
    <row r="12" spans="1:21" customFormat="1">
      <c r="A12" s="80">
        <v>45487.041666666664</v>
      </c>
      <c r="B12" s="112">
        <v>9.2899999999999991</v>
      </c>
      <c r="C12" s="112">
        <v>4.09</v>
      </c>
      <c r="D12" s="112">
        <v>14.03</v>
      </c>
      <c r="E12" s="112">
        <v>8.74</v>
      </c>
      <c r="F12" s="112">
        <v>5.69</v>
      </c>
      <c r="G12" s="112">
        <v>17.510000000000002</v>
      </c>
      <c r="H12" s="112">
        <v>6.32</v>
      </c>
      <c r="I12" s="112">
        <v>4.62</v>
      </c>
      <c r="J12" s="112">
        <v>0.54</v>
      </c>
      <c r="K12" s="112">
        <v>269.31</v>
      </c>
      <c r="L12" s="112">
        <v>25.94</v>
      </c>
      <c r="M12" s="112">
        <v>97.38</v>
      </c>
      <c r="N12" s="112">
        <v>2.1</v>
      </c>
      <c r="O12" s="112">
        <v>0</v>
      </c>
      <c r="P12" s="112">
        <v>0.43</v>
      </c>
      <c r="Q12" s="112">
        <v>4.71</v>
      </c>
    </row>
    <row r="13" spans="1:21" customFormat="1">
      <c r="A13" s="80">
        <v>45487.052083333336</v>
      </c>
      <c r="B13" s="112">
        <v>9.2899999999999991</v>
      </c>
      <c r="C13" s="112">
        <v>4.08</v>
      </c>
      <c r="D13" s="112">
        <v>14.03</v>
      </c>
      <c r="E13" s="112">
        <v>8.5299999999999994</v>
      </c>
      <c r="F13" s="112">
        <v>5.46</v>
      </c>
      <c r="G13" s="112">
        <v>17.510000000000002</v>
      </c>
      <c r="H13" s="112">
        <v>6.32</v>
      </c>
      <c r="I13" s="112">
        <v>4.57</v>
      </c>
      <c r="J13" s="112">
        <v>0.43</v>
      </c>
      <c r="K13" s="112">
        <v>264.14</v>
      </c>
      <c r="L13" s="112">
        <v>25.95</v>
      </c>
      <c r="M13" s="112">
        <v>97.68</v>
      </c>
      <c r="N13" s="112">
        <v>2</v>
      </c>
      <c r="O13" s="112">
        <v>0</v>
      </c>
      <c r="P13" s="112">
        <v>0.41</v>
      </c>
      <c r="Q13" s="112">
        <v>4.72</v>
      </c>
    </row>
    <row r="14" spans="1:21" customFormat="1">
      <c r="A14" s="80">
        <v>45487.0625</v>
      </c>
      <c r="B14" s="112">
        <v>9.27</v>
      </c>
      <c r="C14" s="112">
        <v>4.09</v>
      </c>
      <c r="D14" s="112">
        <v>14.02</v>
      </c>
      <c r="E14" s="112">
        <v>8.49</v>
      </c>
      <c r="F14" s="112">
        <v>5.43</v>
      </c>
      <c r="G14" s="112">
        <v>17.510000000000002</v>
      </c>
      <c r="H14" s="112">
        <v>6.32</v>
      </c>
      <c r="I14" s="112">
        <v>4.55</v>
      </c>
      <c r="J14" s="112">
        <v>0.42</v>
      </c>
      <c r="K14" s="112">
        <v>271.60000000000002</v>
      </c>
      <c r="L14" s="112">
        <v>26.04</v>
      </c>
      <c r="M14" s="112">
        <v>97.15</v>
      </c>
      <c r="N14" s="112">
        <v>2</v>
      </c>
      <c r="O14" s="112">
        <v>0</v>
      </c>
      <c r="P14" s="112">
        <v>0.39</v>
      </c>
      <c r="Q14" s="112">
        <v>4.7</v>
      </c>
    </row>
    <row r="15" spans="1:21" customFormat="1">
      <c r="A15" s="80">
        <v>45487.072916666664</v>
      </c>
      <c r="B15" s="112">
        <v>9.25</v>
      </c>
      <c r="C15" s="112">
        <v>4.0599999999999996</v>
      </c>
      <c r="D15" s="112">
        <v>13.99</v>
      </c>
      <c r="E15" s="112">
        <v>8.9600000000000009</v>
      </c>
      <c r="F15" s="112">
        <v>5.74</v>
      </c>
      <c r="G15" s="112">
        <v>15</v>
      </c>
      <c r="H15" s="112">
        <v>6.2</v>
      </c>
      <c r="I15" s="112">
        <v>4.41</v>
      </c>
      <c r="J15" s="112">
        <v>0.8</v>
      </c>
      <c r="K15" s="112">
        <v>271.8</v>
      </c>
      <c r="L15" s="112">
        <v>26.04</v>
      </c>
      <c r="M15" s="112">
        <v>96.13</v>
      </c>
      <c r="N15" s="112">
        <v>2</v>
      </c>
      <c r="O15" s="112">
        <v>0</v>
      </c>
      <c r="P15" s="112">
        <v>0.41</v>
      </c>
      <c r="Q15" s="112">
        <v>4.7</v>
      </c>
    </row>
    <row r="16" spans="1:21" customFormat="1">
      <c r="A16" s="80">
        <v>45487.083333333336</v>
      </c>
      <c r="B16" s="112">
        <v>9.23</v>
      </c>
      <c r="C16" s="112">
        <v>4.0999999999999996</v>
      </c>
      <c r="D16" s="112">
        <v>13.99</v>
      </c>
      <c r="E16" s="112">
        <v>9.4600000000000009</v>
      </c>
      <c r="F16" s="112">
        <v>4.9000000000000004</v>
      </c>
      <c r="G16" s="112">
        <v>13.07</v>
      </c>
      <c r="H16" s="112">
        <v>6.16</v>
      </c>
      <c r="I16" s="112">
        <v>4.33</v>
      </c>
      <c r="J16" s="112">
        <v>0.79</v>
      </c>
      <c r="K16" s="112">
        <v>272.02999999999997</v>
      </c>
      <c r="L16" s="112">
        <v>26.06</v>
      </c>
      <c r="M16" s="112">
        <v>94.77</v>
      </c>
      <c r="N16" s="112">
        <v>2.2000000000000002</v>
      </c>
      <c r="O16" s="112">
        <v>0</v>
      </c>
      <c r="P16" s="112">
        <v>0.39</v>
      </c>
      <c r="Q16" s="112">
        <v>4.72</v>
      </c>
    </row>
    <row r="17" spans="1:17" customFormat="1">
      <c r="A17" s="80">
        <v>45487.09375</v>
      </c>
      <c r="B17" s="112">
        <v>9.2200000000000006</v>
      </c>
      <c r="C17" s="112">
        <v>4.07</v>
      </c>
      <c r="D17" s="112">
        <v>13.97</v>
      </c>
      <c r="E17" s="112">
        <v>8.09</v>
      </c>
      <c r="F17" s="112">
        <v>4.58</v>
      </c>
      <c r="G17" s="112">
        <v>13.07</v>
      </c>
      <c r="H17" s="112">
        <v>6.16</v>
      </c>
      <c r="I17" s="112">
        <v>4.25</v>
      </c>
      <c r="J17" s="112">
        <v>0.52</v>
      </c>
      <c r="K17" s="112">
        <v>266.97000000000003</v>
      </c>
      <c r="L17" s="112">
        <v>26.09</v>
      </c>
      <c r="M17" s="112">
        <v>94.07</v>
      </c>
      <c r="N17" s="112">
        <v>2.2999999999999998</v>
      </c>
      <c r="O17" s="112">
        <v>0</v>
      </c>
      <c r="P17" s="112">
        <v>0.38</v>
      </c>
      <c r="Q17" s="112">
        <v>4.72</v>
      </c>
    </row>
    <row r="18" spans="1:17" customFormat="1">
      <c r="A18" s="80">
        <v>45487.104166666664</v>
      </c>
      <c r="B18" s="112">
        <v>9.2100000000000009</v>
      </c>
      <c r="C18" s="112">
        <v>4.08</v>
      </c>
      <c r="D18" s="112">
        <v>13.97</v>
      </c>
      <c r="E18" s="112">
        <v>9.58</v>
      </c>
      <c r="F18" s="112">
        <v>4.41</v>
      </c>
      <c r="G18" s="112">
        <v>13.07</v>
      </c>
      <c r="H18" s="112">
        <v>6.16</v>
      </c>
      <c r="I18" s="112">
        <v>4.17</v>
      </c>
      <c r="J18" s="112">
        <v>0.61</v>
      </c>
      <c r="K18" s="112">
        <v>270.54000000000002</v>
      </c>
      <c r="L18" s="112">
        <v>26.05</v>
      </c>
      <c r="M18" s="112">
        <v>93.94</v>
      </c>
      <c r="N18" s="112">
        <v>2.4</v>
      </c>
      <c r="O18" s="112">
        <v>0</v>
      </c>
      <c r="P18" s="112">
        <v>0.37</v>
      </c>
      <c r="Q18" s="112">
        <v>4.72</v>
      </c>
    </row>
    <row r="19" spans="1:17" customFormat="1">
      <c r="A19" s="80">
        <v>45487.114583333336</v>
      </c>
      <c r="B19" s="112">
        <v>9.19</v>
      </c>
      <c r="C19" s="112">
        <v>4.09</v>
      </c>
      <c r="D19" s="112">
        <v>13.96</v>
      </c>
      <c r="E19" s="112">
        <v>9.5</v>
      </c>
      <c r="F19" s="112">
        <v>4.16</v>
      </c>
      <c r="G19" s="112">
        <v>11.2</v>
      </c>
      <c r="H19" s="112">
        <v>4.8600000000000003</v>
      </c>
      <c r="I19" s="112">
        <v>4.08</v>
      </c>
      <c r="J19" s="112">
        <v>0.56000000000000005</v>
      </c>
      <c r="K19" s="112">
        <v>271.3</v>
      </c>
      <c r="L19" s="112">
        <v>25.99</v>
      </c>
      <c r="M19" s="112">
        <v>93.83</v>
      </c>
      <c r="N19" s="112">
        <v>2.2999999999999998</v>
      </c>
      <c r="O19" s="112">
        <v>0</v>
      </c>
      <c r="P19" s="112">
        <v>0.36</v>
      </c>
      <c r="Q19" s="112">
        <v>4.71</v>
      </c>
    </row>
    <row r="20" spans="1:17" customFormat="1">
      <c r="A20" s="80">
        <v>45487.125</v>
      </c>
      <c r="B20" s="112">
        <v>9.1999999999999993</v>
      </c>
      <c r="C20" s="112">
        <v>4.07</v>
      </c>
      <c r="D20" s="112">
        <v>13.95</v>
      </c>
      <c r="E20" s="112">
        <v>9.52</v>
      </c>
      <c r="F20" s="112">
        <v>4.1399999999999997</v>
      </c>
      <c r="G20" s="112">
        <v>9.76</v>
      </c>
      <c r="H20" s="112">
        <v>4.41</v>
      </c>
      <c r="I20" s="112">
        <v>4.0199999999999996</v>
      </c>
      <c r="J20" s="112">
        <v>0.66</v>
      </c>
      <c r="K20" s="112">
        <v>268.47000000000003</v>
      </c>
      <c r="L20" s="112">
        <v>25.99</v>
      </c>
      <c r="M20" s="112">
        <v>93.45</v>
      </c>
      <c r="N20" s="112">
        <v>2.2999999999999998</v>
      </c>
      <c r="O20" s="112">
        <v>0</v>
      </c>
      <c r="P20" s="112">
        <v>0.36</v>
      </c>
      <c r="Q20" s="112">
        <v>4.71</v>
      </c>
    </row>
    <row r="21" spans="1:17" customFormat="1">
      <c r="A21" s="80">
        <v>45487.135416666664</v>
      </c>
      <c r="B21" s="112">
        <v>9.2200000000000006</v>
      </c>
      <c r="C21" s="112">
        <v>4.07</v>
      </c>
      <c r="D21" s="112">
        <v>13.97</v>
      </c>
      <c r="E21" s="112">
        <v>9.94</v>
      </c>
      <c r="F21" s="112">
        <v>4.07</v>
      </c>
      <c r="G21" s="112">
        <v>9.76</v>
      </c>
      <c r="H21" s="112">
        <v>4.41</v>
      </c>
      <c r="I21" s="112">
        <v>3.89</v>
      </c>
      <c r="J21" s="112">
        <v>0.63</v>
      </c>
      <c r="K21" s="112">
        <v>270.33999999999997</v>
      </c>
      <c r="L21" s="112">
        <v>25.94</v>
      </c>
      <c r="M21" s="112">
        <v>94.76</v>
      </c>
      <c r="N21" s="112">
        <v>2.4</v>
      </c>
      <c r="O21" s="112">
        <v>0</v>
      </c>
      <c r="P21" s="112">
        <v>0.34</v>
      </c>
      <c r="Q21" s="112">
        <v>4.71</v>
      </c>
    </row>
    <row r="22" spans="1:17" customFormat="1">
      <c r="A22" s="80">
        <v>45487.145833333336</v>
      </c>
      <c r="B22" s="112">
        <v>9.2200000000000006</v>
      </c>
      <c r="C22" s="112">
        <v>4.07</v>
      </c>
      <c r="D22" s="112">
        <v>13.97</v>
      </c>
      <c r="E22" s="112">
        <v>10.050000000000001</v>
      </c>
      <c r="F22" s="112">
        <v>4.45</v>
      </c>
      <c r="G22" s="112">
        <v>9.76</v>
      </c>
      <c r="H22" s="112">
        <v>4.41</v>
      </c>
      <c r="I22" s="112">
        <v>3.84</v>
      </c>
      <c r="J22" s="112">
        <v>0.36</v>
      </c>
      <c r="K22" s="112">
        <v>271.14999999999998</v>
      </c>
      <c r="L22" s="112">
        <v>25.95</v>
      </c>
      <c r="M22" s="112">
        <v>94.85</v>
      </c>
      <c r="N22" s="112">
        <v>2.4</v>
      </c>
      <c r="O22" s="112">
        <v>0</v>
      </c>
      <c r="P22" s="112">
        <v>0.34</v>
      </c>
      <c r="Q22" s="112">
        <v>4.7</v>
      </c>
    </row>
    <row r="23" spans="1:17" customFormat="1">
      <c r="A23" s="80">
        <v>45487.15625</v>
      </c>
      <c r="B23" s="112">
        <v>9.2200000000000006</v>
      </c>
      <c r="C23" s="112">
        <v>4.07</v>
      </c>
      <c r="D23" s="112">
        <v>13.97</v>
      </c>
      <c r="E23" s="112">
        <v>10.02</v>
      </c>
      <c r="F23" s="112">
        <v>4.59</v>
      </c>
      <c r="G23" s="112">
        <v>11.98</v>
      </c>
      <c r="H23" s="112">
        <v>3.43</v>
      </c>
      <c r="I23" s="112">
        <v>3.75</v>
      </c>
      <c r="J23" s="112">
        <v>0.45</v>
      </c>
      <c r="K23" s="112">
        <v>269.75</v>
      </c>
      <c r="L23" s="112">
        <v>25.87</v>
      </c>
      <c r="M23" s="112">
        <v>95.59</v>
      </c>
      <c r="N23" s="112">
        <v>2</v>
      </c>
      <c r="O23" s="112">
        <v>0</v>
      </c>
      <c r="P23" s="112">
        <v>0.34</v>
      </c>
      <c r="Q23" s="112">
        <v>4.72</v>
      </c>
    </row>
    <row r="24" spans="1:17" customFormat="1">
      <c r="A24" s="80">
        <v>45487.166666666664</v>
      </c>
      <c r="B24" s="112">
        <v>9.23</v>
      </c>
      <c r="C24" s="112">
        <v>4.08</v>
      </c>
      <c r="D24" s="112">
        <v>13.98</v>
      </c>
      <c r="E24" s="112">
        <v>10.130000000000001</v>
      </c>
      <c r="F24" s="112">
        <v>4.42</v>
      </c>
      <c r="G24" s="112">
        <v>13.68</v>
      </c>
      <c r="H24" s="112">
        <v>3.11</v>
      </c>
      <c r="I24" s="112">
        <v>3.69</v>
      </c>
      <c r="J24" s="112">
        <v>0.45</v>
      </c>
      <c r="K24" s="112">
        <v>263.57</v>
      </c>
      <c r="L24" s="112">
        <v>25.71</v>
      </c>
      <c r="M24" s="112">
        <v>97.36</v>
      </c>
      <c r="N24" s="112">
        <v>2</v>
      </c>
      <c r="O24" s="112">
        <v>0</v>
      </c>
      <c r="P24" s="112">
        <v>0.32</v>
      </c>
      <c r="Q24" s="112">
        <v>4.71</v>
      </c>
    </row>
    <row r="25" spans="1:17" customFormat="1">
      <c r="A25" s="80">
        <v>45487.177083333336</v>
      </c>
      <c r="B25" s="112">
        <v>9.23</v>
      </c>
      <c r="C25" s="112">
        <v>4.08</v>
      </c>
      <c r="D25" s="112">
        <v>13.98</v>
      </c>
      <c r="E25" s="112">
        <v>10.17</v>
      </c>
      <c r="F25" s="112">
        <v>3.87</v>
      </c>
      <c r="G25" s="112">
        <v>13.68</v>
      </c>
      <c r="H25" s="112">
        <v>3.11</v>
      </c>
      <c r="I25" s="112">
        <v>3.61</v>
      </c>
      <c r="J25" s="112">
        <v>0.39</v>
      </c>
      <c r="K25" s="112">
        <v>269.06</v>
      </c>
      <c r="L25" s="112">
        <v>25.64</v>
      </c>
      <c r="M25" s="112">
        <v>97.59</v>
      </c>
      <c r="N25" s="112">
        <v>2.1</v>
      </c>
      <c r="O25" s="112">
        <v>0</v>
      </c>
      <c r="P25" s="112">
        <v>0.32</v>
      </c>
      <c r="Q25" s="112">
        <v>4.71</v>
      </c>
    </row>
    <row r="26" spans="1:17" customFormat="1">
      <c r="A26" s="80">
        <v>45487.1875</v>
      </c>
      <c r="B26" s="112">
        <v>9.24</v>
      </c>
      <c r="C26" s="112">
        <v>4.09</v>
      </c>
      <c r="D26" s="112">
        <v>14</v>
      </c>
      <c r="E26" s="112">
        <v>10.92</v>
      </c>
      <c r="F26" s="112">
        <v>3.33</v>
      </c>
      <c r="G26" s="112">
        <v>13.68</v>
      </c>
      <c r="H26" s="112">
        <v>3.11</v>
      </c>
      <c r="I26" s="112">
        <v>3.57</v>
      </c>
      <c r="J26" s="112">
        <v>0.23</v>
      </c>
      <c r="K26" s="112">
        <v>278.89</v>
      </c>
      <c r="L26" s="112">
        <v>25.55</v>
      </c>
      <c r="M26" s="112">
        <v>97.78</v>
      </c>
      <c r="N26" s="112">
        <v>2</v>
      </c>
      <c r="O26" s="112">
        <v>0</v>
      </c>
      <c r="P26" s="112">
        <v>0.31</v>
      </c>
      <c r="Q26" s="112">
        <v>4.71</v>
      </c>
    </row>
    <row r="27" spans="1:17" customFormat="1">
      <c r="A27" s="80">
        <v>45487.197916666664</v>
      </c>
      <c r="B27" s="112">
        <v>9.23</v>
      </c>
      <c r="C27" s="112">
        <v>4.09</v>
      </c>
      <c r="D27" s="112">
        <v>13.99</v>
      </c>
      <c r="E27" s="112">
        <v>10.58</v>
      </c>
      <c r="F27" s="112">
        <v>4.4800000000000004</v>
      </c>
      <c r="G27" s="112">
        <v>11.45</v>
      </c>
      <c r="H27" s="112">
        <v>4.3499999999999996</v>
      </c>
      <c r="I27" s="112">
        <v>3.53</v>
      </c>
      <c r="J27" s="112">
        <v>0.16</v>
      </c>
      <c r="K27" s="112">
        <v>166.51</v>
      </c>
      <c r="L27" s="112">
        <v>25.57</v>
      </c>
      <c r="M27" s="112">
        <v>98.62</v>
      </c>
      <c r="N27" s="112">
        <v>1.7</v>
      </c>
      <c r="O27" s="112">
        <v>0</v>
      </c>
      <c r="P27" s="112">
        <v>0.31</v>
      </c>
      <c r="Q27" s="112">
        <v>4.71</v>
      </c>
    </row>
    <row r="28" spans="1:17" customFormat="1">
      <c r="A28" s="80">
        <v>45487.208333333336</v>
      </c>
      <c r="B28" s="112">
        <v>9.24</v>
      </c>
      <c r="C28" s="112">
        <v>4.07</v>
      </c>
      <c r="D28" s="112">
        <v>13.98</v>
      </c>
      <c r="E28" s="112">
        <v>10.4</v>
      </c>
      <c r="F28" s="112">
        <v>4.29</v>
      </c>
      <c r="G28" s="112">
        <v>9.74</v>
      </c>
      <c r="H28" s="112">
        <v>4.75</v>
      </c>
      <c r="I28" s="112">
        <v>3.5</v>
      </c>
      <c r="J28" s="112">
        <v>0.12</v>
      </c>
      <c r="K28" s="112">
        <v>157.28</v>
      </c>
      <c r="L28" s="112">
        <v>25.63</v>
      </c>
      <c r="M28" s="112">
        <v>98.08</v>
      </c>
      <c r="N28" s="112">
        <v>1.8</v>
      </c>
      <c r="O28" s="112">
        <v>0</v>
      </c>
      <c r="P28" s="112">
        <v>0.31</v>
      </c>
      <c r="Q28" s="112">
        <v>4.71</v>
      </c>
    </row>
    <row r="29" spans="1:17" customFormat="1">
      <c r="A29" s="80">
        <v>45487.21875</v>
      </c>
      <c r="B29" s="112">
        <v>9.23</v>
      </c>
      <c r="C29" s="112">
        <v>4.05</v>
      </c>
      <c r="D29" s="112">
        <v>13.97</v>
      </c>
      <c r="E29" s="112">
        <v>10.97</v>
      </c>
      <c r="F29" s="112">
        <v>3.91</v>
      </c>
      <c r="G29" s="112">
        <v>9.74</v>
      </c>
      <c r="H29" s="112">
        <v>4.75</v>
      </c>
      <c r="I29" s="112">
        <v>3.38</v>
      </c>
      <c r="J29" s="112">
        <v>0.19</v>
      </c>
      <c r="K29" s="112">
        <v>250.18</v>
      </c>
      <c r="L29" s="112">
        <v>25.73</v>
      </c>
      <c r="M29" s="112">
        <v>98.01</v>
      </c>
      <c r="N29" s="112">
        <v>2.2999999999999998</v>
      </c>
      <c r="O29" s="112">
        <v>0</v>
      </c>
      <c r="P29" s="112">
        <v>0.33</v>
      </c>
      <c r="Q29" s="112">
        <v>4.72</v>
      </c>
    </row>
    <row r="30" spans="1:17" customFormat="1">
      <c r="A30" s="80">
        <v>45487.229166666664</v>
      </c>
      <c r="B30" s="112">
        <v>9.2200000000000006</v>
      </c>
      <c r="C30" s="112">
        <v>4.07</v>
      </c>
      <c r="D30" s="112">
        <v>13.98</v>
      </c>
      <c r="E30" s="112">
        <v>11.05</v>
      </c>
      <c r="F30" s="112">
        <v>3.14</v>
      </c>
      <c r="G30" s="112">
        <v>9.74</v>
      </c>
      <c r="H30" s="112">
        <v>4.75</v>
      </c>
      <c r="I30" s="112">
        <v>3.37</v>
      </c>
      <c r="J30" s="112">
        <v>0.42</v>
      </c>
      <c r="K30" s="112">
        <v>262.57</v>
      </c>
      <c r="L30" s="112">
        <v>25.67</v>
      </c>
      <c r="M30" s="112">
        <v>97.37</v>
      </c>
      <c r="N30" s="112">
        <v>6.2</v>
      </c>
      <c r="O30" s="112">
        <v>0</v>
      </c>
      <c r="P30" s="112">
        <v>0.36</v>
      </c>
      <c r="Q30" s="112">
        <v>4.71</v>
      </c>
    </row>
    <row r="31" spans="1:17" customFormat="1">
      <c r="A31" s="80">
        <v>45487.239583333336</v>
      </c>
      <c r="B31" s="112">
        <v>9.27</v>
      </c>
      <c r="C31" s="112">
        <v>4.0599999999999996</v>
      </c>
      <c r="D31" s="112">
        <v>14</v>
      </c>
      <c r="E31" s="112">
        <v>10.54</v>
      </c>
      <c r="F31" s="112">
        <v>3.96</v>
      </c>
      <c r="G31" s="112">
        <v>8.35</v>
      </c>
      <c r="H31" s="112">
        <v>3.99</v>
      </c>
      <c r="I31" s="112">
        <v>3.44</v>
      </c>
      <c r="J31" s="112">
        <v>0.34</v>
      </c>
      <c r="K31" s="112">
        <v>263.89999999999998</v>
      </c>
      <c r="L31" s="112">
        <v>25.66</v>
      </c>
      <c r="M31" s="112">
        <v>96.45</v>
      </c>
      <c r="N31" s="112">
        <v>14.5</v>
      </c>
      <c r="O31" s="112">
        <v>0</v>
      </c>
      <c r="P31" s="112">
        <v>0.36</v>
      </c>
      <c r="Q31" s="112">
        <v>4.72</v>
      </c>
    </row>
    <row r="32" spans="1:17" customFormat="1">
      <c r="A32" s="80">
        <v>45487.25</v>
      </c>
      <c r="B32" s="112">
        <v>9.26</v>
      </c>
      <c r="C32" s="112">
        <v>4.08</v>
      </c>
      <c r="D32" s="112">
        <v>14.01</v>
      </c>
      <c r="E32" s="112">
        <v>9.8800000000000008</v>
      </c>
      <c r="F32" s="112">
        <v>4.32</v>
      </c>
      <c r="G32" s="112">
        <v>7.28</v>
      </c>
      <c r="H32" s="112">
        <v>3.72</v>
      </c>
      <c r="I32" s="112">
        <v>3.46</v>
      </c>
      <c r="J32" s="112">
        <v>0.28999999999999998</v>
      </c>
      <c r="K32" s="112">
        <v>271.36</v>
      </c>
      <c r="L32" s="112">
        <v>25.78</v>
      </c>
      <c r="M32" s="112">
        <v>96.69</v>
      </c>
      <c r="N32" s="112">
        <v>19.5</v>
      </c>
      <c r="O32" s="112">
        <v>0</v>
      </c>
      <c r="P32" s="112">
        <v>0.34</v>
      </c>
      <c r="Q32" s="112">
        <v>4.72</v>
      </c>
    </row>
    <row r="33" spans="1:17" customFormat="1">
      <c r="A33" s="80">
        <v>45487.260416666664</v>
      </c>
      <c r="B33" s="112">
        <v>9.27</v>
      </c>
      <c r="C33" s="112">
        <v>4.1100000000000003</v>
      </c>
      <c r="D33" s="112">
        <v>14.03</v>
      </c>
      <c r="E33" s="112">
        <v>10.24</v>
      </c>
      <c r="F33" s="112">
        <v>4.66</v>
      </c>
      <c r="G33" s="112">
        <v>7.28</v>
      </c>
      <c r="H33" s="112">
        <v>3.72</v>
      </c>
      <c r="I33" s="112">
        <v>3.38</v>
      </c>
      <c r="J33" s="112">
        <v>0.41</v>
      </c>
      <c r="K33" s="112">
        <v>267.44</v>
      </c>
      <c r="L33" s="112">
        <v>25.91</v>
      </c>
      <c r="M33" s="112">
        <v>95.73</v>
      </c>
      <c r="N33" s="112">
        <v>34.4</v>
      </c>
      <c r="O33" s="112">
        <v>0</v>
      </c>
      <c r="P33" s="112">
        <v>0.34</v>
      </c>
      <c r="Q33" s="112">
        <v>4.71</v>
      </c>
    </row>
    <row r="34" spans="1:17" customFormat="1">
      <c r="A34" s="80">
        <v>45487.270833333336</v>
      </c>
      <c r="B34" s="112">
        <v>9.26</v>
      </c>
      <c r="C34" s="112">
        <v>4.09</v>
      </c>
      <c r="D34" s="112">
        <v>14.01</v>
      </c>
      <c r="E34" s="112">
        <v>9.7100000000000009</v>
      </c>
      <c r="F34" s="112">
        <v>4.62</v>
      </c>
      <c r="G34" s="112">
        <v>7.28</v>
      </c>
      <c r="H34" s="112">
        <v>3.72</v>
      </c>
      <c r="I34" s="112">
        <v>3.39</v>
      </c>
      <c r="J34" s="112">
        <v>0.43</v>
      </c>
      <c r="K34" s="112">
        <v>279.22000000000003</v>
      </c>
      <c r="L34" s="112">
        <v>26.06</v>
      </c>
      <c r="M34" s="112">
        <v>95.06</v>
      </c>
      <c r="N34" s="112">
        <v>37.1</v>
      </c>
      <c r="O34" s="112">
        <v>0</v>
      </c>
      <c r="P34" s="112">
        <v>0.34</v>
      </c>
      <c r="Q34" s="112">
        <v>4.71</v>
      </c>
    </row>
    <row r="35" spans="1:17" customFormat="1">
      <c r="A35" s="80">
        <v>45487.28125</v>
      </c>
      <c r="B35" s="112">
        <v>9.26</v>
      </c>
      <c r="C35" s="112">
        <v>4.0599999999999996</v>
      </c>
      <c r="D35" s="112">
        <v>14</v>
      </c>
      <c r="E35" s="112">
        <v>9.36</v>
      </c>
      <c r="F35" s="112">
        <v>5.54</v>
      </c>
      <c r="G35" s="112">
        <v>8.41</v>
      </c>
      <c r="H35" s="112">
        <v>3.33</v>
      </c>
      <c r="I35" s="112">
        <v>3.39</v>
      </c>
      <c r="J35" s="112">
        <v>0.56000000000000005</v>
      </c>
      <c r="K35" s="112">
        <v>272.08999999999997</v>
      </c>
      <c r="L35" s="112">
        <v>26.08</v>
      </c>
      <c r="M35" s="112">
        <v>94.64</v>
      </c>
      <c r="N35" s="112">
        <v>31.4</v>
      </c>
      <c r="O35" s="112">
        <v>0</v>
      </c>
      <c r="P35" s="112">
        <v>0.34</v>
      </c>
      <c r="Q35" s="112">
        <v>4.7</v>
      </c>
    </row>
    <row r="36" spans="1:17" customFormat="1">
      <c r="A36" s="80">
        <v>45487.291666666664</v>
      </c>
      <c r="B36" s="112">
        <v>9.27</v>
      </c>
      <c r="C36" s="112">
        <v>4.04</v>
      </c>
      <c r="D36" s="112">
        <v>13.99</v>
      </c>
      <c r="E36" s="112">
        <v>9</v>
      </c>
      <c r="F36" s="112">
        <v>4.91</v>
      </c>
      <c r="G36" s="112">
        <v>9.27</v>
      </c>
      <c r="H36" s="112">
        <v>3.07</v>
      </c>
      <c r="I36" s="112">
        <v>3.38</v>
      </c>
      <c r="J36" s="112">
        <v>0.67</v>
      </c>
      <c r="K36" s="112">
        <v>276.14999999999998</v>
      </c>
      <c r="L36" s="112">
        <v>26.22</v>
      </c>
      <c r="M36" s="112">
        <v>93.41</v>
      </c>
      <c r="N36" s="112">
        <v>77.2</v>
      </c>
      <c r="O36" s="112">
        <v>0</v>
      </c>
      <c r="P36" s="112">
        <v>0.33</v>
      </c>
      <c r="Q36" s="112">
        <v>4.71</v>
      </c>
    </row>
    <row r="37" spans="1:17" customFormat="1">
      <c r="A37" s="80">
        <v>45487.302083333336</v>
      </c>
      <c r="B37" s="112">
        <v>9.25</v>
      </c>
      <c r="C37" s="112">
        <v>4.08</v>
      </c>
      <c r="D37" s="112">
        <v>14</v>
      </c>
      <c r="E37" s="112">
        <v>8.91</v>
      </c>
      <c r="F37" s="112">
        <v>4.49</v>
      </c>
      <c r="G37" s="112">
        <v>9.27</v>
      </c>
      <c r="H37" s="112">
        <v>3.07</v>
      </c>
      <c r="I37" s="112">
        <v>3.3</v>
      </c>
      <c r="J37" s="112">
        <v>0.76</v>
      </c>
      <c r="K37" s="112">
        <v>271.02999999999997</v>
      </c>
      <c r="L37" s="112">
        <v>26.58</v>
      </c>
      <c r="M37" s="112">
        <v>91.92</v>
      </c>
      <c r="N37" s="112">
        <v>103.2</v>
      </c>
      <c r="O37" s="112">
        <v>0</v>
      </c>
      <c r="P37" s="112">
        <v>0.33</v>
      </c>
      <c r="Q37" s="112">
        <v>4.72</v>
      </c>
    </row>
    <row r="38" spans="1:17" customFormat="1">
      <c r="A38" s="80">
        <v>45487.3125</v>
      </c>
      <c r="B38" s="112">
        <v>9.24</v>
      </c>
      <c r="C38" s="112">
        <v>4.08</v>
      </c>
      <c r="D38" s="112">
        <v>13.99</v>
      </c>
      <c r="E38" s="112">
        <v>9.0500000000000007</v>
      </c>
      <c r="F38" s="112">
        <v>4.49</v>
      </c>
      <c r="G38" s="112">
        <v>9.27</v>
      </c>
      <c r="H38" s="112">
        <v>3.07</v>
      </c>
      <c r="I38" s="112">
        <v>3.38</v>
      </c>
      <c r="J38" s="112">
        <v>0.71</v>
      </c>
      <c r="K38" s="112">
        <v>271.33</v>
      </c>
      <c r="L38" s="112">
        <v>26.91</v>
      </c>
      <c r="M38" s="112">
        <v>90.44</v>
      </c>
      <c r="N38" s="112">
        <v>118.3</v>
      </c>
      <c r="O38" s="112">
        <v>0</v>
      </c>
      <c r="P38" s="112">
        <v>0.33</v>
      </c>
      <c r="Q38" s="112">
        <v>4.71</v>
      </c>
    </row>
    <row r="39" spans="1:17" customFormat="1">
      <c r="A39" s="80">
        <v>45487.322916666664</v>
      </c>
      <c r="B39" s="112">
        <v>9.23</v>
      </c>
      <c r="C39" s="112">
        <v>4.08</v>
      </c>
      <c r="D39" s="112">
        <v>13.98</v>
      </c>
      <c r="E39" s="112">
        <v>9.36</v>
      </c>
      <c r="F39" s="112">
        <v>4.9800000000000004</v>
      </c>
      <c r="G39" s="112">
        <v>8.3699999999999992</v>
      </c>
      <c r="H39" s="112">
        <v>5.22</v>
      </c>
      <c r="I39" s="112">
        <v>3.41</v>
      </c>
      <c r="J39" s="112">
        <v>0.67</v>
      </c>
      <c r="K39" s="112">
        <v>275.81</v>
      </c>
      <c r="L39" s="112">
        <v>27.25</v>
      </c>
      <c r="M39" s="112">
        <v>88.95</v>
      </c>
      <c r="N39" s="112">
        <v>127.8</v>
      </c>
      <c r="O39" s="112">
        <v>0</v>
      </c>
      <c r="P39" s="112">
        <v>0.34</v>
      </c>
      <c r="Q39" s="112">
        <v>4.71</v>
      </c>
    </row>
    <row r="40" spans="1:17" customFormat="1">
      <c r="A40" s="80">
        <v>45487.333333333336</v>
      </c>
      <c r="B40" s="112">
        <v>9.24</v>
      </c>
      <c r="C40" s="112">
        <v>4.07</v>
      </c>
      <c r="D40" s="112">
        <v>13.98</v>
      </c>
      <c r="E40" s="112">
        <v>9.19</v>
      </c>
      <c r="F40" s="112">
        <v>4.8899999999999997</v>
      </c>
      <c r="G40" s="112">
        <v>7.67</v>
      </c>
      <c r="H40" s="112">
        <v>5.91</v>
      </c>
      <c r="I40" s="112">
        <v>3.46</v>
      </c>
      <c r="J40" s="112">
        <v>0.69</v>
      </c>
      <c r="K40" s="112">
        <v>278.58</v>
      </c>
      <c r="L40" s="112">
        <v>27.2</v>
      </c>
      <c r="M40" s="112">
        <v>88.42</v>
      </c>
      <c r="N40" s="112">
        <v>110</v>
      </c>
      <c r="O40" s="112">
        <v>0</v>
      </c>
      <c r="P40" s="112">
        <v>0.36</v>
      </c>
      <c r="Q40" s="112">
        <v>4.72</v>
      </c>
    </row>
    <row r="41" spans="1:17" customFormat="1">
      <c r="A41" s="80">
        <v>45487.34375</v>
      </c>
      <c r="B41" s="112">
        <v>9.24</v>
      </c>
      <c r="C41" s="112">
        <v>4.0599999999999996</v>
      </c>
      <c r="D41" s="112">
        <v>13.98</v>
      </c>
      <c r="E41" s="112">
        <v>9.3000000000000007</v>
      </c>
      <c r="F41" s="112">
        <v>4.82</v>
      </c>
      <c r="G41" s="112">
        <v>7.67</v>
      </c>
      <c r="H41" s="112">
        <v>5.91</v>
      </c>
      <c r="I41" s="112">
        <v>3.63</v>
      </c>
      <c r="J41" s="112">
        <v>0.52</v>
      </c>
      <c r="K41" s="112">
        <v>272.73</v>
      </c>
      <c r="L41" s="112">
        <v>27.41</v>
      </c>
      <c r="M41" s="112">
        <v>87.72</v>
      </c>
      <c r="N41" s="112">
        <v>124.4</v>
      </c>
      <c r="O41" s="112">
        <v>0</v>
      </c>
      <c r="P41" s="112">
        <v>0.36</v>
      </c>
      <c r="Q41" s="112">
        <v>4.7</v>
      </c>
    </row>
    <row r="42" spans="1:17" customFormat="1">
      <c r="A42" s="80">
        <v>45487.354166666664</v>
      </c>
      <c r="B42" s="112">
        <v>9.24</v>
      </c>
      <c r="C42" s="112">
        <v>4.0599999999999996</v>
      </c>
      <c r="D42" s="112">
        <v>13.98</v>
      </c>
      <c r="E42" s="112">
        <v>9.44</v>
      </c>
      <c r="F42" s="112">
        <v>4.83</v>
      </c>
      <c r="G42" s="112">
        <v>7.67</v>
      </c>
      <c r="H42" s="112">
        <v>5.91</v>
      </c>
      <c r="I42" s="112">
        <v>3.77</v>
      </c>
      <c r="J42" s="112">
        <v>0.47</v>
      </c>
      <c r="K42" s="112">
        <v>266.61</v>
      </c>
      <c r="L42" s="112">
        <v>27.42</v>
      </c>
      <c r="M42" s="112">
        <v>88.49</v>
      </c>
      <c r="N42" s="112">
        <v>90</v>
      </c>
      <c r="O42" s="112">
        <v>0</v>
      </c>
      <c r="P42" s="112">
        <v>0.38</v>
      </c>
      <c r="Q42" s="112">
        <v>4.7</v>
      </c>
    </row>
    <row r="43" spans="1:17" customFormat="1">
      <c r="A43" s="80">
        <v>45487.364583333336</v>
      </c>
      <c r="B43" s="112">
        <v>9.25</v>
      </c>
      <c r="C43" s="112">
        <v>4.05</v>
      </c>
      <c r="D43" s="112">
        <v>13.98</v>
      </c>
      <c r="E43" s="112">
        <v>9.0399999999999991</v>
      </c>
      <c r="F43" s="112">
        <v>6.62</v>
      </c>
      <c r="G43" s="112">
        <v>10.91</v>
      </c>
      <c r="H43" s="112">
        <v>4.8899999999999997</v>
      </c>
      <c r="I43" s="112">
        <v>4.0199999999999996</v>
      </c>
      <c r="J43" s="112">
        <v>0.45</v>
      </c>
      <c r="K43" s="112">
        <v>273.76</v>
      </c>
      <c r="L43" s="112">
        <v>27.73</v>
      </c>
      <c r="M43" s="112">
        <v>87.52</v>
      </c>
      <c r="N43" s="112">
        <v>195</v>
      </c>
      <c r="O43" s="112">
        <v>0</v>
      </c>
      <c r="P43" s="112">
        <v>0.41</v>
      </c>
      <c r="Q43" s="112">
        <v>4.6900000000000004</v>
      </c>
    </row>
    <row r="44" spans="1:17" customFormat="1">
      <c r="A44" s="80">
        <v>45487.375</v>
      </c>
      <c r="B44" s="112">
        <v>9.25</v>
      </c>
      <c r="C44" s="112">
        <v>4.05</v>
      </c>
      <c r="D44" s="112">
        <v>13.99</v>
      </c>
      <c r="E44" s="112">
        <v>8.86</v>
      </c>
      <c r="F44" s="112">
        <v>4.84</v>
      </c>
      <c r="G44" s="112">
        <v>13.39</v>
      </c>
      <c r="H44" s="112">
        <v>4.5599999999999996</v>
      </c>
      <c r="I44" s="112">
        <v>4.17</v>
      </c>
      <c r="J44" s="112">
        <v>0.48</v>
      </c>
      <c r="K44" s="112">
        <v>260.12</v>
      </c>
      <c r="L44" s="112">
        <v>28.73</v>
      </c>
      <c r="M44" s="112">
        <v>84.13</v>
      </c>
      <c r="N44" s="112">
        <v>255.1</v>
      </c>
      <c r="O44" s="112">
        <v>0</v>
      </c>
      <c r="P44" s="112">
        <v>0.39</v>
      </c>
      <c r="Q44" s="112">
        <v>4.6900000000000004</v>
      </c>
    </row>
    <row r="45" spans="1:17" customFormat="1">
      <c r="A45" s="80">
        <v>45487.385416666664</v>
      </c>
      <c r="B45" s="112">
        <v>9.26</v>
      </c>
      <c r="C45" s="112">
        <v>4.05</v>
      </c>
      <c r="D45" s="112">
        <v>13.99</v>
      </c>
      <c r="E45" s="112">
        <v>9.36</v>
      </c>
      <c r="F45" s="112">
        <v>4.5199999999999996</v>
      </c>
      <c r="G45" s="112">
        <v>13.39</v>
      </c>
      <c r="H45" s="112">
        <v>4.5599999999999996</v>
      </c>
      <c r="I45" s="112">
        <v>4.6100000000000003</v>
      </c>
      <c r="J45" s="112">
        <v>0.68</v>
      </c>
      <c r="K45" s="112">
        <v>279.52</v>
      </c>
      <c r="L45" s="112">
        <v>28.95</v>
      </c>
      <c r="M45" s="112">
        <v>82.99</v>
      </c>
      <c r="N45" s="112">
        <v>244.4</v>
      </c>
      <c r="O45" s="112">
        <v>0</v>
      </c>
      <c r="P45" s="112">
        <v>0.41</v>
      </c>
      <c r="Q45" s="112">
        <v>4.7</v>
      </c>
    </row>
    <row r="46" spans="1:17" customFormat="1">
      <c r="A46" s="80">
        <v>45487.395833333336</v>
      </c>
      <c r="B46" s="112">
        <v>9.27</v>
      </c>
      <c r="C46" s="112">
        <v>4.08</v>
      </c>
      <c r="D46" s="112">
        <v>14.01</v>
      </c>
      <c r="E46" s="112">
        <v>9.27</v>
      </c>
      <c r="F46" s="112">
        <v>4.59</v>
      </c>
      <c r="G46" s="112">
        <v>13.39</v>
      </c>
      <c r="H46" s="112">
        <v>4.5599999999999996</v>
      </c>
      <c r="I46" s="112">
        <v>4.54</v>
      </c>
      <c r="J46" s="112">
        <v>0.56999999999999995</v>
      </c>
      <c r="K46" s="112">
        <v>279.5</v>
      </c>
      <c r="L46" s="112">
        <v>29.34</v>
      </c>
      <c r="M46" s="112">
        <v>82.16</v>
      </c>
      <c r="N46" s="112">
        <v>273.2</v>
      </c>
      <c r="O46" s="112">
        <v>0</v>
      </c>
      <c r="P46" s="112">
        <v>0.43</v>
      </c>
      <c r="Q46" s="112">
        <v>4.71</v>
      </c>
    </row>
    <row r="47" spans="1:17" customFormat="1">
      <c r="A47" s="80">
        <v>45487.40625</v>
      </c>
      <c r="B47" s="112">
        <v>9.2899999999999991</v>
      </c>
      <c r="C47" s="112">
        <v>4.07</v>
      </c>
      <c r="D47" s="112">
        <v>14.03</v>
      </c>
      <c r="E47" s="112">
        <v>9.2799999999999994</v>
      </c>
      <c r="F47" s="112">
        <v>5.22</v>
      </c>
      <c r="G47" s="112">
        <v>16.36</v>
      </c>
      <c r="H47" s="112">
        <v>6.73</v>
      </c>
      <c r="I47" s="112">
        <v>4.7</v>
      </c>
      <c r="J47" s="112">
        <v>0.62</v>
      </c>
      <c r="K47" s="112">
        <v>277.61</v>
      </c>
      <c r="L47" s="112">
        <v>30.08</v>
      </c>
      <c r="M47" s="112">
        <v>80.040000000000006</v>
      </c>
      <c r="N47" s="112">
        <v>281.8</v>
      </c>
      <c r="O47" s="112">
        <v>0</v>
      </c>
      <c r="P47" s="112">
        <v>0.45</v>
      </c>
      <c r="Q47" s="112">
        <v>4.7</v>
      </c>
    </row>
    <row r="48" spans="1:17" customFormat="1">
      <c r="A48" s="80">
        <v>45487.416666666664</v>
      </c>
      <c r="B48" s="112">
        <v>9.31</v>
      </c>
      <c r="C48" s="112">
        <v>4.0599999999999996</v>
      </c>
      <c r="D48" s="112">
        <v>14.04</v>
      </c>
      <c r="E48" s="112">
        <v>9.16</v>
      </c>
      <c r="F48" s="112">
        <v>4.74</v>
      </c>
      <c r="G48" s="112">
        <v>18.63</v>
      </c>
      <c r="H48" s="112">
        <v>7.44</v>
      </c>
      <c r="I48" s="112">
        <v>4.8499999999999996</v>
      </c>
      <c r="J48" s="112">
        <v>0.51</v>
      </c>
      <c r="K48" s="112">
        <v>272.89</v>
      </c>
      <c r="L48" s="112">
        <v>30.72</v>
      </c>
      <c r="M48" s="112">
        <v>77.930000000000007</v>
      </c>
      <c r="N48" s="112">
        <v>304.89999999999998</v>
      </c>
      <c r="O48" s="112">
        <v>0</v>
      </c>
      <c r="P48" s="112">
        <v>0.41</v>
      </c>
      <c r="Q48" s="112">
        <v>4.6900000000000004</v>
      </c>
    </row>
    <row r="49" spans="1:17" customFormat="1">
      <c r="A49" s="80">
        <v>45487.427083333336</v>
      </c>
      <c r="B49" s="112">
        <v>9.3000000000000007</v>
      </c>
      <c r="C49" s="112">
        <v>4.09</v>
      </c>
      <c r="D49" s="112">
        <v>14.04</v>
      </c>
      <c r="E49" s="112">
        <v>7.86</v>
      </c>
      <c r="F49" s="112">
        <v>5.22</v>
      </c>
      <c r="G49" s="112">
        <v>18.63</v>
      </c>
      <c r="H49" s="112">
        <v>7.44</v>
      </c>
      <c r="I49" s="112">
        <v>4.95</v>
      </c>
      <c r="J49" s="112">
        <v>0.63</v>
      </c>
      <c r="K49" s="112">
        <v>270.72000000000003</v>
      </c>
      <c r="L49" s="112">
        <v>30.41</v>
      </c>
      <c r="M49" s="112">
        <v>78.17</v>
      </c>
      <c r="N49" s="112">
        <v>286.10000000000002</v>
      </c>
      <c r="O49" s="112">
        <v>0</v>
      </c>
      <c r="P49" s="112">
        <v>0.4</v>
      </c>
      <c r="Q49" s="112">
        <v>4.6900000000000004</v>
      </c>
    </row>
    <row r="50" spans="1:17" customFormat="1">
      <c r="A50" s="80">
        <v>45487.4375</v>
      </c>
      <c r="B50" s="112">
        <v>9.25</v>
      </c>
      <c r="C50" s="112">
        <v>4.0999999999999996</v>
      </c>
      <c r="D50" s="112">
        <v>14.01</v>
      </c>
      <c r="E50" s="112">
        <v>9.5399999999999991</v>
      </c>
      <c r="F50" s="112">
        <v>4.8</v>
      </c>
      <c r="G50" s="112">
        <v>18.63</v>
      </c>
      <c r="H50" s="112">
        <v>7.44</v>
      </c>
      <c r="I50" s="112">
        <v>5.04</v>
      </c>
      <c r="J50" s="112">
        <v>0.44</v>
      </c>
      <c r="K50" s="112">
        <v>270.72000000000003</v>
      </c>
      <c r="L50" s="112">
        <v>29.76</v>
      </c>
      <c r="M50" s="112">
        <v>80.2</v>
      </c>
      <c r="N50" s="112">
        <v>156.6</v>
      </c>
      <c r="O50" s="112">
        <v>0</v>
      </c>
      <c r="P50" s="112">
        <v>0.42</v>
      </c>
      <c r="Q50" s="112">
        <v>4.7</v>
      </c>
    </row>
    <row r="51" spans="1:17" customFormat="1">
      <c r="A51" s="80">
        <v>45487.447916666664</v>
      </c>
      <c r="B51" s="112">
        <v>9.2200000000000006</v>
      </c>
      <c r="C51" s="112">
        <v>4.08</v>
      </c>
      <c r="D51" s="112">
        <v>13.97</v>
      </c>
      <c r="E51" s="112">
        <v>10.08</v>
      </c>
      <c r="F51" s="112">
        <v>8.26</v>
      </c>
      <c r="G51" s="112">
        <v>22.02</v>
      </c>
      <c r="H51" s="112">
        <v>6.13</v>
      </c>
      <c r="I51" s="112">
        <v>5.1100000000000003</v>
      </c>
      <c r="J51" s="112">
        <v>0.38</v>
      </c>
      <c r="K51" s="112">
        <v>265.85000000000002</v>
      </c>
      <c r="L51" s="112">
        <v>29.86</v>
      </c>
      <c r="M51" s="112">
        <v>80.569999999999993</v>
      </c>
      <c r="N51" s="112">
        <v>203.8</v>
      </c>
      <c r="O51" s="112">
        <v>0</v>
      </c>
      <c r="P51" s="112">
        <v>0.45</v>
      </c>
      <c r="Q51" s="112">
        <v>4.6900000000000004</v>
      </c>
    </row>
    <row r="52" spans="1:17" customFormat="1">
      <c r="A52" s="80">
        <v>45487.458333333336</v>
      </c>
      <c r="B52" s="112">
        <v>9.23</v>
      </c>
      <c r="C52" s="112">
        <v>4.07</v>
      </c>
      <c r="D52" s="112">
        <v>13.98</v>
      </c>
      <c r="E52" s="112">
        <v>10.36</v>
      </c>
      <c r="F52" s="112">
        <v>6.57</v>
      </c>
      <c r="G52" s="112">
        <v>24.6</v>
      </c>
      <c r="H52" s="112">
        <v>5.71</v>
      </c>
      <c r="I52" s="112">
        <v>5.19</v>
      </c>
      <c r="J52" s="112">
        <v>0.52</v>
      </c>
      <c r="K52" s="112">
        <v>267.45999999999998</v>
      </c>
      <c r="L52" s="112">
        <v>29.96</v>
      </c>
      <c r="M52" s="112">
        <v>80.27</v>
      </c>
      <c r="N52" s="112">
        <v>172.7</v>
      </c>
      <c r="O52" s="112">
        <v>0</v>
      </c>
      <c r="P52" s="112">
        <v>0.45</v>
      </c>
      <c r="Q52" s="112">
        <v>4.71</v>
      </c>
    </row>
    <row r="53" spans="1:17" customFormat="1">
      <c r="A53" s="80">
        <v>45487.46875</v>
      </c>
      <c r="B53" s="112">
        <v>9.24</v>
      </c>
      <c r="C53" s="112">
        <v>4.08</v>
      </c>
      <c r="D53" s="112">
        <v>13.99</v>
      </c>
      <c r="E53" s="112">
        <v>9.85</v>
      </c>
      <c r="F53" s="112">
        <v>6.97</v>
      </c>
      <c r="G53" s="112">
        <v>24.6</v>
      </c>
      <c r="H53" s="112">
        <v>5.71</v>
      </c>
      <c r="I53" s="112">
        <v>5.45</v>
      </c>
      <c r="J53" s="112">
        <v>0.39</v>
      </c>
      <c r="K53" s="112">
        <v>268.01</v>
      </c>
      <c r="L53" s="112">
        <v>29.91</v>
      </c>
      <c r="M53" s="112">
        <v>80.989999999999995</v>
      </c>
      <c r="N53" s="112">
        <v>214.8</v>
      </c>
      <c r="O53" s="112">
        <v>0</v>
      </c>
      <c r="P53" s="112">
        <v>0.48</v>
      </c>
      <c r="Q53" s="112">
        <v>4.71</v>
      </c>
    </row>
    <row r="54" spans="1:17" customFormat="1">
      <c r="A54" s="80">
        <v>45487.479166666664</v>
      </c>
      <c r="B54" s="112">
        <v>9.23</v>
      </c>
      <c r="C54" s="112">
        <v>4.08</v>
      </c>
      <c r="D54" s="112">
        <v>13.99</v>
      </c>
      <c r="E54" s="112">
        <v>10.38</v>
      </c>
      <c r="F54" s="112">
        <v>7.71</v>
      </c>
      <c r="G54" s="112">
        <v>24.6</v>
      </c>
      <c r="H54" s="112">
        <v>5.71</v>
      </c>
      <c r="I54" s="112">
        <v>5.53</v>
      </c>
      <c r="J54" s="112">
        <v>0.41</v>
      </c>
      <c r="K54" s="112">
        <v>270.2</v>
      </c>
      <c r="L54" s="112">
        <v>30.7</v>
      </c>
      <c r="M54" s="112">
        <v>78.260000000000005</v>
      </c>
      <c r="N54" s="112">
        <v>381.8</v>
      </c>
      <c r="O54" s="112">
        <v>0</v>
      </c>
      <c r="P54" s="112">
        <v>0.49</v>
      </c>
      <c r="Q54" s="112">
        <v>4.7</v>
      </c>
    </row>
    <row r="55" spans="1:17" customFormat="1">
      <c r="A55" s="80">
        <v>45487.489583333336</v>
      </c>
      <c r="B55" s="112">
        <v>9.23</v>
      </c>
      <c r="C55" s="112">
        <v>4.07</v>
      </c>
      <c r="D55" s="112">
        <v>13.98</v>
      </c>
      <c r="E55" s="112">
        <v>10.74</v>
      </c>
      <c r="F55" s="112">
        <v>8.51</v>
      </c>
      <c r="G55" s="112">
        <v>25.25</v>
      </c>
      <c r="H55" s="112">
        <v>10.16</v>
      </c>
      <c r="I55" s="112">
        <v>5.38</v>
      </c>
      <c r="J55" s="112">
        <v>0.35</v>
      </c>
      <c r="K55" s="112">
        <v>263.06</v>
      </c>
      <c r="L55" s="112">
        <v>31.31</v>
      </c>
      <c r="M55" s="112">
        <v>76.58</v>
      </c>
      <c r="N55" s="112">
        <v>361.3</v>
      </c>
      <c r="O55" s="112">
        <v>0</v>
      </c>
      <c r="P55" s="112">
        <v>0.49</v>
      </c>
      <c r="Q55" s="112">
        <v>4.6900000000000004</v>
      </c>
    </row>
    <row r="56" spans="1:17" customFormat="1">
      <c r="A56" s="80">
        <v>45487.5</v>
      </c>
      <c r="B56" s="112">
        <v>9.24</v>
      </c>
      <c r="C56" s="112">
        <v>4.0599999999999996</v>
      </c>
      <c r="D56" s="112">
        <v>13.98</v>
      </c>
      <c r="E56" s="112">
        <v>11.05</v>
      </c>
      <c r="F56" s="112">
        <v>6.74</v>
      </c>
      <c r="G56" s="112">
        <v>25.74</v>
      </c>
      <c r="H56" s="112">
        <v>11.59</v>
      </c>
      <c r="I56" s="112">
        <v>5.38</v>
      </c>
      <c r="J56" s="112">
        <v>0.57999999999999996</v>
      </c>
      <c r="K56" s="112">
        <v>276.05</v>
      </c>
      <c r="L56" s="112">
        <v>31.86</v>
      </c>
      <c r="M56" s="112">
        <v>74.069999999999993</v>
      </c>
      <c r="N56" s="112">
        <v>515.29999999999995</v>
      </c>
      <c r="O56" s="112">
        <v>0</v>
      </c>
      <c r="P56" s="112">
        <v>0.48</v>
      </c>
      <c r="Q56" s="112">
        <v>4.7</v>
      </c>
    </row>
    <row r="57" spans="1:17" customFormat="1">
      <c r="A57" s="80">
        <v>45487.510416666664</v>
      </c>
      <c r="B57" s="112">
        <v>9.2200000000000006</v>
      </c>
      <c r="C57" s="112">
        <v>4.08</v>
      </c>
      <c r="D57" s="112">
        <v>13.98</v>
      </c>
      <c r="E57" s="112">
        <v>10.58</v>
      </c>
      <c r="F57" s="112">
        <v>6.76</v>
      </c>
      <c r="G57" s="112">
        <v>25.74</v>
      </c>
      <c r="H57" s="112">
        <v>11.59</v>
      </c>
      <c r="I57" s="112">
        <v>5.53</v>
      </c>
      <c r="J57" s="112">
        <v>0.46</v>
      </c>
      <c r="K57" s="112">
        <v>267.26</v>
      </c>
      <c r="L57" s="112">
        <v>31.62</v>
      </c>
      <c r="M57" s="112">
        <v>75.75</v>
      </c>
      <c r="N57" s="112">
        <v>383.8</v>
      </c>
      <c r="O57" s="112">
        <v>0</v>
      </c>
      <c r="P57" s="112">
        <v>0.49</v>
      </c>
      <c r="Q57" s="112">
        <v>4.7</v>
      </c>
    </row>
    <row r="58" spans="1:17" customFormat="1">
      <c r="A58" s="80">
        <v>45487.520833333336</v>
      </c>
      <c r="B58" s="112">
        <v>9.2200000000000006</v>
      </c>
      <c r="C58" s="112">
        <v>4.08</v>
      </c>
      <c r="D58" s="112">
        <v>13.98</v>
      </c>
      <c r="E58" s="112">
        <v>10.89</v>
      </c>
      <c r="F58" s="112">
        <v>8.06</v>
      </c>
      <c r="G58" s="112">
        <v>25.74</v>
      </c>
      <c r="H58" s="112">
        <v>11.59</v>
      </c>
      <c r="I58" s="112">
        <v>5.51</v>
      </c>
      <c r="J58" s="112">
        <v>0.25</v>
      </c>
      <c r="K58" s="112">
        <v>246.9</v>
      </c>
      <c r="L58" s="112">
        <v>31.93</v>
      </c>
      <c r="M58" s="112">
        <v>74.260000000000005</v>
      </c>
      <c r="N58" s="112">
        <v>262.7</v>
      </c>
      <c r="O58" s="112">
        <v>0</v>
      </c>
      <c r="P58" s="112">
        <v>0.47</v>
      </c>
      <c r="Q58" s="112">
        <v>4.71</v>
      </c>
    </row>
    <row r="59" spans="1:17" customFormat="1">
      <c r="A59" s="80">
        <v>45487.53125</v>
      </c>
      <c r="B59" s="112">
        <v>9.2200000000000006</v>
      </c>
      <c r="C59" s="112">
        <v>4.07</v>
      </c>
      <c r="D59" s="112">
        <v>13.97</v>
      </c>
      <c r="E59" s="112">
        <v>10.71</v>
      </c>
      <c r="F59" s="112">
        <v>11.25</v>
      </c>
      <c r="G59" s="112">
        <v>28.41</v>
      </c>
      <c r="H59" s="112">
        <v>12.28</v>
      </c>
      <c r="I59" s="112">
        <v>5.53</v>
      </c>
      <c r="J59" s="112">
        <v>0.2</v>
      </c>
      <c r="K59" s="112">
        <v>211.43</v>
      </c>
      <c r="L59" s="112">
        <v>31.81</v>
      </c>
      <c r="M59" s="112">
        <v>73.989999999999995</v>
      </c>
      <c r="N59" s="112">
        <v>223.6</v>
      </c>
      <c r="O59" s="112">
        <v>0</v>
      </c>
      <c r="P59" s="112">
        <v>0.48</v>
      </c>
      <c r="Q59" s="112">
        <v>4.71</v>
      </c>
    </row>
    <row r="60" spans="1:17" customFormat="1">
      <c r="A60" s="80">
        <v>45487.541666666664</v>
      </c>
      <c r="B60" s="112">
        <v>9.2100000000000009</v>
      </c>
      <c r="C60" s="112">
        <v>4.08</v>
      </c>
      <c r="D60" s="112">
        <v>13.97</v>
      </c>
      <c r="E60" s="112">
        <v>11.5</v>
      </c>
      <c r="F60" s="112">
        <v>7.92</v>
      </c>
      <c r="G60" s="112">
        <v>30.45</v>
      </c>
      <c r="H60" s="112">
        <v>12.71</v>
      </c>
      <c r="I60" s="112">
        <v>5.55</v>
      </c>
      <c r="J60" s="112">
        <v>0.3</v>
      </c>
      <c r="K60" s="112">
        <v>275.92</v>
      </c>
      <c r="L60" s="112">
        <v>32.54</v>
      </c>
      <c r="M60" s="112">
        <v>71.819999999999993</v>
      </c>
      <c r="N60" s="112">
        <v>607.1</v>
      </c>
      <c r="O60" s="112">
        <v>0</v>
      </c>
      <c r="P60" s="112">
        <v>0.49</v>
      </c>
      <c r="Q60" s="112">
        <v>4.71</v>
      </c>
    </row>
    <row r="61" spans="1:17" customFormat="1">
      <c r="A61" s="80">
        <v>45487.552083333336</v>
      </c>
      <c r="B61" s="112">
        <v>9.2100000000000009</v>
      </c>
      <c r="C61" s="112">
        <v>4.09</v>
      </c>
      <c r="D61" s="112">
        <v>13.97</v>
      </c>
      <c r="E61" s="112">
        <v>12.17</v>
      </c>
      <c r="F61" s="112">
        <v>9.09</v>
      </c>
      <c r="G61" s="112">
        <v>30.45</v>
      </c>
      <c r="H61" s="112">
        <v>12.71</v>
      </c>
      <c r="I61" s="112">
        <v>5.36</v>
      </c>
      <c r="J61" s="112">
        <v>0.31</v>
      </c>
      <c r="K61" s="112">
        <v>190.13</v>
      </c>
      <c r="L61" s="112">
        <v>33.82</v>
      </c>
      <c r="M61" s="112">
        <v>67.55</v>
      </c>
      <c r="N61" s="112">
        <v>581.5</v>
      </c>
      <c r="O61" s="112">
        <v>0</v>
      </c>
      <c r="P61" s="112">
        <v>0.46</v>
      </c>
      <c r="Q61" s="112">
        <v>4.71</v>
      </c>
    </row>
    <row r="62" spans="1:17" customFormat="1">
      <c r="A62" s="80">
        <v>45487.5625</v>
      </c>
      <c r="B62" s="112">
        <v>9.2200000000000006</v>
      </c>
      <c r="C62" s="112">
        <v>4.07</v>
      </c>
      <c r="D62" s="112">
        <v>13.97</v>
      </c>
      <c r="E62" s="112">
        <v>11.49</v>
      </c>
      <c r="F62" s="112">
        <v>8.07</v>
      </c>
      <c r="G62" s="112">
        <v>30.45</v>
      </c>
      <c r="H62" s="112">
        <v>12.71</v>
      </c>
      <c r="I62" s="112">
        <v>5.38</v>
      </c>
      <c r="J62" s="112">
        <v>0.38</v>
      </c>
      <c r="K62" s="112">
        <v>263.45</v>
      </c>
      <c r="L62" s="112">
        <v>33.54</v>
      </c>
      <c r="M62" s="112">
        <v>69.09</v>
      </c>
      <c r="N62" s="112">
        <v>388.7</v>
      </c>
      <c r="O62" s="112">
        <v>0</v>
      </c>
      <c r="P62" s="112">
        <v>0.46</v>
      </c>
      <c r="Q62" s="112">
        <v>4.72</v>
      </c>
    </row>
    <row r="63" spans="1:17" customFormat="1">
      <c r="A63" s="80">
        <v>45487.572916666664</v>
      </c>
      <c r="B63" s="112">
        <v>9.2100000000000009</v>
      </c>
      <c r="C63" s="112">
        <v>4.07</v>
      </c>
      <c r="D63" s="112">
        <v>13.96</v>
      </c>
      <c r="E63" s="112">
        <v>11.82</v>
      </c>
      <c r="F63" s="112">
        <v>10.71</v>
      </c>
      <c r="G63" s="112">
        <v>30.25</v>
      </c>
      <c r="H63" s="112">
        <v>14.94</v>
      </c>
      <c r="I63" s="112">
        <v>5.37</v>
      </c>
      <c r="J63" s="112">
        <v>0.26</v>
      </c>
      <c r="K63" s="112">
        <v>232.86</v>
      </c>
      <c r="L63" s="112">
        <v>33.03</v>
      </c>
      <c r="M63" s="112">
        <v>69.260000000000005</v>
      </c>
      <c r="N63" s="112">
        <v>218.1</v>
      </c>
      <c r="O63" s="112">
        <v>0</v>
      </c>
      <c r="P63" s="112">
        <v>0.47</v>
      </c>
      <c r="Q63" s="112">
        <v>4.71</v>
      </c>
    </row>
    <row r="64" spans="1:17" customFormat="1">
      <c r="A64" s="80">
        <v>45487.583333333336</v>
      </c>
      <c r="B64" s="112">
        <v>9.23</v>
      </c>
      <c r="C64" s="112">
        <v>4.05</v>
      </c>
      <c r="D64" s="112">
        <v>13.97</v>
      </c>
      <c r="E64" s="112">
        <v>12.33</v>
      </c>
      <c r="F64" s="112">
        <v>11.94</v>
      </c>
      <c r="G64" s="112">
        <v>30.11</v>
      </c>
      <c r="H64" s="112">
        <v>15.65</v>
      </c>
      <c r="I64" s="112">
        <v>5.41</v>
      </c>
      <c r="J64" s="112">
        <v>0.24</v>
      </c>
      <c r="K64" s="112">
        <v>233.84</v>
      </c>
      <c r="L64" s="112">
        <v>32.29</v>
      </c>
      <c r="M64" s="112">
        <v>72.760000000000005</v>
      </c>
      <c r="N64" s="112">
        <v>123</v>
      </c>
      <c r="O64" s="112">
        <v>0</v>
      </c>
      <c r="P64" s="112">
        <v>0.44</v>
      </c>
      <c r="Q64" s="112">
        <v>4.7300000000000004</v>
      </c>
    </row>
    <row r="65" spans="1:17" customFormat="1">
      <c r="A65" s="80">
        <v>45487.59375</v>
      </c>
      <c r="B65" s="112">
        <v>9.1999999999999993</v>
      </c>
      <c r="C65" s="112">
        <v>4.07</v>
      </c>
      <c r="D65" s="112">
        <v>13.95</v>
      </c>
      <c r="E65" s="112">
        <v>11.45</v>
      </c>
      <c r="F65" s="112">
        <v>14.12</v>
      </c>
      <c r="G65" s="112">
        <v>30.11</v>
      </c>
      <c r="H65" s="112">
        <v>15.65</v>
      </c>
      <c r="I65" s="112">
        <v>5.18</v>
      </c>
      <c r="J65" s="112">
        <v>0.3</v>
      </c>
      <c r="K65" s="112">
        <v>271.68</v>
      </c>
      <c r="L65" s="112">
        <v>31.4</v>
      </c>
      <c r="M65" s="112">
        <v>74.56</v>
      </c>
      <c r="N65" s="112">
        <v>101.7</v>
      </c>
      <c r="O65" s="112">
        <v>0</v>
      </c>
      <c r="P65" s="112">
        <v>0.44</v>
      </c>
      <c r="Q65" s="112">
        <v>4.7300000000000004</v>
      </c>
    </row>
    <row r="66" spans="1:17" customFormat="1">
      <c r="A66" s="80">
        <v>45487.604166666664</v>
      </c>
      <c r="B66" s="112">
        <v>9.17</v>
      </c>
      <c r="C66" s="112">
        <v>4.08</v>
      </c>
      <c r="D66" s="112">
        <v>13.93</v>
      </c>
      <c r="E66" s="112">
        <v>12.15</v>
      </c>
      <c r="F66" s="112">
        <v>13.49</v>
      </c>
      <c r="G66" s="112">
        <v>30.11</v>
      </c>
      <c r="H66" s="112">
        <v>15.65</v>
      </c>
      <c r="I66" s="112">
        <v>5.21</v>
      </c>
      <c r="J66" s="112">
        <v>0.62</v>
      </c>
      <c r="K66" s="112">
        <v>280.92</v>
      </c>
      <c r="L66" s="112">
        <v>31.06</v>
      </c>
      <c r="M66" s="112">
        <v>76.25</v>
      </c>
      <c r="N66" s="112">
        <v>89.9</v>
      </c>
      <c r="O66" s="112">
        <v>0</v>
      </c>
      <c r="P66" s="112">
        <v>0.43</v>
      </c>
      <c r="Q66" s="112">
        <v>4.7300000000000004</v>
      </c>
    </row>
    <row r="67" spans="1:17" customFormat="1">
      <c r="A67" s="80">
        <v>45487.614583333336</v>
      </c>
      <c r="B67" s="112">
        <v>9.16</v>
      </c>
      <c r="C67" s="112">
        <v>4.05</v>
      </c>
      <c r="D67" s="112">
        <v>13.91</v>
      </c>
      <c r="E67" s="112">
        <v>11.5</v>
      </c>
      <c r="F67" s="112">
        <v>12.23</v>
      </c>
      <c r="G67" s="112">
        <v>29.2</v>
      </c>
      <c r="H67" s="112">
        <v>14.24</v>
      </c>
      <c r="I67" s="112">
        <v>4.97</v>
      </c>
      <c r="J67" s="112">
        <v>0.59</v>
      </c>
      <c r="K67" s="112">
        <v>277.58</v>
      </c>
      <c r="L67" s="112">
        <v>29.86</v>
      </c>
      <c r="M67" s="112">
        <v>82.91</v>
      </c>
      <c r="N67" s="112">
        <v>37</v>
      </c>
      <c r="O67" s="112">
        <v>0.4</v>
      </c>
      <c r="P67" s="112">
        <v>0.47</v>
      </c>
      <c r="Q67" s="112">
        <v>4.72</v>
      </c>
    </row>
    <row r="68" spans="1:17" customFormat="1">
      <c r="A68" s="80">
        <v>45487.625</v>
      </c>
      <c r="B68" s="112">
        <v>9.16</v>
      </c>
      <c r="C68" s="112">
        <v>4.0599999999999996</v>
      </c>
      <c r="D68" s="112">
        <v>13.92</v>
      </c>
      <c r="E68" s="112">
        <v>11.39</v>
      </c>
      <c r="F68" s="112">
        <v>14.83</v>
      </c>
      <c r="G68" s="112">
        <v>28.51</v>
      </c>
      <c r="H68" s="112">
        <v>13.76</v>
      </c>
      <c r="I68" s="112">
        <v>5.01</v>
      </c>
      <c r="J68" s="112">
        <v>0.43</v>
      </c>
      <c r="K68" s="112">
        <v>277.45</v>
      </c>
      <c r="L68" s="112">
        <v>28.79</v>
      </c>
      <c r="M68" s="112">
        <v>91.18</v>
      </c>
      <c r="N68" s="112">
        <v>35.299999999999997</v>
      </c>
      <c r="O68" s="112">
        <v>0.2</v>
      </c>
      <c r="P68" s="112">
        <v>0.5</v>
      </c>
      <c r="Q68" s="112">
        <v>4.72</v>
      </c>
    </row>
    <row r="69" spans="1:17" customFormat="1">
      <c r="A69" s="80">
        <v>45487.635416666664</v>
      </c>
      <c r="B69" s="112">
        <v>9.25</v>
      </c>
      <c r="C69" s="112">
        <v>4.0599999999999996</v>
      </c>
      <c r="D69" s="112">
        <v>13.99</v>
      </c>
      <c r="E69" s="112">
        <v>11.4</v>
      </c>
      <c r="F69" s="112">
        <v>13.83</v>
      </c>
      <c r="G69" s="112">
        <v>28.51</v>
      </c>
      <c r="H69" s="112">
        <v>13.76</v>
      </c>
      <c r="I69" s="112">
        <v>4.88</v>
      </c>
      <c r="J69" s="112">
        <v>0.95</v>
      </c>
      <c r="K69" s="112">
        <v>21.87</v>
      </c>
      <c r="L69" s="112">
        <v>28.53</v>
      </c>
      <c r="M69" s="112">
        <v>95.68</v>
      </c>
      <c r="N69" s="112">
        <v>52.3</v>
      </c>
      <c r="O69" s="112">
        <v>6.6</v>
      </c>
      <c r="P69" s="112">
        <v>0.54</v>
      </c>
      <c r="Q69" s="112">
        <v>4.72</v>
      </c>
    </row>
    <row r="70" spans="1:17" customFormat="1">
      <c r="A70" s="80">
        <v>45487.645833333336</v>
      </c>
      <c r="B70" s="112">
        <v>9.2799999999999994</v>
      </c>
      <c r="C70" s="112">
        <v>4.04</v>
      </c>
      <c r="D70" s="112">
        <v>14</v>
      </c>
      <c r="E70" s="112">
        <v>11.26</v>
      </c>
      <c r="F70" s="112">
        <v>15.16</v>
      </c>
      <c r="G70" s="112">
        <v>28.51</v>
      </c>
      <c r="H70" s="112">
        <v>13.76</v>
      </c>
      <c r="I70" s="112">
        <v>4.84</v>
      </c>
      <c r="J70" s="112">
        <v>0.98</v>
      </c>
      <c r="K70" s="112">
        <v>27.42</v>
      </c>
      <c r="L70" s="112">
        <v>27.75</v>
      </c>
      <c r="M70" s="112">
        <v>99.68</v>
      </c>
      <c r="N70" s="112">
        <v>37</v>
      </c>
      <c r="O70" s="112">
        <v>3.8</v>
      </c>
      <c r="P70" s="112">
        <v>0.54</v>
      </c>
      <c r="Q70" s="112">
        <v>4.72</v>
      </c>
    </row>
    <row r="71" spans="1:17" customFormat="1">
      <c r="A71" s="80">
        <v>45487.65625</v>
      </c>
      <c r="B71" s="112">
        <v>9.25</v>
      </c>
      <c r="C71" s="112">
        <v>4.04</v>
      </c>
      <c r="D71" s="112">
        <v>13.98</v>
      </c>
      <c r="E71" s="112">
        <v>10.6</v>
      </c>
      <c r="F71" s="112">
        <v>16.899999999999999</v>
      </c>
      <c r="G71" s="112">
        <v>30.65</v>
      </c>
      <c r="H71" s="112">
        <v>15.83</v>
      </c>
      <c r="I71" s="112">
        <v>5.0199999999999996</v>
      </c>
      <c r="J71" s="112">
        <v>0.27</v>
      </c>
      <c r="K71" s="112">
        <v>350.25</v>
      </c>
      <c r="L71" s="112">
        <v>27.4</v>
      </c>
      <c r="M71" s="112">
        <v>100.87</v>
      </c>
      <c r="N71" s="112">
        <v>33.1</v>
      </c>
      <c r="O71" s="112">
        <v>4.8</v>
      </c>
      <c r="P71" s="112">
        <v>0.53</v>
      </c>
      <c r="Q71" s="112">
        <v>4.72</v>
      </c>
    </row>
    <row r="72" spans="1:17" customFormat="1">
      <c r="A72" s="80">
        <v>45487.666666666664</v>
      </c>
      <c r="B72" s="112">
        <v>9.2200000000000006</v>
      </c>
      <c r="C72" s="112">
        <v>4.08</v>
      </c>
      <c r="D72" s="112">
        <v>13.98</v>
      </c>
      <c r="E72" s="112">
        <v>9.5500000000000007</v>
      </c>
      <c r="F72" s="112">
        <v>14.19</v>
      </c>
      <c r="G72" s="112">
        <v>32.29</v>
      </c>
      <c r="H72" s="112">
        <v>16.489999999999998</v>
      </c>
      <c r="I72" s="112">
        <v>4.9800000000000004</v>
      </c>
      <c r="J72" s="112">
        <v>0.35</v>
      </c>
      <c r="K72" s="112">
        <v>322.74</v>
      </c>
      <c r="L72" s="112">
        <v>27.32</v>
      </c>
      <c r="M72" s="112">
        <v>101.16</v>
      </c>
      <c r="N72" s="112">
        <v>59.9</v>
      </c>
      <c r="O72" s="112">
        <v>0.4</v>
      </c>
      <c r="P72" s="112">
        <v>0.55000000000000004</v>
      </c>
      <c r="Q72" s="112">
        <v>4.71</v>
      </c>
    </row>
    <row r="73" spans="1:17" customFormat="1">
      <c r="A73" s="80">
        <v>45487.677083333336</v>
      </c>
      <c r="B73" s="112">
        <v>9.2100000000000009</v>
      </c>
      <c r="C73" s="112">
        <v>4.0599999999999996</v>
      </c>
      <c r="D73" s="112">
        <v>13.96</v>
      </c>
      <c r="E73" s="112">
        <v>10.01</v>
      </c>
      <c r="F73" s="112">
        <v>9.42</v>
      </c>
      <c r="G73" s="112">
        <v>32.29</v>
      </c>
      <c r="H73" s="112">
        <v>16.489999999999998</v>
      </c>
      <c r="I73" s="112">
        <v>4.7300000000000004</v>
      </c>
      <c r="J73" s="112">
        <v>0.68</v>
      </c>
      <c r="K73" s="112">
        <v>295.55</v>
      </c>
      <c r="L73" s="112">
        <v>27.43</v>
      </c>
      <c r="M73" s="112">
        <v>101.38</v>
      </c>
      <c r="N73" s="112">
        <v>71.5</v>
      </c>
      <c r="O73" s="112">
        <v>0</v>
      </c>
      <c r="P73" s="112">
        <v>0.54</v>
      </c>
      <c r="Q73" s="112">
        <v>4.71</v>
      </c>
    </row>
    <row r="74" spans="1:17" customFormat="1">
      <c r="A74" s="80">
        <v>45487.6875</v>
      </c>
      <c r="B74" s="112">
        <v>9.2100000000000009</v>
      </c>
      <c r="C74" s="112">
        <v>4.09</v>
      </c>
      <c r="D74" s="112">
        <v>13.97</v>
      </c>
      <c r="E74" s="112">
        <v>9.5399999999999991</v>
      </c>
      <c r="F74" s="112">
        <v>10.039999999999999</v>
      </c>
      <c r="G74" s="112">
        <v>32.29</v>
      </c>
      <c r="H74" s="112">
        <v>16.489999999999998</v>
      </c>
      <c r="I74" s="112">
        <v>5.01</v>
      </c>
      <c r="J74" s="112">
        <v>0.66</v>
      </c>
      <c r="K74" s="112">
        <v>290.08999999999997</v>
      </c>
      <c r="L74" s="112">
        <v>27.43</v>
      </c>
      <c r="M74" s="112">
        <v>98.59</v>
      </c>
      <c r="N74" s="112">
        <v>64.8</v>
      </c>
      <c r="O74" s="112">
        <v>0</v>
      </c>
      <c r="P74" s="112">
        <v>0.54</v>
      </c>
      <c r="Q74" s="112">
        <v>4.72</v>
      </c>
    </row>
    <row r="75" spans="1:17" customFormat="1">
      <c r="A75" s="80">
        <v>45487.697916666664</v>
      </c>
      <c r="B75" s="112">
        <v>9.1999999999999993</v>
      </c>
      <c r="C75" s="112">
        <v>4.1100000000000003</v>
      </c>
      <c r="D75" s="112">
        <v>13.97</v>
      </c>
      <c r="E75" s="112">
        <v>9.33</v>
      </c>
      <c r="F75" s="112">
        <v>12.02</v>
      </c>
      <c r="G75" s="112">
        <v>32.75</v>
      </c>
      <c r="H75" s="112">
        <v>15.09</v>
      </c>
      <c r="I75" s="112">
        <v>5.2</v>
      </c>
      <c r="J75" s="112">
        <v>0.55000000000000004</v>
      </c>
      <c r="K75" s="112">
        <v>279.05</v>
      </c>
      <c r="L75" s="112">
        <v>27.32</v>
      </c>
      <c r="M75" s="112">
        <v>95.62</v>
      </c>
      <c r="N75" s="112">
        <v>94.9</v>
      </c>
      <c r="O75" s="112">
        <v>0</v>
      </c>
      <c r="P75" s="112">
        <v>0.52</v>
      </c>
      <c r="Q75" s="112">
        <v>4.72</v>
      </c>
    </row>
    <row r="76" spans="1:17" customFormat="1">
      <c r="A76" s="80">
        <v>45487.708333333336</v>
      </c>
      <c r="B76" s="112">
        <v>9.1999999999999993</v>
      </c>
      <c r="C76" s="112">
        <v>4.0599999999999996</v>
      </c>
      <c r="D76" s="112">
        <v>13.95</v>
      </c>
      <c r="E76" s="112">
        <v>9.76</v>
      </c>
      <c r="F76" s="112">
        <v>10.79</v>
      </c>
      <c r="G76" s="112">
        <v>33.090000000000003</v>
      </c>
      <c r="H76" s="112">
        <v>14.64</v>
      </c>
      <c r="I76" s="112">
        <v>5.37</v>
      </c>
      <c r="J76" s="112">
        <v>0.43</v>
      </c>
      <c r="K76" s="112">
        <v>292.17</v>
      </c>
      <c r="L76" s="112">
        <v>27.65</v>
      </c>
      <c r="M76" s="112">
        <v>94.49</v>
      </c>
      <c r="N76" s="112">
        <v>110.4</v>
      </c>
      <c r="O76" s="112">
        <v>0</v>
      </c>
      <c r="P76" s="112">
        <v>0.51</v>
      </c>
      <c r="Q76" s="112">
        <v>4.72</v>
      </c>
    </row>
    <row r="77" spans="1:17" customFormat="1">
      <c r="A77" s="80">
        <v>45487.71875</v>
      </c>
      <c r="B77" s="112">
        <v>9.2200000000000006</v>
      </c>
      <c r="C77" s="112">
        <v>4.03</v>
      </c>
      <c r="D77" s="112">
        <v>13.95</v>
      </c>
      <c r="E77" s="112">
        <v>9.06</v>
      </c>
      <c r="F77" s="112">
        <v>9.6300000000000008</v>
      </c>
      <c r="G77" s="112">
        <v>33.090000000000003</v>
      </c>
      <c r="H77" s="112">
        <v>14.64</v>
      </c>
      <c r="I77" s="112">
        <v>5.07</v>
      </c>
      <c r="J77" s="112">
        <v>0.75</v>
      </c>
      <c r="K77" s="112">
        <v>316.41000000000003</v>
      </c>
      <c r="L77" s="112">
        <v>28.01</v>
      </c>
      <c r="M77" s="112">
        <v>91.19</v>
      </c>
      <c r="N77" s="112">
        <v>78.599999999999994</v>
      </c>
      <c r="O77" s="112">
        <v>0</v>
      </c>
      <c r="P77" s="112">
        <v>0.55000000000000004</v>
      </c>
      <c r="Q77" s="112">
        <v>4.7300000000000004</v>
      </c>
    </row>
    <row r="78" spans="1:17" customFormat="1">
      <c r="A78" s="80">
        <v>45487.729166666664</v>
      </c>
      <c r="B78" s="112">
        <v>9.18</v>
      </c>
      <c r="C78" s="112">
        <v>4.08</v>
      </c>
      <c r="D78" s="112">
        <v>13.94</v>
      </c>
      <c r="E78" s="112">
        <v>9.19</v>
      </c>
      <c r="F78" s="112">
        <v>9.6999999999999993</v>
      </c>
      <c r="G78" s="112">
        <v>33.090000000000003</v>
      </c>
      <c r="H78" s="112">
        <v>14.64</v>
      </c>
      <c r="I78" s="112">
        <v>5.04</v>
      </c>
      <c r="J78" s="112">
        <v>0.68</v>
      </c>
      <c r="K78" s="112">
        <v>306.47000000000003</v>
      </c>
      <c r="L78" s="112">
        <v>28.1</v>
      </c>
      <c r="M78" s="112">
        <v>90.34</v>
      </c>
      <c r="N78" s="112">
        <v>62.7</v>
      </c>
      <c r="O78" s="112">
        <v>0</v>
      </c>
      <c r="P78" s="112">
        <v>0.56999999999999995</v>
      </c>
      <c r="Q78" s="112">
        <v>4.72</v>
      </c>
    </row>
    <row r="79" spans="1:17" customFormat="1">
      <c r="A79" s="80">
        <v>45487.739583333336</v>
      </c>
      <c r="B79" s="112">
        <v>9.1999999999999993</v>
      </c>
      <c r="C79" s="112">
        <v>4.0599999999999996</v>
      </c>
      <c r="D79" s="112">
        <v>13.95</v>
      </c>
      <c r="E79" s="112">
        <v>9.26</v>
      </c>
      <c r="F79" s="112">
        <v>13.88</v>
      </c>
      <c r="G79" s="112">
        <v>34.24</v>
      </c>
      <c r="H79" s="112">
        <v>14</v>
      </c>
      <c r="I79" s="112">
        <v>5.18</v>
      </c>
      <c r="J79" s="112">
        <v>0.22</v>
      </c>
      <c r="K79" s="112">
        <v>181.78</v>
      </c>
      <c r="L79" s="112">
        <v>28.11</v>
      </c>
      <c r="M79" s="112">
        <v>91.86</v>
      </c>
      <c r="N79" s="112">
        <v>54.1</v>
      </c>
      <c r="O79" s="112">
        <v>0</v>
      </c>
      <c r="P79" s="112">
        <v>0.53</v>
      </c>
      <c r="Q79" s="112">
        <v>4.71</v>
      </c>
    </row>
    <row r="80" spans="1:17" customFormat="1">
      <c r="A80" s="80">
        <v>45487.75</v>
      </c>
      <c r="B80" s="112">
        <v>9.1999999999999993</v>
      </c>
      <c r="C80" s="112">
        <v>4.07</v>
      </c>
      <c r="D80" s="112">
        <v>13.96</v>
      </c>
      <c r="E80" s="112">
        <v>9.36</v>
      </c>
      <c r="F80" s="112">
        <v>13.03</v>
      </c>
      <c r="G80" s="112">
        <v>35.119999999999997</v>
      </c>
      <c r="H80" s="112">
        <v>13.8</v>
      </c>
      <c r="I80" s="112">
        <v>5.43</v>
      </c>
      <c r="J80" s="112">
        <v>0.25</v>
      </c>
      <c r="K80" s="112">
        <v>255.1</v>
      </c>
      <c r="L80" s="112">
        <v>27.75</v>
      </c>
      <c r="M80" s="112">
        <v>92.65</v>
      </c>
      <c r="N80" s="112">
        <v>33.200000000000003</v>
      </c>
      <c r="O80" s="112">
        <v>0</v>
      </c>
      <c r="P80" s="112">
        <v>0.51</v>
      </c>
      <c r="Q80" s="112">
        <v>4.6900000000000004</v>
      </c>
    </row>
    <row r="81" spans="1:17" customFormat="1">
      <c r="A81" s="80">
        <v>45487.760416666664</v>
      </c>
      <c r="B81" s="112">
        <v>9.19</v>
      </c>
      <c r="C81" s="112">
        <v>4.1100000000000003</v>
      </c>
      <c r="D81" s="112">
        <v>13.96</v>
      </c>
      <c r="E81" s="112">
        <v>7.4</v>
      </c>
      <c r="F81" s="112">
        <v>11.92</v>
      </c>
      <c r="G81" s="112">
        <v>35.119999999999997</v>
      </c>
      <c r="H81" s="112">
        <v>13.8</v>
      </c>
      <c r="I81" s="112">
        <v>5.31</v>
      </c>
      <c r="J81" s="112">
        <v>0.1</v>
      </c>
      <c r="K81" s="112">
        <v>268.06</v>
      </c>
      <c r="L81" s="112">
        <v>27.61</v>
      </c>
      <c r="M81" s="112">
        <v>93.46</v>
      </c>
      <c r="N81" s="112">
        <v>14.6</v>
      </c>
      <c r="O81" s="112">
        <v>0</v>
      </c>
      <c r="P81" s="112">
        <v>0.53</v>
      </c>
      <c r="Q81" s="112">
        <v>4.6900000000000004</v>
      </c>
    </row>
    <row r="82" spans="1:17" customFormat="1">
      <c r="A82" s="80">
        <v>45487.770833333336</v>
      </c>
      <c r="B82" s="112">
        <v>9.1999999999999993</v>
      </c>
      <c r="C82" s="112">
        <v>4.0599999999999996</v>
      </c>
      <c r="D82" s="112">
        <v>13.95</v>
      </c>
      <c r="E82" s="112">
        <v>8.68</v>
      </c>
      <c r="F82" s="112">
        <v>9.6999999999999993</v>
      </c>
      <c r="G82" s="112">
        <v>35.119999999999997</v>
      </c>
      <c r="H82" s="112">
        <v>13.8</v>
      </c>
      <c r="I82" s="112">
        <v>5.03</v>
      </c>
      <c r="J82" s="112">
        <v>0.25</v>
      </c>
      <c r="K82" s="112">
        <v>179.55</v>
      </c>
      <c r="L82" s="112">
        <v>27.59</v>
      </c>
      <c r="M82" s="112">
        <v>93.97</v>
      </c>
      <c r="N82" s="112">
        <v>4.9000000000000004</v>
      </c>
      <c r="O82" s="112">
        <v>0</v>
      </c>
      <c r="P82" s="112">
        <v>0.55000000000000004</v>
      </c>
      <c r="Q82" s="112">
        <v>4.68</v>
      </c>
    </row>
    <row r="83" spans="1:17" customFormat="1">
      <c r="A83" s="80">
        <v>45487.78125</v>
      </c>
      <c r="B83" s="112">
        <v>9.1999999999999993</v>
      </c>
      <c r="C83" s="112">
        <v>4.04</v>
      </c>
      <c r="D83" s="112">
        <v>13.94</v>
      </c>
      <c r="E83" s="112">
        <v>7.73</v>
      </c>
      <c r="F83" s="112">
        <v>12.01</v>
      </c>
      <c r="G83" s="112">
        <v>33.57</v>
      </c>
      <c r="H83" s="112">
        <v>13.41</v>
      </c>
      <c r="I83" s="112">
        <v>5.12</v>
      </c>
      <c r="J83" s="112">
        <v>0.23</v>
      </c>
      <c r="K83" s="112">
        <v>178</v>
      </c>
      <c r="L83" s="112">
        <v>27.42</v>
      </c>
      <c r="M83" s="112">
        <v>96.49</v>
      </c>
      <c r="N83" s="112">
        <v>2.2000000000000002</v>
      </c>
      <c r="O83" s="112">
        <v>0</v>
      </c>
      <c r="P83" s="112">
        <v>0.56000000000000005</v>
      </c>
      <c r="Q83" s="112">
        <v>4.7</v>
      </c>
    </row>
    <row r="84" spans="1:17" customFormat="1">
      <c r="A84" s="80">
        <v>45487.791666666664</v>
      </c>
      <c r="B84" s="112">
        <v>9.1999999999999993</v>
      </c>
      <c r="C84" s="112">
        <v>4.0599999999999996</v>
      </c>
      <c r="D84" s="112">
        <v>13.95</v>
      </c>
      <c r="E84" s="112">
        <v>7.75</v>
      </c>
      <c r="F84" s="112">
        <v>9.35</v>
      </c>
      <c r="G84" s="112">
        <v>32.39</v>
      </c>
      <c r="H84" s="112">
        <v>13.17</v>
      </c>
      <c r="I84" s="112">
        <v>5.21</v>
      </c>
      <c r="J84" s="112">
        <v>0.14000000000000001</v>
      </c>
      <c r="K84" s="112">
        <v>76.16</v>
      </c>
      <c r="L84" s="112">
        <v>27.46</v>
      </c>
      <c r="M84" s="112">
        <v>97.55</v>
      </c>
      <c r="N84" s="112">
        <v>2</v>
      </c>
      <c r="O84" s="112">
        <v>0</v>
      </c>
      <c r="P84" s="112">
        <v>0.6</v>
      </c>
      <c r="Q84" s="112">
        <v>4.71</v>
      </c>
    </row>
    <row r="85" spans="1:17" customFormat="1">
      <c r="A85" s="80">
        <v>45487.802083333336</v>
      </c>
      <c r="B85" s="112">
        <v>9.19</v>
      </c>
      <c r="C85" s="112">
        <v>4.05</v>
      </c>
      <c r="D85" s="112">
        <v>13.93</v>
      </c>
      <c r="E85" s="112">
        <v>8.51</v>
      </c>
      <c r="F85" s="112">
        <v>5.77</v>
      </c>
      <c r="G85" s="112">
        <v>32.39</v>
      </c>
      <c r="H85" s="112">
        <v>13.17</v>
      </c>
      <c r="I85" s="112">
        <v>5.48</v>
      </c>
      <c r="J85" s="112">
        <v>0.1</v>
      </c>
      <c r="K85" s="112">
        <v>127.1</v>
      </c>
      <c r="L85" s="112">
        <v>27.39</v>
      </c>
      <c r="M85" s="112">
        <v>96.99</v>
      </c>
      <c r="N85" s="112">
        <v>2.1</v>
      </c>
      <c r="O85" s="112">
        <v>0.2</v>
      </c>
      <c r="P85" s="112">
        <v>0.57999999999999996</v>
      </c>
      <c r="Q85" s="112">
        <v>4.72</v>
      </c>
    </row>
    <row r="86" spans="1:17" customFormat="1">
      <c r="A86" s="80">
        <v>45487.8125</v>
      </c>
      <c r="B86" s="112">
        <v>9.1999999999999993</v>
      </c>
      <c r="C86" s="112">
        <v>4.0599999999999996</v>
      </c>
      <c r="D86" s="112">
        <v>13.95</v>
      </c>
      <c r="E86" s="112">
        <v>9.3000000000000007</v>
      </c>
      <c r="F86" s="112">
        <v>4.66</v>
      </c>
      <c r="G86" s="112">
        <v>32.39</v>
      </c>
      <c r="H86" s="112">
        <v>13.17</v>
      </c>
      <c r="I86" s="112">
        <v>5.98</v>
      </c>
      <c r="J86" s="112">
        <v>0.17</v>
      </c>
      <c r="K86" s="112">
        <v>155.85</v>
      </c>
      <c r="L86" s="112">
        <v>27.42</v>
      </c>
      <c r="M86" s="112">
        <v>97.04</v>
      </c>
      <c r="N86" s="112">
        <v>2.1</v>
      </c>
      <c r="O86" s="112">
        <v>0.2</v>
      </c>
      <c r="P86" s="112">
        <v>0.57999999999999996</v>
      </c>
      <c r="Q86" s="112">
        <v>4.72</v>
      </c>
    </row>
    <row r="87" spans="1:17" customFormat="1">
      <c r="A87" s="80">
        <v>45487.822916666664</v>
      </c>
      <c r="B87" s="112">
        <v>9.26</v>
      </c>
      <c r="C87" s="112">
        <v>4.0599999999999996</v>
      </c>
      <c r="D87" s="112">
        <v>14</v>
      </c>
      <c r="E87" s="112">
        <v>9.59</v>
      </c>
      <c r="F87" s="112">
        <v>3.38</v>
      </c>
      <c r="G87" s="112">
        <v>35.14</v>
      </c>
      <c r="H87" s="112">
        <v>12.73</v>
      </c>
      <c r="I87" s="112">
        <v>5.85</v>
      </c>
      <c r="J87" s="112">
        <v>7.0000000000000007E-2</v>
      </c>
      <c r="K87" s="112">
        <v>175.38</v>
      </c>
      <c r="L87" s="112">
        <v>27.36</v>
      </c>
      <c r="M87" s="112">
        <v>96.71</v>
      </c>
      <c r="N87" s="112">
        <v>2.4</v>
      </c>
      <c r="O87" s="112">
        <v>0</v>
      </c>
      <c r="P87" s="112">
        <v>0.59</v>
      </c>
      <c r="Q87" s="112">
        <v>4.71</v>
      </c>
    </row>
    <row r="88" spans="1:17" customFormat="1">
      <c r="A88" s="80">
        <v>45487.833333333336</v>
      </c>
      <c r="B88" s="112">
        <v>9.3000000000000007</v>
      </c>
      <c r="C88" s="112">
        <v>4.0599999999999996</v>
      </c>
      <c r="D88" s="112">
        <v>14.03</v>
      </c>
      <c r="E88" s="112">
        <v>9.9700000000000006</v>
      </c>
      <c r="F88" s="112">
        <v>2.77</v>
      </c>
      <c r="G88" s="112">
        <v>37.25</v>
      </c>
      <c r="H88" s="112">
        <v>12.6</v>
      </c>
      <c r="I88" s="112">
        <v>5.92</v>
      </c>
      <c r="J88" s="112">
        <v>0.16</v>
      </c>
      <c r="K88" s="112">
        <v>199.27</v>
      </c>
      <c r="L88" s="112">
        <v>27.11</v>
      </c>
      <c r="M88" s="112">
        <v>97.73</v>
      </c>
      <c r="N88" s="112">
        <v>2.4</v>
      </c>
      <c r="O88" s="112">
        <v>0</v>
      </c>
      <c r="P88" s="112">
        <v>0.56999999999999995</v>
      </c>
      <c r="Q88" s="112">
        <v>4.7</v>
      </c>
    </row>
    <row r="89" spans="1:17" customFormat="1">
      <c r="A89" s="80">
        <v>45487.84375</v>
      </c>
      <c r="B89" s="112">
        <v>9.2899999999999991</v>
      </c>
      <c r="C89" s="112">
        <v>4.05</v>
      </c>
      <c r="D89" s="112">
        <v>14.02</v>
      </c>
      <c r="E89" s="112">
        <v>9.7899999999999991</v>
      </c>
      <c r="F89" s="112">
        <v>4.45</v>
      </c>
      <c r="G89" s="112">
        <v>37.25</v>
      </c>
      <c r="H89" s="112">
        <v>12.6</v>
      </c>
      <c r="I89" s="112">
        <v>6.09</v>
      </c>
      <c r="J89" s="112">
        <v>0.09</v>
      </c>
      <c r="K89" s="112">
        <v>180.56</v>
      </c>
      <c r="L89" s="112">
        <v>26.99</v>
      </c>
      <c r="M89" s="112">
        <v>98.62</v>
      </c>
      <c r="N89" s="112">
        <v>2.1</v>
      </c>
      <c r="O89" s="112">
        <v>0</v>
      </c>
      <c r="P89" s="112">
        <v>0.56000000000000005</v>
      </c>
      <c r="Q89" s="112">
        <v>4.71</v>
      </c>
    </row>
    <row r="90" spans="1:17" customFormat="1">
      <c r="A90" s="80">
        <v>45487.854166666664</v>
      </c>
      <c r="B90" s="112">
        <v>9.2899999999999991</v>
      </c>
      <c r="C90" s="112">
        <v>4.05</v>
      </c>
      <c r="D90" s="112">
        <v>14.02</v>
      </c>
      <c r="E90" s="112">
        <v>9.8000000000000007</v>
      </c>
      <c r="F90" s="112">
        <v>5.34</v>
      </c>
      <c r="G90" s="112">
        <v>37.25</v>
      </c>
      <c r="H90" s="112">
        <v>12.6</v>
      </c>
      <c r="I90" s="112">
        <v>6.07</v>
      </c>
      <c r="J90" s="112">
        <v>0.05</v>
      </c>
      <c r="K90" s="112">
        <v>193.32</v>
      </c>
      <c r="L90" s="112">
        <v>27.02</v>
      </c>
      <c r="M90" s="112">
        <v>99.27</v>
      </c>
      <c r="N90" s="112">
        <v>2.1</v>
      </c>
      <c r="O90" s="112">
        <v>0</v>
      </c>
      <c r="P90" s="112">
        <v>0.55000000000000004</v>
      </c>
      <c r="Q90" s="112">
        <v>4.72</v>
      </c>
    </row>
    <row r="91" spans="1:17" customFormat="1">
      <c r="A91" s="80">
        <v>45487.864583333336</v>
      </c>
      <c r="B91" s="112">
        <v>9.27</v>
      </c>
      <c r="C91" s="112">
        <v>4.05</v>
      </c>
      <c r="D91" s="112">
        <v>14</v>
      </c>
      <c r="E91" s="112">
        <v>9.9600000000000009</v>
      </c>
      <c r="F91" s="112">
        <v>6.08</v>
      </c>
      <c r="G91" s="112">
        <v>33.81</v>
      </c>
      <c r="H91" s="112">
        <v>11.06</v>
      </c>
      <c r="I91" s="112">
        <v>5.92</v>
      </c>
      <c r="J91" s="112">
        <v>0.11</v>
      </c>
      <c r="K91" s="112">
        <v>158.65</v>
      </c>
      <c r="L91" s="112">
        <v>27.11</v>
      </c>
      <c r="M91" s="112">
        <v>99.33</v>
      </c>
      <c r="N91" s="112">
        <v>2.2000000000000002</v>
      </c>
      <c r="O91" s="112">
        <v>0.2</v>
      </c>
      <c r="P91" s="112">
        <v>0.57999999999999996</v>
      </c>
      <c r="Q91" s="112">
        <v>4.72</v>
      </c>
    </row>
    <row r="92" spans="1:17" customFormat="1">
      <c r="A92" s="80">
        <v>45487.875</v>
      </c>
      <c r="B92" s="112">
        <v>9.25</v>
      </c>
      <c r="C92" s="112">
        <v>4.0999999999999996</v>
      </c>
      <c r="D92" s="112">
        <v>14.01</v>
      </c>
      <c r="E92" s="112">
        <v>9.9</v>
      </c>
      <c r="F92" s="112">
        <v>5.57</v>
      </c>
      <c r="G92" s="112">
        <v>31.18</v>
      </c>
      <c r="H92" s="112">
        <v>10.56</v>
      </c>
      <c r="I92" s="112">
        <v>5.91</v>
      </c>
      <c r="J92" s="112">
        <v>0.1</v>
      </c>
      <c r="K92" s="112">
        <v>206.68</v>
      </c>
      <c r="L92" s="112">
        <v>26.98</v>
      </c>
      <c r="M92" s="112">
        <v>99.42</v>
      </c>
      <c r="N92" s="112">
        <v>2.2000000000000002</v>
      </c>
      <c r="O92" s="112">
        <v>0</v>
      </c>
      <c r="P92" s="112">
        <v>0.56000000000000005</v>
      </c>
      <c r="Q92" s="112">
        <v>4.72</v>
      </c>
    </row>
    <row r="93" spans="1:17" customFormat="1">
      <c r="A93" s="80">
        <v>45487.885416666664</v>
      </c>
      <c r="B93" s="112">
        <v>9.24</v>
      </c>
      <c r="C93" s="112">
        <v>4.08</v>
      </c>
      <c r="D93" s="112">
        <v>13.99</v>
      </c>
      <c r="E93" s="112">
        <v>10.32</v>
      </c>
      <c r="F93" s="112">
        <v>4.4800000000000004</v>
      </c>
      <c r="G93" s="112">
        <v>31.18</v>
      </c>
      <c r="H93" s="112">
        <v>10.56</v>
      </c>
      <c r="I93" s="112">
        <v>6.21</v>
      </c>
      <c r="J93" s="112">
        <v>0.15</v>
      </c>
      <c r="K93" s="112">
        <v>248.67</v>
      </c>
      <c r="L93" s="112">
        <v>26.86</v>
      </c>
      <c r="M93" s="112">
        <v>100.01</v>
      </c>
      <c r="N93" s="112">
        <v>2.2000000000000002</v>
      </c>
      <c r="O93" s="112">
        <v>0</v>
      </c>
      <c r="P93" s="112">
        <v>0.56999999999999995</v>
      </c>
      <c r="Q93" s="112">
        <v>4.72</v>
      </c>
    </row>
    <row r="94" spans="1:17" customFormat="1">
      <c r="A94" s="80">
        <v>45487.895833333336</v>
      </c>
      <c r="B94" s="112">
        <v>9.2200000000000006</v>
      </c>
      <c r="C94" s="112">
        <v>4.09</v>
      </c>
      <c r="D94" s="112">
        <v>13.98</v>
      </c>
      <c r="E94" s="112">
        <v>10.3</v>
      </c>
      <c r="F94" s="112">
        <v>4.3499999999999996</v>
      </c>
      <c r="G94" s="112">
        <v>31.18</v>
      </c>
      <c r="H94" s="112">
        <v>10.56</v>
      </c>
      <c r="I94" s="112">
        <v>6.07</v>
      </c>
      <c r="J94" s="112">
        <v>0.12</v>
      </c>
      <c r="K94" s="112">
        <v>184.28</v>
      </c>
      <c r="L94" s="112">
        <v>26.91</v>
      </c>
      <c r="M94" s="112">
        <v>100.53</v>
      </c>
      <c r="N94" s="112">
        <v>2.1</v>
      </c>
      <c r="O94" s="112">
        <v>0</v>
      </c>
      <c r="P94" s="112">
        <v>0.57999999999999996</v>
      </c>
      <c r="Q94" s="112">
        <v>4.72</v>
      </c>
    </row>
    <row r="95" spans="1:17" customFormat="1">
      <c r="A95" s="80">
        <v>45487.90625</v>
      </c>
      <c r="B95" s="112">
        <v>9.2200000000000006</v>
      </c>
      <c r="C95" s="112">
        <v>4.0999999999999996</v>
      </c>
      <c r="D95" s="112">
        <v>13.99</v>
      </c>
      <c r="E95" s="112">
        <v>10.32</v>
      </c>
      <c r="F95" s="112">
        <v>4.66</v>
      </c>
      <c r="G95" s="112">
        <v>28.41</v>
      </c>
      <c r="H95" s="112">
        <v>10.23</v>
      </c>
      <c r="I95" s="112">
        <v>6.08</v>
      </c>
      <c r="J95" s="112">
        <v>0.13</v>
      </c>
      <c r="K95" s="112">
        <v>178.38</v>
      </c>
      <c r="L95" s="112">
        <v>26.88</v>
      </c>
      <c r="M95" s="112">
        <v>100.26</v>
      </c>
      <c r="N95" s="112">
        <v>2.2000000000000002</v>
      </c>
      <c r="O95" s="112">
        <v>0</v>
      </c>
      <c r="P95" s="112">
        <v>0.6</v>
      </c>
      <c r="Q95" s="112">
        <v>4.72</v>
      </c>
    </row>
    <row r="96" spans="1:17" customFormat="1">
      <c r="A96" s="80">
        <v>45487.916666666664</v>
      </c>
      <c r="B96" s="112">
        <v>9.23</v>
      </c>
      <c r="C96" s="112">
        <v>4.07</v>
      </c>
      <c r="D96" s="112">
        <v>13.98</v>
      </c>
      <c r="E96" s="112">
        <v>10.46</v>
      </c>
      <c r="F96" s="112">
        <v>4.43</v>
      </c>
      <c r="G96" s="112">
        <v>26.3</v>
      </c>
      <c r="H96" s="112">
        <v>10.119999999999999</v>
      </c>
      <c r="I96" s="112">
        <v>6.17</v>
      </c>
      <c r="J96" s="112">
        <v>0.08</v>
      </c>
      <c r="K96" s="112">
        <v>46.67</v>
      </c>
      <c r="L96" s="112">
        <v>26.95</v>
      </c>
      <c r="M96" s="112">
        <v>99.94</v>
      </c>
      <c r="N96" s="112">
        <v>2.1</v>
      </c>
      <c r="O96" s="112">
        <v>0</v>
      </c>
      <c r="P96" s="112">
        <v>0.6</v>
      </c>
      <c r="Q96" s="112">
        <v>4.72</v>
      </c>
    </row>
    <row r="97" spans="1:22" customFormat="1">
      <c r="A97" s="80">
        <v>45487.927083333336</v>
      </c>
      <c r="B97" s="112">
        <v>9.2200000000000006</v>
      </c>
      <c r="C97" s="112">
        <v>4.08</v>
      </c>
      <c r="D97" s="112">
        <v>13.98</v>
      </c>
      <c r="E97" s="112">
        <v>10.43</v>
      </c>
      <c r="F97" s="112">
        <v>3.65</v>
      </c>
      <c r="G97" s="112">
        <v>26.3</v>
      </c>
      <c r="H97" s="112">
        <v>10.119999999999999</v>
      </c>
      <c r="I97" s="112">
        <v>6.37</v>
      </c>
      <c r="J97" s="112">
        <v>0.14000000000000001</v>
      </c>
      <c r="K97" s="112">
        <v>43.25</v>
      </c>
      <c r="L97" s="112">
        <v>26.99</v>
      </c>
      <c r="M97" s="112">
        <v>99.52</v>
      </c>
      <c r="N97" s="112">
        <v>2.4</v>
      </c>
      <c r="O97" s="112">
        <v>0</v>
      </c>
      <c r="P97" s="112">
        <v>0.62</v>
      </c>
      <c r="Q97" s="112">
        <v>4.71</v>
      </c>
    </row>
    <row r="98" spans="1:22" customFormat="1">
      <c r="A98" s="80">
        <v>45487.9375</v>
      </c>
      <c r="B98" s="112">
        <v>9.2200000000000006</v>
      </c>
      <c r="C98" s="112">
        <v>4.07</v>
      </c>
      <c r="D98" s="112">
        <v>13.97</v>
      </c>
      <c r="E98" s="112">
        <v>10.46</v>
      </c>
      <c r="F98" s="112">
        <v>3.49</v>
      </c>
      <c r="G98" s="112">
        <v>26.3</v>
      </c>
      <c r="H98" s="112">
        <v>10.119999999999999</v>
      </c>
      <c r="I98" s="112">
        <v>6.44</v>
      </c>
      <c r="J98" s="112">
        <v>0.13</v>
      </c>
      <c r="K98" s="112">
        <v>183.13</v>
      </c>
      <c r="L98" s="112">
        <v>27.03</v>
      </c>
      <c r="M98" s="112">
        <v>100.46</v>
      </c>
      <c r="N98" s="112">
        <v>2.2999999999999998</v>
      </c>
      <c r="O98" s="112">
        <v>0</v>
      </c>
      <c r="P98" s="112">
        <v>0.63</v>
      </c>
      <c r="Q98" s="112">
        <v>4.7</v>
      </c>
    </row>
    <row r="99" spans="1:22" customFormat="1">
      <c r="A99" s="80">
        <v>45487.947916666664</v>
      </c>
      <c r="B99" s="112">
        <v>9.23</v>
      </c>
      <c r="C99" s="112">
        <v>4.07</v>
      </c>
      <c r="D99" s="112">
        <v>13.98</v>
      </c>
      <c r="E99" s="112">
        <v>10.78</v>
      </c>
      <c r="F99" s="112">
        <v>4.37</v>
      </c>
      <c r="G99" s="112">
        <v>31.08</v>
      </c>
      <c r="H99" s="112">
        <v>11.49</v>
      </c>
      <c r="I99" s="112">
        <v>6.46</v>
      </c>
      <c r="J99" s="112">
        <v>0.19</v>
      </c>
      <c r="K99" s="112">
        <v>238.75</v>
      </c>
      <c r="L99" s="112">
        <v>26.98</v>
      </c>
      <c r="M99" s="112">
        <v>101.93</v>
      </c>
      <c r="N99" s="112">
        <v>2.4</v>
      </c>
      <c r="O99" s="112">
        <v>0</v>
      </c>
      <c r="P99" s="112">
        <v>0.64</v>
      </c>
      <c r="Q99" s="112">
        <v>4.71</v>
      </c>
    </row>
    <row r="100" spans="1:22" customFormat="1">
      <c r="A100" s="80">
        <v>45487.958333333336</v>
      </c>
      <c r="B100" s="112">
        <v>9.2200000000000006</v>
      </c>
      <c r="C100" s="112">
        <v>4.08</v>
      </c>
      <c r="D100" s="112">
        <v>13.98</v>
      </c>
      <c r="E100" s="112">
        <v>11.72</v>
      </c>
      <c r="F100" s="112">
        <v>4.5999999999999996</v>
      </c>
      <c r="G100" s="112">
        <v>34.729999999999997</v>
      </c>
      <c r="H100" s="112">
        <v>11.93</v>
      </c>
      <c r="I100" s="112">
        <v>6.46</v>
      </c>
      <c r="J100" s="112">
        <v>0.16</v>
      </c>
      <c r="K100" s="112">
        <v>125.04</v>
      </c>
      <c r="L100" s="112">
        <v>26.95</v>
      </c>
      <c r="M100" s="112">
        <v>103.13</v>
      </c>
      <c r="N100" s="112">
        <v>2.4</v>
      </c>
      <c r="O100" s="112">
        <v>0</v>
      </c>
      <c r="P100" s="112">
        <v>0.64</v>
      </c>
      <c r="Q100" s="112">
        <v>4.71</v>
      </c>
    </row>
    <row r="101" spans="1:22" customFormat="1">
      <c r="A101" s="80">
        <v>45487.96875</v>
      </c>
      <c r="B101" s="112">
        <v>9.24</v>
      </c>
      <c r="C101" s="112">
        <v>4.0999999999999996</v>
      </c>
      <c r="D101" s="112">
        <v>14</v>
      </c>
      <c r="E101" s="112">
        <v>11.26</v>
      </c>
      <c r="F101" s="112">
        <v>4.26</v>
      </c>
      <c r="G101" s="112">
        <v>34.729999999999997</v>
      </c>
      <c r="H101" s="112">
        <v>11.93</v>
      </c>
      <c r="I101" s="112">
        <v>6.6</v>
      </c>
      <c r="J101" s="112">
        <v>0.12</v>
      </c>
      <c r="K101" s="112">
        <v>200.96</v>
      </c>
      <c r="L101" s="112">
        <v>27</v>
      </c>
      <c r="M101" s="112">
        <v>102.14</v>
      </c>
      <c r="N101" s="112">
        <v>2.5</v>
      </c>
      <c r="O101" s="112">
        <v>0</v>
      </c>
      <c r="P101" s="112">
        <v>0.64</v>
      </c>
      <c r="Q101" s="112">
        <v>4.71</v>
      </c>
    </row>
    <row r="102" spans="1:22" customFormat="1">
      <c r="A102" s="80">
        <v>45487.979166666664</v>
      </c>
      <c r="B102" s="112">
        <v>9.23</v>
      </c>
      <c r="C102" s="112">
        <v>4.09</v>
      </c>
      <c r="D102" s="112">
        <v>13.99</v>
      </c>
      <c r="E102" s="112">
        <v>11.22</v>
      </c>
      <c r="F102" s="112">
        <v>3.28</v>
      </c>
      <c r="G102" s="112">
        <v>34.729999999999997</v>
      </c>
      <c r="H102" s="112">
        <v>11.93</v>
      </c>
      <c r="I102" s="112">
        <v>6.75</v>
      </c>
      <c r="J102" s="112">
        <v>0.04</v>
      </c>
      <c r="K102" s="112">
        <v>204.13</v>
      </c>
      <c r="L102" s="112">
        <v>26.94</v>
      </c>
      <c r="M102" s="112">
        <v>102.52</v>
      </c>
      <c r="N102" s="112">
        <v>2.4</v>
      </c>
      <c r="O102" s="112">
        <v>0</v>
      </c>
      <c r="P102" s="112">
        <v>0.64</v>
      </c>
      <c r="Q102" s="112">
        <v>4.72</v>
      </c>
    </row>
    <row r="103" spans="1:22" customFormat="1">
      <c r="A103" s="80">
        <v>45487.989583333336</v>
      </c>
      <c r="B103" s="112">
        <v>9.23</v>
      </c>
      <c r="C103" s="112">
        <v>4.0599999999999996</v>
      </c>
      <c r="D103" s="112">
        <v>13.97</v>
      </c>
      <c r="E103" s="112">
        <v>11.38</v>
      </c>
      <c r="F103" s="112">
        <v>4.3499999999999996</v>
      </c>
      <c r="G103" s="112">
        <v>34.15</v>
      </c>
      <c r="H103" s="112">
        <v>13.41</v>
      </c>
      <c r="I103" s="112">
        <v>6.76</v>
      </c>
      <c r="J103" s="112">
        <v>0.12</v>
      </c>
      <c r="K103" s="112">
        <v>183.37</v>
      </c>
      <c r="L103" s="112">
        <v>26.97</v>
      </c>
      <c r="M103" s="112">
        <v>103.5</v>
      </c>
      <c r="N103" s="112">
        <v>2.2999999999999998</v>
      </c>
      <c r="O103" s="112">
        <v>0</v>
      </c>
      <c r="P103" s="112">
        <v>0.66</v>
      </c>
      <c r="Q103" s="112">
        <v>4.71</v>
      </c>
    </row>
    <row r="104" spans="1:22" customFormat="1">
      <c r="A104" s="80">
        <v>45488</v>
      </c>
      <c r="B104" s="112">
        <v>9.24</v>
      </c>
      <c r="C104" s="112">
        <v>4.08</v>
      </c>
      <c r="D104" s="112">
        <v>13.99</v>
      </c>
      <c r="E104" s="112">
        <v>10.98</v>
      </c>
      <c r="F104" s="112">
        <v>4.55</v>
      </c>
      <c r="G104" s="112">
        <v>33.69</v>
      </c>
      <c r="H104" s="112">
        <v>13.88</v>
      </c>
      <c r="I104" s="112">
        <v>6.75</v>
      </c>
      <c r="J104" s="112">
        <v>0.17</v>
      </c>
      <c r="K104" s="112">
        <v>246.11</v>
      </c>
      <c r="L104" s="112">
        <v>27.01</v>
      </c>
      <c r="M104" s="112">
        <v>101.68</v>
      </c>
      <c r="N104" s="112">
        <v>2.6</v>
      </c>
      <c r="O104" s="112">
        <v>0</v>
      </c>
      <c r="P104" s="112">
        <v>0.64</v>
      </c>
      <c r="Q104" s="112">
        <v>4.7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9.16</v>
      </c>
      <c r="C106" s="183">
        <f>MIN(C9:C104)</f>
        <v>3.98</v>
      </c>
      <c r="D106" s="183">
        <f t="shared" ref="D106:Q106" si="0">MIN(D9:D104)</f>
        <v>13.91</v>
      </c>
      <c r="E106" s="183">
        <f t="shared" si="0"/>
        <v>7.4</v>
      </c>
      <c r="F106" s="183">
        <f t="shared" si="0"/>
        <v>2.77</v>
      </c>
      <c r="G106" s="183">
        <f t="shared" si="0"/>
        <v>7.28</v>
      </c>
      <c r="H106" s="183">
        <f t="shared" si="0"/>
        <v>3.07</v>
      </c>
      <c r="I106" s="183">
        <f t="shared" si="0"/>
        <v>3.3</v>
      </c>
      <c r="J106" s="183">
        <f t="shared" si="0"/>
        <v>0.04</v>
      </c>
      <c r="K106" s="183">
        <f t="shared" si="0"/>
        <v>21.87</v>
      </c>
      <c r="L106" s="183">
        <f t="shared" si="0"/>
        <v>25.55</v>
      </c>
      <c r="M106" s="183">
        <f t="shared" si="0"/>
        <v>67.55</v>
      </c>
      <c r="N106" s="183">
        <f t="shared" si="0"/>
        <v>1.7</v>
      </c>
      <c r="O106" s="183">
        <f t="shared" si="0"/>
        <v>0</v>
      </c>
      <c r="P106" s="183">
        <f t="shared" si="0"/>
        <v>0.31</v>
      </c>
      <c r="Q106" s="183">
        <f t="shared" si="0"/>
        <v>4.68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9.31</v>
      </c>
      <c r="C107" s="184">
        <f t="shared" ref="C107:Q107" si="1">MAX(C9:C104)</f>
        <v>4.1100000000000003</v>
      </c>
      <c r="D107" s="184">
        <f t="shared" si="1"/>
        <v>14.04</v>
      </c>
      <c r="E107" s="184">
        <f t="shared" si="1"/>
        <v>12.33</v>
      </c>
      <c r="F107" s="184">
        <f t="shared" si="1"/>
        <v>16.899999999999999</v>
      </c>
      <c r="G107" s="184">
        <f t="shared" si="1"/>
        <v>37.25</v>
      </c>
      <c r="H107" s="184">
        <f t="shared" si="1"/>
        <v>16.489999999999998</v>
      </c>
      <c r="I107" s="184">
        <f t="shared" si="1"/>
        <v>6.76</v>
      </c>
      <c r="J107" s="184">
        <f t="shared" si="1"/>
        <v>0.98</v>
      </c>
      <c r="K107" s="184">
        <f t="shared" si="1"/>
        <v>350.25</v>
      </c>
      <c r="L107" s="184">
        <f t="shared" si="1"/>
        <v>33.82</v>
      </c>
      <c r="M107" s="184">
        <f t="shared" si="1"/>
        <v>103.5</v>
      </c>
      <c r="N107" s="184">
        <f t="shared" si="1"/>
        <v>607.1</v>
      </c>
      <c r="O107" s="184">
        <f t="shared" si="1"/>
        <v>6.6</v>
      </c>
      <c r="P107" s="184">
        <f t="shared" si="1"/>
        <v>0.66</v>
      </c>
      <c r="Q107" s="184">
        <f t="shared" si="1"/>
        <v>4.7300000000000004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9.2343750000000071</v>
      </c>
      <c r="C108" s="183">
        <f t="shared" ref="C108:Q108" si="2">AVERAGE(C9:C104)</f>
        <v>4.0709375000000003</v>
      </c>
      <c r="D108" s="183">
        <f t="shared" si="2"/>
        <v>13.982187500000009</v>
      </c>
      <c r="E108" s="183">
        <f t="shared" si="2"/>
        <v>9.9290625000000023</v>
      </c>
      <c r="F108" s="183">
        <f t="shared" si="2"/>
        <v>6.8322916666666664</v>
      </c>
      <c r="G108" s="183">
        <f t="shared" si="2"/>
        <v>22.697500000000002</v>
      </c>
      <c r="H108" s="183">
        <f t="shared" si="2"/>
        <v>9.3092708333333238</v>
      </c>
      <c r="I108" s="183">
        <f t="shared" si="2"/>
        <v>4.8862499999999995</v>
      </c>
      <c r="J108" s="183">
        <f t="shared" si="2"/>
        <v>0.39624999999999982</v>
      </c>
      <c r="K108" s="183">
        <f t="shared" si="2"/>
        <v>238.56020833333332</v>
      </c>
      <c r="L108" s="183">
        <f t="shared" si="2"/>
        <v>27.837395833333332</v>
      </c>
      <c r="M108" s="183">
        <f t="shared" si="2"/>
        <v>91.556979166666636</v>
      </c>
      <c r="N108" s="183">
        <f t="shared" si="2"/>
        <v>90.203125000000057</v>
      </c>
      <c r="O108" s="183">
        <f t="shared" si="2"/>
        <v>0.17499999999999996</v>
      </c>
      <c r="P108" s="183">
        <f t="shared" si="2"/>
        <v>0.46635416666666668</v>
      </c>
      <c r="Q108" s="183">
        <f t="shared" si="2"/>
        <v>4.7105208333333355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3.1583223394707392E-2</v>
      </c>
      <c r="C109" s="183">
        <f t="shared" ref="C109:Q109" si="3">STDEV(C9:C104)</f>
        <v>1.9198581362063996E-2</v>
      </c>
      <c r="D109" s="183">
        <f t="shared" si="3"/>
        <v>2.5963663880609295E-2</v>
      </c>
      <c r="E109" s="183">
        <f t="shared" si="3"/>
        <v>1.0759104620591593</v>
      </c>
      <c r="F109" s="183">
        <f t="shared" si="3"/>
        <v>3.4018058607209016</v>
      </c>
      <c r="G109" s="183">
        <f t="shared" si="3"/>
        <v>10.021354567543311</v>
      </c>
      <c r="H109" s="183">
        <f t="shared" si="3"/>
        <v>4.2942907618057227</v>
      </c>
      <c r="I109" s="183">
        <f t="shared" si="3"/>
        <v>0.97037187662636648</v>
      </c>
      <c r="J109" s="183">
        <f t="shared" si="3"/>
        <v>0.22294795238728785</v>
      </c>
      <c r="K109" s="183">
        <f t="shared" si="3"/>
        <v>63.425625735629382</v>
      </c>
      <c r="L109" s="183">
        <f t="shared" si="3"/>
        <v>2.0913406653409781</v>
      </c>
      <c r="M109" s="183">
        <f t="shared" si="3"/>
        <v>9.4338233717878293</v>
      </c>
      <c r="N109" s="183">
        <f t="shared" si="3"/>
        <v>135.4510223801052</v>
      </c>
      <c r="O109" s="183">
        <f t="shared" si="3"/>
        <v>0.90948221243564853</v>
      </c>
      <c r="P109" s="183">
        <f t="shared" si="3"/>
        <v>9.9927550509743265E-2</v>
      </c>
      <c r="Q109" s="183">
        <f t="shared" si="3"/>
        <v>1.0500104427216593E-2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F115" sqref="F115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45488.010416666664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45488.010416666664</v>
      </c>
      <c r="B9" s="112">
        <v>9.2200000000000006</v>
      </c>
      <c r="C9" s="112">
        <v>4.0599999999999996</v>
      </c>
      <c r="D9" s="112">
        <v>13.97</v>
      </c>
      <c r="E9" s="112">
        <v>11.17</v>
      </c>
      <c r="F9" s="112">
        <v>4.6399999999999997</v>
      </c>
      <c r="G9" s="112">
        <v>33.69</v>
      </c>
      <c r="H9" s="112">
        <v>13.88</v>
      </c>
      <c r="I9" s="112">
        <v>6.84</v>
      </c>
      <c r="J9" s="112">
        <v>0.26</v>
      </c>
      <c r="K9" s="112">
        <v>267.89</v>
      </c>
      <c r="L9" s="112">
        <v>26.83</v>
      </c>
      <c r="M9" s="112">
        <v>101.01</v>
      </c>
      <c r="N9" s="112">
        <v>2.9</v>
      </c>
      <c r="O9" s="112">
        <v>0</v>
      </c>
      <c r="P9" s="112">
        <v>0.68</v>
      </c>
      <c r="Q9" s="112">
        <v>4.6900000000000004</v>
      </c>
    </row>
    <row r="10" spans="1:21" customFormat="1">
      <c r="A10" s="80">
        <v>45488.020833333336</v>
      </c>
      <c r="B10" s="112">
        <v>9.25</v>
      </c>
      <c r="C10" s="112">
        <v>4.07</v>
      </c>
      <c r="D10" s="112">
        <v>13.99</v>
      </c>
      <c r="E10" s="112">
        <v>11.54</v>
      </c>
      <c r="F10" s="112">
        <v>4.07</v>
      </c>
      <c r="G10" s="112">
        <v>33.69</v>
      </c>
      <c r="H10" s="112">
        <v>13.88</v>
      </c>
      <c r="I10" s="112">
        <v>6.81</v>
      </c>
      <c r="J10" s="112">
        <v>0.2</v>
      </c>
      <c r="K10" s="112">
        <v>7.4</v>
      </c>
      <c r="L10" s="112">
        <v>26.95</v>
      </c>
      <c r="M10" s="112">
        <v>98.77</v>
      </c>
      <c r="N10" s="112">
        <v>2.7</v>
      </c>
      <c r="O10" s="112">
        <v>0</v>
      </c>
      <c r="P10" s="112">
        <v>0.69</v>
      </c>
      <c r="Q10" s="112">
        <v>4.6900000000000004</v>
      </c>
    </row>
    <row r="11" spans="1:21" customFormat="1">
      <c r="A11" s="80">
        <v>45488.03125</v>
      </c>
      <c r="B11" s="112">
        <v>9.27</v>
      </c>
      <c r="C11" s="112">
        <v>4.08</v>
      </c>
      <c r="D11" s="112">
        <v>14.01</v>
      </c>
      <c r="E11" s="112">
        <v>10.5</v>
      </c>
      <c r="F11" s="112">
        <v>6.08</v>
      </c>
      <c r="G11" s="112">
        <v>33.39</v>
      </c>
      <c r="H11" s="112">
        <v>13.29</v>
      </c>
      <c r="I11" s="112">
        <v>6.78</v>
      </c>
      <c r="J11" s="112">
        <v>0.12</v>
      </c>
      <c r="K11" s="112">
        <v>220.59</v>
      </c>
      <c r="L11" s="112">
        <v>27.04</v>
      </c>
      <c r="M11" s="112">
        <v>98.36</v>
      </c>
      <c r="N11" s="112">
        <v>2.5</v>
      </c>
      <c r="O11" s="112">
        <v>0</v>
      </c>
      <c r="P11" s="112">
        <v>0.68</v>
      </c>
      <c r="Q11" s="112">
        <v>4.6900000000000004</v>
      </c>
    </row>
    <row r="12" spans="1:21" customFormat="1">
      <c r="A12" s="80">
        <v>45488.041666666664</v>
      </c>
      <c r="B12" s="112">
        <v>9.26</v>
      </c>
      <c r="C12" s="112">
        <v>4.05</v>
      </c>
      <c r="D12" s="112">
        <v>13.99</v>
      </c>
      <c r="E12" s="112">
        <v>10.36</v>
      </c>
      <c r="F12" s="112">
        <v>5.6</v>
      </c>
      <c r="G12" s="112">
        <v>33.15</v>
      </c>
      <c r="H12" s="112">
        <v>12.92</v>
      </c>
      <c r="I12" s="112">
        <v>6.59</v>
      </c>
      <c r="J12" s="112">
        <v>0.28000000000000003</v>
      </c>
      <c r="K12" s="112">
        <v>301.29000000000002</v>
      </c>
      <c r="L12" s="112">
        <v>26.84</v>
      </c>
      <c r="M12" s="112">
        <v>98.52</v>
      </c>
      <c r="N12" s="112">
        <v>2.8</v>
      </c>
      <c r="O12" s="112">
        <v>0</v>
      </c>
      <c r="P12" s="112">
        <v>0.67</v>
      </c>
      <c r="Q12" s="112">
        <v>4.6900000000000004</v>
      </c>
    </row>
    <row r="13" spans="1:21" customFormat="1">
      <c r="A13" s="80">
        <v>45488.052083333336</v>
      </c>
      <c r="B13" s="112">
        <v>9.26</v>
      </c>
      <c r="C13" s="112">
        <v>4.0599999999999996</v>
      </c>
      <c r="D13" s="112">
        <v>14</v>
      </c>
      <c r="E13" s="112">
        <v>10.32</v>
      </c>
      <c r="F13" s="112">
        <v>6.59</v>
      </c>
      <c r="G13" s="112">
        <v>33.15</v>
      </c>
      <c r="H13" s="112">
        <v>12.92</v>
      </c>
      <c r="I13" s="112">
        <v>6.35</v>
      </c>
      <c r="J13" s="112">
        <v>0.5</v>
      </c>
      <c r="K13" s="112">
        <v>282.45</v>
      </c>
      <c r="L13" s="112">
        <v>26.82</v>
      </c>
      <c r="M13" s="112">
        <v>97.13</v>
      </c>
      <c r="N13" s="112">
        <v>3.2</v>
      </c>
      <c r="O13" s="112">
        <v>0</v>
      </c>
      <c r="P13" s="112">
        <v>0.66</v>
      </c>
      <c r="Q13" s="112">
        <v>4.7</v>
      </c>
    </row>
    <row r="14" spans="1:21" customFormat="1">
      <c r="A14" s="80">
        <v>45488.0625</v>
      </c>
      <c r="B14" s="112">
        <v>9.26</v>
      </c>
      <c r="C14" s="112">
        <v>4.05</v>
      </c>
      <c r="D14" s="112">
        <v>13.99</v>
      </c>
      <c r="E14" s="112">
        <v>9.7200000000000006</v>
      </c>
      <c r="F14" s="112">
        <v>6.85</v>
      </c>
      <c r="G14" s="112">
        <v>33.15</v>
      </c>
      <c r="H14" s="112">
        <v>12.92</v>
      </c>
      <c r="I14" s="112">
        <v>6.46</v>
      </c>
      <c r="J14" s="112">
        <v>0.5</v>
      </c>
      <c r="K14" s="112">
        <v>311.06</v>
      </c>
      <c r="L14" s="112">
        <v>26.76</v>
      </c>
      <c r="M14" s="112">
        <v>96.69</v>
      </c>
      <c r="N14" s="112">
        <v>3</v>
      </c>
      <c r="O14" s="112">
        <v>0</v>
      </c>
      <c r="P14" s="112">
        <v>0.64</v>
      </c>
      <c r="Q14" s="112">
        <v>4.7</v>
      </c>
    </row>
    <row r="15" spans="1:21" customFormat="1">
      <c r="A15" s="80">
        <v>45488.072916666664</v>
      </c>
      <c r="B15" s="112">
        <v>9.23</v>
      </c>
      <c r="C15" s="112">
        <v>4.09</v>
      </c>
      <c r="D15" s="112">
        <v>13.99</v>
      </c>
      <c r="E15" s="112">
        <v>9.4700000000000006</v>
      </c>
      <c r="F15" s="112">
        <v>9.01</v>
      </c>
      <c r="G15" s="112">
        <v>31.64</v>
      </c>
      <c r="H15" s="112">
        <v>10.130000000000001</v>
      </c>
      <c r="I15" s="112">
        <v>6.48</v>
      </c>
      <c r="J15" s="112">
        <v>0.4</v>
      </c>
      <c r="K15" s="112">
        <v>288.02999999999997</v>
      </c>
      <c r="L15" s="112">
        <v>26.68</v>
      </c>
      <c r="M15" s="112">
        <v>96.56</v>
      </c>
      <c r="N15" s="112">
        <v>2.8</v>
      </c>
      <c r="O15" s="112">
        <v>0</v>
      </c>
      <c r="P15" s="112">
        <v>0.61</v>
      </c>
      <c r="Q15" s="112">
        <v>4.7</v>
      </c>
    </row>
    <row r="16" spans="1:21" customFormat="1">
      <c r="A16" s="80">
        <v>45488.083333333336</v>
      </c>
      <c r="B16" s="112">
        <v>9.24</v>
      </c>
      <c r="C16" s="112">
        <v>4.07</v>
      </c>
      <c r="D16" s="112">
        <v>13.99</v>
      </c>
      <c r="E16" s="112">
        <v>9.77</v>
      </c>
      <c r="F16" s="112">
        <v>7.56</v>
      </c>
      <c r="G16" s="112">
        <v>30.49</v>
      </c>
      <c r="H16" s="112">
        <v>9.18</v>
      </c>
      <c r="I16" s="112">
        <v>6.41</v>
      </c>
      <c r="J16" s="112">
        <v>0.37</v>
      </c>
      <c r="K16" s="112">
        <v>308.77</v>
      </c>
      <c r="L16" s="112">
        <v>26.65</v>
      </c>
      <c r="M16" s="112">
        <v>96.64</v>
      </c>
      <c r="N16" s="112">
        <v>2.9</v>
      </c>
      <c r="O16" s="112">
        <v>0</v>
      </c>
      <c r="P16" s="112">
        <v>0.62</v>
      </c>
      <c r="Q16" s="112">
        <v>4.6900000000000004</v>
      </c>
    </row>
    <row r="17" spans="1:17" customFormat="1">
      <c r="A17" s="80">
        <v>45488.09375</v>
      </c>
      <c r="B17" s="112">
        <v>9.25</v>
      </c>
      <c r="C17" s="112">
        <v>4.05</v>
      </c>
      <c r="D17" s="112">
        <v>13.98</v>
      </c>
      <c r="E17" s="112">
        <v>7.67</v>
      </c>
      <c r="F17" s="112">
        <v>7.28</v>
      </c>
      <c r="G17" s="112">
        <v>30.49</v>
      </c>
      <c r="H17" s="112">
        <v>9.18</v>
      </c>
      <c r="I17" s="112">
        <v>6.2</v>
      </c>
      <c r="J17" s="112">
        <v>0.22</v>
      </c>
      <c r="K17" s="112">
        <v>332.92</v>
      </c>
      <c r="L17" s="112">
        <v>26.68</v>
      </c>
      <c r="M17" s="112">
        <v>96.23</v>
      </c>
      <c r="N17" s="112">
        <v>2.7</v>
      </c>
      <c r="O17" s="112">
        <v>0</v>
      </c>
      <c r="P17" s="112">
        <v>0.62</v>
      </c>
      <c r="Q17" s="112">
        <v>4.68</v>
      </c>
    </row>
    <row r="18" spans="1:17" customFormat="1">
      <c r="A18" s="80">
        <v>45488.104166666664</v>
      </c>
      <c r="B18" s="112">
        <v>9.1999999999999993</v>
      </c>
      <c r="C18" s="112">
        <v>4.05</v>
      </c>
      <c r="D18" s="112">
        <v>13.94</v>
      </c>
      <c r="E18" s="112">
        <v>9.34</v>
      </c>
      <c r="F18" s="112">
        <v>7.07</v>
      </c>
      <c r="G18" s="112">
        <v>30.49</v>
      </c>
      <c r="H18" s="112">
        <v>9.18</v>
      </c>
      <c r="I18" s="112">
        <v>6.18</v>
      </c>
      <c r="J18" s="112">
        <v>0.39</v>
      </c>
      <c r="K18" s="112">
        <v>324.91000000000003</v>
      </c>
      <c r="L18" s="112">
        <v>26.6</v>
      </c>
      <c r="M18" s="112">
        <v>96.19</v>
      </c>
      <c r="N18" s="112">
        <v>2.7</v>
      </c>
      <c r="O18" s="112">
        <v>0</v>
      </c>
      <c r="P18" s="112">
        <v>0.6</v>
      </c>
      <c r="Q18" s="112">
        <v>4.7</v>
      </c>
    </row>
    <row r="19" spans="1:17" customFormat="1">
      <c r="A19" s="80">
        <v>45488.114583333336</v>
      </c>
      <c r="B19" s="112">
        <v>9.19</v>
      </c>
      <c r="C19" s="112">
        <v>4.08</v>
      </c>
      <c r="D19" s="112">
        <v>13.95</v>
      </c>
      <c r="E19" s="112">
        <v>9.5</v>
      </c>
      <c r="F19" s="112">
        <v>7.88</v>
      </c>
      <c r="G19" s="112">
        <v>31.77</v>
      </c>
      <c r="H19" s="112">
        <v>9.5500000000000007</v>
      </c>
      <c r="I19" s="112">
        <v>6.22</v>
      </c>
      <c r="J19" s="112">
        <v>0.43</v>
      </c>
      <c r="K19" s="112">
        <v>323.35000000000002</v>
      </c>
      <c r="L19" s="112">
        <v>26.58</v>
      </c>
      <c r="M19" s="112">
        <v>95.18</v>
      </c>
      <c r="N19" s="112">
        <v>2.6</v>
      </c>
      <c r="O19" s="112">
        <v>0.2</v>
      </c>
      <c r="P19" s="112">
        <v>0.61</v>
      </c>
      <c r="Q19" s="112">
        <v>4.7</v>
      </c>
    </row>
    <row r="20" spans="1:17" customFormat="1">
      <c r="A20" s="80">
        <v>45488.125</v>
      </c>
      <c r="B20" s="112">
        <v>9.18</v>
      </c>
      <c r="C20" s="112">
        <v>4.07</v>
      </c>
      <c r="D20" s="112">
        <v>13.94</v>
      </c>
      <c r="E20" s="112">
        <v>9.0299999999999994</v>
      </c>
      <c r="F20" s="112">
        <v>6.73</v>
      </c>
      <c r="G20" s="112">
        <v>32.74</v>
      </c>
      <c r="H20" s="112">
        <v>9.68</v>
      </c>
      <c r="I20" s="112">
        <v>6.27</v>
      </c>
      <c r="J20" s="112">
        <v>0.34</v>
      </c>
      <c r="K20" s="112">
        <v>290.74</v>
      </c>
      <c r="L20" s="112">
        <v>26.5</v>
      </c>
      <c r="M20" s="112">
        <v>96.13</v>
      </c>
      <c r="N20" s="112">
        <v>2.2000000000000002</v>
      </c>
      <c r="O20" s="112">
        <v>0</v>
      </c>
      <c r="P20" s="112">
        <v>0.6</v>
      </c>
      <c r="Q20" s="112">
        <v>4.71</v>
      </c>
    </row>
    <row r="21" spans="1:17" customFormat="1">
      <c r="A21" s="80">
        <v>45488.135416666664</v>
      </c>
      <c r="B21" s="112">
        <v>9.18</v>
      </c>
      <c r="C21" s="112">
        <v>4.0599999999999996</v>
      </c>
      <c r="D21" s="112">
        <v>13.94</v>
      </c>
      <c r="E21" s="112">
        <v>9.44</v>
      </c>
      <c r="F21" s="112">
        <v>6.05</v>
      </c>
      <c r="G21" s="112">
        <v>32.74</v>
      </c>
      <c r="H21" s="112">
        <v>9.68</v>
      </c>
      <c r="I21" s="112">
        <v>6.15</v>
      </c>
      <c r="J21" s="112">
        <v>0.54</v>
      </c>
      <c r="K21" s="112">
        <v>295.77</v>
      </c>
      <c r="L21" s="112">
        <v>26.43</v>
      </c>
      <c r="M21" s="112">
        <v>97.87</v>
      </c>
      <c r="N21" s="112">
        <v>2.2000000000000002</v>
      </c>
      <c r="O21" s="112">
        <v>0</v>
      </c>
      <c r="P21" s="112">
        <v>0.62</v>
      </c>
      <c r="Q21" s="112">
        <v>4.6900000000000004</v>
      </c>
    </row>
    <row r="22" spans="1:17" customFormat="1">
      <c r="A22" s="80">
        <v>45488.145833333336</v>
      </c>
      <c r="B22" s="112">
        <v>9.18</v>
      </c>
      <c r="C22" s="112">
        <v>4.0599999999999996</v>
      </c>
      <c r="D22" s="112">
        <v>13.93</v>
      </c>
      <c r="E22" s="112">
        <v>9.02</v>
      </c>
      <c r="F22" s="112">
        <v>5.84</v>
      </c>
      <c r="G22" s="112">
        <v>32.74</v>
      </c>
      <c r="H22" s="112">
        <v>9.68</v>
      </c>
      <c r="I22" s="112">
        <v>6.24</v>
      </c>
      <c r="J22" s="112">
        <v>0.69</v>
      </c>
      <c r="K22" s="112">
        <v>289.08999999999997</v>
      </c>
      <c r="L22" s="112">
        <v>26.38</v>
      </c>
      <c r="M22" s="112">
        <v>98.21</v>
      </c>
      <c r="N22" s="112">
        <v>2.2999999999999998</v>
      </c>
      <c r="O22" s="112">
        <v>0</v>
      </c>
      <c r="P22" s="112">
        <v>0.62</v>
      </c>
      <c r="Q22" s="112">
        <v>4.6900000000000004</v>
      </c>
    </row>
    <row r="23" spans="1:17" customFormat="1">
      <c r="A23" s="80">
        <v>45488.15625</v>
      </c>
      <c r="B23" s="112">
        <v>9.17</v>
      </c>
      <c r="C23" s="112">
        <v>4.0599999999999996</v>
      </c>
      <c r="D23" s="112">
        <v>13.92</v>
      </c>
      <c r="E23" s="112">
        <v>8.9700000000000006</v>
      </c>
      <c r="F23" s="112">
        <v>7.14</v>
      </c>
      <c r="G23" s="112">
        <v>36.35</v>
      </c>
      <c r="H23" s="112">
        <v>10.07</v>
      </c>
      <c r="I23" s="112">
        <v>6.3</v>
      </c>
      <c r="J23" s="112">
        <v>0.22</v>
      </c>
      <c r="K23" s="112">
        <v>178.41</v>
      </c>
      <c r="L23" s="112">
        <v>26.45</v>
      </c>
      <c r="M23" s="112">
        <v>97.83</v>
      </c>
      <c r="N23" s="112">
        <v>2.2000000000000002</v>
      </c>
      <c r="O23" s="112">
        <v>0</v>
      </c>
      <c r="P23" s="112">
        <v>0.56999999999999995</v>
      </c>
      <c r="Q23" s="112">
        <v>4.6900000000000004</v>
      </c>
    </row>
    <row r="24" spans="1:17" customFormat="1">
      <c r="A24" s="80">
        <v>45488.166666666664</v>
      </c>
      <c r="B24" s="112">
        <v>9.18</v>
      </c>
      <c r="C24" s="112">
        <v>4.04</v>
      </c>
      <c r="D24" s="112">
        <v>13.93</v>
      </c>
      <c r="E24" s="112">
        <v>8.6300000000000008</v>
      </c>
      <c r="F24" s="112">
        <v>7.33</v>
      </c>
      <c r="G24" s="112">
        <v>39.11</v>
      </c>
      <c r="H24" s="112">
        <v>10.210000000000001</v>
      </c>
      <c r="I24" s="112">
        <v>6.28</v>
      </c>
      <c r="J24" s="112">
        <v>0.22</v>
      </c>
      <c r="K24" s="112">
        <v>284.5</v>
      </c>
      <c r="L24" s="112">
        <v>26.29</v>
      </c>
      <c r="M24" s="112">
        <v>98.57</v>
      </c>
      <c r="N24" s="112">
        <v>2.4</v>
      </c>
      <c r="O24" s="112">
        <v>0</v>
      </c>
      <c r="P24" s="112">
        <v>0.57999999999999996</v>
      </c>
      <c r="Q24" s="112">
        <v>4.6900000000000004</v>
      </c>
    </row>
    <row r="25" spans="1:17" customFormat="1">
      <c r="A25" s="80">
        <v>45488.177083333336</v>
      </c>
      <c r="B25" s="112">
        <v>9.17</v>
      </c>
      <c r="C25" s="112">
        <v>4.08</v>
      </c>
      <c r="D25" s="112">
        <v>13.93</v>
      </c>
      <c r="E25" s="112">
        <v>8.2200000000000006</v>
      </c>
      <c r="F25" s="112">
        <v>7.41</v>
      </c>
      <c r="G25" s="112">
        <v>39.11</v>
      </c>
      <c r="H25" s="112">
        <v>10.210000000000001</v>
      </c>
      <c r="I25" s="112">
        <v>5.91</v>
      </c>
      <c r="J25" s="112">
        <v>0.2</v>
      </c>
      <c r="K25" s="112">
        <v>266.97000000000003</v>
      </c>
      <c r="L25" s="112">
        <v>26.22</v>
      </c>
      <c r="M25" s="112">
        <v>98.83</v>
      </c>
      <c r="N25" s="112">
        <v>2.4</v>
      </c>
      <c r="O25" s="112">
        <v>0</v>
      </c>
      <c r="P25" s="112">
        <v>0.64</v>
      </c>
      <c r="Q25" s="112">
        <v>4.7</v>
      </c>
    </row>
    <row r="26" spans="1:17" customFormat="1">
      <c r="A26" s="80">
        <v>45488.1875</v>
      </c>
      <c r="B26" s="112">
        <v>9.18</v>
      </c>
      <c r="C26" s="112">
        <v>4.07</v>
      </c>
      <c r="D26" s="112">
        <v>13.94</v>
      </c>
      <c r="E26" s="112">
        <v>7.98</v>
      </c>
      <c r="F26" s="112">
        <v>7.69</v>
      </c>
      <c r="G26" s="112">
        <v>39.11</v>
      </c>
      <c r="H26" s="112">
        <v>10.210000000000001</v>
      </c>
      <c r="I26" s="112">
        <v>6.15</v>
      </c>
      <c r="J26" s="112">
        <v>0.13</v>
      </c>
      <c r="K26" s="112">
        <v>163.58000000000001</v>
      </c>
      <c r="L26" s="112">
        <v>26.24</v>
      </c>
      <c r="M26" s="112">
        <v>98.87</v>
      </c>
      <c r="N26" s="112">
        <v>2.2999999999999998</v>
      </c>
      <c r="O26" s="112">
        <v>0</v>
      </c>
      <c r="P26" s="112">
        <v>0.66</v>
      </c>
      <c r="Q26" s="112">
        <v>4.6900000000000004</v>
      </c>
    </row>
    <row r="27" spans="1:17" customFormat="1">
      <c r="A27" s="80">
        <v>45488.197916666664</v>
      </c>
      <c r="B27" s="112">
        <v>9.17</v>
      </c>
      <c r="C27" s="112">
        <v>4.07</v>
      </c>
      <c r="D27" s="112">
        <v>13.93</v>
      </c>
      <c r="E27" s="112">
        <v>7.87</v>
      </c>
      <c r="F27" s="112">
        <v>6.74</v>
      </c>
      <c r="G27" s="112">
        <v>35.76</v>
      </c>
      <c r="H27" s="112">
        <v>11.26</v>
      </c>
      <c r="I27" s="112">
        <v>6.89</v>
      </c>
      <c r="J27" s="112">
        <v>0.14000000000000001</v>
      </c>
      <c r="K27" s="112">
        <v>242.29</v>
      </c>
      <c r="L27" s="112">
        <v>26.19</v>
      </c>
      <c r="M27" s="112">
        <v>99.71</v>
      </c>
      <c r="N27" s="112">
        <v>2.4</v>
      </c>
      <c r="O27" s="112">
        <v>0</v>
      </c>
      <c r="P27" s="112">
        <v>0.63</v>
      </c>
      <c r="Q27" s="112">
        <v>4.6900000000000004</v>
      </c>
    </row>
    <row r="28" spans="1:17" customFormat="1">
      <c r="A28" s="80">
        <v>45488.208333333336</v>
      </c>
      <c r="B28" s="112">
        <v>9.17</v>
      </c>
      <c r="C28" s="112">
        <v>4.07</v>
      </c>
      <c r="D28" s="112">
        <v>13.93</v>
      </c>
      <c r="E28" s="112">
        <v>8.56</v>
      </c>
      <c r="F28" s="112">
        <v>6.95</v>
      </c>
      <c r="G28" s="112">
        <v>33.19</v>
      </c>
      <c r="H28" s="112">
        <v>11.61</v>
      </c>
      <c r="I28" s="112">
        <v>6.99</v>
      </c>
      <c r="J28" s="112">
        <v>0.14000000000000001</v>
      </c>
      <c r="K28" s="112">
        <v>243.45</v>
      </c>
      <c r="L28" s="112">
        <v>26.22</v>
      </c>
      <c r="M28" s="112">
        <v>100.03</v>
      </c>
      <c r="N28" s="112">
        <v>2.4</v>
      </c>
      <c r="O28" s="112">
        <v>0</v>
      </c>
      <c r="P28" s="112">
        <v>0.57999999999999996</v>
      </c>
      <c r="Q28" s="112">
        <v>4.6900000000000004</v>
      </c>
    </row>
    <row r="29" spans="1:17" customFormat="1">
      <c r="A29" s="80">
        <v>45488.21875</v>
      </c>
      <c r="B29" s="112">
        <v>9.23</v>
      </c>
      <c r="C29" s="112">
        <v>4.0599999999999996</v>
      </c>
      <c r="D29" s="112">
        <v>13.98</v>
      </c>
      <c r="E29" s="112">
        <v>8.24</v>
      </c>
      <c r="F29" s="112">
        <v>7.13</v>
      </c>
      <c r="G29" s="112">
        <v>33.19</v>
      </c>
      <c r="H29" s="112">
        <v>11.61</v>
      </c>
      <c r="I29" s="112">
        <v>6.92</v>
      </c>
      <c r="J29" s="112">
        <v>0.08</v>
      </c>
      <c r="K29" s="112">
        <v>192.52</v>
      </c>
      <c r="L29" s="112">
        <v>26.27</v>
      </c>
      <c r="M29" s="112">
        <v>99.54</v>
      </c>
      <c r="N29" s="112">
        <v>2.8</v>
      </c>
      <c r="O29" s="112">
        <v>0</v>
      </c>
      <c r="P29" s="112">
        <v>0.55000000000000004</v>
      </c>
      <c r="Q29" s="112">
        <v>4.6900000000000004</v>
      </c>
    </row>
    <row r="30" spans="1:17" customFormat="1">
      <c r="A30" s="80">
        <v>45488.229166666664</v>
      </c>
      <c r="B30" s="112">
        <v>9.2799999999999994</v>
      </c>
      <c r="C30" s="112">
        <v>4.05</v>
      </c>
      <c r="D30" s="112">
        <v>14.01</v>
      </c>
      <c r="E30" s="112">
        <v>8.24</v>
      </c>
      <c r="F30" s="112">
        <v>7.29</v>
      </c>
      <c r="G30" s="112">
        <v>33.19</v>
      </c>
      <c r="H30" s="112">
        <v>11.61</v>
      </c>
      <c r="I30" s="112">
        <v>6.6</v>
      </c>
      <c r="J30" s="112">
        <v>0.13</v>
      </c>
      <c r="K30" s="112">
        <v>263.33</v>
      </c>
      <c r="L30" s="112">
        <v>26.24</v>
      </c>
      <c r="M30" s="112">
        <v>99.62</v>
      </c>
      <c r="N30" s="112">
        <v>6.1</v>
      </c>
      <c r="O30" s="112">
        <v>0</v>
      </c>
      <c r="P30" s="112">
        <v>0.53</v>
      </c>
      <c r="Q30" s="112">
        <v>4.7</v>
      </c>
    </row>
    <row r="31" spans="1:17" customFormat="1">
      <c r="A31" s="80">
        <v>45488.239583333336</v>
      </c>
      <c r="B31" s="112">
        <v>9.2799999999999994</v>
      </c>
      <c r="C31" s="112">
        <v>4.04</v>
      </c>
      <c r="D31" s="112">
        <v>14</v>
      </c>
      <c r="E31" s="112">
        <v>8.58</v>
      </c>
      <c r="F31" s="112">
        <v>6.87</v>
      </c>
      <c r="G31" s="112">
        <v>32.54</v>
      </c>
      <c r="H31" s="112">
        <v>10.17</v>
      </c>
      <c r="I31" s="112">
        <v>6.31</v>
      </c>
      <c r="J31" s="112">
        <v>0.15</v>
      </c>
      <c r="K31" s="112">
        <v>254.93</v>
      </c>
      <c r="L31" s="112">
        <v>26.25</v>
      </c>
      <c r="M31" s="112">
        <v>99.29</v>
      </c>
      <c r="N31" s="112">
        <v>15.9</v>
      </c>
      <c r="O31" s="112">
        <v>0</v>
      </c>
      <c r="P31" s="112">
        <v>0.52</v>
      </c>
      <c r="Q31" s="112">
        <v>4.71</v>
      </c>
    </row>
    <row r="32" spans="1:17" customFormat="1">
      <c r="A32" s="80">
        <v>45488.25</v>
      </c>
      <c r="B32" s="112">
        <v>9.24</v>
      </c>
      <c r="C32" s="112">
        <v>4.07</v>
      </c>
      <c r="D32" s="112">
        <v>13.99</v>
      </c>
      <c r="E32" s="112">
        <v>8.8000000000000007</v>
      </c>
      <c r="F32" s="112">
        <v>6.08</v>
      </c>
      <c r="G32" s="112">
        <v>32.04</v>
      </c>
      <c r="H32" s="112">
        <v>9.7100000000000009</v>
      </c>
      <c r="I32" s="112">
        <v>6.17</v>
      </c>
      <c r="J32" s="112">
        <v>0.14000000000000001</v>
      </c>
      <c r="K32" s="112">
        <v>255.07</v>
      </c>
      <c r="L32" s="112">
        <v>26.27</v>
      </c>
      <c r="M32" s="112">
        <v>99.95</v>
      </c>
      <c r="N32" s="112">
        <v>28.8</v>
      </c>
      <c r="O32" s="112">
        <v>0</v>
      </c>
      <c r="P32" s="112">
        <v>0.51</v>
      </c>
      <c r="Q32" s="112">
        <v>4.6900000000000004</v>
      </c>
    </row>
    <row r="33" spans="1:17" customFormat="1">
      <c r="A33" s="80">
        <v>45488.260416666664</v>
      </c>
      <c r="B33" s="112">
        <v>9.25</v>
      </c>
      <c r="C33" s="112">
        <v>4.0599999999999996</v>
      </c>
      <c r="D33" s="112">
        <v>13.99</v>
      </c>
      <c r="E33" s="112">
        <v>9.09</v>
      </c>
      <c r="F33" s="112">
        <v>5.57</v>
      </c>
      <c r="G33" s="112">
        <v>32.04</v>
      </c>
      <c r="H33" s="112">
        <v>9.7100000000000009</v>
      </c>
      <c r="I33" s="112">
        <v>5.92</v>
      </c>
      <c r="J33" s="112">
        <v>0.35</v>
      </c>
      <c r="K33" s="112">
        <v>274.33999999999997</v>
      </c>
      <c r="L33" s="112">
        <v>26.44</v>
      </c>
      <c r="M33" s="112">
        <v>99.89</v>
      </c>
      <c r="N33" s="112">
        <v>45.3</v>
      </c>
      <c r="O33" s="112">
        <v>0</v>
      </c>
      <c r="P33" s="112">
        <v>0.5</v>
      </c>
      <c r="Q33" s="112">
        <v>4.6900000000000004</v>
      </c>
    </row>
    <row r="34" spans="1:17" customFormat="1">
      <c r="A34" s="80">
        <v>45488.270833333336</v>
      </c>
      <c r="B34" s="112">
        <v>9.24</v>
      </c>
      <c r="C34" s="112">
        <v>4.04</v>
      </c>
      <c r="D34" s="112">
        <v>13.97</v>
      </c>
      <c r="E34" s="112">
        <v>9.07</v>
      </c>
      <c r="F34" s="112">
        <v>5.44</v>
      </c>
      <c r="G34" s="112">
        <v>32.04</v>
      </c>
      <c r="H34" s="112">
        <v>9.7100000000000009</v>
      </c>
      <c r="I34" s="112">
        <v>5.94</v>
      </c>
      <c r="J34" s="112">
        <v>0.39</v>
      </c>
      <c r="K34" s="112">
        <v>274.25</v>
      </c>
      <c r="L34" s="112">
        <v>26.58</v>
      </c>
      <c r="M34" s="112">
        <v>98.47</v>
      </c>
      <c r="N34" s="112">
        <v>49.6</v>
      </c>
      <c r="O34" s="112">
        <v>0</v>
      </c>
      <c r="P34" s="112">
        <v>0.49</v>
      </c>
      <c r="Q34" s="112">
        <v>4.7</v>
      </c>
    </row>
    <row r="35" spans="1:17" customFormat="1">
      <c r="A35" s="80">
        <v>45488.28125</v>
      </c>
      <c r="B35" s="112">
        <v>9.23</v>
      </c>
      <c r="C35" s="112">
        <v>4.07</v>
      </c>
      <c r="D35" s="112">
        <v>13.97</v>
      </c>
      <c r="E35" s="112">
        <v>9.1999999999999993</v>
      </c>
      <c r="F35" s="112">
        <v>6.56</v>
      </c>
      <c r="G35" s="112">
        <v>29.9</v>
      </c>
      <c r="H35" s="112">
        <v>9.0399999999999991</v>
      </c>
      <c r="I35" s="112">
        <v>5.83</v>
      </c>
      <c r="J35" s="112">
        <v>0.35</v>
      </c>
      <c r="K35" s="112">
        <v>278.54000000000002</v>
      </c>
      <c r="L35" s="112">
        <v>26.7</v>
      </c>
      <c r="M35" s="112">
        <v>97.59</v>
      </c>
      <c r="N35" s="112">
        <v>50.2</v>
      </c>
      <c r="O35" s="112">
        <v>0</v>
      </c>
      <c r="P35" s="112">
        <v>0.48</v>
      </c>
      <c r="Q35" s="112">
        <v>4.7</v>
      </c>
    </row>
    <row r="36" spans="1:17" customFormat="1">
      <c r="A36" s="80">
        <v>45488.291666666664</v>
      </c>
      <c r="B36" s="112">
        <v>9.2200000000000006</v>
      </c>
      <c r="C36" s="112">
        <v>4.07</v>
      </c>
      <c r="D36" s="112">
        <v>13.97</v>
      </c>
      <c r="E36" s="112">
        <v>9.76</v>
      </c>
      <c r="F36" s="112">
        <v>5.36</v>
      </c>
      <c r="G36" s="112">
        <v>28.27</v>
      </c>
      <c r="H36" s="112">
        <v>8.59</v>
      </c>
      <c r="I36" s="112">
        <v>5.73</v>
      </c>
      <c r="J36" s="112">
        <v>0.17</v>
      </c>
      <c r="K36" s="112">
        <v>290.52</v>
      </c>
      <c r="L36" s="112">
        <v>26.97</v>
      </c>
      <c r="M36" s="112">
        <v>97.55</v>
      </c>
      <c r="N36" s="112">
        <v>54.8</v>
      </c>
      <c r="O36" s="112">
        <v>0</v>
      </c>
      <c r="P36" s="112">
        <v>0.48</v>
      </c>
      <c r="Q36" s="112">
        <v>4.6900000000000004</v>
      </c>
    </row>
    <row r="37" spans="1:17" customFormat="1">
      <c r="A37" s="80">
        <v>45488.302083333336</v>
      </c>
      <c r="B37" s="112">
        <v>9.23</v>
      </c>
      <c r="C37" s="112">
        <v>4.05</v>
      </c>
      <c r="D37" s="112">
        <v>13.97</v>
      </c>
      <c r="E37" s="112">
        <v>9.2200000000000006</v>
      </c>
      <c r="F37" s="112">
        <v>6.19</v>
      </c>
      <c r="G37" s="112">
        <v>28.27</v>
      </c>
      <c r="H37" s="112">
        <v>8.59</v>
      </c>
      <c r="I37" s="112">
        <v>5.33</v>
      </c>
      <c r="J37" s="112">
        <v>0.28999999999999998</v>
      </c>
      <c r="K37" s="112">
        <v>293.83999999999997</v>
      </c>
      <c r="L37" s="112">
        <v>27.02</v>
      </c>
      <c r="M37" s="112">
        <v>96.65</v>
      </c>
      <c r="N37" s="112">
        <v>50.7</v>
      </c>
      <c r="O37" s="112">
        <v>0</v>
      </c>
      <c r="P37" s="112">
        <v>0.47</v>
      </c>
      <c r="Q37" s="112">
        <v>4.6900000000000004</v>
      </c>
    </row>
    <row r="38" spans="1:17" customFormat="1">
      <c r="A38" s="80">
        <v>45488.3125</v>
      </c>
      <c r="B38" s="112">
        <v>9.23</v>
      </c>
      <c r="C38" s="112">
        <v>4.04</v>
      </c>
      <c r="D38" s="112">
        <v>13.96</v>
      </c>
      <c r="E38" s="112">
        <v>9.8000000000000007</v>
      </c>
      <c r="F38" s="112">
        <v>5.29</v>
      </c>
      <c r="G38" s="112">
        <v>28.27</v>
      </c>
      <c r="H38" s="112">
        <v>8.59</v>
      </c>
      <c r="I38" s="112">
        <v>5.47</v>
      </c>
      <c r="J38" s="112">
        <v>0.31</v>
      </c>
      <c r="K38" s="112">
        <v>275.66000000000003</v>
      </c>
      <c r="L38" s="112">
        <v>27.13</v>
      </c>
      <c r="M38" s="112">
        <v>95.71</v>
      </c>
      <c r="N38" s="112">
        <v>64.099999999999994</v>
      </c>
      <c r="O38" s="112">
        <v>0</v>
      </c>
      <c r="P38" s="112">
        <v>0.47</v>
      </c>
      <c r="Q38" s="112">
        <v>4.6900000000000004</v>
      </c>
    </row>
    <row r="39" spans="1:17" customFormat="1">
      <c r="A39" s="80">
        <v>45488.322916666664</v>
      </c>
      <c r="B39" s="112">
        <v>9.24</v>
      </c>
      <c r="C39" s="112">
        <v>4.03</v>
      </c>
      <c r="D39" s="112">
        <v>13.96</v>
      </c>
      <c r="E39" s="112">
        <v>9.6199999999999992</v>
      </c>
      <c r="F39" s="112">
        <v>5.49</v>
      </c>
      <c r="G39" s="112">
        <v>27.65</v>
      </c>
      <c r="H39" s="112">
        <v>9.1999999999999993</v>
      </c>
      <c r="I39" s="112">
        <v>5.49</v>
      </c>
      <c r="J39" s="112">
        <v>0.48</v>
      </c>
      <c r="K39" s="112">
        <v>331.47</v>
      </c>
      <c r="L39" s="112">
        <v>27.44</v>
      </c>
      <c r="M39" s="112">
        <v>94.21</v>
      </c>
      <c r="N39" s="112">
        <v>94.1</v>
      </c>
      <c r="O39" s="112">
        <v>0</v>
      </c>
      <c r="P39" s="112">
        <v>0.52</v>
      </c>
      <c r="Q39" s="112">
        <v>4.6900000000000004</v>
      </c>
    </row>
    <row r="40" spans="1:17" customFormat="1">
      <c r="A40" s="80">
        <v>45488.333333333336</v>
      </c>
      <c r="B40" s="112">
        <v>9.23</v>
      </c>
      <c r="C40" s="112">
        <v>4.04</v>
      </c>
      <c r="D40" s="112">
        <v>13.96</v>
      </c>
      <c r="E40" s="112">
        <v>9.85</v>
      </c>
      <c r="F40" s="112">
        <v>5.19</v>
      </c>
      <c r="G40" s="112">
        <v>27.18</v>
      </c>
      <c r="H40" s="112">
        <v>9.4</v>
      </c>
      <c r="I40" s="112">
        <v>5.5</v>
      </c>
      <c r="J40" s="112">
        <v>0.35</v>
      </c>
      <c r="K40" s="112">
        <v>344.41</v>
      </c>
      <c r="L40" s="112">
        <v>27.75</v>
      </c>
      <c r="M40" s="112">
        <v>92.64</v>
      </c>
      <c r="N40" s="112">
        <v>101.6</v>
      </c>
      <c r="O40" s="112">
        <v>0</v>
      </c>
      <c r="P40" s="112">
        <v>0.52</v>
      </c>
      <c r="Q40" s="112">
        <v>4.6900000000000004</v>
      </c>
    </row>
    <row r="41" spans="1:17" customFormat="1">
      <c r="A41" s="80">
        <v>45488.34375</v>
      </c>
      <c r="B41" s="112">
        <v>9.2200000000000006</v>
      </c>
      <c r="C41" s="112">
        <v>4.0999999999999996</v>
      </c>
      <c r="D41" s="112">
        <v>13.98</v>
      </c>
      <c r="E41" s="112">
        <v>10.54</v>
      </c>
      <c r="F41" s="112">
        <v>6.06</v>
      </c>
      <c r="G41" s="112">
        <v>27.18</v>
      </c>
      <c r="H41" s="112">
        <v>9.4</v>
      </c>
      <c r="I41" s="112">
        <v>5.73</v>
      </c>
      <c r="J41" s="112">
        <v>0.33</v>
      </c>
      <c r="K41" s="112">
        <v>322.07</v>
      </c>
      <c r="L41" s="112">
        <v>27.93</v>
      </c>
      <c r="M41" s="112">
        <v>91.93</v>
      </c>
      <c r="N41" s="112">
        <v>111.8</v>
      </c>
      <c r="O41" s="112">
        <v>0</v>
      </c>
      <c r="P41" s="112">
        <v>0.53</v>
      </c>
      <c r="Q41" s="112">
        <v>4.71</v>
      </c>
    </row>
    <row r="42" spans="1:17" customFormat="1">
      <c r="A42" s="80">
        <v>45488.354166666664</v>
      </c>
      <c r="B42" s="112">
        <v>9.23</v>
      </c>
      <c r="C42" s="112">
        <v>4.09</v>
      </c>
      <c r="D42" s="112">
        <v>13.99</v>
      </c>
      <c r="E42" s="112">
        <v>10.56</v>
      </c>
      <c r="F42" s="112">
        <v>4.7699999999999996</v>
      </c>
      <c r="G42" s="112">
        <v>27.18</v>
      </c>
      <c r="H42" s="112">
        <v>9.4</v>
      </c>
      <c r="I42" s="112">
        <v>5.75</v>
      </c>
      <c r="J42" s="112">
        <v>0.23</v>
      </c>
      <c r="K42" s="112">
        <v>356.23</v>
      </c>
      <c r="L42" s="112">
        <v>28.33</v>
      </c>
      <c r="M42" s="112">
        <v>89.69</v>
      </c>
      <c r="N42" s="112">
        <v>125.5</v>
      </c>
      <c r="O42" s="112">
        <v>0</v>
      </c>
      <c r="P42" s="112">
        <v>0.54</v>
      </c>
      <c r="Q42" s="112">
        <v>4.71</v>
      </c>
    </row>
    <row r="43" spans="1:17" customFormat="1">
      <c r="A43" s="80">
        <v>45488.364583333336</v>
      </c>
      <c r="B43" s="112">
        <v>9.24</v>
      </c>
      <c r="C43" s="112">
        <v>4.05</v>
      </c>
      <c r="D43" s="112">
        <v>13.98</v>
      </c>
      <c r="E43" s="112">
        <v>10.46</v>
      </c>
      <c r="F43" s="112">
        <v>5.22</v>
      </c>
      <c r="G43" s="112">
        <v>30.99</v>
      </c>
      <c r="H43" s="112">
        <v>11.66</v>
      </c>
      <c r="I43" s="112">
        <v>5.79</v>
      </c>
      <c r="J43" s="112">
        <v>0.5</v>
      </c>
      <c r="K43" s="112">
        <v>37.020000000000003</v>
      </c>
      <c r="L43" s="112">
        <v>28.39</v>
      </c>
      <c r="M43" s="112">
        <v>88.95</v>
      </c>
      <c r="N43" s="112">
        <v>94.2</v>
      </c>
      <c r="O43" s="112">
        <v>0</v>
      </c>
      <c r="P43" s="112">
        <v>0.55000000000000004</v>
      </c>
      <c r="Q43" s="112">
        <v>4.71</v>
      </c>
    </row>
    <row r="44" spans="1:17" customFormat="1">
      <c r="A44" s="80">
        <v>45488.375</v>
      </c>
      <c r="B44" s="112">
        <v>9.24</v>
      </c>
      <c r="C44" s="112">
        <v>4.0599999999999996</v>
      </c>
      <c r="D44" s="112">
        <v>13.98</v>
      </c>
      <c r="E44" s="112">
        <v>11.55</v>
      </c>
      <c r="F44" s="112">
        <v>4.57</v>
      </c>
      <c r="G44" s="112">
        <v>34.049999999999997</v>
      </c>
      <c r="H44" s="112">
        <v>12.38</v>
      </c>
      <c r="I44" s="112">
        <v>5.89</v>
      </c>
      <c r="J44" s="112">
        <v>0.78</v>
      </c>
      <c r="K44" s="112">
        <v>47.78</v>
      </c>
      <c r="L44" s="112">
        <v>28.38</v>
      </c>
      <c r="M44" s="112">
        <v>89.52</v>
      </c>
      <c r="N44" s="112">
        <v>109.2</v>
      </c>
      <c r="O44" s="112">
        <v>0</v>
      </c>
      <c r="P44" s="112">
        <v>0.57999999999999996</v>
      </c>
      <c r="Q44" s="112">
        <v>4.71</v>
      </c>
    </row>
    <row r="45" spans="1:17" customFormat="1">
      <c r="A45" s="80">
        <v>45488.385416666664</v>
      </c>
      <c r="B45" s="112">
        <v>9.2200000000000006</v>
      </c>
      <c r="C45" s="112">
        <v>4.08</v>
      </c>
      <c r="D45" s="112">
        <v>13.98</v>
      </c>
      <c r="E45" s="112">
        <v>12.2</v>
      </c>
      <c r="F45" s="112">
        <v>5.23</v>
      </c>
      <c r="G45" s="112">
        <v>34.049999999999997</v>
      </c>
      <c r="H45" s="112">
        <v>12.38</v>
      </c>
      <c r="I45" s="112">
        <v>5.9</v>
      </c>
      <c r="J45" s="112">
        <v>1.04</v>
      </c>
      <c r="K45" s="112">
        <v>48.91</v>
      </c>
      <c r="L45" s="112">
        <v>28.4</v>
      </c>
      <c r="M45" s="112">
        <v>89.85</v>
      </c>
      <c r="N45" s="112">
        <v>110.8</v>
      </c>
      <c r="O45" s="112">
        <v>0</v>
      </c>
      <c r="P45" s="112">
        <v>0.6</v>
      </c>
      <c r="Q45" s="112">
        <v>4.68</v>
      </c>
    </row>
    <row r="46" spans="1:17" customFormat="1">
      <c r="A46" s="80">
        <v>45488.395833333336</v>
      </c>
      <c r="B46" s="112">
        <v>9.2200000000000006</v>
      </c>
      <c r="C46" s="112">
        <v>4.07</v>
      </c>
      <c r="D46" s="112">
        <v>13.97</v>
      </c>
      <c r="E46" s="112">
        <v>13.92</v>
      </c>
      <c r="F46" s="112">
        <v>5.91</v>
      </c>
      <c r="G46" s="112">
        <v>34.049999999999997</v>
      </c>
      <c r="H46" s="112">
        <v>12.38</v>
      </c>
      <c r="I46" s="112">
        <v>6.07</v>
      </c>
      <c r="J46" s="112">
        <v>1.1000000000000001</v>
      </c>
      <c r="K46" s="112">
        <v>50.13</v>
      </c>
      <c r="L46" s="112">
        <v>28.01</v>
      </c>
      <c r="M46" s="112">
        <v>92.77</v>
      </c>
      <c r="N46" s="112">
        <v>76.2</v>
      </c>
      <c r="O46" s="112">
        <v>0.6</v>
      </c>
      <c r="P46" s="112">
        <v>0.59</v>
      </c>
      <c r="Q46" s="112">
        <v>4.6900000000000004</v>
      </c>
    </row>
    <row r="47" spans="1:17" customFormat="1">
      <c r="A47" s="80">
        <v>45488.40625</v>
      </c>
      <c r="B47" s="112">
        <v>9.23</v>
      </c>
      <c r="C47" s="112">
        <v>4.07</v>
      </c>
      <c r="D47" s="112">
        <v>13.98</v>
      </c>
      <c r="E47" s="112">
        <v>13.16</v>
      </c>
      <c r="F47" s="112">
        <v>6.19</v>
      </c>
      <c r="G47" s="112">
        <v>50.11</v>
      </c>
      <c r="H47" s="112">
        <v>20.68</v>
      </c>
      <c r="I47" s="112">
        <v>6.33</v>
      </c>
      <c r="J47" s="112">
        <v>1.01</v>
      </c>
      <c r="K47" s="112">
        <v>49.79</v>
      </c>
      <c r="L47" s="112">
        <v>27.57</v>
      </c>
      <c r="M47" s="112">
        <v>96.84</v>
      </c>
      <c r="N47" s="112">
        <v>121.8</v>
      </c>
      <c r="O47" s="112">
        <v>0</v>
      </c>
      <c r="P47" s="112">
        <v>0.74</v>
      </c>
      <c r="Q47" s="112">
        <v>4.7</v>
      </c>
    </row>
    <row r="48" spans="1:17" customFormat="1">
      <c r="A48" s="80">
        <v>45488.416666666664</v>
      </c>
      <c r="B48" s="112">
        <v>9.2100000000000009</v>
      </c>
      <c r="C48" s="112">
        <v>4.07</v>
      </c>
      <c r="D48" s="112">
        <v>13.96</v>
      </c>
      <c r="E48" s="112">
        <v>14.58</v>
      </c>
      <c r="F48" s="112">
        <v>7.85</v>
      </c>
      <c r="G48" s="112">
        <v>62.4</v>
      </c>
      <c r="H48" s="112">
        <v>23.56</v>
      </c>
      <c r="I48" s="112">
        <v>6.35</v>
      </c>
      <c r="J48" s="112">
        <v>0.87</v>
      </c>
      <c r="K48" s="112">
        <v>49.12</v>
      </c>
      <c r="L48" s="112">
        <v>27.9</v>
      </c>
      <c r="M48" s="112">
        <v>95.29</v>
      </c>
      <c r="N48" s="112">
        <v>188</v>
      </c>
      <c r="O48" s="112">
        <v>0.2</v>
      </c>
      <c r="P48" s="112">
        <v>0.74</v>
      </c>
      <c r="Q48" s="112">
        <v>4.7</v>
      </c>
    </row>
    <row r="49" spans="1:17" customFormat="1">
      <c r="A49" s="80">
        <v>45488.427083333336</v>
      </c>
      <c r="B49" s="112">
        <v>9.19</v>
      </c>
      <c r="C49" s="112">
        <v>4.08</v>
      </c>
      <c r="D49" s="112">
        <v>13.95</v>
      </c>
      <c r="E49" s="112">
        <v>10.14</v>
      </c>
      <c r="F49" s="112">
        <v>8.6199999999999992</v>
      </c>
      <c r="G49" s="112">
        <v>62.4</v>
      </c>
      <c r="H49" s="112">
        <v>23.56</v>
      </c>
      <c r="I49" s="112">
        <v>6.85</v>
      </c>
      <c r="J49" s="112">
        <v>0.83</v>
      </c>
      <c r="K49" s="112">
        <v>41.66</v>
      </c>
      <c r="L49" s="112">
        <v>28.4</v>
      </c>
      <c r="M49" s="112">
        <v>92.14</v>
      </c>
      <c r="N49" s="112">
        <v>259.2</v>
      </c>
      <c r="O49" s="112">
        <v>0</v>
      </c>
      <c r="P49" s="112">
        <v>0.71</v>
      </c>
      <c r="Q49" s="112">
        <v>4.7</v>
      </c>
    </row>
    <row r="50" spans="1:17" customFormat="1">
      <c r="A50" s="80">
        <v>45488.4375</v>
      </c>
      <c r="B50" s="112">
        <v>9.16</v>
      </c>
      <c r="C50" s="112">
        <v>4.09</v>
      </c>
      <c r="D50" s="112">
        <v>13.93</v>
      </c>
      <c r="E50" s="112">
        <v>13.16</v>
      </c>
      <c r="F50" s="112">
        <v>8.9499999999999993</v>
      </c>
      <c r="G50" s="112">
        <v>62.4</v>
      </c>
      <c r="H50" s="112">
        <v>23.56</v>
      </c>
      <c r="I50" s="112">
        <v>6.63</v>
      </c>
      <c r="J50" s="112">
        <v>0.53</v>
      </c>
      <c r="K50" s="112">
        <v>31.34</v>
      </c>
      <c r="L50" s="112">
        <v>28.95</v>
      </c>
      <c r="M50" s="112">
        <v>89.47</v>
      </c>
      <c r="N50" s="112">
        <v>275.3</v>
      </c>
      <c r="O50" s="112">
        <v>0</v>
      </c>
      <c r="P50" s="112">
        <v>0.7</v>
      </c>
      <c r="Q50" s="112">
        <v>4.6900000000000004</v>
      </c>
    </row>
    <row r="51" spans="1:17" customFormat="1">
      <c r="A51" s="80">
        <v>45488.447916666664</v>
      </c>
      <c r="B51" s="112">
        <v>9.14</v>
      </c>
      <c r="C51" s="112">
        <v>4.09</v>
      </c>
      <c r="D51" s="112">
        <v>13.92</v>
      </c>
      <c r="E51" s="112">
        <v>12.78</v>
      </c>
      <c r="F51" s="112">
        <v>9.42</v>
      </c>
      <c r="G51" s="112">
        <v>70.84</v>
      </c>
      <c r="H51" s="112">
        <v>25.59</v>
      </c>
      <c r="I51" s="112">
        <v>6.64</v>
      </c>
      <c r="J51" s="112">
        <v>0.83</v>
      </c>
      <c r="K51" s="112">
        <v>47.87</v>
      </c>
      <c r="L51" s="112">
        <v>29.39</v>
      </c>
      <c r="M51" s="112">
        <v>86.97</v>
      </c>
      <c r="N51" s="112">
        <v>213.3</v>
      </c>
      <c r="O51" s="112">
        <v>0</v>
      </c>
      <c r="P51" s="112">
        <v>0.7</v>
      </c>
      <c r="Q51" s="112">
        <v>4.6900000000000004</v>
      </c>
    </row>
    <row r="52" spans="1:17" customFormat="1">
      <c r="A52" s="80">
        <v>45488.458333333336</v>
      </c>
      <c r="B52" s="112">
        <v>9.16</v>
      </c>
      <c r="C52" s="112">
        <v>4.05</v>
      </c>
      <c r="D52" s="112">
        <v>13.91</v>
      </c>
      <c r="E52" s="112">
        <v>12.82</v>
      </c>
      <c r="F52" s="112">
        <v>10.210000000000001</v>
      </c>
      <c r="G52" s="112">
        <v>77.3</v>
      </c>
      <c r="H52" s="112">
        <v>26.26</v>
      </c>
      <c r="I52" s="112">
        <v>6.61</v>
      </c>
      <c r="J52" s="112">
        <v>1.05</v>
      </c>
      <c r="K52" s="112">
        <v>38.75</v>
      </c>
      <c r="L52" s="112">
        <v>29.28</v>
      </c>
      <c r="M52" s="112">
        <v>86.59</v>
      </c>
      <c r="N52" s="112">
        <v>254</v>
      </c>
      <c r="O52" s="112">
        <v>0</v>
      </c>
      <c r="P52" s="112">
        <v>0.72</v>
      </c>
      <c r="Q52" s="112">
        <v>4.71</v>
      </c>
    </row>
    <row r="53" spans="1:17" customFormat="1">
      <c r="A53" s="80">
        <v>45488.46875</v>
      </c>
      <c r="B53" s="112">
        <v>9.14</v>
      </c>
      <c r="C53" s="112">
        <v>4.07</v>
      </c>
      <c r="D53" s="112">
        <v>13.91</v>
      </c>
      <c r="E53" s="112">
        <v>12.23</v>
      </c>
      <c r="F53" s="112">
        <v>9.66</v>
      </c>
      <c r="G53" s="112">
        <v>77.3</v>
      </c>
      <c r="H53" s="112">
        <v>26.26</v>
      </c>
      <c r="I53" s="112">
        <v>6.62</v>
      </c>
      <c r="J53" s="112">
        <v>0.72</v>
      </c>
      <c r="K53" s="112">
        <v>55.19</v>
      </c>
      <c r="L53" s="112">
        <v>29.76</v>
      </c>
      <c r="M53" s="112">
        <v>84.47</v>
      </c>
      <c r="N53" s="112">
        <v>280.60000000000002</v>
      </c>
      <c r="O53" s="112">
        <v>0</v>
      </c>
      <c r="P53" s="112">
        <v>0.69</v>
      </c>
      <c r="Q53" s="112">
        <v>4.7</v>
      </c>
    </row>
    <row r="54" spans="1:17" customFormat="1">
      <c r="A54" s="80">
        <v>45488.479166666664</v>
      </c>
      <c r="B54" s="112">
        <v>9.14</v>
      </c>
      <c r="C54" s="112">
        <v>4.08</v>
      </c>
      <c r="D54" s="112">
        <v>13.91</v>
      </c>
      <c r="E54" s="112">
        <v>11.39</v>
      </c>
      <c r="F54" s="112">
        <v>9.89</v>
      </c>
      <c r="G54" s="112">
        <v>77.3</v>
      </c>
      <c r="H54" s="112">
        <v>26.26</v>
      </c>
      <c r="I54" s="112">
        <v>7.03</v>
      </c>
      <c r="J54" s="112">
        <v>1.01</v>
      </c>
      <c r="K54" s="112">
        <v>45.6</v>
      </c>
      <c r="L54" s="112">
        <v>30.06</v>
      </c>
      <c r="M54" s="112">
        <v>82.4</v>
      </c>
      <c r="N54" s="112">
        <v>264.89999999999998</v>
      </c>
      <c r="O54" s="112">
        <v>0</v>
      </c>
      <c r="P54" s="112">
        <v>0.68</v>
      </c>
      <c r="Q54" s="112">
        <v>4.45</v>
      </c>
    </row>
    <row r="55" spans="1:17" customFormat="1">
      <c r="A55" s="80">
        <v>45488.489583333336</v>
      </c>
      <c r="B55" s="112">
        <v>9.14</v>
      </c>
      <c r="C55" s="112">
        <v>4.08</v>
      </c>
      <c r="D55" s="112">
        <v>13.91</v>
      </c>
      <c r="E55" s="112">
        <v>12.21</v>
      </c>
      <c r="F55" s="112">
        <v>13.54</v>
      </c>
      <c r="G55" s="112">
        <v>83.2</v>
      </c>
      <c r="H55" s="112">
        <v>25.96</v>
      </c>
      <c r="I55" s="112">
        <v>6.89</v>
      </c>
      <c r="J55" s="112">
        <v>1.38</v>
      </c>
      <c r="K55" s="112">
        <v>49.57</v>
      </c>
      <c r="L55" s="112">
        <v>30.34</v>
      </c>
      <c r="M55" s="112">
        <v>81.349999999999994</v>
      </c>
      <c r="N55" s="112">
        <v>362.2</v>
      </c>
      <c r="O55" s="112">
        <v>0</v>
      </c>
      <c r="P55" s="112">
        <v>0.68</v>
      </c>
      <c r="Q55" s="112">
        <v>4.71</v>
      </c>
    </row>
    <row r="56" spans="1:17" customFormat="1">
      <c r="A56" s="80">
        <v>45488.5</v>
      </c>
      <c r="B56" s="112">
        <v>9.1300000000000008</v>
      </c>
      <c r="C56" s="112">
        <v>4.0599999999999996</v>
      </c>
      <c r="D56" s="112">
        <v>13.9</v>
      </c>
      <c r="E56" s="112">
        <v>12.52</v>
      </c>
      <c r="F56" s="112">
        <v>11.43</v>
      </c>
      <c r="G56" s="112">
        <v>87.71</v>
      </c>
      <c r="H56" s="112">
        <v>25.86</v>
      </c>
      <c r="I56" s="112">
        <v>6.7</v>
      </c>
      <c r="J56" s="112">
        <v>1</v>
      </c>
      <c r="K56" s="112">
        <v>57.65</v>
      </c>
      <c r="L56" s="112">
        <v>29.76</v>
      </c>
      <c r="M56" s="112">
        <v>85.81</v>
      </c>
      <c r="N56" s="112">
        <v>102.1</v>
      </c>
      <c r="O56" s="112">
        <v>0.4</v>
      </c>
      <c r="P56" s="112">
        <v>0.67</v>
      </c>
      <c r="Q56" s="112">
        <v>4.72</v>
      </c>
    </row>
    <row r="57" spans="1:17" customFormat="1">
      <c r="A57" s="80">
        <v>45488.510416666664</v>
      </c>
      <c r="B57" s="112">
        <v>9.14</v>
      </c>
      <c r="C57" s="112">
        <v>4.05</v>
      </c>
      <c r="D57" s="112">
        <v>13.89</v>
      </c>
      <c r="E57" s="112">
        <v>10.47</v>
      </c>
      <c r="F57" s="112">
        <v>13.12</v>
      </c>
      <c r="G57" s="112">
        <v>87.71</v>
      </c>
      <c r="H57" s="112">
        <v>25.86</v>
      </c>
      <c r="I57" s="112">
        <v>6.75</v>
      </c>
      <c r="J57" s="112">
        <v>0.24</v>
      </c>
      <c r="K57" s="112">
        <v>148.01</v>
      </c>
      <c r="L57" s="112">
        <v>29.05</v>
      </c>
      <c r="M57" s="112">
        <v>94.04</v>
      </c>
      <c r="N57" s="112">
        <v>176.1</v>
      </c>
      <c r="O57" s="112">
        <v>0</v>
      </c>
      <c r="P57" s="112">
        <v>0.64</v>
      </c>
      <c r="Q57" s="112">
        <v>4.72</v>
      </c>
    </row>
    <row r="58" spans="1:17" customFormat="1">
      <c r="A58" s="80">
        <v>45488.520833333336</v>
      </c>
      <c r="B58" s="112">
        <v>9.15</v>
      </c>
      <c r="C58" s="112">
        <v>4.05</v>
      </c>
      <c r="D58" s="112">
        <v>13.9</v>
      </c>
      <c r="E58" s="112">
        <v>10.91</v>
      </c>
      <c r="F58" s="112">
        <v>15.36</v>
      </c>
      <c r="G58" s="112">
        <v>87.71</v>
      </c>
      <c r="H58" s="112">
        <v>25.86</v>
      </c>
      <c r="I58" s="112">
        <v>6.54</v>
      </c>
      <c r="J58" s="112">
        <v>0.2</v>
      </c>
      <c r="K58" s="112">
        <v>117.53</v>
      </c>
      <c r="L58" s="112">
        <v>29.95</v>
      </c>
      <c r="M58" s="112">
        <v>91</v>
      </c>
      <c r="N58" s="112">
        <v>353.6</v>
      </c>
      <c r="O58" s="112">
        <v>0</v>
      </c>
      <c r="P58" s="112">
        <v>0.62</v>
      </c>
      <c r="Q58" s="112">
        <v>4.71</v>
      </c>
    </row>
    <row r="59" spans="1:17" customFormat="1">
      <c r="A59" s="80">
        <v>45488.53125</v>
      </c>
      <c r="B59" s="112">
        <v>9.14</v>
      </c>
      <c r="C59" s="112">
        <v>4.08</v>
      </c>
      <c r="D59" s="112">
        <v>13.92</v>
      </c>
      <c r="E59" s="112">
        <v>12.23</v>
      </c>
      <c r="F59" s="112">
        <v>18.29</v>
      </c>
      <c r="G59" s="112">
        <v>78.790000000000006</v>
      </c>
      <c r="H59" s="112">
        <v>24.21</v>
      </c>
      <c r="I59" s="112">
        <v>6.14</v>
      </c>
      <c r="J59" s="112">
        <v>0.28999999999999998</v>
      </c>
      <c r="K59" s="112">
        <v>120.56</v>
      </c>
      <c r="L59" s="112">
        <v>31.09</v>
      </c>
      <c r="M59" s="112">
        <v>84.21</v>
      </c>
      <c r="N59" s="112">
        <v>418.1</v>
      </c>
      <c r="O59" s="112">
        <v>0</v>
      </c>
      <c r="P59" s="112">
        <v>0.63</v>
      </c>
      <c r="Q59" s="112">
        <v>4.72</v>
      </c>
    </row>
    <row r="60" spans="1:17" customFormat="1">
      <c r="A60" s="80">
        <v>45488.541666666664</v>
      </c>
      <c r="B60" s="112">
        <v>9.15</v>
      </c>
      <c r="C60" s="112">
        <v>4.05</v>
      </c>
      <c r="D60" s="112">
        <v>13.91</v>
      </c>
      <c r="E60" s="112">
        <v>14.35</v>
      </c>
      <c r="F60" s="112">
        <v>16.489999999999998</v>
      </c>
      <c r="G60" s="112">
        <v>71.97</v>
      </c>
      <c r="H60" s="112">
        <v>23.19</v>
      </c>
      <c r="I60" s="112">
        <v>6.1</v>
      </c>
      <c r="J60" s="112">
        <v>0.27</v>
      </c>
      <c r="K60" s="112">
        <v>84.82</v>
      </c>
      <c r="L60" s="112">
        <v>31.13</v>
      </c>
      <c r="M60" s="112">
        <v>82.67</v>
      </c>
      <c r="N60" s="112">
        <v>237.5</v>
      </c>
      <c r="O60" s="112">
        <v>0</v>
      </c>
      <c r="P60" s="112">
        <v>0.62</v>
      </c>
      <c r="Q60" s="112">
        <v>4.72</v>
      </c>
    </row>
    <row r="61" spans="1:17" customFormat="1">
      <c r="A61" s="80">
        <v>45488.552083333336</v>
      </c>
      <c r="B61" s="112">
        <v>9.1300000000000008</v>
      </c>
      <c r="C61" s="112">
        <v>4.07</v>
      </c>
      <c r="D61" s="112">
        <v>13.9</v>
      </c>
      <c r="E61" s="112">
        <v>15.38</v>
      </c>
      <c r="F61" s="112">
        <v>17.059999999999999</v>
      </c>
      <c r="G61" s="112">
        <v>71.97</v>
      </c>
      <c r="H61" s="112">
        <v>23.19</v>
      </c>
      <c r="I61" s="112">
        <v>6.04</v>
      </c>
      <c r="J61" s="112">
        <v>0.55000000000000004</v>
      </c>
      <c r="K61" s="112">
        <v>55.87</v>
      </c>
      <c r="L61" s="112">
        <v>31.61</v>
      </c>
      <c r="M61" s="112">
        <v>79.61</v>
      </c>
      <c r="N61" s="112">
        <v>440.1</v>
      </c>
      <c r="O61" s="112">
        <v>0</v>
      </c>
      <c r="P61" s="112">
        <v>0.64</v>
      </c>
      <c r="Q61" s="112">
        <v>4.7</v>
      </c>
    </row>
    <row r="62" spans="1:17" customFormat="1">
      <c r="A62" s="80">
        <v>45488.5625</v>
      </c>
      <c r="B62" s="112">
        <v>9.1300000000000008</v>
      </c>
      <c r="C62" s="112">
        <v>4.0599999999999996</v>
      </c>
      <c r="D62" s="112">
        <v>13.89</v>
      </c>
      <c r="E62" s="112">
        <v>12.45</v>
      </c>
      <c r="F62" s="112">
        <v>13.07</v>
      </c>
      <c r="G62" s="112">
        <v>71.97</v>
      </c>
      <c r="H62" s="112">
        <v>23.19</v>
      </c>
      <c r="I62" s="112">
        <v>5.97</v>
      </c>
      <c r="J62" s="112">
        <v>0.45</v>
      </c>
      <c r="K62" s="112">
        <v>78.17</v>
      </c>
      <c r="L62" s="112">
        <v>31.53</v>
      </c>
      <c r="M62" s="112">
        <v>79.489999999999995</v>
      </c>
      <c r="N62" s="112">
        <v>199.8</v>
      </c>
      <c r="O62" s="112">
        <v>0</v>
      </c>
      <c r="P62" s="112">
        <v>0.62</v>
      </c>
      <c r="Q62" s="112">
        <v>4.6900000000000004</v>
      </c>
    </row>
    <row r="63" spans="1:17" customFormat="1">
      <c r="A63" s="80">
        <v>45488.572916666664</v>
      </c>
      <c r="B63" s="112">
        <v>9.14</v>
      </c>
      <c r="C63" s="112">
        <v>4.0599999999999996</v>
      </c>
      <c r="D63" s="112">
        <v>13.9</v>
      </c>
      <c r="E63" s="112">
        <v>11.44</v>
      </c>
      <c r="F63" s="112">
        <v>20.8</v>
      </c>
      <c r="G63" s="112">
        <v>61.02</v>
      </c>
      <c r="H63" s="112">
        <v>21.25</v>
      </c>
      <c r="I63" s="112">
        <v>6.02</v>
      </c>
      <c r="J63" s="112">
        <v>0.16</v>
      </c>
      <c r="K63" s="112">
        <v>133.65</v>
      </c>
      <c r="L63" s="112">
        <v>31.26</v>
      </c>
      <c r="M63" s="112">
        <v>82.6</v>
      </c>
      <c r="N63" s="112">
        <v>74.400000000000006</v>
      </c>
      <c r="O63" s="112">
        <v>0</v>
      </c>
      <c r="P63" s="112">
        <v>0.57999999999999996</v>
      </c>
      <c r="Q63" s="112">
        <v>4.68</v>
      </c>
    </row>
    <row r="64" spans="1:17" customFormat="1">
      <c r="A64" s="80">
        <v>45488.583333333336</v>
      </c>
      <c r="B64" s="112">
        <v>9.14</v>
      </c>
      <c r="C64" s="112">
        <v>4.0599999999999996</v>
      </c>
      <c r="D64" s="112">
        <v>13.9</v>
      </c>
      <c r="E64" s="112">
        <v>11.28</v>
      </c>
      <c r="F64" s="112">
        <v>21.71</v>
      </c>
      <c r="G64" s="112">
        <v>52.65</v>
      </c>
      <c r="H64" s="112">
        <v>20.63</v>
      </c>
      <c r="I64" s="112">
        <v>6.03</v>
      </c>
      <c r="J64" s="112">
        <v>0.26</v>
      </c>
      <c r="K64" s="112">
        <v>87</v>
      </c>
      <c r="L64" s="112">
        <v>31.22</v>
      </c>
      <c r="M64" s="112">
        <v>84.06</v>
      </c>
      <c r="N64" s="112">
        <v>249.9</v>
      </c>
      <c r="O64" s="112">
        <v>0</v>
      </c>
      <c r="P64" s="112">
        <v>0.56000000000000005</v>
      </c>
      <c r="Q64" s="112">
        <v>4.67</v>
      </c>
    </row>
    <row r="65" spans="1:17" customFormat="1">
      <c r="A65" s="80">
        <v>45488.59375</v>
      </c>
      <c r="B65" s="112">
        <v>9.14</v>
      </c>
      <c r="C65" s="112">
        <v>4.0599999999999996</v>
      </c>
      <c r="D65" s="112">
        <v>13.9</v>
      </c>
      <c r="E65" s="112">
        <v>11.58</v>
      </c>
      <c r="F65" s="112">
        <v>12.82</v>
      </c>
      <c r="G65" s="112">
        <v>52.65</v>
      </c>
      <c r="H65" s="112">
        <v>20.63</v>
      </c>
      <c r="I65" s="112">
        <v>5.4</v>
      </c>
      <c r="J65" s="112">
        <v>0.15</v>
      </c>
      <c r="K65" s="112">
        <v>94.32</v>
      </c>
      <c r="L65" s="112">
        <v>32.47</v>
      </c>
      <c r="M65" s="112">
        <v>78.17</v>
      </c>
      <c r="N65" s="112">
        <v>363</v>
      </c>
      <c r="O65" s="112">
        <v>0</v>
      </c>
      <c r="P65" s="112">
        <v>0.56000000000000005</v>
      </c>
      <c r="Q65" s="112">
        <v>4.6900000000000004</v>
      </c>
    </row>
    <row r="66" spans="1:17" customFormat="1">
      <c r="A66" s="80">
        <v>45488.604166666664</v>
      </c>
      <c r="B66" s="112">
        <v>9.15</v>
      </c>
      <c r="C66" s="112">
        <v>4.07</v>
      </c>
      <c r="D66" s="112">
        <v>13.92</v>
      </c>
      <c r="E66" s="112">
        <v>10.56</v>
      </c>
      <c r="F66" s="112">
        <v>15.58</v>
      </c>
      <c r="G66" s="112">
        <v>52.65</v>
      </c>
      <c r="H66" s="112">
        <v>20.63</v>
      </c>
      <c r="I66" s="112">
        <v>5.36</v>
      </c>
      <c r="J66" s="112">
        <v>0.25</v>
      </c>
      <c r="K66" s="112">
        <v>159.1</v>
      </c>
      <c r="L66" s="112">
        <v>32.1</v>
      </c>
      <c r="M66" s="112">
        <v>79</v>
      </c>
      <c r="N66" s="112">
        <v>91.6</v>
      </c>
      <c r="O66" s="112">
        <v>0</v>
      </c>
      <c r="P66" s="112">
        <v>0.5</v>
      </c>
      <c r="Q66" s="112">
        <v>4.68</v>
      </c>
    </row>
    <row r="67" spans="1:17" customFormat="1">
      <c r="A67" s="80">
        <v>45488.614583333336</v>
      </c>
      <c r="B67" s="112">
        <v>9.24</v>
      </c>
      <c r="C67" s="112">
        <v>4.0599999999999996</v>
      </c>
      <c r="D67" s="112">
        <v>13.98</v>
      </c>
      <c r="E67" s="112">
        <v>10.39</v>
      </c>
      <c r="F67" s="112">
        <v>19.190000000000001</v>
      </c>
      <c r="G67" s="112">
        <v>48.63</v>
      </c>
      <c r="H67" s="112">
        <v>20.46</v>
      </c>
      <c r="I67" s="112">
        <v>5.79</v>
      </c>
      <c r="J67" s="112">
        <v>0.2</v>
      </c>
      <c r="K67" s="112">
        <v>145.11000000000001</v>
      </c>
      <c r="L67" s="112">
        <v>31.41</v>
      </c>
      <c r="M67" s="112">
        <v>82.83</v>
      </c>
      <c r="N67" s="112">
        <v>112.1</v>
      </c>
      <c r="O67" s="112">
        <v>0</v>
      </c>
      <c r="P67" s="112">
        <v>0.46</v>
      </c>
      <c r="Q67" s="112">
        <v>4.68</v>
      </c>
    </row>
    <row r="68" spans="1:17" customFormat="1">
      <c r="A68" s="80">
        <v>45488.625</v>
      </c>
      <c r="B68" s="112">
        <v>9.26</v>
      </c>
      <c r="C68" s="112">
        <v>4.05</v>
      </c>
      <c r="D68" s="112">
        <v>13.99</v>
      </c>
      <c r="E68" s="112">
        <v>10.83</v>
      </c>
      <c r="F68" s="112">
        <v>15.47</v>
      </c>
      <c r="G68" s="112">
        <v>45.55</v>
      </c>
      <c r="H68" s="112">
        <v>20.399999999999999</v>
      </c>
      <c r="I68" s="112">
        <v>5.58</v>
      </c>
      <c r="J68" s="112">
        <v>0.12</v>
      </c>
      <c r="K68" s="112">
        <v>133.41999999999999</v>
      </c>
      <c r="L68" s="112">
        <v>30.44</v>
      </c>
      <c r="M68" s="112">
        <v>85.83</v>
      </c>
      <c r="N68" s="112">
        <v>68.5</v>
      </c>
      <c r="O68" s="112">
        <v>0.4</v>
      </c>
      <c r="P68" s="112">
        <v>0.48</v>
      </c>
      <c r="Q68" s="112">
        <v>4.6900000000000004</v>
      </c>
    </row>
    <row r="69" spans="1:17" customFormat="1">
      <c r="A69" s="80">
        <v>45488.635416666664</v>
      </c>
      <c r="B69" s="112">
        <v>9.23</v>
      </c>
      <c r="C69" s="112">
        <v>4.07</v>
      </c>
      <c r="D69" s="112">
        <v>13.98</v>
      </c>
      <c r="E69" s="112">
        <v>9.9600000000000009</v>
      </c>
      <c r="F69" s="112">
        <v>16.48</v>
      </c>
      <c r="G69" s="112">
        <v>45.55</v>
      </c>
      <c r="H69" s="112">
        <v>20.399999999999999</v>
      </c>
      <c r="I69" s="112">
        <v>5.12</v>
      </c>
      <c r="J69" s="112">
        <v>0.17</v>
      </c>
      <c r="K69" s="112">
        <v>167.44</v>
      </c>
      <c r="L69" s="112">
        <v>29.79</v>
      </c>
      <c r="M69" s="112">
        <v>89.29</v>
      </c>
      <c r="N69" s="112">
        <v>115.7</v>
      </c>
      <c r="O69" s="112">
        <v>0</v>
      </c>
      <c r="P69" s="112">
        <v>0.46</v>
      </c>
      <c r="Q69" s="112">
        <v>4.7</v>
      </c>
    </row>
    <row r="70" spans="1:17" customFormat="1">
      <c r="A70" s="80">
        <v>45488.645833333336</v>
      </c>
      <c r="B70" s="112">
        <v>9.18</v>
      </c>
      <c r="C70" s="112">
        <v>4.08</v>
      </c>
      <c r="D70" s="112">
        <v>13.95</v>
      </c>
      <c r="E70" s="112">
        <v>10.6</v>
      </c>
      <c r="F70" s="112">
        <v>12.83</v>
      </c>
      <c r="G70" s="112">
        <v>45.55</v>
      </c>
      <c r="H70" s="112">
        <v>20.399999999999999</v>
      </c>
      <c r="I70" s="112">
        <v>5.16</v>
      </c>
      <c r="J70" s="112">
        <v>0.03</v>
      </c>
      <c r="K70" s="112">
        <v>277.39999999999998</v>
      </c>
      <c r="L70" s="112">
        <v>30.62</v>
      </c>
      <c r="M70" s="112">
        <v>87.21</v>
      </c>
      <c r="N70" s="112">
        <v>265.2</v>
      </c>
      <c r="O70" s="112">
        <v>0</v>
      </c>
      <c r="P70" s="112">
        <v>0.46</v>
      </c>
      <c r="Q70" s="112">
        <v>4.7</v>
      </c>
    </row>
    <row r="71" spans="1:17" customFormat="1">
      <c r="A71" s="80">
        <v>45488.65625</v>
      </c>
      <c r="B71" s="112">
        <v>9.17</v>
      </c>
      <c r="C71" s="112">
        <v>4.05</v>
      </c>
      <c r="D71" s="112">
        <v>13.92</v>
      </c>
      <c r="E71" s="112">
        <v>10.36</v>
      </c>
      <c r="F71" s="112">
        <v>10.64</v>
      </c>
      <c r="G71" s="112">
        <v>49.36</v>
      </c>
      <c r="H71" s="112">
        <v>21.81</v>
      </c>
      <c r="I71" s="112">
        <v>5.0199999999999996</v>
      </c>
      <c r="J71" s="112">
        <v>0.14000000000000001</v>
      </c>
      <c r="K71" s="112">
        <v>258.58</v>
      </c>
      <c r="L71" s="112">
        <v>30.36</v>
      </c>
      <c r="M71" s="112">
        <v>84.77</v>
      </c>
      <c r="N71" s="112">
        <v>89.3</v>
      </c>
      <c r="O71" s="112">
        <v>0</v>
      </c>
      <c r="P71" s="112">
        <v>0.46</v>
      </c>
      <c r="Q71" s="112">
        <v>4.6900000000000004</v>
      </c>
    </row>
    <row r="72" spans="1:17" customFormat="1">
      <c r="A72" s="80">
        <v>45488.666666666664</v>
      </c>
      <c r="B72" s="112">
        <v>9.15</v>
      </c>
      <c r="C72" s="112">
        <v>4.08</v>
      </c>
      <c r="D72" s="112">
        <v>13.92</v>
      </c>
      <c r="E72" s="112">
        <v>10.29</v>
      </c>
      <c r="F72" s="112">
        <v>11.62</v>
      </c>
      <c r="G72" s="112">
        <v>52.28</v>
      </c>
      <c r="H72" s="112">
        <v>22.26</v>
      </c>
      <c r="I72" s="112">
        <v>5.07</v>
      </c>
      <c r="J72" s="112">
        <v>0.12</v>
      </c>
      <c r="K72" s="112">
        <v>300.01</v>
      </c>
      <c r="L72" s="112">
        <v>29.01</v>
      </c>
      <c r="M72" s="112">
        <v>89.15</v>
      </c>
      <c r="N72" s="112">
        <v>33.799999999999997</v>
      </c>
      <c r="O72" s="112">
        <v>0</v>
      </c>
      <c r="P72" s="112">
        <v>0.45</v>
      </c>
      <c r="Q72" s="112">
        <v>4.71</v>
      </c>
    </row>
    <row r="73" spans="1:17" customFormat="1">
      <c r="A73" s="80">
        <v>45488.677083333336</v>
      </c>
      <c r="B73" s="112">
        <v>9.16</v>
      </c>
      <c r="C73" s="112">
        <v>4.05</v>
      </c>
      <c r="D73" s="112">
        <v>13.91</v>
      </c>
      <c r="E73" s="112">
        <v>10.87</v>
      </c>
      <c r="F73" s="112">
        <v>7.71</v>
      </c>
      <c r="G73" s="112">
        <v>52.28</v>
      </c>
      <c r="H73" s="112">
        <v>22.26</v>
      </c>
      <c r="I73" s="112">
        <v>5.04</v>
      </c>
      <c r="J73" s="112">
        <v>0.32</v>
      </c>
      <c r="K73" s="112">
        <v>118.27</v>
      </c>
      <c r="L73" s="112">
        <v>27.12</v>
      </c>
      <c r="M73" s="112">
        <v>94.27</v>
      </c>
      <c r="N73" s="112">
        <v>18.2</v>
      </c>
      <c r="O73" s="112">
        <v>6.2</v>
      </c>
      <c r="P73" s="112">
        <v>0.46</v>
      </c>
      <c r="Q73" s="112">
        <v>4.7</v>
      </c>
    </row>
    <row r="74" spans="1:17" customFormat="1">
      <c r="A74" s="80">
        <v>45488.6875</v>
      </c>
      <c r="B74" s="112">
        <v>9.15</v>
      </c>
      <c r="C74" s="112">
        <v>4.0599999999999996</v>
      </c>
      <c r="D74" s="112">
        <v>13.91</v>
      </c>
      <c r="E74" s="112">
        <v>10.39</v>
      </c>
      <c r="F74" s="112">
        <v>7.32</v>
      </c>
      <c r="G74" s="112">
        <v>52.28</v>
      </c>
      <c r="H74" s="112">
        <v>22.26</v>
      </c>
      <c r="I74" s="112">
        <v>4.96</v>
      </c>
      <c r="J74" s="112">
        <v>0.28000000000000003</v>
      </c>
      <c r="K74" s="112">
        <v>286.35000000000002</v>
      </c>
      <c r="L74" s="112">
        <v>25.99</v>
      </c>
      <c r="M74" s="112">
        <v>100.75</v>
      </c>
      <c r="N74" s="112">
        <v>26.8</v>
      </c>
      <c r="O74" s="112">
        <v>1.8</v>
      </c>
      <c r="P74" s="112">
        <v>0.45</v>
      </c>
      <c r="Q74" s="112">
        <v>4.71</v>
      </c>
    </row>
    <row r="75" spans="1:17" customFormat="1">
      <c r="A75" s="80">
        <v>45488.697916666664</v>
      </c>
      <c r="B75" s="112">
        <v>9.1300000000000008</v>
      </c>
      <c r="C75" s="112">
        <v>4.09</v>
      </c>
      <c r="D75" s="112">
        <v>13.9</v>
      </c>
      <c r="E75" s="112">
        <v>9.65</v>
      </c>
      <c r="F75" s="112">
        <v>6.39</v>
      </c>
      <c r="G75" s="112">
        <v>44.07</v>
      </c>
      <c r="H75" s="112">
        <v>18.329999999999998</v>
      </c>
      <c r="I75" s="112">
        <v>4.96</v>
      </c>
      <c r="J75" s="112">
        <v>0.27</v>
      </c>
      <c r="K75" s="112">
        <v>323.99</v>
      </c>
      <c r="L75" s="112">
        <v>26.14</v>
      </c>
      <c r="M75" s="112">
        <v>101.41</v>
      </c>
      <c r="N75" s="112">
        <v>26</v>
      </c>
      <c r="O75" s="112">
        <v>0</v>
      </c>
      <c r="P75" s="112">
        <v>0.46</v>
      </c>
      <c r="Q75" s="112">
        <v>4.7</v>
      </c>
    </row>
    <row r="76" spans="1:17" customFormat="1">
      <c r="A76" s="80">
        <v>45488.708333333336</v>
      </c>
      <c r="B76" s="112">
        <v>9.1199999999999992</v>
      </c>
      <c r="C76" s="112">
        <v>4.0999999999999996</v>
      </c>
      <c r="D76" s="112">
        <v>13.91</v>
      </c>
      <c r="E76" s="112">
        <v>10.4</v>
      </c>
      <c r="F76" s="112">
        <v>4.8</v>
      </c>
      <c r="G76" s="112">
        <v>37.79</v>
      </c>
      <c r="H76" s="112">
        <v>17.079999999999998</v>
      </c>
      <c r="I76" s="112">
        <v>4.8600000000000003</v>
      </c>
      <c r="J76" s="112">
        <v>0.11</v>
      </c>
      <c r="K76" s="112">
        <v>257.10000000000002</v>
      </c>
      <c r="L76" s="112">
        <v>26.11</v>
      </c>
      <c r="M76" s="112">
        <v>101.86</v>
      </c>
      <c r="N76" s="112">
        <v>18</v>
      </c>
      <c r="O76" s="112">
        <v>0</v>
      </c>
      <c r="P76" s="112">
        <v>0.47</v>
      </c>
      <c r="Q76" s="112">
        <v>4.7</v>
      </c>
    </row>
    <row r="77" spans="1:17" customFormat="1">
      <c r="A77" s="80">
        <v>45488.71875</v>
      </c>
      <c r="B77" s="112">
        <v>9.1300000000000008</v>
      </c>
      <c r="C77" s="112">
        <v>4.08</v>
      </c>
      <c r="D77" s="112">
        <v>13.9</v>
      </c>
      <c r="E77" s="112">
        <v>10.56</v>
      </c>
      <c r="F77" s="112">
        <v>5.33</v>
      </c>
      <c r="G77" s="112">
        <v>37.79</v>
      </c>
      <c r="H77" s="112">
        <v>17.079999999999998</v>
      </c>
      <c r="I77" s="112">
        <v>4.8499999999999996</v>
      </c>
      <c r="J77" s="112">
        <v>0.13</v>
      </c>
      <c r="K77" s="112">
        <v>238.97</v>
      </c>
      <c r="L77" s="112">
        <v>26</v>
      </c>
      <c r="M77" s="112">
        <v>101.42</v>
      </c>
      <c r="N77" s="112">
        <v>13</v>
      </c>
      <c r="O77" s="112">
        <v>0</v>
      </c>
      <c r="P77" s="112">
        <v>0.46</v>
      </c>
      <c r="Q77" s="112">
        <v>4.7</v>
      </c>
    </row>
    <row r="78" spans="1:17" customFormat="1">
      <c r="A78" s="80">
        <v>45488.729166666664</v>
      </c>
      <c r="B78" s="112">
        <v>9.14</v>
      </c>
      <c r="C78" s="112">
        <v>4.08</v>
      </c>
      <c r="D78" s="112">
        <v>13.91</v>
      </c>
      <c r="E78" s="112">
        <v>10.81</v>
      </c>
      <c r="F78" s="112">
        <v>5.69</v>
      </c>
      <c r="G78" s="112">
        <v>37.79</v>
      </c>
      <c r="H78" s="112">
        <v>17.079999999999998</v>
      </c>
      <c r="I78" s="112">
        <v>4.93</v>
      </c>
      <c r="J78" s="112">
        <v>0.11</v>
      </c>
      <c r="K78" s="112">
        <v>140.81</v>
      </c>
      <c r="L78" s="112">
        <v>25.9</v>
      </c>
      <c r="M78" s="112">
        <v>103.27</v>
      </c>
      <c r="N78" s="112">
        <v>13.6</v>
      </c>
      <c r="O78" s="112">
        <v>0</v>
      </c>
      <c r="P78" s="112">
        <v>0.45</v>
      </c>
      <c r="Q78" s="112">
        <v>4.71</v>
      </c>
    </row>
    <row r="79" spans="1:17" customFormat="1">
      <c r="A79" s="80">
        <v>45488.739583333336</v>
      </c>
      <c r="B79" s="112">
        <v>9.14</v>
      </c>
      <c r="C79" s="112">
        <v>4.08</v>
      </c>
      <c r="D79" s="112">
        <v>13.91</v>
      </c>
      <c r="E79" s="112">
        <v>10.35</v>
      </c>
      <c r="F79" s="112">
        <v>6.91</v>
      </c>
      <c r="G79" s="112">
        <v>30.24</v>
      </c>
      <c r="H79" s="112">
        <v>15.21</v>
      </c>
      <c r="I79" s="112">
        <v>4.8899999999999997</v>
      </c>
      <c r="J79" s="112">
        <v>0.09</v>
      </c>
      <c r="K79" s="112">
        <v>143.16</v>
      </c>
      <c r="L79" s="112">
        <v>25.91</v>
      </c>
      <c r="M79" s="112">
        <v>104.12</v>
      </c>
      <c r="N79" s="112">
        <v>18.7</v>
      </c>
      <c r="O79" s="112">
        <v>0</v>
      </c>
      <c r="P79" s="112">
        <v>0.45</v>
      </c>
      <c r="Q79" s="112">
        <v>4.71</v>
      </c>
    </row>
    <row r="80" spans="1:17" customFormat="1">
      <c r="A80" s="80">
        <v>45488.75</v>
      </c>
      <c r="B80" s="112">
        <v>9.16</v>
      </c>
      <c r="C80" s="112">
        <v>4.07</v>
      </c>
      <c r="D80" s="112">
        <v>13.92</v>
      </c>
      <c r="E80" s="112">
        <v>11.02</v>
      </c>
      <c r="F80" s="112">
        <v>3.79</v>
      </c>
      <c r="G80" s="112">
        <v>24.47</v>
      </c>
      <c r="H80" s="112">
        <v>14.61</v>
      </c>
      <c r="I80" s="112">
        <v>4.8600000000000003</v>
      </c>
      <c r="J80" s="112">
        <v>0.16</v>
      </c>
      <c r="K80" s="112">
        <v>80.5</v>
      </c>
      <c r="L80" s="112">
        <v>26.06</v>
      </c>
      <c r="M80" s="112">
        <v>103.47</v>
      </c>
      <c r="N80" s="112">
        <v>19.100000000000001</v>
      </c>
      <c r="O80" s="112">
        <v>0</v>
      </c>
      <c r="P80" s="112">
        <v>0.46</v>
      </c>
      <c r="Q80" s="112">
        <v>4.7</v>
      </c>
    </row>
    <row r="81" spans="1:17" customFormat="1">
      <c r="A81" s="80">
        <v>45488.760416666664</v>
      </c>
      <c r="B81" s="112">
        <v>9.16</v>
      </c>
      <c r="C81" s="112">
        <v>4.0599999999999996</v>
      </c>
      <c r="D81" s="112">
        <v>13.91</v>
      </c>
      <c r="E81" s="112">
        <v>8.2799999999999994</v>
      </c>
      <c r="F81" s="112">
        <v>3.83</v>
      </c>
      <c r="G81" s="112">
        <v>24.47</v>
      </c>
      <c r="H81" s="112">
        <v>14.61</v>
      </c>
      <c r="I81" s="112">
        <v>4.7300000000000004</v>
      </c>
      <c r="J81" s="112">
        <v>0.78</v>
      </c>
      <c r="K81" s="112">
        <v>53.88</v>
      </c>
      <c r="L81" s="112">
        <v>25.94</v>
      </c>
      <c r="M81" s="112">
        <v>103.17</v>
      </c>
      <c r="N81" s="112">
        <v>10.5</v>
      </c>
      <c r="O81" s="112">
        <v>0</v>
      </c>
      <c r="P81" s="112">
        <v>0.48</v>
      </c>
      <c r="Q81" s="112">
        <v>4.72</v>
      </c>
    </row>
    <row r="82" spans="1:17" customFormat="1">
      <c r="A82" s="80">
        <v>45488.770833333336</v>
      </c>
      <c r="B82" s="112">
        <v>9.15</v>
      </c>
      <c r="C82" s="112">
        <v>4.05</v>
      </c>
      <c r="D82" s="112">
        <v>13.91</v>
      </c>
      <c r="E82" s="112">
        <v>9.91</v>
      </c>
      <c r="F82" s="112">
        <v>4.84</v>
      </c>
      <c r="G82" s="112">
        <v>24.47</v>
      </c>
      <c r="H82" s="112">
        <v>14.61</v>
      </c>
      <c r="I82" s="112">
        <v>4.8600000000000003</v>
      </c>
      <c r="J82" s="112">
        <v>0.28000000000000003</v>
      </c>
      <c r="K82" s="112">
        <v>66.099999999999994</v>
      </c>
      <c r="L82" s="112">
        <v>26.16</v>
      </c>
      <c r="M82" s="112">
        <v>103.33</v>
      </c>
      <c r="N82" s="112">
        <v>4.2</v>
      </c>
      <c r="O82" s="112">
        <v>0</v>
      </c>
      <c r="P82" s="112">
        <v>0.48</v>
      </c>
      <c r="Q82" s="112">
        <v>4.71</v>
      </c>
    </row>
    <row r="83" spans="1:17" customFormat="1">
      <c r="A83" s="80">
        <v>45488.78125</v>
      </c>
      <c r="B83" s="112">
        <v>9.16</v>
      </c>
      <c r="C83" s="112">
        <v>4.03</v>
      </c>
      <c r="D83" s="112">
        <v>13.9</v>
      </c>
      <c r="E83" s="112">
        <v>9.89</v>
      </c>
      <c r="F83" s="112">
        <v>6.17</v>
      </c>
      <c r="G83" s="112">
        <v>35.26</v>
      </c>
      <c r="H83" s="112">
        <v>14.78</v>
      </c>
      <c r="I83" s="112">
        <v>5.18</v>
      </c>
      <c r="J83" s="112">
        <v>0.11</v>
      </c>
      <c r="K83" s="112">
        <v>134.43</v>
      </c>
      <c r="L83" s="112">
        <v>26.32</v>
      </c>
      <c r="M83" s="112">
        <v>104.18</v>
      </c>
      <c r="N83" s="112">
        <v>2.6</v>
      </c>
      <c r="O83" s="112">
        <v>0</v>
      </c>
      <c r="P83" s="112">
        <v>0.5</v>
      </c>
      <c r="Q83" s="112">
        <v>4.71</v>
      </c>
    </row>
    <row r="84" spans="1:17" customFormat="1">
      <c r="A84" s="80">
        <v>45488.791666666664</v>
      </c>
      <c r="B84" s="112">
        <v>9.1300000000000008</v>
      </c>
      <c r="C84" s="112">
        <v>4.08</v>
      </c>
      <c r="D84" s="112">
        <v>13.9</v>
      </c>
      <c r="E84" s="112">
        <v>10.38</v>
      </c>
      <c r="F84" s="112">
        <v>3.73</v>
      </c>
      <c r="G84" s="112">
        <v>43.51</v>
      </c>
      <c r="H84" s="112">
        <v>14.88</v>
      </c>
      <c r="I84" s="112">
        <v>5.23</v>
      </c>
      <c r="J84" s="112">
        <v>7.0000000000000007E-2</v>
      </c>
      <c r="K84" s="112">
        <v>206.85</v>
      </c>
      <c r="L84" s="112">
        <v>26.22</v>
      </c>
      <c r="M84" s="112">
        <v>104.99</v>
      </c>
      <c r="N84" s="112">
        <v>2.5</v>
      </c>
      <c r="O84" s="112">
        <v>0</v>
      </c>
      <c r="P84" s="112">
        <v>0.52</v>
      </c>
      <c r="Q84" s="112">
        <v>4.71</v>
      </c>
    </row>
    <row r="85" spans="1:17" customFormat="1">
      <c r="A85" s="80">
        <v>45488.802083333336</v>
      </c>
      <c r="B85" s="112">
        <v>9.15</v>
      </c>
      <c r="C85" s="112">
        <v>4.0599999999999996</v>
      </c>
      <c r="D85" s="112">
        <v>13.91</v>
      </c>
      <c r="E85" s="112">
        <v>9.93</v>
      </c>
      <c r="F85" s="112">
        <v>4.3099999999999996</v>
      </c>
      <c r="G85" s="112">
        <v>43.51</v>
      </c>
      <c r="H85" s="112">
        <v>14.88</v>
      </c>
      <c r="I85" s="112">
        <v>5.14</v>
      </c>
      <c r="J85" s="112">
        <v>0.15</v>
      </c>
      <c r="K85" s="112">
        <v>176.36</v>
      </c>
      <c r="L85" s="112">
        <v>26.35</v>
      </c>
      <c r="M85" s="112">
        <v>105.77</v>
      </c>
      <c r="N85" s="112">
        <v>2.2999999999999998</v>
      </c>
      <c r="O85" s="112">
        <v>0</v>
      </c>
      <c r="P85" s="112">
        <v>0.53</v>
      </c>
      <c r="Q85" s="112">
        <v>4.71</v>
      </c>
    </row>
    <row r="86" spans="1:17" customFormat="1">
      <c r="A86" s="80">
        <v>45488.8125</v>
      </c>
      <c r="B86" s="112">
        <v>9.1999999999999993</v>
      </c>
      <c r="C86" s="112">
        <v>4.0599999999999996</v>
      </c>
      <c r="D86" s="112">
        <v>13.95</v>
      </c>
      <c r="E86" s="112">
        <v>9.81</v>
      </c>
      <c r="F86" s="112">
        <v>5.23</v>
      </c>
      <c r="G86" s="112">
        <v>43.51</v>
      </c>
      <c r="H86" s="112">
        <v>14.88</v>
      </c>
      <c r="I86" s="112">
        <v>5.28</v>
      </c>
      <c r="J86" s="112">
        <v>0.04</v>
      </c>
      <c r="K86" s="112">
        <v>72.7</v>
      </c>
      <c r="L86" s="112">
        <v>26.22</v>
      </c>
      <c r="M86" s="112">
        <v>105.04</v>
      </c>
      <c r="N86" s="112">
        <v>2.2000000000000002</v>
      </c>
      <c r="O86" s="112">
        <v>0</v>
      </c>
      <c r="P86" s="112">
        <v>0.55000000000000004</v>
      </c>
      <c r="Q86" s="112">
        <v>4.71</v>
      </c>
    </row>
    <row r="87" spans="1:17" customFormat="1">
      <c r="A87" s="80">
        <v>45488.822916666664</v>
      </c>
      <c r="B87" s="112">
        <v>9.2200000000000006</v>
      </c>
      <c r="C87" s="112">
        <v>4.04</v>
      </c>
      <c r="D87" s="112">
        <v>13.95</v>
      </c>
      <c r="E87" s="112">
        <v>8.7799999999999994</v>
      </c>
      <c r="F87" s="112">
        <v>7.77</v>
      </c>
      <c r="G87" s="112">
        <v>36.93</v>
      </c>
      <c r="H87" s="112">
        <v>13.63</v>
      </c>
      <c r="I87" s="112">
        <v>5.22</v>
      </c>
      <c r="J87" s="112">
        <v>0.06</v>
      </c>
      <c r="K87" s="112">
        <v>185.09</v>
      </c>
      <c r="L87" s="112">
        <v>26.16</v>
      </c>
      <c r="M87" s="112">
        <v>104.36</v>
      </c>
      <c r="N87" s="112">
        <v>2.2999999999999998</v>
      </c>
      <c r="O87" s="112">
        <v>0</v>
      </c>
      <c r="P87" s="112">
        <v>0.53</v>
      </c>
      <c r="Q87" s="112">
        <v>4.72</v>
      </c>
    </row>
    <row r="88" spans="1:17" customFormat="1">
      <c r="A88" s="80">
        <v>45488.833333333336</v>
      </c>
      <c r="B88" s="112">
        <v>9.19</v>
      </c>
      <c r="C88" s="112">
        <v>4.07</v>
      </c>
      <c r="D88" s="112">
        <v>13.95</v>
      </c>
      <c r="E88" s="112">
        <v>8.74</v>
      </c>
      <c r="F88" s="112">
        <v>6.66</v>
      </c>
      <c r="G88" s="112">
        <v>31.89</v>
      </c>
      <c r="H88" s="112">
        <v>13.23</v>
      </c>
      <c r="I88" s="112">
        <v>5.15</v>
      </c>
      <c r="J88" s="112">
        <v>0.12</v>
      </c>
      <c r="K88" s="112">
        <v>207.09</v>
      </c>
      <c r="L88" s="112">
        <v>26.21</v>
      </c>
      <c r="M88" s="112">
        <v>103.86</v>
      </c>
      <c r="N88" s="112">
        <v>2.2999999999999998</v>
      </c>
      <c r="O88" s="112">
        <v>0</v>
      </c>
      <c r="P88" s="112">
        <v>0.53</v>
      </c>
      <c r="Q88" s="112">
        <v>4.71</v>
      </c>
    </row>
    <row r="89" spans="1:17" customFormat="1">
      <c r="A89" s="80">
        <v>45488.84375</v>
      </c>
      <c r="B89" s="112">
        <v>9.18</v>
      </c>
      <c r="C89" s="112">
        <v>4.04</v>
      </c>
      <c r="D89" s="112">
        <v>13.92</v>
      </c>
      <c r="E89" s="112">
        <v>8.0500000000000007</v>
      </c>
      <c r="F89" s="112">
        <v>6.25</v>
      </c>
      <c r="G89" s="112">
        <v>31.89</v>
      </c>
      <c r="H89" s="112">
        <v>13.23</v>
      </c>
      <c r="I89" s="112">
        <v>4.9400000000000004</v>
      </c>
      <c r="J89" s="112">
        <v>0.12</v>
      </c>
      <c r="K89" s="112">
        <v>8.3699999999999992</v>
      </c>
      <c r="L89" s="112">
        <v>26.24</v>
      </c>
      <c r="M89" s="112">
        <v>102.56</v>
      </c>
      <c r="N89" s="112">
        <v>2.2000000000000002</v>
      </c>
      <c r="O89" s="112">
        <v>0</v>
      </c>
      <c r="P89" s="112">
        <v>0.54</v>
      </c>
      <c r="Q89" s="112">
        <v>4.71</v>
      </c>
    </row>
    <row r="90" spans="1:17" customFormat="1">
      <c r="A90" s="80">
        <v>45488.854166666664</v>
      </c>
      <c r="B90" s="112">
        <v>9.17</v>
      </c>
      <c r="C90" s="112">
        <v>4.07</v>
      </c>
      <c r="D90" s="112">
        <v>13.93</v>
      </c>
      <c r="E90" s="112">
        <v>7.95</v>
      </c>
      <c r="F90" s="112">
        <v>4.8600000000000003</v>
      </c>
      <c r="G90" s="112">
        <v>31.89</v>
      </c>
      <c r="H90" s="112">
        <v>13.23</v>
      </c>
      <c r="I90" s="112">
        <v>5.0999999999999996</v>
      </c>
      <c r="J90" s="112">
        <v>0.14000000000000001</v>
      </c>
      <c r="K90" s="112">
        <v>352.01</v>
      </c>
      <c r="L90" s="112">
        <v>26.31</v>
      </c>
      <c r="M90" s="112">
        <v>102.28</v>
      </c>
      <c r="N90" s="112">
        <v>2.4</v>
      </c>
      <c r="O90" s="112">
        <v>0</v>
      </c>
      <c r="P90" s="112">
        <v>0.59</v>
      </c>
      <c r="Q90" s="112">
        <v>4.71</v>
      </c>
    </row>
    <row r="91" spans="1:17" customFormat="1">
      <c r="A91" s="80">
        <v>45488.864583333336</v>
      </c>
      <c r="B91" s="112">
        <v>9.15</v>
      </c>
      <c r="C91" s="112">
        <v>4.1100000000000003</v>
      </c>
      <c r="D91" s="112">
        <v>13.94</v>
      </c>
      <c r="E91" s="112">
        <v>8.06</v>
      </c>
      <c r="F91" s="112">
        <v>4.0999999999999996</v>
      </c>
      <c r="G91" s="112">
        <v>35.479999999999997</v>
      </c>
      <c r="H91" s="112">
        <v>11.58</v>
      </c>
      <c r="I91" s="112">
        <v>5.2</v>
      </c>
      <c r="J91" s="112">
        <v>0.05</v>
      </c>
      <c r="K91" s="112">
        <v>260.24</v>
      </c>
      <c r="L91" s="112">
        <v>26.4</v>
      </c>
      <c r="M91" s="112">
        <v>102.49</v>
      </c>
      <c r="N91" s="112">
        <v>2.2000000000000002</v>
      </c>
      <c r="O91" s="112">
        <v>0</v>
      </c>
      <c r="P91" s="112">
        <v>0.62</v>
      </c>
      <c r="Q91" s="112">
        <v>4.71</v>
      </c>
    </row>
    <row r="92" spans="1:17" customFormat="1">
      <c r="A92" s="80">
        <v>45488.875</v>
      </c>
      <c r="B92" s="112">
        <v>9.17</v>
      </c>
      <c r="C92" s="112">
        <v>4.08</v>
      </c>
      <c r="D92" s="112">
        <v>13.93</v>
      </c>
      <c r="E92" s="112">
        <v>8.01</v>
      </c>
      <c r="F92" s="112">
        <v>4.32</v>
      </c>
      <c r="G92" s="112">
        <v>38.22</v>
      </c>
      <c r="H92" s="112">
        <v>11.05</v>
      </c>
      <c r="I92" s="112">
        <v>5.38</v>
      </c>
      <c r="J92" s="112">
        <v>0.18</v>
      </c>
      <c r="K92" s="112">
        <v>168.47</v>
      </c>
      <c r="L92" s="112">
        <v>26.41</v>
      </c>
      <c r="M92" s="112">
        <v>102.18</v>
      </c>
      <c r="N92" s="112">
        <v>2.2999999999999998</v>
      </c>
      <c r="O92" s="112">
        <v>0</v>
      </c>
      <c r="P92" s="112">
        <v>0.56999999999999995</v>
      </c>
      <c r="Q92" s="112">
        <v>4.7</v>
      </c>
    </row>
    <row r="93" spans="1:17" customFormat="1">
      <c r="A93" s="80">
        <v>45488.885416666664</v>
      </c>
      <c r="B93" s="112">
        <v>9.17</v>
      </c>
      <c r="C93" s="112">
        <v>4.1100000000000003</v>
      </c>
      <c r="D93" s="112">
        <v>13.95</v>
      </c>
      <c r="E93" s="112">
        <v>7.78</v>
      </c>
      <c r="F93" s="112">
        <v>4.04</v>
      </c>
      <c r="G93" s="112">
        <v>38.22</v>
      </c>
      <c r="H93" s="112">
        <v>11.05</v>
      </c>
      <c r="I93" s="112">
        <v>5.44</v>
      </c>
      <c r="J93" s="112">
        <v>0.14000000000000001</v>
      </c>
      <c r="K93" s="112">
        <v>90.61</v>
      </c>
      <c r="L93" s="112">
        <v>26.39</v>
      </c>
      <c r="M93" s="112">
        <v>103.39</v>
      </c>
      <c r="N93" s="112">
        <v>2.2999999999999998</v>
      </c>
      <c r="O93" s="112">
        <v>0</v>
      </c>
      <c r="P93" s="112">
        <v>0.59</v>
      </c>
      <c r="Q93" s="112">
        <v>4.71</v>
      </c>
    </row>
    <row r="94" spans="1:17" customFormat="1">
      <c r="A94" s="80">
        <v>45488.895833333336</v>
      </c>
      <c r="B94" s="112">
        <v>9.18</v>
      </c>
      <c r="C94" s="112">
        <v>4.09</v>
      </c>
      <c r="D94" s="112">
        <v>13.95</v>
      </c>
      <c r="E94" s="112">
        <v>7.81</v>
      </c>
      <c r="F94" s="112">
        <v>3.36</v>
      </c>
      <c r="G94" s="112">
        <v>38.22</v>
      </c>
      <c r="H94" s="112">
        <v>11.05</v>
      </c>
      <c r="I94" s="112">
        <v>5.45</v>
      </c>
      <c r="J94" s="112">
        <v>0.38</v>
      </c>
      <c r="K94" s="112">
        <v>53.12</v>
      </c>
      <c r="L94" s="112">
        <v>26.49</v>
      </c>
      <c r="M94" s="112">
        <v>102.39</v>
      </c>
      <c r="N94" s="112">
        <v>2.1</v>
      </c>
      <c r="O94" s="112">
        <v>0</v>
      </c>
      <c r="P94" s="112">
        <v>0.7</v>
      </c>
      <c r="Q94" s="112">
        <v>4.71</v>
      </c>
    </row>
    <row r="95" spans="1:17" customFormat="1">
      <c r="A95" s="80">
        <v>45488.90625</v>
      </c>
      <c r="B95" s="112">
        <v>9.17</v>
      </c>
      <c r="C95" s="112">
        <v>4.0999999999999996</v>
      </c>
      <c r="D95" s="112">
        <v>13.95</v>
      </c>
      <c r="E95" s="112">
        <v>7.3</v>
      </c>
      <c r="F95" s="112">
        <v>2.8</v>
      </c>
      <c r="G95" s="112">
        <v>49.29</v>
      </c>
      <c r="H95" s="112">
        <v>13.64</v>
      </c>
      <c r="I95" s="112">
        <v>5.59</v>
      </c>
      <c r="J95" s="112">
        <v>0.09</v>
      </c>
      <c r="K95" s="112">
        <v>227.77</v>
      </c>
      <c r="L95" s="112">
        <v>26.46</v>
      </c>
      <c r="M95" s="112">
        <v>101.3</v>
      </c>
      <c r="N95" s="112">
        <v>2.2000000000000002</v>
      </c>
      <c r="O95" s="112">
        <v>0</v>
      </c>
      <c r="P95" s="112">
        <v>0.69</v>
      </c>
      <c r="Q95" s="112">
        <v>4.7</v>
      </c>
    </row>
    <row r="96" spans="1:17" customFormat="1">
      <c r="A96" s="80">
        <v>45488.916666666664</v>
      </c>
      <c r="B96" s="112">
        <v>9.17</v>
      </c>
      <c r="C96" s="112">
        <v>4.05</v>
      </c>
      <c r="D96" s="112">
        <v>13.92</v>
      </c>
      <c r="E96" s="112">
        <v>7.41</v>
      </c>
      <c r="F96" s="112">
        <v>3</v>
      </c>
      <c r="G96" s="112">
        <v>57.75</v>
      </c>
      <c r="H96" s="112">
        <v>14.47</v>
      </c>
      <c r="I96" s="112">
        <v>6.03</v>
      </c>
      <c r="J96" s="112">
        <v>0.13</v>
      </c>
      <c r="K96" s="112">
        <v>174.32</v>
      </c>
      <c r="L96" s="112">
        <v>26.39</v>
      </c>
      <c r="M96" s="112">
        <v>101.27</v>
      </c>
      <c r="N96" s="112">
        <v>2.2000000000000002</v>
      </c>
      <c r="O96" s="112">
        <v>0</v>
      </c>
      <c r="P96" s="112">
        <v>0.64</v>
      </c>
      <c r="Q96" s="112">
        <v>4.71</v>
      </c>
    </row>
    <row r="97" spans="1:22" customFormat="1">
      <c r="A97" s="80">
        <v>45488.927083333336</v>
      </c>
      <c r="B97" s="112">
        <v>9.17</v>
      </c>
      <c r="C97" s="112">
        <v>4.0999999999999996</v>
      </c>
      <c r="D97" s="112">
        <v>13.94</v>
      </c>
      <c r="E97" s="112">
        <v>7.17</v>
      </c>
      <c r="F97" s="112">
        <v>2.98</v>
      </c>
      <c r="G97" s="112">
        <v>57.75</v>
      </c>
      <c r="H97" s="112">
        <v>14.47</v>
      </c>
      <c r="I97" s="112">
        <v>6.27</v>
      </c>
      <c r="J97" s="112">
        <v>0.15</v>
      </c>
      <c r="K97" s="112">
        <v>174.81</v>
      </c>
      <c r="L97" s="112">
        <v>26.4</v>
      </c>
      <c r="M97" s="112">
        <v>101.62</v>
      </c>
      <c r="N97" s="112">
        <v>2.1</v>
      </c>
      <c r="O97" s="112">
        <v>0</v>
      </c>
      <c r="P97" s="112">
        <v>0.64</v>
      </c>
      <c r="Q97" s="112">
        <v>4.72</v>
      </c>
    </row>
    <row r="98" spans="1:22" customFormat="1">
      <c r="A98" s="80">
        <v>45488.9375</v>
      </c>
      <c r="B98" s="112">
        <v>9.17</v>
      </c>
      <c r="C98" s="112">
        <v>4.07</v>
      </c>
      <c r="D98" s="112">
        <v>13.93</v>
      </c>
      <c r="E98" s="112">
        <v>7.04</v>
      </c>
      <c r="F98" s="112">
        <v>2.94</v>
      </c>
      <c r="G98" s="112">
        <v>57.75</v>
      </c>
      <c r="H98" s="112">
        <v>14.47</v>
      </c>
      <c r="I98" s="112">
        <v>6.09</v>
      </c>
      <c r="J98" s="112">
        <v>0.22</v>
      </c>
      <c r="K98" s="112">
        <v>179.18</v>
      </c>
      <c r="L98" s="112">
        <v>26.44</v>
      </c>
      <c r="M98" s="112">
        <v>101.81</v>
      </c>
      <c r="N98" s="112">
        <v>2.2000000000000002</v>
      </c>
      <c r="O98" s="112">
        <v>0</v>
      </c>
      <c r="P98" s="112">
        <v>0.67</v>
      </c>
      <c r="Q98" s="112">
        <v>4.71</v>
      </c>
    </row>
    <row r="99" spans="1:22" customFormat="1">
      <c r="A99" s="80">
        <v>45488.947916666664</v>
      </c>
      <c r="B99" s="112">
        <v>9.18</v>
      </c>
      <c r="C99" s="112">
        <v>4.07</v>
      </c>
      <c r="D99" s="112">
        <v>13.94</v>
      </c>
      <c r="E99" s="112">
        <v>6.71</v>
      </c>
      <c r="F99" s="112">
        <v>2.91</v>
      </c>
      <c r="G99" s="112">
        <v>55.63</v>
      </c>
      <c r="H99" s="112">
        <v>14.48</v>
      </c>
      <c r="I99" s="112">
        <v>5.92</v>
      </c>
      <c r="J99" s="112">
        <v>0.16</v>
      </c>
      <c r="K99" s="112">
        <v>207.09</v>
      </c>
      <c r="L99" s="112">
        <v>26.46</v>
      </c>
      <c r="M99" s="112">
        <v>102.74</v>
      </c>
      <c r="N99" s="112">
        <v>2.2999999999999998</v>
      </c>
      <c r="O99" s="112">
        <v>0</v>
      </c>
      <c r="P99" s="112">
        <v>0.67</v>
      </c>
      <c r="Q99" s="112">
        <v>4.71</v>
      </c>
    </row>
    <row r="100" spans="1:22" customFormat="1">
      <c r="A100" s="80">
        <v>45488.958333333336</v>
      </c>
      <c r="B100" s="112">
        <v>9.17</v>
      </c>
      <c r="C100" s="112">
        <v>4.08</v>
      </c>
      <c r="D100" s="112">
        <v>13.94</v>
      </c>
      <c r="E100" s="112">
        <v>6.82</v>
      </c>
      <c r="F100" s="112">
        <v>3.1</v>
      </c>
      <c r="G100" s="112">
        <v>54</v>
      </c>
      <c r="H100" s="112">
        <v>14.48</v>
      </c>
      <c r="I100" s="112">
        <v>6</v>
      </c>
      <c r="J100" s="112">
        <v>0.13</v>
      </c>
      <c r="K100" s="112">
        <v>152.44999999999999</v>
      </c>
      <c r="L100" s="112">
        <v>26.46</v>
      </c>
      <c r="M100" s="112">
        <v>102.35</v>
      </c>
      <c r="N100" s="112">
        <v>2.2000000000000002</v>
      </c>
      <c r="O100" s="112">
        <v>0</v>
      </c>
      <c r="P100" s="112">
        <v>0.65</v>
      </c>
      <c r="Q100" s="112">
        <v>4.68</v>
      </c>
    </row>
    <row r="101" spans="1:22" customFormat="1">
      <c r="A101" s="80">
        <v>45488.96875</v>
      </c>
      <c r="B101" s="112">
        <v>9.18</v>
      </c>
      <c r="C101" s="112">
        <v>4.09</v>
      </c>
      <c r="D101" s="112">
        <v>13.94</v>
      </c>
      <c r="E101" s="112">
        <v>6.46</v>
      </c>
      <c r="F101" s="112">
        <v>3.24</v>
      </c>
      <c r="G101" s="112">
        <v>54</v>
      </c>
      <c r="H101" s="112">
        <v>14.48</v>
      </c>
      <c r="I101" s="112">
        <v>6</v>
      </c>
      <c r="J101" s="112">
        <v>0.1</v>
      </c>
      <c r="K101" s="112">
        <v>155.07</v>
      </c>
      <c r="L101" s="112">
        <v>26.43</v>
      </c>
      <c r="M101" s="112">
        <v>103.8</v>
      </c>
      <c r="N101" s="112">
        <v>2.4</v>
      </c>
      <c r="O101" s="112">
        <v>0</v>
      </c>
      <c r="P101" s="112">
        <v>0.67</v>
      </c>
      <c r="Q101" s="112">
        <v>4.7</v>
      </c>
    </row>
    <row r="102" spans="1:22" customFormat="1">
      <c r="A102" s="80">
        <v>45488.979166666664</v>
      </c>
      <c r="B102" s="112">
        <v>9.17</v>
      </c>
      <c r="C102" s="112">
        <v>4.0999999999999996</v>
      </c>
      <c r="D102" s="112">
        <v>13.94</v>
      </c>
      <c r="E102" s="112">
        <v>6.94</v>
      </c>
      <c r="F102" s="112">
        <v>3.27</v>
      </c>
      <c r="G102" s="112">
        <v>54</v>
      </c>
      <c r="H102" s="112">
        <v>14.48</v>
      </c>
      <c r="I102" s="112">
        <v>5.98</v>
      </c>
      <c r="J102" s="112">
        <v>0.22</v>
      </c>
      <c r="K102" s="112">
        <v>173.78</v>
      </c>
      <c r="L102" s="112">
        <v>26.54</v>
      </c>
      <c r="M102" s="112">
        <v>101.92</v>
      </c>
      <c r="N102" s="112">
        <v>2.2000000000000002</v>
      </c>
      <c r="O102" s="112">
        <v>0</v>
      </c>
      <c r="P102" s="112">
        <v>0.67</v>
      </c>
      <c r="Q102" s="112">
        <v>4.6900000000000004</v>
      </c>
    </row>
    <row r="103" spans="1:22" customFormat="1">
      <c r="A103" s="80">
        <v>45488.989583333336</v>
      </c>
      <c r="B103" s="112">
        <v>9.18</v>
      </c>
      <c r="C103" s="112">
        <v>4.08</v>
      </c>
      <c r="D103" s="112">
        <v>13.94</v>
      </c>
      <c r="E103" s="112">
        <v>7.03</v>
      </c>
      <c r="F103" s="112">
        <v>3.68</v>
      </c>
      <c r="G103" s="112">
        <v>53.21</v>
      </c>
      <c r="H103" s="112">
        <v>14.8</v>
      </c>
      <c r="I103" s="112">
        <v>6.07</v>
      </c>
      <c r="J103" s="112">
        <v>0.12</v>
      </c>
      <c r="K103" s="112">
        <v>166.59</v>
      </c>
      <c r="L103" s="112">
        <v>26.57</v>
      </c>
      <c r="M103" s="112">
        <v>101.76</v>
      </c>
      <c r="N103" s="112">
        <v>2.2000000000000002</v>
      </c>
      <c r="O103" s="112">
        <v>0</v>
      </c>
      <c r="P103" s="112">
        <v>0.65</v>
      </c>
      <c r="Q103" s="112">
        <v>4.7</v>
      </c>
    </row>
    <row r="104" spans="1:22" customFormat="1">
      <c r="A104" s="80">
        <v>45489</v>
      </c>
      <c r="B104" s="112">
        <v>9.1999999999999993</v>
      </c>
      <c r="C104" s="112">
        <v>4.05</v>
      </c>
      <c r="D104" s="112">
        <v>13.95</v>
      </c>
      <c r="E104" s="112">
        <v>7.06</v>
      </c>
      <c r="F104" s="112">
        <v>4.83</v>
      </c>
      <c r="G104" s="112">
        <v>52.6</v>
      </c>
      <c r="H104" s="112">
        <v>14.9</v>
      </c>
      <c r="I104" s="112">
        <v>6.09</v>
      </c>
      <c r="J104" s="112">
        <v>0.13</v>
      </c>
      <c r="K104" s="112">
        <v>128.31</v>
      </c>
      <c r="L104" s="112">
        <v>26.63</v>
      </c>
      <c r="M104" s="112">
        <v>101.58</v>
      </c>
      <c r="N104" s="112">
        <v>2.2000000000000002</v>
      </c>
      <c r="O104" s="112">
        <v>0</v>
      </c>
      <c r="P104" s="112">
        <v>0.62</v>
      </c>
      <c r="Q104" s="112">
        <v>4.7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9.1199999999999992</v>
      </c>
      <c r="C106" s="183">
        <f>MIN(C9:C104)</f>
        <v>4.03</v>
      </c>
      <c r="D106" s="183">
        <f t="shared" ref="D106:Q106" si="0">MIN(D9:D104)</f>
        <v>13.89</v>
      </c>
      <c r="E106" s="183">
        <f t="shared" si="0"/>
        <v>6.46</v>
      </c>
      <c r="F106" s="183">
        <f t="shared" si="0"/>
        <v>2.8</v>
      </c>
      <c r="G106" s="183">
        <f t="shared" si="0"/>
        <v>24.47</v>
      </c>
      <c r="H106" s="183">
        <f t="shared" si="0"/>
        <v>8.59</v>
      </c>
      <c r="I106" s="183">
        <f t="shared" si="0"/>
        <v>4.7300000000000004</v>
      </c>
      <c r="J106" s="183">
        <f t="shared" si="0"/>
        <v>0.03</v>
      </c>
      <c r="K106" s="183">
        <f t="shared" si="0"/>
        <v>7.4</v>
      </c>
      <c r="L106" s="183">
        <f t="shared" si="0"/>
        <v>25.9</v>
      </c>
      <c r="M106" s="183">
        <f t="shared" si="0"/>
        <v>78.17</v>
      </c>
      <c r="N106" s="183">
        <f t="shared" si="0"/>
        <v>2.1</v>
      </c>
      <c r="O106" s="183">
        <f t="shared" si="0"/>
        <v>0</v>
      </c>
      <c r="P106" s="183">
        <f t="shared" si="0"/>
        <v>0.45</v>
      </c>
      <c r="Q106" s="183">
        <f t="shared" si="0"/>
        <v>4.45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9.2799999999999994</v>
      </c>
      <c r="C107" s="184">
        <f t="shared" ref="C107:Q107" si="1">MAX(C9:C104)</f>
        <v>4.1100000000000003</v>
      </c>
      <c r="D107" s="184">
        <f t="shared" si="1"/>
        <v>14.01</v>
      </c>
      <c r="E107" s="184">
        <f t="shared" si="1"/>
        <v>15.38</v>
      </c>
      <c r="F107" s="184">
        <f t="shared" si="1"/>
        <v>21.71</v>
      </c>
      <c r="G107" s="184">
        <f t="shared" si="1"/>
        <v>87.71</v>
      </c>
      <c r="H107" s="184">
        <f t="shared" si="1"/>
        <v>26.26</v>
      </c>
      <c r="I107" s="184">
        <f t="shared" si="1"/>
        <v>7.03</v>
      </c>
      <c r="J107" s="184">
        <f t="shared" si="1"/>
        <v>1.38</v>
      </c>
      <c r="K107" s="184">
        <f t="shared" si="1"/>
        <v>356.23</v>
      </c>
      <c r="L107" s="184">
        <f t="shared" si="1"/>
        <v>32.47</v>
      </c>
      <c r="M107" s="184">
        <f t="shared" si="1"/>
        <v>105.77</v>
      </c>
      <c r="N107" s="184">
        <f t="shared" si="1"/>
        <v>440.1</v>
      </c>
      <c r="O107" s="184">
        <f t="shared" si="1"/>
        <v>6.2</v>
      </c>
      <c r="P107" s="184">
        <f t="shared" si="1"/>
        <v>0.74</v>
      </c>
      <c r="Q107" s="184">
        <f t="shared" si="1"/>
        <v>4.72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9.1878124999999926</v>
      </c>
      <c r="C108" s="183">
        <f t="shared" ref="C108:Q108" si="2">AVERAGE(C9:C104)</f>
        <v>4.0671875000000002</v>
      </c>
      <c r="D108" s="183">
        <f t="shared" si="2"/>
        <v>13.942812500000009</v>
      </c>
      <c r="E108" s="183">
        <f t="shared" si="2"/>
        <v>9.9085416666666628</v>
      </c>
      <c r="F108" s="183">
        <f t="shared" si="2"/>
        <v>7.6581250000000018</v>
      </c>
      <c r="G108" s="183">
        <f t="shared" si="2"/>
        <v>44.532916666666672</v>
      </c>
      <c r="H108" s="183">
        <f t="shared" si="2"/>
        <v>15.420416666666668</v>
      </c>
      <c r="I108" s="183">
        <f t="shared" si="2"/>
        <v>5.8882291666666662</v>
      </c>
      <c r="J108" s="183">
        <f t="shared" si="2"/>
        <v>0.33156249999999993</v>
      </c>
      <c r="K108" s="183">
        <f t="shared" si="2"/>
        <v>183.39427083333342</v>
      </c>
      <c r="L108" s="183">
        <f t="shared" si="2"/>
        <v>27.58468749999999</v>
      </c>
      <c r="M108" s="183">
        <f t="shared" si="2"/>
        <v>95.69916666666667</v>
      </c>
      <c r="N108" s="183">
        <f t="shared" si="2"/>
        <v>73.660416666666677</v>
      </c>
      <c r="O108" s="183">
        <f t="shared" si="2"/>
        <v>0.10208333333333335</v>
      </c>
      <c r="P108" s="183">
        <f t="shared" si="2"/>
        <v>0.58062500000000017</v>
      </c>
      <c r="Q108" s="183">
        <f t="shared" si="2"/>
        <v>4.6971874999999956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4.2232517404433498E-2</v>
      </c>
      <c r="C109" s="183">
        <f t="shared" ref="C109:Q109" si="3">STDEV(C9:C104)</f>
        <v>1.7633886337629093E-2</v>
      </c>
      <c r="D109" s="183">
        <f t="shared" si="3"/>
        <v>3.2173971991101925E-2</v>
      </c>
      <c r="E109" s="183">
        <f t="shared" si="3"/>
        <v>1.8748771070837489</v>
      </c>
      <c r="F109" s="183">
        <f t="shared" si="3"/>
        <v>4.2563004228406713</v>
      </c>
      <c r="G109" s="183">
        <f t="shared" si="3"/>
        <v>16.414123951271947</v>
      </c>
      <c r="H109" s="183">
        <f t="shared" si="3"/>
        <v>5.4938424702314892</v>
      </c>
      <c r="I109" s="183">
        <f t="shared" si="3"/>
        <v>0.62427219905164322</v>
      </c>
      <c r="J109" s="183">
        <f t="shared" si="3"/>
        <v>0.28679840021942415</v>
      </c>
      <c r="K109" s="183">
        <f t="shared" si="3"/>
        <v>100.74106245581213</v>
      </c>
      <c r="L109" s="183">
        <f t="shared" si="3"/>
        <v>1.7886018962926524</v>
      </c>
      <c r="M109" s="183">
        <f t="shared" si="3"/>
        <v>7.3461801984953574</v>
      </c>
      <c r="N109" s="183">
        <f t="shared" si="3"/>
        <v>108.55774934560159</v>
      </c>
      <c r="O109" s="183">
        <f t="shared" si="3"/>
        <v>0.66045903760254299</v>
      </c>
      <c r="P109" s="183">
        <f t="shared" si="3"/>
        <v>8.3209469349789164E-2</v>
      </c>
      <c r="Q109" s="183">
        <f t="shared" si="3"/>
        <v>2.7785006369395789E-2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G110" sqref="G110:H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45489.010416666664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45489.010416666664</v>
      </c>
      <c r="B9" s="112">
        <v>9.2799999999999994</v>
      </c>
      <c r="C9" s="112">
        <v>4.1100000000000003</v>
      </c>
      <c r="D9" s="112">
        <v>14.04</v>
      </c>
      <c r="E9" s="112">
        <v>7.39</v>
      </c>
      <c r="F9" s="112">
        <v>4.93</v>
      </c>
      <c r="G9" s="112">
        <v>52.6</v>
      </c>
      <c r="H9" s="112">
        <v>14.9</v>
      </c>
      <c r="I9" s="112">
        <v>6.12</v>
      </c>
      <c r="J9" s="112">
        <v>0.14000000000000001</v>
      </c>
      <c r="K9" s="112">
        <v>182.22</v>
      </c>
      <c r="L9" s="112">
        <v>26.6</v>
      </c>
      <c r="M9" s="112">
        <v>101.49</v>
      </c>
      <c r="N9" s="112">
        <v>2.4</v>
      </c>
      <c r="O9" s="112">
        <v>0</v>
      </c>
      <c r="P9" s="112">
        <v>0.61</v>
      </c>
      <c r="Q9" s="167" t="s">
        <v>14</v>
      </c>
    </row>
    <row r="10" spans="1:21" customFormat="1">
      <c r="A10" s="80">
        <v>45489.020833333336</v>
      </c>
      <c r="B10" s="112">
        <v>9.27</v>
      </c>
      <c r="C10" s="112">
        <v>4.0999999999999996</v>
      </c>
      <c r="D10" s="112">
        <v>14.03</v>
      </c>
      <c r="E10" s="112">
        <v>7.48</v>
      </c>
      <c r="F10" s="112">
        <v>4.3899999999999997</v>
      </c>
      <c r="G10" s="112">
        <v>52.6</v>
      </c>
      <c r="H10" s="112">
        <v>14.9</v>
      </c>
      <c r="I10" s="112">
        <v>6.19</v>
      </c>
      <c r="J10" s="112">
        <v>7.0000000000000007E-2</v>
      </c>
      <c r="K10" s="112">
        <v>132.29</v>
      </c>
      <c r="L10" s="112">
        <v>26.53</v>
      </c>
      <c r="M10" s="112">
        <v>102.09</v>
      </c>
      <c r="N10" s="112">
        <v>2.1</v>
      </c>
      <c r="O10" s="112">
        <v>0</v>
      </c>
      <c r="P10" s="112">
        <v>0.62</v>
      </c>
      <c r="Q10" s="167" t="s">
        <v>14</v>
      </c>
    </row>
    <row r="11" spans="1:21" customFormat="1">
      <c r="A11" s="80">
        <v>45489.03125</v>
      </c>
      <c r="B11" s="112">
        <v>9.2899999999999991</v>
      </c>
      <c r="C11" s="112">
        <v>4.0999999999999996</v>
      </c>
      <c r="D11" s="112">
        <v>14.04</v>
      </c>
      <c r="E11" s="112">
        <v>7.61</v>
      </c>
      <c r="F11" s="112">
        <v>3.65</v>
      </c>
      <c r="G11" s="112">
        <v>48.89</v>
      </c>
      <c r="H11" s="112">
        <v>14.11</v>
      </c>
      <c r="I11" s="112">
        <v>6.23</v>
      </c>
      <c r="J11" s="112">
        <v>0.3</v>
      </c>
      <c r="K11" s="112">
        <v>66.319999999999993</v>
      </c>
      <c r="L11" s="112">
        <v>26.54</v>
      </c>
      <c r="M11" s="112">
        <v>101.7</v>
      </c>
      <c r="N11" s="112">
        <v>2.2999999999999998</v>
      </c>
      <c r="O11" s="112">
        <v>0</v>
      </c>
      <c r="P11" s="112">
        <v>0.62</v>
      </c>
      <c r="Q11" s="167" t="s">
        <v>14</v>
      </c>
    </row>
    <row r="12" spans="1:21" customFormat="1">
      <c r="A12" s="80">
        <v>45489.041666666664</v>
      </c>
      <c r="B12" s="112">
        <v>9.2899999999999991</v>
      </c>
      <c r="C12" s="112">
        <v>4.09</v>
      </c>
      <c r="D12" s="112">
        <v>14.04</v>
      </c>
      <c r="E12" s="112">
        <v>7.93</v>
      </c>
      <c r="F12" s="112">
        <v>3.27</v>
      </c>
      <c r="G12" s="112">
        <v>46.06</v>
      </c>
      <c r="H12" s="112">
        <v>13.62</v>
      </c>
      <c r="I12" s="112">
        <v>6.21</v>
      </c>
      <c r="J12" s="112">
        <v>7.0000000000000007E-2</v>
      </c>
      <c r="K12" s="112">
        <v>176.1</v>
      </c>
      <c r="L12" s="112">
        <v>26.65</v>
      </c>
      <c r="M12" s="112">
        <v>101.73</v>
      </c>
      <c r="N12" s="112">
        <v>2.2999999999999998</v>
      </c>
      <c r="O12" s="112">
        <v>0</v>
      </c>
      <c r="P12" s="112">
        <v>0.62</v>
      </c>
      <c r="Q12" s="167" t="s">
        <v>14</v>
      </c>
    </row>
    <row r="13" spans="1:21" customFormat="1">
      <c r="A13" s="80">
        <v>45489.052083333336</v>
      </c>
      <c r="B13" s="112">
        <v>9.31</v>
      </c>
      <c r="C13" s="112">
        <v>4.0599999999999996</v>
      </c>
      <c r="D13" s="112">
        <v>14.04</v>
      </c>
      <c r="E13" s="112">
        <v>8.25</v>
      </c>
      <c r="F13" s="112">
        <v>4.46</v>
      </c>
      <c r="G13" s="112">
        <v>46.06</v>
      </c>
      <c r="H13" s="112">
        <v>13.62</v>
      </c>
      <c r="I13" s="112">
        <v>6.25</v>
      </c>
      <c r="J13" s="112">
        <v>0.5</v>
      </c>
      <c r="K13" s="112">
        <v>43.3</v>
      </c>
      <c r="L13" s="112">
        <v>26.58</v>
      </c>
      <c r="M13" s="112">
        <v>101.73</v>
      </c>
      <c r="N13" s="112">
        <v>2.4</v>
      </c>
      <c r="O13" s="112">
        <v>0</v>
      </c>
      <c r="P13" s="112">
        <v>0.64</v>
      </c>
      <c r="Q13" s="167" t="s">
        <v>14</v>
      </c>
    </row>
    <row r="14" spans="1:21" customFormat="1">
      <c r="A14" s="80">
        <v>45489.0625</v>
      </c>
      <c r="B14" s="112">
        <v>9.32</v>
      </c>
      <c r="C14" s="112">
        <v>4.08</v>
      </c>
      <c r="D14" s="112">
        <v>14.06</v>
      </c>
      <c r="E14" s="112">
        <v>8.11</v>
      </c>
      <c r="F14" s="112">
        <v>3.31</v>
      </c>
      <c r="G14" s="112">
        <v>46.06</v>
      </c>
      <c r="H14" s="112">
        <v>13.62</v>
      </c>
      <c r="I14" s="112">
        <v>6.29</v>
      </c>
      <c r="J14" s="112">
        <v>0.13</v>
      </c>
      <c r="K14" s="112">
        <v>208.25</v>
      </c>
      <c r="L14" s="112">
        <v>26.52</v>
      </c>
      <c r="M14" s="112">
        <v>101.07</v>
      </c>
      <c r="N14" s="112">
        <v>2.2000000000000002</v>
      </c>
      <c r="O14" s="112">
        <v>0</v>
      </c>
      <c r="P14" s="112">
        <v>0.63</v>
      </c>
      <c r="Q14" s="167" t="s">
        <v>14</v>
      </c>
    </row>
    <row r="15" spans="1:21" customFormat="1">
      <c r="A15" s="80">
        <v>45489.072916666664</v>
      </c>
      <c r="B15" s="112">
        <v>9.31</v>
      </c>
      <c r="C15" s="112">
        <v>4.05</v>
      </c>
      <c r="D15" s="112">
        <v>14.04</v>
      </c>
      <c r="E15" s="112">
        <v>7.94</v>
      </c>
      <c r="F15" s="112">
        <v>2.58</v>
      </c>
      <c r="G15" s="112">
        <v>44.3</v>
      </c>
      <c r="H15" s="112">
        <v>12.04</v>
      </c>
      <c r="I15" s="112">
        <v>6.3</v>
      </c>
      <c r="J15" s="112">
        <v>0.34</v>
      </c>
      <c r="K15" s="112">
        <v>59.38</v>
      </c>
      <c r="L15" s="112">
        <v>26.49</v>
      </c>
      <c r="M15" s="112">
        <v>101.57</v>
      </c>
      <c r="N15" s="112">
        <v>2.1</v>
      </c>
      <c r="O15" s="112">
        <v>0</v>
      </c>
      <c r="P15" s="112">
        <v>0.64</v>
      </c>
      <c r="Q15" s="167" t="s">
        <v>14</v>
      </c>
    </row>
    <row r="16" spans="1:21" customFormat="1">
      <c r="A16" s="80">
        <v>45489.083333333336</v>
      </c>
      <c r="B16" s="112">
        <v>9.32</v>
      </c>
      <c r="C16" s="112">
        <v>4.0599999999999996</v>
      </c>
      <c r="D16" s="112">
        <v>14.05</v>
      </c>
      <c r="E16" s="112">
        <v>8.6199999999999992</v>
      </c>
      <c r="F16" s="112">
        <v>3.6</v>
      </c>
      <c r="G16" s="112">
        <v>42.96</v>
      </c>
      <c r="H16" s="112">
        <v>11.52</v>
      </c>
      <c r="I16" s="112">
        <v>6.31</v>
      </c>
      <c r="J16" s="112">
        <v>0.14000000000000001</v>
      </c>
      <c r="K16" s="112">
        <v>77.44</v>
      </c>
      <c r="L16" s="112">
        <v>26.55</v>
      </c>
      <c r="M16" s="112">
        <v>102.58</v>
      </c>
      <c r="N16" s="112">
        <v>2.2000000000000002</v>
      </c>
      <c r="O16" s="112">
        <v>0</v>
      </c>
      <c r="P16" s="112">
        <v>0.64</v>
      </c>
      <c r="Q16" s="167" t="s">
        <v>14</v>
      </c>
    </row>
    <row r="17" spans="1:17" customFormat="1">
      <c r="A17" s="80">
        <v>45489.09375</v>
      </c>
      <c r="B17" s="112">
        <v>9.2799999999999994</v>
      </c>
      <c r="C17" s="112">
        <v>4.09</v>
      </c>
      <c r="D17" s="112">
        <v>14.03</v>
      </c>
      <c r="E17" s="112">
        <v>9.17</v>
      </c>
      <c r="F17" s="112">
        <v>3.22</v>
      </c>
      <c r="G17" s="112">
        <v>42.96</v>
      </c>
      <c r="H17" s="112">
        <v>11.52</v>
      </c>
      <c r="I17" s="112">
        <v>6.29</v>
      </c>
      <c r="J17" s="112">
        <v>0.09</v>
      </c>
      <c r="K17" s="112">
        <v>73.59</v>
      </c>
      <c r="L17" s="112">
        <v>26.61</v>
      </c>
      <c r="M17" s="112">
        <v>102.51</v>
      </c>
      <c r="N17" s="112">
        <v>2.1</v>
      </c>
      <c r="O17" s="112">
        <v>0</v>
      </c>
      <c r="P17" s="112">
        <v>0.65</v>
      </c>
      <c r="Q17" s="167" t="s">
        <v>14</v>
      </c>
    </row>
    <row r="18" spans="1:17" customFormat="1">
      <c r="A18" s="80">
        <v>45489.104166666664</v>
      </c>
      <c r="B18" s="112">
        <v>9.2799999999999994</v>
      </c>
      <c r="C18" s="112">
        <v>4.04</v>
      </c>
      <c r="D18" s="112">
        <v>14</v>
      </c>
      <c r="E18" s="112">
        <v>10.73</v>
      </c>
      <c r="F18" s="112">
        <v>2.34</v>
      </c>
      <c r="G18" s="112">
        <v>42.96</v>
      </c>
      <c r="H18" s="112">
        <v>11.52</v>
      </c>
      <c r="I18" s="112">
        <v>6.35</v>
      </c>
      <c r="J18" s="112">
        <v>0.48</v>
      </c>
      <c r="K18" s="112">
        <v>52.74</v>
      </c>
      <c r="L18" s="112">
        <v>26.64</v>
      </c>
      <c r="M18" s="112">
        <v>101.83</v>
      </c>
      <c r="N18" s="112">
        <v>2.2999999999999998</v>
      </c>
      <c r="O18" s="112">
        <v>0</v>
      </c>
      <c r="P18" s="112">
        <v>0.66</v>
      </c>
      <c r="Q18" s="167" t="s">
        <v>14</v>
      </c>
    </row>
    <row r="19" spans="1:17" customFormat="1">
      <c r="A19" s="80">
        <v>45489.114583333336</v>
      </c>
      <c r="B19" s="112">
        <v>9.27</v>
      </c>
      <c r="C19" s="112">
        <v>4.0599999999999996</v>
      </c>
      <c r="D19" s="112">
        <v>14</v>
      </c>
      <c r="E19" s="112">
        <v>10.82</v>
      </c>
      <c r="F19" s="112">
        <v>3.23</v>
      </c>
      <c r="G19" s="112">
        <v>47.99</v>
      </c>
      <c r="H19" s="112">
        <v>12.62</v>
      </c>
      <c r="I19" s="112">
        <v>6.42</v>
      </c>
      <c r="J19" s="112">
        <v>0.31</v>
      </c>
      <c r="K19" s="112">
        <v>72.44</v>
      </c>
      <c r="L19" s="112">
        <v>26.68</v>
      </c>
      <c r="M19" s="112">
        <v>99.78</v>
      </c>
      <c r="N19" s="112">
        <v>2.2999999999999998</v>
      </c>
      <c r="O19" s="112">
        <v>0</v>
      </c>
      <c r="P19" s="112">
        <v>0.69</v>
      </c>
      <c r="Q19" s="167" t="s">
        <v>14</v>
      </c>
    </row>
    <row r="20" spans="1:17" customFormat="1">
      <c r="A20" s="80">
        <v>45489.125</v>
      </c>
      <c r="B20" s="112">
        <v>9.26</v>
      </c>
      <c r="C20" s="112">
        <v>4.08</v>
      </c>
      <c r="D20" s="112">
        <v>14.01</v>
      </c>
      <c r="E20" s="112">
        <v>11.43</v>
      </c>
      <c r="F20" s="112">
        <v>2.39</v>
      </c>
      <c r="G20" s="112">
        <v>51.84</v>
      </c>
      <c r="H20" s="112">
        <v>13</v>
      </c>
      <c r="I20" s="112">
        <v>6.46</v>
      </c>
      <c r="J20" s="112">
        <v>0.44</v>
      </c>
      <c r="K20" s="112">
        <v>61.76</v>
      </c>
      <c r="L20" s="112">
        <v>26.73</v>
      </c>
      <c r="M20" s="112">
        <v>101.53</v>
      </c>
      <c r="N20" s="112">
        <v>2.2999999999999998</v>
      </c>
      <c r="O20" s="112">
        <v>0</v>
      </c>
      <c r="P20" s="112">
        <v>0.67</v>
      </c>
      <c r="Q20" s="167" t="s">
        <v>14</v>
      </c>
    </row>
    <row r="21" spans="1:17" customFormat="1">
      <c r="A21" s="80">
        <v>45489.135416666664</v>
      </c>
      <c r="B21" s="112">
        <v>9.2799999999999994</v>
      </c>
      <c r="C21" s="112">
        <v>4.0599999999999996</v>
      </c>
      <c r="D21" s="112">
        <v>14.01</v>
      </c>
      <c r="E21" s="112">
        <v>11.6</v>
      </c>
      <c r="F21" s="112">
        <v>2.92</v>
      </c>
      <c r="G21" s="112">
        <v>51.84</v>
      </c>
      <c r="H21" s="112">
        <v>13</v>
      </c>
      <c r="I21" s="112">
        <v>6.59</v>
      </c>
      <c r="J21" s="112">
        <v>1.1100000000000001</v>
      </c>
      <c r="K21" s="112">
        <v>50.25</v>
      </c>
      <c r="L21" s="112">
        <v>26.64</v>
      </c>
      <c r="M21" s="112">
        <v>102.36</v>
      </c>
      <c r="N21" s="112">
        <v>2.4</v>
      </c>
      <c r="O21" s="112">
        <v>0</v>
      </c>
      <c r="P21" s="112">
        <v>0.69</v>
      </c>
      <c r="Q21" s="167" t="s">
        <v>14</v>
      </c>
    </row>
    <row r="22" spans="1:17" customFormat="1">
      <c r="A22" s="80">
        <v>45489.145833333336</v>
      </c>
      <c r="B22" s="112">
        <v>9.2799999999999994</v>
      </c>
      <c r="C22" s="112">
        <v>4.0599999999999996</v>
      </c>
      <c r="D22" s="112">
        <v>14.02</v>
      </c>
      <c r="E22" s="112">
        <v>11.56</v>
      </c>
      <c r="F22" s="112">
        <v>3.53</v>
      </c>
      <c r="G22" s="112">
        <v>51.84</v>
      </c>
      <c r="H22" s="112">
        <v>13</v>
      </c>
      <c r="I22" s="112">
        <v>6.6</v>
      </c>
      <c r="J22" s="112">
        <v>0.32</v>
      </c>
      <c r="K22" s="112">
        <v>77.86</v>
      </c>
      <c r="L22" s="112">
        <v>26.65</v>
      </c>
      <c r="M22" s="112">
        <v>101.53</v>
      </c>
      <c r="N22" s="112">
        <v>2.2999999999999998</v>
      </c>
      <c r="O22" s="112">
        <v>0.2</v>
      </c>
      <c r="P22" s="112">
        <v>0.7</v>
      </c>
      <c r="Q22" s="167" t="s">
        <v>14</v>
      </c>
    </row>
    <row r="23" spans="1:17" customFormat="1">
      <c r="A23" s="80">
        <v>45489.15625</v>
      </c>
      <c r="B23" s="112">
        <v>9.2799999999999994</v>
      </c>
      <c r="C23" s="112">
        <v>4.08</v>
      </c>
      <c r="D23" s="112">
        <v>14.02</v>
      </c>
      <c r="E23" s="112">
        <v>11.52</v>
      </c>
      <c r="F23" s="112">
        <v>4.2300000000000004</v>
      </c>
      <c r="G23" s="112">
        <v>52.39</v>
      </c>
      <c r="H23" s="112">
        <v>15.84</v>
      </c>
      <c r="I23" s="112">
        <v>6.67</v>
      </c>
      <c r="J23" s="112">
        <v>0.18</v>
      </c>
      <c r="K23" s="112">
        <v>127.49</v>
      </c>
      <c r="L23" s="112">
        <v>26.73</v>
      </c>
      <c r="M23" s="112">
        <v>100.94</v>
      </c>
      <c r="N23" s="112">
        <v>2.6</v>
      </c>
      <c r="O23" s="112">
        <v>2</v>
      </c>
      <c r="P23" s="112">
        <v>0.7</v>
      </c>
      <c r="Q23" s="167" t="s">
        <v>14</v>
      </c>
    </row>
    <row r="24" spans="1:17" customFormat="1">
      <c r="A24" s="80">
        <v>45489.166666666664</v>
      </c>
      <c r="B24" s="112">
        <v>9.2899999999999991</v>
      </c>
      <c r="C24" s="112">
        <v>4.0599999999999996</v>
      </c>
      <c r="D24" s="112">
        <v>14.02</v>
      </c>
      <c r="E24" s="112">
        <v>11.75</v>
      </c>
      <c r="F24" s="112">
        <v>3.39</v>
      </c>
      <c r="G24" s="112">
        <v>52.84</v>
      </c>
      <c r="H24" s="112">
        <v>16.82</v>
      </c>
      <c r="I24" s="112">
        <v>6.81</v>
      </c>
      <c r="J24" s="112">
        <v>0.14000000000000001</v>
      </c>
      <c r="K24" s="112">
        <v>157.01</v>
      </c>
      <c r="L24" s="112">
        <v>26.08</v>
      </c>
      <c r="M24" s="112">
        <v>101.55</v>
      </c>
      <c r="N24" s="112">
        <v>3.1</v>
      </c>
      <c r="O24" s="112">
        <v>1.2</v>
      </c>
      <c r="P24" s="112">
        <v>0.68</v>
      </c>
      <c r="Q24" s="167" t="s">
        <v>14</v>
      </c>
    </row>
    <row r="25" spans="1:17" customFormat="1">
      <c r="A25" s="80">
        <v>45489.177083333336</v>
      </c>
      <c r="B25" s="112">
        <v>9.2799999999999994</v>
      </c>
      <c r="C25" s="112">
        <v>4.05</v>
      </c>
      <c r="D25" s="112">
        <v>14.01</v>
      </c>
      <c r="E25" s="112">
        <v>11.7</v>
      </c>
      <c r="F25" s="112">
        <v>3.2</v>
      </c>
      <c r="G25" s="112">
        <v>52.84</v>
      </c>
      <c r="H25" s="112">
        <v>16.82</v>
      </c>
      <c r="I25" s="112">
        <v>6.87</v>
      </c>
      <c r="J25" s="112">
        <v>0.12</v>
      </c>
      <c r="K25" s="112">
        <v>151.06</v>
      </c>
      <c r="L25" s="112">
        <v>25.83</v>
      </c>
      <c r="M25" s="112">
        <v>102.6</v>
      </c>
      <c r="N25" s="112">
        <v>2.5</v>
      </c>
      <c r="O25" s="112">
        <v>0.2</v>
      </c>
      <c r="P25" s="112">
        <v>0.67</v>
      </c>
      <c r="Q25" s="167" t="s">
        <v>14</v>
      </c>
    </row>
    <row r="26" spans="1:17" customFormat="1">
      <c r="A26" s="80">
        <v>45489.1875</v>
      </c>
      <c r="B26" s="112">
        <v>9.2799999999999994</v>
      </c>
      <c r="C26" s="112">
        <v>4.07</v>
      </c>
      <c r="D26" s="112">
        <v>14.02</v>
      </c>
      <c r="E26" s="112">
        <v>12.22</v>
      </c>
      <c r="F26" s="112">
        <v>4.2</v>
      </c>
      <c r="G26" s="112">
        <v>52.84</v>
      </c>
      <c r="H26" s="112">
        <v>16.82</v>
      </c>
      <c r="I26" s="112">
        <v>6.73</v>
      </c>
      <c r="J26" s="112">
        <v>0.32</v>
      </c>
      <c r="K26" s="112">
        <v>55.15</v>
      </c>
      <c r="L26" s="112">
        <v>25.66</v>
      </c>
      <c r="M26" s="112">
        <v>103.94</v>
      </c>
      <c r="N26" s="112">
        <v>2.7</v>
      </c>
      <c r="O26" s="112">
        <v>0.2</v>
      </c>
      <c r="P26" s="112">
        <v>0.68</v>
      </c>
      <c r="Q26" s="167" t="s">
        <v>14</v>
      </c>
    </row>
    <row r="27" spans="1:17" customFormat="1">
      <c r="A27" s="80">
        <v>45489.197916666664</v>
      </c>
      <c r="B27" s="112">
        <v>9.26</v>
      </c>
      <c r="C27" s="112">
        <v>4.0999999999999996</v>
      </c>
      <c r="D27" s="112">
        <v>14.02</v>
      </c>
      <c r="E27" s="112">
        <v>12.16</v>
      </c>
      <c r="F27" s="112">
        <v>3.55</v>
      </c>
      <c r="G27" s="112">
        <v>48.53</v>
      </c>
      <c r="H27" s="112">
        <v>13.99</v>
      </c>
      <c r="I27" s="112">
        <v>6.53</v>
      </c>
      <c r="J27" s="112">
        <v>0.3</v>
      </c>
      <c r="K27" s="112">
        <v>65.569999999999993</v>
      </c>
      <c r="L27" s="112">
        <v>25.63</v>
      </c>
      <c r="M27" s="112">
        <v>104.68</v>
      </c>
      <c r="N27" s="112">
        <v>2.2000000000000002</v>
      </c>
      <c r="O27" s="112">
        <v>0.2</v>
      </c>
      <c r="P27" s="112">
        <v>0.67</v>
      </c>
      <c r="Q27" s="167" t="s">
        <v>14</v>
      </c>
    </row>
    <row r="28" spans="1:17" customFormat="1">
      <c r="A28" s="80">
        <v>45489.208333333336</v>
      </c>
      <c r="B28" s="112">
        <v>9.27</v>
      </c>
      <c r="C28" s="112">
        <v>4.09</v>
      </c>
      <c r="D28" s="112">
        <v>14.02</v>
      </c>
      <c r="E28" s="112">
        <v>12.31</v>
      </c>
      <c r="F28" s="112">
        <v>4.5</v>
      </c>
      <c r="G28" s="112">
        <v>45.24</v>
      </c>
      <c r="H28" s="112">
        <v>13.01</v>
      </c>
      <c r="I28" s="112">
        <v>6.57</v>
      </c>
      <c r="J28" s="112">
        <v>0.31</v>
      </c>
      <c r="K28" s="112">
        <v>59.72</v>
      </c>
      <c r="L28" s="112">
        <v>25.72</v>
      </c>
      <c r="M28" s="112">
        <v>103.35</v>
      </c>
      <c r="N28" s="112">
        <v>2.2999999999999998</v>
      </c>
      <c r="O28" s="112">
        <v>0</v>
      </c>
      <c r="P28" s="112">
        <v>0.65</v>
      </c>
      <c r="Q28" s="167" t="s">
        <v>14</v>
      </c>
    </row>
    <row r="29" spans="1:17" customFormat="1">
      <c r="A29" s="80">
        <v>45489.21875</v>
      </c>
      <c r="B29" s="112">
        <v>9.2799999999999994</v>
      </c>
      <c r="C29" s="112">
        <v>4.04</v>
      </c>
      <c r="D29" s="112">
        <v>14</v>
      </c>
      <c r="E29" s="112">
        <v>11.04</v>
      </c>
      <c r="F29" s="112">
        <v>5.22</v>
      </c>
      <c r="G29" s="112">
        <v>45.24</v>
      </c>
      <c r="H29" s="112">
        <v>13.01</v>
      </c>
      <c r="I29" s="112">
        <v>6.01</v>
      </c>
      <c r="J29" s="112">
        <v>0.23</v>
      </c>
      <c r="K29" s="112">
        <v>73.08</v>
      </c>
      <c r="L29" s="112">
        <v>25.8</v>
      </c>
      <c r="M29" s="112">
        <v>101.8</v>
      </c>
      <c r="N29" s="112">
        <v>2.4</v>
      </c>
      <c r="O29" s="112">
        <v>0</v>
      </c>
      <c r="P29" s="112">
        <v>0.61</v>
      </c>
      <c r="Q29" s="167" t="s">
        <v>14</v>
      </c>
    </row>
    <row r="30" spans="1:17" customFormat="1">
      <c r="A30" s="80">
        <v>45489.229166666664</v>
      </c>
      <c r="B30" s="112">
        <v>9.26</v>
      </c>
      <c r="C30" s="112">
        <v>4.05</v>
      </c>
      <c r="D30" s="112">
        <v>13.99</v>
      </c>
      <c r="E30" s="112">
        <v>10.18</v>
      </c>
      <c r="F30" s="112">
        <v>5.28</v>
      </c>
      <c r="G30" s="112">
        <v>45.24</v>
      </c>
      <c r="H30" s="112">
        <v>13.01</v>
      </c>
      <c r="I30" s="112">
        <v>5.84</v>
      </c>
      <c r="J30" s="112">
        <v>0.18</v>
      </c>
      <c r="K30" s="112">
        <v>52.01</v>
      </c>
      <c r="L30" s="112">
        <v>25.72</v>
      </c>
      <c r="M30" s="112">
        <v>101.11</v>
      </c>
      <c r="N30" s="112">
        <v>4.4000000000000004</v>
      </c>
      <c r="O30" s="112">
        <v>0</v>
      </c>
      <c r="P30" s="112">
        <v>0.6</v>
      </c>
      <c r="Q30" s="167" t="s">
        <v>14</v>
      </c>
    </row>
    <row r="31" spans="1:17" customFormat="1">
      <c r="A31" s="80">
        <v>45489.239583333336</v>
      </c>
      <c r="B31" s="112">
        <v>9.27</v>
      </c>
      <c r="C31" s="112">
        <v>4.07</v>
      </c>
      <c r="D31" s="112">
        <v>14.01</v>
      </c>
      <c r="E31" s="112">
        <v>9.65</v>
      </c>
      <c r="F31" s="112">
        <v>5.07</v>
      </c>
      <c r="G31" s="112">
        <v>40.92</v>
      </c>
      <c r="H31" s="112">
        <v>12.38</v>
      </c>
      <c r="I31" s="112">
        <v>5.68</v>
      </c>
      <c r="J31" s="112">
        <v>0.24</v>
      </c>
      <c r="K31" s="112">
        <v>64.599999999999994</v>
      </c>
      <c r="L31" s="112">
        <v>25.88</v>
      </c>
      <c r="M31" s="112">
        <v>101.57</v>
      </c>
      <c r="N31" s="112">
        <v>12.5</v>
      </c>
      <c r="O31" s="112">
        <v>0</v>
      </c>
      <c r="P31" s="112">
        <v>0.61</v>
      </c>
      <c r="Q31" s="167" t="s">
        <v>14</v>
      </c>
    </row>
    <row r="32" spans="1:17" customFormat="1">
      <c r="A32" s="80">
        <v>45489.25</v>
      </c>
      <c r="B32" s="112">
        <v>9.27</v>
      </c>
      <c r="C32" s="112">
        <v>4.05</v>
      </c>
      <c r="D32" s="112">
        <v>14</v>
      </c>
      <c r="E32" s="112">
        <v>9.42</v>
      </c>
      <c r="F32" s="112">
        <v>4.4800000000000004</v>
      </c>
      <c r="G32" s="112">
        <v>37.47</v>
      </c>
      <c r="H32" s="112">
        <v>12.16</v>
      </c>
      <c r="I32" s="112">
        <v>5.47</v>
      </c>
      <c r="J32" s="112">
        <v>0.13</v>
      </c>
      <c r="K32" s="112">
        <v>129.21</v>
      </c>
      <c r="L32" s="112">
        <v>26.02</v>
      </c>
      <c r="M32" s="112">
        <v>101.32</v>
      </c>
      <c r="N32" s="112">
        <v>23.4</v>
      </c>
      <c r="O32" s="112">
        <v>0</v>
      </c>
      <c r="P32" s="112">
        <v>0.59</v>
      </c>
      <c r="Q32" s="167" t="s">
        <v>14</v>
      </c>
    </row>
    <row r="33" spans="1:17" customFormat="1">
      <c r="A33" s="80">
        <v>45489.260416666664</v>
      </c>
      <c r="B33" s="112">
        <v>9.26</v>
      </c>
      <c r="C33" s="112">
        <v>4.0999999999999996</v>
      </c>
      <c r="D33" s="112">
        <v>14.02</v>
      </c>
      <c r="E33" s="112">
        <v>9.39</v>
      </c>
      <c r="F33" s="112">
        <v>4.33</v>
      </c>
      <c r="G33" s="112">
        <v>37.47</v>
      </c>
      <c r="H33" s="112">
        <v>12.16</v>
      </c>
      <c r="I33" s="112">
        <v>5.47</v>
      </c>
      <c r="J33" s="112">
        <v>0.15</v>
      </c>
      <c r="K33" s="112">
        <v>99.25</v>
      </c>
      <c r="L33" s="112">
        <v>26.2</v>
      </c>
      <c r="M33" s="112">
        <v>101.66</v>
      </c>
      <c r="N33" s="112">
        <v>35.4</v>
      </c>
      <c r="O33" s="112">
        <v>0</v>
      </c>
      <c r="P33" s="112">
        <v>0.6</v>
      </c>
      <c r="Q33" s="167" t="s">
        <v>14</v>
      </c>
    </row>
    <row r="34" spans="1:17" customFormat="1">
      <c r="A34" s="80">
        <v>45489.270833333336</v>
      </c>
      <c r="B34" s="112">
        <v>9.26</v>
      </c>
      <c r="C34" s="112">
        <v>4.09</v>
      </c>
      <c r="D34" s="112">
        <v>14.01</v>
      </c>
      <c r="E34" s="112">
        <v>9.5399999999999991</v>
      </c>
      <c r="F34" s="112">
        <v>4.0599999999999996</v>
      </c>
      <c r="G34" s="112">
        <v>37.47</v>
      </c>
      <c r="H34" s="112">
        <v>12.16</v>
      </c>
      <c r="I34" s="112">
        <v>5.61</v>
      </c>
      <c r="J34" s="112">
        <v>0.37</v>
      </c>
      <c r="K34" s="112">
        <v>66.45</v>
      </c>
      <c r="L34" s="112">
        <v>26.46</v>
      </c>
      <c r="M34" s="112">
        <v>101.68</v>
      </c>
      <c r="N34" s="112">
        <v>42.9</v>
      </c>
      <c r="O34" s="112">
        <v>0</v>
      </c>
      <c r="P34" s="112">
        <v>0.62</v>
      </c>
      <c r="Q34" s="167" t="s">
        <v>14</v>
      </c>
    </row>
    <row r="35" spans="1:17" customFormat="1">
      <c r="A35" s="80">
        <v>45489.28125</v>
      </c>
      <c r="B35" s="112">
        <v>9.26</v>
      </c>
      <c r="C35" s="112">
        <v>4.07</v>
      </c>
      <c r="D35" s="112">
        <v>14</v>
      </c>
      <c r="E35" s="112">
        <v>9.14</v>
      </c>
      <c r="F35" s="112">
        <v>5.48</v>
      </c>
      <c r="G35" s="112">
        <v>35.21</v>
      </c>
      <c r="H35" s="112">
        <v>11.98</v>
      </c>
      <c r="I35" s="112">
        <v>5.75</v>
      </c>
      <c r="J35" s="112">
        <v>0.28000000000000003</v>
      </c>
      <c r="K35" s="112">
        <v>67.17</v>
      </c>
      <c r="L35" s="112">
        <v>26.7</v>
      </c>
      <c r="M35" s="112">
        <v>101.4</v>
      </c>
      <c r="N35" s="112">
        <v>48.9</v>
      </c>
      <c r="O35" s="112">
        <v>0</v>
      </c>
      <c r="P35" s="112">
        <v>0.62</v>
      </c>
      <c r="Q35" s="167" t="s">
        <v>14</v>
      </c>
    </row>
    <row r="36" spans="1:17" customFormat="1">
      <c r="A36" s="80">
        <v>45489.291666666664</v>
      </c>
      <c r="B36" s="112">
        <v>9.24</v>
      </c>
      <c r="C36" s="112">
        <v>4.0599999999999996</v>
      </c>
      <c r="D36" s="112">
        <v>13.99</v>
      </c>
      <c r="E36" s="112">
        <v>9.4700000000000006</v>
      </c>
      <c r="F36" s="112">
        <v>5.52</v>
      </c>
      <c r="G36" s="112">
        <v>33.49</v>
      </c>
      <c r="H36" s="112">
        <v>11.87</v>
      </c>
      <c r="I36" s="112">
        <v>6</v>
      </c>
      <c r="J36" s="112">
        <v>0.09</v>
      </c>
      <c r="K36" s="112">
        <v>170.84</v>
      </c>
      <c r="L36" s="112">
        <v>27.08</v>
      </c>
      <c r="M36" s="112">
        <v>100.48</v>
      </c>
      <c r="N36" s="112">
        <v>84.7</v>
      </c>
      <c r="O36" s="112">
        <v>0</v>
      </c>
      <c r="P36" s="112">
        <v>0.6</v>
      </c>
      <c r="Q36" s="167" t="s">
        <v>14</v>
      </c>
    </row>
    <row r="37" spans="1:17" customFormat="1">
      <c r="A37" s="80">
        <v>45489.302083333336</v>
      </c>
      <c r="B37" s="112">
        <v>9.25</v>
      </c>
      <c r="C37" s="112">
        <v>4.09</v>
      </c>
      <c r="D37" s="112">
        <v>14</v>
      </c>
      <c r="E37" s="112">
        <v>10.01</v>
      </c>
      <c r="F37" s="112">
        <v>4.95</v>
      </c>
      <c r="G37" s="112">
        <v>33.49</v>
      </c>
      <c r="H37" s="112">
        <v>11.87</v>
      </c>
      <c r="I37" s="112">
        <v>5.82</v>
      </c>
      <c r="J37" s="112">
        <v>0.1</v>
      </c>
      <c r="K37" s="112">
        <v>183.65</v>
      </c>
      <c r="L37" s="112">
        <v>27.51</v>
      </c>
      <c r="M37" s="112">
        <v>99.71</v>
      </c>
      <c r="N37" s="112">
        <v>124.5</v>
      </c>
      <c r="O37" s="112">
        <v>0</v>
      </c>
      <c r="P37" s="112">
        <v>0.62</v>
      </c>
      <c r="Q37" s="167" t="s">
        <v>14</v>
      </c>
    </row>
    <row r="38" spans="1:17" customFormat="1">
      <c r="A38" s="80">
        <v>45489.3125</v>
      </c>
      <c r="B38" s="112">
        <v>9.25</v>
      </c>
      <c r="C38" s="112">
        <v>4.0999999999999996</v>
      </c>
      <c r="D38" s="112">
        <v>14</v>
      </c>
      <c r="E38" s="112">
        <v>9.58</v>
      </c>
      <c r="F38" s="112">
        <v>6.45</v>
      </c>
      <c r="G38" s="112">
        <v>33.49</v>
      </c>
      <c r="H38" s="112">
        <v>11.87</v>
      </c>
      <c r="I38" s="112">
        <v>5.83</v>
      </c>
      <c r="J38" s="112">
        <v>0.49</v>
      </c>
      <c r="K38" s="112">
        <v>61.99</v>
      </c>
      <c r="L38" s="112">
        <v>28.13</v>
      </c>
      <c r="M38" s="112">
        <v>93.88</v>
      </c>
      <c r="N38" s="112">
        <v>147.5</v>
      </c>
      <c r="O38" s="112">
        <v>0</v>
      </c>
      <c r="P38" s="112">
        <v>0.6</v>
      </c>
      <c r="Q38" s="167" t="s">
        <v>14</v>
      </c>
    </row>
    <row r="39" spans="1:17" customFormat="1">
      <c r="A39" s="80">
        <v>45489.322916666664</v>
      </c>
      <c r="B39" s="112">
        <v>9.26</v>
      </c>
      <c r="C39" s="112">
        <v>4.08</v>
      </c>
      <c r="D39" s="112">
        <v>14.01</v>
      </c>
      <c r="E39" s="112">
        <v>9.41</v>
      </c>
      <c r="F39" s="112">
        <v>7.69</v>
      </c>
      <c r="G39" s="112">
        <v>31.84</v>
      </c>
      <c r="H39" s="112">
        <v>12.32</v>
      </c>
      <c r="I39" s="112">
        <v>6.01</v>
      </c>
      <c r="J39" s="112">
        <v>0.3</v>
      </c>
      <c r="K39" s="112">
        <v>71.48</v>
      </c>
      <c r="L39" s="112">
        <v>28.53</v>
      </c>
      <c r="M39" s="112">
        <v>91.5</v>
      </c>
      <c r="N39" s="112">
        <v>115.8</v>
      </c>
      <c r="O39" s="112">
        <v>0</v>
      </c>
      <c r="P39" s="112">
        <v>0.57999999999999996</v>
      </c>
      <c r="Q39" s="167" t="s">
        <v>14</v>
      </c>
    </row>
    <row r="40" spans="1:17" customFormat="1">
      <c r="A40" s="80">
        <v>45489.333333333336</v>
      </c>
      <c r="B40" s="112">
        <v>9.2899999999999991</v>
      </c>
      <c r="C40" s="112">
        <v>4.0599999999999996</v>
      </c>
      <c r="D40" s="112">
        <v>14.02</v>
      </c>
      <c r="E40" s="112">
        <v>10.14</v>
      </c>
      <c r="F40" s="112">
        <v>6.79</v>
      </c>
      <c r="G40" s="112">
        <v>30.52</v>
      </c>
      <c r="H40" s="112">
        <v>12.46</v>
      </c>
      <c r="I40" s="112">
        <v>5.74</v>
      </c>
      <c r="J40" s="112">
        <v>0.48</v>
      </c>
      <c r="K40" s="112">
        <v>63.11</v>
      </c>
      <c r="L40" s="112">
        <v>28.13</v>
      </c>
      <c r="M40" s="112">
        <v>93.36</v>
      </c>
      <c r="N40" s="112">
        <v>97.1</v>
      </c>
      <c r="O40" s="112">
        <v>0</v>
      </c>
      <c r="P40" s="112">
        <v>0.56999999999999995</v>
      </c>
      <c r="Q40" s="167" t="s">
        <v>14</v>
      </c>
    </row>
    <row r="41" spans="1:17" customFormat="1">
      <c r="A41" s="80">
        <v>45489.34375</v>
      </c>
      <c r="B41" s="112">
        <v>9.2899999999999991</v>
      </c>
      <c r="C41" s="112">
        <v>4.07</v>
      </c>
      <c r="D41" s="112">
        <v>14.02</v>
      </c>
      <c r="E41" s="112">
        <v>9.36</v>
      </c>
      <c r="F41" s="112">
        <v>7.13</v>
      </c>
      <c r="G41" s="112">
        <v>30.52</v>
      </c>
      <c r="H41" s="112">
        <v>12.46</v>
      </c>
      <c r="I41" s="112">
        <v>5.49</v>
      </c>
      <c r="J41" s="112">
        <v>0.43</v>
      </c>
      <c r="K41" s="112">
        <v>65.400000000000006</v>
      </c>
      <c r="L41" s="112">
        <v>28.14</v>
      </c>
      <c r="M41" s="112">
        <v>93.12</v>
      </c>
      <c r="N41" s="112">
        <v>134.5</v>
      </c>
      <c r="O41" s="112">
        <v>0</v>
      </c>
      <c r="P41" s="112">
        <v>0.56999999999999995</v>
      </c>
      <c r="Q41" s="167" t="s">
        <v>14</v>
      </c>
    </row>
    <row r="42" spans="1:17" customFormat="1">
      <c r="A42" s="80">
        <v>45489.354166666664</v>
      </c>
      <c r="B42" s="112">
        <v>9.2799999999999994</v>
      </c>
      <c r="C42" s="112">
        <v>4.07</v>
      </c>
      <c r="D42" s="112">
        <v>14.02</v>
      </c>
      <c r="E42" s="112">
        <v>8.77</v>
      </c>
      <c r="F42" s="112">
        <v>7.69</v>
      </c>
      <c r="G42" s="112">
        <v>30.52</v>
      </c>
      <c r="H42" s="112">
        <v>12.46</v>
      </c>
      <c r="I42" s="112">
        <v>5.63</v>
      </c>
      <c r="J42" s="112">
        <v>0.53</v>
      </c>
      <c r="K42" s="112">
        <v>65.2</v>
      </c>
      <c r="L42" s="112">
        <v>28.48</v>
      </c>
      <c r="M42" s="112">
        <v>91.76</v>
      </c>
      <c r="N42" s="112">
        <v>164.7</v>
      </c>
      <c r="O42" s="112">
        <v>0</v>
      </c>
      <c r="P42" s="112">
        <v>0.55000000000000004</v>
      </c>
      <c r="Q42" s="167" t="s">
        <v>14</v>
      </c>
    </row>
    <row r="43" spans="1:17" customFormat="1">
      <c r="A43" s="80">
        <v>45489.364583333336</v>
      </c>
      <c r="B43" s="112">
        <v>9.27</v>
      </c>
      <c r="C43" s="112">
        <v>4.05</v>
      </c>
      <c r="D43" s="112">
        <v>14</v>
      </c>
      <c r="E43" s="112">
        <v>8.68</v>
      </c>
      <c r="F43" s="112">
        <v>6.93</v>
      </c>
      <c r="G43" s="112">
        <v>30.71</v>
      </c>
      <c r="H43" s="112">
        <v>11.5</v>
      </c>
      <c r="I43" s="112">
        <v>5.58</v>
      </c>
      <c r="J43" s="112">
        <v>0.26</v>
      </c>
      <c r="K43" s="112">
        <v>107.03</v>
      </c>
      <c r="L43" s="112">
        <v>28.62</v>
      </c>
      <c r="M43" s="112">
        <v>90.24</v>
      </c>
      <c r="N43" s="112">
        <v>136.69999999999999</v>
      </c>
      <c r="O43" s="112">
        <v>0</v>
      </c>
      <c r="P43" s="112">
        <v>0.56000000000000005</v>
      </c>
      <c r="Q43" s="167" t="s">
        <v>14</v>
      </c>
    </row>
    <row r="44" spans="1:17" customFormat="1">
      <c r="A44" s="80">
        <v>45489.375</v>
      </c>
      <c r="B44" s="112">
        <v>9.27</v>
      </c>
      <c r="C44" s="112">
        <v>4.0599999999999996</v>
      </c>
      <c r="D44" s="112">
        <v>14.01</v>
      </c>
      <c r="E44" s="112">
        <v>8.75</v>
      </c>
      <c r="F44" s="112">
        <v>6.78</v>
      </c>
      <c r="G44" s="112">
        <v>30.85</v>
      </c>
      <c r="H44" s="112">
        <v>11.2</v>
      </c>
      <c r="I44" s="112">
        <v>5.38</v>
      </c>
      <c r="J44" s="112">
        <v>0.3</v>
      </c>
      <c r="K44" s="112">
        <v>94.85</v>
      </c>
      <c r="L44" s="112">
        <v>28.73</v>
      </c>
      <c r="M44" s="112">
        <v>90.59</v>
      </c>
      <c r="N44" s="112">
        <v>152.69999999999999</v>
      </c>
      <c r="O44" s="112">
        <v>0</v>
      </c>
      <c r="P44" s="112">
        <v>0.54</v>
      </c>
      <c r="Q44" s="167" t="s">
        <v>14</v>
      </c>
    </row>
    <row r="45" spans="1:17" customFormat="1">
      <c r="A45" s="80">
        <v>45489.385416666664</v>
      </c>
      <c r="B45" s="112">
        <v>9.26</v>
      </c>
      <c r="C45" s="112">
        <v>4.09</v>
      </c>
      <c r="D45" s="112">
        <v>14.01</v>
      </c>
      <c r="E45" s="112">
        <v>9.09</v>
      </c>
      <c r="F45" s="112">
        <v>5.48</v>
      </c>
      <c r="G45" s="112">
        <v>30.85</v>
      </c>
      <c r="H45" s="112">
        <v>11.2</v>
      </c>
      <c r="I45" s="112">
        <v>5.39</v>
      </c>
      <c r="J45" s="112">
        <v>0.63</v>
      </c>
      <c r="K45" s="112">
        <v>58.38</v>
      </c>
      <c r="L45" s="112">
        <v>28.7</v>
      </c>
      <c r="M45" s="112">
        <v>90.84</v>
      </c>
      <c r="N45" s="112">
        <v>176.5</v>
      </c>
      <c r="O45" s="112">
        <v>0</v>
      </c>
      <c r="P45" s="112">
        <v>0.54</v>
      </c>
      <c r="Q45" s="167" t="s">
        <v>14</v>
      </c>
    </row>
    <row r="46" spans="1:17" customFormat="1">
      <c r="A46" s="80">
        <v>45489.395833333336</v>
      </c>
      <c r="B46" s="112">
        <v>9.2899999999999991</v>
      </c>
      <c r="C46" s="112">
        <v>4.04</v>
      </c>
      <c r="D46" s="112">
        <v>14.02</v>
      </c>
      <c r="E46" s="112">
        <v>9.1</v>
      </c>
      <c r="F46" s="112">
        <v>6.08</v>
      </c>
      <c r="G46" s="112">
        <v>30.85</v>
      </c>
      <c r="H46" s="112">
        <v>11.2</v>
      </c>
      <c r="I46" s="112">
        <v>5.46</v>
      </c>
      <c r="J46" s="112">
        <v>0.91</v>
      </c>
      <c r="K46" s="112">
        <v>58.11</v>
      </c>
      <c r="L46" s="112">
        <v>28.8</v>
      </c>
      <c r="M46" s="112">
        <v>90.59</v>
      </c>
      <c r="N46" s="112">
        <v>256.60000000000002</v>
      </c>
      <c r="O46" s="112">
        <v>0</v>
      </c>
      <c r="P46" s="112">
        <v>0.5</v>
      </c>
      <c r="Q46" s="167" t="s">
        <v>14</v>
      </c>
    </row>
    <row r="47" spans="1:17" customFormat="1">
      <c r="A47" s="80">
        <v>45489.40625</v>
      </c>
      <c r="B47" s="112">
        <v>9.34</v>
      </c>
      <c r="C47" s="112">
        <v>4.0599999999999996</v>
      </c>
      <c r="D47" s="112">
        <v>14.06</v>
      </c>
      <c r="E47" s="112">
        <v>9.43</v>
      </c>
      <c r="F47" s="112">
        <v>6.35</v>
      </c>
      <c r="G47" s="112">
        <v>34.479999999999997</v>
      </c>
      <c r="H47" s="112">
        <v>14.09</v>
      </c>
      <c r="I47" s="112">
        <v>5.45</v>
      </c>
      <c r="J47" s="112">
        <v>1</v>
      </c>
      <c r="K47" s="112">
        <v>55.98</v>
      </c>
      <c r="L47" s="112">
        <v>29.14</v>
      </c>
      <c r="M47" s="112">
        <v>87.15</v>
      </c>
      <c r="N47" s="112">
        <v>284.60000000000002</v>
      </c>
      <c r="O47" s="112">
        <v>0</v>
      </c>
      <c r="P47" s="112">
        <v>0.51</v>
      </c>
      <c r="Q47" s="167" t="s">
        <v>14</v>
      </c>
    </row>
    <row r="48" spans="1:17" customFormat="1">
      <c r="A48" s="80">
        <v>45489.416666666664</v>
      </c>
      <c r="B48" s="112">
        <v>9.31</v>
      </c>
      <c r="C48" s="112">
        <v>4.07</v>
      </c>
      <c r="D48" s="112">
        <v>14.04</v>
      </c>
      <c r="E48" s="112">
        <v>9.76</v>
      </c>
      <c r="F48" s="112">
        <v>5.89</v>
      </c>
      <c r="G48" s="112">
        <v>37.26</v>
      </c>
      <c r="H48" s="112">
        <v>15.03</v>
      </c>
      <c r="I48" s="112">
        <v>5.44</v>
      </c>
      <c r="J48" s="112">
        <v>0.75</v>
      </c>
      <c r="K48" s="112">
        <v>59.97</v>
      </c>
      <c r="L48" s="112">
        <v>29.64</v>
      </c>
      <c r="M48" s="112">
        <v>84.33</v>
      </c>
      <c r="N48" s="112">
        <v>295</v>
      </c>
      <c r="O48" s="112">
        <v>0</v>
      </c>
      <c r="P48" s="112">
        <v>0.5</v>
      </c>
      <c r="Q48" s="167" t="s">
        <v>14</v>
      </c>
    </row>
    <row r="49" spans="1:17" customFormat="1">
      <c r="A49" s="80">
        <v>45489.427083333336</v>
      </c>
      <c r="B49" s="112">
        <v>9.2899999999999991</v>
      </c>
      <c r="C49" s="112">
        <v>4.08</v>
      </c>
      <c r="D49" s="112">
        <v>14.03</v>
      </c>
      <c r="E49" s="112">
        <v>9.93</v>
      </c>
      <c r="F49" s="112">
        <v>6.74</v>
      </c>
      <c r="G49" s="112">
        <v>37.26</v>
      </c>
      <c r="H49" s="112">
        <v>15.03</v>
      </c>
      <c r="I49" s="112">
        <v>5.3</v>
      </c>
      <c r="J49" s="112">
        <v>0.96</v>
      </c>
      <c r="K49" s="112">
        <v>57.97</v>
      </c>
      <c r="L49" s="112">
        <v>29.79</v>
      </c>
      <c r="M49" s="112">
        <v>80.59</v>
      </c>
      <c r="N49" s="112">
        <v>267.8</v>
      </c>
      <c r="O49" s="112">
        <v>0</v>
      </c>
      <c r="P49" s="112">
        <v>0.5</v>
      </c>
      <c r="Q49" s="167" t="s">
        <v>14</v>
      </c>
    </row>
    <row r="50" spans="1:17" customFormat="1">
      <c r="A50" s="80">
        <v>45489.4375</v>
      </c>
      <c r="B50" s="112">
        <v>9.2799999999999994</v>
      </c>
      <c r="C50" s="112">
        <v>4.04</v>
      </c>
      <c r="D50" s="112">
        <v>14.01</v>
      </c>
      <c r="E50" s="112">
        <v>11.28</v>
      </c>
      <c r="F50" s="112">
        <v>4.9800000000000004</v>
      </c>
      <c r="G50" s="112">
        <v>37.26</v>
      </c>
      <c r="H50" s="112">
        <v>15.03</v>
      </c>
      <c r="I50" s="112">
        <v>5.22</v>
      </c>
      <c r="J50" s="112">
        <v>0.7</v>
      </c>
      <c r="K50" s="112">
        <v>54.81</v>
      </c>
      <c r="L50" s="112">
        <v>30.88</v>
      </c>
      <c r="M50" s="112">
        <v>77.709999999999994</v>
      </c>
      <c r="N50" s="112">
        <v>260.2</v>
      </c>
      <c r="O50" s="112">
        <v>0</v>
      </c>
      <c r="P50" s="112">
        <v>0.48</v>
      </c>
      <c r="Q50" s="167" t="s">
        <v>14</v>
      </c>
    </row>
    <row r="51" spans="1:17" customFormat="1">
      <c r="A51" s="80">
        <v>45489.447916666664</v>
      </c>
      <c r="B51" s="112">
        <v>9.2799999999999994</v>
      </c>
      <c r="C51" s="112">
        <v>4.05</v>
      </c>
      <c r="D51" s="112">
        <v>14</v>
      </c>
      <c r="E51" s="112">
        <v>11.71</v>
      </c>
      <c r="F51" s="112">
        <v>5.71</v>
      </c>
      <c r="G51" s="151" t="s">
        <v>12</v>
      </c>
      <c r="H51" s="151" t="s">
        <v>12</v>
      </c>
      <c r="I51" s="112">
        <v>5.17</v>
      </c>
      <c r="J51" s="112">
        <v>0.63</v>
      </c>
      <c r="K51" s="112">
        <v>64.45</v>
      </c>
      <c r="L51" s="112">
        <v>31.77</v>
      </c>
      <c r="M51" s="112">
        <v>74.849999999999994</v>
      </c>
      <c r="N51" s="112">
        <v>236.1</v>
      </c>
      <c r="O51" s="112">
        <v>0</v>
      </c>
      <c r="P51" s="112">
        <v>0.47</v>
      </c>
      <c r="Q51" s="167" t="s">
        <v>14</v>
      </c>
    </row>
    <row r="52" spans="1:17" customFormat="1">
      <c r="A52" s="80">
        <v>45489.458333333336</v>
      </c>
      <c r="B52" s="112">
        <v>9.2799999999999994</v>
      </c>
      <c r="C52" s="112">
        <v>4.07</v>
      </c>
      <c r="D52" s="112">
        <v>14.01</v>
      </c>
      <c r="E52" s="112">
        <v>12.69</v>
      </c>
      <c r="F52" s="112">
        <v>9.57</v>
      </c>
      <c r="G52" s="151" t="s">
        <v>12</v>
      </c>
      <c r="H52" s="151" t="s">
        <v>12</v>
      </c>
      <c r="I52" s="112">
        <v>5.07</v>
      </c>
      <c r="J52" s="112">
        <v>0.75</v>
      </c>
      <c r="K52" s="112">
        <v>67.58</v>
      </c>
      <c r="L52" s="112">
        <v>31.56</v>
      </c>
      <c r="M52" s="112">
        <v>74.55</v>
      </c>
      <c r="N52" s="112">
        <v>284.89999999999998</v>
      </c>
      <c r="O52" s="112">
        <v>0</v>
      </c>
      <c r="P52" s="112">
        <v>0.45</v>
      </c>
      <c r="Q52" s="167" t="s">
        <v>14</v>
      </c>
    </row>
    <row r="53" spans="1:17" customFormat="1">
      <c r="A53" s="80">
        <v>45489.46875</v>
      </c>
      <c r="B53" s="112">
        <v>9.26</v>
      </c>
      <c r="C53" s="112">
        <v>4.05</v>
      </c>
      <c r="D53" s="112">
        <v>13.99</v>
      </c>
      <c r="E53" s="112">
        <v>9.16</v>
      </c>
      <c r="F53" s="112">
        <v>22.35</v>
      </c>
      <c r="G53" s="151" t="s">
        <v>12</v>
      </c>
      <c r="H53" s="151" t="s">
        <v>12</v>
      </c>
      <c r="I53" s="112">
        <v>4.97</v>
      </c>
      <c r="J53" s="112">
        <v>0.98</v>
      </c>
      <c r="K53" s="112">
        <v>55.4</v>
      </c>
      <c r="L53" s="112">
        <v>31.55</v>
      </c>
      <c r="M53" s="112">
        <v>74.760000000000005</v>
      </c>
      <c r="N53" s="112">
        <v>302.7</v>
      </c>
      <c r="O53" s="112">
        <v>0</v>
      </c>
      <c r="P53" s="112">
        <v>0.35</v>
      </c>
      <c r="Q53" s="167" t="s">
        <v>14</v>
      </c>
    </row>
    <row r="54" spans="1:17" customFormat="1">
      <c r="A54" s="80">
        <v>45489.479166666664</v>
      </c>
      <c r="B54" s="112">
        <v>9.2100000000000009</v>
      </c>
      <c r="C54" s="112">
        <v>4.07</v>
      </c>
      <c r="D54" s="112">
        <v>13.97</v>
      </c>
      <c r="E54" s="112">
        <v>9.11</v>
      </c>
      <c r="F54" s="112">
        <v>16.97</v>
      </c>
      <c r="G54" s="151" t="s">
        <v>12</v>
      </c>
      <c r="H54" s="151" t="s">
        <v>12</v>
      </c>
      <c r="I54" s="112">
        <v>4.3499999999999996</v>
      </c>
      <c r="J54" s="112">
        <v>0.63</v>
      </c>
      <c r="K54" s="112">
        <v>70.95</v>
      </c>
      <c r="L54" s="112">
        <v>32.28</v>
      </c>
      <c r="M54" s="112">
        <v>73.27</v>
      </c>
      <c r="N54" s="112">
        <v>291.2</v>
      </c>
      <c r="O54" s="112">
        <v>0</v>
      </c>
      <c r="P54" s="112">
        <v>0.32</v>
      </c>
      <c r="Q54" s="167" t="s">
        <v>14</v>
      </c>
    </row>
    <row r="55" spans="1:17" customFormat="1">
      <c r="A55" s="80">
        <v>45489.489583333336</v>
      </c>
      <c r="B55" s="112">
        <v>9.2100000000000009</v>
      </c>
      <c r="C55" s="112">
        <v>4.05</v>
      </c>
      <c r="D55" s="112">
        <v>13.95</v>
      </c>
      <c r="E55" s="112">
        <v>8.5</v>
      </c>
      <c r="F55" s="112">
        <v>19.97</v>
      </c>
      <c r="G55" s="151" t="s">
        <v>12</v>
      </c>
      <c r="H55" s="151" t="s">
        <v>12</v>
      </c>
      <c r="I55" s="112">
        <v>2.63</v>
      </c>
      <c r="J55" s="112">
        <v>0.54</v>
      </c>
      <c r="K55" s="112">
        <v>58.47</v>
      </c>
      <c r="L55" s="112">
        <v>32.32</v>
      </c>
      <c r="M55" s="112">
        <v>72.17</v>
      </c>
      <c r="N55" s="112">
        <v>388.7</v>
      </c>
      <c r="O55" s="112">
        <v>0</v>
      </c>
      <c r="P55" s="112">
        <v>0.28999999999999998</v>
      </c>
      <c r="Q55" s="167" t="s">
        <v>14</v>
      </c>
    </row>
    <row r="56" spans="1:17" customFormat="1">
      <c r="A56" s="80">
        <v>45489.5</v>
      </c>
      <c r="B56" s="112">
        <v>9.1</v>
      </c>
      <c r="C56" s="112">
        <v>4.0599999999999996</v>
      </c>
      <c r="D56" s="112">
        <v>13.87</v>
      </c>
      <c r="E56" s="112">
        <v>8.61</v>
      </c>
      <c r="F56" s="112">
        <v>13.33</v>
      </c>
      <c r="G56" s="151" t="s">
        <v>12</v>
      </c>
      <c r="H56" s="151" t="s">
        <v>12</v>
      </c>
      <c r="I56" s="112">
        <v>2.16</v>
      </c>
      <c r="J56" s="112">
        <v>0.46</v>
      </c>
      <c r="K56" s="112">
        <v>62.01</v>
      </c>
      <c r="L56" s="112">
        <v>32.880000000000003</v>
      </c>
      <c r="M56" s="112">
        <v>70.06</v>
      </c>
      <c r="N56" s="112">
        <v>630.5</v>
      </c>
      <c r="O56" s="112">
        <v>0</v>
      </c>
      <c r="P56" s="112">
        <v>0.3</v>
      </c>
      <c r="Q56" s="167" t="s">
        <v>14</v>
      </c>
    </row>
    <row r="57" spans="1:17" customFormat="1">
      <c r="A57" s="80">
        <v>45489.510416666664</v>
      </c>
      <c r="B57" s="112">
        <v>9.23</v>
      </c>
      <c r="C57" s="112">
        <v>3.88</v>
      </c>
      <c r="D57" s="112">
        <v>13.72</v>
      </c>
      <c r="E57" s="112">
        <v>9.19</v>
      </c>
      <c r="F57" s="112">
        <v>19.41</v>
      </c>
      <c r="G57" s="151" t="s">
        <v>12</v>
      </c>
      <c r="H57" s="151" t="s">
        <v>12</v>
      </c>
      <c r="I57" s="112">
        <v>2.19</v>
      </c>
      <c r="J57" s="112">
        <v>0.82</v>
      </c>
      <c r="K57" s="112">
        <v>61.67</v>
      </c>
      <c r="L57" s="112">
        <v>32.229999999999997</v>
      </c>
      <c r="M57" s="112">
        <v>74.959999999999994</v>
      </c>
      <c r="N57" s="112">
        <v>263.39999999999998</v>
      </c>
      <c r="O57" s="112">
        <v>0</v>
      </c>
      <c r="P57" s="112">
        <v>0.31</v>
      </c>
      <c r="Q57" s="167" t="s">
        <v>14</v>
      </c>
    </row>
    <row r="58" spans="1:17" customFormat="1">
      <c r="A58" s="80">
        <v>45489.520833333336</v>
      </c>
      <c r="B58" s="112">
        <v>9.01</v>
      </c>
      <c r="C58" s="112">
        <v>4.01</v>
      </c>
      <c r="D58" s="112">
        <v>13.78</v>
      </c>
      <c r="E58" s="112">
        <v>8.26</v>
      </c>
      <c r="F58" s="112">
        <v>17.97</v>
      </c>
      <c r="G58" s="112">
        <v>2.98</v>
      </c>
      <c r="H58" s="112">
        <v>0.51</v>
      </c>
      <c r="I58" s="112">
        <v>2.19</v>
      </c>
      <c r="J58" s="112">
        <v>1.1599999999999999</v>
      </c>
      <c r="K58" s="112">
        <v>54.62</v>
      </c>
      <c r="L58" s="112">
        <v>31.51</v>
      </c>
      <c r="M58" s="112">
        <v>76.64</v>
      </c>
      <c r="N58" s="112">
        <v>626.29999999999995</v>
      </c>
      <c r="O58" s="112">
        <v>0</v>
      </c>
      <c r="P58" s="112">
        <v>0.3</v>
      </c>
      <c r="Q58" s="112">
        <v>2.5499999999999998</v>
      </c>
    </row>
    <row r="59" spans="1:17" customFormat="1">
      <c r="A59" s="80">
        <v>45489.53125</v>
      </c>
      <c r="B59" s="112">
        <v>8.69</v>
      </c>
      <c r="C59" s="112">
        <v>4.05</v>
      </c>
      <c r="D59" s="112">
        <v>13.54</v>
      </c>
      <c r="E59" s="112">
        <v>7.8</v>
      </c>
      <c r="F59" s="112">
        <v>13</v>
      </c>
      <c r="G59" s="112">
        <v>53.57</v>
      </c>
      <c r="H59" s="112">
        <v>8.41</v>
      </c>
      <c r="I59" s="112">
        <v>2.16</v>
      </c>
      <c r="J59" s="112">
        <v>1.1100000000000001</v>
      </c>
      <c r="K59" s="112">
        <v>53.93</v>
      </c>
      <c r="L59" s="112">
        <v>32.049999999999997</v>
      </c>
      <c r="M59" s="112">
        <v>74.63</v>
      </c>
      <c r="N59" s="112">
        <v>650.9</v>
      </c>
      <c r="O59" s="112">
        <v>0</v>
      </c>
      <c r="P59" s="112">
        <v>0.28999999999999998</v>
      </c>
      <c r="Q59" s="112">
        <v>4.8499999999999996</v>
      </c>
    </row>
    <row r="60" spans="1:17" customFormat="1">
      <c r="A60" s="80">
        <v>45489.541666666664</v>
      </c>
      <c r="B60" s="112">
        <v>8.61</v>
      </c>
      <c r="C60" s="112">
        <v>4.04</v>
      </c>
      <c r="D60" s="112">
        <v>13.46</v>
      </c>
      <c r="E60" s="112">
        <v>7.42</v>
      </c>
      <c r="F60" s="112">
        <v>10.210000000000001</v>
      </c>
      <c r="G60" s="112">
        <v>53.57</v>
      </c>
      <c r="H60" s="112">
        <v>8.41</v>
      </c>
      <c r="I60" s="112">
        <v>2.12</v>
      </c>
      <c r="J60" s="112">
        <v>0.98</v>
      </c>
      <c r="K60" s="112">
        <v>58.89</v>
      </c>
      <c r="L60" s="112">
        <v>31.94</v>
      </c>
      <c r="M60" s="112">
        <v>74.48</v>
      </c>
      <c r="N60" s="112">
        <v>466.7</v>
      </c>
      <c r="O60" s="112">
        <v>0</v>
      </c>
      <c r="P60" s="112">
        <v>0.27</v>
      </c>
      <c r="Q60" s="112">
        <v>4.92</v>
      </c>
    </row>
    <row r="61" spans="1:17" customFormat="1">
      <c r="A61" s="80">
        <v>45489.552083333336</v>
      </c>
      <c r="B61" s="112">
        <v>8.57</v>
      </c>
      <c r="C61" s="112">
        <v>4.01</v>
      </c>
      <c r="D61" s="112">
        <v>13.42</v>
      </c>
      <c r="E61" s="112">
        <v>7.73</v>
      </c>
      <c r="F61" s="112">
        <v>7.9</v>
      </c>
      <c r="G61" s="112">
        <v>53.57</v>
      </c>
      <c r="H61" s="112">
        <v>8.41</v>
      </c>
      <c r="I61" s="112">
        <v>2.11</v>
      </c>
      <c r="J61" s="112">
        <v>1.06</v>
      </c>
      <c r="K61" s="112">
        <v>60.83</v>
      </c>
      <c r="L61" s="112">
        <v>31.95</v>
      </c>
      <c r="M61" s="112">
        <v>74.02</v>
      </c>
      <c r="N61" s="112">
        <v>546.5</v>
      </c>
      <c r="O61" s="112">
        <v>0</v>
      </c>
      <c r="P61" s="112">
        <v>0.3</v>
      </c>
      <c r="Q61" s="112">
        <v>4.7699999999999996</v>
      </c>
    </row>
    <row r="62" spans="1:17" customFormat="1">
      <c r="A62" s="80">
        <v>45489.5625</v>
      </c>
      <c r="B62" s="112">
        <v>8.5500000000000007</v>
      </c>
      <c r="C62" s="112">
        <v>4.01</v>
      </c>
      <c r="D62" s="112">
        <v>13.4</v>
      </c>
      <c r="E62" s="112">
        <v>8.1199999999999992</v>
      </c>
      <c r="F62" s="112">
        <v>6.76</v>
      </c>
      <c r="G62" s="112">
        <v>52.85</v>
      </c>
      <c r="H62" s="112">
        <v>8.41</v>
      </c>
      <c r="I62" s="112">
        <v>2.15</v>
      </c>
      <c r="J62" s="112">
        <v>1.2</v>
      </c>
      <c r="K62" s="112">
        <v>58.56</v>
      </c>
      <c r="L62" s="112">
        <v>32.409999999999997</v>
      </c>
      <c r="M62" s="112">
        <v>73.47</v>
      </c>
      <c r="N62" s="112">
        <v>361.4</v>
      </c>
      <c r="O62" s="112">
        <v>0</v>
      </c>
      <c r="P62" s="112">
        <v>0.28000000000000003</v>
      </c>
      <c r="Q62" s="112">
        <v>4.67</v>
      </c>
    </row>
    <row r="63" spans="1:17" customFormat="1">
      <c r="A63" s="80">
        <v>45489.572916666664</v>
      </c>
      <c r="B63" s="112">
        <v>8.5399999999999991</v>
      </c>
      <c r="C63" s="112">
        <v>4.03</v>
      </c>
      <c r="D63" s="112">
        <v>13.4</v>
      </c>
      <c r="E63" s="112">
        <v>8.43</v>
      </c>
      <c r="F63" s="112">
        <v>6.53</v>
      </c>
      <c r="G63" s="112">
        <v>40.61</v>
      </c>
      <c r="H63" s="112">
        <v>8.3800000000000008</v>
      </c>
      <c r="I63" s="112">
        <v>2.25</v>
      </c>
      <c r="J63" s="112">
        <v>1.03</v>
      </c>
      <c r="K63" s="112">
        <v>52.09</v>
      </c>
      <c r="L63" s="112">
        <v>32.299999999999997</v>
      </c>
      <c r="M63" s="112">
        <v>73.239999999999995</v>
      </c>
      <c r="N63" s="112">
        <v>396.5</v>
      </c>
      <c r="O63" s="112">
        <v>0</v>
      </c>
      <c r="P63" s="112">
        <v>0.3</v>
      </c>
      <c r="Q63" s="112">
        <v>4.66</v>
      </c>
    </row>
    <row r="64" spans="1:17" customFormat="1">
      <c r="A64" s="80">
        <v>45489.583333333336</v>
      </c>
      <c r="B64" s="112">
        <v>8.5399999999999991</v>
      </c>
      <c r="C64" s="112">
        <v>4.04</v>
      </c>
      <c r="D64" s="112">
        <v>13.41</v>
      </c>
      <c r="E64" s="112">
        <v>9.24</v>
      </c>
      <c r="F64" s="112">
        <v>5.62</v>
      </c>
      <c r="G64" s="112">
        <v>40.61</v>
      </c>
      <c r="H64" s="112">
        <v>8.3800000000000008</v>
      </c>
      <c r="I64" s="112">
        <v>2.34</v>
      </c>
      <c r="J64" s="112">
        <v>0.54</v>
      </c>
      <c r="K64" s="112">
        <v>65.48</v>
      </c>
      <c r="L64" s="112">
        <v>32.83</v>
      </c>
      <c r="M64" s="112">
        <v>70.86</v>
      </c>
      <c r="N64" s="112">
        <v>296.2</v>
      </c>
      <c r="O64" s="112">
        <v>0</v>
      </c>
      <c r="P64" s="112">
        <v>0.31</v>
      </c>
      <c r="Q64" s="112">
        <v>4.66</v>
      </c>
    </row>
    <row r="65" spans="1:17" customFormat="1">
      <c r="A65" s="80">
        <v>45489.59375</v>
      </c>
      <c r="B65" s="112">
        <v>8.5500000000000007</v>
      </c>
      <c r="C65" s="112">
        <v>4.01</v>
      </c>
      <c r="D65" s="112">
        <v>13.4</v>
      </c>
      <c r="E65" s="112">
        <v>9.23</v>
      </c>
      <c r="F65" s="112">
        <v>6.63</v>
      </c>
      <c r="G65" s="112">
        <v>40.61</v>
      </c>
      <c r="H65" s="112">
        <v>8.3800000000000008</v>
      </c>
      <c r="I65" s="112">
        <v>2.4700000000000002</v>
      </c>
      <c r="J65" s="112">
        <v>0.71</v>
      </c>
      <c r="K65" s="112">
        <v>61.02</v>
      </c>
      <c r="L65" s="112">
        <v>32.57</v>
      </c>
      <c r="M65" s="112">
        <v>70.94</v>
      </c>
      <c r="N65" s="112">
        <v>486.1</v>
      </c>
      <c r="O65" s="112">
        <v>0</v>
      </c>
      <c r="P65" s="112">
        <v>0.33</v>
      </c>
      <c r="Q65" s="112">
        <v>4.6500000000000004</v>
      </c>
    </row>
    <row r="66" spans="1:17" customFormat="1">
      <c r="A66" s="80">
        <v>45489.604166666664</v>
      </c>
      <c r="B66" s="112">
        <v>8.7100000000000009</v>
      </c>
      <c r="C66" s="112">
        <v>4.03</v>
      </c>
      <c r="D66" s="112">
        <v>13.54</v>
      </c>
      <c r="E66" s="112">
        <v>8.85</v>
      </c>
      <c r="F66" s="112">
        <v>10.85</v>
      </c>
      <c r="G66" s="112">
        <v>40.19</v>
      </c>
      <c r="H66" s="112">
        <v>8.31</v>
      </c>
      <c r="I66" s="112">
        <v>2.5499999999999998</v>
      </c>
      <c r="J66" s="112">
        <v>0.66</v>
      </c>
      <c r="K66" s="112">
        <v>58.22</v>
      </c>
      <c r="L66" s="112">
        <v>32.380000000000003</v>
      </c>
      <c r="M66" s="112">
        <v>70.930000000000007</v>
      </c>
      <c r="N66" s="112">
        <v>334.1</v>
      </c>
      <c r="O66" s="112">
        <v>0</v>
      </c>
      <c r="P66" s="112">
        <v>0.36</v>
      </c>
      <c r="Q66" s="112">
        <v>4.6500000000000004</v>
      </c>
    </row>
    <row r="67" spans="1:17" customFormat="1">
      <c r="A67" s="80">
        <v>45489.614583333336</v>
      </c>
      <c r="B67" s="112">
        <v>8.7799999999999994</v>
      </c>
      <c r="C67" s="112">
        <v>4.04</v>
      </c>
      <c r="D67" s="112">
        <v>13.6</v>
      </c>
      <c r="E67" s="112">
        <v>8.75</v>
      </c>
      <c r="F67" s="112">
        <v>10.039999999999999</v>
      </c>
      <c r="G67" s="112">
        <v>32.909999999999997</v>
      </c>
      <c r="H67" s="112">
        <v>7.22</v>
      </c>
      <c r="I67" s="112">
        <v>2.66</v>
      </c>
      <c r="J67" s="112">
        <v>0.28000000000000003</v>
      </c>
      <c r="K67" s="112">
        <v>91.48</v>
      </c>
      <c r="L67" s="112">
        <v>32.28</v>
      </c>
      <c r="M67" s="112">
        <v>70.819999999999993</v>
      </c>
      <c r="N67" s="112">
        <v>408.9</v>
      </c>
      <c r="O67" s="112">
        <v>0</v>
      </c>
      <c r="P67" s="112">
        <v>0.36</v>
      </c>
      <c r="Q67" s="112">
        <v>4.66</v>
      </c>
    </row>
    <row r="68" spans="1:17" customFormat="1">
      <c r="A68" s="80">
        <v>45489.625</v>
      </c>
      <c r="B68" s="112">
        <v>8.77</v>
      </c>
      <c r="C68" s="112">
        <v>4.0599999999999996</v>
      </c>
      <c r="D68" s="112">
        <v>13.6</v>
      </c>
      <c r="E68" s="112">
        <v>8.84</v>
      </c>
      <c r="F68" s="112">
        <v>8.39</v>
      </c>
      <c r="G68" s="112">
        <v>32.909999999999997</v>
      </c>
      <c r="H68" s="112">
        <v>7.22</v>
      </c>
      <c r="I68" s="112">
        <v>2.72</v>
      </c>
      <c r="J68" s="112">
        <v>0.63</v>
      </c>
      <c r="K68" s="112">
        <v>62.9</v>
      </c>
      <c r="L68" s="112">
        <v>32.89</v>
      </c>
      <c r="M68" s="112">
        <v>69.64</v>
      </c>
      <c r="N68" s="112">
        <v>462.4</v>
      </c>
      <c r="O68" s="112">
        <v>0</v>
      </c>
      <c r="P68" s="112">
        <v>0.37</v>
      </c>
      <c r="Q68" s="112">
        <v>4.6500000000000004</v>
      </c>
    </row>
    <row r="69" spans="1:17" customFormat="1">
      <c r="A69" s="80">
        <v>45489.635416666664</v>
      </c>
      <c r="B69" s="112">
        <v>8.74</v>
      </c>
      <c r="C69" s="112">
        <v>4.04</v>
      </c>
      <c r="D69" s="112">
        <v>13.57</v>
      </c>
      <c r="E69" s="112">
        <v>8.86</v>
      </c>
      <c r="F69" s="112">
        <v>12.54</v>
      </c>
      <c r="G69" s="112">
        <v>32.909999999999997</v>
      </c>
      <c r="H69" s="112">
        <v>7.22</v>
      </c>
      <c r="I69" s="112">
        <v>2.77</v>
      </c>
      <c r="J69" s="112">
        <v>1.35</v>
      </c>
      <c r="K69" s="112">
        <v>45.43</v>
      </c>
      <c r="L69" s="112">
        <v>32.200000000000003</v>
      </c>
      <c r="M69" s="112">
        <v>69.63</v>
      </c>
      <c r="N69" s="112">
        <v>537.5</v>
      </c>
      <c r="O69" s="112">
        <v>0</v>
      </c>
      <c r="P69" s="112">
        <v>0.38</v>
      </c>
      <c r="Q69" s="112">
        <v>4.6399999999999997</v>
      </c>
    </row>
    <row r="70" spans="1:17" customFormat="1">
      <c r="A70" s="80">
        <v>45489.645833333336</v>
      </c>
      <c r="B70" s="112">
        <v>8.73</v>
      </c>
      <c r="C70" s="112">
        <v>4.04</v>
      </c>
      <c r="D70" s="112">
        <v>13.57</v>
      </c>
      <c r="E70" s="112">
        <v>9.24</v>
      </c>
      <c r="F70" s="112">
        <v>13.25</v>
      </c>
      <c r="G70" s="112">
        <v>33.04</v>
      </c>
      <c r="H70" s="112">
        <v>7.12</v>
      </c>
      <c r="I70" s="112">
        <v>2.83</v>
      </c>
      <c r="J70" s="112">
        <v>0.68</v>
      </c>
      <c r="K70" s="112">
        <v>53.65</v>
      </c>
      <c r="L70" s="112">
        <v>32.97</v>
      </c>
      <c r="M70" s="112">
        <v>67.42</v>
      </c>
      <c r="N70" s="112">
        <v>313.39999999999998</v>
      </c>
      <c r="O70" s="112">
        <v>0</v>
      </c>
      <c r="P70" s="112">
        <v>0.37</v>
      </c>
      <c r="Q70" s="112">
        <v>4.6500000000000004</v>
      </c>
    </row>
    <row r="71" spans="1:17" customFormat="1">
      <c r="A71" s="80">
        <v>45489.65625</v>
      </c>
      <c r="B71" s="112">
        <v>8.7100000000000009</v>
      </c>
      <c r="C71" s="112">
        <v>4.0599999999999996</v>
      </c>
      <c r="D71" s="112">
        <v>13.56</v>
      </c>
      <c r="E71" s="112">
        <v>9.19</v>
      </c>
      <c r="F71" s="112">
        <v>9.41</v>
      </c>
      <c r="G71" s="112">
        <v>35.21</v>
      </c>
      <c r="H71" s="112">
        <v>5.65</v>
      </c>
      <c r="I71" s="112">
        <v>2.92</v>
      </c>
      <c r="J71" s="112">
        <v>0.49</v>
      </c>
      <c r="K71" s="112">
        <v>67.86</v>
      </c>
      <c r="L71" s="112">
        <v>33.130000000000003</v>
      </c>
      <c r="M71" s="112">
        <v>65.86</v>
      </c>
      <c r="N71" s="112">
        <v>230.4</v>
      </c>
      <c r="O71" s="112">
        <v>0</v>
      </c>
      <c r="P71" s="112">
        <v>0.38</v>
      </c>
      <c r="Q71" s="112">
        <v>4.6500000000000004</v>
      </c>
    </row>
    <row r="72" spans="1:17" customFormat="1">
      <c r="A72" s="80">
        <v>45489.666666666664</v>
      </c>
      <c r="B72" s="112">
        <v>8.7200000000000006</v>
      </c>
      <c r="C72" s="112">
        <v>4.03</v>
      </c>
      <c r="D72" s="112">
        <v>13.55</v>
      </c>
      <c r="E72" s="112">
        <v>10.199999999999999</v>
      </c>
      <c r="F72" s="112">
        <v>11.13</v>
      </c>
      <c r="G72" s="112">
        <v>35.21</v>
      </c>
      <c r="H72" s="112">
        <v>5.65</v>
      </c>
      <c r="I72" s="112">
        <v>2.91</v>
      </c>
      <c r="J72" s="112">
        <v>0.25</v>
      </c>
      <c r="K72" s="112">
        <v>87.62</v>
      </c>
      <c r="L72" s="112">
        <v>33.82</v>
      </c>
      <c r="M72" s="112">
        <v>66.11</v>
      </c>
      <c r="N72" s="112">
        <v>434.3</v>
      </c>
      <c r="O72" s="112">
        <v>0</v>
      </c>
      <c r="P72" s="112">
        <v>0.37</v>
      </c>
      <c r="Q72" s="112">
        <v>4.6500000000000004</v>
      </c>
    </row>
    <row r="73" spans="1:17" customFormat="1">
      <c r="A73" s="80">
        <v>45489.677083333336</v>
      </c>
      <c r="B73" s="112">
        <v>8.7200000000000006</v>
      </c>
      <c r="C73" s="112">
        <v>4.04</v>
      </c>
      <c r="D73" s="112">
        <v>13.55</v>
      </c>
      <c r="E73" s="112">
        <v>8.82</v>
      </c>
      <c r="F73" s="112">
        <v>12.8</v>
      </c>
      <c r="G73" s="112">
        <v>35.21</v>
      </c>
      <c r="H73" s="112">
        <v>5.65</v>
      </c>
      <c r="I73" s="112">
        <v>2.96</v>
      </c>
      <c r="J73" s="112">
        <v>0.19</v>
      </c>
      <c r="K73" s="112">
        <v>87.48</v>
      </c>
      <c r="L73" s="112">
        <v>32.54</v>
      </c>
      <c r="M73" s="112">
        <v>74.28</v>
      </c>
      <c r="N73" s="112">
        <v>86.2</v>
      </c>
      <c r="O73" s="112">
        <v>0</v>
      </c>
      <c r="P73" s="112">
        <v>0.36</v>
      </c>
      <c r="Q73" s="112">
        <v>4.6399999999999997</v>
      </c>
    </row>
    <row r="74" spans="1:17" customFormat="1">
      <c r="A74" s="80">
        <v>45489.6875</v>
      </c>
      <c r="B74" s="112">
        <v>8.7200000000000006</v>
      </c>
      <c r="C74" s="112">
        <v>4.0199999999999996</v>
      </c>
      <c r="D74" s="112">
        <v>13.54</v>
      </c>
      <c r="E74" s="112">
        <v>8.9600000000000009</v>
      </c>
      <c r="F74" s="112">
        <v>18.8</v>
      </c>
      <c r="G74" s="112">
        <v>34.72</v>
      </c>
      <c r="H74" s="112">
        <v>5.75</v>
      </c>
      <c r="I74" s="112">
        <v>2.93</v>
      </c>
      <c r="J74" s="112">
        <v>0.25</v>
      </c>
      <c r="K74" s="112">
        <v>183.85</v>
      </c>
      <c r="L74" s="112">
        <v>31.71</v>
      </c>
      <c r="M74" s="112">
        <v>77.23</v>
      </c>
      <c r="N74" s="112">
        <v>85</v>
      </c>
      <c r="O74" s="112">
        <v>0</v>
      </c>
      <c r="P74" s="112">
        <v>0.36</v>
      </c>
      <c r="Q74" s="112">
        <v>4.6399999999999997</v>
      </c>
    </row>
    <row r="75" spans="1:17" customFormat="1">
      <c r="A75" s="80">
        <v>45489.697916666664</v>
      </c>
      <c r="B75" s="112">
        <v>8.7100000000000009</v>
      </c>
      <c r="C75" s="112">
        <v>4.03</v>
      </c>
      <c r="D75" s="112">
        <v>13.54</v>
      </c>
      <c r="E75" s="112">
        <v>11.73</v>
      </c>
      <c r="F75" s="112">
        <v>18.73</v>
      </c>
      <c r="G75" s="112">
        <v>26.47</v>
      </c>
      <c r="H75" s="112">
        <v>7.26</v>
      </c>
      <c r="I75" s="112">
        <v>2.96</v>
      </c>
      <c r="J75" s="112">
        <v>0.19</v>
      </c>
      <c r="K75" s="112">
        <v>174.6</v>
      </c>
      <c r="L75" s="112">
        <v>31.64</v>
      </c>
      <c r="M75" s="112">
        <v>75.05</v>
      </c>
      <c r="N75" s="112">
        <v>116.7</v>
      </c>
      <c r="O75" s="112">
        <v>0</v>
      </c>
      <c r="P75" s="112">
        <v>0.35</v>
      </c>
      <c r="Q75" s="112">
        <v>4.6399999999999997</v>
      </c>
    </row>
    <row r="76" spans="1:17" customFormat="1">
      <c r="A76" s="80">
        <v>45489.708333333336</v>
      </c>
      <c r="B76" s="112">
        <v>8.7100000000000009</v>
      </c>
      <c r="C76" s="112">
        <v>4.01</v>
      </c>
      <c r="D76" s="112">
        <v>13.53</v>
      </c>
      <c r="E76" s="112">
        <v>12.82</v>
      </c>
      <c r="F76" s="112">
        <v>20.68</v>
      </c>
      <c r="G76" s="112">
        <v>26.47</v>
      </c>
      <c r="H76" s="112">
        <v>7.26</v>
      </c>
      <c r="I76" s="112">
        <v>2.71</v>
      </c>
      <c r="J76" s="112">
        <v>0.21</v>
      </c>
      <c r="K76" s="112">
        <v>164.19</v>
      </c>
      <c r="L76" s="112">
        <v>32.06</v>
      </c>
      <c r="M76" s="112">
        <v>74.31</v>
      </c>
      <c r="N76" s="112">
        <v>90.4</v>
      </c>
      <c r="O76" s="112">
        <v>0</v>
      </c>
      <c r="P76" s="112">
        <v>0.35</v>
      </c>
      <c r="Q76" s="112">
        <v>4.6500000000000004</v>
      </c>
    </row>
    <row r="77" spans="1:17" customFormat="1">
      <c r="A77" s="80">
        <v>45489.71875</v>
      </c>
      <c r="B77" s="112">
        <v>8.7100000000000009</v>
      </c>
      <c r="C77" s="112">
        <v>4.01</v>
      </c>
      <c r="D77" s="112">
        <v>13.53</v>
      </c>
      <c r="E77" s="112">
        <v>10.35</v>
      </c>
      <c r="F77" s="112">
        <v>19.690000000000001</v>
      </c>
      <c r="G77" s="112">
        <v>26.47</v>
      </c>
      <c r="H77" s="112">
        <v>7.26</v>
      </c>
      <c r="I77" s="112">
        <v>2.69</v>
      </c>
      <c r="J77" s="112">
        <v>0.31</v>
      </c>
      <c r="K77" s="112">
        <v>132.66</v>
      </c>
      <c r="L77" s="112">
        <v>32.06</v>
      </c>
      <c r="M77" s="112">
        <v>71.45</v>
      </c>
      <c r="N77" s="112">
        <v>81</v>
      </c>
      <c r="O77" s="112">
        <v>0</v>
      </c>
      <c r="P77" s="112">
        <v>0.34</v>
      </c>
      <c r="Q77" s="112">
        <v>4.68</v>
      </c>
    </row>
    <row r="78" spans="1:17" customFormat="1">
      <c r="A78" s="80">
        <v>45489.729166666664</v>
      </c>
      <c r="B78" s="112">
        <v>8.73</v>
      </c>
      <c r="C78" s="112">
        <v>4.01</v>
      </c>
      <c r="D78" s="112">
        <v>13.54</v>
      </c>
      <c r="E78" s="112">
        <v>9.7899999999999991</v>
      </c>
      <c r="F78" s="112">
        <v>23.48</v>
      </c>
      <c r="G78" s="112">
        <v>26.27</v>
      </c>
      <c r="H78" s="112">
        <v>7.18</v>
      </c>
      <c r="I78" s="112">
        <v>2.62</v>
      </c>
      <c r="J78" s="112">
        <v>0.25</v>
      </c>
      <c r="K78" s="112">
        <v>159.01</v>
      </c>
      <c r="L78" s="112">
        <v>32</v>
      </c>
      <c r="M78" s="112">
        <v>73.75</v>
      </c>
      <c r="N78" s="112">
        <v>69</v>
      </c>
      <c r="O78" s="112">
        <v>0</v>
      </c>
      <c r="P78" s="112">
        <v>0.33</v>
      </c>
      <c r="Q78" s="112">
        <v>4.67</v>
      </c>
    </row>
    <row r="79" spans="1:17" customFormat="1">
      <c r="A79" s="80">
        <v>45489.739583333336</v>
      </c>
      <c r="B79" s="112">
        <v>8.73</v>
      </c>
      <c r="C79" s="112">
        <v>4.05</v>
      </c>
      <c r="D79" s="112">
        <v>13.56</v>
      </c>
      <c r="E79" s="112">
        <v>9.3000000000000007</v>
      </c>
      <c r="F79" s="112">
        <v>21.72</v>
      </c>
      <c r="G79" s="112">
        <v>23</v>
      </c>
      <c r="H79" s="112">
        <v>5.85</v>
      </c>
      <c r="I79" s="112">
        <v>2.62</v>
      </c>
      <c r="J79" s="112">
        <v>0.24</v>
      </c>
      <c r="K79" s="112">
        <v>163.43</v>
      </c>
      <c r="L79" s="112">
        <v>31.49</v>
      </c>
      <c r="M79" s="112">
        <v>76.510000000000005</v>
      </c>
      <c r="N79" s="112">
        <v>52.9</v>
      </c>
      <c r="O79" s="112">
        <v>0</v>
      </c>
      <c r="P79" s="112">
        <v>0.33</v>
      </c>
      <c r="Q79" s="112">
        <v>4.68</v>
      </c>
    </row>
    <row r="80" spans="1:17" customFormat="1">
      <c r="A80" s="80">
        <v>45489.75</v>
      </c>
      <c r="B80" s="112">
        <v>8.6999999999999993</v>
      </c>
      <c r="C80" s="112">
        <v>4.03</v>
      </c>
      <c r="D80" s="112">
        <v>13.53</v>
      </c>
      <c r="E80" s="112">
        <v>9.25</v>
      </c>
      <c r="F80" s="112">
        <v>16.64</v>
      </c>
      <c r="G80" s="112">
        <v>23</v>
      </c>
      <c r="H80" s="112">
        <v>5.85</v>
      </c>
      <c r="I80" s="112">
        <v>2.5</v>
      </c>
      <c r="J80" s="112">
        <v>0.19</v>
      </c>
      <c r="K80" s="112">
        <v>145.99</v>
      </c>
      <c r="L80" s="112">
        <v>30.88</v>
      </c>
      <c r="M80" s="112">
        <v>79.459999999999994</v>
      </c>
      <c r="N80" s="112">
        <v>32.5</v>
      </c>
      <c r="O80" s="112">
        <v>0</v>
      </c>
      <c r="P80" s="112">
        <v>0.35</v>
      </c>
      <c r="Q80" s="112">
        <v>4.6900000000000004</v>
      </c>
    </row>
    <row r="81" spans="1:17" customFormat="1">
      <c r="A81" s="80">
        <v>45489.760416666664</v>
      </c>
      <c r="B81" s="112">
        <v>8.65</v>
      </c>
      <c r="C81" s="112">
        <v>4.04</v>
      </c>
      <c r="D81" s="112">
        <v>13.5</v>
      </c>
      <c r="E81" s="112">
        <v>7.05</v>
      </c>
      <c r="F81" s="112">
        <v>17.38</v>
      </c>
      <c r="G81" s="112">
        <v>23</v>
      </c>
      <c r="H81" s="112">
        <v>5.85</v>
      </c>
      <c r="I81" s="112">
        <v>2.58</v>
      </c>
      <c r="J81" s="112">
        <v>0.15</v>
      </c>
      <c r="K81" s="112">
        <v>178.14</v>
      </c>
      <c r="L81" s="112">
        <v>30.38</v>
      </c>
      <c r="M81" s="112">
        <v>81</v>
      </c>
      <c r="N81" s="112">
        <v>19.899999999999999</v>
      </c>
      <c r="O81" s="112">
        <v>0</v>
      </c>
      <c r="P81" s="112">
        <v>0.34</v>
      </c>
      <c r="Q81" s="112">
        <v>4.67</v>
      </c>
    </row>
    <row r="82" spans="1:17" customFormat="1">
      <c r="A82" s="80">
        <v>45489.770833333336</v>
      </c>
      <c r="B82" s="112">
        <v>8.65</v>
      </c>
      <c r="C82" s="112">
        <v>4.0199999999999996</v>
      </c>
      <c r="D82" s="112">
        <v>13.49</v>
      </c>
      <c r="E82" s="112">
        <v>7.71</v>
      </c>
      <c r="F82" s="112">
        <v>18.149999999999999</v>
      </c>
      <c r="G82" s="112">
        <v>22.64</v>
      </c>
      <c r="H82" s="112">
        <v>5.78</v>
      </c>
      <c r="I82" s="112">
        <v>2.67</v>
      </c>
      <c r="J82" s="112">
        <v>0.18</v>
      </c>
      <c r="K82" s="112">
        <v>175.45</v>
      </c>
      <c r="L82" s="112">
        <v>30.08</v>
      </c>
      <c r="M82" s="112">
        <v>80.760000000000005</v>
      </c>
      <c r="N82" s="112">
        <v>9.3000000000000007</v>
      </c>
      <c r="O82" s="112">
        <v>0</v>
      </c>
      <c r="P82" s="112">
        <v>0.34</v>
      </c>
      <c r="Q82" s="112">
        <v>4.6900000000000004</v>
      </c>
    </row>
    <row r="83" spans="1:17" customFormat="1">
      <c r="A83" s="80">
        <v>45489.78125</v>
      </c>
      <c r="B83" s="112">
        <v>8.64</v>
      </c>
      <c r="C83" s="112">
        <v>4.03</v>
      </c>
      <c r="D83" s="112">
        <v>13.49</v>
      </c>
      <c r="E83" s="112">
        <v>8.57</v>
      </c>
      <c r="F83" s="112">
        <v>8.5399999999999991</v>
      </c>
      <c r="G83" s="112">
        <v>16.600000000000001</v>
      </c>
      <c r="H83" s="112">
        <v>4.78</v>
      </c>
      <c r="I83" s="112">
        <v>2.61</v>
      </c>
      <c r="J83" s="112">
        <v>0.19</v>
      </c>
      <c r="K83" s="112">
        <v>205.89</v>
      </c>
      <c r="L83" s="112">
        <v>29.91</v>
      </c>
      <c r="M83" s="112">
        <v>81.99</v>
      </c>
      <c r="N83" s="112">
        <v>3.2</v>
      </c>
      <c r="O83" s="112">
        <v>0</v>
      </c>
      <c r="P83" s="112">
        <v>0.36</v>
      </c>
      <c r="Q83" s="112">
        <v>4.67</v>
      </c>
    </row>
    <row r="84" spans="1:17" customFormat="1">
      <c r="A84" s="80">
        <v>45489.791666666664</v>
      </c>
      <c r="B84" s="112">
        <v>8.65</v>
      </c>
      <c r="C84" s="112">
        <v>4.0199999999999996</v>
      </c>
      <c r="D84" s="112">
        <v>13.49</v>
      </c>
      <c r="E84" s="112">
        <v>9.31</v>
      </c>
      <c r="F84" s="112">
        <v>7.93</v>
      </c>
      <c r="G84" s="112">
        <v>16.600000000000001</v>
      </c>
      <c r="H84" s="112">
        <v>4.78</v>
      </c>
      <c r="I84" s="112">
        <v>2.6</v>
      </c>
      <c r="J84" s="112">
        <v>0.14000000000000001</v>
      </c>
      <c r="K84" s="112">
        <v>207.29</v>
      </c>
      <c r="L84" s="112">
        <v>29.42</v>
      </c>
      <c r="M84" s="112">
        <v>85.03</v>
      </c>
      <c r="N84" s="112">
        <v>2.2000000000000002</v>
      </c>
      <c r="O84" s="112">
        <v>0</v>
      </c>
      <c r="P84" s="112">
        <v>0.35</v>
      </c>
      <c r="Q84" s="112">
        <v>4.68</v>
      </c>
    </row>
    <row r="85" spans="1:17" customFormat="1">
      <c r="A85" s="80">
        <v>45489.802083333336</v>
      </c>
      <c r="B85" s="112">
        <v>8.64</v>
      </c>
      <c r="C85" s="112">
        <v>4.04</v>
      </c>
      <c r="D85" s="112">
        <v>13.49</v>
      </c>
      <c r="E85" s="112">
        <v>9.5399999999999991</v>
      </c>
      <c r="F85" s="112">
        <v>8.4700000000000006</v>
      </c>
      <c r="G85" s="112">
        <v>16.600000000000001</v>
      </c>
      <c r="H85" s="112">
        <v>4.78</v>
      </c>
      <c r="I85" s="112">
        <v>2.88</v>
      </c>
      <c r="J85" s="112">
        <v>0.15</v>
      </c>
      <c r="K85" s="112">
        <v>213.8</v>
      </c>
      <c r="L85" s="112">
        <v>29.25</v>
      </c>
      <c r="M85" s="112">
        <v>85.05</v>
      </c>
      <c r="N85" s="112">
        <v>2.1</v>
      </c>
      <c r="O85" s="112">
        <v>0</v>
      </c>
      <c r="P85" s="112">
        <v>0.35</v>
      </c>
      <c r="Q85" s="112">
        <v>4.6900000000000004</v>
      </c>
    </row>
    <row r="86" spans="1:17" customFormat="1">
      <c r="A86" s="80">
        <v>45489.8125</v>
      </c>
      <c r="B86" s="112">
        <v>8.64</v>
      </c>
      <c r="C86" s="112">
        <v>4.03</v>
      </c>
      <c r="D86" s="112">
        <v>13.49</v>
      </c>
      <c r="E86" s="112">
        <v>10.050000000000001</v>
      </c>
      <c r="F86" s="112">
        <v>7.78</v>
      </c>
      <c r="G86" s="112">
        <v>16.59</v>
      </c>
      <c r="H86" s="112">
        <v>4.74</v>
      </c>
      <c r="I86" s="112">
        <v>3.07</v>
      </c>
      <c r="J86" s="112">
        <v>0.11</v>
      </c>
      <c r="K86" s="112">
        <v>205.68</v>
      </c>
      <c r="L86" s="112">
        <v>29.03</v>
      </c>
      <c r="M86" s="112">
        <v>87.06</v>
      </c>
      <c r="N86" s="112">
        <v>2.1</v>
      </c>
      <c r="O86" s="112">
        <v>0</v>
      </c>
      <c r="P86" s="112">
        <v>0.35</v>
      </c>
      <c r="Q86" s="112">
        <v>4.68</v>
      </c>
    </row>
    <row r="87" spans="1:17" customFormat="1">
      <c r="A87" s="80">
        <v>45489.822916666664</v>
      </c>
      <c r="B87" s="112">
        <v>8.64</v>
      </c>
      <c r="C87" s="112">
        <v>4.04</v>
      </c>
      <c r="D87" s="112">
        <v>13.49</v>
      </c>
      <c r="E87" s="112">
        <v>10.15</v>
      </c>
      <c r="F87" s="112">
        <v>7.47</v>
      </c>
      <c r="G87" s="112">
        <v>16.34</v>
      </c>
      <c r="H87" s="112">
        <v>4.21</v>
      </c>
      <c r="I87" s="112">
        <v>3.06</v>
      </c>
      <c r="J87" s="112">
        <v>0.16</v>
      </c>
      <c r="K87" s="112">
        <v>225.78</v>
      </c>
      <c r="L87" s="112">
        <v>28.83</v>
      </c>
      <c r="M87" s="112">
        <v>87.1</v>
      </c>
      <c r="N87" s="112">
        <v>2</v>
      </c>
      <c r="O87" s="112">
        <v>0</v>
      </c>
      <c r="P87" s="112">
        <v>0.36</v>
      </c>
      <c r="Q87" s="112">
        <v>4.6900000000000004</v>
      </c>
    </row>
    <row r="88" spans="1:17" customFormat="1">
      <c r="A88" s="80">
        <v>45489.833333333336</v>
      </c>
      <c r="B88" s="112">
        <v>8.66</v>
      </c>
      <c r="C88" s="112">
        <v>4.03</v>
      </c>
      <c r="D88" s="112">
        <v>13.5</v>
      </c>
      <c r="E88" s="112">
        <v>10.210000000000001</v>
      </c>
      <c r="F88" s="112">
        <v>7.13</v>
      </c>
      <c r="G88" s="112">
        <v>16.34</v>
      </c>
      <c r="H88" s="112">
        <v>4.21</v>
      </c>
      <c r="I88" s="112">
        <v>3</v>
      </c>
      <c r="J88" s="112">
        <v>0.1</v>
      </c>
      <c r="K88" s="112">
        <v>205.7</v>
      </c>
      <c r="L88" s="112">
        <v>28.95</v>
      </c>
      <c r="M88" s="112">
        <v>87.46</v>
      </c>
      <c r="N88" s="112">
        <v>2.1</v>
      </c>
      <c r="O88" s="112">
        <v>0</v>
      </c>
      <c r="P88" s="112">
        <v>0.35</v>
      </c>
      <c r="Q88" s="112">
        <v>4.68</v>
      </c>
    </row>
    <row r="89" spans="1:17" customFormat="1">
      <c r="A89" s="80">
        <v>45489.84375</v>
      </c>
      <c r="B89" s="112">
        <v>8.65</v>
      </c>
      <c r="C89" s="112">
        <v>4.0199999999999996</v>
      </c>
      <c r="D89" s="112">
        <v>13.49</v>
      </c>
      <c r="E89" s="112">
        <v>10.53</v>
      </c>
      <c r="F89" s="112">
        <v>7.49</v>
      </c>
      <c r="G89" s="112">
        <v>16.34</v>
      </c>
      <c r="H89" s="112">
        <v>4.21</v>
      </c>
      <c r="I89" s="112">
        <v>3.06</v>
      </c>
      <c r="J89" s="112">
        <v>0.1</v>
      </c>
      <c r="K89" s="112">
        <v>195.61</v>
      </c>
      <c r="L89" s="112">
        <v>29.09</v>
      </c>
      <c r="M89" s="112">
        <v>87.39</v>
      </c>
      <c r="N89" s="112">
        <v>2.1</v>
      </c>
      <c r="O89" s="112">
        <v>0</v>
      </c>
      <c r="P89" s="112">
        <v>0.35</v>
      </c>
      <c r="Q89" s="112">
        <v>4.6900000000000004</v>
      </c>
    </row>
    <row r="90" spans="1:17" customFormat="1">
      <c r="A90" s="80">
        <v>45489.854166666664</v>
      </c>
      <c r="B90" s="112">
        <v>8.65</v>
      </c>
      <c r="C90" s="112">
        <v>4.0199999999999996</v>
      </c>
      <c r="D90" s="112">
        <v>13.48</v>
      </c>
      <c r="E90" s="112">
        <v>10.77</v>
      </c>
      <c r="F90" s="112">
        <v>8.2899999999999991</v>
      </c>
      <c r="G90" s="112">
        <v>16.3</v>
      </c>
      <c r="H90" s="112">
        <v>4.16</v>
      </c>
      <c r="I90" s="112">
        <v>3.18</v>
      </c>
      <c r="J90" s="112">
        <v>0.12</v>
      </c>
      <c r="K90" s="112">
        <v>159.5</v>
      </c>
      <c r="L90" s="112">
        <v>29.05</v>
      </c>
      <c r="M90" s="112">
        <v>88.39</v>
      </c>
      <c r="N90" s="112">
        <v>2.1</v>
      </c>
      <c r="O90" s="112">
        <v>0</v>
      </c>
      <c r="P90" s="112">
        <v>0.37</v>
      </c>
      <c r="Q90" s="112">
        <v>4.68</v>
      </c>
    </row>
    <row r="91" spans="1:17" customFormat="1">
      <c r="A91" s="80">
        <v>45489.864583333336</v>
      </c>
      <c r="B91" s="112">
        <v>8.66</v>
      </c>
      <c r="C91" s="112">
        <v>4</v>
      </c>
      <c r="D91" s="112">
        <v>13.48</v>
      </c>
      <c r="E91" s="112">
        <v>10.58</v>
      </c>
      <c r="F91" s="112">
        <v>7.87</v>
      </c>
      <c r="G91" s="112">
        <v>15.75</v>
      </c>
      <c r="H91" s="112">
        <v>3.29</v>
      </c>
      <c r="I91" s="112">
        <v>3.19</v>
      </c>
      <c r="J91" s="112">
        <v>0.15</v>
      </c>
      <c r="K91" s="112">
        <v>112.57</v>
      </c>
      <c r="L91" s="112">
        <v>29.16</v>
      </c>
      <c r="M91" s="112">
        <v>88.05</v>
      </c>
      <c r="N91" s="112">
        <v>2.1</v>
      </c>
      <c r="O91" s="112">
        <v>0</v>
      </c>
      <c r="P91" s="112">
        <v>0.38</v>
      </c>
      <c r="Q91" s="112">
        <v>4.68</v>
      </c>
    </row>
    <row r="92" spans="1:17" customFormat="1">
      <c r="A92" s="80">
        <v>45489.875</v>
      </c>
      <c r="B92" s="112">
        <v>8.64</v>
      </c>
      <c r="C92" s="112">
        <v>4.01</v>
      </c>
      <c r="D92" s="112">
        <v>13.47</v>
      </c>
      <c r="E92" s="112">
        <v>11.12</v>
      </c>
      <c r="F92" s="112">
        <v>6.52</v>
      </c>
      <c r="G92" s="112">
        <v>15.75</v>
      </c>
      <c r="H92" s="112">
        <v>3.29</v>
      </c>
      <c r="I92" s="112">
        <v>3.25</v>
      </c>
      <c r="J92" s="112">
        <v>0.13</v>
      </c>
      <c r="K92" s="112">
        <v>161.06</v>
      </c>
      <c r="L92" s="112">
        <v>29.3</v>
      </c>
      <c r="M92" s="112">
        <v>87.1</v>
      </c>
      <c r="N92" s="112">
        <v>2.1</v>
      </c>
      <c r="O92" s="112">
        <v>0</v>
      </c>
      <c r="P92" s="112">
        <v>0.38</v>
      </c>
      <c r="Q92" s="112">
        <v>4.7</v>
      </c>
    </row>
    <row r="93" spans="1:17" customFormat="1">
      <c r="A93" s="80">
        <v>45489.885416666664</v>
      </c>
      <c r="B93" s="112">
        <v>8.6300000000000008</v>
      </c>
      <c r="C93" s="112">
        <v>4.04</v>
      </c>
      <c r="D93" s="112">
        <v>13.48</v>
      </c>
      <c r="E93" s="112">
        <v>11.14</v>
      </c>
      <c r="F93" s="112">
        <v>7.19</v>
      </c>
      <c r="G93" s="112">
        <v>15.75</v>
      </c>
      <c r="H93" s="112">
        <v>3.29</v>
      </c>
      <c r="I93" s="112">
        <v>3.45</v>
      </c>
      <c r="J93" s="112">
        <v>0.16</v>
      </c>
      <c r="K93" s="112">
        <v>161.6</v>
      </c>
      <c r="L93" s="112">
        <v>29.18</v>
      </c>
      <c r="M93" s="112">
        <v>88.53</v>
      </c>
      <c r="N93" s="112">
        <v>2.1</v>
      </c>
      <c r="O93" s="112">
        <v>0</v>
      </c>
      <c r="P93" s="112">
        <v>0.37</v>
      </c>
      <c r="Q93" s="112">
        <v>4.6900000000000004</v>
      </c>
    </row>
    <row r="94" spans="1:17" customFormat="1">
      <c r="A94" s="80">
        <v>45489.895833333336</v>
      </c>
      <c r="B94" s="112">
        <v>8.6199999999999992</v>
      </c>
      <c r="C94" s="112">
        <v>4.07</v>
      </c>
      <c r="D94" s="112">
        <v>13.49</v>
      </c>
      <c r="E94" s="112">
        <v>11.68</v>
      </c>
      <c r="F94" s="112">
        <v>8.17</v>
      </c>
      <c r="G94" s="112">
        <v>15.73</v>
      </c>
      <c r="H94" s="112">
        <v>3.39</v>
      </c>
      <c r="I94" s="112">
        <v>3.42</v>
      </c>
      <c r="J94" s="112">
        <v>0.15</v>
      </c>
      <c r="K94" s="112">
        <v>173.12</v>
      </c>
      <c r="L94" s="112">
        <v>29.08</v>
      </c>
      <c r="M94" s="112">
        <v>89.22</v>
      </c>
      <c r="N94" s="112">
        <v>2.1</v>
      </c>
      <c r="O94" s="112">
        <v>0</v>
      </c>
      <c r="P94" s="112">
        <v>0.36</v>
      </c>
      <c r="Q94" s="112">
        <v>4.6900000000000004</v>
      </c>
    </row>
    <row r="95" spans="1:17" customFormat="1">
      <c r="A95" s="80">
        <v>45489.90625</v>
      </c>
      <c r="B95" s="112">
        <v>8.6300000000000008</v>
      </c>
      <c r="C95" s="112">
        <v>4.09</v>
      </c>
      <c r="D95" s="112">
        <v>13.5</v>
      </c>
      <c r="E95" s="112">
        <v>11.59</v>
      </c>
      <c r="F95" s="112">
        <v>5.16</v>
      </c>
      <c r="G95" s="112">
        <v>15.49</v>
      </c>
      <c r="H95" s="112">
        <v>4.9400000000000004</v>
      </c>
      <c r="I95" s="112">
        <v>3.38</v>
      </c>
      <c r="J95" s="112">
        <v>0.03</v>
      </c>
      <c r="K95" s="112">
        <v>165.15</v>
      </c>
      <c r="L95" s="112">
        <v>28.65</v>
      </c>
      <c r="M95" s="112">
        <v>93.45</v>
      </c>
      <c r="N95" s="112">
        <v>3.4</v>
      </c>
      <c r="O95" s="112">
        <v>0.4</v>
      </c>
      <c r="P95" s="112">
        <v>0.37</v>
      </c>
      <c r="Q95" s="112">
        <v>4.6900000000000004</v>
      </c>
    </row>
    <row r="96" spans="1:17" customFormat="1">
      <c r="A96" s="80">
        <v>45489.916666666664</v>
      </c>
      <c r="B96" s="112">
        <v>8.64</v>
      </c>
      <c r="C96" s="112">
        <v>4.05</v>
      </c>
      <c r="D96" s="112">
        <v>13.5</v>
      </c>
      <c r="E96" s="112">
        <v>11.71</v>
      </c>
      <c r="F96" s="112">
        <v>6.13</v>
      </c>
      <c r="G96" s="112">
        <v>15.49</v>
      </c>
      <c r="H96" s="112">
        <v>4.9400000000000004</v>
      </c>
      <c r="I96" s="112">
        <v>3.19</v>
      </c>
      <c r="J96" s="112">
        <v>0.08</v>
      </c>
      <c r="K96" s="112">
        <v>235.28</v>
      </c>
      <c r="L96" s="112">
        <v>28.29</v>
      </c>
      <c r="M96" s="112">
        <v>97</v>
      </c>
      <c r="N96" s="112">
        <v>2.9</v>
      </c>
      <c r="O96" s="112">
        <v>0.2</v>
      </c>
      <c r="P96" s="112">
        <v>0.36</v>
      </c>
      <c r="Q96" s="112">
        <v>4.7</v>
      </c>
    </row>
    <row r="97" spans="1:22" customFormat="1">
      <c r="A97" s="80">
        <v>45489.927083333336</v>
      </c>
      <c r="B97" s="112">
        <v>8.66</v>
      </c>
      <c r="C97" s="112">
        <v>4.01</v>
      </c>
      <c r="D97" s="112">
        <v>13.49</v>
      </c>
      <c r="E97" s="112">
        <v>11.83</v>
      </c>
      <c r="F97" s="112">
        <v>7.42</v>
      </c>
      <c r="G97" s="112">
        <v>15.49</v>
      </c>
      <c r="H97" s="112">
        <v>4.9400000000000004</v>
      </c>
      <c r="I97" s="112">
        <v>3.25</v>
      </c>
      <c r="J97" s="112">
        <v>0.17</v>
      </c>
      <c r="K97" s="112">
        <v>219.19</v>
      </c>
      <c r="L97" s="112">
        <v>27.85</v>
      </c>
      <c r="M97" s="112">
        <v>95.89</v>
      </c>
      <c r="N97" s="112">
        <v>3.1</v>
      </c>
      <c r="O97" s="112">
        <v>0</v>
      </c>
      <c r="P97" s="112">
        <v>0.36</v>
      </c>
      <c r="Q97" s="112">
        <v>4.68</v>
      </c>
    </row>
    <row r="98" spans="1:22" customFormat="1">
      <c r="A98" s="80">
        <v>45489.9375</v>
      </c>
      <c r="B98" s="112">
        <v>8.65</v>
      </c>
      <c r="C98" s="112">
        <v>4.0199999999999996</v>
      </c>
      <c r="D98" s="112">
        <v>13.49</v>
      </c>
      <c r="E98" s="112">
        <v>11.63</v>
      </c>
      <c r="F98" s="112">
        <v>7.25</v>
      </c>
      <c r="G98" s="112">
        <v>15.26</v>
      </c>
      <c r="H98" s="112">
        <v>5.05</v>
      </c>
      <c r="I98" s="112">
        <v>3.39</v>
      </c>
      <c r="J98" s="112">
        <v>0.14000000000000001</v>
      </c>
      <c r="K98" s="112">
        <v>173.84</v>
      </c>
      <c r="L98" s="112">
        <v>27.52</v>
      </c>
      <c r="M98" s="112">
        <v>98.43</v>
      </c>
      <c r="N98" s="112">
        <v>2.1</v>
      </c>
      <c r="O98" s="112">
        <v>0</v>
      </c>
      <c r="P98" s="112">
        <v>0.36</v>
      </c>
      <c r="Q98" s="112">
        <v>4.6900000000000004</v>
      </c>
    </row>
    <row r="99" spans="1:22" customFormat="1">
      <c r="A99" s="80">
        <v>45489.947916666664</v>
      </c>
      <c r="B99" s="112">
        <v>8.66</v>
      </c>
      <c r="C99" s="112">
        <v>4.01</v>
      </c>
      <c r="D99" s="112">
        <v>13.49</v>
      </c>
      <c r="E99" s="112">
        <v>11.94</v>
      </c>
      <c r="F99" s="112">
        <v>5.96</v>
      </c>
      <c r="G99" s="112">
        <v>12.05</v>
      </c>
      <c r="H99" s="112">
        <v>6.81</v>
      </c>
      <c r="I99" s="112">
        <v>3.4</v>
      </c>
      <c r="J99" s="112">
        <v>0.1</v>
      </c>
      <c r="K99" s="112">
        <v>184.27</v>
      </c>
      <c r="L99" s="112">
        <v>27.63</v>
      </c>
      <c r="M99" s="112">
        <v>98.27</v>
      </c>
      <c r="N99" s="112">
        <v>2.1</v>
      </c>
      <c r="O99" s="112">
        <v>0</v>
      </c>
      <c r="P99" s="112">
        <v>0.37</v>
      </c>
      <c r="Q99" s="112">
        <v>4.68</v>
      </c>
    </row>
    <row r="100" spans="1:22" customFormat="1">
      <c r="A100" s="80">
        <v>45489.958333333336</v>
      </c>
      <c r="B100" s="112">
        <v>8.66</v>
      </c>
      <c r="C100" s="112">
        <v>4</v>
      </c>
      <c r="D100" s="112">
        <v>13.48</v>
      </c>
      <c r="E100" s="112">
        <v>12.27</v>
      </c>
      <c r="F100" s="112">
        <v>5.3</v>
      </c>
      <c r="G100" s="112">
        <v>12.05</v>
      </c>
      <c r="H100" s="112">
        <v>6.81</v>
      </c>
      <c r="I100" s="112">
        <v>3.31</v>
      </c>
      <c r="J100" s="112">
        <v>0.14000000000000001</v>
      </c>
      <c r="K100" s="112">
        <v>164.68</v>
      </c>
      <c r="L100" s="112">
        <v>27.65</v>
      </c>
      <c r="M100" s="112">
        <v>97.92</v>
      </c>
      <c r="N100" s="112">
        <v>2.4</v>
      </c>
      <c r="O100" s="112">
        <v>0</v>
      </c>
      <c r="P100" s="112">
        <v>0.37</v>
      </c>
      <c r="Q100" s="112">
        <v>4.6900000000000004</v>
      </c>
    </row>
    <row r="101" spans="1:22" customFormat="1">
      <c r="A101" s="80">
        <v>45489.96875</v>
      </c>
      <c r="B101" s="112">
        <v>8.65</v>
      </c>
      <c r="C101" s="112">
        <v>4.0199999999999996</v>
      </c>
      <c r="D101" s="112">
        <v>13.49</v>
      </c>
      <c r="E101" s="112">
        <v>12.26</v>
      </c>
      <c r="F101" s="112">
        <v>5.43</v>
      </c>
      <c r="G101" s="112">
        <v>12.05</v>
      </c>
      <c r="H101" s="112">
        <v>6.81</v>
      </c>
      <c r="I101" s="112">
        <v>3.32</v>
      </c>
      <c r="J101" s="112">
        <v>0.09</v>
      </c>
      <c r="K101" s="112">
        <v>173.95</v>
      </c>
      <c r="L101" s="112">
        <v>27.6</v>
      </c>
      <c r="M101" s="112">
        <v>96.33</v>
      </c>
      <c r="N101" s="112">
        <v>2.4</v>
      </c>
      <c r="O101" s="112">
        <v>0</v>
      </c>
      <c r="P101" s="112">
        <v>0.36</v>
      </c>
      <c r="Q101" s="112">
        <v>4.71</v>
      </c>
    </row>
    <row r="102" spans="1:22" customFormat="1">
      <c r="A102" s="80">
        <v>45489.979166666664</v>
      </c>
      <c r="B102" s="112">
        <v>8.65</v>
      </c>
      <c r="C102" s="112">
        <v>4.03</v>
      </c>
      <c r="D102" s="112">
        <v>13.5</v>
      </c>
      <c r="E102" s="112">
        <v>11.91</v>
      </c>
      <c r="F102" s="112">
        <v>5.57</v>
      </c>
      <c r="G102" s="112">
        <v>12.21</v>
      </c>
      <c r="H102" s="112">
        <v>6.71</v>
      </c>
      <c r="I102" s="112">
        <v>3.42</v>
      </c>
      <c r="J102" s="112">
        <v>0.1</v>
      </c>
      <c r="K102" s="112">
        <v>181.37</v>
      </c>
      <c r="L102" s="112">
        <v>27.46</v>
      </c>
      <c r="M102" s="112">
        <v>98.83</v>
      </c>
      <c r="N102" s="112">
        <v>2.1</v>
      </c>
      <c r="O102" s="112">
        <v>0</v>
      </c>
      <c r="P102" s="112">
        <v>0.38</v>
      </c>
      <c r="Q102" s="112">
        <v>4.68</v>
      </c>
    </row>
    <row r="103" spans="1:22" customFormat="1">
      <c r="A103" s="80">
        <v>45489.989583333336</v>
      </c>
      <c r="B103" s="112">
        <v>8.64</v>
      </c>
      <c r="C103" s="112">
        <v>4.05</v>
      </c>
      <c r="D103" s="112">
        <v>13.5</v>
      </c>
      <c r="E103" s="112">
        <v>10.84</v>
      </c>
      <c r="F103" s="112">
        <v>7.32</v>
      </c>
      <c r="G103" s="112">
        <v>14.94</v>
      </c>
      <c r="H103" s="112">
        <v>5.23</v>
      </c>
      <c r="I103" s="112">
        <v>3.44</v>
      </c>
      <c r="J103" s="112">
        <v>0.15</v>
      </c>
      <c r="K103" s="112">
        <v>141.84</v>
      </c>
      <c r="L103" s="112">
        <v>27.6</v>
      </c>
      <c r="M103" s="112">
        <v>98.16</v>
      </c>
      <c r="N103" s="112">
        <v>2.1</v>
      </c>
      <c r="O103" s="112">
        <v>0</v>
      </c>
      <c r="P103" s="112">
        <v>0.4</v>
      </c>
      <c r="Q103" s="112">
        <v>4.67</v>
      </c>
    </row>
    <row r="104" spans="1:22" customFormat="1">
      <c r="A104" s="80">
        <v>45490</v>
      </c>
      <c r="B104" s="112">
        <v>8.67</v>
      </c>
      <c r="C104" s="112">
        <v>4.0599999999999996</v>
      </c>
      <c r="D104" s="112">
        <v>13.52</v>
      </c>
      <c r="E104" s="112">
        <v>11.21</v>
      </c>
      <c r="F104" s="112">
        <v>6.45</v>
      </c>
      <c r="G104" s="112">
        <v>14.94</v>
      </c>
      <c r="H104" s="112">
        <v>5.23</v>
      </c>
      <c r="I104" s="112">
        <v>3.68</v>
      </c>
      <c r="J104" s="112">
        <v>0.08</v>
      </c>
      <c r="K104" s="112">
        <v>172.66</v>
      </c>
      <c r="L104" s="112">
        <v>27.64</v>
      </c>
      <c r="M104" s="112">
        <v>98.47</v>
      </c>
      <c r="N104" s="112">
        <v>2.5</v>
      </c>
      <c r="O104" s="112">
        <v>0</v>
      </c>
      <c r="P104" s="112">
        <v>0.39</v>
      </c>
      <c r="Q104" s="112">
        <v>4.68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8.5399999999999991</v>
      </c>
      <c r="C106" s="183">
        <f>MIN(C9:C104)</f>
        <v>3.88</v>
      </c>
      <c r="D106" s="183">
        <f t="shared" ref="D106:Q106" si="0">MIN(D9:D104)</f>
        <v>13.4</v>
      </c>
      <c r="E106" s="183">
        <f t="shared" si="0"/>
        <v>7.05</v>
      </c>
      <c r="F106" s="183">
        <f t="shared" si="0"/>
        <v>2.34</v>
      </c>
      <c r="G106" s="183">
        <f t="shared" si="0"/>
        <v>2.98</v>
      </c>
      <c r="H106" s="183">
        <f t="shared" si="0"/>
        <v>0.51</v>
      </c>
      <c r="I106" s="183">
        <f t="shared" si="0"/>
        <v>2.11</v>
      </c>
      <c r="J106" s="183">
        <f t="shared" si="0"/>
        <v>0.03</v>
      </c>
      <c r="K106" s="183">
        <f t="shared" si="0"/>
        <v>43.3</v>
      </c>
      <c r="L106" s="183">
        <f t="shared" si="0"/>
        <v>25.63</v>
      </c>
      <c r="M106" s="183">
        <f t="shared" si="0"/>
        <v>65.86</v>
      </c>
      <c r="N106" s="183">
        <f t="shared" si="0"/>
        <v>2</v>
      </c>
      <c r="O106" s="183">
        <f t="shared" si="0"/>
        <v>0</v>
      </c>
      <c r="P106" s="183">
        <f t="shared" si="0"/>
        <v>0.27</v>
      </c>
      <c r="Q106" s="183">
        <f t="shared" si="0"/>
        <v>2.5499999999999998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9.34</v>
      </c>
      <c r="C107" s="184">
        <f t="shared" ref="C107:Q107" si="1">MAX(C9:C104)</f>
        <v>4.1100000000000003</v>
      </c>
      <c r="D107" s="184">
        <f t="shared" si="1"/>
        <v>14.06</v>
      </c>
      <c r="E107" s="184">
        <f t="shared" si="1"/>
        <v>12.82</v>
      </c>
      <c r="F107" s="184">
        <f t="shared" si="1"/>
        <v>23.48</v>
      </c>
      <c r="G107" s="184">
        <f t="shared" si="1"/>
        <v>53.57</v>
      </c>
      <c r="H107" s="184">
        <f t="shared" si="1"/>
        <v>16.82</v>
      </c>
      <c r="I107" s="184">
        <f t="shared" si="1"/>
        <v>6.87</v>
      </c>
      <c r="J107" s="184">
        <f t="shared" si="1"/>
        <v>1.35</v>
      </c>
      <c r="K107" s="184">
        <f t="shared" si="1"/>
        <v>235.28</v>
      </c>
      <c r="L107" s="184">
        <f t="shared" si="1"/>
        <v>33.82</v>
      </c>
      <c r="M107" s="184">
        <f t="shared" si="1"/>
        <v>104.68</v>
      </c>
      <c r="N107" s="184">
        <f t="shared" si="1"/>
        <v>650.9</v>
      </c>
      <c r="O107" s="184">
        <f t="shared" si="1"/>
        <v>2</v>
      </c>
      <c r="P107" s="184">
        <f t="shared" si="1"/>
        <v>0.7</v>
      </c>
      <c r="Q107" s="184">
        <f t="shared" si="1"/>
        <v>4.92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8.9768749999999962</v>
      </c>
      <c r="C108" s="183">
        <f t="shared" ref="C108:Q108" si="2">AVERAGE(C9:C104)</f>
        <v>4.0485416666666634</v>
      </c>
      <c r="D108" s="183">
        <f t="shared" si="2"/>
        <v>13.762604166666662</v>
      </c>
      <c r="E108" s="183">
        <f t="shared" si="2"/>
        <v>9.8663541666666692</v>
      </c>
      <c r="F108" s="183">
        <f t="shared" si="2"/>
        <v>8.3407291666666659</v>
      </c>
      <c r="G108" s="183">
        <f t="shared" si="2"/>
        <v>32.906853932584262</v>
      </c>
      <c r="H108" s="183">
        <f t="shared" si="2"/>
        <v>9.333820224719096</v>
      </c>
      <c r="I108" s="183">
        <f t="shared" si="2"/>
        <v>4.3108333333333348</v>
      </c>
      <c r="J108" s="183">
        <f t="shared" si="2"/>
        <v>0.38708333333333328</v>
      </c>
      <c r="K108" s="183">
        <f t="shared" si="2"/>
        <v>111.54395833333336</v>
      </c>
      <c r="L108" s="183">
        <f t="shared" si="2"/>
        <v>29.124375000000004</v>
      </c>
      <c r="M108" s="183">
        <f t="shared" si="2"/>
        <v>88.220625000000041</v>
      </c>
      <c r="N108" s="183">
        <f t="shared" si="2"/>
        <v>130.8260416666667</v>
      </c>
      <c r="O108" s="183">
        <f t="shared" si="2"/>
        <v>4.7916666666666684E-2</v>
      </c>
      <c r="P108" s="183">
        <f t="shared" si="2"/>
        <v>0.46416666666666667</v>
      </c>
      <c r="Q108" s="183">
        <f t="shared" si="2"/>
        <v>4.6387234042553196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0.3078732223703195</v>
      </c>
      <c r="C109" s="183">
        <f t="shared" ref="C109:Q109" si="3">STDEV(C9:C104)</f>
        <v>3.2084728837274042E-2</v>
      </c>
      <c r="D109" s="183">
        <f t="shared" si="3"/>
        <v>0.25623691665406373</v>
      </c>
      <c r="E109" s="183">
        <f t="shared" si="3"/>
        <v>1.4450846777532276</v>
      </c>
      <c r="F109" s="183">
        <f t="shared" si="3"/>
        <v>5.2483944903062678</v>
      </c>
      <c r="G109" s="183">
        <f t="shared" si="3"/>
        <v>13.534679328866302</v>
      </c>
      <c r="H109" s="183">
        <f t="shared" si="3"/>
        <v>4.0048653664857783</v>
      </c>
      <c r="I109" s="183">
        <f t="shared" si="3"/>
        <v>1.6203408781498698</v>
      </c>
      <c r="J109" s="183">
        <f t="shared" si="3"/>
        <v>0.32377678037310231</v>
      </c>
      <c r="K109" s="183">
        <f t="shared" si="3"/>
        <v>58.020331145831371</v>
      </c>
      <c r="L109" s="183">
        <f t="shared" si="3"/>
        <v>2.4018711181952161</v>
      </c>
      <c r="M109" s="183">
        <f t="shared" si="3"/>
        <v>12.169644791122641</v>
      </c>
      <c r="N109" s="183">
        <f t="shared" si="3"/>
        <v>176.85673014873797</v>
      </c>
      <c r="O109" s="183">
        <f t="shared" si="3"/>
        <v>0.24234779994947525</v>
      </c>
      <c r="P109" s="183">
        <f t="shared" si="3"/>
        <v>0.1373406572736228</v>
      </c>
      <c r="Q109" s="183">
        <f t="shared" si="3"/>
        <v>0.31514397690490747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45490.010416666664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45490.010416666664</v>
      </c>
      <c r="B9" s="112">
        <v>9.18</v>
      </c>
      <c r="C9" s="112">
        <v>4.08</v>
      </c>
      <c r="D9" s="112">
        <v>13.95</v>
      </c>
      <c r="E9" s="112">
        <v>10.69</v>
      </c>
      <c r="F9" s="112">
        <v>6.93</v>
      </c>
      <c r="G9" s="112">
        <v>14.94</v>
      </c>
      <c r="H9" s="112">
        <v>5.23</v>
      </c>
      <c r="I9" s="112">
        <v>3.78</v>
      </c>
      <c r="J9" s="112">
        <v>0.13</v>
      </c>
      <c r="K9" s="112">
        <v>180.55</v>
      </c>
      <c r="L9" s="112">
        <v>27.62</v>
      </c>
      <c r="M9" s="112">
        <v>99.7</v>
      </c>
      <c r="N9" s="112">
        <v>2.5</v>
      </c>
      <c r="O9" s="112">
        <v>0</v>
      </c>
      <c r="P9" s="112">
        <v>0.4</v>
      </c>
      <c r="Q9" s="112">
        <v>4.6900000000000004</v>
      </c>
    </row>
    <row r="10" spans="1:21" customFormat="1">
      <c r="A10" s="80">
        <v>45490.020833333336</v>
      </c>
      <c r="B10" s="112">
        <v>9.24</v>
      </c>
      <c r="C10" s="112">
        <v>4.0599999999999996</v>
      </c>
      <c r="D10" s="112">
        <v>13.98</v>
      </c>
      <c r="E10" s="112">
        <v>10.51</v>
      </c>
      <c r="F10" s="112">
        <v>8.3000000000000007</v>
      </c>
      <c r="G10" s="112">
        <v>14.8</v>
      </c>
      <c r="H10" s="112">
        <v>5.14</v>
      </c>
      <c r="I10" s="112">
        <v>3.93</v>
      </c>
      <c r="J10" s="112">
        <v>0.09</v>
      </c>
      <c r="K10" s="112">
        <v>181.08</v>
      </c>
      <c r="L10" s="112">
        <v>27.51</v>
      </c>
      <c r="M10" s="112">
        <v>98.85</v>
      </c>
      <c r="N10" s="112">
        <v>2.4</v>
      </c>
      <c r="O10" s="112">
        <v>0</v>
      </c>
      <c r="P10" s="112">
        <v>0.39</v>
      </c>
      <c r="Q10" s="112">
        <v>4.6900000000000004</v>
      </c>
    </row>
    <row r="11" spans="1:21" customFormat="1">
      <c r="A11" s="80">
        <v>45490.03125</v>
      </c>
      <c r="B11" s="112">
        <v>9.24</v>
      </c>
      <c r="C11" s="112">
        <v>4.0599999999999996</v>
      </c>
      <c r="D11" s="112">
        <v>13.98</v>
      </c>
      <c r="E11" s="112">
        <v>10.050000000000001</v>
      </c>
      <c r="F11" s="112">
        <v>7.69</v>
      </c>
      <c r="G11" s="112">
        <v>12.26</v>
      </c>
      <c r="H11" s="112">
        <v>3.79</v>
      </c>
      <c r="I11" s="112">
        <v>3.82</v>
      </c>
      <c r="J11" s="112">
        <v>0.08</v>
      </c>
      <c r="K11" s="112">
        <v>217.86</v>
      </c>
      <c r="L11" s="112">
        <v>27.27</v>
      </c>
      <c r="M11" s="112">
        <v>98.44</v>
      </c>
      <c r="N11" s="112">
        <v>2.5</v>
      </c>
      <c r="O11" s="112">
        <v>0</v>
      </c>
      <c r="P11" s="112">
        <v>0.38</v>
      </c>
      <c r="Q11" s="112">
        <v>4.68</v>
      </c>
    </row>
    <row r="12" spans="1:21" customFormat="1">
      <c r="A12" s="80">
        <v>45490.041666666664</v>
      </c>
      <c r="B12" s="112">
        <v>9.24</v>
      </c>
      <c r="C12" s="112">
        <v>4.0599999999999996</v>
      </c>
      <c r="D12" s="112">
        <v>13.98</v>
      </c>
      <c r="E12" s="112">
        <v>9.93</v>
      </c>
      <c r="F12" s="112">
        <v>8.08</v>
      </c>
      <c r="G12" s="112">
        <v>12.26</v>
      </c>
      <c r="H12" s="112">
        <v>3.79</v>
      </c>
      <c r="I12" s="112">
        <v>3.79</v>
      </c>
      <c r="J12" s="112">
        <v>0.12</v>
      </c>
      <c r="K12" s="112">
        <v>173.76</v>
      </c>
      <c r="L12" s="112">
        <v>27.2</v>
      </c>
      <c r="M12" s="112">
        <v>97.18</v>
      </c>
      <c r="N12" s="112">
        <v>2.4</v>
      </c>
      <c r="O12" s="112">
        <v>0</v>
      </c>
      <c r="P12" s="112">
        <v>0.38</v>
      </c>
      <c r="Q12" s="112">
        <v>4.6900000000000004</v>
      </c>
    </row>
    <row r="13" spans="1:21" customFormat="1">
      <c r="A13" s="80">
        <v>45490.052083333336</v>
      </c>
      <c r="B13" s="112">
        <v>9.23</v>
      </c>
      <c r="C13" s="112">
        <v>4.08</v>
      </c>
      <c r="D13" s="112">
        <v>13.99</v>
      </c>
      <c r="E13" s="112">
        <v>9.85</v>
      </c>
      <c r="F13" s="112">
        <v>8.09</v>
      </c>
      <c r="G13" s="112">
        <v>12.26</v>
      </c>
      <c r="H13" s="112">
        <v>3.79</v>
      </c>
      <c r="I13" s="112">
        <v>3.53</v>
      </c>
      <c r="J13" s="112">
        <v>0.1</v>
      </c>
      <c r="K13" s="112">
        <v>178.52</v>
      </c>
      <c r="L13" s="112">
        <v>27.15</v>
      </c>
      <c r="M13" s="112">
        <v>98.14</v>
      </c>
      <c r="N13" s="112">
        <v>2.2000000000000002</v>
      </c>
      <c r="O13" s="112">
        <v>0</v>
      </c>
      <c r="P13" s="112">
        <v>0.37</v>
      </c>
      <c r="Q13" s="112">
        <v>4.68</v>
      </c>
    </row>
    <row r="14" spans="1:21" customFormat="1">
      <c r="A14" s="80">
        <v>45490.0625</v>
      </c>
      <c r="B14" s="112">
        <v>9.23</v>
      </c>
      <c r="C14" s="112">
        <v>4.07</v>
      </c>
      <c r="D14" s="112">
        <v>13.98</v>
      </c>
      <c r="E14" s="112">
        <v>9.76</v>
      </c>
      <c r="F14" s="112">
        <v>8.36</v>
      </c>
      <c r="G14" s="112">
        <v>12.09</v>
      </c>
      <c r="H14" s="112">
        <v>3.81</v>
      </c>
      <c r="I14" s="112">
        <v>3.91</v>
      </c>
      <c r="J14" s="112">
        <v>0.13</v>
      </c>
      <c r="K14" s="112">
        <v>167.36</v>
      </c>
      <c r="L14" s="112">
        <v>27.26</v>
      </c>
      <c r="M14" s="112">
        <v>99.12</v>
      </c>
      <c r="N14" s="112">
        <v>2.2999999999999998</v>
      </c>
      <c r="O14" s="112">
        <v>0</v>
      </c>
      <c r="P14" s="112">
        <v>0.38</v>
      </c>
      <c r="Q14" s="112">
        <v>4.67</v>
      </c>
    </row>
    <row r="15" spans="1:21" customFormat="1">
      <c r="A15" s="80">
        <v>45490.072916666664</v>
      </c>
      <c r="B15" s="112">
        <v>9.24</v>
      </c>
      <c r="C15" s="112">
        <v>4.05</v>
      </c>
      <c r="D15" s="112">
        <v>13.97</v>
      </c>
      <c r="E15" s="112">
        <v>8.82</v>
      </c>
      <c r="F15" s="112">
        <v>8.3800000000000008</v>
      </c>
      <c r="G15" s="112">
        <v>9.27</v>
      </c>
      <c r="H15" s="112">
        <v>4.1500000000000004</v>
      </c>
      <c r="I15" s="112">
        <v>3.84</v>
      </c>
      <c r="J15" s="112">
        <v>0.1</v>
      </c>
      <c r="K15" s="112">
        <v>164.03</v>
      </c>
      <c r="L15" s="112">
        <v>27.26</v>
      </c>
      <c r="M15" s="112">
        <v>98.97</v>
      </c>
      <c r="N15" s="112">
        <v>2.4</v>
      </c>
      <c r="O15" s="112">
        <v>0</v>
      </c>
      <c r="P15" s="112">
        <v>0.37</v>
      </c>
      <c r="Q15" s="112">
        <v>4.68</v>
      </c>
    </row>
    <row r="16" spans="1:21" customFormat="1">
      <c r="A16" s="80">
        <v>45490.083333333336</v>
      </c>
      <c r="B16" s="112">
        <v>9.24</v>
      </c>
      <c r="C16" s="112">
        <v>4.05</v>
      </c>
      <c r="D16" s="112">
        <v>13.97</v>
      </c>
      <c r="E16" s="112">
        <v>9.1999999999999993</v>
      </c>
      <c r="F16" s="112">
        <v>7.41</v>
      </c>
      <c r="G16" s="112">
        <v>9.27</v>
      </c>
      <c r="H16" s="112">
        <v>4.1500000000000004</v>
      </c>
      <c r="I16" s="112">
        <v>3.46</v>
      </c>
      <c r="J16" s="112">
        <v>0.14000000000000001</v>
      </c>
      <c r="K16" s="112">
        <v>270.98</v>
      </c>
      <c r="L16" s="112">
        <v>27.17</v>
      </c>
      <c r="M16" s="112">
        <v>98.36</v>
      </c>
      <c r="N16" s="112">
        <v>2.2999999999999998</v>
      </c>
      <c r="O16" s="112">
        <v>0</v>
      </c>
      <c r="P16" s="112">
        <v>0.36</v>
      </c>
      <c r="Q16" s="112">
        <v>4.6900000000000004</v>
      </c>
    </row>
    <row r="17" spans="1:17" customFormat="1">
      <c r="A17" s="80">
        <v>45490.09375</v>
      </c>
      <c r="B17" s="112">
        <v>9.2200000000000006</v>
      </c>
      <c r="C17" s="112">
        <v>4.07</v>
      </c>
      <c r="D17" s="112">
        <v>13.97</v>
      </c>
      <c r="E17" s="112">
        <v>6.06</v>
      </c>
      <c r="F17" s="112">
        <v>7.19</v>
      </c>
      <c r="G17" s="112">
        <v>9.27</v>
      </c>
      <c r="H17" s="112">
        <v>4.1500000000000004</v>
      </c>
      <c r="I17" s="112">
        <v>3.42</v>
      </c>
      <c r="J17" s="112">
        <v>0.16</v>
      </c>
      <c r="K17" s="112">
        <v>163.22</v>
      </c>
      <c r="L17" s="112">
        <v>27.3</v>
      </c>
      <c r="M17" s="112">
        <v>97.89</v>
      </c>
      <c r="N17" s="112">
        <v>2.2000000000000002</v>
      </c>
      <c r="O17" s="112">
        <v>0</v>
      </c>
      <c r="P17" s="112">
        <v>0.36</v>
      </c>
      <c r="Q17" s="112">
        <v>4.6900000000000004</v>
      </c>
    </row>
    <row r="18" spans="1:17" customFormat="1">
      <c r="A18" s="80">
        <v>45490.104166666664</v>
      </c>
      <c r="B18" s="112">
        <v>9.23</v>
      </c>
      <c r="C18" s="112">
        <v>4.09</v>
      </c>
      <c r="D18" s="112">
        <v>13.98</v>
      </c>
      <c r="E18" s="112">
        <v>6.64</v>
      </c>
      <c r="F18" s="112">
        <v>8.56</v>
      </c>
      <c r="G18" s="112">
        <v>9.17</v>
      </c>
      <c r="H18" s="112">
        <v>4.09</v>
      </c>
      <c r="I18" s="112">
        <v>3.41</v>
      </c>
      <c r="J18" s="112">
        <v>0.2</v>
      </c>
      <c r="K18" s="112">
        <v>171.16</v>
      </c>
      <c r="L18" s="112">
        <v>27.3</v>
      </c>
      <c r="M18" s="112">
        <v>98.62</v>
      </c>
      <c r="N18" s="112">
        <v>2.2999999999999998</v>
      </c>
      <c r="O18" s="112">
        <v>0</v>
      </c>
      <c r="P18" s="112">
        <v>0.36</v>
      </c>
      <c r="Q18" s="112">
        <v>4.6900000000000004</v>
      </c>
    </row>
    <row r="19" spans="1:17" customFormat="1">
      <c r="A19" s="80">
        <v>45490.114583333336</v>
      </c>
      <c r="B19" s="112">
        <v>9.23</v>
      </c>
      <c r="C19" s="112">
        <v>4.09</v>
      </c>
      <c r="D19" s="112">
        <v>13.98</v>
      </c>
      <c r="E19" s="112">
        <v>6.64</v>
      </c>
      <c r="F19" s="112">
        <v>8.56</v>
      </c>
      <c r="G19" s="112">
        <v>9.17</v>
      </c>
      <c r="H19" s="112">
        <v>4.09</v>
      </c>
      <c r="I19" s="112">
        <v>3.41</v>
      </c>
      <c r="J19" s="112">
        <v>0.2</v>
      </c>
      <c r="K19" s="112">
        <v>171.16</v>
      </c>
      <c r="L19" s="112">
        <v>27.3</v>
      </c>
      <c r="M19" s="112">
        <v>98.62</v>
      </c>
      <c r="N19" s="112">
        <v>2.2999999999999998</v>
      </c>
      <c r="O19" s="112">
        <v>0</v>
      </c>
      <c r="P19" s="112">
        <v>0.36</v>
      </c>
      <c r="Q19" s="112">
        <v>4.6900000000000004</v>
      </c>
    </row>
    <row r="20" spans="1:17" customFormat="1">
      <c r="A20" s="80">
        <v>45490.125</v>
      </c>
      <c r="B20" s="112">
        <v>9.23</v>
      </c>
      <c r="C20" s="112">
        <v>4.07</v>
      </c>
      <c r="D20" s="112">
        <v>13.98</v>
      </c>
      <c r="E20" s="112">
        <v>7.19</v>
      </c>
      <c r="F20" s="112">
        <v>8.42</v>
      </c>
      <c r="G20" s="112">
        <v>7.49</v>
      </c>
      <c r="H20" s="112">
        <v>3.18</v>
      </c>
      <c r="I20" s="112">
        <v>3.32</v>
      </c>
      <c r="J20" s="112">
        <v>0.08</v>
      </c>
      <c r="K20" s="112">
        <v>180.84</v>
      </c>
      <c r="L20" s="112">
        <v>27.28</v>
      </c>
      <c r="M20" s="112">
        <v>97.89</v>
      </c>
      <c r="N20" s="112">
        <v>2.4</v>
      </c>
      <c r="O20" s="112">
        <v>0</v>
      </c>
      <c r="P20" s="112">
        <v>0.36</v>
      </c>
      <c r="Q20" s="112">
        <v>4.6900000000000004</v>
      </c>
    </row>
    <row r="21" spans="1:17" customFormat="1">
      <c r="A21" s="80">
        <v>45490.135416666664</v>
      </c>
      <c r="B21" s="112">
        <v>9.23</v>
      </c>
      <c r="C21" s="112">
        <v>4.07</v>
      </c>
      <c r="D21" s="112">
        <v>13.98</v>
      </c>
      <c r="E21" s="112">
        <v>6.72</v>
      </c>
      <c r="F21" s="112">
        <v>7.25</v>
      </c>
      <c r="G21" s="112">
        <v>7.49</v>
      </c>
      <c r="H21" s="112">
        <v>3.18</v>
      </c>
      <c r="I21" s="112">
        <v>3.23</v>
      </c>
      <c r="J21" s="112">
        <v>0.13</v>
      </c>
      <c r="K21" s="112">
        <v>162.77000000000001</v>
      </c>
      <c r="L21" s="112">
        <v>27.15</v>
      </c>
      <c r="M21" s="112">
        <v>99.18</v>
      </c>
      <c r="N21" s="112">
        <v>2.2999999999999998</v>
      </c>
      <c r="O21" s="112">
        <v>0</v>
      </c>
      <c r="P21" s="112">
        <v>0.37</v>
      </c>
      <c r="Q21" s="112">
        <v>4.68</v>
      </c>
    </row>
    <row r="22" spans="1:17" customFormat="1">
      <c r="A22" s="80">
        <v>45490.145833333336</v>
      </c>
      <c r="B22" s="112">
        <v>9.24</v>
      </c>
      <c r="C22" s="112">
        <v>4.0599999999999996</v>
      </c>
      <c r="D22" s="112">
        <v>13.98</v>
      </c>
      <c r="E22" s="112">
        <v>7.42</v>
      </c>
      <c r="F22" s="112">
        <v>8.5299999999999994</v>
      </c>
      <c r="G22" s="112">
        <v>7.67</v>
      </c>
      <c r="H22" s="112">
        <v>3.17</v>
      </c>
      <c r="I22" s="112">
        <v>3.38</v>
      </c>
      <c r="J22" s="112">
        <v>0.13</v>
      </c>
      <c r="K22" s="112">
        <v>178.18</v>
      </c>
      <c r="L22" s="112">
        <v>27.06</v>
      </c>
      <c r="M22" s="112">
        <v>98.3</v>
      </c>
      <c r="N22" s="112">
        <v>2.4</v>
      </c>
      <c r="O22" s="112">
        <v>0</v>
      </c>
      <c r="P22" s="112">
        <v>0.36</v>
      </c>
      <c r="Q22" s="112">
        <v>4.68</v>
      </c>
    </row>
    <row r="23" spans="1:17" customFormat="1">
      <c r="A23" s="80">
        <v>45490.15625</v>
      </c>
      <c r="B23" s="112">
        <v>9.23</v>
      </c>
      <c r="C23" s="112">
        <v>4.07</v>
      </c>
      <c r="D23" s="112">
        <v>13.98</v>
      </c>
      <c r="E23" s="112">
        <v>6.58</v>
      </c>
      <c r="F23" s="112">
        <v>8.67</v>
      </c>
      <c r="G23" s="112">
        <v>10.66</v>
      </c>
      <c r="H23" s="112">
        <v>3.04</v>
      </c>
      <c r="I23" s="112">
        <v>3.35</v>
      </c>
      <c r="J23" s="112">
        <v>0.16</v>
      </c>
      <c r="K23" s="112">
        <v>167.99</v>
      </c>
      <c r="L23" s="112">
        <v>27</v>
      </c>
      <c r="M23" s="112">
        <v>98.05</v>
      </c>
      <c r="N23" s="112">
        <v>2.2999999999999998</v>
      </c>
      <c r="O23" s="112">
        <v>0</v>
      </c>
      <c r="P23" s="112">
        <v>0.36</v>
      </c>
      <c r="Q23" s="112">
        <v>4.6900000000000004</v>
      </c>
    </row>
    <row r="24" spans="1:17" customFormat="1">
      <c r="A24" s="80">
        <v>45490.166666666664</v>
      </c>
      <c r="B24" s="112">
        <v>9.24</v>
      </c>
      <c r="C24" s="112">
        <v>4.05</v>
      </c>
      <c r="D24" s="112">
        <v>13.98</v>
      </c>
      <c r="E24" s="112">
        <v>7.3</v>
      </c>
      <c r="F24" s="112">
        <v>7.49</v>
      </c>
      <c r="G24" s="112">
        <v>10.66</v>
      </c>
      <c r="H24" s="112">
        <v>3.04</v>
      </c>
      <c r="I24" s="112">
        <v>4.25</v>
      </c>
      <c r="J24" s="112">
        <v>0.11</v>
      </c>
      <c r="K24" s="112">
        <v>199.02</v>
      </c>
      <c r="L24" s="112">
        <v>26.9</v>
      </c>
      <c r="M24" s="112">
        <v>98.96</v>
      </c>
      <c r="N24" s="112">
        <v>2.2000000000000002</v>
      </c>
      <c r="O24" s="112">
        <v>0</v>
      </c>
      <c r="P24" s="112">
        <v>0.36</v>
      </c>
      <c r="Q24" s="112">
        <v>4.68</v>
      </c>
    </row>
    <row r="25" spans="1:17" customFormat="1">
      <c r="A25" s="80">
        <v>45490.177083333336</v>
      </c>
      <c r="B25" s="112">
        <v>9.24</v>
      </c>
      <c r="C25" s="112">
        <v>4.05</v>
      </c>
      <c r="D25" s="112">
        <v>13.98</v>
      </c>
      <c r="E25" s="112">
        <v>7.94</v>
      </c>
      <c r="F25" s="112">
        <v>5.33</v>
      </c>
      <c r="G25" s="112">
        <v>10.66</v>
      </c>
      <c r="H25" s="112">
        <v>3.04</v>
      </c>
      <c r="I25" s="112">
        <v>4.13</v>
      </c>
      <c r="J25" s="112">
        <v>0.13</v>
      </c>
      <c r="K25" s="112">
        <v>166.87</v>
      </c>
      <c r="L25" s="112">
        <v>26.92</v>
      </c>
      <c r="M25" s="112">
        <v>98.99</v>
      </c>
      <c r="N25" s="112">
        <v>2.2000000000000002</v>
      </c>
      <c r="O25" s="112">
        <v>0</v>
      </c>
      <c r="P25" s="112">
        <v>0.36</v>
      </c>
      <c r="Q25" s="112">
        <v>4.68</v>
      </c>
    </row>
    <row r="26" spans="1:17" customFormat="1">
      <c r="A26" s="80">
        <v>45490.1875</v>
      </c>
      <c r="B26" s="112">
        <v>9.24</v>
      </c>
      <c r="C26" s="112">
        <v>4.07</v>
      </c>
      <c r="D26" s="112">
        <v>13.99</v>
      </c>
      <c r="E26" s="112">
        <v>7.91</v>
      </c>
      <c r="F26" s="112">
        <v>4.4400000000000004</v>
      </c>
      <c r="G26" s="112">
        <v>10.83</v>
      </c>
      <c r="H26" s="112">
        <v>3.17</v>
      </c>
      <c r="I26" s="112">
        <v>3.96</v>
      </c>
      <c r="J26" s="112">
        <v>0.17</v>
      </c>
      <c r="K26" s="112">
        <v>160.44</v>
      </c>
      <c r="L26" s="112">
        <v>26.95</v>
      </c>
      <c r="M26" s="112">
        <v>98.86</v>
      </c>
      <c r="N26" s="112">
        <v>2.2000000000000002</v>
      </c>
      <c r="O26" s="112">
        <v>0</v>
      </c>
      <c r="P26" s="112">
        <v>0.34</v>
      </c>
      <c r="Q26" s="112">
        <v>4.6900000000000004</v>
      </c>
    </row>
    <row r="27" spans="1:17" customFormat="1">
      <c r="A27" s="80">
        <v>45490.197916666664</v>
      </c>
      <c r="B27" s="112">
        <v>9.25</v>
      </c>
      <c r="C27" s="112">
        <v>4.08</v>
      </c>
      <c r="D27" s="112">
        <v>14</v>
      </c>
      <c r="E27" s="112">
        <v>9.1199999999999992</v>
      </c>
      <c r="F27" s="112">
        <v>4.53</v>
      </c>
      <c r="G27" s="112">
        <v>13.8</v>
      </c>
      <c r="H27" s="112">
        <v>5.16</v>
      </c>
      <c r="I27" s="112">
        <v>3.78</v>
      </c>
      <c r="J27" s="112">
        <v>0.1</v>
      </c>
      <c r="K27" s="112">
        <v>215.66</v>
      </c>
      <c r="L27" s="112">
        <v>26.79</v>
      </c>
      <c r="M27" s="112">
        <v>99.4</v>
      </c>
      <c r="N27" s="112">
        <v>2.2999999999999998</v>
      </c>
      <c r="O27" s="112">
        <v>0</v>
      </c>
      <c r="P27" s="112">
        <v>0.34</v>
      </c>
      <c r="Q27" s="112">
        <v>4.6900000000000004</v>
      </c>
    </row>
    <row r="28" spans="1:17" customFormat="1">
      <c r="A28" s="80">
        <v>45490.208333333336</v>
      </c>
      <c r="B28" s="112">
        <v>9.26</v>
      </c>
      <c r="C28" s="112">
        <v>4.09</v>
      </c>
      <c r="D28" s="112">
        <v>14.01</v>
      </c>
      <c r="E28" s="112">
        <v>8.65</v>
      </c>
      <c r="F28" s="112">
        <v>4.55</v>
      </c>
      <c r="G28" s="112">
        <v>13.8</v>
      </c>
      <c r="H28" s="112">
        <v>5.16</v>
      </c>
      <c r="I28" s="112">
        <v>3.75</v>
      </c>
      <c r="J28" s="112">
        <v>0.12</v>
      </c>
      <c r="K28" s="112">
        <v>187.49</v>
      </c>
      <c r="L28" s="112">
        <v>26.81</v>
      </c>
      <c r="M28" s="112">
        <v>99.44</v>
      </c>
      <c r="N28" s="112">
        <v>2.2999999999999998</v>
      </c>
      <c r="O28" s="112">
        <v>0</v>
      </c>
      <c r="P28" s="112">
        <v>0.34</v>
      </c>
      <c r="Q28" s="112">
        <v>4.6900000000000004</v>
      </c>
    </row>
    <row r="29" spans="1:17" customFormat="1">
      <c r="A29" s="80">
        <v>45490.21875</v>
      </c>
      <c r="B29" s="112">
        <v>9.25</v>
      </c>
      <c r="C29" s="112">
        <v>4.0999999999999996</v>
      </c>
      <c r="D29" s="112">
        <v>14.01</v>
      </c>
      <c r="E29" s="112">
        <v>9.07</v>
      </c>
      <c r="F29" s="112">
        <v>4.22</v>
      </c>
      <c r="G29" s="112">
        <v>13.8</v>
      </c>
      <c r="H29" s="112">
        <v>5.16</v>
      </c>
      <c r="I29" s="112">
        <v>3.78</v>
      </c>
      <c r="J29" s="112">
        <v>0.09</v>
      </c>
      <c r="K29" s="112">
        <v>179.59</v>
      </c>
      <c r="L29" s="112">
        <v>26.83</v>
      </c>
      <c r="M29" s="112">
        <v>99.51</v>
      </c>
      <c r="N29" s="112">
        <v>2.8</v>
      </c>
      <c r="O29" s="112">
        <v>0</v>
      </c>
      <c r="P29" s="112">
        <v>0.34</v>
      </c>
      <c r="Q29" s="112">
        <v>4.6900000000000004</v>
      </c>
    </row>
    <row r="30" spans="1:17" customFormat="1">
      <c r="A30" s="80">
        <v>45490.229166666664</v>
      </c>
      <c r="B30" s="112">
        <v>9.25</v>
      </c>
      <c r="C30" s="112">
        <v>4.09</v>
      </c>
      <c r="D30" s="112">
        <v>14</v>
      </c>
      <c r="E30" s="112">
        <v>8.99</v>
      </c>
      <c r="F30" s="112">
        <v>4.3499999999999996</v>
      </c>
      <c r="G30" s="112">
        <v>13.61</v>
      </c>
      <c r="H30" s="112">
        <v>5.09</v>
      </c>
      <c r="I30" s="112">
        <v>3.74</v>
      </c>
      <c r="J30" s="112">
        <v>0.08</v>
      </c>
      <c r="K30" s="112">
        <v>193.12</v>
      </c>
      <c r="L30" s="112">
        <v>26.92</v>
      </c>
      <c r="M30" s="112">
        <v>99.86</v>
      </c>
      <c r="N30" s="112">
        <v>4.7</v>
      </c>
      <c r="O30" s="112">
        <v>0</v>
      </c>
      <c r="P30" s="112">
        <v>0.33</v>
      </c>
      <c r="Q30" s="112">
        <v>4.6900000000000004</v>
      </c>
    </row>
    <row r="31" spans="1:17" customFormat="1">
      <c r="A31" s="80">
        <v>45490.239583333336</v>
      </c>
      <c r="B31" s="112">
        <v>9.24</v>
      </c>
      <c r="C31" s="112">
        <v>4.08</v>
      </c>
      <c r="D31" s="112">
        <v>13.99</v>
      </c>
      <c r="E31" s="112">
        <v>9.58</v>
      </c>
      <c r="F31" s="112">
        <v>3.92</v>
      </c>
      <c r="G31" s="112">
        <v>10.28</v>
      </c>
      <c r="H31" s="112">
        <v>4.05</v>
      </c>
      <c r="I31" s="112">
        <v>3.71</v>
      </c>
      <c r="J31" s="112">
        <v>0.1</v>
      </c>
      <c r="K31" s="112">
        <v>160.68</v>
      </c>
      <c r="L31" s="112">
        <v>27.06</v>
      </c>
      <c r="M31" s="112">
        <v>99.72</v>
      </c>
      <c r="N31" s="112">
        <v>7.7</v>
      </c>
      <c r="O31" s="112">
        <v>0</v>
      </c>
      <c r="P31" s="112">
        <v>0.34</v>
      </c>
      <c r="Q31" s="112">
        <v>4.68</v>
      </c>
    </row>
    <row r="32" spans="1:17" customFormat="1">
      <c r="A32" s="80">
        <v>45490.25</v>
      </c>
      <c r="B32" s="112">
        <v>9.2200000000000006</v>
      </c>
      <c r="C32" s="112">
        <v>4.07</v>
      </c>
      <c r="D32" s="112">
        <v>13.97</v>
      </c>
      <c r="E32" s="112">
        <v>9.81</v>
      </c>
      <c r="F32" s="112">
        <v>3.88</v>
      </c>
      <c r="G32" s="112">
        <v>10.28</v>
      </c>
      <c r="H32" s="112">
        <v>4.05</v>
      </c>
      <c r="I32" s="112">
        <v>3.61</v>
      </c>
      <c r="J32" s="112">
        <v>0.08</v>
      </c>
      <c r="K32" s="112">
        <v>181.19</v>
      </c>
      <c r="L32" s="112">
        <v>27.1</v>
      </c>
      <c r="M32" s="112">
        <v>99.91</v>
      </c>
      <c r="N32" s="112">
        <v>19.8</v>
      </c>
      <c r="O32" s="112">
        <v>0</v>
      </c>
      <c r="P32" s="112">
        <v>0.33</v>
      </c>
      <c r="Q32" s="112">
        <v>4.6900000000000004</v>
      </c>
    </row>
    <row r="33" spans="1:17" customFormat="1">
      <c r="A33" s="80">
        <v>45490.260416666664</v>
      </c>
      <c r="B33" s="112">
        <v>9.2100000000000009</v>
      </c>
      <c r="C33" s="112">
        <v>4.09</v>
      </c>
      <c r="D33" s="112">
        <v>13.97</v>
      </c>
      <c r="E33" s="112">
        <v>9.74</v>
      </c>
      <c r="F33" s="112">
        <v>3.2</v>
      </c>
      <c r="G33" s="112">
        <v>10.28</v>
      </c>
      <c r="H33" s="112">
        <v>4.05</v>
      </c>
      <c r="I33" s="112">
        <v>3.64</v>
      </c>
      <c r="J33" s="112">
        <v>0.11</v>
      </c>
      <c r="K33" s="112">
        <v>235.35</v>
      </c>
      <c r="L33" s="112">
        <v>27.22</v>
      </c>
      <c r="M33" s="112">
        <v>99.97</v>
      </c>
      <c r="N33" s="112">
        <v>29.2</v>
      </c>
      <c r="O33" s="112">
        <v>0</v>
      </c>
      <c r="P33" s="112">
        <v>0.34</v>
      </c>
      <c r="Q33" s="112">
        <v>4.6900000000000004</v>
      </c>
    </row>
    <row r="34" spans="1:17" customFormat="1">
      <c r="A34" s="80">
        <v>45490.270833333336</v>
      </c>
      <c r="B34" s="112">
        <v>9.2200000000000006</v>
      </c>
      <c r="C34" s="112">
        <v>4.05</v>
      </c>
      <c r="D34" s="112">
        <v>13.96</v>
      </c>
      <c r="E34" s="112">
        <v>10.09</v>
      </c>
      <c r="F34" s="112">
        <v>4.08</v>
      </c>
      <c r="G34" s="112">
        <v>10.210000000000001</v>
      </c>
      <c r="H34" s="112">
        <v>4.13</v>
      </c>
      <c r="I34" s="112">
        <v>3.68</v>
      </c>
      <c r="J34" s="112">
        <v>0.13</v>
      </c>
      <c r="K34" s="112">
        <v>285.14999999999998</v>
      </c>
      <c r="L34" s="112">
        <v>27.25</v>
      </c>
      <c r="M34" s="112">
        <v>99.2</v>
      </c>
      <c r="N34" s="112">
        <v>31.1</v>
      </c>
      <c r="O34" s="112">
        <v>0</v>
      </c>
      <c r="P34" s="112">
        <v>0.34</v>
      </c>
      <c r="Q34" s="112">
        <v>4.6900000000000004</v>
      </c>
    </row>
    <row r="35" spans="1:17" customFormat="1">
      <c r="A35" s="80">
        <v>45490.28125</v>
      </c>
      <c r="B35" s="112">
        <v>9.23</v>
      </c>
      <c r="C35" s="112">
        <v>4.05</v>
      </c>
      <c r="D35" s="112">
        <v>13.97</v>
      </c>
      <c r="E35" s="112">
        <v>10.16</v>
      </c>
      <c r="F35" s="112">
        <v>4.01</v>
      </c>
      <c r="G35" s="112">
        <v>8.9</v>
      </c>
      <c r="H35" s="112">
        <v>5.46</v>
      </c>
      <c r="I35" s="112">
        <v>3.65</v>
      </c>
      <c r="J35" s="112">
        <v>0.17</v>
      </c>
      <c r="K35" s="112">
        <v>266.41000000000003</v>
      </c>
      <c r="L35" s="112">
        <v>27.41</v>
      </c>
      <c r="M35" s="112">
        <v>96.32</v>
      </c>
      <c r="N35" s="112">
        <v>64.8</v>
      </c>
      <c r="O35" s="112">
        <v>0</v>
      </c>
      <c r="P35" s="112">
        <v>0.34</v>
      </c>
      <c r="Q35" s="112">
        <v>4.6900000000000004</v>
      </c>
    </row>
    <row r="36" spans="1:17" customFormat="1">
      <c r="A36" s="80">
        <v>45490.291666666664</v>
      </c>
      <c r="B36" s="112">
        <v>9.2100000000000009</v>
      </c>
      <c r="C36" s="112">
        <v>4.09</v>
      </c>
      <c r="D36" s="112">
        <v>13.97</v>
      </c>
      <c r="E36" s="112">
        <v>10.119999999999999</v>
      </c>
      <c r="F36" s="112">
        <v>4.29</v>
      </c>
      <c r="G36" s="112">
        <v>8.9</v>
      </c>
      <c r="H36" s="112">
        <v>5.46</v>
      </c>
      <c r="I36" s="112">
        <v>3.58</v>
      </c>
      <c r="J36" s="112">
        <v>0.38</v>
      </c>
      <c r="K36" s="112">
        <v>280.79000000000002</v>
      </c>
      <c r="L36" s="112">
        <v>27.79</v>
      </c>
      <c r="M36" s="112">
        <v>94.98</v>
      </c>
      <c r="N36" s="112">
        <v>97.9</v>
      </c>
      <c r="O36" s="112">
        <v>0</v>
      </c>
      <c r="P36" s="112">
        <v>0.34</v>
      </c>
      <c r="Q36" s="112">
        <v>4.7</v>
      </c>
    </row>
    <row r="37" spans="1:17" customFormat="1">
      <c r="A37" s="80">
        <v>45490.302083333336</v>
      </c>
      <c r="B37" s="112">
        <v>9.2100000000000009</v>
      </c>
      <c r="C37" s="112">
        <v>4.09</v>
      </c>
      <c r="D37" s="112">
        <v>13.97</v>
      </c>
      <c r="E37" s="112">
        <v>10.029999999999999</v>
      </c>
      <c r="F37" s="112">
        <v>4.96</v>
      </c>
      <c r="G37" s="112">
        <v>8.9</v>
      </c>
      <c r="H37" s="112">
        <v>5.46</v>
      </c>
      <c r="I37" s="112">
        <v>3.53</v>
      </c>
      <c r="J37" s="112">
        <v>0.22</v>
      </c>
      <c r="K37" s="112">
        <v>248.52</v>
      </c>
      <c r="L37" s="112">
        <v>28.04</v>
      </c>
      <c r="M37" s="112">
        <v>94.52</v>
      </c>
      <c r="N37" s="112">
        <v>88.7</v>
      </c>
      <c r="O37" s="112">
        <v>0</v>
      </c>
      <c r="P37" s="112">
        <v>0.33</v>
      </c>
      <c r="Q37" s="112">
        <v>4.6900000000000004</v>
      </c>
    </row>
    <row r="38" spans="1:17" customFormat="1">
      <c r="A38" s="80">
        <v>45490.3125</v>
      </c>
      <c r="B38" s="112">
        <v>9.23</v>
      </c>
      <c r="C38" s="112">
        <v>4.0599999999999996</v>
      </c>
      <c r="D38" s="112">
        <v>13.97</v>
      </c>
      <c r="E38" s="112">
        <v>10.29</v>
      </c>
      <c r="F38" s="112">
        <v>3.96</v>
      </c>
      <c r="G38" s="112">
        <v>9.01</v>
      </c>
      <c r="H38" s="112">
        <v>5.57</v>
      </c>
      <c r="I38" s="112">
        <v>3.55</v>
      </c>
      <c r="J38" s="112">
        <v>0.48</v>
      </c>
      <c r="K38" s="112">
        <v>270.04000000000002</v>
      </c>
      <c r="L38" s="112">
        <v>27.97</v>
      </c>
      <c r="M38" s="112">
        <v>94.83</v>
      </c>
      <c r="N38" s="112">
        <v>108.8</v>
      </c>
      <c r="O38" s="112">
        <v>0</v>
      </c>
      <c r="P38" s="112">
        <v>0.33</v>
      </c>
      <c r="Q38" s="112">
        <v>4.71</v>
      </c>
    </row>
    <row r="39" spans="1:17" customFormat="1">
      <c r="A39" s="80">
        <v>45490.322916666664</v>
      </c>
      <c r="B39" s="112">
        <v>9.2200000000000006</v>
      </c>
      <c r="C39" s="112">
        <v>4.08</v>
      </c>
      <c r="D39" s="112">
        <v>13.97</v>
      </c>
      <c r="E39" s="112">
        <v>10.210000000000001</v>
      </c>
      <c r="F39" s="112">
        <v>4.47</v>
      </c>
      <c r="G39" s="112">
        <v>10.85</v>
      </c>
      <c r="H39" s="112">
        <v>7.15</v>
      </c>
      <c r="I39" s="112">
        <v>3.54</v>
      </c>
      <c r="J39" s="112">
        <v>0.48</v>
      </c>
      <c r="K39" s="112">
        <v>279.52</v>
      </c>
      <c r="L39" s="112">
        <v>28.32</v>
      </c>
      <c r="M39" s="112">
        <v>92.51</v>
      </c>
      <c r="N39" s="112">
        <v>118.3</v>
      </c>
      <c r="O39" s="112">
        <v>0</v>
      </c>
      <c r="P39" s="112">
        <v>0.35</v>
      </c>
      <c r="Q39" s="112">
        <v>4.6900000000000004</v>
      </c>
    </row>
    <row r="40" spans="1:17" customFormat="1">
      <c r="A40" s="80">
        <v>45490.333333333336</v>
      </c>
      <c r="B40" s="112">
        <v>9.2200000000000006</v>
      </c>
      <c r="C40" s="112">
        <v>4.05</v>
      </c>
      <c r="D40" s="112">
        <v>13.96</v>
      </c>
      <c r="E40" s="112">
        <v>9.99</v>
      </c>
      <c r="F40" s="112">
        <v>5.67</v>
      </c>
      <c r="G40" s="112">
        <v>10.85</v>
      </c>
      <c r="H40" s="112">
        <v>7.15</v>
      </c>
      <c r="I40" s="112">
        <v>3.48</v>
      </c>
      <c r="J40" s="112">
        <v>0.36</v>
      </c>
      <c r="K40" s="112">
        <v>270.95</v>
      </c>
      <c r="L40" s="112">
        <v>28.33</v>
      </c>
      <c r="M40" s="112">
        <v>92.07</v>
      </c>
      <c r="N40" s="112">
        <v>108.4</v>
      </c>
      <c r="O40" s="112">
        <v>0</v>
      </c>
      <c r="P40" s="112">
        <v>0.33</v>
      </c>
      <c r="Q40" s="112">
        <v>4.6900000000000004</v>
      </c>
    </row>
    <row r="41" spans="1:17" customFormat="1">
      <c r="A41" s="80">
        <v>45490.34375</v>
      </c>
      <c r="B41" s="112">
        <v>9.2200000000000006</v>
      </c>
      <c r="C41" s="112">
        <v>4.07</v>
      </c>
      <c r="D41" s="112">
        <v>13.97</v>
      </c>
      <c r="E41" s="112">
        <v>10.61</v>
      </c>
      <c r="F41" s="112">
        <v>4.22</v>
      </c>
      <c r="G41" s="112">
        <v>10.85</v>
      </c>
      <c r="H41" s="112">
        <v>7.15</v>
      </c>
      <c r="I41" s="112">
        <v>3.54</v>
      </c>
      <c r="J41" s="112">
        <v>0.31</v>
      </c>
      <c r="K41" s="112">
        <v>280.36</v>
      </c>
      <c r="L41" s="112">
        <v>28.6</v>
      </c>
      <c r="M41" s="112">
        <v>89.89</v>
      </c>
      <c r="N41" s="112">
        <v>119.3</v>
      </c>
      <c r="O41" s="112">
        <v>0</v>
      </c>
      <c r="P41" s="112">
        <v>0.34</v>
      </c>
      <c r="Q41" s="112">
        <v>4.7</v>
      </c>
    </row>
    <row r="42" spans="1:17" customFormat="1">
      <c r="A42" s="80">
        <v>45490.354166666664</v>
      </c>
      <c r="B42" s="112">
        <v>9.2100000000000009</v>
      </c>
      <c r="C42" s="112">
        <v>4.08</v>
      </c>
      <c r="D42" s="112">
        <v>13.96</v>
      </c>
      <c r="E42" s="112">
        <v>10.62</v>
      </c>
      <c r="F42" s="112">
        <v>5.77</v>
      </c>
      <c r="G42" s="112">
        <v>10.8</v>
      </c>
      <c r="H42" s="112">
        <v>7.13</v>
      </c>
      <c r="I42" s="112">
        <v>3.57</v>
      </c>
      <c r="J42" s="112">
        <v>0.37</v>
      </c>
      <c r="K42" s="112">
        <v>271.20999999999998</v>
      </c>
      <c r="L42" s="112">
        <v>28.49</v>
      </c>
      <c r="M42" s="112">
        <v>90.04</v>
      </c>
      <c r="N42" s="112">
        <v>68.599999999999994</v>
      </c>
      <c r="O42" s="112">
        <v>0</v>
      </c>
      <c r="P42" s="112">
        <v>0.35</v>
      </c>
      <c r="Q42" s="112">
        <v>4.7</v>
      </c>
    </row>
    <row r="43" spans="1:17" customFormat="1">
      <c r="A43" s="80">
        <v>45490.364583333336</v>
      </c>
      <c r="B43" s="112">
        <v>9.2200000000000006</v>
      </c>
      <c r="C43" s="112">
        <v>4.0599999999999996</v>
      </c>
      <c r="D43" s="112">
        <v>13.96</v>
      </c>
      <c r="E43" s="112">
        <v>10.23</v>
      </c>
      <c r="F43" s="112">
        <v>5.08</v>
      </c>
      <c r="G43" s="112">
        <v>9.9</v>
      </c>
      <c r="H43" s="112">
        <v>6.88</v>
      </c>
      <c r="I43" s="112">
        <v>3.5</v>
      </c>
      <c r="J43" s="112">
        <v>0.49</v>
      </c>
      <c r="K43" s="112">
        <v>273.97000000000003</v>
      </c>
      <c r="L43" s="112">
        <v>28.53</v>
      </c>
      <c r="M43" s="112">
        <v>90.89</v>
      </c>
      <c r="N43" s="112">
        <v>183.2</v>
      </c>
      <c r="O43" s="112">
        <v>0</v>
      </c>
      <c r="P43" s="112">
        <v>0.34</v>
      </c>
      <c r="Q43" s="112">
        <v>4.6900000000000004</v>
      </c>
    </row>
    <row r="44" spans="1:17" customFormat="1">
      <c r="A44" s="80">
        <v>45490.375</v>
      </c>
      <c r="B44" s="112">
        <v>9.1999999999999993</v>
      </c>
      <c r="C44" s="112">
        <v>4.07</v>
      </c>
      <c r="D44" s="112">
        <v>13.96</v>
      </c>
      <c r="E44" s="112">
        <v>10.1</v>
      </c>
      <c r="F44" s="112">
        <v>4.29</v>
      </c>
      <c r="G44" s="112">
        <v>9.9</v>
      </c>
      <c r="H44" s="112">
        <v>6.88</v>
      </c>
      <c r="I44" s="112">
        <v>3.46</v>
      </c>
      <c r="J44" s="112">
        <v>0.42</v>
      </c>
      <c r="K44" s="112">
        <v>271.02</v>
      </c>
      <c r="L44" s="112">
        <v>29.2</v>
      </c>
      <c r="M44" s="112">
        <v>90.8</v>
      </c>
      <c r="N44" s="112">
        <v>171.9</v>
      </c>
      <c r="O44" s="112">
        <v>0</v>
      </c>
      <c r="P44" s="112">
        <v>0.34</v>
      </c>
      <c r="Q44" s="112">
        <v>4.71</v>
      </c>
    </row>
    <row r="45" spans="1:17" customFormat="1">
      <c r="A45" s="80">
        <v>45490.385416666664</v>
      </c>
      <c r="B45" s="112">
        <v>9.1999999999999993</v>
      </c>
      <c r="C45" s="112">
        <v>4.07</v>
      </c>
      <c r="D45" s="112">
        <v>13.95</v>
      </c>
      <c r="E45" s="112">
        <v>10.23</v>
      </c>
      <c r="F45" s="112">
        <v>4.2699999999999996</v>
      </c>
      <c r="G45" s="112">
        <v>9.9</v>
      </c>
      <c r="H45" s="112">
        <v>6.88</v>
      </c>
      <c r="I45" s="112">
        <v>3.52</v>
      </c>
      <c r="J45" s="112">
        <v>0.21</v>
      </c>
      <c r="K45" s="112">
        <v>247.85</v>
      </c>
      <c r="L45" s="112">
        <v>28.72</v>
      </c>
      <c r="M45" s="112">
        <v>94.27</v>
      </c>
      <c r="N45" s="112">
        <v>113.2</v>
      </c>
      <c r="O45" s="112">
        <v>0.6</v>
      </c>
      <c r="P45" s="112">
        <v>0.38</v>
      </c>
      <c r="Q45" s="112">
        <v>4.6900000000000004</v>
      </c>
    </row>
    <row r="46" spans="1:17" customFormat="1">
      <c r="A46" s="80">
        <v>45490.395833333336</v>
      </c>
      <c r="B46" s="112">
        <v>9.25</v>
      </c>
      <c r="C46" s="112">
        <v>4.07</v>
      </c>
      <c r="D46" s="112">
        <v>13.99</v>
      </c>
      <c r="E46" s="112">
        <v>9.49</v>
      </c>
      <c r="F46" s="112">
        <v>6.78</v>
      </c>
      <c r="G46" s="112">
        <v>9.98</v>
      </c>
      <c r="H46" s="112">
        <v>6.91</v>
      </c>
      <c r="I46" s="112">
        <v>3.53</v>
      </c>
      <c r="J46" s="112">
        <v>0.17</v>
      </c>
      <c r="K46" s="112">
        <v>240.78</v>
      </c>
      <c r="L46" s="112">
        <v>28.1</v>
      </c>
      <c r="M46" s="112">
        <v>98.97</v>
      </c>
      <c r="N46" s="112">
        <v>175.4</v>
      </c>
      <c r="O46" s="112">
        <v>0.6</v>
      </c>
      <c r="P46" s="112">
        <v>0.39</v>
      </c>
      <c r="Q46" s="112">
        <v>4.6900000000000004</v>
      </c>
    </row>
    <row r="47" spans="1:17" customFormat="1">
      <c r="A47" s="80">
        <v>45490.40625</v>
      </c>
      <c r="B47" s="112">
        <v>9.25</v>
      </c>
      <c r="C47" s="112">
        <v>4.08</v>
      </c>
      <c r="D47" s="112">
        <v>14</v>
      </c>
      <c r="E47" s="112">
        <v>9.3800000000000008</v>
      </c>
      <c r="F47" s="112">
        <v>6.65</v>
      </c>
      <c r="G47" s="112">
        <v>11.39</v>
      </c>
      <c r="H47" s="112">
        <v>7.29</v>
      </c>
      <c r="I47" s="112">
        <v>3.58</v>
      </c>
      <c r="J47" s="112">
        <v>0.32</v>
      </c>
      <c r="K47" s="112">
        <v>303.5</v>
      </c>
      <c r="L47" s="112">
        <v>29.23</v>
      </c>
      <c r="M47" s="112">
        <v>94.64</v>
      </c>
      <c r="N47" s="112">
        <v>252.6</v>
      </c>
      <c r="O47" s="112">
        <v>0</v>
      </c>
      <c r="P47" s="112">
        <v>0.38</v>
      </c>
      <c r="Q47" s="112">
        <v>4.6900000000000004</v>
      </c>
    </row>
    <row r="48" spans="1:17" customFormat="1">
      <c r="A48" s="80">
        <v>45490.416666666664</v>
      </c>
      <c r="B48" s="112">
        <v>9.24</v>
      </c>
      <c r="C48" s="112">
        <v>4.07</v>
      </c>
      <c r="D48" s="112">
        <v>13.99</v>
      </c>
      <c r="E48" s="112">
        <v>9.27</v>
      </c>
      <c r="F48" s="112">
        <v>5.1100000000000003</v>
      </c>
      <c r="G48" s="112">
        <v>11.39</v>
      </c>
      <c r="H48" s="112">
        <v>7.29</v>
      </c>
      <c r="I48" s="112">
        <v>3.54</v>
      </c>
      <c r="J48" s="112">
        <v>0.08</v>
      </c>
      <c r="K48" s="112">
        <v>217.56</v>
      </c>
      <c r="L48" s="112">
        <v>30.22</v>
      </c>
      <c r="M48" s="112">
        <v>85.02</v>
      </c>
      <c r="N48" s="112">
        <v>198</v>
      </c>
      <c r="O48" s="112">
        <v>0</v>
      </c>
      <c r="P48" s="112">
        <v>0.39</v>
      </c>
      <c r="Q48" s="112">
        <v>4.68</v>
      </c>
    </row>
    <row r="49" spans="1:17" customFormat="1">
      <c r="A49" s="80">
        <v>45490.427083333336</v>
      </c>
      <c r="B49" s="112">
        <v>9.24</v>
      </c>
      <c r="C49" s="112">
        <v>4.07</v>
      </c>
      <c r="D49" s="112">
        <v>13.99</v>
      </c>
      <c r="E49" s="112">
        <v>8.1</v>
      </c>
      <c r="F49" s="112">
        <v>6.45</v>
      </c>
      <c r="G49" s="112">
        <v>11.39</v>
      </c>
      <c r="H49" s="112">
        <v>7.29</v>
      </c>
      <c r="I49" s="112">
        <v>3.63</v>
      </c>
      <c r="J49" s="112">
        <v>0.2</v>
      </c>
      <c r="K49" s="112">
        <v>253.12</v>
      </c>
      <c r="L49" s="112">
        <v>30.76</v>
      </c>
      <c r="M49" s="112">
        <v>83.16</v>
      </c>
      <c r="N49" s="112">
        <v>258.3</v>
      </c>
      <c r="O49" s="112">
        <v>0</v>
      </c>
      <c r="P49" s="112">
        <v>0.4</v>
      </c>
      <c r="Q49" s="112">
        <v>4.68</v>
      </c>
    </row>
    <row r="50" spans="1:17" customFormat="1">
      <c r="A50" s="80">
        <v>45490.4375</v>
      </c>
      <c r="B50" s="112">
        <v>9.23</v>
      </c>
      <c r="C50" s="112">
        <v>4.08</v>
      </c>
      <c r="D50" s="112">
        <v>13.99</v>
      </c>
      <c r="E50" s="112">
        <v>9.75</v>
      </c>
      <c r="F50" s="112">
        <v>8.35</v>
      </c>
      <c r="G50" s="112">
        <v>11.69</v>
      </c>
      <c r="H50" s="112">
        <v>7.28</v>
      </c>
      <c r="I50" s="112">
        <v>3.67</v>
      </c>
      <c r="J50" s="112">
        <v>0.19</v>
      </c>
      <c r="K50" s="112">
        <v>184.29</v>
      </c>
      <c r="L50" s="112">
        <v>30.86</v>
      </c>
      <c r="M50" s="112">
        <v>83</v>
      </c>
      <c r="N50" s="112">
        <v>172.7</v>
      </c>
      <c r="O50" s="112">
        <v>0</v>
      </c>
      <c r="P50" s="112">
        <v>0.4</v>
      </c>
      <c r="Q50" s="112">
        <v>4.68</v>
      </c>
    </row>
    <row r="51" spans="1:17" customFormat="1">
      <c r="A51" s="80">
        <v>45490.447916666664</v>
      </c>
      <c r="B51" s="112">
        <v>9.23</v>
      </c>
      <c r="C51" s="112">
        <v>4.07</v>
      </c>
      <c r="D51" s="112">
        <v>13.98</v>
      </c>
      <c r="E51" s="112">
        <v>9.4700000000000006</v>
      </c>
      <c r="F51" s="112">
        <v>8.5</v>
      </c>
      <c r="G51" s="112">
        <v>16.8</v>
      </c>
      <c r="H51" s="112">
        <v>7.13</v>
      </c>
      <c r="I51" s="112">
        <v>3.74</v>
      </c>
      <c r="J51" s="112">
        <v>0.24</v>
      </c>
      <c r="K51" s="112">
        <v>44.19</v>
      </c>
      <c r="L51" s="112">
        <v>31.06</v>
      </c>
      <c r="M51" s="112">
        <v>80.59</v>
      </c>
      <c r="N51" s="112">
        <v>219.3</v>
      </c>
      <c r="O51" s="112">
        <v>0</v>
      </c>
      <c r="P51" s="112">
        <v>0.4</v>
      </c>
      <c r="Q51" s="112">
        <v>4.6900000000000004</v>
      </c>
    </row>
    <row r="52" spans="1:17" customFormat="1">
      <c r="A52" s="80">
        <v>45490.458333333336</v>
      </c>
      <c r="B52" s="112">
        <v>9.23</v>
      </c>
      <c r="C52" s="112">
        <v>4.08</v>
      </c>
      <c r="D52" s="112">
        <v>13.98</v>
      </c>
      <c r="E52" s="112">
        <v>9.09</v>
      </c>
      <c r="F52" s="112">
        <v>9.42</v>
      </c>
      <c r="G52" s="112">
        <v>16.8</v>
      </c>
      <c r="H52" s="112">
        <v>7.13</v>
      </c>
      <c r="I52" s="112">
        <v>3.85</v>
      </c>
      <c r="J52" s="112">
        <v>0.79</v>
      </c>
      <c r="K52" s="112">
        <v>44.92</v>
      </c>
      <c r="L52" s="112">
        <v>31.63</v>
      </c>
      <c r="M52" s="112">
        <v>75.12</v>
      </c>
      <c r="N52" s="112">
        <v>252.4</v>
      </c>
      <c r="O52" s="112">
        <v>0</v>
      </c>
      <c r="P52" s="112">
        <v>0.42</v>
      </c>
      <c r="Q52" s="112">
        <v>4.7</v>
      </c>
    </row>
    <row r="53" spans="1:17" customFormat="1">
      <c r="A53" s="80">
        <v>45490.46875</v>
      </c>
      <c r="B53" s="112">
        <v>9.24</v>
      </c>
      <c r="C53" s="112">
        <v>4.0599999999999996</v>
      </c>
      <c r="D53" s="112">
        <v>13.98</v>
      </c>
      <c r="E53" s="112">
        <v>9.1199999999999992</v>
      </c>
      <c r="F53" s="112">
        <v>7.87</v>
      </c>
      <c r="G53" s="112">
        <v>16.8</v>
      </c>
      <c r="H53" s="112">
        <v>7.13</v>
      </c>
      <c r="I53" s="112">
        <v>3.88</v>
      </c>
      <c r="J53" s="112">
        <v>0.09</v>
      </c>
      <c r="K53" s="112">
        <v>305.11</v>
      </c>
      <c r="L53" s="112">
        <v>32.020000000000003</v>
      </c>
      <c r="M53" s="112">
        <v>76.08</v>
      </c>
      <c r="N53" s="112">
        <v>191.9</v>
      </c>
      <c r="O53" s="112">
        <v>0</v>
      </c>
      <c r="P53" s="112">
        <v>0.42</v>
      </c>
      <c r="Q53" s="112">
        <v>4.7</v>
      </c>
    </row>
    <row r="54" spans="1:17" customFormat="1">
      <c r="A54" s="80">
        <v>45490.479166666664</v>
      </c>
      <c r="B54" s="112">
        <v>9.24</v>
      </c>
      <c r="C54" s="112">
        <v>4.05</v>
      </c>
      <c r="D54" s="112">
        <v>13.98</v>
      </c>
      <c r="E54" s="112">
        <v>9.35</v>
      </c>
      <c r="F54" s="112">
        <v>9.09</v>
      </c>
      <c r="G54" s="112">
        <v>16.809999999999999</v>
      </c>
      <c r="H54" s="112">
        <v>7.11</v>
      </c>
      <c r="I54" s="112">
        <v>3.9</v>
      </c>
      <c r="J54" s="112">
        <v>0.13</v>
      </c>
      <c r="K54" s="112">
        <v>180.35</v>
      </c>
      <c r="L54" s="112">
        <v>31.85</v>
      </c>
      <c r="M54" s="112">
        <v>77.87</v>
      </c>
      <c r="N54" s="112">
        <v>225.4</v>
      </c>
      <c r="O54" s="112">
        <v>0</v>
      </c>
      <c r="P54" s="112">
        <v>0.41</v>
      </c>
      <c r="Q54" s="112">
        <v>4.6900000000000004</v>
      </c>
    </row>
    <row r="55" spans="1:17" customFormat="1">
      <c r="A55" s="80">
        <v>45490.489583333336</v>
      </c>
      <c r="B55" s="112">
        <v>9.23</v>
      </c>
      <c r="C55" s="112">
        <v>4.05</v>
      </c>
      <c r="D55" s="112">
        <v>13.97</v>
      </c>
      <c r="E55" s="112">
        <v>8.7899999999999991</v>
      </c>
      <c r="F55" s="112">
        <v>9.85</v>
      </c>
      <c r="G55" s="112">
        <v>16.98</v>
      </c>
      <c r="H55" s="112">
        <v>6.79</v>
      </c>
      <c r="I55" s="112">
        <v>4.04</v>
      </c>
      <c r="J55" s="112">
        <v>0.12</v>
      </c>
      <c r="K55" s="112">
        <v>187.76</v>
      </c>
      <c r="L55" s="112">
        <v>33.31</v>
      </c>
      <c r="M55" s="112">
        <v>71.12</v>
      </c>
      <c r="N55" s="112">
        <v>510.9</v>
      </c>
      <c r="O55" s="112">
        <v>0</v>
      </c>
      <c r="P55" s="112">
        <v>0.41</v>
      </c>
      <c r="Q55" s="112">
        <v>4.7</v>
      </c>
    </row>
    <row r="56" spans="1:17" customFormat="1">
      <c r="A56" s="80">
        <v>45490.5</v>
      </c>
      <c r="B56" s="112">
        <v>9.23</v>
      </c>
      <c r="C56" s="112">
        <v>4.08</v>
      </c>
      <c r="D56" s="112">
        <v>13.99</v>
      </c>
      <c r="E56" s="112">
        <v>8.9700000000000006</v>
      </c>
      <c r="F56" s="112">
        <v>7.66</v>
      </c>
      <c r="G56" s="112">
        <v>16.98</v>
      </c>
      <c r="H56" s="112">
        <v>6.79</v>
      </c>
      <c r="I56" s="112">
        <v>3.92</v>
      </c>
      <c r="J56" s="112">
        <v>0.55000000000000004</v>
      </c>
      <c r="K56" s="112">
        <v>44.85</v>
      </c>
      <c r="L56" s="112">
        <v>33.29</v>
      </c>
      <c r="M56" s="112">
        <v>69.05</v>
      </c>
      <c r="N56" s="112">
        <v>397.1</v>
      </c>
      <c r="O56" s="112">
        <v>0</v>
      </c>
      <c r="P56" s="112">
        <v>0.42</v>
      </c>
      <c r="Q56" s="112">
        <v>4.6900000000000004</v>
      </c>
    </row>
    <row r="57" spans="1:17" customFormat="1">
      <c r="A57" s="80">
        <v>45490.510416666664</v>
      </c>
      <c r="B57" s="112">
        <v>9.24</v>
      </c>
      <c r="C57" s="112">
        <v>4.05</v>
      </c>
      <c r="D57" s="112">
        <v>13.98</v>
      </c>
      <c r="E57" s="112">
        <v>9.5399999999999991</v>
      </c>
      <c r="F57" s="112">
        <v>10.15</v>
      </c>
      <c r="G57" s="112">
        <v>16.98</v>
      </c>
      <c r="H57" s="112">
        <v>6.79</v>
      </c>
      <c r="I57" s="112">
        <v>3.99</v>
      </c>
      <c r="J57" s="112">
        <v>0.56000000000000005</v>
      </c>
      <c r="K57" s="112">
        <v>18.600000000000001</v>
      </c>
      <c r="L57" s="112">
        <v>32.549999999999997</v>
      </c>
      <c r="M57" s="112">
        <v>69.989999999999995</v>
      </c>
      <c r="N57" s="112">
        <v>440.6</v>
      </c>
      <c r="O57" s="112">
        <v>0</v>
      </c>
      <c r="P57" s="112">
        <v>0.43</v>
      </c>
      <c r="Q57" s="112">
        <v>4.6900000000000004</v>
      </c>
    </row>
    <row r="58" spans="1:17" customFormat="1">
      <c r="A58" s="80">
        <v>45490.520833333336</v>
      </c>
      <c r="B58" s="112">
        <v>9.25</v>
      </c>
      <c r="C58" s="112">
        <v>4.04</v>
      </c>
      <c r="D58" s="112">
        <v>13.98</v>
      </c>
      <c r="E58" s="112">
        <v>9.91</v>
      </c>
      <c r="F58" s="112">
        <v>14.96</v>
      </c>
      <c r="G58" s="112">
        <v>16.96</v>
      </c>
      <c r="H58" s="112">
        <v>6.67</v>
      </c>
      <c r="I58" s="112">
        <v>4.03</v>
      </c>
      <c r="J58" s="112">
        <v>0.77</v>
      </c>
      <c r="K58" s="112">
        <v>15.95</v>
      </c>
      <c r="L58" s="112">
        <v>32.39</v>
      </c>
      <c r="M58" s="112">
        <v>72.78</v>
      </c>
      <c r="N58" s="112">
        <v>363.6</v>
      </c>
      <c r="O58" s="112">
        <v>0</v>
      </c>
      <c r="P58" s="112">
        <v>0.44</v>
      </c>
      <c r="Q58" s="112">
        <v>4.7</v>
      </c>
    </row>
    <row r="59" spans="1:17" customFormat="1">
      <c r="A59" s="80">
        <v>45490.53125</v>
      </c>
      <c r="B59" s="112">
        <v>9.23</v>
      </c>
      <c r="C59" s="112">
        <v>4.09</v>
      </c>
      <c r="D59" s="112">
        <v>13.99</v>
      </c>
      <c r="E59" s="112">
        <v>11.26</v>
      </c>
      <c r="F59" s="112">
        <v>16.64</v>
      </c>
      <c r="G59" s="112">
        <v>16.63</v>
      </c>
      <c r="H59" s="112">
        <v>4.8</v>
      </c>
      <c r="I59" s="112">
        <v>4.0199999999999996</v>
      </c>
      <c r="J59" s="112">
        <v>0.97</v>
      </c>
      <c r="K59" s="112">
        <v>32.700000000000003</v>
      </c>
      <c r="L59" s="112">
        <v>31.71</v>
      </c>
      <c r="M59" s="112">
        <v>76.08</v>
      </c>
      <c r="N59" s="112">
        <v>135.30000000000001</v>
      </c>
      <c r="O59" s="112">
        <v>0</v>
      </c>
      <c r="P59" s="112">
        <v>0.45</v>
      </c>
      <c r="Q59" s="112">
        <v>4.6900000000000004</v>
      </c>
    </row>
    <row r="60" spans="1:17" customFormat="1">
      <c r="A60" s="80">
        <v>45490.541666666664</v>
      </c>
      <c r="B60" s="112">
        <v>9.25</v>
      </c>
      <c r="C60" s="112">
        <v>4.0599999999999996</v>
      </c>
      <c r="D60" s="112">
        <v>13.99</v>
      </c>
      <c r="E60" s="112">
        <v>11.52</v>
      </c>
      <c r="F60" s="112">
        <v>16.48</v>
      </c>
      <c r="G60" s="112">
        <v>16.63</v>
      </c>
      <c r="H60" s="112">
        <v>4.8</v>
      </c>
      <c r="I60" s="112">
        <v>4.1399999999999997</v>
      </c>
      <c r="J60" s="112">
        <v>0.63</v>
      </c>
      <c r="K60" s="112">
        <v>18.600000000000001</v>
      </c>
      <c r="L60" s="112">
        <v>31.18</v>
      </c>
      <c r="M60" s="112">
        <v>78.81</v>
      </c>
      <c r="N60" s="112">
        <v>70.599999999999994</v>
      </c>
      <c r="O60" s="112">
        <v>0</v>
      </c>
      <c r="P60" s="112">
        <v>0.47</v>
      </c>
      <c r="Q60" s="112">
        <v>4.7</v>
      </c>
    </row>
    <row r="61" spans="1:17" customFormat="1">
      <c r="A61" s="80">
        <v>45490.552083333336</v>
      </c>
      <c r="B61" s="112">
        <v>9.24</v>
      </c>
      <c r="C61" s="112">
        <v>4.07</v>
      </c>
      <c r="D61" s="112">
        <v>13.98</v>
      </c>
      <c r="E61" s="112">
        <v>13.48</v>
      </c>
      <c r="F61" s="112">
        <v>12.32</v>
      </c>
      <c r="G61" s="112">
        <v>16.63</v>
      </c>
      <c r="H61" s="112">
        <v>4.8</v>
      </c>
      <c r="I61" s="112">
        <v>4.1900000000000004</v>
      </c>
      <c r="J61" s="112">
        <v>0.1</v>
      </c>
      <c r="K61" s="112">
        <v>66.98</v>
      </c>
      <c r="L61" s="112">
        <v>30.16</v>
      </c>
      <c r="M61" s="112">
        <v>84.99</v>
      </c>
      <c r="N61" s="112">
        <v>22.3</v>
      </c>
      <c r="O61" s="112">
        <v>0.4</v>
      </c>
      <c r="P61" s="112">
        <v>0.47</v>
      </c>
      <c r="Q61" s="112">
        <v>4.68</v>
      </c>
    </row>
    <row r="62" spans="1:17" customFormat="1">
      <c r="A62" s="80">
        <v>45490.5625</v>
      </c>
      <c r="B62" s="112">
        <v>9.2100000000000009</v>
      </c>
      <c r="C62" s="112">
        <v>4.0999999999999996</v>
      </c>
      <c r="D62" s="112">
        <v>13.98</v>
      </c>
      <c r="E62" s="112">
        <v>10.52</v>
      </c>
      <c r="F62" s="112">
        <v>6.9</v>
      </c>
      <c r="G62" s="112">
        <v>17.57</v>
      </c>
      <c r="H62" s="112">
        <v>5.34</v>
      </c>
      <c r="I62" s="112">
        <v>4.3099999999999996</v>
      </c>
      <c r="J62" s="112">
        <v>0.77</v>
      </c>
      <c r="K62" s="112">
        <v>289.54000000000002</v>
      </c>
      <c r="L62" s="112">
        <v>27.83</v>
      </c>
      <c r="M62" s="112">
        <v>95.9</v>
      </c>
      <c r="N62" s="112">
        <v>23.9</v>
      </c>
      <c r="O62" s="112">
        <v>6.8</v>
      </c>
      <c r="P62" s="112">
        <v>0.46</v>
      </c>
      <c r="Q62" s="112">
        <v>4.68</v>
      </c>
    </row>
    <row r="63" spans="1:17" customFormat="1">
      <c r="A63" s="80">
        <v>45490.572916666664</v>
      </c>
      <c r="B63" s="112">
        <v>9.25</v>
      </c>
      <c r="C63" s="112">
        <v>4.08</v>
      </c>
      <c r="D63" s="112">
        <v>14</v>
      </c>
      <c r="E63" s="112">
        <v>10.199999999999999</v>
      </c>
      <c r="F63" s="112">
        <v>6.79</v>
      </c>
      <c r="G63" s="112">
        <v>33.42</v>
      </c>
      <c r="H63" s="112">
        <v>13.72</v>
      </c>
      <c r="I63" s="112">
        <v>4.34</v>
      </c>
      <c r="J63" s="112">
        <v>0.45</v>
      </c>
      <c r="K63" s="112">
        <v>346.91</v>
      </c>
      <c r="L63" s="112">
        <v>26.82</v>
      </c>
      <c r="M63" s="112">
        <v>102.13</v>
      </c>
      <c r="N63" s="112">
        <v>20</v>
      </c>
      <c r="O63" s="112">
        <v>0.2</v>
      </c>
      <c r="P63" s="112">
        <v>0.43</v>
      </c>
      <c r="Q63" s="112">
        <v>4.6900000000000004</v>
      </c>
    </row>
    <row r="64" spans="1:17" customFormat="1">
      <c r="A64" s="80">
        <v>45490.583333333336</v>
      </c>
      <c r="B64" s="112">
        <v>9.2799999999999994</v>
      </c>
      <c r="C64" s="112">
        <v>4.0599999999999996</v>
      </c>
      <c r="D64" s="112">
        <v>14.01</v>
      </c>
      <c r="E64" s="112">
        <v>9.9700000000000006</v>
      </c>
      <c r="F64" s="112">
        <v>6.37</v>
      </c>
      <c r="G64" s="112">
        <v>33.42</v>
      </c>
      <c r="H64" s="112">
        <v>13.72</v>
      </c>
      <c r="I64" s="112">
        <v>4.37</v>
      </c>
      <c r="J64" s="112">
        <v>1.56</v>
      </c>
      <c r="K64" s="112">
        <v>29.01</v>
      </c>
      <c r="L64" s="112">
        <v>26.36</v>
      </c>
      <c r="M64" s="112">
        <v>102.66</v>
      </c>
      <c r="N64" s="112">
        <v>22.9</v>
      </c>
      <c r="O64" s="112">
        <v>8.4</v>
      </c>
      <c r="P64" s="112">
        <v>0.4</v>
      </c>
      <c r="Q64" s="112">
        <v>4.6900000000000004</v>
      </c>
    </row>
    <row r="65" spans="1:17" customFormat="1">
      <c r="A65" s="80">
        <v>45490.59375</v>
      </c>
      <c r="B65" s="112">
        <v>9.3000000000000007</v>
      </c>
      <c r="C65" s="112">
        <v>4.08</v>
      </c>
      <c r="D65" s="112">
        <v>14.04</v>
      </c>
      <c r="E65" s="112">
        <v>9.6199999999999992</v>
      </c>
      <c r="F65" s="112">
        <v>6.85</v>
      </c>
      <c r="G65" s="112">
        <v>33.42</v>
      </c>
      <c r="H65" s="112">
        <v>13.72</v>
      </c>
      <c r="I65" s="112">
        <v>4.37</v>
      </c>
      <c r="J65" s="112">
        <v>2.37</v>
      </c>
      <c r="K65" s="112">
        <v>33.200000000000003</v>
      </c>
      <c r="L65" s="112">
        <v>25.68</v>
      </c>
      <c r="M65" s="112">
        <v>102.98</v>
      </c>
      <c r="N65" s="112">
        <v>17</v>
      </c>
      <c r="O65" s="112">
        <v>5</v>
      </c>
      <c r="P65" s="112">
        <v>0.37</v>
      </c>
      <c r="Q65" s="112">
        <v>4.7</v>
      </c>
    </row>
    <row r="66" spans="1:17" customFormat="1">
      <c r="A66" s="80">
        <v>45490.604166666664</v>
      </c>
      <c r="B66" s="112">
        <v>9.32</v>
      </c>
      <c r="C66" s="112">
        <v>4.08</v>
      </c>
      <c r="D66" s="112">
        <v>14.06</v>
      </c>
      <c r="E66" s="112">
        <v>9.58</v>
      </c>
      <c r="F66" s="112">
        <v>5.12</v>
      </c>
      <c r="G66" s="112">
        <v>32.93</v>
      </c>
      <c r="H66" s="112">
        <v>13.45</v>
      </c>
      <c r="I66" s="112">
        <v>4.26</v>
      </c>
      <c r="J66" s="112">
        <v>0.55000000000000004</v>
      </c>
      <c r="K66" s="112">
        <v>8.27</v>
      </c>
      <c r="L66" s="112">
        <v>25.67</v>
      </c>
      <c r="M66" s="112">
        <v>102.93</v>
      </c>
      <c r="N66" s="112">
        <v>21.1</v>
      </c>
      <c r="O66" s="112">
        <v>2.2000000000000002</v>
      </c>
      <c r="P66" s="112">
        <v>0.4</v>
      </c>
      <c r="Q66" s="112">
        <v>4.7</v>
      </c>
    </row>
    <row r="67" spans="1:17" customFormat="1">
      <c r="A67" s="80">
        <v>45490.614583333336</v>
      </c>
      <c r="B67" s="112">
        <v>9.32</v>
      </c>
      <c r="C67" s="112">
        <v>4.08</v>
      </c>
      <c r="D67" s="112">
        <v>14.05</v>
      </c>
      <c r="E67" s="112">
        <v>9.93</v>
      </c>
      <c r="F67" s="112">
        <v>4.57</v>
      </c>
      <c r="G67" s="112">
        <v>24.56</v>
      </c>
      <c r="H67" s="112">
        <v>9.1999999999999993</v>
      </c>
      <c r="I67" s="112">
        <v>4.09</v>
      </c>
      <c r="J67" s="112">
        <v>0.72</v>
      </c>
      <c r="K67" s="112">
        <v>39.450000000000003</v>
      </c>
      <c r="L67" s="112">
        <v>25.83</v>
      </c>
      <c r="M67" s="112">
        <v>102.3</v>
      </c>
      <c r="N67" s="112">
        <v>54.4</v>
      </c>
      <c r="O67" s="112">
        <v>0</v>
      </c>
      <c r="P67" s="112">
        <v>0.4</v>
      </c>
      <c r="Q67" s="112">
        <v>4.6900000000000004</v>
      </c>
    </row>
    <row r="68" spans="1:17" customFormat="1">
      <c r="A68" s="80">
        <v>45490.625</v>
      </c>
      <c r="B68" s="112">
        <v>9.3000000000000007</v>
      </c>
      <c r="C68" s="112">
        <v>4.09</v>
      </c>
      <c r="D68" s="112">
        <v>14.04</v>
      </c>
      <c r="E68" s="112">
        <v>10.199999999999999</v>
      </c>
      <c r="F68" s="112">
        <v>4.51</v>
      </c>
      <c r="G68" s="112">
        <v>24.56</v>
      </c>
      <c r="H68" s="112">
        <v>9.1999999999999993</v>
      </c>
      <c r="I68" s="112">
        <v>4.2</v>
      </c>
      <c r="J68" s="112">
        <v>0.49</v>
      </c>
      <c r="K68" s="112">
        <v>50.93</v>
      </c>
      <c r="L68" s="112">
        <v>26.18</v>
      </c>
      <c r="M68" s="112">
        <v>102.99</v>
      </c>
      <c r="N68" s="112">
        <v>85.3</v>
      </c>
      <c r="O68" s="112">
        <v>0</v>
      </c>
      <c r="P68" s="112">
        <v>0.41</v>
      </c>
      <c r="Q68" s="112">
        <v>4.6900000000000004</v>
      </c>
    </row>
    <row r="69" spans="1:17" customFormat="1">
      <c r="A69" s="80">
        <v>45490.635416666664</v>
      </c>
      <c r="B69" s="112">
        <v>9.2899999999999991</v>
      </c>
      <c r="C69" s="112">
        <v>4.07</v>
      </c>
      <c r="D69" s="112">
        <v>14.02</v>
      </c>
      <c r="E69" s="112">
        <v>10.54</v>
      </c>
      <c r="F69" s="112">
        <v>4.07</v>
      </c>
      <c r="G69" s="112">
        <v>24.56</v>
      </c>
      <c r="H69" s="112">
        <v>9.1999999999999993</v>
      </c>
      <c r="I69" s="112">
        <v>4.2300000000000004</v>
      </c>
      <c r="J69" s="112">
        <v>0.72</v>
      </c>
      <c r="K69" s="112">
        <v>59.01</v>
      </c>
      <c r="L69" s="112">
        <v>26.61</v>
      </c>
      <c r="M69" s="112">
        <v>103.19</v>
      </c>
      <c r="N69" s="112">
        <v>146.30000000000001</v>
      </c>
      <c r="O69" s="112">
        <v>0.2</v>
      </c>
      <c r="P69" s="112">
        <v>0.42</v>
      </c>
      <c r="Q69" s="112">
        <v>4.7</v>
      </c>
    </row>
    <row r="70" spans="1:17" customFormat="1">
      <c r="A70" s="80">
        <v>45490.645833333336</v>
      </c>
      <c r="B70" s="112">
        <v>9.25</v>
      </c>
      <c r="C70" s="112">
        <v>4.0599999999999996</v>
      </c>
      <c r="D70" s="112">
        <v>13.99</v>
      </c>
      <c r="E70" s="112">
        <v>10.36</v>
      </c>
      <c r="F70" s="112">
        <v>4.47</v>
      </c>
      <c r="G70" s="112">
        <v>24.73</v>
      </c>
      <c r="H70" s="112">
        <v>9.16</v>
      </c>
      <c r="I70" s="112">
        <v>4.29</v>
      </c>
      <c r="J70" s="112">
        <v>0.12</v>
      </c>
      <c r="K70" s="112">
        <v>78.650000000000006</v>
      </c>
      <c r="L70" s="112">
        <v>27.41</v>
      </c>
      <c r="M70" s="112">
        <v>102.47</v>
      </c>
      <c r="N70" s="112">
        <v>197.5</v>
      </c>
      <c r="O70" s="112">
        <v>0</v>
      </c>
      <c r="P70" s="112">
        <v>0.42</v>
      </c>
      <c r="Q70" s="112">
        <v>4.6900000000000004</v>
      </c>
    </row>
    <row r="71" spans="1:17" customFormat="1">
      <c r="A71" s="80">
        <v>45490.65625</v>
      </c>
      <c r="B71" s="112">
        <v>9.2200000000000006</v>
      </c>
      <c r="C71" s="112">
        <v>4.07</v>
      </c>
      <c r="D71" s="112">
        <v>13.97</v>
      </c>
      <c r="E71" s="112">
        <v>10.49</v>
      </c>
      <c r="F71" s="112">
        <v>5.22</v>
      </c>
      <c r="G71" s="112">
        <v>27.62</v>
      </c>
      <c r="H71" s="112">
        <v>8.61</v>
      </c>
      <c r="I71" s="112">
        <v>4.26</v>
      </c>
      <c r="J71" s="112">
        <v>0.48</v>
      </c>
      <c r="K71" s="112">
        <v>278.2</v>
      </c>
      <c r="L71" s="112">
        <v>28.25</v>
      </c>
      <c r="M71" s="112">
        <v>101.73</v>
      </c>
      <c r="N71" s="112">
        <v>183.9</v>
      </c>
      <c r="O71" s="112">
        <v>0</v>
      </c>
      <c r="P71" s="112">
        <v>0.41</v>
      </c>
      <c r="Q71" s="112">
        <v>4.68</v>
      </c>
    </row>
    <row r="72" spans="1:17" customFormat="1">
      <c r="A72" s="80">
        <v>45490.666666666664</v>
      </c>
      <c r="B72" s="112">
        <v>9.1999999999999993</v>
      </c>
      <c r="C72" s="112">
        <v>4.1100000000000003</v>
      </c>
      <c r="D72" s="112">
        <v>13.98</v>
      </c>
      <c r="E72" s="112">
        <v>10.26</v>
      </c>
      <c r="F72" s="112">
        <v>4.72</v>
      </c>
      <c r="G72" s="112">
        <v>27.62</v>
      </c>
      <c r="H72" s="112">
        <v>8.61</v>
      </c>
      <c r="I72" s="112">
        <v>4.17</v>
      </c>
      <c r="J72" s="112">
        <v>0.92</v>
      </c>
      <c r="K72" s="112">
        <v>303.99</v>
      </c>
      <c r="L72" s="112">
        <v>28.45</v>
      </c>
      <c r="M72" s="112">
        <v>101.25</v>
      </c>
      <c r="N72" s="112">
        <v>199</v>
      </c>
      <c r="O72" s="112">
        <v>0</v>
      </c>
      <c r="P72" s="112">
        <v>0.42</v>
      </c>
      <c r="Q72" s="112">
        <v>4.68</v>
      </c>
    </row>
    <row r="73" spans="1:17" customFormat="1">
      <c r="A73" s="80">
        <v>45490.677083333336</v>
      </c>
      <c r="B73" s="112">
        <v>9.2100000000000009</v>
      </c>
      <c r="C73" s="112">
        <v>4.08</v>
      </c>
      <c r="D73" s="112">
        <v>13.97</v>
      </c>
      <c r="E73" s="112">
        <v>10.89</v>
      </c>
      <c r="F73" s="112">
        <v>4.17</v>
      </c>
      <c r="G73" s="112">
        <v>27.62</v>
      </c>
      <c r="H73" s="112">
        <v>8.61</v>
      </c>
      <c r="I73" s="112">
        <v>4.18</v>
      </c>
      <c r="J73" s="112">
        <v>0.55000000000000004</v>
      </c>
      <c r="K73" s="112">
        <v>313</v>
      </c>
      <c r="L73" s="112">
        <v>28.55</v>
      </c>
      <c r="M73" s="112">
        <v>92.77</v>
      </c>
      <c r="N73" s="112">
        <v>160.9</v>
      </c>
      <c r="O73" s="112">
        <v>0</v>
      </c>
      <c r="P73" s="112">
        <v>0.41</v>
      </c>
      <c r="Q73" s="112">
        <v>4.6900000000000004</v>
      </c>
    </row>
    <row r="74" spans="1:17" customFormat="1">
      <c r="A74" s="80">
        <v>45490.6875</v>
      </c>
      <c r="B74" s="112">
        <v>9.2100000000000009</v>
      </c>
      <c r="C74" s="112">
        <v>4.04</v>
      </c>
      <c r="D74" s="112">
        <v>13.95</v>
      </c>
      <c r="E74" s="112">
        <v>10.95</v>
      </c>
      <c r="F74" s="112">
        <v>4.4000000000000004</v>
      </c>
      <c r="G74" s="112">
        <v>27.78</v>
      </c>
      <c r="H74" s="112">
        <v>8.56</v>
      </c>
      <c r="I74" s="112">
        <v>4.22</v>
      </c>
      <c r="J74" s="112">
        <v>0.46</v>
      </c>
      <c r="K74" s="112">
        <v>277.82</v>
      </c>
      <c r="L74" s="112">
        <v>29.14</v>
      </c>
      <c r="M74" s="112">
        <v>89.59</v>
      </c>
      <c r="N74" s="112">
        <v>218.4</v>
      </c>
      <c r="O74" s="112">
        <v>0</v>
      </c>
      <c r="P74" s="112">
        <v>0.41</v>
      </c>
      <c r="Q74" s="112">
        <v>4.7</v>
      </c>
    </row>
    <row r="75" spans="1:17" customFormat="1">
      <c r="A75" s="80">
        <v>45490.697916666664</v>
      </c>
      <c r="B75" s="112">
        <v>9.23</v>
      </c>
      <c r="C75" s="112">
        <v>4.05</v>
      </c>
      <c r="D75" s="112">
        <v>13.96</v>
      </c>
      <c r="E75" s="112">
        <v>10.96</v>
      </c>
      <c r="F75" s="112">
        <v>3.98</v>
      </c>
      <c r="G75" s="112">
        <v>32.08</v>
      </c>
      <c r="H75" s="112">
        <v>7.54</v>
      </c>
      <c r="I75" s="112">
        <v>4.1900000000000004</v>
      </c>
      <c r="J75" s="112">
        <v>0.35</v>
      </c>
      <c r="K75" s="112">
        <v>260.8</v>
      </c>
      <c r="L75" s="112">
        <v>28.91</v>
      </c>
      <c r="M75" s="112">
        <v>92.02</v>
      </c>
      <c r="N75" s="112">
        <v>67.599999999999994</v>
      </c>
      <c r="O75" s="112">
        <v>0</v>
      </c>
      <c r="P75" s="112">
        <v>0.41</v>
      </c>
      <c r="Q75" s="112">
        <v>4.7</v>
      </c>
    </row>
    <row r="76" spans="1:17" customFormat="1">
      <c r="A76" s="80">
        <v>45490.708333333336</v>
      </c>
      <c r="B76" s="112">
        <v>9.23</v>
      </c>
      <c r="C76" s="112">
        <v>4.04</v>
      </c>
      <c r="D76" s="112">
        <v>13.96</v>
      </c>
      <c r="E76" s="112">
        <v>10.85</v>
      </c>
      <c r="F76" s="112">
        <v>4.01</v>
      </c>
      <c r="G76" s="112">
        <v>32.08</v>
      </c>
      <c r="H76" s="112">
        <v>7.54</v>
      </c>
      <c r="I76" s="112">
        <v>4.03</v>
      </c>
      <c r="J76" s="112">
        <v>0.38</v>
      </c>
      <c r="K76" s="112">
        <v>263.05</v>
      </c>
      <c r="L76" s="112">
        <v>28.29</v>
      </c>
      <c r="M76" s="112">
        <v>93.51</v>
      </c>
      <c r="N76" s="112">
        <v>19.100000000000001</v>
      </c>
      <c r="O76" s="112">
        <v>0</v>
      </c>
      <c r="P76" s="112">
        <v>0.4</v>
      </c>
      <c r="Q76" s="112">
        <v>4.7</v>
      </c>
    </row>
    <row r="77" spans="1:17" customFormat="1">
      <c r="A77" s="80">
        <v>45490.71875</v>
      </c>
      <c r="B77" s="112">
        <v>9.2200000000000006</v>
      </c>
      <c r="C77" s="112">
        <v>4.05</v>
      </c>
      <c r="D77" s="112">
        <v>13.96</v>
      </c>
      <c r="E77" s="112">
        <v>10.62</v>
      </c>
      <c r="F77" s="112">
        <v>4.47</v>
      </c>
      <c r="G77" s="112">
        <v>32.08</v>
      </c>
      <c r="H77" s="112">
        <v>7.54</v>
      </c>
      <c r="I77" s="112">
        <v>4.0599999999999996</v>
      </c>
      <c r="J77" s="112">
        <v>0.3</v>
      </c>
      <c r="K77" s="112">
        <v>270.02</v>
      </c>
      <c r="L77" s="112">
        <v>28.01</v>
      </c>
      <c r="M77" s="112">
        <v>95.5</v>
      </c>
      <c r="N77" s="112">
        <v>46.9</v>
      </c>
      <c r="O77" s="112">
        <v>0</v>
      </c>
      <c r="P77" s="112">
        <v>0.39</v>
      </c>
      <c r="Q77" s="112">
        <v>4.7</v>
      </c>
    </row>
    <row r="78" spans="1:17" customFormat="1">
      <c r="A78" s="80">
        <v>45490.729166666664</v>
      </c>
      <c r="B78" s="112">
        <v>9.2200000000000006</v>
      </c>
      <c r="C78" s="112">
        <v>4.08</v>
      </c>
      <c r="D78" s="112">
        <v>13.98</v>
      </c>
      <c r="E78" s="112">
        <v>11</v>
      </c>
      <c r="F78" s="112">
        <v>4.95</v>
      </c>
      <c r="G78" s="112">
        <v>31.63</v>
      </c>
      <c r="H78" s="112">
        <v>7.56</v>
      </c>
      <c r="I78" s="112">
        <v>4.08</v>
      </c>
      <c r="J78" s="112">
        <v>0.2</v>
      </c>
      <c r="K78" s="112">
        <v>231.82</v>
      </c>
      <c r="L78" s="112">
        <v>28.23</v>
      </c>
      <c r="M78" s="112">
        <v>95.81</v>
      </c>
      <c r="N78" s="112">
        <v>66.400000000000006</v>
      </c>
      <c r="O78" s="112">
        <v>0</v>
      </c>
      <c r="P78" s="112">
        <v>0.39</v>
      </c>
      <c r="Q78" s="112">
        <v>4.68</v>
      </c>
    </row>
    <row r="79" spans="1:17" customFormat="1">
      <c r="A79" s="80">
        <v>45490.739583333336</v>
      </c>
      <c r="B79" s="112">
        <v>9.2100000000000009</v>
      </c>
      <c r="C79" s="112">
        <v>4.09</v>
      </c>
      <c r="D79" s="112">
        <v>13.97</v>
      </c>
      <c r="E79" s="112">
        <v>10.71</v>
      </c>
      <c r="F79" s="112">
        <v>4.25</v>
      </c>
      <c r="G79" s="112">
        <v>24.1</v>
      </c>
      <c r="H79" s="112">
        <v>7.83</v>
      </c>
      <c r="I79" s="112">
        <v>3.96</v>
      </c>
      <c r="J79" s="112">
        <v>0.21</v>
      </c>
      <c r="K79" s="112">
        <v>259.87</v>
      </c>
      <c r="L79" s="112">
        <v>28.22</v>
      </c>
      <c r="M79" s="112">
        <v>95.86</v>
      </c>
      <c r="N79" s="112">
        <v>60.1</v>
      </c>
      <c r="O79" s="112">
        <v>0</v>
      </c>
      <c r="P79" s="112">
        <v>0.4</v>
      </c>
      <c r="Q79" s="112">
        <v>4.68</v>
      </c>
    </row>
    <row r="80" spans="1:17" customFormat="1">
      <c r="A80" s="80">
        <v>45490.75</v>
      </c>
      <c r="B80" s="112">
        <v>9.2100000000000009</v>
      </c>
      <c r="C80" s="112">
        <v>4.09</v>
      </c>
      <c r="D80" s="112">
        <v>13.98</v>
      </c>
      <c r="E80" s="112">
        <v>11.54</v>
      </c>
      <c r="F80" s="112">
        <v>3.87</v>
      </c>
      <c r="G80" s="112">
        <v>24.1</v>
      </c>
      <c r="H80" s="112">
        <v>7.83</v>
      </c>
      <c r="I80" s="112">
        <v>3.83</v>
      </c>
      <c r="J80" s="112">
        <v>0.28999999999999998</v>
      </c>
      <c r="K80" s="112">
        <v>259.02</v>
      </c>
      <c r="L80" s="112">
        <v>27.98</v>
      </c>
      <c r="M80" s="112">
        <v>93.98</v>
      </c>
      <c r="N80" s="112">
        <v>23.5</v>
      </c>
      <c r="O80" s="112">
        <v>0</v>
      </c>
      <c r="P80" s="112">
        <v>0.37</v>
      </c>
      <c r="Q80" s="112">
        <v>4.68</v>
      </c>
    </row>
    <row r="81" spans="1:17" customFormat="1">
      <c r="A81" s="80">
        <v>45490.760416666664</v>
      </c>
      <c r="B81" s="112">
        <v>9.2100000000000009</v>
      </c>
      <c r="C81" s="112">
        <v>4.05</v>
      </c>
      <c r="D81" s="112">
        <v>13.95</v>
      </c>
      <c r="E81" s="112">
        <v>7.9</v>
      </c>
      <c r="F81" s="112">
        <v>4.1500000000000004</v>
      </c>
      <c r="G81" s="112">
        <v>24.1</v>
      </c>
      <c r="H81" s="112">
        <v>7.83</v>
      </c>
      <c r="I81" s="112">
        <v>3.88</v>
      </c>
      <c r="J81" s="112">
        <v>0.28999999999999998</v>
      </c>
      <c r="K81" s="112">
        <v>264.66000000000003</v>
      </c>
      <c r="L81" s="112">
        <v>27.71</v>
      </c>
      <c r="M81" s="112">
        <v>95.07</v>
      </c>
      <c r="N81" s="112">
        <v>16.100000000000001</v>
      </c>
      <c r="O81" s="112">
        <v>0</v>
      </c>
      <c r="P81" s="112">
        <v>0.37</v>
      </c>
      <c r="Q81" s="112">
        <v>4.68</v>
      </c>
    </row>
    <row r="82" spans="1:17" customFormat="1">
      <c r="A82" s="80">
        <v>45490.770833333336</v>
      </c>
      <c r="B82" s="112">
        <v>9.2100000000000009</v>
      </c>
      <c r="C82" s="112">
        <v>4.07</v>
      </c>
      <c r="D82" s="112">
        <v>13.96</v>
      </c>
      <c r="E82" s="112">
        <v>9.4700000000000006</v>
      </c>
      <c r="F82" s="112">
        <v>5.37</v>
      </c>
      <c r="G82" s="112">
        <v>23.9</v>
      </c>
      <c r="H82" s="112">
        <v>7.7</v>
      </c>
      <c r="I82" s="112">
        <v>3.89</v>
      </c>
      <c r="J82" s="112">
        <v>0.18</v>
      </c>
      <c r="K82" s="112">
        <v>240.23</v>
      </c>
      <c r="L82" s="112">
        <v>27.47</v>
      </c>
      <c r="M82" s="112">
        <v>96.92</v>
      </c>
      <c r="N82" s="112">
        <v>7.1</v>
      </c>
      <c r="O82" s="112">
        <v>0</v>
      </c>
      <c r="P82" s="112">
        <v>0.41</v>
      </c>
      <c r="Q82" s="112">
        <v>4.6900000000000004</v>
      </c>
    </row>
    <row r="83" spans="1:17" customFormat="1">
      <c r="A83" s="80">
        <v>45490.78125</v>
      </c>
      <c r="B83" s="112">
        <v>9.23</v>
      </c>
      <c r="C83" s="112">
        <v>4.05</v>
      </c>
      <c r="D83" s="112">
        <v>13.96</v>
      </c>
      <c r="E83" s="112">
        <v>9.92</v>
      </c>
      <c r="F83" s="112">
        <v>5.51</v>
      </c>
      <c r="G83" s="112">
        <v>20.420000000000002</v>
      </c>
      <c r="H83" s="112">
        <v>5.77</v>
      </c>
      <c r="I83" s="112">
        <v>3.78</v>
      </c>
      <c r="J83" s="112">
        <v>0.25</v>
      </c>
      <c r="K83" s="112">
        <v>261.07</v>
      </c>
      <c r="L83" s="112">
        <v>27.39</v>
      </c>
      <c r="M83" s="112">
        <v>97.13</v>
      </c>
      <c r="N83" s="112">
        <v>2.8</v>
      </c>
      <c r="O83" s="112">
        <v>0</v>
      </c>
      <c r="P83" s="112">
        <v>0.42</v>
      </c>
      <c r="Q83" s="112">
        <v>4.68</v>
      </c>
    </row>
    <row r="84" spans="1:17" customFormat="1">
      <c r="A84" s="80">
        <v>45490.791666666664</v>
      </c>
      <c r="B84" s="112">
        <v>9.26</v>
      </c>
      <c r="C84" s="112">
        <v>4.05</v>
      </c>
      <c r="D84" s="112">
        <v>13.99</v>
      </c>
      <c r="E84" s="112">
        <v>9.25</v>
      </c>
      <c r="F84" s="112">
        <v>6.63</v>
      </c>
      <c r="G84" s="112">
        <v>20.420000000000002</v>
      </c>
      <c r="H84" s="112">
        <v>5.77</v>
      </c>
      <c r="I84" s="112">
        <v>3.71</v>
      </c>
      <c r="J84" s="112">
        <v>0.44</v>
      </c>
      <c r="K84" s="112">
        <v>272.70999999999998</v>
      </c>
      <c r="L84" s="112">
        <v>27.28</v>
      </c>
      <c r="M84" s="112">
        <v>96.02</v>
      </c>
      <c r="N84" s="112">
        <v>2.4</v>
      </c>
      <c r="O84" s="112">
        <v>0</v>
      </c>
      <c r="P84" s="112">
        <v>0.4</v>
      </c>
      <c r="Q84" s="112">
        <v>4.6900000000000004</v>
      </c>
    </row>
    <row r="85" spans="1:17" customFormat="1">
      <c r="A85" s="80">
        <v>45490.802083333336</v>
      </c>
      <c r="B85" s="112">
        <v>9.24</v>
      </c>
      <c r="C85" s="112">
        <v>4.08</v>
      </c>
      <c r="D85" s="112">
        <v>13.99</v>
      </c>
      <c r="E85" s="112">
        <v>8.6</v>
      </c>
      <c r="F85" s="112">
        <v>7.48</v>
      </c>
      <c r="G85" s="112">
        <v>20.420000000000002</v>
      </c>
      <c r="H85" s="112">
        <v>5.77</v>
      </c>
      <c r="I85" s="112">
        <v>3.71</v>
      </c>
      <c r="J85" s="112">
        <v>0.39</v>
      </c>
      <c r="K85" s="112">
        <v>270.56</v>
      </c>
      <c r="L85" s="112">
        <v>27.18</v>
      </c>
      <c r="M85" s="112">
        <v>93.85</v>
      </c>
      <c r="N85" s="112">
        <v>2.4</v>
      </c>
      <c r="O85" s="112">
        <v>0</v>
      </c>
      <c r="P85" s="112">
        <v>0.4</v>
      </c>
      <c r="Q85" s="112">
        <v>4.6900000000000004</v>
      </c>
    </row>
    <row r="86" spans="1:17" customFormat="1">
      <c r="A86" s="80">
        <v>45490.8125</v>
      </c>
      <c r="B86" s="112">
        <v>9.23</v>
      </c>
      <c r="C86" s="112">
        <v>4.0599999999999996</v>
      </c>
      <c r="D86" s="112">
        <v>13.97</v>
      </c>
      <c r="E86" s="112">
        <v>8.08</v>
      </c>
      <c r="F86" s="112">
        <v>9.01</v>
      </c>
      <c r="G86" s="112">
        <v>20.100000000000001</v>
      </c>
      <c r="H86" s="112">
        <v>5.68</v>
      </c>
      <c r="I86" s="112">
        <v>3.72</v>
      </c>
      <c r="J86" s="112">
        <v>0.45</v>
      </c>
      <c r="K86" s="112">
        <v>274.02999999999997</v>
      </c>
      <c r="L86" s="112">
        <v>27.09</v>
      </c>
      <c r="M86" s="112">
        <v>94.4</v>
      </c>
      <c r="N86" s="112">
        <v>2.2999999999999998</v>
      </c>
      <c r="O86" s="112">
        <v>0</v>
      </c>
      <c r="P86" s="112">
        <v>0.39</v>
      </c>
      <c r="Q86" s="112">
        <v>4.68</v>
      </c>
    </row>
    <row r="87" spans="1:17" customFormat="1">
      <c r="A87" s="80">
        <v>45490.822916666664</v>
      </c>
      <c r="B87" s="112">
        <v>9.23</v>
      </c>
      <c r="C87" s="112">
        <v>4.08</v>
      </c>
      <c r="D87" s="112">
        <v>13.98</v>
      </c>
      <c r="E87" s="112">
        <v>7.43</v>
      </c>
      <c r="F87" s="112">
        <v>9.07</v>
      </c>
      <c r="G87" s="112">
        <v>14.69</v>
      </c>
      <c r="H87" s="112">
        <v>4.37</v>
      </c>
      <c r="I87" s="112">
        <v>3.67</v>
      </c>
      <c r="J87" s="112">
        <v>0.25</v>
      </c>
      <c r="K87" s="112">
        <v>268.55</v>
      </c>
      <c r="L87" s="112">
        <v>26.99</v>
      </c>
      <c r="M87" s="112">
        <v>95.28</v>
      </c>
      <c r="N87" s="112">
        <v>2.2999999999999998</v>
      </c>
      <c r="O87" s="112">
        <v>0</v>
      </c>
      <c r="P87" s="112">
        <v>0.38</v>
      </c>
      <c r="Q87" s="112">
        <v>4.6900000000000004</v>
      </c>
    </row>
    <row r="88" spans="1:17" customFormat="1">
      <c r="A88" s="80">
        <v>45490.833333333336</v>
      </c>
      <c r="B88" s="112">
        <v>9.23</v>
      </c>
      <c r="C88" s="112">
        <v>4.0599999999999996</v>
      </c>
      <c r="D88" s="112">
        <v>13.97</v>
      </c>
      <c r="E88" s="112">
        <v>7.34</v>
      </c>
      <c r="F88" s="112">
        <v>7.23</v>
      </c>
      <c r="G88" s="112">
        <v>14.69</v>
      </c>
      <c r="H88" s="112">
        <v>4.37</v>
      </c>
      <c r="I88" s="112">
        <v>3.67</v>
      </c>
      <c r="J88" s="112">
        <v>0.52</v>
      </c>
      <c r="K88" s="112">
        <v>276.43</v>
      </c>
      <c r="L88" s="112">
        <v>26.87</v>
      </c>
      <c r="M88" s="112">
        <v>95.92</v>
      </c>
      <c r="N88" s="112">
        <v>2.2999999999999998</v>
      </c>
      <c r="O88" s="112">
        <v>0</v>
      </c>
      <c r="P88" s="112">
        <v>0.38</v>
      </c>
      <c r="Q88" s="112">
        <v>4.6900000000000004</v>
      </c>
    </row>
    <row r="89" spans="1:17" customFormat="1">
      <c r="A89" s="80">
        <v>45490.84375</v>
      </c>
      <c r="B89" s="112">
        <v>9.2200000000000006</v>
      </c>
      <c r="C89" s="112">
        <v>4.05</v>
      </c>
      <c r="D89" s="112">
        <v>13.96</v>
      </c>
      <c r="E89" s="112">
        <v>7.19</v>
      </c>
      <c r="F89" s="112">
        <v>7.8</v>
      </c>
      <c r="G89" s="112">
        <v>14.69</v>
      </c>
      <c r="H89" s="112">
        <v>4.37</v>
      </c>
      <c r="I89" s="112">
        <v>3.7</v>
      </c>
      <c r="J89" s="112">
        <v>0.39</v>
      </c>
      <c r="K89" s="112">
        <v>280.10000000000002</v>
      </c>
      <c r="L89" s="112">
        <v>26.81</v>
      </c>
      <c r="M89" s="112">
        <v>95.92</v>
      </c>
      <c r="N89" s="112">
        <v>2.2000000000000002</v>
      </c>
      <c r="O89" s="112">
        <v>0</v>
      </c>
      <c r="P89" s="112">
        <v>0.38</v>
      </c>
      <c r="Q89" s="112">
        <v>4.6900000000000004</v>
      </c>
    </row>
    <row r="90" spans="1:17" customFormat="1">
      <c r="A90" s="80">
        <v>45490.854166666664</v>
      </c>
      <c r="B90" s="112">
        <v>9.23</v>
      </c>
      <c r="C90" s="112">
        <v>4.05</v>
      </c>
      <c r="D90" s="112">
        <v>13.97</v>
      </c>
      <c r="E90" s="112">
        <v>6.99</v>
      </c>
      <c r="F90" s="112">
        <v>8.98</v>
      </c>
      <c r="G90" s="112">
        <v>14.61</v>
      </c>
      <c r="H90" s="112">
        <v>4.3099999999999996</v>
      </c>
      <c r="I90" s="112">
        <v>3.75</v>
      </c>
      <c r="J90" s="112">
        <v>0.4</v>
      </c>
      <c r="K90" s="112">
        <v>273.52999999999997</v>
      </c>
      <c r="L90" s="112">
        <v>26.8</v>
      </c>
      <c r="M90" s="112">
        <v>96.29</v>
      </c>
      <c r="N90" s="112">
        <v>2.2000000000000002</v>
      </c>
      <c r="O90" s="112">
        <v>0</v>
      </c>
      <c r="P90" s="112">
        <v>0.39</v>
      </c>
      <c r="Q90" s="112">
        <v>4.6900000000000004</v>
      </c>
    </row>
    <row r="91" spans="1:17" customFormat="1">
      <c r="A91" s="80">
        <v>45490.864583333336</v>
      </c>
      <c r="B91" s="112">
        <v>9.2200000000000006</v>
      </c>
      <c r="C91" s="112">
        <v>4.08</v>
      </c>
      <c r="D91" s="112">
        <v>13.97</v>
      </c>
      <c r="E91" s="112">
        <v>6.73</v>
      </c>
      <c r="F91" s="112">
        <v>8.26</v>
      </c>
      <c r="G91" s="112">
        <v>13.24</v>
      </c>
      <c r="H91" s="112">
        <v>3.46</v>
      </c>
      <c r="I91" s="112">
        <v>3.73</v>
      </c>
      <c r="J91" s="112">
        <v>0.22</v>
      </c>
      <c r="K91" s="112">
        <v>252.42</v>
      </c>
      <c r="L91" s="112">
        <v>26.85</v>
      </c>
      <c r="M91" s="112">
        <v>97.2</v>
      </c>
      <c r="N91" s="112">
        <v>2.1</v>
      </c>
      <c r="O91" s="112">
        <v>0</v>
      </c>
      <c r="P91" s="112">
        <v>0.38</v>
      </c>
      <c r="Q91" s="112">
        <v>4.71</v>
      </c>
    </row>
    <row r="92" spans="1:17" customFormat="1">
      <c r="A92" s="80">
        <v>45490.875</v>
      </c>
      <c r="B92" s="112">
        <v>9.2200000000000006</v>
      </c>
      <c r="C92" s="112">
        <v>4.1100000000000003</v>
      </c>
      <c r="D92" s="112">
        <v>13.99</v>
      </c>
      <c r="E92" s="112">
        <v>7.33</v>
      </c>
      <c r="F92" s="112">
        <v>7.95</v>
      </c>
      <c r="G92" s="112">
        <v>13.24</v>
      </c>
      <c r="H92" s="112">
        <v>3.46</v>
      </c>
      <c r="I92" s="112">
        <v>3.63</v>
      </c>
      <c r="J92" s="112">
        <v>0.28000000000000003</v>
      </c>
      <c r="K92" s="112">
        <v>267.97000000000003</v>
      </c>
      <c r="L92" s="112">
        <v>26.79</v>
      </c>
      <c r="M92" s="112">
        <v>97.37</v>
      </c>
      <c r="N92" s="112">
        <v>2.1</v>
      </c>
      <c r="O92" s="112">
        <v>0</v>
      </c>
      <c r="P92" s="112">
        <v>0.38</v>
      </c>
      <c r="Q92" s="112">
        <v>4.7</v>
      </c>
    </row>
    <row r="93" spans="1:17" customFormat="1">
      <c r="A93" s="80">
        <v>45490.885416666664</v>
      </c>
      <c r="B93" s="112">
        <v>9.2200000000000006</v>
      </c>
      <c r="C93" s="112">
        <v>4.09</v>
      </c>
      <c r="D93" s="112">
        <v>13.98</v>
      </c>
      <c r="E93" s="112">
        <v>6.85</v>
      </c>
      <c r="F93" s="112">
        <v>8.16</v>
      </c>
      <c r="G93" s="112">
        <v>13.24</v>
      </c>
      <c r="H93" s="112">
        <v>3.46</v>
      </c>
      <c r="I93" s="112">
        <v>3.59</v>
      </c>
      <c r="J93" s="112">
        <v>0.23</v>
      </c>
      <c r="K93" s="112">
        <v>261.86</v>
      </c>
      <c r="L93" s="112">
        <v>26.83</v>
      </c>
      <c r="M93" s="112">
        <v>96.64</v>
      </c>
      <c r="N93" s="112">
        <v>2.1</v>
      </c>
      <c r="O93" s="112">
        <v>0</v>
      </c>
      <c r="P93" s="112">
        <v>0.38</v>
      </c>
      <c r="Q93" s="112">
        <v>4.7</v>
      </c>
    </row>
    <row r="94" spans="1:17" customFormat="1">
      <c r="A94" s="80">
        <v>45490.895833333336</v>
      </c>
      <c r="B94" s="112">
        <v>9.2200000000000006</v>
      </c>
      <c r="C94" s="112">
        <v>4.07</v>
      </c>
      <c r="D94" s="112">
        <v>13.98</v>
      </c>
      <c r="E94" s="112">
        <v>6.47</v>
      </c>
      <c r="F94" s="112">
        <v>9.35</v>
      </c>
      <c r="G94" s="112">
        <v>13.04</v>
      </c>
      <c r="H94" s="112">
        <v>3.42</v>
      </c>
      <c r="I94" s="112">
        <v>3.64</v>
      </c>
      <c r="J94" s="112">
        <v>0.13</v>
      </c>
      <c r="K94" s="112">
        <v>237.33</v>
      </c>
      <c r="L94" s="112">
        <v>26.81</v>
      </c>
      <c r="M94" s="112">
        <v>95.52</v>
      </c>
      <c r="N94" s="112">
        <v>2.2000000000000002</v>
      </c>
      <c r="O94" s="112">
        <v>0</v>
      </c>
      <c r="P94" s="112">
        <v>0.37</v>
      </c>
      <c r="Q94" s="112">
        <v>4.6900000000000004</v>
      </c>
    </row>
    <row r="95" spans="1:17" customFormat="1">
      <c r="A95" s="80">
        <v>45490.90625</v>
      </c>
      <c r="B95" s="112">
        <v>9.24</v>
      </c>
      <c r="C95" s="112">
        <v>4.05</v>
      </c>
      <c r="D95" s="112">
        <v>13.97</v>
      </c>
      <c r="E95" s="112">
        <v>6.57</v>
      </c>
      <c r="F95" s="112">
        <v>8.73</v>
      </c>
      <c r="G95" s="112">
        <v>9.64</v>
      </c>
      <c r="H95" s="112">
        <v>2.9</v>
      </c>
      <c r="I95" s="112">
        <v>3.57</v>
      </c>
      <c r="J95" s="112">
        <v>0.15</v>
      </c>
      <c r="K95" s="112">
        <v>234.81</v>
      </c>
      <c r="L95" s="112">
        <v>26.61</v>
      </c>
      <c r="M95" s="112">
        <v>96.58</v>
      </c>
      <c r="N95" s="112">
        <v>2.2000000000000002</v>
      </c>
      <c r="O95" s="112">
        <v>0</v>
      </c>
      <c r="P95" s="112">
        <v>0.36</v>
      </c>
      <c r="Q95" s="112">
        <v>4.6900000000000004</v>
      </c>
    </row>
    <row r="96" spans="1:17" customFormat="1">
      <c r="A96" s="80">
        <v>45490.916666666664</v>
      </c>
      <c r="B96" s="112">
        <v>9.24</v>
      </c>
      <c r="C96" s="112">
        <v>4.05</v>
      </c>
      <c r="D96" s="112">
        <v>13.98</v>
      </c>
      <c r="E96" s="112">
        <v>6.42</v>
      </c>
      <c r="F96" s="112">
        <v>8.5399999999999991</v>
      </c>
      <c r="G96" s="112">
        <v>9.64</v>
      </c>
      <c r="H96" s="112">
        <v>2.9</v>
      </c>
      <c r="I96" s="112">
        <v>3.25</v>
      </c>
      <c r="J96" s="112">
        <v>0.13</v>
      </c>
      <c r="K96" s="112">
        <v>252.72</v>
      </c>
      <c r="L96" s="112">
        <v>26.66</v>
      </c>
      <c r="M96" s="112">
        <v>96.92</v>
      </c>
      <c r="N96" s="112">
        <v>2.1</v>
      </c>
      <c r="O96" s="112">
        <v>0</v>
      </c>
      <c r="P96" s="112">
        <v>0.35</v>
      </c>
      <c r="Q96" s="112">
        <v>4.6900000000000004</v>
      </c>
    </row>
    <row r="97" spans="1:22" customFormat="1">
      <c r="A97" s="80">
        <v>45490.927083333336</v>
      </c>
      <c r="B97" s="112">
        <v>9.24</v>
      </c>
      <c r="C97" s="112">
        <v>4.07</v>
      </c>
      <c r="D97" s="112">
        <v>13.99</v>
      </c>
      <c r="E97" s="112">
        <v>6.42</v>
      </c>
      <c r="F97" s="112">
        <v>8.8000000000000007</v>
      </c>
      <c r="G97" s="112">
        <v>9.64</v>
      </c>
      <c r="H97" s="112">
        <v>2.9</v>
      </c>
      <c r="I97" s="112">
        <v>3.36</v>
      </c>
      <c r="J97" s="112">
        <v>0.15</v>
      </c>
      <c r="K97" s="112">
        <v>244.16</v>
      </c>
      <c r="L97" s="112">
        <v>26.68</v>
      </c>
      <c r="M97" s="112">
        <v>97.67</v>
      </c>
      <c r="N97" s="112">
        <v>2.1</v>
      </c>
      <c r="O97" s="112">
        <v>0</v>
      </c>
      <c r="P97" s="112">
        <v>0.36</v>
      </c>
      <c r="Q97" s="112">
        <v>4.6900000000000004</v>
      </c>
    </row>
    <row r="98" spans="1:22" customFormat="1">
      <c r="A98" s="80">
        <v>45490.9375</v>
      </c>
      <c r="B98" s="112">
        <v>9.2200000000000006</v>
      </c>
      <c r="C98" s="112">
        <v>4.09</v>
      </c>
      <c r="D98" s="112">
        <v>13.98</v>
      </c>
      <c r="E98" s="112">
        <v>6.08</v>
      </c>
      <c r="F98" s="112">
        <v>10.220000000000001</v>
      </c>
      <c r="G98" s="112">
        <v>9.56</v>
      </c>
      <c r="H98" s="112">
        <v>2.86</v>
      </c>
      <c r="I98" s="112">
        <v>3.17</v>
      </c>
      <c r="J98" s="112">
        <v>0.22</v>
      </c>
      <c r="K98" s="112">
        <v>265.07</v>
      </c>
      <c r="L98" s="112">
        <v>26.62</v>
      </c>
      <c r="M98" s="112">
        <v>97.7</v>
      </c>
      <c r="N98" s="112">
        <v>2.1</v>
      </c>
      <c r="O98" s="112">
        <v>0</v>
      </c>
      <c r="P98" s="112">
        <v>0.35</v>
      </c>
      <c r="Q98" s="112">
        <v>4.6900000000000004</v>
      </c>
    </row>
    <row r="99" spans="1:22" customFormat="1">
      <c r="A99" s="80">
        <v>45490.947916666664</v>
      </c>
      <c r="B99" s="112">
        <v>9.2200000000000006</v>
      </c>
      <c r="C99" s="112">
        <v>4.08</v>
      </c>
      <c r="D99" s="112">
        <v>13.98</v>
      </c>
      <c r="E99" s="112">
        <v>6.05</v>
      </c>
      <c r="F99" s="112">
        <v>8.31</v>
      </c>
      <c r="G99" s="112">
        <v>8.19</v>
      </c>
      <c r="H99" s="112">
        <v>2.23</v>
      </c>
      <c r="I99" s="112">
        <v>3.36</v>
      </c>
      <c r="J99" s="112">
        <v>7.0000000000000007E-2</v>
      </c>
      <c r="K99" s="112">
        <v>216.61</v>
      </c>
      <c r="L99" s="112">
        <v>26.65</v>
      </c>
      <c r="M99" s="112">
        <v>97.04</v>
      </c>
      <c r="N99" s="112">
        <v>2.1</v>
      </c>
      <c r="O99" s="112">
        <v>0</v>
      </c>
      <c r="P99" s="112">
        <v>0.36</v>
      </c>
      <c r="Q99" s="112">
        <v>4.7</v>
      </c>
    </row>
    <row r="100" spans="1:22" customFormat="1">
      <c r="A100" s="80">
        <v>45490.958333333336</v>
      </c>
      <c r="B100" s="112">
        <v>9.23</v>
      </c>
      <c r="C100" s="112">
        <v>4.08</v>
      </c>
      <c r="D100" s="112">
        <v>13.98</v>
      </c>
      <c r="E100" s="112">
        <v>6.54</v>
      </c>
      <c r="F100" s="112">
        <v>7.42</v>
      </c>
      <c r="G100" s="112">
        <v>8.19</v>
      </c>
      <c r="H100" s="112">
        <v>2.23</v>
      </c>
      <c r="I100" s="112">
        <v>3.27</v>
      </c>
      <c r="J100" s="112">
        <v>0.13</v>
      </c>
      <c r="K100" s="112">
        <v>262.58</v>
      </c>
      <c r="L100" s="112">
        <v>26.57</v>
      </c>
      <c r="M100" s="112">
        <v>97.28</v>
      </c>
      <c r="N100" s="112">
        <v>2.1</v>
      </c>
      <c r="O100" s="112">
        <v>0</v>
      </c>
      <c r="P100" s="112">
        <v>0.35</v>
      </c>
      <c r="Q100" s="112">
        <v>4.7</v>
      </c>
    </row>
    <row r="101" spans="1:22" customFormat="1">
      <c r="A101" s="80">
        <v>45490.96875</v>
      </c>
      <c r="B101" s="112">
        <v>9.25</v>
      </c>
      <c r="C101" s="112">
        <v>4.05</v>
      </c>
      <c r="D101" s="112">
        <v>13.99</v>
      </c>
      <c r="E101" s="112">
        <v>7.13</v>
      </c>
      <c r="F101" s="112">
        <v>6.27</v>
      </c>
      <c r="G101" s="112">
        <v>8.19</v>
      </c>
      <c r="H101" s="112">
        <v>2.23</v>
      </c>
      <c r="I101" s="112">
        <v>3.34</v>
      </c>
      <c r="J101" s="112">
        <v>0.11</v>
      </c>
      <c r="K101" s="112">
        <v>235.67</v>
      </c>
      <c r="L101" s="112">
        <v>26.55</v>
      </c>
      <c r="M101" s="112">
        <v>97.51</v>
      </c>
      <c r="N101" s="112">
        <v>2.1</v>
      </c>
      <c r="O101" s="112">
        <v>0</v>
      </c>
      <c r="P101" s="112">
        <v>0.35</v>
      </c>
      <c r="Q101" s="112">
        <v>4.7</v>
      </c>
    </row>
    <row r="102" spans="1:22" customFormat="1">
      <c r="A102" s="80">
        <v>45490.979166666664</v>
      </c>
      <c r="B102" s="112">
        <v>9.25</v>
      </c>
      <c r="C102" s="112">
        <v>4.0599999999999996</v>
      </c>
      <c r="D102" s="112">
        <v>13.99</v>
      </c>
      <c r="E102" s="112">
        <v>7.6</v>
      </c>
      <c r="F102" s="112">
        <v>5.4</v>
      </c>
      <c r="G102" s="112">
        <v>8.09</v>
      </c>
      <c r="H102" s="112">
        <v>2.23</v>
      </c>
      <c r="I102" s="112">
        <v>3.54</v>
      </c>
      <c r="J102" s="112">
        <v>0.17</v>
      </c>
      <c r="K102" s="112">
        <v>232.47</v>
      </c>
      <c r="L102" s="112">
        <v>26.63</v>
      </c>
      <c r="M102" s="112">
        <v>97.21</v>
      </c>
      <c r="N102" s="112">
        <v>2.1</v>
      </c>
      <c r="O102" s="112">
        <v>0</v>
      </c>
      <c r="P102" s="112">
        <v>0.35</v>
      </c>
      <c r="Q102" s="112">
        <v>4.6900000000000004</v>
      </c>
    </row>
    <row r="103" spans="1:22" customFormat="1">
      <c r="A103" s="80">
        <v>45490.989583333336</v>
      </c>
      <c r="B103" s="112">
        <v>9.26</v>
      </c>
      <c r="C103" s="112">
        <v>4.0199999999999996</v>
      </c>
      <c r="D103" s="112">
        <v>13.97</v>
      </c>
      <c r="E103" s="112">
        <v>7.62</v>
      </c>
      <c r="F103" s="112">
        <v>5.0599999999999996</v>
      </c>
      <c r="G103" s="112">
        <v>6.33</v>
      </c>
      <c r="H103" s="112">
        <v>2.29</v>
      </c>
      <c r="I103" s="112">
        <v>3.4</v>
      </c>
      <c r="J103" s="112">
        <v>0.51</v>
      </c>
      <c r="K103" s="112">
        <v>274.37</v>
      </c>
      <c r="L103" s="112">
        <v>26.6</v>
      </c>
      <c r="M103" s="112">
        <v>95.12</v>
      </c>
      <c r="N103" s="112">
        <v>2.2999999999999998</v>
      </c>
      <c r="O103" s="112">
        <v>0</v>
      </c>
      <c r="P103" s="112">
        <v>0.35</v>
      </c>
      <c r="Q103" s="112">
        <v>4.7</v>
      </c>
    </row>
    <row r="104" spans="1:22" customFormat="1">
      <c r="A104" s="80">
        <v>45491</v>
      </c>
      <c r="B104" s="112">
        <v>9.25</v>
      </c>
      <c r="C104" s="112">
        <v>4.0599999999999996</v>
      </c>
      <c r="D104" s="112">
        <v>13.98</v>
      </c>
      <c r="E104" s="112">
        <v>8</v>
      </c>
      <c r="F104" s="112">
        <v>4.6100000000000003</v>
      </c>
      <c r="G104" s="112">
        <v>6.33</v>
      </c>
      <c r="H104" s="112">
        <v>2.29</v>
      </c>
      <c r="I104" s="112">
        <v>3.37</v>
      </c>
      <c r="J104" s="112">
        <v>0.45</v>
      </c>
      <c r="K104" s="112">
        <v>272.85000000000002</v>
      </c>
      <c r="L104" s="112">
        <v>26.46</v>
      </c>
      <c r="M104" s="112">
        <v>93.45</v>
      </c>
      <c r="N104" s="112">
        <v>2.4</v>
      </c>
      <c r="O104" s="112">
        <v>0</v>
      </c>
      <c r="P104" s="112">
        <v>0.34</v>
      </c>
      <c r="Q104" s="112">
        <v>4.7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9.18</v>
      </c>
      <c r="C106" s="183">
        <f>MIN(C9:C104)</f>
        <v>4.0199999999999996</v>
      </c>
      <c r="D106" s="183">
        <f t="shared" ref="D106:Q106" si="0">MIN(D9:D104)</f>
        <v>13.95</v>
      </c>
      <c r="E106" s="183">
        <f t="shared" si="0"/>
        <v>6.05</v>
      </c>
      <c r="F106" s="183">
        <f t="shared" si="0"/>
        <v>3.2</v>
      </c>
      <c r="G106" s="183">
        <f t="shared" si="0"/>
        <v>6.33</v>
      </c>
      <c r="H106" s="183">
        <f t="shared" si="0"/>
        <v>2.23</v>
      </c>
      <c r="I106" s="183">
        <f t="shared" si="0"/>
        <v>3.17</v>
      </c>
      <c r="J106" s="183">
        <f t="shared" si="0"/>
        <v>7.0000000000000007E-2</v>
      </c>
      <c r="K106" s="183">
        <f t="shared" si="0"/>
        <v>8.27</v>
      </c>
      <c r="L106" s="183">
        <f t="shared" si="0"/>
        <v>25.67</v>
      </c>
      <c r="M106" s="183">
        <f t="shared" si="0"/>
        <v>69.05</v>
      </c>
      <c r="N106" s="183">
        <f t="shared" si="0"/>
        <v>2.1</v>
      </c>
      <c r="O106" s="183">
        <f t="shared" si="0"/>
        <v>0</v>
      </c>
      <c r="P106" s="183">
        <f t="shared" si="0"/>
        <v>0.33</v>
      </c>
      <c r="Q106" s="183">
        <f t="shared" si="0"/>
        <v>4.67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9.32</v>
      </c>
      <c r="C107" s="184">
        <f t="shared" ref="C107:Q107" si="1">MAX(C9:C104)</f>
        <v>4.1100000000000003</v>
      </c>
      <c r="D107" s="184">
        <f t="shared" si="1"/>
        <v>14.06</v>
      </c>
      <c r="E107" s="184">
        <f t="shared" si="1"/>
        <v>13.48</v>
      </c>
      <c r="F107" s="184">
        <f t="shared" si="1"/>
        <v>16.64</v>
      </c>
      <c r="G107" s="184">
        <f t="shared" si="1"/>
        <v>33.42</v>
      </c>
      <c r="H107" s="184">
        <f t="shared" si="1"/>
        <v>13.72</v>
      </c>
      <c r="I107" s="184">
        <f t="shared" si="1"/>
        <v>4.37</v>
      </c>
      <c r="J107" s="184">
        <f t="shared" si="1"/>
        <v>2.37</v>
      </c>
      <c r="K107" s="184">
        <f t="shared" si="1"/>
        <v>346.91</v>
      </c>
      <c r="L107" s="184">
        <f t="shared" si="1"/>
        <v>33.31</v>
      </c>
      <c r="M107" s="184">
        <f t="shared" si="1"/>
        <v>103.19</v>
      </c>
      <c r="N107" s="184">
        <f t="shared" si="1"/>
        <v>510.9</v>
      </c>
      <c r="O107" s="184">
        <f t="shared" si="1"/>
        <v>8.4</v>
      </c>
      <c r="P107" s="184">
        <f t="shared" si="1"/>
        <v>0.47</v>
      </c>
      <c r="Q107" s="184">
        <f t="shared" si="1"/>
        <v>4.71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9.2344791666666755</v>
      </c>
      <c r="C108" s="183">
        <f t="shared" ref="C108:Q108" si="2">AVERAGE(C9:C104)</f>
        <v>4.0692708333333334</v>
      </c>
      <c r="D108" s="183">
        <f t="shared" si="2"/>
        <v>13.981041666666675</v>
      </c>
      <c r="E108" s="183">
        <f t="shared" si="2"/>
        <v>9.0678125000000058</v>
      </c>
      <c r="F108" s="183">
        <f t="shared" si="2"/>
        <v>6.7674999999999992</v>
      </c>
      <c r="G108" s="183">
        <f t="shared" si="2"/>
        <v>15.587083333333332</v>
      </c>
      <c r="H108" s="183">
        <f t="shared" si="2"/>
        <v>5.7683333333333335</v>
      </c>
      <c r="I108" s="183">
        <f t="shared" si="2"/>
        <v>3.7637499999999982</v>
      </c>
      <c r="J108" s="183">
        <f t="shared" si="2"/>
        <v>0.32677083333333329</v>
      </c>
      <c r="K108" s="183">
        <f t="shared" si="2"/>
        <v>206.86708333333343</v>
      </c>
      <c r="L108" s="183">
        <f t="shared" si="2"/>
        <v>27.96479166666666</v>
      </c>
      <c r="M108" s="183">
        <f t="shared" si="2"/>
        <v>94.261458333333351</v>
      </c>
      <c r="N108" s="183">
        <f t="shared" si="2"/>
        <v>72.68333333333338</v>
      </c>
      <c r="O108" s="183">
        <f t="shared" si="2"/>
        <v>0.25416666666666665</v>
      </c>
      <c r="P108" s="183">
        <f t="shared" si="2"/>
        <v>0.37979166666666681</v>
      </c>
      <c r="Q108" s="183">
        <f t="shared" si="2"/>
        <v>4.6905208333333306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2.3163937110433859E-2</v>
      </c>
      <c r="C109" s="183">
        <f t="shared" ref="C109:Q109" si="3">STDEV(C9:C104)</f>
        <v>1.6811323982217772E-2</v>
      </c>
      <c r="D109" s="183">
        <f t="shared" si="3"/>
        <v>1.9492463680891428E-2</v>
      </c>
      <c r="E109" s="183">
        <f t="shared" si="3"/>
        <v>1.579204465362517</v>
      </c>
      <c r="F109" s="183">
        <f t="shared" si="3"/>
        <v>2.5975194644932058</v>
      </c>
      <c r="G109" s="183">
        <f t="shared" si="3"/>
        <v>7.4858393920460742</v>
      </c>
      <c r="H109" s="183">
        <f t="shared" si="3"/>
        <v>2.5590325748802472</v>
      </c>
      <c r="I109" s="183">
        <f t="shared" si="3"/>
        <v>0.30401956308248129</v>
      </c>
      <c r="J109" s="183">
        <f t="shared" si="3"/>
        <v>0.32318642100078759</v>
      </c>
      <c r="K109" s="183">
        <f t="shared" si="3"/>
        <v>84.258806591629153</v>
      </c>
      <c r="L109" s="183">
        <f t="shared" si="3"/>
        <v>1.7331170453788558</v>
      </c>
      <c r="M109" s="183">
        <f t="shared" si="3"/>
        <v>7.8634265972840058</v>
      </c>
      <c r="N109" s="183">
        <f t="shared" si="3"/>
        <v>106.81707104515954</v>
      </c>
      <c r="O109" s="183">
        <f t="shared" si="3"/>
        <v>1.2200014380204351</v>
      </c>
      <c r="P109" s="183">
        <f t="shared" si="3"/>
        <v>3.333969237589407E-2</v>
      </c>
      <c r="Q109" s="183">
        <f t="shared" si="3"/>
        <v>7.8632779647472093E-3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8" activePane="bottomRight" state="frozen"/>
      <selection activeCell="A9" sqref="A9"/>
      <selection pane="topRight" activeCell="A9" sqref="A9"/>
      <selection pane="bottomLeft" activeCell="A9" sqref="A9"/>
      <selection pane="bottomRight" activeCell="E111" sqref="E111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45491.010416666664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45491.010416666664</v>
      </c>
      <c r="B9" s="112">
        <v>9.2200000000000006</v>
      </c>
      <c r="C9" s="112">
        <v>4.08</v>
      </c>
      <c r="D9" s="112">
        <v>13.97</v>
      </c>
      <c r="E9" s="112">
        <v>8.14</v>
      </c>
      <c r="F9" s="112">
        <v>4.43</v>
      </c>
      <c r="G9" s="112">
        <v>6.33</v>
      </c>
      <c r="H9" s="112">
        <v>2.29</v>
      </c>
      <c r="I9" s="112">
        <v>3.36</v>
      </c>
      <c r="J9" s="112">
        <v>0.49</v>
      </c>
      <c r="K9" s="112">
        <v>274.81</v>
      </c>
      <c r="L9" s="112">
        <v>26.22</v>
      </c>
      <c r="M9" s="112">
        <v>94.42</v>
      </c>
      <c r="N9" s="112">
        <v>2.2999999999999998</v>
      </c>
      <c r="O9" s="112">
        <v>0</v>
      </c>
      <c r="P9" s="112">
        <v>0.34</v>
      </c>
      <c r="Q9" s="112">
        <v>4.6900000000000004</v>
      </c>
    </row>
    <row r="10" spans="1:21" customFormat="1">
      <c r="A10" s="80">
        <v>45491.020833333336</v>
      </c>
      <c r="B10" s="112">
        <v>9.2100000000000009</v>
      </c>
      <c r="C10" s="112">
        <v>4.0999999999999996</v>
      </c>
      <c r="D10" s="112">
        <v>13.98</v>
      </c>
      <c r="E10" s="112">
        <v>8.64</v>
      </c>
      <c r="F10" s="112">
        <v>5.32</v>
      </c>
      <c r="G10" s="112">
        <v>6.33</v>
      </c>
      <c r="H10" s="112">
        <v>2.25</v>
      </c>
      <c r="I10" s="112">
        <v>3.35</v>
      </c>
      <c r="J10" s="112">
        <v>0.55000000000000004</v>
      </c>
      <c r="K10" s="112">
        <v>275.49</v>
      </c>
      <c r="L10" s="112">
        <v>26.14</v>
      </c>
      <c r="M10" s="112">
        <v>94.44</v>
      </c>
      <c r="N10" s="112">
        <v>2.1</v>
      </c>
      <c r="O10" s="112">
        <v>0</v>
      </c>
      <c r="P10" s="112">
        <v>0.34</v>
      </c>
      <c r="Q10" s="112">
        <v>4.6900000000000004</v>
      </c>
    </row>
    <row r="11" spans="1:21" customFormat="1">
      <c r="A11" s="80">
        <v>45491.03125</v>
      </c>
      <c r="B11" s="112">
        <v>9.23</v>
      </c>
      <c r="C11" s="112">
        <v>4.08</v>
      </c>
      <c r="D11" s="112">
        <v>13.99</v>
      </c>
      <c r="E11" s="112">
        <v>8.9</v>
      </c>
      <c r="F11" s="112">
        <v>5.05</v>
      </c>
      <c r="G11" s="112">
        <v>6.29</v>
      </c>
      <c r="H11" s="112">
        <v>1.68</v>
      </c>
      <c r="I11" s="112">
        <v>3.35</v>
      </c>
      <c r="J11" s="112">
        <v>0.17</v>
      </c>
      <c r="K11" s="112">
        <v>225.85</v>
      </c>
      <c r="L11" s="112">
        <v>26.37</v>
      </c>
      <c r="M11" s="112">
        <v>94.64</v>
      </c>
      <c r="N11" s="112">
        <v>2.1</v>
      </c>
      <c r="O11" s="112">
        <v>0</v>
      </c>
      <c r="P11" s="112">
        <v>0.34</v>
      </c>
      <c r="Q11" s="112">
        <v>4.6900000000000004</v>
      </c>
    </row>
    <row r="12" spans="1:21" customFormat="1">
      <c r="A12" s="80">
        <v>45491.041666666664</v>
      </c>
      <c r="B12" s="112">
        <v>9.23</v>
      </c>
      <c r="C12" s="112">
        <v>4.08</v>
      </c>
      <c r="D12" s="112">
        <v>13.98</v>
      </c>
      <c r="E12" s="112">
        <v>9.16</v>
      </c>
      <c r="F12" s="112">
        <v>4.42</v>
      </c>
      <c r="G12" s="112">
        <v>6.29</v>
      </c>
      <c r="H12" s="112">
        <v>1.68</v>
      </c>
      <c r="I12" s="112">
        <v>3.26</v>
      </c>
      <c r="J12" s="112">
        <v>0.3</v>
      </c>
      <c r="K12" s="112">
        <v>263.36</v>
      </c>
      <c r="L12" s="112">
        <v>26.29</v>
      </c>
      <c r="M12" s="112">
        <v>94.77</v>
      </c>
      <c r="N12" s="112">
        <v>2.2000000000000002</v>
      </c>
      <c r="O12" s="112">
        <v>0</v>
      </c>
      <c r="P12" s="112">
        <v>0.33</v>
      </c>
      <c r="Q12" s="112">
        <v>4.6900000000000004</v>
      </c>
    </row>
    <row r="13" spans="1:21" customFormat="1">
      <c r="A13" s="80">
        <v>45491.052083333336</v>
      </c>
      <c r="B13" s="112">
        <v>9.23</v>
      </c>
      <c r="C13" s="112">
        <v>4.07</v>
      </c>
      <c r="D13" s="112">
        <v>13.98</v>
      </c>
      <c r="E13" s="112">
        <v>9.14</v>
      </c>
      <c r="F13" s="112">
        <v>4.0199999999999996</v>
      </c>
      <c r="G13" s="112">
        <v>6.29</v>
      </c>
      <c r="H13" s="112">
        <v>1.68</v>
      </c>
      <c r="I13" s="112">
        <v>3.25</v>
      </c>
      <c r="J13" s="112">
        <v>0.28000000000000003</v>
      </c>
      <c r="K13" s="112">
        <v>281</v>
      </c>
      <c r="L13" s="112">
        <v>26.25</v>
      </c>
      <c r="M13" s="112">
        <v>94.84</v>
      </c>
      <c r="N13" s="112">
        <v>2.2999999999999998</v>
      </c>
      <c r="O13" s="112">
        <v>0</v>
      </c>
      <c r="P13" s="112">
        <v>0.33</v>
      </c>
      <c r="Q13" s="112">
        <v>4.7</v>
      </c>
    </row>
    <row r="14" spans="1:21" customFormat="1">
      <c r="A14" s="80">
        <v>45491.0625</v>
      </c>
      <c r="B14" s="112">
        <v>9.23</v>
      </c>
      <c r="C14" s="112">
        <v>4.07</v>
      </c>
      <c r="D14" s="112">
        <v>13.98</v>
      </c>
      <c r="E14" s="112">
        <v>9.1999999999999993</v>
      </c>
      <c r="F14" s="112">
        <v>4.26</v>
      </c>
      <c r="G14" s="112">
        <v>6.2</v>
      </c>
      <c r="H14" s="112">
        <v>1.66</v>
      </c>
      <c r="I14" s="112">
        <v>3.26</v>
      </c>
      <c r="J14" s="112">
        <v>0.37</v>
      </c>
      <c r="K14" s="112">
        <v>273.10000000000002</v>
      </c>
      <c r="L14" s="112">
        <v>26.15</v>
      </c>
      <c r="M14" s="112">
        <v>95.07</v>
      </c>
      <c r="N14" s="112">
        <v>2.2000000000000002</v>
      </c>
      <c r="O14" s="112">
        <v>0</v>
      </c>
      <c r="P14" s="112">
        <v>0.32</v>
      </c>
      <c r="Q14" s="112">
        <v>4.7</v>
      </c>
    </row>
    <row r="15" spans="1:21" customFormat="1">
      <c r="A15" s="80">
        <v>45491.072916666664</v>
      </c>
      <c r="B15" s="112">
        <v>9.25</v>
      </c>
      <c r="C15" s="112">
        <v>4.05</v>
      </c>
      <c r="D15" s="112">
        <v>13.98</v>
      </c>
      <c r="E15" s="112">
        <v>8.91</v>
      </c>
      <c r="F15" s="112">
        <v>3.97</v>
      </c>
      <c r="G15" s="112">
        <v>4.71</v>
      </c>
      <c r="H15" s="112">
        <v>1.37</v>
      </c>
      <c r="I15" s="112">
        <v>3.23</v>
      </c>
      <c r="J15" s="112">
        <v>0.45</v>
      </c>
      <c r="K15" s="112">
        <v>272.44</v>
      </c>
      <c r="L15" s="112">
        <v>26.14</v>
      </c>
      <c r="M15" s="112">
        <v>94.83</v>
      </c>
      <c r="N15" s="112">
        <v>2.2999999999999998</v>
      </c>
      <c r="O15" s="112">
        <v>0</v>
      </c>
      <c r="P15" s="112">
        <v>0.33</v>
      </c>
      <c r="Q15" s="112">
        <v>4.7</v>
      </c>
    </row>
    <row r="16" spans="1:21" customFormat="1">
      <c r="A16" s="80">
        <v>45491.083333333336</v>
      </c>
      <c r="B16" s="112">
        <v>9.23</v>
      </c>
      <c r="C16" s="112">
        <v>4.09</v>
      </c>
      <c r="D16" s="112">
        <v>13.99</v>
      </c>
      <c r="E16" s="112">
        <v>9.49</v>
      </c>
      <c r="F16" s="112">
        <v>3.84</v>
      </c>
      <c r="G16" s="112">
        <v>4.71</v>
      </c>
      <c r="H16" s="112">
        <v>1.37</v>
      </c>
      <c r="I16" s="112">
        <v>3.21</v>
      </c>
      <c r="J16" s="112">
        <v>0.37</v>
      </c>
      <c r="K16" s="112">
        <v>276.89999999999998</v>
      </c>
      <c r="L16" s="112">
        <v>26.1</v>
      </c>
      <c r="M16" s="112">
        <v>95.24</v>
      </c>
      <c r="N16" s="112">
        <v>2.2999999999999998</v>
      </c>
      <c r="O16" s="112">
        <v>0</v>
      </c>
      <c r="P16" s="112">
        <v>0.33</v>
      </c>
      <c r="Q16" s="112">
        <v>4.6900000000000004</v>
      </c>
    </row>
    <row r="17" spans="1:17" customFormat="1">
      <c r="A17" s="80">
        <v>45491.09375</v>
      </c>
      <c r="B17" s="112">
        <v>9.25</v>
      </c>
      <c r="C17" s="112">
        <v>4.05</v>
      </c>
      <c r="D17" s="112">
        <v>13.98</v>
      </c>
      <c r="E17" s="112">
        <v>9.1300000000000008</v>
      </c>
      <c r="F17" s="112">
        <v>3.86</v>
      </c>
      <c r="G17" s="112">
        <v>4.71</v>
      </c>
      <c r="H17" s="112">
        <v>1.37</v>
      </c>
      <c r="I17" s="112">
        <v>3.19</v>
      </c>
      <c r="J17" s="112">
        <v>0.17</v>
      </c>
      <c r="K17" s="112">
        <v>233.46</v>
      </c>
      <c r="L17" s="112">
        <v>26.15</v>
      </c>
      <c r="M17" s="112">
        <v>95.71</v>
      </c>
      <c r="N17" s="112">
        <v>2.1</v>
      </c>
      <c r="O17" s="112">
        <v>0</v>
      </c>
      <c r="P17" s="112">
        <v>0.33</v>
      </c>
      <c r="Q17" s="112">
        <v>4.68</v>
      </c>
    </row>
    <row r="18" spans="1:17" customFormat="1">
      <c r="A18" s="80">
        <v>45491.104166666664</v>
      </c>
      <c r="B18" s="112">
        <v>9.24</v>
      </c>
      <c r="C18" s="112">
        <v>4.05</v>
      </c>
      <c r="D18" s="112">
        <v>13.97</v>
      </c>
      <c r="E18" s="112">
        <v>10.9</v>
      </c>
      <c r="F18" s="112">
        <v>3.39</v>
      </c>
      <c r="G18" s="112">
        <v>4.75</v>
      </c>
      <c r="H18" s="112">
        <v>1.37</v>
      </c>
      <c r="I18" s="112">
        <v>3.14</v>
      </c>
      <c r="J18" s="112">
        <v>0.14000000000000001</v>
      </c>
      <c r="K18" s="112">
        <v>275.48</v>
      </c>
      <c r="L18" s="112">
        <v>26.16</v>
      </c>
      <c r="M18" s="112">
        <v>95.83</v>
      </c>
      <c r="N18" s="112">
        <v>2.1</v>
      </c>
      <c r="O18" s="112">
        <v>0</v>
      </c>
      <c r="P18" s="112">
        <v>0.32</v>
      </c>
      <c r="Q18" s="112">
        <v>4.7</v>
      </c>
    </row>
    <row r="19" spans="1:17" customFormat="1">
      <c r="A19" s="80">
        <v>45491.114583333336</v>
      </c>
      <c r="B19" s="112">
        <v>9.23</v>
      </c>
      <c r="C19" s="112">
        <v>4.05</v>
      </c>
      <c r="D19" s="112">
        <v>13.97</v>
      </c>
      <c r="E19" s="112">
        <v>11.22</v>
      </c>
      <c r="F19" s="112">
        <v>3.46</v>
      </c>
      <c r="G19" s="112">
        <v>5.26</v>
      </c>
      <c r="H19" s="112">
        <v>1.38</v>
      </c>
      <c r="I19" s="112">
        <v>3.11</v>
      </c>
      <c r="J19" s="112">
        <v>0.13</v>
      </c>
      <c r="K19" s="112">
        <v>241.91</v>
      </c>
      <c r="L19" s="112">
        <v>26.17</v>
      </c>
      <c r="M19" s="112">
        <v>96.7</v>
      </c>
      <c r="N19" s="112">
        <v>2.1</v>
      </c>
      <c r="O19" s="112">
        <v>0</v>
      </c>
      <c r="P19" s="112">
        <v>0.32</v>
      </c>
      <c r="Q19" s="112">
        <v>4.7</v>
      </c>
    </row>
    <row r="20" spans="1:17" customFormat="1">
      <c r="A20" s="80">
        <v>45491.125</v>
      </c>
      <c r="B20" s="112">
        <v>9.2200000000000006</v>
      </c>
      <c r="C20" s="112">
        <v>4.0599999999999996</v>
      </c>
      <c r="D20" s="112">
        <v>13.97</v>
      </c>
      <c r="E20" s="112">
        <v>11.39</v>
      </c>
      <c r="F20" s="112">
        <v>3.1</v>
      </c>
      <c r="G20" s="112">
        <v>5.26</v>
      </c>
      <c r="H20" s="112">
        <v>1.38</v>
      </c>
      <c r="I20" s="112">
        <v>3.09</v>
      </c>
      <c r="J20" s="112">
        <v>0.25</v>
      </c>
      <c r="K20" s="112">
        <v>258.17</v>
      </c>
      <c r="L20" s="112">
        <v>26.12</v>
      </c>
      <c r="M20" s="112">
        <v>96.56</v>
      </c>
      <c r="N20" s="112">
        <v>2.2000000000000002</v>
      </c>
      <c r="O20" s="112">
        <v>0</v>
      </c>
      <c r="P20" s="112">
        <v>0.32</v>
      </c>
      <c r="Q20" s="112">
        <v>4.71</v>
      </c>
    </row>
    <row r="21" spans="1:17" customFormat="1">
      <c r="A21" s="80">
        <v>45491.135416666664</v>
      </c>
      <c r="B21" s="112">
        <v>9.2200000000000006</v>
      </c>
      <c r="C21" s="112">
        <v>4.07</v>
      </c>
      <c r="D21" s="112">
        <v>13.97</v>
      </c>
      <c r="E21" s="112">
        <v>11.44</v>
      </c>
      <c r="F21" s="112">
        <v>3.5</v>
      </c>
      <c r="G21" s="112">
        <v>5.26</v>
      </c>
      <c r="H21" s="112">
        <v>1.38</v>
      </c>
      <c r="I21" s="112">
        <v>3.11</v>
      </c>
      <c r="J21" s="112">
        <v>0.37</v>
      </c>
      <c r="K21" s="112">
        <v>276.14999999999998</v>
      </c>
      <c r="L21" s="112">
        <v>26.1</v>
      </c>
      <c r="M21" s="112">
        <v>97.24</v>
      </c>
      <c r="N21" s="112">
        <v>2.2999999999999998</v>
      </c>
      <c r="O21" s="112">
        <v>0</v>
      </c>
      <c r="P21" s="112">
        <v>0.32</v>
      </c>
      <c r="Q21" s="112">
        <v>4.6900000000000004</v>
      </c>
    </row>
    <row r="22" spans="1:17" customFormat="1">
      <c r="A22" s="80">
        <v>45491.145833333336</v>
      </c>
      <c r="B22" s="112">
        <v>9.2200000000000006</v>
      </c>
      <c r="C22" s="112">
        <v>4.07</v>
      </c>
      <c r="D22" s="112">
        <v>13.97</v>
      </c>
      <c r="E22" s="112">
        <v>12.16</v>
      </c>
      <c r="F22" s="112">
        <v>3.65</v>
      </c>
      <c r="G22" s="112">
        <v>5.38</v>
      </c>
      <c r="H22" s="112">
        <v>1.38</v>
      </c>
      <c r="I22" s="112">
        <v>3.09</v>
      </c>
      <c r="J22" s="112">
        <v>0.21</v>
      </c>
      <c r="K22" s="112">
        <v>259.3</v>
      </c>
      <c r="L22" s="112">
        <v>26.08</v>
      </c>
      <c r="M22" s="112">
        <v>97.42</v>
      </c>
      <c r="N22" s="112">
        <v>2.2000000000000002</v>
      </c>
      <c r="O22" s="112">
        <v>0</v>
      </c>
      <c r="P22" s="112">
        <v>0.32</v>
      </c>
      <c r="Q22" s="112">
        <v>4.6900000000000004</v>
      </c>
    </row>
    <row r="23" spans="1:17" customFormat="1">
      <c r="A23" s="80">
        <v>45491.15625</v>
      </c>
      <c r="B23" s="112">
        <v>9.23</v>
      </c>
      <c r="C23" s="112">
        <v>4.0599999999999996</v>
      </c>
      <c r="D23" s="112">
        <v>13.97</v>
      </c>
      <c r="E23" s="112">
        <v>11.94</v>
      </c>
      <c r="F23" s="112">
        <v>3.47</v>
      </c>
      <c r="G23" s="112">
        <v>7.34</v>
      </c>
      <c r="H23" s="112">
        <v>1.36</v>
      </c>
      <c r="I23" s="112">
        <v>3.12</v>
      </c>
      <c r="J23" s="112">
        <v>0.14000000000000001</v>
      </c>
      <c r="K23" s="112">
        <v>253.27</v>
      </c>
      <c r="L23" s="112">
        <v>26.03</v>
      </c>
      <c r="M23" s="112">
        <v>99.24</v>
      </c>
      <c r="N23" s="112">
        <v>2.2000000000000002</v>
      </c>
      <c r="O23" s="112">
        <v>0</v>
      </c>
      <c r="P23" s="112">
        <v>0.32</v>
      </c>
      <c r="Q23" s="112">
        <v>4.6900000000000004</v>
      </c>
    </row>
    <row r="24" spans="1:17" customFormat="1">
      <c r="A24" s="80">
        <v>45491.166666666664</v>
      </c>
      <c r="B24" s="112">
        <v>9.2200000000000006</v>
      </c>
      <c r="C24" s="112">
        <v>4.04</v>
      </c>
      <c r="D24" s="112">
        <v>13.96</v>
      </c>
      <c r="E24" s="112">
        <v>12.1</v>
      </c>
      <c r="F24" s="112">
        <v>2.75</v>
      </c>
      <c r="G24" s="112">
        <v>7.34</v>
      </c>
      <c r="H24" s="112">
        <v>1.36</v>
      </c>
      <c r="I24" s="112">
        <v>3.11</v>
      </c>
      <c r="J24" s="112">
        <v>0.15</v>
      </c>
      <c r="K24" s="112">
        <v>260.97000000000003</v>
      </c>
      <c r="L24" s="112">
        <v>26.04</v>
      </c>
      <c r="M24" s="112">
        <v>100.11</v>
      </c>
      <c r="N24" s="112">
        <v>2.1</v>
      </c>
      <c r="O24" s="112">
        <v>0</v>
      </c>
      <c r="P24" s="112">
        <v>0.34</v>
      </c>
      <c r="Q24" s="112">
        <v>4.6900000000000004</v>
      </c>
    </row>
    <row r="25" spans="1:17" customFormat="1">
      <c r="A25" s="80">
        <v>45491.177083333336</v>
      </c>
      <c r="B25" s="112">
        <v>9.2200000000000006</v>
      </c>
      <c r="C25" s="112">
        <v>4.05</v>
      </c>
      <c r="D25" s="112">
        <v>13.96</v>
      </c>
      <c r="E25" s="112">
        <v>11.54</v>
      </c>
      <c r="F25" s="112">
        <v>3.94</v>
      </c>
      <c r="G25" s="112">
        <v>7.34</v>
      </c>
      <c r="H25" s="112">
        <v>1.36</v>
      </c>
      <c r="I25" s="112">
        <v>3.14</v>
      </c>
      <c r="J25" s="112">
        <v>0.14000000000000001</v>
      </c>
      <c r="K25" s="112">
        <v>249.48</v>
      </c>
      <c r="L25" s="112">
        <v>26</v>
      </c>
      <c r="M25" s="112">
        <v>98.86</v>
      </c>
      <c r="N25" s="112">
        <v>2.2000000000000002</v>
      </c>
      <c r="O25" s="112">
        <v>0</v>
      </c>
      <c r="P25" s="112">
        <v>0.35</v>
      </c>
      <c r="Q25" s="112">
        <v>4.7</v>
      </c>
    </row>
    <row r="26" spans="1:17" customFormat="1">
      <c r="A26" s="80">
        <v>45491.1875</v>
      </c>
      <c r="B26" s="112">
        <v>9.23</v>
      </c>
      <c r="C26" s="112">
        <v>4.04</v>
      </c>
      <c r="D26" s="112">
        <v>13.97</v>
      </c>
      <c r="E26" s="112">
        <v>10.94</v>
      </c>
      <c r="F26" s="112">
        <v>5.89</v>
      </c>
      <c r="G26" s="112">
        <v>7.23</v>
      </c>
      <c r="H26" s="112">
        <v>1.36</v>
      </c>
      <c r="I26" s="112">
        <v>3.18</v>
      </c>
      <c r="J26" s="112">
        <v>0.09</v>
      </c>
      <c r="K26" s="112">
        <v>222.78</v>
      </c>
      <c r="L26" s="112">
        <v>26.09</v>
      </c>
      <c r="M26" s="112">
        <v>99.38</v>
      </c>
      <c r="N26" s="112">
        <v>2.1</v>
      </c>
      <c r="O26" s="112">
        <v>0</v>
      </c>
      <c r="P26" s="112">
        <v>0.34</v>
      </c>
      <c r="Q26" s="112">
        <v>4.6900000000000004</v>
      </c>
    </row>
    <row r="27" spans="1:17" customFormat="1">
      <c r="A27" s="80">
        <v>45491.197916666664</v>
      </c>
      <c r="B27" s="112">
        <v>9.24</v>
      </c>
      <c r="C27" s="112">
        <v>4.05</v>
      </c>
      <c r="D27" s="112">
        <v>13.98</v>
      </c>
      <c r="E27" s="112">
        <v>9.92</v>
      </c>
      <c r="F27" s="112">
        <v>6.22</v>
      </c>
      <c r="G27" s="112">
        <v>5.37</v>
      </c>
      <c r="H27" s="112">
        <v>1.29</v>
      </c>
      <c r="I27" s="112">
        <v>3.14</v>
      </c>
      <c r="J27" s="112">
        <v>0.28000000000000003</v>
      </c>
      <c r="K27" s="112">
        <v>265.67</v>
      </c>
      <c r="L27" s="112">
        <v>25.97</v>
      </c>
      <c r="M27" s="112">
        <v>99.04</v>
      </c>
      <c r="N27" s="112">
        <v>2.1</v>
      </c>
      <c r="O27" s="112">
        <v>0</v>
      </c>
      <c r="P27" s="112">
        <v>0.33</v>
      </c>
      <c r="Q27" s="112">
        <v>4.6900000000000004</v>
      </c>
    </row>
    <row r="28" spans="1:17" customFormat="1">
      <c r="A28" s="80">
        <v>45491.208333333336</v>
      </c>
      <c r="B28" s="112">
        <v>9.24</v>
      </c>
      <c r="C28" s="112">
        <v>4.0599999999999996</v>
      </c>
      <c r="D28" s="112">
        <v>13.98</v>
      </c>
      <c r="E28" s="112">
        <v>9.5299999999999994</v>
      </c>
      <c r="F28" s="112">
        <v>6.11</v>
      </c>
      <c r="G28" s="112">
        <v>5.37</v>
      </c>
      <c r="H28" s="112">
        <v>1.29</v>
      </c>
      <c r="I28" s="112">
        <v>2.99</v>
      </c>
      <c r="J28" s="112">
        <v>0.18</v>
      </c>
      <c r="K28" s="112">
        <v>265.44</v>
      </c>
      <c r="L28" s="112">
        <v>25.96</v>
      </c>
      <c r="M28" s="112">
        <v>99.07</v>
      </c>
      <c r="N28" s="112">
        <v>2.1</v>
      </c>
      <c r="O28" s="112">
        <v>0</v>
      </c>
      <c r="P28" s="112">
        <v>0.31</v>
      </c>
      <c r="Q28" s="112">
        <v>4.6900000000000004</v>
      </c>
    </row>
    <row r="29" spans="1:17" customFormat="1">
      <c r="A29" s="80">
        <v>45491.21875</v>
      </c>
      <c r="B29" s="112">
        <v>9.24</v>
      </c>
      <c r="C29" s="112">
        <v>4.05</v>
      </c>
      <c r="D29" s="112">
        <v>13.97</v>
      </c>
      <c r="E29" s="112">
        <v>9.83</v>
      </c>
      <c r="F29" s="112">
        <v>5.88</v>
      </c>
      <c r="G29" s="112">
        <v>5.37</v>
      </c>
      <c r="H29" s="112">
        <v>1.29</v>
      </c>
      <c r="I29" s="112">
        <v>3.04</v>
      </c>
      <c r="J29" s="112">
        <v>0.12</v>
      </c>
      <c r="K29" s="112">
        <v>194.79</v>
      </c>
      <c r="L29" s="112">
        <v>26</v>
      </c>
      <c r="M29" s="112">
        <v>99.15</v>
      </c>
      <c r="N29" s="112">
        <v>2.4</v>
      </c>
      <c r="O29" s="112">
        <v>0</v>
      </c>
      <c r="P29" s="112">
        <v>0.31</v>
      </c>
      <c r="Q29" s="112">
        <v>4.6900000000000004</v>
      </c>
    </row>
    <row r="30" spans="1:17" customFormat="1">
      <c r="A30" s="80">
        <v>45491.229166666664</v>
      </c>
      <c r="B30" s="112">
        <v>9.23</v>
      </c>
      <c r="C30" s="112">
        <v>4.08</v>
      </c>
      <c r="D30" s="112">
        <v>13.98</v>
      </c>
      <c r="E30" s="112">
        <v>8.9499999999999993</v>
      </c>
      <c r="F30" s="112">
        <v>6.9</v>
      </c>
      <c r="G30" s="112">
        <v>5.32</v>
      </c>
      <c r="H30" s="112">
        <v>1.29</v>
      </c>
      <c r="I30" s="112">
        <v>3.02</v>
      </c>
      <c r="J30" s="112">
        <v>0.13</v>
      </c>
      <c r="K30" s="112">
        <v>247.36</v>
      </c>
      <c r="L30" s="112">
        <v>25.99</v>
      </c>
      <c r="M30" s="112">
        <v>99.48</v>
      </c>
      <c r="N30" s="112">
        <v>3</v>
      </c>
      <c r="O30" s="112">
        <v>0</v>
      </c>
      <c r="P30" s="112">
        <v>0.32</v>
      </c>
      <c r="Q30" s="112">
        <v>4.7</v>
      </c>
    </row>
    <row r="31" spans="1:17" customFormat="1">
      <c r="A31" s="80">
        <v>45491.239583333336</v>
      </c>
      <c r="B31" s="112">
        <v>9.2200000000000006</v>
      </c>
      <c r="C31" s="112">
        <v>4.08</v>
      </c>
      <c r="D31" s="112">
        <v>13.98</v>
      </c>
      <c r="E31" s="112">
        <v>8.67</v>
      </c>
      <c r="F31" s="112">
        <v>8.19</v>
      </c>
      <c r="G31" s="112">
        <v>4.5199999999999996</v>
      </c>
      <c r="H31" s="112">
        <v>1.33</v>
      </c>
      <c r="I31" s="112">
        <v>2.97</v>
      </c>
      <c r="J31" s="112">
        <v>0.14000000000000001</v>
      </c>
      <c r="K31" s="112">
        <v>261.41000000000003</v>
      </c>
      <c r="L31" s="112">
        <v>25.98</v>
      </c>
      <c r="M31" s="112">
        <v>99.16</v>
      </c>
      <c r="N31" s="112">
        <v>5.5</v>
      </c>
      <c r="O31" s="112">
        <v>0</v>
      </c>
      <c r="P31" s="112">
        <v>0.3</v>
      </c>
      <c r="Q31" s="112">
        <v>4.71</v>
      </c>
    </row>
    <row r="32" spans="1:17" customFormat="1">
      <c r="A32" s="80">
        <v>45491.25</v>
      </c>
      <c r="B32" s="112">
        <v>9.23</v>
      </c>
      <c r="C32" s="112">
        <v>4.0599999999999996</v>
      </c>
      <c r="D32" s="112">
        <v>13.97</v>
      </c>
      <c r="E32" s="112">
        <v>9.09</v>
      </c>
      <c r="F32" s="112">
        <v>6.53</v>
      </c>
      <c r="G32" s="112">
        <v>4.5199999999999996</v>
      </c>
      <c r="H32" s="112">
        <v>1.33</v>
      </c>
      <c r="I32" s="112">
        <v>2.88</v>
      </c>
      <c r="J32" s="112">
        <v>0.09</v>
      </c>
      <c r="K32" s="112">
        <v>250.05</v>
      </c>
      <c r="L32" s="112">
        <v>26.07</v>
      </c>
      <c r="M32" s="112">
        <v>99.68</v>
      </c>
      <c r="N32" s="112">
        <v>9.6999999999999993</v>
      </c>
      <c r="O32" s="112">
        <v>0</v>
      </c>
      <c r="P32" s="112">
        <v>0.31</v>
      </c>
      <c r="Q32" s="112">
        <v>4.6900000000000004</v>
      </c>
    </row>
    <row r="33" spans="1:17" customFormat="1">
      <c r="A33" s="80">
        <v>45491.260416666664</v>
      </c>
      <c r="B33" s="112">
        <v>9.2100000000000009</v>
      </c>
      <c r="C33" s="112">
        <v>4.09</v>
      </c>
      <c r="D33" s="112">
        <v>13.98</v>
      </c>
      <c r="E33" s="112">
        <v>9</v>
      </c>
      <c r="F33" s="112">
        <v>6.39</v>
      </c>
      <c r="G33" s="112">
        <v>4.5199999999999996</v>
      </c>
      <c r="H33" s="112">
        <v>1.33</v>
      </c>
      <c r="I33" s="112">
        <v>2.87</v>
      </c>
      <c r="J33" s="112">
        <v>0.06</v>
      </c>
      <c r="K33" s="112">
        <v>246.96</v>
      </c>
      <c r="L33" s="112">
        <v>26.13</v>
      </c>
      <c r="M33" s="112">
        <v>100.34</v>
      </c>
      <c r="N33" s="112">
        <v>16</v>
      </c>
      <c r="O33" s="112">
        <v>0</v>
      </c>
      <c r="P33" s="112">
        <v>0.32</v>
      </c>
      <c r="Q33" s="112">
        <v>4.6900000000000004</v>
      </c>
    </row>
    <row r="34" spans="1:17" customFormat="1">
      <c r="A34" s="80">
        <v>45491.270833333336</v>
      </c>
      <c r="B34" s="112">
        <v>9.23</v>
      </c>
      <c r="C34" s="112">
        <v>4.07</v>
      </c>
      <c r="D34" s="112">
        <v>13.98</v>
      </c>
      <c r="E34" s="112">
        <v>8.83</v>
      </c>
      <c r="F34" s="112">
        <v>7.7</v>
      </c>
      <c r="G34" s="112">
        <v>4.5199999999999996</v>
      </c>
      <c r="H34" s="112">
        <v>1.33</v>
      </c>
      <c r="I34" s="112">
        <v>3.04</v>
      </c>
      <c r="J34" s="112">
        <v>0.1</v>
      </c>
      <c r="K34" s="112">
        <v>316.58999999999997</v>
      </c>
      <c r="L34" s="112">
        <v>26.34</v>
      </c>
      <c r="M34" s="112">
        <v>99.06</v>
      </c>
      <c r="N34" s="112">
        <v>42.4</v>
      </c>
      <c r="O34" s="112">
        <v>0</v>
      </c>
      <c r="P34" s="112">
        <v>0.32</v>
      </c>
      <c r="Q34" s="112">
        <v>4.7</v>
      </c>
    </row>
    <row r="35" spans="1:17" customFormat="1">
      <c r="A35" s="80">
        <v>45491.28125</v>
      </c>
      <c r="B35" s="112">
        <v>9.23</v>
      </c>
      <c r="C35" s="112">
        <v>4.05</v>
      </c>
      <c r="D35" s="112">
        <v>13.96</v>
      </c>
      <c r="E35" s="112">
        <v>8.5299999999999994</v>
      </c>
      <c r="F35" s="112">
        <v>7.03</v>
      </c>
      <c r="G35" s="112">
        <v>4.5199999999999996</v>
      </c>
      <c r="H35" s="112">
        <v>1.3</v>
      </c>
      <c r="I35" s="112">
        <v>3.06</v>
      </c>
      <c r="J35" s="112">
        <v>0.22</v>
      </c>
      <c r="K35" s="112">
        <v>271.88</v>
      </c>
      <c r="L35" s="112">
        <v>26.58</v>
      </c>
      <c r="M35" s="112">
        <v>97.47</v>
      </c>
      <c r="N35" s="112">
        <v>56.7</v>
      </c>
      <c r="O35" s="112">
        <v>0</v>
      </c>
      <c r="P35" s="112">
        <v>0.31</v>
      </c>
      <c r="Q35" s="112">
        <v>4.7</v>
      </c>
    </row>
    <row r="36" spans="1:17" customFormat="1">
      <c r="A36" s="80">
        <v>45491.291666666664</v>
      </c>
      <c r="B36" s="112">
        <v>9.2100000000000009</v>
      </c>
      <c r="C36" s="112">
        <v>4.09</v>
      </c>
      <c r="D36" s="112">
        <v>13.97</v>
      </c>
      <c r="E36" s="112">
        <v>9.2200000000000006</v>
      </c>
      <c r="F36" s="112">
        <v>6.49</v>
      </c>
      <c r="G36" s="112">
        <v>4.5199999999999996</v>
      </c>
      <c r="H36" s="112">
        <v>1.3</v>
      </c>
      <c r="I36" s="112">
        <v>3</v>
      </c>
      <c r="J36" s="112">
        <v>0.31</v>
      </c>
      <c r="K36" s="112">
        <v>292.24</v>
      </c>
      <c r="L36" s="112">
        <v>26.71</v>
      </c>
      <c r="M36" s="112">
        <v>96.61</v>
      </c>
      <c r="N36" s="112">
        <v>72.400000000000006</v>
      </c>
      <c r="O36" s="112">
        <v>0</v>
      </c>
      <c r="P36" s="112">
        <v>0.32</v>
      </c>
      <c r="Q36" s="112">
        <v>4.6900000000000004</v>
      </c>
    </row>
    <row r="37" spans="1:17" customFormat="1">
      <c r="A37" s="80">
        <v>45491.302083333336</v>
      </c>
      <c r="B37" s="112">
        <v>9.2100000000000009</v>
      </c>
      <c r="C37" s="112">
        <v>4.09</v>
      </c>
      <c r="D37" s="112">
        <v>13.97</v>
      </c>
      <c r="E37" s="112">
        <v>9.18</v>
      </c>
      <c r="F37" s="112">
        <v>5.69</v>
      </c>
      <c r="G37" s="112">
        <v>4.5199999999999996</v>
      </c>
      <c r="H37" s="112">
        <v>1.3</v>
      </c>
      <c r="I37" s="112">
        <v>3.11</v>
      </c>
      <c r="J37" s="112">
        <v>0.51</v>
      </c>
      <c r="K37" s="112">
        <v>285.43</v>
      </c>
      <c r="L37" s="112">
        <v>26.92</v>
      </c>
      <c r="M37" s="112">
        <v>95.15</v>
      </c>
      <c r="N37" s="112">
        <v>92.2</v>
      </c>
      <c r="O37" s="112">
        <v>0</v>
      </c>
      <c r="P37" s="112">
        <v>0.33</v>
      </c>
      <c r="Q37" s="112">
        <v>4.6900000000000004</v>
      </c>
    </row>
    <row r="38" spans="1:17" customFormat="1">
      <c r="A38" s="80">
        <v>45491.3125</v>
      </c>
      <c r="B38" s="112">
        <v>9.2100000000000009</v>
      </c>
      <c r="C38" s="112">
        <v>4.08</v>
      </c>
      <c r="D38" s="112">
        <v>13.97</v>
      </c>
      <c r="E38" s="112">
        <v>9.06</v>
      </c>
      <c r="F38" s="112">
        <v>5.88</v>
      </c>
      <c r="G38" s="112">
        <v>4.79</v>
      </c>
      <c r="H38" s="112">
        <v>1.3</v>
      </c>
      <c r="I38" s="112">
        <v>3.28</v>
      </c>
      <c r="J38" s="112">
        <v>0.53</v>
      </c>
      <c r="K38" s="112">
        <v>301.32</v>
      </c>
      <c r="L38" s="112">
        <v>27.09</v>
      </c>
      <c r="M38" s="112">
        <v>94.57</v>
      </c>
      <c r="N38" s="112">
        <v>95.3</v>
      </c>
      <c r="O38" s="112">
        <v>0</v>
      </c>
      <c r="P38" s="112">
        <v>0.34</v>
      </c>
      <c r="Q38" s="112">
        <v>4.6900000000000004</v>
      </c>
    </row>
    <row r="39" spans="1:17" customFormat="1">
      <c r="A39" s="80">
        <v>45491.322916666664</v>
      </c>
      <c r="B39" s="112">
        <v>9.2100000000000009</v>
      </c>
      <c r="C39" s="112">
        <v>4.07</v>
      </c>
      <c r="D39" s="112">
        <v>13.96</v>
      </c>
      <c r="E39" s="112">
        <v>9.3800000000000008</v>
      </c>
      <c r="F39" s="112">
        <v>6.1</v>
      </c>
      <c r="G39" s="112">
        <v>9.31</v>
      </c>
      <c r="H39" s="112">
        <v>1.35</v>
      </c>
      <c r="I39" s="112">
        <v>3.41</v>
      </c>
      <c r="J39" s="112">
        <v>0.6</v>
      </c>
      <c r="K39" s="112">
        <v>328.18</v>
      </c>
      <c r="L39" s="112">
        <v>27.25</v>
      </c>
      <c r="M39" s="112">
        <v>92.73</v>
      </c>
      <c r="N39" s="112">
        <v>112.2</v>
      </c>
      <c r="O39" s="112">
        <v>0</v>
      </c>
      <c r="P39" s="112">
        <v>0.36</v>
      </c>
      <c r="Q39" s="112">
        <v>4.6900000000000004</v>
      </c>
    </row>
    <row r="40" spans="1:17" customFormat="1">
      <c r="A40" s="80">
        <v>45491.333333333336</v>
      </c>
      <c r="B40" s="112">
        <v>9.1999999999999993</v>
      </c>
      <c r="C40" s="112">
        <v>4.08</v>
      </c>
      <c r="D40" s="112">
        <v>13.96</v>
      </c>
      <c r="E40" s="112">
        <v>9.8699999999999992</v>
      </c>
      <c r="F40" s="112">
        <v>7.06</v>
      </c>
      <c r="G40" s="112">
        <v>9.31</v>
      </c>
      <c r="H40" s="112">
        <v>1.35</v>
      </c>
      <c r="I40" s="112">
        <v>3.54</v>
      </c>
      <c r="J40" s="112">
        <v>0.42</v>
      </c>
      <c r="K40" s="112">
        <v>339.33</v>
      </c>
      <c r="L40" s="112">
        <v>27.62</v>
      </c>
      <c r="M40" s="112">
        <v>91.08</v>
      </c>
      <c r="N40" s="112">
        <v>102.1</v>
      </c>
      <c r="O40" s="112">
        <v>0</v>
      </c>
      <c r="P40" s="112">
        <v>0.38</v>
      </c>
      <c r="Q40" s="112">
        <v>4.6900000000000004</v>
      </c>
    </row>
    <row r="41" spans="1:17" customFormat="1">
      <c r="A41" s="80">
        <v>45491.34375</v>
      </c>
      <c r="B41" s="112">
        <v>9.2100000000000009</v>
      </c>
      <c r="C41" s="112">
        <v>4.07</v>
      </c>
      <c r="D41" s="112">
        <v>13.96</v>
      </c>
      <c r="E41" s="112">
        <v>9.91</v>
      </c>
      <c r="F41" s="112">
        <v>7.03</v>
      </c>
      <c r="G41" s="112">
        <v>9.31</v>
      </c>
      <c r="H41" s="112">
        <v>1.35</v>
      </c>
      <c r="I41" s="112">
        <v>3.6</v>
      </c>
      <c r="J41" s="112">
        <v>0.16</v>
      </c>
      <c r="K41" s="112">
        <v>338.45</v>
      </c>
      <c r="L41" s="112">
        <v>27.75</v>
      </c>
      <c r="M41" s="112">
        <v>90.59</v>
      </c>
      <c r="N41" s="112">
        <v>100.1</v>
      </c>
      <c r="O41" s="112">
        <v>0</v>
      </c>
      <c r="P41" s="112">
        <v>0.38</v>
      </c>
      <c r="Q41" s="112">
        <v>4.71</v>
      </c>
    </row>
    <row r="42" spans="1:17" customFormat="1">
      <c r="A42" s="80">
        <v>45491.354166666664</v>
      </c>
      <c r="B42" s="112">
        <v>9.2100000000000009</v>
      </c>
      <c r="C42" s="112">
        <v>4.08</v>
      </c>
      <c r="D42" s="112">
        <v>13.97</v>
      </c>
      <c r="E42" s="112">
        <v>9.74</v>
      </c>
      <c r="F42" s="112">
        <v>6.85</v>
      </c>
      <c r="G42" s="112">
        <v>9.58</v>
      </c>
      <c r="H42" s="112">
        <v>1.4</v>
      </c>
      <c r="I42" s="112">
        <v>3.71</v>
      </c>
      <c r="J42" s="112">
        <v>0.24</v>
      </c>
      <c r="K42" s="112">
        <v>346.88</v>
      </c>
      <c r="L42" s="112">
        <v>27.9</v>
      </c>
      <c r="M42" s="112">
        <v>90.35</v>
      </c>
      <c r="N42" s="112">
        <v>113.1</v>
      </c>
      <c r="O42" s="112">
        <v>0</v>
      </c>
      <c r="P42" s="112">
        <v>0.37</v>
      </c>
      <c r="Q42" s="112">
        <v>4.71</v>
      </c>
    </row>
    <row r="43" spans="1:17" customFormat="1">
      <c r="A43" s="80">
        <v>45491.364583333336</v>
      </c>
      <c r="B43" s="112">
        <v>9.1999999999999993</v>
      </c>
      <c r="C43" s="112">
        <v>4.08</v>
      </c>
      <c r="D43" s="112">
        <v>13.96</v>
      </c>
      <c r="E43" s="112">
        <v>9.2899999999999991</v>
      </c>
      <c r="F43" s="112">
        <v>5.0599999999999996</v>
      </c>
      <c r="G43" s="112">
        <v>14.08</v>
      </c>
      <c r="H43" s="112">
        <v>2.1</v>
      </c>
      <c r="I43" s="112">
        <v>3.73</v>
      </c>
      <c r="J43" s="112">
        <v>0.33</v>
      </c>
      <c r="K43" s="112">
        <v>11.28</v>
      </c>
      <c r="L43" s="112">
        <v>28.11</v>
      </c>
      <c r="M43" s="112">
        <v>89.28</v>
      </c>
      <c r="N43" s="112">
        <v>103.1</v>
      </c>
      <c r="O43" s="112">
        <v>0</v>
      </c>
      <c r="P43" s="112">
        <v>0.37</v>
      </c>
      <c r="Q43" s="112">
        <v>4.71</v>
      </c>
    </row>
    <row r="44" spans="1:17" customFormat="1">
      <c r="A44" s="80">
        <v>45491.375</v>
      </c>
      <c r="B44" s="112">
        <v>9.18</v>
      </c>
      <c r="C44" s="112">
        <v>4.1100000000000003</v>
      </c>
      <c r="D44" s="112">
        <v>13.96</v>
      </c>
      <c r="E44" s="112">
        <v>10.08</v>
      </c>
      <c r="F44" s="112">
        <v>5.68</v>
      </c>
      <c r="G44" s="112">
        <v>14.08</v>
      </c>
      <c r="H44" s="112">
        <v>2.1</v>
      </c>
      <c r="I44" s="112">
        <v>3.77</v>
      </c>
      <c r="J44" s="112">
        <v>0.26</v>
      </c>
      <c r="K44" s="112">
        <v>320.17</v>
      </c>
      <c r="L44" s="112">
        <v>28.57</v>
      </c>
      <c r="M44" s="112">
        <v>87.78</v>
      </c>
      <c r="N44" s="112">
        <v>231.5</v>
      </c>
      <c r="O44" s="112">
        <v>0</v>
      </c>
      <c r="P44" s="112">
        <v>0.38</v>
      </c>
      <c r="Q44" s="112">
        <v>4.71</v>
      </c>
    </row>
    <row r="45" spans="1:17" customFormat="1">
      <c r="A45" s="80">
        <v>45491.385416666664</v>
      </c>
      <c r="B45" s="112">
        <v>9.2100000000000009</v>
      </c>
      <c r="C45" s="112">
        <v>4.08</v>
      </c>
      <c r="D45" s="112">
        <v>13.97</v>
      </c>
      <c r="E45" s="112">
        <v>10.93</v>
      </c>
      <c r="F45" s="112">
        <v>5.0999999999999996</v>
      </c>
      <c r="G45" s="112">
        <v>14.08</v>
      </c>
      <c r="H45" s="112">
        <v>2.1</v>
      </c>
      <c r="I45" s="112">
        <v>3.86</v>
      </c>
      <c r="J45" s="112">
        <v>0.32</v>
      </c>
      <c r="K45" s="112">
        <v>33.17</v>
      </c>
      <c r="L45" s="112">
        <v>29.6</v>
      </c>
      <c r="M45" s="112">
        <v>83.57</v>
      </c>
      <c r="N45" s="112">
        <v>240.8</v>
      </c>
      <c r="O45" s="112">
        <v>0</v>
      </c>
      <c r="P45" s="112">
        <v>0.39</v>
      </c>
      <c r="Q45" s="112">
        <v>4.68</v>
      </c>
    </row>
    <row r="46" spans="1:17" customFormat="1">
      <c r="A46" s="80">
        <v>45491.395833333336</v>
      </c>
      <c r="B46" s="112">
        <v>9.2100000000000009</v>
      </c>
      <c r="C46" s="112">
        <v>4.0599999999999996</v>
      </c>
      <c r="D46" s="112">
        <v>13.95</v>
      </c>
      <c r="E46" s="112">
        <v>11.22</v>
      </c>
      <c r="F46" s="112">
        <v>4.84</v>
      </c>
      <c r="G46" s="112">
        <v>15.34</v>
      </c>
      <c r="H46" s="112">
        <v>2.4300000000000002</v>
      </c>
      <c r="I46" s="112">
        <v>3.96</v>
      </c>
      <c r="J46" s="112">
        <v>0.56999999999999995</v>
      </c>
      <c r="K46" s="112">
        <v>74.42</v>
      </c>
      <c r="L46" s="112">
        <v>30.37</v>
      </c>
      <c r="M46" s="112">
        <v>79.5</v>
      </c>
      <c r="N46" s="112">
        <v>234</v>
      </c>
      <c r="O46" s="112">
        <v>0</v>
      </c>
      <c r="P46" s="112">
        <v>0.39</v>
      </c>
      <c r="Q46" s="112">
        <v>4.6900000000000004</v>
      </c>
    </row>
    <row r="47" spans="1:17" customFormat="1">
      <c r="A47" s="80">
        <v>45491.40625</v>
      </c>
      <c r="B47" s="112">
        <v>9.2100000000000009</v>
      </c>
      <c r="C47" s="112">
        <v>4.0599999999999996</v>
      </c>
      <c r="D47" s="112">
        <v>13.95</v>
      </c>
      <c r="E47" s="112">
        <v>11.07</v>
      </c>
      <c r="F47" s="112">
        <v>5.15</v>
      </c>
      <c r="G47" s="112">
        <v>36.65</v>
      </c>
      <c r="H47" s="112">
        <v>7.5</v>
      </c>
      <c r="I47" s="112">
        <v>4.0999999999999996</v>
      </c>
      <c r="J47" s="112">
        <v>0.55000000000000004</v>
      </c>
      <c r="K47" s="112">
        <v>36.99</v>
      </c>
      <c r="L47" s="112">
        <v>30.54</v>
      </c>
      <c r="M47" s="112">
        <v>78.37</v>
      </c>
      <c r="N47" s="112">
        <v>275</v>
      </c>
      <c r="O47" s="112">
        <v>0</v>
      </c>
      <c r="P47" s="112">
        <v>0.42</v>
      </c>
      <c r="Q47" s="112">
        <v>4.7</v>
      </c>
    </row>
    <row r="48" spans="1:17" customFormat="1">
      <c r="A48" s="80">
        <v>45491.416666666664</v>
      </c>
      <c r="B48" s="112">
        <v>9.2100000000000009</v>
      </c>
      <c r="C48" s="112">
        <v>4.0599999999999996</v>
      </c>
      <c r="D48" s="112">
        <v>13.96</v>
      </c>
      <c r="E48" s="112">
        <v>13.06</v>
      </c>
      <c r="F48" s="112">
        <v>5.21</v>
      </c>
      <c r="G48" s="112">
        <v>36.65</v>
      </c>
      <c r="H48" s="112">
        <v>7.5</v>
      </c>
      <c r="I48" s="112">
        <v>4.1500000000000004</v>
      </c>
      <c r="J48" s="112">
        <v>0.63</v>
      </c>
      <c r="K48" s="112">
        <v>55.29</v>
      </c>
      <c r="L48" s="112">
        <v>30.91</v>
      </c>
      <c r="M48" s="112">
        <v>76.67</v>
      </c>
      <c r="N48" s="112">
        <v>282.60000000000002</v>
      </c>
      <c r="O48" s="112">
        <v>0</v>
      </c>
      <c r="P48" s="112">
        <v>0.43</v>
      </c>
      <c r="Q48" s="112">
        <v>4.7</v>
      </c>
    </row>
    <row r="49" spans="1:17" customFormat="1">
      <c r="A49" s="80">
        <v>45491.427083333336</v>
      </c>
      <c r="B49" s="112">
        <v>9.24</v>
      </c>
      <c r="C49" s="112">
        <v>4.0599999999999996</v>
      </c>
      <c r="D49" s="112">
        <v>13.98</v>
      </c>
      <c r="E49" s="112">
        <v>10.27</v>
      </c>
      <c r="F49" s="112">
        <v>4.3600000000000003</v>
      </c>
      <c r="G49" s="112">
        <v>36.65</v>
      </c>
      <c r="H49" s="112">
        <v>7.5</v>
      </c>
      <c r="I49" s="112">
        <v>4.5</v>
      </c>
      <c r="J49" s="112">
        <v>0.52</v>
      </c>
      <c r="K49" s="112">
        <v>58.08</v>
      </c>
      <c r="L49" s="112">
        <v>30.89</v>
      </c>
      <c r="M49" s="112">
        <v>78.16</v>
      </c>
      <c r="N49" s="112">
        <v>222.9</v>
      </c>
      <c r="O49" s="112">
        <v>0</v>
      </c>
      <c r="P49" s="112">
        <v>0.44</v>
      </c>
      <c r="Q49" s="112">
        <v>4.7</v>
      </c>
    </row>
    <row r="50" spans="1:17" customFormat="1">
      <c r="A50" s="80">
        <v>45491.4375</v>
      </c>
      <c r="B50" s="112">
        <v>9.24</v>
      </c>
      <c r="C50" s="112">
        <v>4.07</v>
      </c>
      <c r="D50" s="112">
        <v>13.98</v>
      </c>
      <c r="E50" s="112">
        <v>15.28</v>
      </c>
      <c r="F50" s="112">
        <v>4.99</v>
      </c>
      <c r="G50" s="112">
        <v>38.380000000000003</v>
      </c>
      <c r="H50" s="112">
        <v>7.85</v>
      </c>
      <c r="I50" s="112">
        <v>4.6900000000000004</v>
      </c>
      <c r="J50" s="112">
        <v>0.92</v>
      </c>
      <c r="K50" s="112">
        <v>35.950000000000003</v>
      </c>
      <c r="L50" s="112">
        <v>30.8</v>
      </c>
      <c r="M50" s="112">
        <v>77.5</v>
      </c>
      <c r="N50" s="112">
        <v>266.5</v>
      </c>
      <c r="O50" s="112">
        <v>0</v>
      </c>
      <c r="P50" s="112">
        <v>0.45</v>
      </c>
      <c r="Q50" s="112">
        <v>4.6900000000000004</v>
      </c>
    </row>
    <row r="51" spans="1:17" customFormat="1">
      <c r="A51" s="80">
        <v>45491.447916666664</v>
      </c>
      <c r="B51" s="112">
        <v>9.17</v>
      </c>
      <c r="C51" s="112">
        <v>4.0999999999999996</v>
      </c>
      <c r="D51" s="112">
        <v>13.94</v>
      </c>
      <c r="E51" s="112">
        <v>17.11</v>
      </c>
      <c r="F51" s="112">
        <v>4.46</v>
      </c>
      <c r="G51" s="112">
        <v>67.66</v>
      </c>
      <c r="H51" s="112">
        <v>13.32</v>
      </c>
      <c r="I51" s="112">
        <v>4.8099999999999996</v>
      </c>
      <c r="J51" s="112">
        <v>0.9</v>
      </c>
      <c r="K51" s="112">
        <v>41.32</v>
      </c>
      <c r="L51" s="112">
        <v>31.27</v>
      </c>
      <c r="M51" s="112">
        <v>76.930000000000007</v>
      </c>
      <c r="N51" s="112">
        <v>260.5</v>
      </c>
      <c r="O51" s="112">
        <v>0</v>
      </c>
      <c r="P51" s="112">
        <v>0.47</v>
      </c>
      <c r="Q51" s="112">
        <v>4.6900000000000004</v>
      </c>
    </row>
    <row r="52" spans="1:17" customFormat="1">
      <c r="A52" s="80">
        <v>45491.458333333336</v>
      </c>
      <c r="B52" s="112">
        <v>9.14</v>
      </c>
      <c r="C52" s="112">
        <v>4.0999999999999996</v>
      </c>
      <c r="D52" s="112">
        <v>13.92</v>
      </c>
      <c r="E52" s="112">
        <v>18.43</v>
      </c>
      <c r="F52" s="112">
        <v>14.66</v>
      </c>
      <c r="G52" s="112">
        <v>67.66</v>
      </c>
      <c r="H52" s="112">
        <v>13.32</v>
      </c>
      <c r="I52" s="112">
        <v>4.88</v>
      </c>
      <c r="J52" s="112">
        <v>1.1200000000000001</v>
      </c>
      <c r="K52" s="112">
        <v>45.61</v>
      </c>
      <c r="L52" s="112">
        <v>31.13</v>
      </c>
      <c r="M52" s="112">
        <v>76.81</v>
      </c>
      <c r="N52" s="112">
        <v>297</v>
      </c>
      <c r="O52" s="112">
        <v>0</v>
      </c>
      <c r="P52" s="112">
        <v>0.51</v>
      </c>
      <c r="Q52" s="112">
        <v>4.71</v>
      </c>
    </row>
    <row r="53" spans="1:17" customFormat="1">
      <c r="A53" s="80">
        <v>45491.46875</v>
      </c>
      <c r="B53" s="112">
        <v>9.1199999999999992</v>
      </c>
      <c r="C53" s="112">
        <v>4.07</v>
      </c>
      <c r="D53" s="112">
        <v>13.89</v>
      </c>
      <c r="E53" s="112">
        <v>24.75</v>
      </c>
      <c r="F53" s="112">
        <v>17.739999999999998</v>
      </c>
      <c r="G53" s="112">
        <v>67.66</v>
      </c>
      <c r="H53" s="112">
        <v>13.32</v>
      </c>
      <c r="I53" s="112">
        <v>4.92</v>
      </c>
      <c r="J53" s="112">
        <v>1.07</v>
      </c>
      <c r="K53" s="112">
        <v>36.049999999999997</v>
      </c>
      <c r="L53" s="112">
        <v>31.39</v>
      </c>
      <c r="M53" s="112">
        <v>75.39</v>
      </c>
      <c r="N53" s="112">
        <v>278.5</v>
      </c>
      <c r="O53" s="112">
        <v>0</v>
      </c>
      <c r="P53" s="112">
        <v>0.49</v>
      </c>
      <c r="Q53" s="112">
        <v>4.7</v>
      </c>
    </row>
    <row r="54" spans="1:17" customFormat="1">
      <c r="A54" s="80">
        <v>45491.479166666664</v>
      </c>
      <c r="B54" s="112">
        <v>9.61</v>
      </c>
      <c r="C54" s="112">
        <v>4.0599999999999996</v>
      </c>
      <c r="D54" s="112">
        <v>14.28</v>
      </c>
      <c r="E54" s="112">
        <v>23.43</v>
      </c>
      <c r="F54" s="112">
        <v>19</v>
      </c>
      <c r="G54" s="112">
        <v>67.569999999999993</v>
      </c>
      <c r="H54" s="112">
        <v>11.96</v>
      </c>
      <c r="I54" s="112">
        <v>5.0999999999999996</v>
      </c>
      <c r="J54" s="112">
        <v>0.97</v>
      </c>
      <c r="K54" s="112">
        <v>54.12</v>
      </c>
      <c r="L54" s="112">
        <v>31.47</v>
      </c>
      <c r="M54" s="112">
        <v>76</v>
      </c>
      <c r="N54" s="112">
        <v>315</v>
      </c>
      <c r="O54" s="112">
        <v>0</v>
      </c>
      <c r="P54" s="112">
        <v>0.48</v>
      </c>
      <c r="Q54" s="112">
        <v>4.45</v>
      </c>
    </row>
    <row r="55" spans="1:17" customFormat="1">
      <c r="A55" s="80">
        <v>45491.489583333336</v>
      </c>
      <c r="B55" s="112">
        <v>9.57</v>
      </c>
      <c r="C55" s="112">
        <v>4.0599999999999996</v>
      </c>
      <c r="D55" s="112">
        <v>14.25</v>
      </c>
      <c r="E55" s="112">
        <v>10.72</v>
      </c>
      <c r="F55" s="112">
        <v>19.77</v>
      </c>
      <c r="G55" s="112">
        <v>65.37</v>
      </c>
      <c r="H55" s="112">
        <v>11.96</v>
      </c>
      <c r="I55" s="112">
        <v>4.87</v>
      </c>
      <c r="J55" s="112">
        <v>0.87</v>
      </c>
      <c r="K55" s="112">
        <v>54.12</v>
      </c>
      <c r="L55" s="112">
        <v>31.68</v>
      </c>
      <c r="M55" s="112">
        <v>75.010000000000005</v>
      </c>
      <c r="N55" s="112">
        <v>347.3</v>
      </c>
      <c r="O55" s="112">
        <v>0</v>
      </c>
      <c r="P55" s="112">
        <v>0.46</v>
      </c>
      <c r="Q55" s="112">
        <v>4.71</v>
      </c>
    </row>
    <row r="56" spans="1:17" customFormat="1">
      <c r="A56" s="80">
        <v>45491.5</v>
      </c>
      <c r="B56" s="112">
        <v>9.77</v>
      </c>
      <c r="C56" s="112">
        <v>4.0199999999999996</v>
      </c>
      <c r="D56" s="112">
        <v>14.38</v>
      </c>
      <c r="E56" s="112">
        <v>13.01</v>
      </c>
      <c r="F56" s="112">
        <v>37.39</v>
      </c>
      <c r="G56" s="112">
        <v>65.37</v>
      </c>
      <c r="H56" s="112">
        <v>11.96</v>
      </c>
      <c r="I56" s="112">
        <v>5.45</v>
      </c>
      <c r="J56" s="112">
        <v>1.05</v>
      </c>
      <c r="K56" s="112">
        <v>46.49</v>
      </c>
      <c r="L56" s="112">
        <v>32.119999999999997</v>
      </c>
      <c r="M56" s="112">
        <v>72.989999999999995</v>
      </c>
      <c r="N56" s="112">
        <v>300.10000000000002</v>
      </c>
      <c r="O56" s="112">
        <v>0</v>
      </c>
      <c r="P56" s="112">
        <v>0.48</v>
      </c>
      <c r="Q56" s="112">
        <v>4.72</v>
      </c>
    </row>
    <row r="57" spans="1:17" customFormat="1">
      <c r="A57" s="80">
        <v>45491.510416666664</v>
      </c>
      <c r="B57" s="112">
        <v>9.44</v>
      </c>
      <c r="C57" s="112">
        <v>4.05</v>
      </c>
      <c r="D57" s="112">
        <v>14.14</v>
      </c>
      <c r="E57" s="112">
        <v>3.42</v>
      </c>
      <c r="F57" s="112">
        <v>44.01</v>
      </c>
      <c r="G57" s="112">
        <v>65.37</v>
      </c>
      <c r="H57" s="112">
        <v>11.96</v>
      </c>
      <c r="I57" s="112">
        <v>7.22</v>
      </c>
      <c r="J57" s="112">
        <v>1.21</v>
      </c>
      <c r="K57" s="112">
        <v>50.96</v>
      </c>
      <c r="L57" s="112">
        <v>31.77</v>
      </c>
      <c r="M57" s="112">
        <v>73.67</v>
      </c>
      <c r="N57" s="112">
        <v>226.7</v>
      </c>
      <c r="O57" s="112">
        <v>0</v>
      </c>
      <c r="P57" s="112">
        <v>0.46</v>
      </c>
      <c r="Q57" s="112">
        <v>4.72</v>
      </c>
    </row>
    <row r="58" spans="1:17" customFormat="1">
      <c r="A58" s="80">
        <v>45491.520833333336</v>
      </c>
      <c r="B58" s="112">
        <v>9.35</v>
      </c>
      <c r="C58" s="112">
        <v>4.0599999999999996</v>
      </c>
      <c r="D58" s="112">
        <v>14.07</v>
      </c>
      <c r="E58" s="112">
        <v>15.27</v>
      </c>
      <c r="F58" s="112">
        <v>41.91</v>
      </c>
      <c r="G58" s="112">
        <v>65.25</v>
      </c>
      <c r="H58" s="112">
        <v>11.82</v>
      </c>
      <c r="I58" s="112">
        <v>14.22</v>
      </c>
      <c r="J58" s="112">
        <v>1.3</v>
      </c>
      <c r="K58" s="112">
        <v>52.58</v>
      </c>
      <c r="L58" s="112">
        <v>31.31</v>
      </c>
      <c r="M58" s="112">
        <v>75.430000000000007</v>
      </c>
      <c r="N58" s="112">
        <v>257.3</v>
      </c>
      <c r="O58" s="112">
        <v>0</v>
      </c>
      <c r="P58" s="112">
        <v>0.47</v>
      </c>
      <c r="Q58" s="112">
        <v>4.71</v>
      </c>
    </row>
    <row r="59" spans="1:17" customFormat="1">
      <c r="A59" s="80">
        <v>45491.53125</v>
      </c>
      <c r="B59" s="112">
        <v>9.3699999999999992</v>
      </c>
      <c r="C59" s="112">
        <v>4.07</v>
      </c>
      <c r="D59" s="112">
        <v>14.09</v>
      </c>
      <c r="E59" s="151" t="s">
        <v>12</v>
      </c>
      <c r="F59" s="112">
        <v>27.74</v>
      </c>
      <c r="G59" s="112">
        <v>63.25</v>
      </c>
      <c r="H59" s="112">
        <v>9.7200000000000006</v>
      </c>
      <c r="I59" s="112">
        <v>6.41</v>
      </c>
      <c r="J59" s="112">
        <v>1.4</v>
      </c>
      <c r="K59" s="112">
        <v>48.81</v>
      </c>
      <c r="L59" s="112">
        <v>31.59</v>
      </c>
      <c r="M59" s="112">
        <v>74.28</v>
      </c>
      <c r="N59" s="112">
        <v>353.2</v>
      </c>
      <c r="O59" s="112">
        <v>0</v>
      </c>
      <c r="P59" s="112">
        <v>0.46</v>
      </c>
      <c r="Q59" s="112">
        <v>4.72</v>
      </c>
    </row>
    <row r="60" spans="1:17" customFormat="1">
      <c r="A60" s="80">
        <v>45491.541666666664</v>
      </c>
      <c r="B60" s="112">
        <v>9.33</v>
      </c>
      <c r="C60" s="112">
        <v>5.13</v>
      </c>
      <c r="D60" s="112">
        <v>14.61</v>
      </c>
      <c r="E60" s="112">
        <v>5.73</v>
      </c>
      <c r="F60" s="112">
        <v>40.950000000000003</v>
      </c>
      <c r="G60" s="112">
        <v>63.25</v>
      </c>
      <c r="H60" s="112">
        <v>9.7200000000000006</v>
      </c>
      <c r="I60" s="112">
        <v>4.9800000000000004</v>
      </c>
      <c r="J60" s="112">
        <v>1.35</v>
      </c>
      <c r="K60" s="112">
        <v>48.13</v>
      </c>
      <c r="L60" s="112">
        <v>31.92</v>
      </c>
      <c r="M60" s="112">
        <v>71.86</v>
      </c>
      <c r="N60" s="112">
        <v>461</v>
      </c>
      <c r="O60" s="112">
        <v>0</v>
      </c>
      <c r="P60" s="112">
        <v>0.46</v>
      </c>
      <c r="Q60" s="112">
        <v>4.72</v>
      </c>
    </row>
    <row r="61" spans="1:17" customFormat="1">
      <c r="A61" s="80">
        <v>45491.552083333336</v>
      </c>
      <c r="B61" s="112">
        <v>9.32</v>
      </c>
      <c r="C61" s="112">
        <v>4.33</v>
      </c>
      <c r="D61" s="112">
        <v>14.18</v>
      </c>
      <c r="E61" s="112">
        <v>7.99</v>
      </c>
      <c r="F61" s="112">
        <v>52.79</v>
      </c>
      <c r="G61" s="112">
        <v>63.25</v>
      </c>
      <c r="H61" s="112">
        <v>9.7200000000000006</v>
      </c>
      <c r="I61" s="112">
        <v>8.8800000000000008</v>
      </c>
      <c r="J61" s="112">
        <v>1.04</v>
      </c>
      <c r="K61" s="112">
        <v>51.43</v>
      </c>
      <c r="L61" s="112">
        <v>32.32</v>
      </c>
      <c r="M61" s="112">
        <v>69.239999999999995</v>
      </c>
      <c r="N61" s="112">
        <v>338.1</v>
      </c>
      <c r="O61" s="112">
        <v>0</v>
      </c>
      <c r="P61" s="112">
        <v>0.4</v>
      </c>
      <c r="Q61" s="112">
        <v>4.7</v>
      </c>
    </row>
    <row r="62" spans="1:17" customFormat="1">
      <c r="A62" s="80">
        <v>45491.5625</v>
      </c>
      <c r="B62" s="112">
        <v>9.2899999999999991</v>
      </c>
      <c r="C62" s="112">
        <v>4.1399999999999997</v>
      </c>
      <c r="D62" s="112">
        <v>14.07</v>
      </c>
      <c r="E62" s="112">
        <v>8.1</v>
      </c>
      <c r="F62" s="112">
        <v>39.020000000000003</v>
      </c>
      <c r="G62" s="112">
        <v>63.06</v>
      </c>
      <c r="H62" s="112">
        <v>10.11</v>
      </c>
      <c r="I62" s="112">
        <v>8.02</v>
      </c>
      <c r="J62" s="112">
        <v>1.1499999999999999</v>
      </c>
      <c r="K62" s="112">
        <v>53.05</v>
      </c>
      <c r="L62" s="112">
        <v>32.619999999999997</v>
      </c>
      <c r="M62" s="112">
        <v>70.59</v>
      </c>
      <c r="N62" s="112">
        <v>351.3</v>
      </c>
      <c r="O62" s="112">
        <v>0</v>
      </c>
      <c r="P62" s="112">
        <v>0.17</v>
      </c>
      <c r="Q62" s="112">
        <v>4.6900000000000004</v>
      </c>
    </row>
    <row r="63" spans="1:17" customFormat="1">
      <c r="A63" s="80">
        <v>45491.572916666664</v>
      </c>
      <c r="B63" s="112">
        <v>9.41</v>
      </c>
      <c r="C63" s="112">
        <v>4.0999999999999996</v>
      </c>
      <c r="D63" s="112">
        <v>14.14</v>
      </c>
      <c r="E63" s="112">
        <v>8.36</v>
      </c>
      <c r="F63" s="112">
        <v>24.17</v>
      </c>
      <c r="G63" s="112">
        <v>59.83</v>
      </c>
      <c r="H63" s="112">
        <v>16.07</v>
      </c>
      <c r="I63" s="112">
        <v>4.46</v>
      </c>
      <c r="J63" s="112">
        <v>0.68</v>
      </c>
      <c r="K63" s="112">
        <v>55.82</v>
      </c>
      <c r="L63" s="112">
        <v>32.92</v>
      </c>
      <c r="M63" s="112">
        <v>75.05</v>
      </c>
      <c r="N63" s="112">
        <v>295.89999999999998</v>
      </c>
      <c r="O63" s="112">
        <v>0</v>
      </c>
      <c r="P63" s="112">
        <v>0.47</v>
      </c>
      <c r="Q63" s="112">
        <v>4.68</v>
      </c>
    </row>
    <row r="64" spans="1:17" customFormat="1">
      <c r="A64" s="80">
        <v>45491.583333333336</v>
      </c>
      <c r="B64" s="112">
        <v>9.49</v>
      </c>
      <c r="C64" s="112">
        <v>4.05</v>
      </c>
      <c r="D64" s="112">
        <v>14.17</v>
      </c>
      <c r="E64" s="112">
        <v>7.31</v>
      </c>
      <c r="F64" s="112">
        <v>12.73</v>
      </c>
      <c r="G64" s="112">
        <v>59.83</v>
      </c>
      <c r="H64" s="112">
        <v>16.07</v>
      </c>
      <c r="I64" s="112">
        <v>2.98</v>
      </c>
      <c r="J64" s="112">
        <v>0.54</v>
      </c>
      <c r="K64" s="112">
        <v>71.73</v>
      </c>
      <c r="L64" s="112">
        <v>32.880000000000003</v>
      </c>
      <c r="M64" s="112">
        <v>75.08</v>
      </c>
      <c r="N64" s="112">
        <v>300.10000000000002</v>
      </c>
      <c r="O64" s="112">
        <v>0</v>
      </c>
      <c r="P64" s="112">
        <v>0.49</v>
      </c>
      <c r="Q64" s="112">
        <v>4.67</v>
      </c>
    </row>
    <row r="65" spans="1:17" customFormat="1">
      <c r="A65" s="80">
        <v>45491.59375</v>
      </c>
      <c r="B65" s="112">
        <v>9.48</v>
      </c>
      <c r="C65" s="112">
        <v>4.0599999999999996</v>
      </c>
      <c r="D65" s="112">
        <v>14.17</v>
      </c>
      <c r="E65" s="112">
        <v>6.24</v>
      </c>
      <c r="F65" s="112">
        <v>8.75</v>
      </c>
      <c r="G65" s="112">
        <v>59.83</v>
      </c>
      <c r="H65" s="112">
        <v>16.07</v>
      </c>
      <c r="I65" s="112">
        <v>3.24</v>
      </c>
      <c r="J65" s="112">
        <v>0.71</v>
      </c>
      <c r="K65" s="112">
        <v>63.02</v>
      </c>
      <c r="L65" s="112">
        <v>32.47</v>
      </c>
      <c r="M65" s="112">
        <v>73.069999999999993</v>
      </c>
      <c r="N65" s="112">
        <v>201.9</v>
      </c>
      <c r="O65" s="112">
        <v>0</v>
      </c>
      <c r="P65" s="112">
        <v>0.37</v>
      </c>
      <c r="Q65" s="112">
        <v>4.6900000000000004</v>
      </c>
    </row>
    <row r="66" spans="1:17" customFormat="1">
      <c r="A66" s="80">
        <v>45491.604166666664</v>
      </c>
      <c r="B66" s="112">
        <v>9.44</v>
      </c>
      <c r="C66" s="112">
        <v>4.09</v>
      </c>
      <c r="D66" s="112">
        <v>14.15</v>
      </c>
      <c r="E66" s="112">
        <v>5.74</v>
      </c>
      <c r="F66" s="112">
        <v>11.83</v>
      </c>
      <c r="G66" s="112">
        <v>59.5</v>
      </c>
      <c r="H66" s="112">
        <v>16.260000000000002</v>
      </c>
      <c r="I66" s="112">
        <v>3.46</v>
      </c>
      <c r="J66" s="112">
        <v>0.62</v>
      </c>
      <c r="K66" s="112">
        <v>68.55</v>
      </c>
      <c r="L66" s="112">
        <v>32.42</v>
      </c>
      <c r="M66" s="112">
        <v>74.89</v>
      </c>
      <c r="N66" s="112">
        <v>345.8</v>
      </c>
      <c r="O66" s="112">
        <v>0</v>
      </c>
      <c r="P66" s="112">
        <v>0.38</v>
      </c>
      <c r="Q66" s="112">
        <v>4.68</v>
      </c>
    </row>
    <row r="67" spans="1:17" customFormat="1">
      <c r="A67" s="80">
        <v>45491.614583333336</v>
      </c>
      <c r="B67" s="112">
        <v>9.42</v>
      </c>
      <c r="C67" s="112">
        <v>4.08</v>
      </c>
      <c r="D67" s="112">
        <v>14.14</v>
      </c>
      <c r="E67" s="112">
        <v>5.51</v>
      </c>
      <c r="F67" s="112">
        <v>9.68</v>
      </c>
      <c r="G67" s="112">
        <v>53.94</v>
      </c>
      <c r="H67" s="112">
        <v>18.57</v>
      </c>
      <c r="I67" s="112">
        <v>3.6</v>
      </c>
      <c r="J67" s="112">
        <v>0.6</v>
      </c>
      <c r="K67" s="112">
        <v>65.27</v>
      </c>
      <c r="L67" s="112">
        <v>32.93</v>
      </c>
      <c r="M67" s="112">
        <v>73.22</v>
      </c>
      <c r="N67" s="112">
        <v>442.5</v>
      </c>
      <c r="O67" s="112">
        <v>0</v>
      </c>
      <c r="P67" s="112">
        <v>0.36</v>
      </c>
      <c r="Q67" s="112">
        <v>4.68</v>
      </c>
    </row>
    <row r="68" spans="1:17" customFormat="1">
      <c r="A68" s="80">
        <v>45491.625</v>
      </c>
      <c r="B68" s="112">
        <v>9.43</v>
      </c>
      <c r="C68" s="112">
        <v>4.08</v>
      </c>
      <c r="D68" s="112">
        <v>14.14</v>
      </c>
      <c r="E68" s="112">
        <v>4.9800000000000004</v>
      </c>
      <c r="F68" s="112">
        <v>9.1999999999999993</v>
      </c>
      <c r="G68" s="112">
        <v>53.94</v>
      </c>
      <c r="H68" s="112">
        <v>18.57</v>
      </c>
      <c r="I68" s="112">
        <v>3.65</v>
      </c>
      <c r="J68" s="112">
        <v>0.27</v>
      </c>
      <c r="K68" s="112">
        <v>117.53</v>
      </c>
      <c r="L68" s="112">
        <v>33.15</v>
      </c>
      <c r="M68" s="112">
        <v>71.849999999999994</v>
      </c>
      <c r="N68" s="112">
        <v>200.7</v>
      </c>
      <c r="O68" s="112">
        <v>0</v>
      </c>
      <c r="P68" s="112">
        <v>0.36</v>
      </c>
      <c r="Q68" s="112">
        <v>4.6900000000000004</v>
      </c>
    </row>
    <row r="69" spans="1:17" customFormat="1">
      <c r="A69" s="80">
        <v>45491.635416666664</v>
      </c>
      <c r="B69" s="112">
        <v>9.43</v>
      </c>
      <c r="C69" s="112">
        <v>4.08</v>
      </c>
      <c r="D69" s="112">
        <v>14.15</v>
      </c>
      <c r="E69" s="112">
        <v>5.16</v>
      </c>
      <c r="F69" s="112">
        <v>9.33</v>
      </c>
      <c r="G69" s="112">
        <v>53.94</v>
      </c>
      <c r="H69" s="112">
        <v>18.57</v>
      </c>
      <c r="I69" s="112">
        <v>3.66</v>
      </c>
      <c r="J69" s="112">
        <v>0.3</v>
      </c>
      <c r="K69" s="112">
        <v>122.67</v>
      </c>
      <c r="L69" s="112">
        <v>32.69</v>
      </c>
      <c r="M69" s="112">
        <v>74.430000000000007</v>
      </c>
      <c r="N69" s="112">
        <v>341.3</v>
      </c>
      <c r="O69" s="112">
        <v>0</v>
      </c>
      <c r="P69" s="112">
        <v>0.35</v>
      </c>
      <c r="Q69" s="112">
        <v>4.7</v>
      </c>
    </row>
    <row r="70" spans="1:17" customFormat="1">
      <c r="A70" s="80">
        <v>45491.645833333336</v>
      </c>
      <c r="B70" s="112">
        <v>9.4</v>
      </c>
      <c r="C70" s="112">
        <v>4.09</v>
      </c>
      <c r="D70" s="112">
        <v>14.12</v>
      </c>
      <c r="E70" s="112">
        <v>5.38</v>
      </c>
      <c r="F70" s="112">
        <v>13.15</v>
      </c>
      <c r="G70" s="112">
        <v>53.69</v>
      </c>
      <c r="H70" s="112">
        <v>18.52</v>
      </c>
      <c r="I70" s="112">
        <v>3.78</v>
      </c>
      <c r="J70" s="112">
        <v>0.67</v>
      </c>
      <c r="K70" s="112">
        <v>61.65</v>
      </c>
      <c r="L70" s="112">
        <v>33.130000000000003</v>
      </c>
      <c r="M70" s="112">
        <v>72.75</v>
      </c>
      <c r="N70" s="112">
        <v>213.5</v>
      </c>
      <c r="O70" s="112">
        <v>0</v>
      </c>
      <c r="P70" s="112">
        <v>0.34</v>
      </c>
      <c r="Q70" s="112">
        <v>4.7</v>
      </c>
    </row>
    <row r="71" spans="1:17" customFormat="1">
      <c r="A71" s="80">
        <v>45491.65625</v>
      </c>
      <c r="B71" s="112">
        <v>9.4</v>
      </c>
      <c r="C71" s="112">
        <v>4.07</v>
      </c>
      <c r="D71" s="112">
        <v>14.12</v>
      </c>
      <c r="E71" s="112">
        <v>5.49</v>
      </c>
      <c r="F71" s="112">
        <v>11.51</v>
      </c>
      <c r="G71" s="112">
        <v>49.49</v>
      </c>
      <c r="H71" s="112">
        <v>17.850000000000001</v>
      </c>
      <c r="I71" s="112">
        <v>3.8</v>
      </c>
      <c r="J71" s="112">
        <v>0.41</v>
      </c>
      <c r="K71" s="112">
        <v>82.92</v>
      </c>
      <c r="L71" s="112">
        <v>33.119999999999997</v>
      </c>
      <c r="M71" s="112">
        <v>70.95</v>
      </c>
      <c r="N71" s="112">
        <v>157.69999999999999</v>
      </c>
      <c r="O71" s="112">
        <v>0</v>
      </c>
      <c r="P71" s="112">
        <v>0.33</v>
      </c>
      <c r="Q71" s="112">
        <v>4.6900000000000004</v>
      </c>
    </row>
    <row r="72" spans="1:17" customFormat="1">
      <c r="A72" s="80">
        <v>45491.666666666664</v>
      </c>
      <c r="B72" s="112">
        <v>9.41</v>
      </c>
      <c r="C72" s="112">
        <v>4.09</v>
      </c>
      <c r="D72" s="112">
        <v>14.14</v>
      </c>
      <c r="E72" s="112">
        <v>4.9400000000000004</v>
      </c>
      <c r="F72" s="112">
        <v>18.37</v>
      </c>
      <c r="G72" s="112">
        <v>49.49</v>
      </c>
      <c r="H72" s="112">
        <v>17.850000000000001</v>
      </c>
      <c r="I72" s="112">
        <v>3.75</v>
      </c>
      <c r="J72" s="112">
        <v>0.34</v>
      </c>
      <c r="K72" s="112">
        <v>84.09</v>
      </c>
      <c r="L72" s="112">
        <v>33.630000000000003</v>
      </c>
      <c r="M72" s="112">
        <v>69.58</v>
      </c>
      <c r="N72" s="112">
        <v>359.1</v>
      </c>
      <c r="O72" s="112">
        <v>0</v>
      </c>
      <c r="P72" s="112">
        <v>0.32</v>
      </c>
      <c r="Q72" s="112">
        <v>4.71</v>
      </c>
    </row>
    <row r="73" spans="1:17" customFormat="1">
      <c r="A73" s="80">
        <v>45491.677083333336</v>
      </c>
      <c r="B73" s="112">
        <v>9.4499999999999993</v>
      </c>
      <c r="C73" s="112">
        <v>4.0599999999999996</v>
      </c>
      <c r="D73" s="112">
        <v>14.15</v>
      </c>
      <c r="E73" s="112">
        <v>5.18</v>
      </c>
      <c r="F73" s="112">
        <v>18.22</v>
      </c>
      <c r="G73" s="112">
        <v>49.49</v>
      </c>
      <c r="H73" s="112">
        <v>17.850000000000001</v>
      </c>
      <c r="I73" s="112">
        <v>3.72</v>
      </c>
      <c r="J73" s="112">
        <v>0.75</v>
      </c>
      <c r="K73" s="112">
        <v>62.18</v>
      </c>
      <c r="L73" s="112">
        <v>33.6</v>
      </c>
      <c r="M73" s="112">
        <v>69.11</v>
      </c>
      <c r="N73" s="112">
        <v>350.1</v>
      </c>
      <c r="O73" s="112">
        <v>0</v>
      </c>
      <c r="P73" s="112">
        <v>0.32</v>
      </c>
      <c r="Q73" s="112">
        <v>4.7</v>
      </c>
    </row>
    <row r="74" spans="1:17" customFormat="1">
      <c r="A74" s="80">
        <v>45491.6875</v>
      </c>
      <c r="B74" s="112">
        <v>9.43</v>
      </c>
      <c r="C74" s="112">
        <v>4.05</v>
      </c>
      <c r="D74" s="112">
        <v>14.13</v>
      </c>
      <c r="E74" s="112">
        <v>5.66</v>
      </c>
      <c r="F74" s="112">
        <v>19.54</v>
      </c>
      <c r="G74" s="112">
        <v>49.26</v>
      </c>
      <c r="H74" s="112">
        <v>17.79</v>
      </c>
      <c r="I74" s="112">
        <v>3.54</v>
      </c>
      <c r="J74" s="112">
        <v>0.52</v>
      </c>
      <c r="K74" s="112">
        <v>60.72</v>
      </c>
      <c r="L74" s="112">
        <v>33.56</v>
      </c>
      <c r="M74" s="112">
        <v>70.56</v>
      </c>
      <c r="N74" s="112">
        <v>230.8</v>
      </c>
      <c r="O74" s="112">
        <v>0</v>
      </c>
      <c r="P74" s="112">
        <v>0.32</v>
      </c>
      <c r="Q74" s="112">
        <v>4.71</v>
      </c>
    </row>
    <row r="75" spans="1:17" customFormat="1">
      <c r="A75" s="80">
        <v>45491.697916666664</v>
      </c>
      <c r="B75" s="112">
        <v>9.3800000000000008</v>
      </c>
      <c r="C75" s="112">
        <v>4.05</v>
      </c>
      <c r="D75" s="112">
        <v>14.09</v>
      </c>
      <c r="E75" s="112">
        <v>5.63</v>
      </c>
      <c r="F75" s="112">
        <v>19.36</v>
      </c>
      <c r="G75" s="112">
        <v>45.28</v>
      </c>
      <c r="H75" s="112">
        <v>17</v>
      </c>
      <c r="I75" s="112">
        <v>3.65</v>
      </c>
      <c r="J75" s="112">
        <v>0.38</v>
      </c>
      <c r="K75" s="112">
        <v>99.99</v>
      </c>
      <c r="L75" s="112">
        <v>32.78</v>
      </c>
      <c r="M75" s="112">
        <v>74.47</v>
      </c>
      <c r="N75" s="112">
        <v>89</v>
      </c>
      <c r="O75" s="112">
        <v>0</v>
      </c>
      <c r="P75" s="112">
        <v>0.33</v>
      </c>
      <c r="Q75" s="112">
        <v>4.7</v>
      </c>
    </row>
    <row r="76" spans="1:17" customFormat="1">
      <c r="A76" s="80">
        <v>45491.708333333336</v>
      </c>
      <c r="B76" s="112">
        <v>9.3800000000000008</v>
      </c>
      <c r="C76" s="112">
        <v>4.05</v>
      </c>
      <c r="D76" s="112">
        <v>14.09</v>
      </c>
      <c r="E76" s="112">
        <v>7.08</v>
      </c>
      <c r="F76" s="112">
        <v>19.43</v>
      </c>
      <c r="G76" s="112">
        <v>45.28</v>
      </c>
      <c r="H76" s="112">
        <v>17</v>
      </c>
      <c r="I76" s="112">
        <v>3.61</v>
      </c>
      <c r="J76" s="112">
        <v>0.25</v>
      </c>
      <c r="K76" s="112">
        <v>119.64</v>
      </c>
      <c r="L76" s="112">
        <v>32.229999999999997</v>
      </c>
      <c r="M76" s="112">
        <v>77.89</v>
      </c>
      <c r="N76" s="112">
        <v>75.2</v>
      </c>
      <c r="O76" s="112">
        <v>0</v>
      </c>
      <c r="P76" s="112">
        <v>0.32</v>
      </c>
      <c r="Q76" s="112">
        <v>4.7</v>
      </c>
    </row>
    <row r="77" spans="1:17" customFormat="1">
      <c r="A77" s="80">
        <v>45491.71875</v>
      </c>
      <c r="B77" s="112">
        <v>9.39</v>
      </c>
      <c r="C77" s="112">
        <v>4.07</v>
      </c>
      <c r="D77" s="112">
        <v>14.11</v>
      </c>
      <c r="E77" s="112">
        <v>7.03</v>
      </c>
      <c r="F77" s="112">
        <v>18.11</v>
      </c>
      <c r="G77" s="112">
        <v>45.28</v>
      </c>
      <c r="H77" s="112">
        <v>17</v>
      </c>
      <c r="I77" s="112">
        <v>3.63</v>
      </c>
      <c r="J77" s="112">
        <v>0.53</v>
      </c>
      <c r="K77" s="112">
        <v>64.400000000000006</v>
      </c>
      <c r="L77" s="112">
        <v>32.119999999999997</v>
      </c>
      <c r="M77" s="112">
        <v>76.319999999999993</v>
      </c>
      <c r="N77" s="112">
        <v>75.900000000000006</v>
      </c>
      <c r="O77" s="112">
        <v>0</v>
      </c>
      <c r="P77" s="112">
        <v>0.34</v>
      </c>
      <c r="Q77" s="112">
        <v>4.7</v>
      </c>
    </row>
    <row r="78" spans="1:17" customFormat="1">
      <c r="A78" s="80">
        <v>45491.729166666664</v>
      </c>
      <c r="B78" s="112">
        <v>9.42</v>
      </c>
      <c r="C78" s="112">
        <v>4.0599999999999996</v>
      </c>
      <c r="D78" s="112">
        <v>14.12</v>
      </c>
      <c r="E78" s="112">
        <v>6.1</v>
      </c>
      <c r="F78" s="112">
        <v>24.09</v>
      </c>
      <c r="G78" s="112">
        <v>45.23</v>
      </c>
      <c r="H78" s="112">
        <v>16.82</v>
      </c>
      <c r="I78" s="112">
        <v>3.62</v>
      </c>
      <c r="J78" s="112">
        <v>0.64</v>
      </c>
      <c r="K78" s="112">
        <v>61.65</v>
      </c>
      <c r="L78" s="112">
        <v>32.08</v>
      </c>
      <c r="M78" s="112">
        <v>74.64</v>
      </c>
      <c r="N78" s="112">
        <v>62.9</v>
      </c>
      <c r="O78" s="112">
        <v>0</v>
      </c>
      <c r="P78" s="112">
        <v>0.36</v>
      </c>
      <c r="Q78" s="112">
        <v>4.71</v>
      </c>
    </row>
    <row r="79" spans="1:17" customFormat="1">
      <c r="A79" s="80">
        <v>45491.739583333336</v>
      </c>
      <c r="B79" s="112">
        <v>9.43</v>
      </c>
      <c r="C79" s="112">
        <v>4.08</v>
      </c>
      <c r="D79" s="112">
        <v>14.14</v>
      </c>
      <c r="E79" s="112">
        <v>5.98</v>
      </c>
      <c r="F79" s="112">
        <v>22.36</v>
      </c>
      <c r="G79" s="112">
        <v>44.39</v>
      </c>
      <c r="H79" s="112">
        <v>14.54</v>
      </c>
      <c r="I79" s="112">
        <v>3.67</v>
      </c>
      <c r="J79" s="112">
        <v>0.4</v>
      </c>
      <c r="K79" s="112">
        <v>66.12</v>
      </c>
      <c r="L79" s="112">
        <v>31.93</v>
      </c>
      <c r="M79" s="112">
        <v>75.180000000000007</v>
      </c>
      <c r="N79" s="112">
        <v>50.4</v>
      </c>
      <c r="O79" s="112">
        <v>0</v>
      </c>
      <c r="P79" s="112">
        <v>0.36</v>
      </c>
      <c r="Q79" s="112">
        <v>4.71</v>
      </c>
    </row>
    <row r="80" spans="1:17" customFormat="1">
      <c r="A80" s="80">
        <v>45491.75</v>
      </c>
      <c r="B80" s="112">
        <v>9.42</v>
      </c>
      <c r="C80" s="112">
        <v>4.09</v>
      </c>
      <c r="D80" s="112">
        <v>14.14</v>
      </c>
      <c r="E80" s="112">
        <v>6.17</v>
      </c>
      <c r="F80" s="112">
        <v>14.05</v>
      </c>
      <c r="G80" s="112">
        <v>44.39</v>
      </c>
      <c r="H80" s="112">
        <v>14.54</v>
      </c>
      <c r="I80" s="112">
        <v>3.69</v>
      </c>
      <c r="J80" s="112">
        <v>0.21</v>
      </c>
      <c r="K80" s="112">
        <v>159.66</v>
      </c>
      <c r="L80" s="112">
        <v>31.59</v>
      </c>
      <c r="M80" s="112">
        <v>78.12</v>
      </c>
      <c r="N80" s="112">
        <v>26.5</v>
      </c>
      <c r="O80" s="112">
        <v>0</v>
      </c>
      <c r="P80" s="112">
        <v>0.33</v>
      </c>
      <c r="Q80" s="112">
        <v>4.7</v>
      </c>
    </row>
    <row r="81" spans="1:17" customFormat="1">
      <c r="A81" s="80">
        <v>45491.760416666664</v>
      </c>
      <c r="B81" s="112">
        <v>9.4700000000000006</v>
      </c>
      <c r="C81" s="112">
        <v>4.0599999999999996</v>
      </c>
      <c r="D81" s="112">
        <v>14.16</v>
      </c>
      <c r="E81" s="112">
        <v>7.19</v>
      </c>
      <c r="F81" s="112">
        <v>17</v>
      </c>
      <c r="G81" s="112">
        <v>44.39</v>
      </c>
      <c r="H81" s="112">
        <v>14.54</v>
      </c>
      <c r="I81" s="112">
        <v>3.68</v>
      </c>
      <c r="J81" s="112">
        <v>0.13</v>
      </c>
      <c r="K81" s="112">
        <v>130.76</v>
      </c>
      <c r="L81" s="112">
        <v>31.26</v>
      </c>
      <c r="M81" s="112">
        <v>79.27</v>
      </c>
      <c r="N81" s="112">
        <v>13.4</v>
      </c>
      <c r="O81" s="112">
        <v>0</v>
      </c>
      <c r="P81" s="112">
        <v>0.3</v>
      </c>
      <c r="Q81" s="112">
        <v>4.72</v>
      </c>
    </row>
    <row r="82" spans="1:17" customFormat="1">
      <c r="A82" s="80">
        <v>45491.770833333336</v>
      </c>
      <c r="B82" s="112">
        <v>9.5500000000000007</v>
      </c>
      <c r="C82" s="112">
        <v>4.05</v>
      </c>
      <c r="D82" s="112">
        <v>14.22</v>
      </c>
      <c r="E82" s="112">
        <v>8.67</v>
      </c>
      <c r="F82" s="112">
        <v>14.43</v>
      </c>
      <c r="G82" s="112">
        <v>44.53</v>
      </c>
      <c r="H82" s="112">
        <v>14.51</v>
      </c>
      <c r="I82" s="112">
        <v>3.79</v>
      </c>
      <c r="J82" s="112">
        <v>0.2</v>
      </c>
      <c r="K82" s="112">
        <v>92.35</v>
      </c>
      <c r="L82" s="112">
        <v>31.2</v>
      </c>
      <c r="M82" s="112">
        <v>79.05</v>
      </c>
      <c r="N82" s="112">
        <v>5.8</v>
      </c>
      <c r="O82" s="112">
        <v>0</v>
      </c>
      <c r="P82" s="112">
        <v>0.35</v>
      </c>
      <c r="Q82" s="112">
        <v>4.71</v>
      </c>
    </row>
    <row r="83" spans="1:17" customFormat="1">
      <c r="A83" s="80">
        <v>45491.78125</v>
      </c>
      <c r="B83" s="112">
        <v>9.48</v>
      </c>
      <c r="C83" s="112">
        <v>4.08</v>
      </c>
      <c r="D83" s="112">
        <v>14.18</v>
      </c>
      <c r="E83" s="112">
        <v>9</v>
      </c>
      <c r="F83" s="112">
        <v>10.09</v>
      </c>
      <c r="G83" s="112">
        <v>47</v>
      </c>
      <c r="H83" s="112">
        <v>14.1</v>
      </c>
      <c r="I83" s="112">
        <v>3.67</v>
      </c>
      <c r="J83" s="112">
        <v>0.25</v>
      </c>
      <c r="K83" s="112">
        <v>148.9</v>
      </c>
      <c r="L83" s="112">
        <v>30.83</v>
      </c>
      <c r="M83" s="112">
        <v>81.25</v>
      </c>
      <c r="N83" s="112">
        <v>3</v>
      </c>
      <c r="O83" s="112">
        <v>0</v>
      </c>
      <c r="P83" s="112">
        <v>0.33</v>
      </c>
      <c r="Q83" s="112">
        <v>4.71</v>
      </c>
    </row>
    <row r="84" spans="1:17" customFormat="1">
      <c r="A84" s="80">
        <v>45491.791666666664</v>
      </c>
      <c r="B84" s="112">
        <v>9.4</v>
      </c>
      <c r="C84" s="112">
        <v>4.08</v>
      </c>
      <c r="D84" s="112">
        <v>14.12</v>
      </c>
      <c r="E84" s="112">
        <v>9.35</v>
      </c>
      <c r="F84" s="112">
        <v>11.63</v>
      </c>
      <c r="G84" s="112">
        <v>47</v>
      </c>
      <c r="H84" s="112">
        <v>14.1</v>
      </c>
      <c r="I84" s="112">
        <v>3.94</v>
      </c>
      <c r="J84" s="112">
        <v>0.27</v>
      </c>
      <c r="K84" s="112">
        <v>161.63999999999999</v>
      </c>
      <c r="L84" s="112">
        <v>30.81</v>
      </c>
      <c r="M84" s="112">
        <v>79.72</v>
      </c>
      <c r="N84" s="112">
        <v>2.4</v>
      </c>
      <c r="O84" s="112">
        <v>0</v>
      </c>
      <c r="P84" s="112">
        <v>0.32</v>
      </c>
      <c r="Q84" s="112">
        <v>4.71</v>
      </c>
    </row>
    <row r="85" spans="1:17" customFormat="1">
      <c r="A85" s="80">
        <v>45491.802083333336</v>
      </c>
      <c r="B85" s="112">
        <v>9.4</v>
      </c>
      <c r="C85" s="112">
        <v>4.07</v>
      </c>
      <c r="D85" s="112">
        <v>14.12</v>
      </c>
      <c r="E85" s="112">
        <v>9.4</v>
      </c>
      <c r="F85" s="112">
        <v>13.73</v>
      </c>
      <c r="G85" s="112">
        <v>47</v>
      </c>
      <c r="H85" s="112">
        <v>14.1</v>
      </c>
      <c r="I85" s="112">
        <v>3.97</v>
      </c>
      <c r="J85" s="112">
        <v>0.14000000000000001</v>
      </c>
      <c r="K85" s="112">
        <v>215.72</v>
      </c>
      <c r="L85" s="112">
        <v>30.33</v>
      </c>
      <c r="M85" s="112">
        <v>81.77</v>
      </c>
      <c r="N85" s="112">
        <v>2.2999999999999998</v>
      </c>
      <c r="O85" s="112">
        <v>0</v>
      </c>
      <c r="P85" s="112">
        <v>0.32</v>
      </c>
      <c r="Q85" s="112">
        <v>4.71</v>
      </c>
    </row>
    <row r="86" spans="1:17" customFormat="1">
      <c r="A86" s="80">
        <v>45491.8125</v>
      </c>
      <c r="B86" s="112">
        <v>9.35</v>
      </c>
      <c r="C86" s="112">
        <v>4.0599999999999996</v>
      </c>
      <c r="D86" s="112">
        <v>14.07</v>
      </c>
      <c r="E86" s="112">
        <v>9.44</v>
      </c>
      <c r="F86" s="112">
        <v>8.01</v>
      </c>
      <c r="G86" s="112">
        <v>46.65</v>
      </c>
      <c r="H86" s="112">
        <v>13.86</v>
      </c>
      <c r="I86" s="112">
        <v>4.04</v>
      </c>
      <c r="J86" s="112">
        <v>0.09</v>
      </c>
      <c r="K86" s="112">
        <v>299.14999999999998</v>
      </c>
      <c r="L86" s="112">
        <v>29.95</v>
      </c>
      <c r="M86" s="112">
        <v>82.09</v>
      </c>
      <c r="N86" s="112">
        <v>2.1</v>
      </c>
      <c r="O86" s="112">
        <v>0</v>
      </c>
      <c r="P86" s="112">
        <v>0.35</v>
      </c>
      <c r="Q86" s="112">
        <v>4.71</v>
      </c>
    </row>
    <row r="87" spans="1:17" customFormat="1">
      <c r="A87" s="80">
        <v>45491.822916666664</v>
      </c>
      <c r="B87" s="112">
        <v>9.34</v>
      </c>
      <c r="C87" s="112">
        <v>4.0599999999999996</v>
      </c>
      <c r="D87" s="112">
        <v>14.05</v>
      </c>
      <c r="E87" s="112">
        <v>9.6999999999999993</v>
      </c>
      <c r="F87" s="112">
        <v>6.47</v>
      </c>
      <c r="G87" s="112">
        <v>40.76</v>
      </c>
      <c r="H87" s="112">
        <v>10.31</v>
      </c>
      <c r="I87" s="112">
        <v>3.93</v>
      </c>
      <c r="J87" s="112">
        <v>7.0000000000000007E-2</v>
      </c>
      <c r="K87" s="112">
        <v>102.54</v>
      </c>
      <c r="L87" s="112">
        <v>30.06</v>
      </c>
      <c r="M87" s="112">
        <v>82.42</v>
      </c>
      <c r="N87" s="112">
        <v>2.1</v>
      </c>
      <c r="O87" s="112">
        <v>0</v>
      </c>
      <c r="P87" s="112">
        <v>0.38</v>
      </c>
      <c r="Q87" s="112">
        <v>4.72</v>
      </c>
    </row>
    <row r="88" spans="1:17" customFormat="1">
      <c r="A88" s="80">
        <v>45491.833333333336</v>
      </c>
      <c r="B88" s="112">
        <v>9.32</v>
      </c>
      <c r="C88" s="112">
        <v>4.09</v>
      </c>
      <c r="D88" s="112">
        <v>14.06</v>
      </c>
      <c r="E88" s="112">
        <v>9.94</v>
      </c>
      <c r="F88" s="112">
        <v>5.83</v>
      </c>
      <c r="G88" s="112">
        <v>40.76</v>
      </c>
      <c r="H88" s="112">
        <v>10.31</v>
      </c>
      <c r="I88" s="112">
        <v>4.3</v>
      </c>
      <c r="J88" s="112">
        <v>0.23</v>
      </c>
      <c r="K88" s="112">
        <v>190.06</v>
      </c>
      <c r="L88" s="112">
        <v>29.88</v>
      </c>
      <c r="M88" s="112">
        <v>86.62</v>
      </c>
      <c r="N88" s="112">
        <v>2.2999999999999998</v>
      </c>
      <c r="O88" s="112">
        <v>0</v>
      </c>
      <c r="P88" s="112">
        <v>0.38</v>
      </c>
      <c r="Q88" s="112">
        <v>4.71</v>
      </c>
    </row>
    <row r="89" spans="1:17" customFormat="1">
      <c r="A89" s="80">
        <v>45491.84375</v>
      </c>
      <c r="B89" s="112">
        <v>9.31</v>
      </c>
      <c r="C89" s="112">
        <v>4.09</v>
      </c>
      <c r="D89" s="112">
        <v>14.05</v>
      </c>
      <c r="E89" s="112">
        <v>9.66</v>
      </c>
      <c r="F89" s="112">
        <v>5.44</v>
      </c>
      <c r="G89" s="112">
        <v>40.76</v>
      </c>
      <c r="H89" s="112">
        <v>10.31</v>
      </c>
      <c r="I89" s="112">
        <v>4.33</v>
      </c>
      <c r="J89" s="112">
        <v>0.17</v>
      </c>
      <c r="K89" s="112">
        <v>214.59</v>
      </c>
      <c r="L89" s="112">
        <v>29.08</v>
      </c>
      <c r="M89" s="112">
        <v>91.59</v>
      </c>
      <c r="N89" s="112">
        <v>2.5</v>
      </c>
      <c r="O89" s="112">
        <v>0</v>
      </c>
      <c r="P89" s="112">
        <v>0.37</v>
      </c>
      <c r="Q89" s="112">
        <v>4.71</v>
      </c>
    </row>
    <row r="90" spans="1:17" customFormat="1">
      <c r="A90" s="80">
        <v>45491.854166666664</v>
      </c>
      <c r="B90" s="112">
        <v>9.32</v>
      </c>
      <c r="C90" s="112">
        <v>4.0999999999999996</v>
      </c>
      <c r="D90" s="112">
        <v>14.07</v>
      </c>
      <c r="E90" s="112">
        <v>10.24</v>
      </c>
      <c r="F90" s="112">
        <v>7.18</v>
      </c>
      <c r="G90" s="112">
        <v>40.97</v>
      </c>
      <c r="H90" s="112">
        <v>10.48</v>
      </c>
      <c r="I90" s="112">
        <v>4.37</v>
      </c>
      <c r="J90" s="112">
        <v>0.14000000000000001</v>
      </c>
      <c r="K90" s="112">
        <v>205.05</v>
      </c>
      <c r="L90" s="112">
        <v>28.92</v>
      </c>
      <c r="M90" s="112">
        <v>90.31</v>
      </c>
      <c r="N90" s="112">
        <v>2.1</v>
      </c>
      <c r="O90" s="112">
        <v>0</v>
      </c>
      <c r="P90" s="112">
        <v>0.38</v>
      </c>
      <c r="Q90" s="112">
        <v>4.71</v>
      </c>
    </row>
    <row r="91" spans="1:17" customFormat="1">
      <c r="A91" s="80">
        <v>45491.864583333336</v>
      </c>
      <c r="B91" s="112">
        <v>9.33</v>
      </c>
      <c r="C91" s="112">
        <v>4.08</v>
      </c>
      <c r="D91" s="112">
        <v>14.06</v>
      </c>
      <c r="E91" s="112">
        <v>10.32</v>
      </c>
      <c r="F91" s="112">
        <v>7.72</v>
      </c>
      <c r="G91" s="112">
        <v>44.61</v>
      </c>
      <c r="H91" s="112">
        <v>12.46</v>
      </c>
      <c r="I91" s="112">
        <v>4.38</v>
      </c>
      <c r="J91" s="112">
        <v>0.12</v>
      </c>
      <c r="K91" s="112">
        <v>169.68</v>
      </c>
      <c r="L91" s="112">
        <v>28.95</v>
      </c>
      <c r="M91" s="112">
        <v>90.97</v>
      </c>
      <c r="N91" s="112">
        <v>1.9</v>
      </c>
      <c r="O91" s="112">
        <v>0</v>
      </c>
      <c r="P91" s="112">
        <v>0.39</v>
      </c>
      <c r="Q91" s="112">
        <v>4.71</v>
      </c>
    </row>
    <row r="92" spans="1:17" customFormat="1">
      <c r="A92" s="80">
        <v>45491.875</v>
      </c>
      <c r="B92" s="112">
        <v>9.34</v>
      </c>
      <c r="C92" s="112">
        <v>4.0599999999999996</v>
      </c>
      <c r="D92" s="112">
        <v>14.06</v>
      </c>
      <c r="E92" s="112">
        <v>10.33</v>
      </c>
      <c r="F92" s="112">
        <v>6.16</v>
      </c>
      <c r="G92" s="112">
        <v>44.61</v>
      </c>
      <c r="H92" s="112">
        <v>12.46</v>
      </c>
      <c r="I92" s="112">
        <v>4.38</v>
      </c>
      <c r="J92" s="112">
        <v>0.21</v>
      </c>
      <c r="K92" s="112">
        <v>173.66</v>
      </c>
      <c r="L92" s="112">
        <v>28.9</v>
      </c>
      <c r="M92" s="112">
        <v>91.51</v>
      </c>
      <c r="N92" s="112">
        <v>2.1</v>
      </c>
      <c r="O92" s="112">
        <v>0</v>
      </c>
      <c r="P92" s="112">
        <v>0.38</v>
      </c>
      <c r="Q92" s="112">
        <v>4.7</v>
      </c>
    </row>
    <row r="93" spans="1:17" customFormat="1">
      <c r="A93" s="80">
        <v>45491.885416666664</v>
      </c>
      <c r="B93" s="112">
        <v>9.33</v>
      </c>
      <c r="C93" s="112">
        <v>4.07</v>
      </c>
      <c r="D93" s="112">
        <v>14.06</v>
      </c>
      <c r="E93" s="112">
        <v>10.29</v>
      </c>
      <c r="F93" s="112">
        <v>6.19</v>
      </c>
      <c r="G93" s="112">
        <v>44.61</v>
      </c>
      <c r="H93" s="112">
        <v>12.46</v>
      </c>
      <c r="I93" s="112">
        <v>4.71</v>
      </c>
      <c r="J93" s="112">
        <v>0.14000000000000001</v>
      </c>
      <c r="K93" s="112">
        <v>186.97</v>
      </c>
      <c r="L93" s="112">
        <v>28.89</v>
      </c>
      <c r="M93" s="112">
        <v>92.03</v>
      </c>
      <c r="N93" s="112">
        <v>1.9</v>
      </c>
      <c r="O93" s="112">
        <v>0</v>
      </c>
      <c r="P93" s="112">
        <v>0.42</v>
      </c>
      <c r="Q93" s="112">
        <v>4.71</v>
      </c>
    </row>
    <row r="94" spans="1:17" customFormat="1">
      <c r="A94" s="80">
        <v>45491.895833333336</v>
      </c>
      <c r="B94" s="112">
        <v>9.32</v>
      </c>
      <c r="C94" s="112">
        <v>4.0599999999999996</v>
      </c>
      <c r="D94" s="112">
        <v>14.05</v>
      </c>
      <c r="E94" s="112">
        <v>10.25</v>
      </c>
      <c r="F94" s="112">
        <v>6.85</v>
      </c>
      <c r="G94" s="112">
        <v>45.14</v>
      </c>
      <c r="H94" s="112">
        <v>12.6</v>
      </c>
      <c r="I94" s="112">
        <v>4.83</v>
      </c>
      <c r="J94" s="112">
        <v>0.12</v>
      </c>
      <c r="K94" s="112">
        <v>176.15</v>
      </c>
      <c r="L94" s="112">
        <v>28.69</v>
      </c>
      <c r="M94" s="112">
        <v>95.86</v>
      </c>
      <c r="N94" s="112">
        <v>2</v>
      </c>
      <c r="O94" s="112">
        <v>0</v>
      </c>
      <c r="P94" s="112">
        <v>0.44</v>
      </c>
      <c r="Q94" s="112">
        <v>4.71</v>
      </c>
    </row>
    <row r="95" spans="1:17" customFormat="1">
      <c r="A95" s="80">
        <v>45491.90625</v>
      </c>
      <c r="B95" s="112">
        <v>9.32</v>
      </c>
      <c r="C95" s="112">
        <v>4.0599999999999996</v>
      </c>
      <c r="D95" s="112">
        <v>14.04</v>
      </c>
      <c r="E95" s="112">
        <v>10.8</v>
      </c>
      <c r="F95" s="112">
        <v>5.75</v>
      </c>
      <c r="G95" s="112">
        <v>54.12</v>
      </c>
      <c r="H95" s="112">
        <v>14.71</v>
      </c>
      <c r="I95" s="112">
        <v>4.95</v>
      </c>
      <c r="J95" s="112">
        <v>0.13</v>
      </c>
      <c r="K95" s="112">
        <v>198.27</v>
      </c>
      <c r="L95" s="112">
        <v>28.89</v>
      </c>
      <c r="M95" s="112">
        <v>94.87</v>
      </c>
      <c r="N95" s="112">
        <v>1.9</v>
      </c>
      <c r="O95" s="112">
        <v>0</v>
      </c>
      <c r="P95" s="112">
        <v>0.44</v>
      </c>
      <c r="Q95" s="112">
        <v>4.7</v>
      </c>
    </row>
    <row r="96" spans="1:17" customFormat="1">
      <c r="A96" s="80">
        <v>45491.916666666664</v>
      </c>
      <c r="B96" s="112">
        <v>9.33</v>
      </c>
      <c r="C96" s="112">
        <v>4.07</v>
      </c>
      <c r="D96" s="112">
        <v>14.05</v>
      </c>
      <c r="E96" s="112">
        <v>10.67</v>
      </c>
      <c r="F96" s="112">
        <v>7.75</v>
      </c>
      <c r="G96" s="112">
        <v>54.12</v>
      </c>
      <c r="H96" s="112">
        <v>14.71</v>
      </c>
      <c r="I96" s="112">
        <v>5.21</v>
      </c>
      <c r="J96" s="112">
        <v>0.16</v>
      </c>
      <c r="K96" s="112">
        <v>219.18</v>
      </c>
      <c r="L96" s="112">
        <v>28.97</v>
      </c>
      <c r="M96" s="112">
        <v>92.48</v>
      </c>
      <c r="N96" s="112">
        <v>2</v>
      </c>
      <c r="O96" s="112">
        <v>0</v>
      </c>
      <c r="P96" s="112">
        <v>0.45</v>
      </c>
      <c r="Q96" s="112">
        <v>4.71</v>
      </c>
    </row>
    <row r="97" spans="1:22" customFormat="1">
      <c r="A97" s="80">
        <v>45491.927083333336</v>
      </c>
      <c r="B97" s="112">
        <v>9.31</v>
      </c>
      <c r="C97" s="112">
        <v>4.1399999999999997</v>
      </c>
      <c r="D97" s="112">
        <v>14.08</v>
      </c>
      <c r="E97" s="112">
        <v>10.85</v>
      </c>
      <c r="F97" s="112">
        <v>5.87</v>
      </c>
      <c r="G97" s="112">
        <v>54.12</v>
      </c>
      <c r="H97" s="112">
        <v>14.71</v>
      </c>
      <c r="I97" s="112">
        <v>5.31</v>
      </c>
      <c r="J97" s="112">
        <v>0.14000000000000001</v>
      </c>
      <c r="K97" s="112">
        <v>24.84</v>
      </c>
      <c r="L97" s="112">
        <v>28.96</v>
      </c>
      <c r="M97" s="112">
        <v>92.64</v>
      </c>
      <c r="N97" s="112">
        <v>1.8</v>
      </c>
      <c r="O97" s="112">
        <v>0</v>
      </c>
      <c r="P97" s="112">
        <v>0.52</v>
      </c>
      <c r="Q97" s="112">
        <v>4.72</v>
      </c>
    </row>
    <row r="98" spans="1:22" customFormat="1">
      <c r="A98" s="80">
        <v>45491.9375</v>
      </c>
      <c r="B98" s="112">
        <v>9.31</v>
      </c>
      <c r="C98" s="112">
        <v>4.0999999999999996</v>
      </c>
      <c r="D98" s="112">
        <v>14.06</v>
      </c>
      <c r="E98" s="112">
        <v>10.68</v>
      </c>
      <c r="F98" s="112">
        <v>6.78</v>
      </c>
      <c r="G98" s="112">
        <v>54.16</v>
      </c>
      <c r="H98" s="112">
        <v>14.94</v>
      </c>
      <c r="I98" s="112">
        <v>5.26</v>
      </c>
      <c r="J98" s="112">
        <v>0.16</v>
      </c>
      <c r="K98" s="112">
        <v>100.17</v>
      </c>
      <c r="L98" s="112">
        <v>29.26</v>
      </c>
      <c r="M98" s="112">
        <v>89.84</v>
      </c>
      <c r="N98" s="112">
        <v>2</v>
      </c>
      <c r="O98" s="112">
        <v>0</v>
      </c>
      <c r="P98" s="112">
        <v>0.56999999999999995</v>
      </c>
      <c r="Q98" s="112">
        <v>4.71</v>
      </c>
    </row>
    <row r="99" spans="1:22" customFormat="1">
      <c r="A99" s="80">
        <v>45491.947916666664</v>
      </c>
      <c r="B99" s="112">
        <v>9.32</v>
      </c>
      <c r="C99" s="112">
        <v>4.05</v>
      </c>
      <c r="D99" s="112">
        <v>14.04</v>
      </c>
      <c r="E99" s="112">
        <v>10.7</v>
      </c>
      <c r="F99" s="112">
        <v>4.57</v>
      </c>
      <c r="G99" s="112">
        <v>54.88</v>
      </c>
      <c r="H99" s="112">
        <v>17.79</v>
      </c>
      <c r="I99" s="112">
        <v>5.73</v>
      </c>
      <c r="J99" s="112">
        <v>0.27</v>
      </c>
      <c r="K99" s="112">
        <v>53.98</v>
      </c>
      <c r="L99" s="112">
        <v>29.21</v>
      </c>
      <c r="M99" s="112">
        <v>90.83</v>
      </c>
      <c r="N99" s="112">
        <v>1.9</v>
      </c>
      <c r="O99" s="112">
        <v>0</v>
      </c>
      <c r="P99" s="112">
        <v>0.53</v>
      </c>
      <c r="Q99" s="112">
        <v>4.71</v>
      </c>
    </row>
    <row r="100" spans="1:22" customFormat="1">
      <c r="A100" s="80">
        <v>45491.958333333336</v>
      </c>
      <c r="B100" s="112">
        <v>9.32</v>
      </c>
      <c r="C100" s="112">
        <v>4.05</v>
      </c>
      <c r="D100" s="112">
        <v>14.04</v>
      </c>
      <c r="E100" s="112">
        <v>11.02</v>
      </c>
      <c r="F100" s="112">
        <v>3.91</v>
      </c>
      <c r="G100" s="112">
        <v>54.88</v>
      </c>
      <c r="H100" s="112">
        <v>17.79</v>
      </c>
      <c r="I100" s="112">
        <v>6.17</v>
      </c>
      <c r="J100" s="112">
        <v>0.32</v>
      </c>
      <c r="K100" s="112">
        <v>181.62</v>
      </c>
      <c r="L100" s="112">
        <v>28.87</v>
      </c>
      <c r="M100" s="112">
        <v>94.86</v>
      </c>
      <c r="N100" s="112">
        <v>2.4</v>
      </c>
      <c r="O100" s="112">
        <v>0</v>
      </c>
      <c r="P100" s="112">
        <v>0.62</v>
      </c>
      <c r="Q100" s="112">
        <v>4.68</v>
      </c>
    </row>
    <row r="101" spans="1:22" customFormat="1">
      <c r="A101" s="80">
        <v>45491.96875</v>
      </c>
      <c r="B101" s="112">
        <v>9.4</v>
      </c>
      <c r="C101" s="112">
        <v>4.08</v>
      </c>
      <c r="D101" s="112">
        <v>14.12</v>
      </c>
      <c r="E101" s="112">
        <v>10.61</v>
      </c>
      <c r="F101" s="112">
        <v>4.0999999999999996</v>
      </c>
      <c r="G101" s="112">
        <v>54.88</v>
      </c>
      <c r="H101" s="112">
        <v>17.79</v>
      </c>
      <c r="I101" s="112">
        <v>6.02</v>
      </c>
      <c r="J101" s="112">
        <v>0.14000000000000001</v>
      </c>
      <c r="K101" s="112">
        <v>200.63</v>
      </c>
      <c r="L101" s="112">
        <v>28.61</v>
      </c>
      <c r="M101" s="112">
        <v>98.28</v>
      </c>
      <c r="N101" s="112">
        <v>2.2000000000000002</v>
      </c>
      <c r="O101" s="112">
        <v>0</v>
      </c>
      <c r="P101" s="112">
        <v>0.66</v>
      </c>
      <c r="Q101" s="112">
        <v>4.7</v>
      </c>
    </row>
    <row r="102" spans="1:22" customFormat="1">
      <c r="A102" s="80">
        <v>45491.979166666664</v>
      </c>
      <c r="B102" s="112">
        <v>9.44</v>
      </c>
      <c r="C102" s="112">
        <v>4.08</v>
      </c>
      <c r="D102" s="112">
        <v>14.16</v>
      </c>
      <c r="E102" s="112">
        <v>9.66</v>
      </c>
      <c r="F102" s="112">
        <v>4.8099999999999996</v>
      </c>
      <c r="G102" s="112">
        <v>55.09</v>
      </c>
      <c r="H102" s="112">
        <v>17.93</v>
      </c>
      <c r="I102" s="112">
        <v>6.34</v>
      </c>
      <c r="J102" s="112">
        <v>0.16</v>
      </c>
      <c r="K102" s="112">
        <v>190.81</v>
      </c>
      <c r="L102" s="112">
        <v>28.51</v>
      </c>
      <c r="M102" s="112">
        <v>97.18</v>
      </c>
      <c r="N102" s="112">
        <v>2.2000000000000002</v>
      </c>
      <c r="O102" s="112">
        <v>0</v>
      </c>
      <c r="P102" s="112">
        <v>0.68</v>
      </c>
      <c r="Q102" s="112">
        <v>4.6900000000000004</v>
      </c>
    </row>
    <row r="103" spans="1:22" customFormat="1">
      <c r="A103" s="80">
        <v>45491.989583333336</v>
      </c>
      <c r="B103" s="112">
        <v>9.44</v>
      </c>
      <c r="C103" s="112">
        <v>4.08</v>
      </c>
      <c r="D103" s="112">
        <v>14.15</v>
      </c>
      <c r="E103" s="112">
        <v>8.99</v>
      </c>
      <c r="F103" s="112">
        <v>4.91</v>
      </c>
      <c r="G103" s="112">
        <v>58.75</v>
      </c>
      <c r="H103" s="112">
        <v>19.559999999999999</v>
      </c>
      <c r="I103" s="112">
        <v>6.54</v>
      </c>
      <c r="J103" s="112">
        <v>0.15</v>
      </c>
      <c r="K103" s="112">
        <v>192.88</v>
      </c>
      <c r="L103" s="112">
        <v>28.47</v>
      </c>
      <c r="M103" s="112">
        <v>93.63</v>
      </c>
      <c r="N103" s="112">
        <v>2.1</v>
      </c>
      <c r="O103" s="112">
        <v>0</v>
      </c>
      <c r="P103" s="112">
        <v>0.69</v>
      </c>
      <c r="Q103" s="112">
        <v>4.7</v>
      </c>
    </row>
    <row r="104" spans="1:22" customFormat="1">
      <c r="A104" s="80">
        <v>45492</v>
      </c>
      <c r="B104" s="112">
        <v>9.42</v>
      </c>
      <c r="C104" s="112">
        <v>4.08</v>
      </c>
      <c r="D104" s="112">
        <v>14.14</v>
      </c>
      <c r="E104" s="112">
        <v>8.67</v>
      </c>
      <c r="F104" s="112">
        <v>4.45</v>
      </c>
      <c r="G104" s="112">
        <v>58.75</v>
      </c>
      <c r="H104" s="112">
        <v>19.559999999999999</v>
      </c>
      <c r="I104" s="112">
        <v>6.79</v>
      </c>
      <c r="J104" s="112">
        <v>0.18</v>
      </c>
      <c r="K104" s="112">
        <v>182.96</v>
      </c>
      <c r="L104" s="112">
        <v>28.58</v>
      </c>
      <c r="M104" s="112">
        <v>93.23</v>
      </c>
      <c r="N104" s="112">
        <v>2.1</v>
      </c>
      <c r="O104" s="112">
        <v>0</v>
      </c>
      <c r="P104" s="112">
        <v>0.66</v>
      </c>
      <c r="Q104" s="112">
        <v>4.7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9.1199999999999992</v>
      </c>
      <c r="C106" s="183">
        <f>MIN(C9:C104)</f>
        <v>4.0199999999999996</v>
      </c>
      <c r="D106" s="183">
        <f t="shared" ref="D106:Q106" si="0">MIN(D9:D104)</f>
        <v>13.89</v>
      </c>
      <c r="E106" s="183">
        <f t="shared" si="0"/>
        <v>3.42</v>
      </c>
      <c r="F106" s="183">
        <f t="shared" si="0"/>
        <v>2.75</v>
      </c>
      <c r="G106" s="183">
        <f t="shared" si="0"/>
        <v>4.5199999999999996</v>
      </c>
      <c r="H106" s="183">
        <f t="shared" si="0"/>
        <v>1.29</v>
      </c>
      <c r="I106" s="183">
        <f t="shared" si="0"/>
        <v>2.87</v>
      </c>
      <c r="J106" s="183">
        <f t="shared" si="0"/>
        <v>0.06</v>
      </c>
      <c r="K106" s="183">
        <f t="shared" si="0"/>
        <v>11.28</v>
      </c>
      <c r="L106" s="183">
        <f t="shared" si="0"/>
        <v>25.96</v>
      </c>
      <c r="M106" s="183">
        <f t="shared" si="0"/>
        <v>69.11</v>
      </c>
      <c r="N106" s="183">
        <f t="shared" si="0"/>
        <v>1.8</v>
      </c>
      <c r="O106" s="183">
        <f t="shared" si="0"/>
        <v>0</v>
      </c>
      <c r="P106" s="183">
        <f t="shared" si="0"/>
        <v>0.17</v>
      </c>
      <c r="Q106" s="183">
        <f t="shared" si="0"/>
        <v>4.45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9.77</v>
      </c>
      <c r="C107" s="184">
        <f t="shared" ref="C107:Q107" si="1">MAX(C9:C104)</f>
        <v>5.13</v>
      </c>
      <c r="D107" s="184">
        <f t="shared" si="1"/>
        <v>14.61</v>
      </c>
      <c r="E107" s="184">
        <f t="shared" si="1"/>
        <v>24.75</v>
      </c>
      <c r="F107" s="184">
        <f t="shared" si="1"/>
        <v>52.79</v>
      </c>
      <c r="G107" s="184">
        <f t="shared" si="1"/>
        <v>67.66</v>
      </c>
      <c r="H107" s="184">
        <f t="shared" si="1"/>
        <v>19.559999999999999</v>
      </c>
      <c r="I107" s="184">
        <f t="shared" si="1"/>
        <v>14.22</v>
      </c>
      <c r="J107" s="184">
        <f t="shared" si="1"/>
        <v>1.4</v>
      </c>
      <c r="K107" s="184">
        <f t="shared" si="1"/>
        <v>346.88</v>
      </c>
      <c r="L107" s="184">
        <f t="shared" si="1"/>
        <v>33.630000000000003</v>
      </c>
      <c r="M107" s="184">
        <f t="shared" si="1"/>
        <v>100.34</v>
      </c>
      <c r="N107" s="184">
        <f t="shared" si="1"/>
        <v>461</v>
      </c>
      <c r="O107" s="184">
        <f t="shared" si="1"/>
        <v>0</v>
      </c>
      <c r="P107" s="184">
        <f t="shared" si="1"/>
        <v>0.69</v>
      </c>
      <c r="Q107" s="184">
        <f t="shared" si="1"/>
        <v>4.72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9.3156249999999989</v>
      </c>
      <c r="C108" s="183">
        <f t="shared" ref="C108:Q108" si="2">AVERAGE(C9:C104)</f>
        <v>4.0852083333333331</v>
      </c>
      <c r="D108" s="183">
        <f t="shared" si="2"/>
        <v>14.054479166666662</v>
      </c>
      <c r="E108" s="183">
        <f t="shared" si="2"/>
        <v>9.6482105263157898</v>
      </c>
      <c r="F108" s="183">
        <f t="shared" si="2"/>
        <v>10.851145833333335</v>
      </c>
      <c r="G108" s="183">
        <f t="shared" si="2"/>
        <v>34.246250000000011</v>
      </c>
      <c r="H108" s="183">
        <f t="shared" si="2"/>
        <v>9.1646874999999977</v>
      </c>
      <c r="I108" s="183">
        <f t="shared" si="2"/>
        <v>4.1966666666666672</v>
      </c>
      <c r="J108" s="183">
        <f t="shared" si="2"/>
        <v>0.4093750000000001</v>
      </c>
      <c r="K108" s="183">
        <f t="shared" si="2"/>
        <v>165.98010416666662</v>
      </c>
      <c r="L108" s="183">
        <f t="shared" si="2"/>
        <v>29.297395833333336</v>
      </c>
      <c r="M108" s="183">
        <f t="shared" si="2"/>
        <v>86.326250000000016</v>
      </c>
      <c r="N108" s="183">
        <f t="shared" si="2"/>
        <v>108.28020833333333</v>
      </c>
      <c r="O108" s="183">
        <f t="shared" si="2"/>
        <v>0</v>
      </c>
      <c r="P108" s="183">
        <f t="shared" si="2"/>
        <v>0.38760416666666658</v>
      </c>
      <c r="Q108" s="183">
        <f t="shared" si="2"/>
        <v>4.6971874999999956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0.11408964619265811</v>
      </c>
      <c r="C109" s="183">
        <f t="shared" ref="C109:Q109" si="3">STDEV(C9:C104)</f>
        <v>0.11260531133279401</v>
      </c>
      <c r="D109" s="183">
        <f t="shared" si="3"/>
        <v>0.10764336625285169</v>
      </c>
      <c r="E109" s="183">
        <f t="shared" si="3"/>
        <v>3.2977751942488274</v>
      </c>
      <c r="F109" s="183">
        <f t="shared" si="3"/>
        <v>10.064938399664209</v>
      </c>
      <c r="G109" s="183">
        <f t="shared" si="3"/>
        <v>23.46464795568453</v>
      </c>
      <c r="H109" s="183">
        <f t="shared" si="3"/>
        <v>6.7449936136874316</v>
      </c>
      <c r="I109" s="183">
        <f t="shared" si="3"/>
        <v>1.5626062349850116</v>
      </c>
      <c r="J109" s="183">
        <f t="shared" si="3"/>
        <v>0.33054281512623884</v>
      </c>
      <c r="K109" s="183">
        <f t="shared" si="3"/>
        <v>99.024030804806088</v>
      </c>
      <c r="L109" s="183">
        <f t="shared" si="3"/>
        <v>2.5566187558411535</v>
      </c>
      <c r="M109" s="183">
        <f t="shared" si="3"/>
        <v>10.262421202979537</v>
      </c>
      <c r="N109" s="183">
        <f t="shared" si="3"/>
        <v>134.965786401234</v>
      </c>
      <c r="O109" s="183">
        <f t="shared" si="3"/>
        <v>0</v>
      </c>
      <c r="P109" s="183">
        <f t="shared" si="3"/>
        <v>9.1487644166235699E-2</v>
      </c>
      <c r="Q109" s="183">
        <f t="shared" si="3"/>
        <v>2.7785006369395789E-2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84" activePane="bottomRight" state="frozen"/>
      <selection activeCell="A9" sqref="A9"/>
      <selection pane="topRight" activeCell="A9" sqref="A9"/>
      <selection pane="bottomLeft" activeCell="A9" sqref="A9"/>
      <selection pane="bottomRight" activeCell="Q9" sqref="Q9:Q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45492.010416666664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45492.010416666664</v>
      </c>
      <c r="B9" s="112">
        <v>9.2799999999999994</v>
      </c>
      <c r="C9" s="112">
        <v>4.04</v>
      </c>
      <c r="D9" s="112">
        <v>14</v>
      </c>
      <c r="E9" s="112">
        <v>8.15</v>
      </c>
      <c r="F9" s="112">
        <v>4.76</v>
      </c>
      <c r="G9" s="112">
        <v>58.75</v>
      </c>
      <c r="H9" s="112">
        <v>19.559999999999999</v>
      </c>
      <c r="I9" s="112">
        <v>6.85</v>
      </c>
      <c r="J9" s="112">
        <v>0.15</v>
      </c>
      <c r="K9" s="112">
        <v>173.15</v>
      </c>
      <c r="L9" s="112">
        <v>28.37</v>
      </c>
      <c r="M9" s="112">
        <v>94.95</v>
      </c>
      <c r="N9" s="112">
        <v>2.2000000000000002</v>
      </c>
      <c r="O9" s="112">
        <v>0</v>
      </c>
      <c r="P9" s="112">
        <v>0.65</v>
      </c>
      <c r="Q9" s="112">
        <v>4.71</v>
      </c>
    </row>
    <row r="10" spans="1:21" customFormat="1">
      <c r="A10" s="80">
        <v>45492.020833333336</v>
      </c>
      <c r="B10" s="112">
        <v>9.23</v>
      </c>
      <c r="C10" s="112">
        <v>4.1100000000000003</v>
      </c>
      <c r="D10" s="112">
        <v>14</v>
      </c>
      <c r="E10" s="112">
        <v>8.26</v>
      </c>
      <c r="F10" s="112">
        <v>6.41</v>
      </c>
      <c r="G10" s="112">
        <v>58.27</v>
      </c>
      <c r="H10" s="112">
        <v>19.420000000000002</v>
      </c>
      <c r="I10" s="112">
        <v>6.74</v>
      </c>
      <c r="J10" s="112">
        <v>0.19</v>
      </c>
      <c r="K10" s="112">
        <v>197.96</v>
      </c>
      <c r="L10" s="112">
        <v>28.34</v>
      </c>
      <c r="M10" s="112">
        <v>93.84</v>
      </c>
      <c r="N10" s="112">
        <v>2.1</v>
      </c>
      <c r="O10" s="112">
        <v>0</v>
      </c>
      <c r="P10" s="112">
        <v>0.66</v>
      </c>
      <c r="Q10" s="112">
        <v>4.72</v>
      </c>
    </row>
    <row r="11" spans="1:21" customFormat="1">
      <c r="A11" s="80">
        <v>45492.03125</v>
      </c>
      <c r="B11" s="112">
        <v>9.1999999999999993</v>
      </c>
      <c r="C11" s="112">
        <v>4.1500000000000004</v>
      </c>
      <c r="D11" s="112">
        <v>14</v>
      </c>
      <c r="E11" s="112">
        <v>7.83</v>
      </c>
      <c r="F11" s="112">
        <v>6.05</v>
      </c>
      <c r="G11" s="112">
        <v>50.08</v>
      </c>
      <c r="H11" s="112">
        <v>17.670000000000002</v>
      </c>
      <c r="I11" s="112">
        <v>6.68</v>
      </c>
      <c r="J11" s="112">
        <v>0.15</v>
      </c>
      <c r="K11" s="112">
        <v>29.34</v>
      </c>
      <c r="L11" s="112">
        <v>28.3</v>
      </c>
      <c r="M11" s="112">
        <v>93.61</v>
      </c>
      <c r="N11" s="112">
        <v>1.9</v>
      </c>
      <c r="O11" s="112">
        <v>0</v>
      </c>
      <c r="P11" s="112">
        <v>0.64</v>
      </c>
      <c r="Q11" s="112">
        <v>4.72</v>
      </c>
    </row>
    <row r="12" spans="1:21" customFormat="1">
      <c r="A12" s="80">
        <v>45492.041666666664</v>
      </c>
      <c r="B12" s="112">
        <v>9.1999999999999993</v>
      </c>
      <c r="C12" s="112">
        <v>4.16</v>
      </c>
      <c r="D12" s="112">
        <v>14</v>
      </c>
      <c r="E12" s="112">
        <v>8.1</v>
      </c>
      <c r="F12" s="112">
        <v>3.83</v>
      </c>
      <c r="G12" s="112">
        <v>50.08</v>
      </c>
      <c r="H12" s="112">
        <v>17.670000000000002</v>
      </c>
      <c r="I12" s="112">
        <v>6.66</v>
      </c>
      <c r="J12" s="112">
        <v>0.19</v>
      </c>
      <c r="K12" s="112">
        <v>181.02</v>
      </c>
      <c r="L12" s="112">
        <v>28.35</v>
      </c>
      <c r="M12" s="112">
        <v>93.51</v>
      </c>
      <c r="N12" s="112">
        <v>2.1</v>
      </c>
      <c r="O12" s="112">
        <v>0</v>
      </c>
      <c r="P12" s="112">
        <v>0.66</v>
      </c>
      <c r="Q12" s="112">
        <v>4.71</v>
      </c>
    </row>
    <row r="13" spans="1:21" customFormat="1">
      <c r="A13" s="80">
        <v>45492.052083333336</v>
      </c>
      <c r="B13" s="112">
        <v>9.18</v>
      </c>
      <c r="C13" s="112">
        <v>4.1900000000000004</v>
      </c>
      <c r="D13" s="112">
        <v>14</v>
      </c>
      <c r="E13" s="112">
        <v>7.38</v>
      </c>
      <c r="F13" s="112">
        <v>4.09</v>
      </c>
      <c r="G13" s="112">
        <v>50.08</v>
      </c>
      <c r="H13" s="112">
        <v>17.670000000000002</v>
      </c>
      <c r="I13" s="112">
        <v>6.66</v>
      </c>
      <c r="J13" s="112">
        <v>0.2</v>
      </c>
      <c r="K13" s="112">
        <v>168.08</v>
      </c>
      <c r="L13" s="112">
        <v>28.46</v>
      </c>
      <c r="M13" s="112">
        <v>92.93</v>
      </c>
      <c r="N13" s="112">
        <v>2.1</v>
      </c>
      <c r="O13" s="112">
        <v>0</v>
      </c>
      <c r="P13" s="112">
        <v>0.66</v>
      </c>
      <c r="Q13" s="112">
        <v>4.72</v>
      </c>
    </row>
    <row r="14" spans="1:21" customFormat="1">
      <c r="A14" s="80">
        <v>45492.0625</v>
      </c>
      <c r="B14" s="112">
        <v>9.17</v>
      </c>
      <c r="C14" s="112">
        <v>4.2</v>
      </c>
      <c r="D14" s="112">
        <v>14</v>
      </c>
      <c r="E14" s="112">
        <v>7.37</v>
      </c>
      <c r="F14" s="112">
        <v>3.53</v>
      </c>
      <c r="G14" s="112">
        <v>50.21</v>
      </c>
      <c r="H14" s="112">
        <v>17.66</v>
      </c>
      <c r="I14" s="112">
        <v>6.72</v>
      </c>
      <c r="J14" s="112">
        <v>0.23</v>
      </c>
      <c r="K14" s="112">
        <v>169.67</v>
      </c>
      <c r="L14" s="112">
        <v>28.33</v>
      </c>
      <c r="M14" s="112">
        <v>93.51</v>
      </c>
      <c r="N14" s="112">
        <v>1.8</v>
      </c>
      <c r="O14" s="112">
        <v>0</v>
      </c>
      <c r="P14" s="112">
        <v>0.69</v>
      </c>
      <c r="Q14" s="112">
        <v>4.7</v>
      </c>
    </row>
    <row r="15" spans="1:21" customFormat="1">
      <c r="A15" s="80">
        <v>45492.072916666664</v>
      </c>
      <c r="B15" s="112">
        <v>9.17</v>
      </c>
      <c r="C15" s="112">
        <v>4.2</v>
      </c>
      <c r="D15" s="112">
        <v>14</v>
      </c>
      <c r="E15" s="112">
        <v>7.49</v>
      </c>
      <c r="F15" s="112">
        <v>2.73</v>
      </c>
      <c r="G15" s="112">
        <v>52.42</v>
      </c>
      <c r="H15" s="112">
        <v>17.45</v>
      </c>
      <c r="I15" s="112">
        <v>6.77</v>
      </c>
      <c r="J15" s="112">
        <v>0.25</v>
      </c>
      <c r="K15" s="112">
        <v>174.29</v>
      </c>
      <c r="L15" s="112">
        <v>28.32</v>
      </c>
      <c r="M15" s="112">
        <v>93.97</v>
      </c>
      <c r="N15" s="112">
        <v>2.1</v>
      </c>
      <c r="O15" s="112">
        <v>0</v>
      </c>
      <c r="P15" s="112">
        <v>0.69</v>
      </c>
      <c r="Q15" s="112">
        <v>4.7</v>
      </c>
    </row>
    <row r="16" spans="1:21" customFormat="1">
      <c r="A16" s="80">
        <v>45492.083333333336</v>
      </c>
      <c r="B16" s="112">
        <v>9.19</v>
      </c>
      <c r="C16" s="112">
        <v>4.18</v>
      </c>
      <c r="D16" s="112">
        <v>14</v>
      </c>
      <c r="E16" s="112">
        <v>7.34</v>
      </c>
      <c r="F16" s="112">
        <v>3.12</v>
      </c>
      <c r="G16" s="112">
        <v>52.42</v>
      </c>
      <c r="H16" s="112">
        <v>17.45</v>
      </c>
      <c r="I16" s="112">
        <v>7</v>
      </c>
      <c r="J16" s="112">
        <v>0.17</v>
      </c>
      <c r="K16" s="112">
        <v>181.41</v>
      </c>
      <c r="L16" s="112">
        <v>28.21</v>
      </c>
      <c r="M16" s="112">
        <v>96</v>
      </c>
      <c r="N16" s="112">
        <v>2</v>
      </c>
      <c r="O16" s="112">
        <v>0</v>
      </c>
      <c r="P16" s="112">
        <v>0.66</v>
      </c>
      <c r="Q16" s="112">
        <v>4.72</v>
      </c>
    </row>
    <row r="17" spans="1:17" customFormat="1">
      <c r="A17" s="80">
        <v>45492.09375</v>
      </c>
      <c r="B17" s="112">
        <v>9.19</v>
      </c>
      <c r="C17" s="112">
        <v>4.17</v>
      </c>
      <c r="D17" s="112">
        <v>14</v>
      </c>
      <c r="E17" s="112">
        <v>6.27</v>
      </c>
      <c r="F17" s="112">
        <v>3.61</v>
      </c>
      <c r="G17" s="112">
        <v>52.42</v>
      </c>
      <c r="H17" s="112">
        <v>17.45</v>
      </c>
      <c r="I17" s="112">
        <v>7.08</v>
      </c>
      <c r="J17" s="112">
        <v>0.11</v>
      </c>
      <c r="K17" s="112">
        <v>152.46</v>
      </c>
      <c r="L17" s="112">
        <v>28.18</v>
      </c>
      <c r="M17" s="112">
        <v>96.71</v>
      </c>
      <c r="N17" s="112">
        <v>2.1</v>
      </c>
      <c r="O17" s="112">
        <v>0</v>
      </c>
      <c r="P17" s="112">
        <v>0.66</v>
      </c>
      <c r="Q17" s="112">
        <v>4.72</v>
      </c>
    </row>
    <row r="18" spans="1:17" customFormat="1">
      <c r="A18" s="80">
        <v>45492.104166666664</v>
      </c>
      <c r="B18" s="112">
        <v>9.19</v>
      </c>
      <c r="C18" s="112">
        <v>4.17</v>
      </c>
      <c r="D18" s="112">
        <v>14</v>
      </c>
      <c r="E18" s="112">
        <v>7.63</v>
      </c>
      <c r="F18" s="112">
        <v>3.62</v>
      </c>
      <c r="G18" s="112">
        <v>52.86</v>
      </c>
      <c r="H18" s="112">
        <v>17.47</v>
      </c>
      <c r="I18" s="112">
        <v>6.95</v>
      </c>
      <c r="J18" s="112">
        <v>0.08</v>
      </c>
      <c r="K18" s="112">
        <v>53.02</v>
      </c>
      <c r="L18" s="112">
        <v>28.37</v>
      </c>
      <c r="M18" s="112">
        <v>93.53</v>
      </c>
      <c r="N18" s="112">
        <v>2</v>
      </c>
      <c r="O18" s="112">
        <v>0</v>
      </c>
      <c r="P18" s="112">
        <v>0.69</v>
      </c>
      <c r="Q18" s="112">
        <v>4.72</v>
      </c>
    </row>
    <row r="19" spans="1:17" customFormat="1">
      <c r="A19" s="80">
        <v>45492.114583333336</v>
      </c>
      <c r="B19" s="112">
        <v>9.16</v>
      </c>
      <c r="C19" s="112">
        <v>4.21</v>
      </c>
      <c r="D19" s="112">
        <v>14</v>
      </c>
      <c r="E19" s="112">
        <v>7.77</v>
      </c>
      <c r="F19" s="112">
        <v>3.39</v>
      </c>
      <c r="G19" s="112">
        <v>60.29</v>
      </c>
      <c r="H19" s="112">
        <v>17.82</v>
      </c>
      <c r="I19" s="112">
        <v>6.99</v>
      </c>
      <c r="J19" s="112">
        <v>0.11</v>
      </c>
      <c r="K19" s="112">
        <v>46.7</v>
      </c>
      <c r="L19" s="112">
        <v>28.41</v>
      </c>
      <c r="M19" s="112">
        <v>92.65</v>
      </c>
      <c r="N19" s="112">
        <v>2.1</v>
      </c>
      <c r="O19" s="112">
        <v>0</v>
      </c>
      <c r="P19" s="112">
        <v>0.68</v>
      </c>
      <c r="Q19" s="112">
        <v>4.71</v>
      </c>
    </row>
    <row r="20" spans="1:17" customFormat="1">
      <c r="A20" s="80">
        <v>45492.125</v>
      </c>
      <c r="B20" s="112">
        <v>9.17</v>
      </c>
      <c r="C20" s="112">
        <v>4.2</v>
      </c>
      <c r="D20" s="112">
        <v>14</v>
      </c>
      <c r="E20" s="112">
        <v>7.82</v>
      </c>
      <c r="F20" s="112">
        <v>3.63</v>
      </c>
      <c r="G20" s="112">
        <v>60.29</v>
      </c>
      <c r="H20" s="112">
        <v>17.82</v>
      </c>
      <c r="I20" s="112">
        <v>7.24</v>
      </c>
      <c r="J20" s="112">
        <v>0.2</v>
      </c>
      <c r="K20" s="112">
        <v>17.09</v>
      </c>
      <c r="L20" s="112">
        <v>28.29</v>
      </c>
      <c r="M20" s="112">
        <v>93.61</v>
      </c>
      <c r="N20" s="112">
        <v>2.1</v>
      </c>
      <c r="O20" s="112">
        <v>0</v>
      </c>
      <c r="P20" s="112">
        <v>0.67</v>
      </c>
      <c r="Q20" s="112">
        <v>4.71</v>
      </c>
    </row>
    <row r="21" spans="1:17" customFormat="1">
      <c r="A21" s="80">
        <v>45492.135416666664</v>
      </c>
      <c r="B21" s="112">
        <v>9.17</v>
      </c>
      <c r="C21" s="112">
        <v>4.2</v>
      </c>
      <c r="D21" s="112">
        <v>14</v>
      </c>
      <c r="E21" s="112">
        <v>7.65</v>
      </c>
      <c r="F21" s="112">
        <v>3.2</v>
      </c>
      <c r="G21" s="112">
        <v>60.29</v>
      </c>
      <c r="H21" s="112">
        <v>17.82</v>
      </c>
      <c r="I21" s="112">
        <v>7.36</v>
      </c>
      <c r="J21" s="112">
        <v>0.05</v>
      </c>
      <c r="K21" s="112">
        <v>71.89</v>
      </c>
      <c r="L21" s="112">
        <v>28.21</v>
      </c>
      <c r="M21" s="112">
        <v>93.91</v>
      </c>
      <c r="N21" s="112">
        <v>2.1</v>
      </c>
      <c r="O21" s="112">
        <v>0</v>
      </c>
      <c r="P21" s="112">
        <v>0.67</v>
      </c>
      <c r="Q21" s="112">
        <v>4.71</v>
      </c>
    </row>
    <row r="22" spans="1:17" customFormat="1">
      <c r="A22" s="80">
        <v>45492.145833333336</v>
      </c>
      <c r="B22" s="112">
        <v>9.18</v>
      </c>
      <c r="C22" s="112">
        <v>4.1900000000000004</v>
      </c>
      <c r="D22" s="112">
        <v>14</v>
      </c>
      <c r="E22" s="112">
        <v>8.66</v>
      </c>
      <c r="F22" s="112">
        <v>3.52</v>
      </c>
      <c r="G22" s="112">
        <v>60.48</v>
      </c>
      <c r="H22" s="112">
        <v>17.940000000000001</v>
      </c>
      <c r="I22" s="112">
        <v>7.52</v>
      </c>
      <c r="J22" s="112">
        <v>7.0000000000000007E-2</v>
      </c>
      <c r="K22" s="112">
        <v>124.1</v>
      </c>
      <c r="L22" s="112">
        <v>28.01</v>
      </c>
      <c r="M22" s="112">
        <v>94.81</v>
      </c>
      <c r="N22" s="112">
        <v>2</v>
      </c>
      <c r="O22" s="112">
        <v>0</v>
      </c>
      <c r="P22" s="112">
        <v>0.66</v>
      </c>
      <c r="Q22" s="112">
        <v>4.7</v>
      </c>
    </row>
    <row r="23" spans="1:17" customFormat="1">
      <c r="A23" s="80">
        <v>45492.15625</v>
      </c>
      <c r="B23" s="112">
        <v>9.1999999999999993</v>
      </c>
      <c r="C23" s="112">
        <v>4.16</v>
      </c>
      <c r="D23" s="112">
        <v>14</v>
      </c>
      <c r="E23" s="112">
        <v>8.52</v>
      </c>
      <c r="F23" s="112">
        <v>4.75</v>
      </c>
      <c r="G23" s="112">
        <v>63.76</v>
      </c>
      <c r="H23" s="112">
        <v>19.760000000000002</v>
      </c>
      <c r="I23" s="112">
        <v>7.37</v>
      </c>
      <c r="J23" s="112">
        <v>0.16</v>
      </c>
      <c r="K23" s="112">
        <v>174.02</v>
      </c>
      <c r="L23" s="112">
        <v>28.04</v>
      </c>
      <c r="M23" s="112">
        <v>94.44</v>
      </c>
      <c r="N23" s="112">
        <v>2.1</v>
      </c>
      <c r="O23" s="112">
        <v>0</v>
      </c>
      <c r="P23" s="112">
        <v>0.64</v>
      </c>
      <c r="Q23" s="112">
        <v>4.72</v>
      </c>
    </row>
    <row r="24" spans="1:17" customFormat="1">
      <c r="A24" s="80">
        <v>45492.166666666664</v>
      </c>
      <c r="B24" s="112">
        <v>9.1999999999999993</v>
      </c>
      <c r="C24" s="112">
        <v>4.1500000000000004</v>
      </c>
      <c r="D24" s="112">
        <v>14</v>
      </c>
      <c r="E24" s="112">
        <v>8.92</v>
      </c>
      <c r="F24" s="112">
        <v>3.66</v>
      </c>
      <c r="G24" s="112">
        <v>63.76</v>
      </c>
      <c r="H24" s="112">
        <v>19.760000000000002</v>
      </c>
      <c r="I24" s="112">
        <v>7.23</v>
      </c>
      <c r="J24" s="112">
        <v>0.18</v>
      </c>
      <c r="K24" s="112">
        <v>189.75</v>
      </c>
      <c r="L24" s="112">
        <v>28.06</v>
      </c>
      <c r="M24" s="112">
        <v>95.25</v>
      </c>
      <c r="N24" s="112">
        <v>2.1</v>
      </c>
      <c r="O24" s="112">
        <v>0</v>
      </c>
      <c r="P24" s="112">
        <v>0.64</v>
      </c>
      <c r="Q24" s="112">
        <v>4.71</v>
      </c>
    </row>
    <row r="25" spans="1:17" customFormat="1">
      <c r="A25" s="80">
        <v>45492.177083333336</v>
      </c>
      <c r="B25" s="112">
        <v>9.2200000000000006</v>
      </c>
      <c r="C25" s="112">
        <v>4.13</v>
      </c>
      <c r="D25" s="112">
        <v>14</v>
      </c>
      <c r="E25" s="112">
        <v>8.9600000000000009</v>
      </c>
      <c r="F25" s="112">
        <v>3.73</v>
      </c>
      <c r="G25" s="112">
        <v>63.76</v>
      </c>
      <c r="H25" s="112">
        <v>19.760000000000002</v>
      </c>
      <c r="I25" s="112">
        <v>7.24</v>
      </c>
      <c r="J25" s="112">
        <v>0.09</v>
      </c>
      <c r="K25" s="112">
        <v>251.11</v>
      </c>
      <c r="L25" s="112">
        <v>27.89</v>
      </c>
      <c r="M25" s="112">
        <v>95.16</v>
      </c>
      <c r="N25" s="112">
        <v>2.1</v>
      </c>
      <c r="O25" s="112">
        <v>0</v>
      </c>
      <c r="P25" s="112">
        <v>0.64</v>
      </c>
      <c r="Q25" s="112">
        <v>4.71</v>
      </c>
    </row>
    <row r="26" spans="1:17" customFormat="1">
      <c r="A26" s="80">
        <v>45492.1875</v>
      </c>
      <c r="B26" s="112">
        <v>9.24</v>
      </c>
      <c r="C26" s="112">
        <v>4.1100000000000003</v>
      </c>
      <c r="D26" s="112">
        <v>14.01</v>
      </c>
      <c r="E26" s="112">
        <v>9.43</v>
      </c>
      <c r="F26" s="112">
        <v>3.37</v>
      </c>
      <c r="G26" s="112">
        <v>63.7</v>
      </c>
      <c r="H26" s="112">
        <v>19.78</v>
      </c>
      <c r="I26" s="112">
        <v>7.31</v>
      </c>
      <c r="J26" s="112">
        <v>0.25</v>
      </c>
      <c r="K26" s="112">
        <v>308.58999999999997</v>
      </c>
      <c r="L26" s="112">
        <v>27.88</v>
      </c>
      <c r="M26" s="112">
        <v>93.96</v>
      </c>
      <c r="N26" s="112">
        <v>1.9</v>
      </c>
      <c r="O26" s="112">
        <v>0</v>
      </c>
      <c r="P26" s="112">
        <v>0.63</v>
      </c>
      <c r="Q26" s="112">
        <v>4.71</v>
      </c>
    </row>
    <row r="27" spans="1:17" customFormat="1">
      <c r="A27" s="80">
        <v>45492.197916666664</v>
      </c>
      <c r="B27" s="112">
        <v>9.2200000000000006</v>
      </c>
      <c r="C27" s="112">
        <v>4.12</v>
      </c>
      <c r="D27" s="112">
        <v>14</v>
      </c>
      <c r="E27" s="112">
        <v>9.51</v>
      </c>
      <c r="F27" s="112">
        <v>2.85</v>
      </c>
      <c r="G27" s="112">
        <v>62.65</v>
      </c>
      <c r="H27" s="112">
        <v>20.13</v>
      </c>
      <c r="I27" s="112">
        <v>7.31</v>
      </c>
      <c r="J27" s="112">
        <v>0.28000000000000003</v>
      </c>
      <c r="K27" s="112">
        <v>293.95</v>
      </c>
      <c r="L27" s="112">
        <v>27.94</v>
      </c>
      <c r="M27" s="112">
        <v>92.5</v>
      </c>
      <c r="N27" s="112">
        <v>1.9</v>
      </c>
      <c r="O27" s="112">
        <v>0</v>
      </c>
      <c r="P27" s="112">
        <v>0.62</v>
      </c>
      <c r="Q27" s="112">
        <v>4.71</v>
      </c>
    </row>
    <row r="28" spans="1:17" customFormat="1">
      <c r="A28" s="80">
        <v>45492.208333333336</v>
      </c>
      <c r="B28" s="112">
        <v>9.2200000000000006</v>
      </c>
      <c r="C28" s="112">
        <v>4.13</v>
      </c>
      <c r="D28" s="112">
        <v>14</v>
      </c>
      <c r="E28" s="112">
        <v>9.98</v>
      </c>
      <c r="F28" s="112">
        <v>3.84</v>
      </c>
      <c r="G28" s="112">
        <v>62.65</v>
      </c>
      <c r="H28" s="112">
        <v>20.13</v>
      </c>
      <c r="I28" s="112">
        <v>7.28</v>
      </c>
      <c r="J28" s="112">
        <v>0.48</v>
      </c>
      <c r="K28" s="112">
        <v>325.86</v>
      </c>
      <c r="L28" s="112">
        <v>28.07</v>
      </c>
      <c r="M28" s="112">
        <v>91.2</v>
      </c>
      <c r="N28" s="112">
        <v>2</v>
      </c>
      <c r="O28" s="112">
        <v>0</v>
      </c>
      <c r="P28" s="112">
        <v>0.62</v>
      </c>
      <c r="Q28" s="112">
        <v>4.71</v>
      </c>
    </row>
    <row r="29" spans="1:17" customFormat="1">
      <c r="A29" s="80">
        <v>45492.21875</v>
      </c>
      <c r="B29" s="112">
        <v>9.19</v>
      </c>
      <c r="C29" s="112">
        <v>4.17</v>
      </c>
      <c r="D29" s="112">
        <v>14</v>
      </c>
      <c r="E29" s="112">
        <v>9.99</v>
      </c>
      <c r="F29" s="112">
        <v>4.47</v>
      </c>
      <c r="G29" s="112">
        <v>62.65</v>
      </c>
      <c r="H29" s="112">
        <v>20.13</v>
      </c>
      <c r="I29" s="112">
        <v>7.23</v>
      </c>
      <c r="J29" s="112">
        <v>0.28999999999999998</v>
      </c>
      <c r="K29" s="112">
        <v>12.98</v>
      </c>
      <c r="L29" s="112">
        <v>28.03</v>
      </c>
      <c r="M29" s="112">
        <v>91.28</v>
      </c>
      <c r="N29" s="112">
        <v>2.2999999999999998</v>
      </c>
      <c r="O29" s="112">
        <v>0</v>
      </c>
      <c r="P29" s="112">
        <v>0.61</v>
      </c>
      <c r="Q29" s="112">
        <v>4.72</v>
      </c>
    </row>
    <row r="30" spans="1:17" customFormat="1">
      <c r="A30" s="80">
        <v>45492.229166666664</v>
      </c>
      <c r="B30" s="112">
        <v>9.18</v>
      </c>
      <c r="C30" s="112">
        <v>4.1900000000000004</v>
      </c>
      <c r="D30" s="112">
        <v>14</v>
      </c>
      <c r="E30" s="112">
        <v>9.66</v>
      </c>
      <c r="F30" s="112">
        <v>6.19</v>
      </c>
      <c r="G30" s="112">
        <v>62.98</v>
      </c>
      <c r="H30" s="112">
        <v>20.23</v>
      </c>
      <c r="I30" s="112">
        <v>7.36</v>
      </c>
      <c r="J30" s="112">
        <v>0.28999999999999998</v>
      </c>
      <c r="K30" s="112">
        <v>327.55</v>
      </c>
      <c r="L30" s="112">
        <v>28</v>
      </c>
      <c r="M30" s="112">
        <v>91.41</v>
      </c>
      <c r="N30" s="112">
        <v>3.3</v>
      </c>
      <c r="O30" s="112">
        <v>0</v>
      </c>
      <c r="P30" s="112">
        <v>0.6</v>
      </c>
      <c r="Q30" s="112">
        <v>4.71</v>
      </c>
    </row>
    <row r="31" spans="1:17" customFormat="1">
      <c r="A31" s="80">
        <v>45492.239583333336</v>
      </c>
      <c r="B31" s="112">
        <v>9.18</v>
      </c>
      <c r="C31" s="112">
        <v>4.1900000000000004</v>
      </c>
      <c r="D31" s="112">
        <v>14</v>
      </c>
      <c r="E31" s="112">
        <v>10.62</v>
      </c>
      <c r="F31" s="112">
        <v>5.98</v>
      </c>
      <c r="G31" s="112">
        <v>68.510000000000005</v>
      </c>
      <c r="H31" s="112">
        <v>21.85</v>
      </c>
      <c r="I31" s="112">
        <v>7.36</v>
      </c>
      <c r="J31" s="112">
        <v>0.23</v>
      </c>
      <c r="K31" s="112">
        <v>337.85</v>
      </c>
      <c r="L31" s="112">
        <v>28</v>
      </c>
      <c r="M31" s="112">
        <v>92.43</v>
      </c>
      <c r="N31" s="112">
        <v>5.5</v>
      </c>
      <c r="O31" s="112">
        <v>0</v>
      </c>
      <c r="P31" s="112">
        <v>0.6</v>
      </c>
      <c r="Q31" s="112">
        <v>4.72</v>
      </c>
    </row>
    <row r="32" spans="1:17" customFormat="1">
      <c r="A32" s="80">
        <v>45492.25</v>
      </c>
      <c r="B32" s="112">
        <v>9.18</v>
      </c>
      <c r="C32" s="112">
        <v>4.18</v>
      </c>
      <c r="D32" s="112">
        <v>14</v>
      </c>
      <c r="E32" s="112">
        <v>11.61</v>
      </c>
      <c r="F32" s="112">
        <v>3.38</v>
      </c>
      <c r="G32" s="112">
        <v>68.510000000000005</v>
      </c>
      <c r="H32" s="112">
        <v>21.85</v>
      </c>
      <c r="I32" s="112">
        <v>7.44</v>
      </c>
      <c r="J32" s="112">
        <v>0.25</v>
      </c>
      <c r="K32" s="112">
        <v>16.79</v>
      </c>
      <c r="L32" s="112">
        <v>28.06</v>
      </c>
      <c r="M32" s="112">
        <v>93.15</v>
      </c>
      <c r="N32" s="112">
        <v>8.8000000000000007</v>
      </c>
      <c r="O32" s="112">
        <v>0</v>
      </c>
      <c r="P32" s="112">
        <v>0.59</v>
      </c>
      <c r="Q32" s="112">
        <v>4.72</v>
      </c>
    </row>
    <row r="33" spans="1:17" customFormat="1">
      <c r="A33" s="80">
        <v>45492.260416666664</v>
      </c>
      <c r="B33" s="112">
        <v>9.18</v>
      </c>
      <c r="C33" s="112">
        <v>4.1900000000000004</v>
      </c>
      <c r="D33" s="112">
        <v>14</v>
      </c>
      <c r="E33" s="112">
        <v>10.94</v>
      </c>
      <c r="F33" s="112">
        <v>3.67</v>
      </c>
      <c r="G33" s="112">
        <v>68.510000000000005</v>
      </c>
      <c r="H33" s="112">
        <v>21.85</v>
      </c>
      <c r="I33" s="112">
        <v>7.51</v>
      </c>
      <c r="J33" s="112">
        <v>0.39</v>
      </c>
      <c r="K33" s="112">
        <v>43.04</v>
      </c>
      <c r="L33" s="112">
        <v>28.03</v>
      </c>
      <c r="M33" s="112">
        <v>94.4</v>
      </c>
      <c r="N33" s="112">
        <v>26.7</v>
      </c>
      <c r="O33" s="112">
        <v>0</v>
      </c>
      <c r="P33" s="112">
        <v>0.62</v>
      </c>
      <c r="Q33" s="112">
        <v>4.71</v>
      </c>
    </row>
    <row r="34" spans="1:17" customFormat="1">
      <c r="A34" s="80">
        <v>45492.270833333336</v>
      </c>
      <c r="B34" s="112">
        <v>9.15</v>
      </c>
      <c r="C34" s="112">
        <v>4.2300000000000004</v>
      </c>
      <c r="D34" s="112">
        <v>14</v>
      </c>
      <c r="E34" s="112">
        <v>11.56</v>
      </c>
      <c r="F34" s="112">
        <v>4.8899999999999997</v>
      </c>
      <c r="G34" s="112">
        <v>70.180000000000007</v>
      </c>
      <c r="H34" s="112">
        <v>22.1</v>
      </c>
      <c r="I34" s="112">
        <v>7.68</v>
      </c>
      <c r="J34" s="112">
        <v>0.51</v>
      </c>
      <c r="K34" s="112">
        <v>48.3</v>
      </c>
      <c r="L34" s="112">
        <v>28.29</v>
      </c>
      <c r="M34" s="112">
        <v>92.97</v>
      </c>
      <c r="N34" s="112">
        <v>35.799999999999997</v>
      </c>
      <c r="O34" s="112">
        <v>0</v>
      </c>
      <c r="P34" s="112">
        <v>0.61</v>
      </c>
      <c r="Q34" s="112">
        <v>4.71</v>
      </c>
    </row>
    <row r="35" spans="1:17" customFormat="1">
      <c r="A35" s="80">
        <v>45492.28125</v>
      </c>
      <c r="B35" s="112">
        <v>9.14</v>
      </c>
      <c r="C35" s="112">
        <v>4.24</v>
      </c>
      <c r="D35" s="112">
        <v>14</v>
      </c>
      <c r="E35" s="112">
        <v>11.67</v>
      </c>
      <c r="F35" s="112">
        <v>4.49</v>
      </c>
      <c r="G35" s="112">
        <v>98.41</v>
      </c>
      <c r="H35" s="112">
        <v>26.11</v>
      </c>
      <c r="I35" s="112">
        <v>8.1</v>
      </c>
      <c r="J35" s="112">
        <v>0.41</v>
      </c>
      <c r="K35" s="112">
        <v>30.4</v>
      </c>
      <c r="L35" s="112">
        <v>28.32</v>
      </c>
      <c r="M35" s="112">
        <v>93.47</v>
      </c>
      <c r="N35" s="112">
        <v>46.5</v>
      </c>
      <c r="O35" s="112">
        <v>0</v>
      </c>
      <c r="P35" s="112">
        <v>0.63</v>
      </c>
      <c r="Q35" s="112">
        <v>4.7</v>
      </c>
    </row>
    <row r="36" spans="1:17" customFormat="1">
      <c r="A36" s="80">
        <v>45492.291666666664</v>
      </c>
      <c r="B36" s="112">
        <v>9.15</v>
      </c>
      <c r="C36" s="112">
        <v>4.2300000000000004</v>
      </c>
      <c r="D36" s="112">
        <v>14</v>
      </c>
      <c r="E36" s="112">
        <v>11.65</v>
      </c>
      <c r="F36" s="112">
        <v>5.01</v>
      </c>
      <c r="G36" s="112">
        <v>98.41</v>
      </c>
      <c r="H36" s="112">
        <v>26.11</v>
      </c>
      <c r="I36" s="112">
        <v>8.11</v>
      </c>
      <c r="J36" s="112">
        <v>0.73</v>
      </c>
      <c r="K36" s="112">
        <v>44.73</v>
      </c>
      <c r="L36" s="112">
        <v>28.56</v>
      </c>
      <c r="M36" s="112">
        <v>92.74</v>
      </c>
      <c r="N36" s="112">
        <v>64</v>
      </c>
      <c r="O36" s="112">
        <v>0</v>
      </c>
      <c r="P36" s="112">
        <v>0.64</v>
      </c>
      <c r="Q36" s="112">
        <v>4.71</v>
      </c>
    </row>
    <row r="37" spans="1:17" customFormat="1">
      <c r="A37" s="80">
        <v>45492.302083333336</v>
      </c>
      <c r="B37" s="112">
        <v>9.16</v>
      </c>
      <c r="C37" s="112">
        <v>4.22</v>
      </c>
      <c r="D37" s="112">
        <v>14</v>
      </c>
      <c r="E37" s="112">
        <v>13.29</v>
      </c>
      <c r="F37" s="112">
        <v>5.34</v>
      </c>
      <c r="G37" s="112">
        <v>98.41</v>
      </c>
      <c r="H37" s="112">
        <v>26.11</v>
      </c>
      <c r="I37" s="112">
        <v>8.1199999999999992</v>
      </c>
      <c r="J37" s="112">
        <v>0.97</v>
      </c>
      <c r="K37" s="112">
        <v>39.630000000000003</v>
      </c>
      <c r="L37" s="112">
        <v>28.62</v>
      </c>
      <c r="M37" s="112">
        <v>93.19</v>
      </c>
      <c r="N37" s="112">
        <v>76</v>
      </c>
      <c r="O37" s="112">
        <v>0</v>
      </c>
      <c r="P37" s="112">
        <v>0.62</v>
      </c>
      <c r="Q37" s="112">
        <v>4.72</v>
      </c>
    </row>
    <row r="38" spans="1:17" customFormat="1">
      <c r="A38" s="80">
        <v>45492.3125</v>
      </c>
      <c r="B38" s="112">
        <v>9.14</v>
      </c>
      <c r="C38" s="112">
        <v>4.25</v>
      </c>
      <c r="D38" s="112">
        <v>14</v>
      </c>
      <c r="E38" s="112">
        <v>12.46</v>
      </c>
      <c r="F38" s="112">
        <v>6.15</v>
      </c>
      <c r="G38" s="112">
        <v>98.32</v>
      </c>
      <c r="H38" s="112">
        <v>26.22</v>
      </c>
      <c r="I38" s="112">
        <v>8.2100000000000009</v>
      </c>
      <c r="J38" s="112">
        <v>1.29</v>
      </c>
      <c r="K38" s="112">
        <v>50</v>
      </c>
      <c r="L38" s="112">
        <v>28.76</v>
      </c>
      <c r="M38" s="112">
        <v>91.77</v>
      </c>
      <c r="N38" s="112">
        <v>75.7</v>
      </c>
      <c r="O38" s="112">
        <v>0</v>
      </c>
      <c r="P38" s="112">
        <v>0.63</v>
      </c>
      <c r="Q38" s="112">
        <v>4.71</v>
      </c>
    </row>
    <row r="39" spans="1:17" customFormat="1">
      <c r="A39" s="80">
        <v>45492.322916666664</v>
      </c>
      <c r="B39" s="112">
        <v>9.15</v>
      </c>
      <c r="C39" s="112">
        <v>4.24</v>
      </c>
      <c r="D39" s="112">
        <v>14</v>
      </c>
      <c r="E39" s="112">
        <v>12.62</v>
      </c>
      <c r="F39" s="112">
        <v>5.95</v>
      </c>
      <c r="G39" s="112">
        <v>96.81</v>
      </c>
      <c r="H39" s="112">
        <v>27.95</v>
      </c>
      <c r="I39" s="112">
        <v>8.2100000000000009</v>
      </c>
      <c r="J39" s="112">
        <v>1.64</v>
      </c>
      <c r="K39" s="112">
        <v>52.71</v>
      </c>
      <c r="L39" s="112">
        <v>29.04</v>
      </c>
      <c r="M39" s="112">
        <v>88.64</v>
      </c>
      <c r="N39" s="112">
        <v>107.4</v>
      </c>
      <c r="O39" s="112">
        <v>0</v>
      </c>
      <c r="P39" s="112">
        <v>0.63</v>
      </c>
      <c r="Q39" s="112">
        <v>4.71</v>
      </c>
    </row>
    <row r="40" spans="1:17" customFormat="1">
      <c r="A40" s="80">
        <v>45492.333333333336</v>
      </c>
      <c r="B40" s="112">
        <v>9.16</v>
      </c>
      <c r="C40" s="112">
        <v>4.22</v>
      </c>
      <c r="D40" s="112">
        <v>14</v>
      </c>
      <c r="E40" s="112">
        <v>12.61</v>
      </c>
      <c r="F40" s="112">
        <v>7.6</v>
      </c>
      <c r="G40" s="112">
        <v>96.81</v>
      </c>
      <c r="H40" s="112">
        <v>27.95</v>
      </c>
      <c r="I40" s="112">
        <v>8.0399999999999991</v>
      </c>
      <c r="J40" s="112">
        <v>1.8</v>
      </c>
      <c r="K40" s="112">
        <v>51.43</v>
      </c>
      <c r="L40" s="112">
        <v>29.57</v>
      </c>
      <c r="M40" s="112">
        <v>83.07</v>
      </c>
      <c r="N40" s="112">
        <v>134.1</v>
      </c>
      <c r="O40" s="112">
        <v>0</v>
      </c>
      <c r="P40" s="112">
        <v>0.62</v>
      </c>
      <c r="Q40" s="112">
        <v>4.72</v>
      </c>
    </row>
    <row r="41" spans="1:17" customFormat="1">
      <c r="A41" s="80">
        <v>45492.34375</v>
      </c>
      <c r="B41" s="112">
        <v>9.15</v>
      </c>
      <c r="C41" s="112">
        <v>4.24</v>
      </c>
      <c r="D41" s="112">
        <v>14</v>
      </c>
      <c r="E41" s="112">
        <v>12.91</v>
      </c>
      <c r="F41" s="112">
        <v>6.73</v>
      </c>
      <c r="G41" s="112">
        <v>96.81</v>
      </c>
      <c r="H41" s="112">
        <v>27.95</v>
      </c>
      <c r="I41" s="112">
        <v>8.16</v>
      </c>
      <c r="J41" s="112">
        <v>1.64</v>
      </c>
      <c r="K41" s="112">
        <v>44.51</v>
      </c>
      <c r="L41" s="112">
        <v>30.42</v>
      </c>
      <c r="M41" s="112">
        <v>77.14</v>
      </c>
      <c r="N41" s="112">
        <v>127.7</v>
      </c>
      <c r="O41" s="112">
        <v>0</v>
      </c>
      <c r="P41" s="112">
        <v>0.59</v>
      </c>
      <c r="Q41" s="112">
        <v>4.7</v>
      </c>
    </row>
    <row r="42" spans="1:17" customFormat="1">
      <c r="A42" s="80">
        <v>45492.354166666664</v>
      </c>
      <c r="B42" s="112">
        <v>9.14</v>
      </c>
      <c r="C42" s="112">
        <v>4.24</v>
      </c>
      <c r="D42" s="112">
        <v>14</v>
      </c>
      <c r="E42" s="112">
        <v>15.03</v>
      </c>
      <c r="F42" s="112">
        <v>9.41</v>
      </c>
      <c r="G42" s="112">
        <v>96.32</v>
      </c>
      <c r="H42" s="112">
        <v>28.01</v>
      </c>
      <c r="I42" s="112">
        <v>8.07</v>
      </c>
      <c r="J42" s="112">
        <v>1.1200000000000001</v>
      </c>
      <c r="K42" s="112">
        <v>51.97</v>
      </c>
      <c r="L42" s="112">
        <v>31.08</v>
      </c>
      <c r="M42" s="112">
        <v>74.27</v>
      </c>
      <c r="N42" s="112">
        <v>113.9</v>
      </c>
      <c r="O42" s="112">
        <v>0</v>
      </c>
      <c r="P42" s="112">
        <v>0.61</v>
      </c>
      <c r="Q42" s="112">
        <v>4.7</v>
      </c>
    </row>
    <row r="43" spans="1:17" customFormat="1">
      <c r="A43" s="80">
        <v>45492.364583333336</v>
      </c>
      <c r="B43" s="112">
        <v>9.2200000000000006</v>
      </c>
      <c r="C43" s="112">
        <v>4.13</v>
      </c>
      <c r="D43" s="112">
        <v>14</v>
      </c>
      <c r="E43" s="112">
        <v>14.23</v>
      </c>
      <c r="F43" s="112">
        <v>7.64</v>
      </c>
      <c r="G43" s="112">
        <v>87.99</v>
      </c>
      <c r="H43" s="112">
        <v>28.94</v>
      </c>
      <c r="I43" s="112">
        <v>7.72</v>
      </c>
      <c r="J43" s="112">
        <v>1.1100000000000001</v>
      </c>
      <c r="K43" s="112">
        <v>58.08</v>
      </c>
      <c r="L43" s="112">
        <v>31.36</v>
      </c>
      <c r="M43" s="112">
        <v>73.2</v>
      </c>
      <c r="N43" s="112">
        <v>134</v>
      </c>
      <c r="O43" s="112">
        <v>0</v>
      </c>
      <c r="P43" s="112">
        <v>0.61</v>
      </c>
      <c r="Q43" s="112">
        <v>4.6900000000000004</v>
      </c>
    </row>
    <row r="44" spans="1:17" customFormat="1">
      <c r="A44" s="80">
        <v>45492.375</v>
      </c>
      <c r="B44" s="112">
        <v>9.26</v>
      </c>
      <c r="C44" s="112">
        <v>4.07</v>
      </c>
      <c r="D44" s="112">
        <v>14</v>
      </c>
      <c r="E44" s="112">
        <v>14.01</v>
      </c>
      <c r="F44" s="112">
        <v>8.43</v>
      </c>
      <c r="G44" s="112">
        <v>87.99</v>
      </c>
      <c r="H44" s="112">
        <v>28.94</v>
      </c>
      <c r="I44" s="112">
        <v>7.42</v>
      </c>
      <c r="J44" s="112">
        <v>1.17</v>
      </c>
      <c r="K44" s="112">
        <v>56.06</v>
      </c>
      <c r="L44" s="112">
        <v>31.7</v>
      </c>
      <c r="M44" s="112">
        <v>71.72</v>
      </c>
      <c r="N44" s="112">
        <v>166.9</v>
      </c>
      <c r="O44" s="112">
        <v>0</v>
      </c>
      <c r="P44" s="112">
        <v>0.6</v>
      </c>
      <c r="Q44" s="112">
        <v>4.6900000000000004</v>
      </c>
    </row>
    <row r="45" spans="1:17" customFormat="1">
      <c r="A45" s="80">
        <v>45492.385416666664</v>
      </c>
      <c r="B45" s="112">
        <v>9.2899999999999991</v>
      </c>
      <c r="C45" s="112">
        <v>4.0599999999999996</v>
      </c>
      <c r="D45" s="112">
        <v>14.02</v>
      </c>
      <c r="E45" s="112">
        <v>12.9</v>
      </c>
      <c r="F45" s="112">
        <v>10.34</v>
      </c>
      <c r="G45" s="112">
        <v>87.99</v>
      </c>
      <c r="H45" s="112">
        <v>28.94</v>
      </c>
      <c r="I45" s="112">
        <v>7.39</v>
      </c>
      <c r="J45" s="112">
        <v>0.8</v>
      </c>
      <c r="K45" s="112">
        <v>62.33</v>
      </c>
      <c r="L45" s="112">
        <v>31.79</v>
      </c>
      <c r="M45" s="112">
        <v>71.41</v>
      </c>
      <c r="N45" s="112">
        <v>212.7</v>
      </c>
      <c r="O45" s="112">
        <v>0</v>
      </c>
      <c r="P45" s="112">
        <v>0.56999999999999995</v>
      </c>
      <c r="Q45" s="112">
        <v>4.7</v>
      </c>
    </row>
    <row r="46" spans="1:17" customFormat="1">
      <c r="A46" s="80">
        <v>45492.395833333336</v>
      </c>
      <c r="B46" s="112">
        <v>9.32</v>
      </c>
      <c r="C46" s="112">
        <v>4.07</v>
      </c>
      <c r="D46" s="112">
        <v>14.05</v>
      </c>
      <c r="E46" s="112">
        <v>12.8</v>
      </c>
      <c r="F46" s="112">
        <v>10.8</v>
      </c>
      <c r="G46" s="112">
        <v>86.93</v>
      </c>
      <c r="H46" s="112">
        <v>28.84</v>
      </c>
      <c r="I46" s="112">
        <v>7.16</v>
      </c>
      <c r="J46" s="112">
        <v>0.9</v>
      </c>
      <c r="K46" s="112">
        <v>59.48</v>
      </c>
      <c r="L46" s="112">
        <v>31.99</v>
      </c>
      <c r="M46" s="112">
        <v>70.75</v>
      </c>
      <c r="N46" s="112">
        <v>258.3</v>
      </c>
      <c r="O46" s="112">
        <v>0</v>
      </c>
      <c r="P46" s="112">
        <v>0.54</v>
      </c>
      <c r="Q46" s="112">
        <v>4.71</v>
      </c>
    </row>
    <row r="47" spans="1:17" customFormat="1">
      <c r="A47" s="80">
        <v>45492.40625</v>
      </c>
      <c r="B47" s="112">
        <v>9.25</v>
      </c>
      <c r="C47" s="112">
        <v>4.09</v>
      </c>
      <c r="D47" s="112">
        <v>14</v>
      </c>
      <c r="E47" s="112">
        <v>17.13</v>
      </c>
      <c r="F47" s="112">
        <v>10.39</v>
      </c>
      <c r="G47" s="112">
        <v>68.91</v>
      </c>
      <c r="H47" s="112">
        <v>27.4</v>
      </c>
      <c r="I47" s="112">
        <v>6.37</v>
      </c>
      <c r="J47" s="112">
        <v>1.36</v>
      </c>
      <c r="K47" s="112">
        <v>47.59</v>
      </c>
      <c r="L47" s="112">
        <v>31.96</v>
      </c>
      <c r="M47" s="112">
        <v>69.73</v>
      </c>
      <c r="N47" s="112">
        <v>252.7</v>
      </c>
      <c r="O47" s="112">
        <v>0</v>
      </c>
      <c r="P47" s="112">
        <v>0.54</v>
      </c>
      <c r="Q47" s="112">
        <v>4.7</v>
      </c>
    </row>
    <row r="48" spans="1:17" customFormat="1">
      <c r="A48" s="80">
        <v>45492.416666666664</v>
      </c>
      <c r="B48" s="112">
        <v>9.2100000000000009</v>
      </c>
      <c r="C48" s="112">
        <v>4.1399999999999997</v>
      </c>
      <c r="D48" s="112">
        <v>14</v>
      </c>
      <c r="E48" s="112">
        <v>21.75</v>
      </c>
      <c r="F48" s="112">
        <v>13.47</v>
      </c>
      <c r="G48" s="112">
        <v>68.91</v>
      </c>
      <c r="H48" s="112">
        <v>27.4</v>
      </c>
      <c r="I48" s="112">
        <v>5.77</v>
      </c>
      <c r="J48" s="112">
        <v>1.07</v>
      </c>
      <c r="K48" s="112">
        <v>51.58</v>
      </c>
      <c r="L48" s="112">
        <v>32.35</v>
      </c>
      <c r="M48" s="112">
        <v>68.680000000000007</v>
      </c>
      <c r="N48" s="112">
        <v>234.4</v>
      </c>
      <c r="O48" s="112">
        <v>0</v>
      </c>
      <c r="P48" s="112">
        <v>0.53</v>
      </c>
      <c r="Q48" s="112">
        <v>4.6900000000000004</v>
      </c>
    </row>
    <row r="49" spans="1:17" customFormat="1">
      <c r="A49" s="80">
        <v>45492.427083333336</v>
      </c>
      <c r="B49" s="112">
        <v>9.23</v>
      </c>
      <c r="C49" s="112">
        <v>4.1100000000000003</v>
      </c>
      <c r="D49" s="112">
        <v>14</v>
      </c>
      <c r="E49" s="112">
        <v>10.94</v>
      </c>
      <c r="F49" s="112">
        <v>8.7799999999999994</v>
      </c>
      <c r="G49" s="112">
        <v>68.91</v>
      </c>
      <c r="H49" s="112">
        <v>27.4</v>
      </c>
      <c r="I49" s="112">
        <v>5.62</v>
      </c>
      <c r="J49" s="112">
        <v>0.74</v>
      </c>
      <c r="K49" s="112">
        <v>64.36</v>
      </c>
      <c r="L49" s="112">
        <v>32.619999999999997</v>
      </c>
      <c r="M49" s="112">
        <v>68.819999999999993</v>
      </c>
      <c r="N49" s="112">
        <v>183.2</v>
      </c>
      <c r="O49" s="112">
        <v>0</v>
      </c>
      <c r="P49" s="112">
        <v>0.51</v>
      </c>
      <c r="Q49" s="112">
        <v>4.6900000000000004</v>
      </c>
    </row>
    <row r="50" spans="1:17" customFormat="1">
      <c r="A50" s="80">
        <v>45492.4375</v>
      </c>
      <c r="B50" s="112">
        <v>9.23</v>
      </c>
      <c r="C50" s="112">
        <v>4.1100000000000003</v>
      </c>
      <c r="D50" s="112">
        <v>14</v>
      </c>
      <c r="E50" s="112">
        <v>12.2</v>
      </c>
      <c r="F50" s="112">
        <v>9.58</v>
      </c>
      <c r="G50" s="112">
        <v>68.7</v>
      </c>
      <c r="H50" s="112">
        <v>27.41</v>
      </c>
      <c r="I50" s="112">
        <v>5.25</v>
      </c>
      <c r="J50" s="112">
        <v>1.06</v>
      </c>
      <c r="K50" s="112">
        <v>50.23</v>
      </c>
      <c r="L50" s="112">
        <v>32.94</v>
      </c>
      <c r="M50" s="112">
        <v>67.16</v>
      </c>
      <c r="N50" s="112">
        <v>222.2</v>
      </c>
      <c r="O50" s="112">
        <v>0</v>
      </c>
      <c r="P50" s="112">
        <v>0.51</v>
      </c>
      <c r="Q50" s="112">
        <v>4.7</v>
      </c>
    </row>
    <row r="51" spans="1:17" customFormat="1">
      <c r="A51" s="80">
        <v>45492.447916666664</v>
      </c>
      <c r="B51" s="112">
        <v>9.2100000000000009</v>
      </c>
      <c r="C51" s="112">
        <v>4.1399999999999997</v>
      </c>
      <c r="D51" s="112">
        <v>14</v>
      </c>
      <c r="E51" s="112">
        <v>13.91</v>
      </c>
      <c r="F51" s="112">
        <v>12.63</v>
      </c>
      <c r="G51" s="112">
        <v>65.069999999999993</v>
      </c>
      <c r="H51" s="112">
        <v>27.61</v>
      </c>
      <c r="I51" s="112">
        <v>5.18</v>
      </c>
      <c r="J51" s="112">
        <v>1.1399999999999999</v>
      </c>
      <c r="K51" s="112">
        <v>47.89</v>
      </c>
      <c r="L51" s="112">
        <v>32.869999999999997</v>
      </c>
      <c r="M51" s="112">
        <v>67.7</v>
      </c>
      <c r="N51" s="112">
        <v>229.2</v>
      </c>
      <c r="O51" s="112">
        <v>0</v>
      </c>
      <c r="P51" s="112">
        <v>0.48</v>
      </c>
      <c r="Q51" s="112">
        <v>4.6900000000000004</v>
      </c>
    </row>
    <row r="52" spans="1:17" customFormat="1">
      <c r="A52" s="80">
        <v>45492.458333333336</v>
      </c>
      <c r="B52" s="112">
        <v>9.2200000000000006</v>
      </c>
      <c r="C52" s="112">
        <v>4.13</v>
      </c>
      <c r="D52" s="112">
        <v>14</v>
      </c>
      <c r="E52" s="112">
        <v>11.57</v>
      </c>
      <c r="F52" s="112">
        <v>11.45</v>
      </c>
      <c r="G52" s="112">
        <v>65.069999999999993</v>
      </c>
      <c r="H52" s="112">
        <v>27.61</v>
      </c>
      <c r="I52" s="112">
        <v>5.1100000000000003</v>
      </c>
      <c r="J52" s="112">
        <v>1.1200000000000001</v>
      </c>
      <c r="K52" s="112">
        <v>49.92</v>
      </c>
      <c r="L52" s="112">
        <v>32.33</v>
      </c>
      <c r="M52" s="112">
        <v>68.209999999999994</v>
      </c>
      <c r="N52" s="112">
        <v>112.1</v>
      </c>
      <c r="O52" s="112">
        <v>0</v>
      </c>
      <c r="P52" s="112">
        <v>0.46</v>
      </c>
      <c r="Q52" s="112">
        <v>4.71</v>
      </c>
    </row>
    <row r="53" spans="1:17" customFormat="1">
      <c r="A53" s="80">
        <v>45492.46875</v>
      </c>
      <c r="B53" s="112">
        <v>9.2100000000000009</v>
      </c>
      <c r="C53" s="112">
        <v>4.1399999999999997</v>
      </c>
      <c r="D53" s="112">
        <v>14</v>
      </c>
      <c r="E53" s="112">
        <v>10.97</v>
      </c>
      <c r="F53" s="112">
        <v>13.3</v>
      </c>
      <c r="G53" s="112">
        <v>65.069999999999993</v>
      </c>
      <c r="H53" s="112">
        <v>27.61</v>
      </c>
      <c r="I53" s="112">
        <v>5</v>
      </c>
      <c r="J53" s="112">
        <v>1.08</v>
      </c>
      <c r="K53" s="112">
        <v>43.93</v>
      </c>
      <c r="L53" s="112">
        <v>31.96</v>
      </c>
      <c r="M53" s="112">
        <v>71.06</v>
      </c>
      <c r="N53" s="112">
        <v>165.2</v>
      </c>
      <c r="O53" s="112">
        <v>0</v>
      </c>
      <c r="P53" s="112">
        <v>0.45</v>
      </c>
      <c r="Q53" s="112">
        <v>4.71</v>
      </c>
    </row>
    <row r="54" spans="1:17" customFormat="1">
      <c r="A54" s="80">
        <v>45492.479166666664</v>
      </c>
      <c r="B54" s="112">
        <v>9.2100000000000009</v>
      </c>
      <c r="C54" s="112">
        <v>4.1399999999999997</v>
      </c>
      <c r="D54" s="112">
        <v>14</v>
      </c>
      <c r="E54" s="112">
        <v>13.35</v>
      </c>
      <c r="F54" s="112">
        <v>17.79</v>
      </c>
      <c r="G54" s="112">
        <v>64.59</v>
      </c>
      <c r="H54" s="112">
        <v>27.26</v>
      </c>
      <c r="I54" s="112">
        <v>4.99</v>
      </c>
      <c r="J54" s="112">
        <v>1.1299999999999999</v>
      </c>
      <c r="K54" s="112">
        <v>46.51</v>
      </c>
      <c r="L54" s="112">
        <v>31.86</v>
      </c>
      <c r="M54" s="112">
        <v>71.69</v>
      </c>
      <c r="N54" s="112">
        <v>142.4</v>
      </c>
      <c r="O54" s="112">
        <v>0</v>
      </c>
      <c r="P54" s="112">
        <v>0.46</v>
      </c>
      <c r="Q54" s="112">
        <v>4.7</v>
      </c>
    </row>
    <row r="55" spans="1:17" customFormat="1">
      <c r="A55" s="80">
        <v>45492.489583333336</v>
      </c>
      <c r="B55" s="112">
        <v>9.24</v>
      </c>
      <c r="C55" s="112">
        <v>4.0999999999999996</v>
      </c>
      <c r="D55" s="112">
        <v>14</v>
      </c>
      <c r="E55" s="112">
        <v>13.26</v>
      </c>
      <c r="F55" s="112">
        <v>19.079999999999998</v>
      </c>
      <c r="G55" s="112">
        <v>56.4</v>
      </c>
      <c r="H55" s="112">
        <v>21.81</v>
      </c>
      <c r="I55" s="112">
        <v>4.93</v>
      </c>
      <c r="J55" s="112">
        <v>1.1200000000000001</v>
      </c>
      <c r="K55" s="112">
        <v>52.76</v>
      </c>
      <c r="L55" s="112">
        <v>32.19</v>
      </c>
      <c r="M55" s="112">
        <v>70.900000000000006</v>
      </c>
      <c r="N55" s="112">
        <v>297.89999999999998</v>
      </c>
      <c r="O55" s="112">
        <v>0</v>
      </c>
      <c r="P55" s="112">
        <v>0.44</v>
      </c>
      <c r="Q55" s="112">
        <v>4.6900000000000004</v>
      </c>
    </row>
    <row r="56" spans="1:17" customFormat="1">
      <c r="A56" s="80">
        <v>45492.5</v>
      </c>
      <c r="B56" s="112">
        <v>9.25</v>
      </c>
      <c r="C56" s="112">
        <v>4.08</v>
      </c>
      <c r="D56" s="112">
        <v>14</v>
      </c>
      <c r="E56" s="112">
        <v>12.36</v>
      </c>
      <c r="F56" s="112">
        <v>16.36</v>
      </c>
      <c r="G56" s="112">
        <v>56.4</v>
      </c>
      <c r="H56" s="112">
        <v>21.81</v>
      </c>
      <c r="I56" s="112">
        <v>5.29</v>
      </c>
      <c r="J56" s="112">
        <v>1.25</v>
      </c>
      <c r="K56" s="112">
        <v>53.45</v>
      </c>
      <c r="L56" s="112">
        <v>32.76</v>
      </c>
      <c r="M56" s="112">
        <v>68.67</v>
      </c>
      <c r="N56" s="112">
        <v>409.1</v>
      </c>
      <c r="O56" s="112">
        <v>0</v>
      </c>
      <c r="P56" s="112">
        <v>0.43</v>
      </c>
      <c r="Q56" s="112">
        <v>4.7</v>
      </c>
    </row>
    <row r="57" spans="1:17" customFormat="1">
      <c r="A57" s="80">
        <v>45492.510416666664</v>
      </c>
      <c r="B57" s="112">
        <v>9.26</v>
      </c>
      <c r="C57" s="112">
        <v>4.0999999999999996</v>
      </c>
      <c r="D57" s="112">
        <v>14.02</v>
      </c>
      <c r="E57" s="112">
        <v>14.04</v>
      </c>
      <c r="F57" s="112">
        <v>10.64</v>
      </c>
      <c r="G57" s="112">
        <v>56.4</v>
      </c>
      <c r="H57" s="112">
        <v>21.81</v>
      </c>
      <c r="I57" s="112">
        <v>5.04</v>
      </c>
      <c r="J57" s="112">
        <v>0.6</v>
      </c>
      <c r="K57" s="112">
        <v>82.62</v>
      </c>
      <c r="L57" s="112">
        <v>33.75</v>
      </c>
      <c r="M57" s="112">
        <v>64.62</v>
      </c>
      <c r="N57" s="112">
        <v>573.5</v>
      </c>
      <c r="O57" s="112">
        <v>0</v>
      </c>
      <c r="P57" s="112">
        <v>0.42</v>
      </c>
      <c r="Q57" s="112">
        <v>4.7</v>
      </c>
    </row>
    <row r="58" spans="1:17" customFormat="1">
      <c r="A58" s="80">
        <v>45492.520833333336</v>
      </c>
      <c r="B58" s="112">
        <v>9.2899999999999991</v>
      </c>
      <c r="C58" s="112">
        <v>4.0599999999999996</v>
      </c>
      <c r="D58" s="112">
        <v>14.02</v>
      </c>
      <c r="E58" s="112">
        <v>24.63</v>
      </c>
      <c r="F58" s="112">
        <v>14.87</v>
      </c>
      <c r="G58" s="112">
        <v>56.42</v>
      </c>
      <c r="H58" s="112">
        <v>21.82</v>
      </c>
      <c r="I58" s="112">
        <v>5.25</v>
      </c>
      <c r="J58" s="112">
        <v>1.17</v>
      </c>
      <c r="K58" s="112">
        <v>54.86</v>
      </c>
      <c r="L58" s="112">
        <v>33.79</v>
      </c>
      <c r="M58" s="112">
        <v>62.44</v>
      </c>
      <c r="N58" s="112">
        <v>450.4</v>
      </c>
      <c r="O58" s="112">
        <v>0</v>
      </c>
      <c r="P58" s="112">
        <v>0.41</v>
      </c>
      <c r="Q58" s="112">
        <v>4.71</v>
      </c>
    </row>
    <row r="59" spans="1:17" customFormat="1">
      <c r="A59" s="80">
        <v>45492.53125</v>
      </c>
      <c r="B59" s="112">
        <v>9.27</v>
      </c>
      <c r="C59" s="112">
        <v>4.07</v>
      </c>
      <c r="D59" s="112">
        <v>14.01</v>
      </c>
      <c r="E59" s="112">
        <v>29.44</v>
      </c>
      <c r="F59" s="112">
        <v>15.03</v>
      </c>
      <c r="G59" s="112">
        <v>56.69</v>
      </c>
      <c r="H59" s="112">
        <v>21.98</v>
      </c>
      <c r="I59" s="112">
        <v>5.0599999999999996</v>
      </c>
      <c r="J59" s="112">
        <v>1.42</v>
      </c>
      <c r="K59" s="112">
        <v>48.27</v>
      </c>
      <c r="L59" s="112">
        <v>33.130000000000003</v>
      </c>
      <c r="M59" s="112">
        <v>65.44</v>
      </c>
      <c r="N59" s="112">
        <v>211.1</v>
      </c>
      <c r="O59" s="112">
        <v>0</v>
      </c>
      <c r="P59" s="112">
        <v>0.42</v>
      </c>
      <c r="Q59" s="112">
        <v>4.71</v>
      </c>
    </row>
    <row r="60" spans="1:17" customFormat="1">
      <c r="A60" s="80">
        <v>45492.541666666664</v>
      </c>
      <c r="B60" s="112">
        <v>9.26</v>
      </c>
      <c r="C60" s="112">
        <v>4.08</v>
      </c>
      <c r="D60" s="112">
        <v>14</v>
      </c>
      <c r="E60" s="112">
        <v>19.22</v>
      </c>
      <c r="F60" s="112">
        <v>16.649999999999999</v>
      </c>
      <c r="G60" s="112">
        <v>56.69</v>
      </c>
      <c r="H60" s="112">
        <v>21.98</v>
      </c>
      <c r="I60" s="112">
        <v>4.8600000000000003</v>
      </c>
      <c r="J60" s="112">
        <v>1.24</v>
      </c>
      <c r="K60" s="112">
        <v>41.87</v>
      </c>
      <c r="L60" s="112">
        <v>33.090000000000003</v>
      </c>
      <c r="M60" s="112">
        <v>66.37</v>
      </c>
      <c r="N60" s="112">
        <v>467.5</v>
      </c>
      <c r="O60" s="112">
        <v>0</v>
      </c>
      <c r="P60" s="112">
        <v>0.41</v>
      </c>
      <c r="Q60" s="112">
        <v>4.71</v>
      </c>
    </row>
    <row r="61" spans="1:17" customFormat="1">
      <c r="A61" s="80">
        <v>45492.552083333336</v>
      </c>
      <c r="B61" s="112">
        <v>9.2799999999999994</v>
      </c>
      <c r="C61" s="112">
        <v>4.0599999999999996</v>
      </c>
      <c r="D61" s="112">
        <v>14.01</v>
      </c>
      <c r="E61" s="112">
        <v>17.21</v>
      </c>
      <c r="F61" s="112">
        <v>15.97</v>
      </c>
      <c r="G61" s="112">
        <v>56.69</v>
      </c>
      <c r="H61" s="112">
        <v>21.98</v>
      </c>
      <c r="I61" s="112">
        <v>5.1100000000000003</v>
      </c>
      <c r="J61" s="112">
        <v>1.25</v>
      </c>
      <c r="K61" s="112">
        <v>45.76</v>
      </c>
      <c r="L61" s="112">
        <v>33.67</v>
      </c>
      <c r="M61" s="112">
        <v>65.39</v>
      </c>
      <c r="N61" s="112">
        <v>500.9</v>
      </c>
      <c r="O61" s="112">
        <v>0</v>
      </c>
      <c r="P61" s="112">
        <v>0.38</v>
      </c>
      <c r="Q61" s="112">
        <v>4.71</v>
      </c>
    </row>
    <row r="62" spans="1:17" customFormat="1">
      <c r="A62" s="80">
        <v>45492.5625</v>
      </c>
      <c r="B62" s="112">
        <v>9.27</v>
      </c>
      <c r="C62" s="112">
        <v>4.08</v>
      </c>
      <c r="D62" s="112">
        <v>14.02</v>
      </c>
      <c r="E62" s="112">
        <v>16.46</v>
      </c>
      <c r="F62" s="112">
        <v>26.77</v>
      </c>
      <c r="G62" s="112">
        <v>56.44</v>
      </c>
      <c r="H62" s="112">
        <v>22.06</v>
      </c>
      <c r="I62" s="112">
        <v>5.14</v>
      </c>
      <c r="J62" s="112">
        <v>1.24</v>
      </c>
      <c r="K62" s="112">
        <v>39.44</v>
      </c>
      <c r="L62" s="112">
        <v>34.24</v>
      </c>
      <c r="M62" s="112">
        <v>63.31</v>
      </c>
      <c r="N62" s="112">
        <v>321.2</v>
      </c>
      <c r="O62" s="112">
        <v>0</v>
      </c>
      <c r="P62" s="112">
        <v>0.37</v>
      </c>
      <c r="Q62" s="112">
        <v>4.72</v>
      </c>
    </row>
    <row r="63" spans="1:17" customFormat="1">
      <c r="A63" s="80">
        <v>45492.572916666664</v>
      </c>
      <c r="B63" s="112">
        <v>9.24</v>
      </c>
      <c r="C63" s="112">
        <v>4.09</v>
      </c>
      <c r="D63" s="112">
        <v>14</v>
      </c>
      <c r="E63" s="112">
        <v>15.44</v>
      </c>
      <c r="F63" s="112">
        <v>17.510000000000002</v>
      </c>
      <c r="G63" s="112">
        <v>52.16</v>
      </c>
      <c r="H63" s="112">
        <v>23.32</v>
      </c>
      <c r="I63" s="112">
        <v>5.04</v>
      </c>
      <c r="J63" s="112">
        <v>0.96</v>
      </c>
      <c r="K63" s="112">
        <v>40.869999999999997</v>
      </c>
      <c r="L63" s="112">
        <v>34.700000000000003</v>
      </c>
      <c r="M63" s="112">
        <v>61.1</v>
      </c>
      <c r="N63" s="112">
        <v>245.4</v>
      </c>
      <c r="O63" s="112">
        <v>0</v>
      </c>
      <c r="P63" s="112">
        <v>0.39</v>
      </c>
      <c r="Q63" s="112">
        <v>4.71</v>
      </c>
    </row>
    <row r="64" spans="1:17" customFormat="1">
      <c r="A64" s="80">
        <v>45492.583333333336</v>
      </c>
      <c r="B64" s="112">
        <v>9.23</v>
      </c>
      <c r="C64" s="112">
        <v>4.12</v>
      </c>
      <c r="D64" s="112">
        <v>14</v>
      </c>
      <c r="E64" s="112">
        <v>14.25</v>
      </c>
      <c r="F64" s="112">
        <v>15.2</v>
      </c>
      <c r="G64" s="112">
        <v>52.16</v>
      </c>
      <c r="H64" s="112">
        <v>23.32</v>
      </c>
      <c r="I64" s="112">
        <v>4.9400000000000004</v>
      </c>
      <c r="J64" s="112">
        <v>1.08</v>
      </c>
      <c r="K64" s="112">
        <v>49.61</v>
      </c>
      <c r="L64" s="112">
        <v>34.36</v>
      </c>
      <c r="M64" s="112">
        <v>61.45</v>
      </c>
      <c r="N64" s="112">
        <v>256.39999999999998</v>
      </c>
      <c r="O64" s="112">
        <v>0</v>
      </c>
      <c r="P64" s="112">
        <v>0.38</v>
      </c>
      <c r="Q64" s="112">
        <v>4.7300000000000004</v>
      </c>
    </row>
    <row r="65" spans="1:17" customFormat="1">
      <c r="A65" s="80">
        <v>45492.59375</v>
      </c>
      <c r="B65" s="112">
        <v>9.17</v>
      </c>
      <c r="C65" s="112">
        <v>4.2</v>
      </c>
      <c r="D65" s="112">
        <v>14</v>
      </c>
      <c r="E65" s="112">
        <v>13.96</v>
      </c>
      <c r="F65" s="112">
        <v>18.23</v>
      </c>
      <c r="G65" s="112">
        <v>52.16</v>
      </c>
      <c r="H65" s="112">
        <v>23.32</v>
      </c>
      <c r="I65" s="112">
        <v>5.01</v>
      </c>
      <c r="J65" s="112">
        <v>1.1299999999999999</v>
      </c>
      <c r="K65" s="112">
        <v>49.79</v>
      </c>
      <c r="L65" s="112">
        <v>34.19</v>
      </c>
      <c r="M65" s="112">
        <v>60.88</v>
      </c>
      <c r="N65" s="112">
        <v>156.1</v>
      </c>
      <c r="O65" s="112">
        <v>0</v>
      </c>
      <c r="P65" s="112">
        <v>0.49</v>
      </c>
      <c r="Q65" s="112">
        <v>4.7300000000000004</v>
      </c>
    </row>
    <row r="66" spans="1:17" customFormat="1">
      <c r="A66" s="80">
        <v>45492.604166666664</v>
      </c>
      <c r="B66" s="112">
        <v>9.1300000000000008</v>
      </c>
      <c r="C66" s="112">
        <v>4.2699999999999996</v>
      </c>
      <c r="D66" s="112">
        <v>14</v>
      </c>
      <c r="E66" s="112">
        <v>15.67</v>
      </c>
      <c r="F66" s="112">
        <v>19.850000000000001</v>
      </c>
      <c r="G66" s="112">
        <v>52.63</v>
      </c>
      <c r="H66" s="112">
        <v>23.9</v>
      </c>
      <c r="I66" s="112">
        <v>5.09</v>
      </c>
      <c r="J66" s="112">
        <v>1.01</v>
      </c>
      <c r="K66" s="112">
        <v>27.54</v>
      </c>
      <c r="L66" s="112">
        <v>34.26</v>
      </c>
      <c r="M66" s="112">
        <v>59.36</v>
      </c>
      <c r="N66" s="112">
        <v>514.20000000000005</v>
      </c>
      <c r="O66" s="112">
        <v>0</v>
      </c>
      <c r="P66" s="112">
        <v>0.5</v>
      </c>
      <c r="Q66" s="112">
        <v>4.7300000000000004</v>
      </c>
    </row>
    <row r="67" spans="1:17" customFormat="1">
      <c r="A67" s="80">
        <v>45492.614583333336</v>
      </c>
      <c r="B67" s="112">
        <v>9.08</v>
      </c>
      <c r="C67" s="112">
        <v>4.34</v>
      </c>
      <c r="D67" s="112">
        <v>14</v>
      </c>
      <c r="E67" s="112">
        <v>17.329999999999998</v>
      </c>
      <c r="F67" s="112">
        <v>20.48</v>
      </c>
      <c r="G67" s="112">
        <v>60.51</v>
      </c>
      <c r="H67" s="112">
        <v>32.97</v>
      </c>
      <c r="I67" s="112">
        <v>5.04</v>
      </c>
      <c r="J67" s="112">
        <v>0.84</v>
      </c>
      <c r="K67" s="112">
        <v>41.94</v>
      </c>
      <c r="L67" s="112">
        <v>35.36</v>
      </c>
      <c r="M67" s="112">
        <v>58.53</v>
      </c>
      <c r="N67" s="112">
        <v>587.4</v>
      </c>
      <c r="O67" s="112">
        <v>0</v>
      </c>
      <c r="P67" s="112">
        <v>0.51</v>
      </c>
      <c r="Q67" s="112">
        <v>4.72</v>
      </c>
    </row>
    <row r="68" spans="1:17" customFormat="1">
      <c r="A68" s="80">
        <v>45492.625</v>
      </c>
      <c r="B68" s="112">
        <v>9.08</v>
      </c>
      <c r="C68" s="112">
        <v>4.34</v>
      </c>
      <c r="D68" s="112">
        <v>14</v>
      </c>
      <c r="E68" s="112">
        <v>19.899999999999999</v>
      </c>
      <c r="F68" s="112">
        <v>20.97</v>
      </c>
      <c r="G68" s="112">
        <v>60.51</v>
      </c>
      <c r="H68" s="112">
        <v>32.97</v>
      </c>
      <c r="I68" s="112">
        <v>4.92</v>
      </c>
      <c r="J68" s="112">
        <v>1.1000000000000001</v>
      </c>
      <c r="K68" s="112">
        <v>44.25</v>
      </c>
      <c r="L68" s="112">
        <v>34.85</v>
      </c>
      <c r="M68" s="112">
        <v>60.21</v>
      </c>
      <c r="N68" s="112">
        <v>202.4</v>
      </c>
      <c r="O68" s="112">
        <v>0</v>
      </c>
      <c r="P68" s="112">
        <v>0.5</v>
      </c>
      <c r="Q68" s="112">
        <v>4.72</v>
      </c>
    </row>
    <row r="69" spans="1:17" customFormat="1">
      <c r="A69" s="80">
        <v>45492.635416666664</v>
      </c>
      <c r="B69" s="112">
        <v>9.08</v>
      </c>
      <c r="C69" s="112">
        <v>4.3499999999999996</v>
      </c>
      <c r="D69" s="112">
        <v>14</v>
      </c>
      <c r="E69" s="112">
        <v>16.32</v>
      </c>
      <c r="F69" s="112">
        <v>12.24</v>
      </c>
      <c r="G69" s="112">
        <v>60.51</v>
      </c>
      <c r="H69" s="112">
        <v>32.97</v>
      </c>
      <c r="I69" s="112">
        <v>4.8899999999999997</v>
      </c>
      <c r="J69" s="112">
        <v>1.1399999999999999</v>
      </c>
      <c r="K69" s="112">
        <v>56.85</v>
      </c>
      <c r="L69" s="112">
        <v>34.6</v>
      </c>
      <c r="M69" s="112">
        <v>58.82</v>
      </c>
      <c r="N69" s="112">
        <v>334.1</v>
      </c>
      <c r="O69" s="112">
        <v>0</v>
      </c>
      <c r="P69" s="112">
        <v>0.51</v>
      </c>
      <c r="Q69" s="112">
        <v>4.72</v>
      </c>
    </row>
    <row r="70" spans="1:17" customFormat="1">
      <c r="A70" s="80">
        <v>45492.645833333336</v>
      </c>
      <c r="B70" s="112">
        <v>9.08</v>
      </c>
      <c r="C70" s="112">
        <v>4.3499999999999996</v>
      </c>
      <c r="D70" s="112">
        <v>14</v>
      </c>
      <c r="E70" s="112">
        <v>21.39</v>
      </c>
      <c r="F70" s="112">
        <v>23.31</v>
      </c>
      <c r="G70" s="112">
        <v>60.55</v>
      </c>
      <c r="H70" s="112">
        <v>32.71</v>
      </c>
      <c r="I70" s="112">
        <v>4.9800000000000004</v>
      </c>
      <c r="J70" s="112">
        <v>1.17</v>
      </c>
      <c r="K70" s="112">
        <v>42.98</v>
      </c>
      <c r="L70" s="112">
        <v>34.46</v>
      </c>
      <c r="M70" s="112">
        <v>57.32</v>
      </c>
      <c r="N70" s="112">
        <v>150.6</v>
      </c>
      <c r="O70" s="112">
        <v>0</v>
      </c>
      <c r="P70" s="112">
        <v>0.5</v>
      </c>
      <c r="Q70" s="112">
        <v>4.72</v>
      </c>
    </row>
    <row r="71" spans="1:17" customFormat="1">
      <c r="A71" s="80">
        <v>45492.65625</v>
      </c>
      <c r="B71" s="112">
        <v>9.06</v>
      </c>
      <c r="C71" s="112">
        <v>4.37</v>
      </c>
      <c r="D71" s="112">
        <v>14</v>
      </c>
      <c r="E71" s="112">
        <v>19.61</v>
      </c>
      <c r="F71" s="112">
        <v>16.03</v>
      </c>
      <c r="G71" s="112">
        <v>61.24</v>
      </c>
      <c r="H71" s="112">
        <v>28.79</v>
      </c>
      <c r="I71" s="112">
        <v>5.03</v>
      </c>
      <c r="J71" s="112">
        <v>1</v>
      </c>
      <c r="K71" s="112">
        <v>35.72</v>
      </c>
      <c r="L71" s="112">
        <v>34.1</v>
      </c>
      <c r="M71" s="112">
        <v>58.96</v>
      </c>
      <c r="N71" s="112">
        <v>102.3</v>
      </c>
      <c r="O71" s="112">
        <v>0</v>
      </c>
      <c r="P71" s="112">
        <v>0.52</v>
      </c>
      <c r="Q71" s="112">
        <v>4.72</v>
      </c>
    </row>
    <row r="72" spans="1:17" customFormat="1">
      <c r="A72" s="80">
        <v>45492.666666666664</v>
      </c>
      <c r="B72" s="112">
        <v>9.07</v>
      </c>
      <c r="C72" s="112">
        <v>4.3600000000000003</v>
      </c>
      <c r="D72" s="112">
        <v>14</v>
      </c>
      <c r="E72" s="112">
        <v>18.2</v>
      </c>
      <c r="F72" s="112">
        <v>23.4</v>
      </c>
      <c r="G72" s="112">
        <v>61.24</v>
      </c>
      <c r="H72" s="112">
        <v>28.79</v>
      </c>
      <c r="I72" s="112">
        <v>4.7300000000000004</v>
      </c>
      <c r="J72" s="112">
        <v>1.1000000000000001</v>
      </c>
      <c r="K72" s="112">
        <v>52.45</v>
      </c>
      <c r="L72" s="112">
        <v>33.770000000000003</v>
      </c>
      <c r="M72" s="112">
        <v>59.86</v>
      </c>
      <c r="N72" s="112">
        <v>95.4</v>
      </c>
      <c r="O72" s="112">
        <v>0</v>
      </c>
      <c r="P72" s="112">
        <v>0.5</v>
      </c>
      <c r="Q72" s="112">
        <v>4.71</v>
      </c>
    </row>
    <row r="73" spans="1:17" customFormat="1">
      <c r="A73" s="80">
        <v>45492.677083333336</v>
      </c>
      <c r="B73" s="112">
        <v>9.06</v>
      </c>
      <c r="C73" s="112">
        <v>4.37</v>
      </c>
      <c r="D73" s="112">
        <v>14</v>
      </c>
      <c r="E73" s="112">
        <v>15.81</v>
      </c>
      <c r="F73" s="112">
        <v>17.920000000000002</v>
      </c>
      <c r="G73" s="112">
        <v>61.24</v>
      </c>
      <c r="H73" s="112">
        <v>28.79</v>
      </c>
      <c r="I73" s="112">
        <v>4.82</v>
      </c>
      <c r="J73" s="112">
        <v>0.71</v>
      </c>
      <c r="K73" s="112">
        <v>44.4</v>
      </c>
      <c r="L73" s="112">
        <v>33.950000000000003</v>
      </c>
      <c r="M73" s="112">
        <v>60.61</v>
      </c>
      <c r="N73" s="112">
        <v>159.69999999999999</v>
      </c>
      <c r="O73" s="112">
        <v>0</v>
      </c>
      <c r="P73" s="112">
        <v>0.52</v>
      </c>
      <c r="Q73" s="112">
        <v>4.71</v>
      </c>
    </row>
    <row r="74" spans="1:17" customFormat="1">
      <c r="A74" s="80">
        <v>45492.6875</v>
      </c>
      <c r="B74" s="112">
        <v>9.06</v>
      </c>
      <c r="C74" s="112">
        <v>4.38</v>
      </c>
      <c r="D74" s="112">
        <v>14</v>
      </c>
      <c r="E74" s="112">
        <v>16.920000000000002</v>
      </c>
      <c r="F74" s="112">
        <v>25.03</v>
      </c>
      <c r="G74" s="112">
        <v>61.52</v>
      </c>
      <c r="H74" s="112">
        <v>29.04</v>
      </c>
      <c r="I74" s="112">
        <v>4.6399999999999997</v>
      </c>
      <c r="J74" s="112">
        <v>0.62</v>
      </c>
      <c r="K74" s="112">
        <v>51.85</v>
      </c>
      <c r="L74" s="112">
        <v>34.79</v>
      </c>
      <c r="M74" s="112">
        <v>62.5</v>
      </c>
      <c r="N74" s="112">
        <v>220.7</v>
      </c>
      <c r="O74" s="112">
        <v>0</v>
      </c>
      <c r="P74" s="112">
        <v>0.51</v>
      </c>
      <c r="Q74" s="112">
        <v>4.72</v>
      </c>
    </row>
    <row r="75" spans="1:17" customFormat="1">
      <c r="A75" s="80">
        <v>45492.697916666664</v>
      </c>
      <c r="B75" s="112">
        <v>9.0500000000000007</v>
      </c>
      <c r="C75" s="112">
        <v>4.3899999999999997</v>
      </c>
      <c r="D75" s="112">
        <v>14</v>
      </c>
      <c r="E75" s="112">
        <v>18.11</v>
      </c>
      <c r="F75" s="112">
        <v>14.54</v>
      </c>
      <c r="G75" s="112">
        <v>66.39</v>
      </c>
      <c r="H75" s="112">
        <v>32.94</v>
      </c>
      <c r="I75" s="112">
        <v>4.6100000000000003</v>
      </c>
      <c r="J75" s="112">
        <v>1.41</v>
      </c>
      <c r="K75" s="112">
        <v>46.4</v>
      </c>
      <c r="L75" s="112">
        <v>34.630000000000003</v>
      </c>
      <c r="M75" s="112">
        <v>61.97</v>
      </c>
      <c r="N75" s="112">
        <v>119.8</v>
      </c>
      <c r="O75" s="112">
        <v>0</v>
      </c>
      <c r="P75" s="112">
        <v>0.51</v>
      </c>
      <c r="Q75" s="112">
        <v>4.72</v>
      </c>
    </row>
    <row r="76" spans="1:17" customFormat="1">
      <c r="A76" s="80">
        <v>45492.708333333336</v>
      </c>
      <c r="B76" s="112">
        <v>9.0500000000000007</v>
      </c>
      <c r="C76" s="112">
        <v>4.38</v>
      </c>
      <c r="D76" s="112">
        <v>14</v>
      </c>
      <c r="E76" s="112">
        <v>15.31</v>
      </c>
      <c r="F76" s="112">
        <v>26.07</v>
      </c>
      <c r="G76" s="112">
        <v>66.39</v>
      </c>
      <c r="H76" s="112">
        <v>32.94</v>
      </c>
      <c r="I76" s="112">
        <v>4.57</v>
      </c>
      <c r="J76" s="112">
        <v>1.0900000000000001</v>
      </c>
      <c r="K76" s="112">
        <v>44.38</v>
      </c>
      <c r="L76" s="112">
        <v>34.32</v>
      </c>
      <c r="M76" s="112">
        <v>62.17</v>
      </c>
      <c r="N76" s="112">
        <v>101.3</v>
      </c>
      <c r="O76" s="112">
        <v>0</v>
      </c>
      <c r="P76" s="112">
        <v>0.5</v>
      </c>
      <c r="Q76" s="112">
        <v>4.72</v>
      </c>
    </row>
    <row r="77" spans="1:17" customFormat="1">
      <c r="A77" s="80">
        <v>45492.71875</v>
      </c>
      <c r="B77" s="112">
        <v>9.0500000000000007</v>
      </c>
      <c r="C77" s="112">
        <v>4.3899999999999997</v>
      </c>
      <c r="D77" s="112">
        <v>14</v>
      </c>
      <c r="E77" s="112">
        <v>13.86</v>
      </c>
      <c r="F77" s="112">
        <v>16.37</v>
      </c>
      <c r="G77" s="112">
        <v>66.39</v>
      </c>
      <c r="H77" s="112">
        <v>32.94</v>
      </c>
      <c r="I77" s="112">
        <v>4.76</v>
      </c>
      <c r="J77" s="112">
        <v>0.92</v>
      </c>
      <c r="K77" s="112">
        <v>37.19</v>
      </c>
      <c r="L77" s="112">
        <v>34.200000000000003</v>
      </c>
      <c r="M77" s="112">
        <v>61.36</v>
      </c>
      <c r="N77" s="112">
        <v>99.8</v>
      </c>
      <c r="O77" s="112">
        <v>0</v>
      </c>
      <c r="P77" s="112">
        <v>0.51</v>
      </c>
      <c r="Q77" s="112">
        <v>4.7300000000000004</v>
      </c>
    </row>
    <row r="78" spans="1:17" customFormat="1">
      <c r="A78" s="80">
        <v>45492.729166666664</v>
      </c>
      <c r="B78" s="112">
        <v>9.0500000000000007</v>
      </c>
      <c r="C78" s="112">
        <v>4.3899999999999997</v>
      </c>
      <c r="D78" s="112">
        <v>14</v>
      </c>
      <c r="E78" s="112">
        <v>13.85</v>
      </c>
      <c r="F78" s="112">
        <v>28.75</v>
      </c>
      <c r="G78" s="112">
        <v>66.03</v>
      </c>
      <c r="H78" s="112">
        <v>32.76</v>
      </c>
      <c r="I78" s="112">
        <v>4.54</v>
      </c>
      <c r="J78" s="112">
        <v>0.7</v>
      </c>
      <c r="K78" s="112">
        <v>30.75</v>
      </c>
      <c r="L78" s="112">
        <v>34.119999999999997</v>
      </c>
      <c r="M78" s="112">
        <v>60.76</v>
      </c>
      <c r="N78" s="112">
        <v>76.8</v>
      </c>
      <c r="O78" s="112">
        <v>0</v>
      </c>
      <c r="P78" s="112">
        <v>0.54</v>
      </c>
      <c r="Q78" s="112">
        <v>4.72</v>
      </c>
    </row>
    <row r="79" spans="1:17" customFormat="1">
      <c r="A79" s="80">
        <v>45492.739583333336</v>
      </c>
      <c r="B79" s="112">
        <v>9.0500000000000007</v>
      </c>
      <c r="C79" s="112">
        <v>4.3899999999999997</v>
      </c>
      <c r="D79" s="112">
        <v>14</v>
      </c>
      <c r="E79" s="112">
        <v>13.52</v>
      </c>
      <c r="F79" s="112">
        <v>14.41</v>
      </c>
      <c r="G79" s="112">
        <v>59.91</v>
      </c>
      <c r="H79" s="112">
        <v>29.99</v>
      </c>
      <c r="I79" s="112">
        <v>4.71</v>
      </c>
      <c r="J79" s="112">
        <v>1.01</v>
      </c>
      <c r="K79" s="112">
        <v>46.15</v>
      </c>
      <c r="L79" s="112">
        <v>33.880000000000003</v>
      </c>
      <c r="M79" s="112">
        <v>63</v>
      </c>
      <c r="N79" s="112">
        <v>34.200000000000003</v>
      </c>
      <c r="O79" s="112">
        <v>0</v>
      </c>
      <c r="P79" s="112">
        <v>0.56999999999999995</v>
      </c>
      <c r="Q79" s="112">
        <v>4.71</v>
      </c>
    </row>
    <row r="80" spans="1:17" customFormat="1">
      <c r="A80" s="80">
        <v>45492.75</v>
      </c>
      <c r="B80" s="112">
        <v>9.11</v>
      </c>
      <c r="C80" s="112">
        <v>4.29</v>
      </c>
      <c r="D80" s="112">
        <v>14</v>
      </c>
      <c r="E80" s="112">
        <v>14.41</v>
      </c>
      <c r="F80" s="112">
        <v>22.11</v>
      </c>
      <c r="G80" s="112">
        <v>59.91</v>
      </c>
      <c r="H80" s="112">
        <v>29.99</v>
      </c>
      <c r="I80" s="112">
        <v>4.66</v>
      </c>
      <c r="J80" s="112">
        <v>1.1000000000000001</v>
      </c>
      <c r="K80" s="112">
        <v>45.71</v>
      </c>
      <c r="L80" s="112">
        <v>33.520000000000003</v>
      </c>
      <c r="M80" s="112">
        <v>65.84</v>
      </c>
      <c r="N80" s="112">
        <v>15.9</v>
      </c>
      <c r="O80" s="112">
        <v>0</v>
      </c>
      <c r="P80" s="112">
        <v>0.6</v>
      </c>
      <c r="Q80" s="112">
        <v>4.6900000000000004</v>
      </c>
    </row>
    <row r="81" spans="1:17" customFormat="1">
      <c r="A81" s="80">
        <v>45492.760416666664</v>
      </c>
      <c r="B81" s="112">
        <v>9.2200000000000006</v>
      </c>
      <c r="C81" s="112">
        <v>4.12</v>
      </c>
      <c r="D81" s="112">
        <v>14</v>
      </c>
      <c r="E81" s="112">
        <v>11.14</v>
      </c>
      <c r="F81" s="112">
        <v>22.9</v>
      </c>
      <c r="G81" s="112">
        <v>59.91</v>
      </c>
      <c r="H81" s="112">
        <v>29.99</v>
      </c>
      <c r="I81" s="112">
        <v>4.9800000000000004</v>
      </c>
      <c r="J81" s="112">
        <v>0.12</v>
      </c>
      <c r="K81" s="112">
        <v>127.24</v>
      </c>
      <c r="L81" s="112">
        <v>31.51</v>
      </c>
      <c r="M81" s="112">
        <v>83.8</v>
      </c>
      <c r="N81" s="112">
        <v>13.3</v>
      </c>
      <c r="O81" s="112">
        <v>1.2</v>
      </c>
      <c r="P81" s="112">
        <v>0.56000000000000005</v>
      </c>
      <c r="Q81" s="112">
        <v>4.6900000000000004</v>
      </c>
    </row>
    <row r="82" spans="1:17" customFormat="1">
      <c r="A82" s="80">
        <v>45492.770833333336</v>
      </c>
      <c r="B82" s="112">
        <v>9.17</v>
      </c>
      <c r="C82" s="112">
        <v>4.21</v>
      </c>
      <c r="D82" s="112">
        <v>14</v>
      </c>
      <c r="E82" s="112">
        <v>10.61</v>
      </c>
      <c r="F82" s="112">
        <v>20.16</v>
      </c>
      <c r="G82" s="112">
        <v>60.25</v>
      </c>
      <c r="H82" s="112">
        <v>29.94</v>
      </c>
      <c r="I82" s="112">
        <v>4.8099999999999996</v>
      </c>
      <c r="J82" s="112">
        <v>0.27</v>
      </c>
      <c r="K82" s="112">
        <v>72.209999999999994</v>
      </c>
      <c r="L82" s="112">
        <v>30.15</v>
      </c>
      <c r="M82" s="112">
        <v>91.99</v>
      </c>
      <c r="N82" s="112">
        <v>5.3</v>
      </c>
      <c r="O82" s="112">
        <v>0</v>
      </c>
      <c r="P82" s="112">
        <v>0.68</v>
      </c>
      <c r="Q82" s="112">
        <v>4.68</v>
      </c>
    </row>
    <row r="83" spans="1:17" customFormat="1">
      <c r="A83" s="80">
        <v>45492.78125</v>
      </c>
      <c r="B83" s="112">
        <v>9.18</v>
      </c>
      <c r="C83" s="112">
        <v>4.1900000000000004</v>
      </c>
      <c r="D83" s="112">
        <v>14</v>
      </c>
      <c r="E83" s="112">
        <v>10.71</v>
      </c>
      <c r="F83" s="112">
        <v>15.45</v>
      </c>
      <c r="G83" s="112">
        <v>65.98</v>
      </c>
      <c r="H83" s="112">
        <v>29.3</v>
      </c>
      <c r="I83" s="112">
        <v>4.43</v>
      </c>
      <c r="J83" s="112">
        <v>0.28000000000000003</v>
      </c>
      <c r="K83" s="112">
        <v>173.83</v>
      </c>
      <c r="L83" s="112">
        <v>29.96</v>
      </c>
      <c r="M83" s="112">
        <v>93.24</v>
      </c>
      <c r="N83" s="112">
        <v>3.1</v>
      </c>
      <c r="O83" s="112">
        <v>0.2</v>
      </c>
      <c r="P83" s="112">
        <v>0.6</v>
      </c>
      <c r="Q83" s="112">
        <v>4.7</v>
      </c>
    </row>
    <row r="84" spans="1:17" customFormat="1">
      <c r="A84" s="80">
        <v>45492.791666666664</v>
      </c>
      <c r="B84" s="112">
        <v>9.16</v>
      </c>
      <c r="C84" s="112">
        <v>4.22</v>
      </c>
      <c r="D84" s="112">
        <v>14</v>
      </c>
      <c r="E84" s="112">
        <v>8.59</v>
      </c>
      <c r="F84" s="112">
        <v>22.61</v>
      </c>
      <c r="G84" s="112">
        <v>65.98</v>
      </c>
      <c r="H84" s="112">
        <v>29.3</v>
      </c>
      <c r="I84" s="112">
        <v>4.84</v>
      </c>
      <c r="J84" s="112">
        <v>0.13</v>
      </c>
      <c r="K84" s="112">
        <v>142.16</v>
      </c>
      <c r="L84" s="112">
        <v>29.3</v>
      </c>
      <c r="M84" s="112">
        <v>96.49</v>
      </c>
      <c r="N84" s="112">
        <v>2.2999999999999998</v>
      </c>
      <c r="O84" s="112">
        <v>0</v>
      </c>
      <c r="P84" s="112">
        <v>0.52</v>
      </c>
      <c r="Q84" s="112">
        <v>4.71</v>
      </c>
    </row>
    <row r="85" spans="1:17" customFormat="1">
      <c r="A85" s="80">
        <v>45492.802083333336</v>
      </c>
      <c r="B85" s="112">
        <v>9.1300000000000008</v>
      </c>
      <c r="C85" s="112">
        <v>4.26</v>
      </c>
      <c r="D85" s="112">
        <v>14</v>
      </c>
      <c r="E85" s="112">
        <v>8.0299999999999994</v>
      </c>
      <c r="F85" s="112">
        <v>7.23</v>
      </c>
      <c r="G85" s="112">
        <v>65.98</v>
      </c>
      <c r="H85" s="112">
        <v>29.3</v>
      </c>
      <c r="I85" s="112">
        <v>4.7699999999999996</v>
      </c>
      <c r="J85" s="112">
        <v>0.19</v>
      </c>
      <c r="K85" s="112">
        <v>170.67</v>
      </c>
      <c r="L85" s="112">
        <v>29.54</v>
      </c>
      <c r="M85" s="112">
        <v>95.43</v>
      </c>
      <c r="N85" s="112">
        <v>2.2999999999999998</v>
      </c>
      <c r="O85" s="112">
        <v>0</v>
      </c>
      <c r="P85" s="112">
        <v>0.79</v>
      </c>
      <c r="Q85" s="112">
        <v>4.72</v>
      </c>
    </row>
    <row r="86" spans="1:17" customFormat="1">
      <c r="A86" s="80">
        <v>45492.8125</v>
      </c>
      <c r="B86" s="112">
        <v>9.1300000000000008</v>
      </c>
      <c r="C86" s="112">
        <v>4.2699999999999996</v>
      </c>
      <c r="D86" s="112">
        <v>14</v>
      </c>
      <c r="E86" s="112">
        <v>7.15</v>
      </c>
      <c r="F86" s="112">
        <v>13.82</v>
      </c>
      <c r="G86" s="112">
        <v>66.739999999999995</v>
      </c>
      <c r="H86" s="112">
        <v>29.21</v>
      </c>
      <c r="I86" s="112">
        <v>4.4400000000000004</v>
      </c>
      <c r="J86" s="112">
        <v>0.32</v>
      </c>
      <c r="K86" s="112">
        <v>206.22</v>
      </c>
      <c r="L86" s="112">
        <v>29.32</v>
      </c>
      <c r="M86" s="112">
        <v>94.86</v>
      </c>
      <c r="N86" s="112">
        <v>3</v>
      </c>
      <c r="O86" s="112">
        <v>0</v>
      </c>
      <c r="P86" s="112">
        <v>0.57999999999999996</v>
      </c>
      <c r="Q86" s="112">
        <v>4.72</v>
      </c>
    </row>
    <row r="87" spans="1:17" customFormat="1">
      <c r="A87" s="80">
        <v>45492.822916666664</v>
      </c>
      <c r="B87" s="112">
        <v>9.1199999999999992</v>
      </c>
      <c r="C87" s="112">
        <v>4.28</v>
      </c>
      <c r="D87" s="112">
        <v>14</v>
      </c>
      <c r="E87" s="112">
        <v>6.89</v>
      </c>
      <c r="F87" s="112">
        <v>17.41</v>
      </c>
      <c r="G87" s="112">
        <v>79.55</v>
      </c>
      <c r="H87" s="112">
        <v>27.74</v>
      </c>
      <c r="I87" s="112">
        <v>5.74</v>
      </c>
      <c r="J87" s="112">
        <v>0.16</v>
      </c>
      <c r="K87" s="112">
        <v>216.75</v>
      </c>
      <c r="L87" s="112">
        <v>28.87</v>
      </c>
      <c r="M87" s="112">
        <v>89.7</v>
      </c>
      <c r="N87" s="112">
        <v>3.4</v>
      </c>
      <c r="O87" s="112">
        <v>0</v>
      </c>
      <c r="P87" s="112">
        <v>0.51</v>
      </c>
      <c r="Q87" s="112">
        <v>4.71</v>
      </c>
    </row>
    <row r="88" spans="1:17" customFormat="1">
      <c r="A88" s="80">
        <v>45492.833333333336</v>
      </c>
      <c r="B88" s="112">
        <v>9.1</v>
      </c>
      <c r="C88" s="112">
        <v>4.3099999999999996</v>
      </c>
      <c r="D88" s="112">
        <v>14</v>
      </c>
      <c r="E88" s="112">
        <v>7.75</v>
      </c>
      <c r="F88" s="112">
        <v>15.81</v>
      </c>
      <c r="G88" s="112">
        <v>79.55</v>
      </c>
      <c r="H88" s="112">
        <v>27.74</v>
      </c>
      <c r="I88" s="112">
        <v>4.88</v>
      </c>
      <c r="J88" s="112">
        <v>0.21</v>
      </c>
      <c r="K88" s="112">
        <v>288.58999999999997</v>
      </c>
      <c r="L88" s="112">
        <v>28.36</v>
      </c>
      <c r="M88" s="112">
        <v>90.82</v>
      </c>
      <c r="N88" s="112">
        <v>3.1</v>
      </c>
      <c r="O88" s="112">
        <v>0</v>
      </c>
      <c r="P88" s="112">
        <v>0.5</v>
      </c>
      <c r="Q88" s="112">
        <v>4.7</v>
      </c>
    </row>
    <row r="89" spans="1:17" customFormat="1">
      <c r="A89" s="80">
        <v>45492.84375</v>
      </c>
      <c r="B89" s="112">
        <v>9.11</v>
      </c>
      <c r="C89" s="112">
        <v>4.3</v>
      </c>
      <c r="D89" s="112">
        <v>14</v>
      </c>
      <c r="E89" s="112">
        <v>7.06</v>
      </c>
      <c r="F89" s="112">
        <v>15.36</v>
      </c>
      <c r="G89" s="112">
        <v>79.55</v>
      </c>
      <c r="H89" s="112">
        <v>27.74</v>
      </c>
      <c r="I89" s="112">
        <v>4.32</v>
      </c>
      <c r="J89" s="112">
        <v>0.31</v>
      </c>
      <c r="K89" s="112">
        <v>253.07</v>
      </c>
      <c r="L89" s="112">
        <v>27.84</v>
      </c>
      <c r="M89" s="112">
        <v>93.79</v>
      </c>
      <c r="N89" s="112">
        <v>2.9</v>
      </c>
      <c r="O89" s="112">
        <v>0</v>
      </c>
      <c r="P89" s="112">
        <v>0.51</v>
      </c>
      <c r="Q89" s="112">
        <v>4.71</v>
      </c>
    </row>
    <row r="90" spans="1:17" customFormat="1">
      <c r="A90" s="80">
        <v>45492.854166666664</v>
      </c>
      <c r="B90" s="112">
        <v>9.1300000000000008</v>
      </c>
      <c r="C90" s="112">
        <v>4.2699999999999996</v>
      </c>
      <c r="D90" s="112">
        <v>14</v>
      </c>
      <c r="E90" s="112">
        <v>6.62</v>
      </c>
      <c r="F90" s="112">
        <v>13.19</v>
      </c>
      <c r="G90" s="112">
        <v>77.790000000000006</v>
      </c>
      <c r="H90" s="112">
        <v>27.15</v>
      </c>
      <c r="I90" s="112">
        <v>4.43</v>
      </c>
      <c r="J90" s="112">
        <v>0.48</v>
      </c>
      <c r="K90" s="112">
        <v>267.12</v>
      </c>
      <c r="L90" s="112">
        <v>27.65</v>
      </c>
      <c r="M90" s="112">
        <v>92.7</v>
      </c>
      <c r="N90" s="112">
        <v>2.5</v>
      </c>
      <c r="O90" s="112">
        <v>0</v>
      </c>
      <c r="P90" s="112">
        <v>0.51</v>
      </c>
      <c r="Q90" s="112">
        <v>4.72</v>
      </c>
    </row>
    <row r="91" spans="1:17" customFormat="1">
      <c r="A91" s="80">
        <v>45492.864583333336</v>
      </c>
      <c r="B91" s="112">
        <v>9.14</v>
      </c>
      <c r="C91" s="112">
        <v>4.25</v>
      </c>
      <c r="D91" s="112">
        <v>14</v>
      </c>
      <c r="E91" s="112">
        <v>6.53</v>
      </c>
      <c r="F91" s="112">
        <v>11.26</v>
      </c>
      <c r="G91" s="112">
        <v>47.88</v>
      </c>
      <c r="H91" s="112">
        <v>18.03</v>
      </c>
      <c r="I91" s="112">
        <v>4.5199999999999996</v>
      </c>
      <c r="J91" s="112">
        <v>0.35</v>
      </c>
      <c r="K91" s="112">
        <v>272.85000000000002</v>
      </c>
      <c r="L91" s="112">
        <v>27.67</v>
      </c>
      <c r="M91" s="112">
        <v>93.1</v>
      </c>
      <c r="N91" s="112">
        <v>2.1</v>
      </c>
      <c r="O91" s="112">
        <v>0</v>
      </c>
      <c r="P91" s="112">
        <v>0.51</v>
      </c>
      <c r="Q91" s="112">
        <v>4.72</v>
      </c>
    </row>
    <row r="92" spans="1:17" customFormat="1">
      <c r="A92" s="80">
        <v>45492.875</v>
      </c>
      <c r="B92" s="112">
        <v>9.1199999999999992</v>
      </c>
      <c r="C92" s="112">
        <v>4.28</v>
      </c>
      <c r="D92" s="112">
        <v>14</v>
      </c>
      <c r="E92" s="112">
        <v>6.87</v>
      </c>
      <c r="F92" s="112">
        <v>11.92</v>
      </c>
      <c r="G92" s="112">
        <v>47.88</v>
      </c>
      <c r="H92" s="112">
        <v>18.03</v>
      </c>
      <c r="I92" s="112">
        <v>4.3600000000000003</v>
      </c>
      <c r="J92" s="112">
        <v>0.4</v>
      </c>
      <c r="K92" s="112">
        <v>270.95999999999998</v>
      </c>
      <c r="L92" s="112">
        <v>27.5</v>
      </c>
      <c r="M92" s="112">
        <v>93.31</v>
      </c>
      <c r="N92" s="112">
        <v>2.2999999999999998</v>
      </c>
      <c r="O92" s="112">
        <v>0</v>
      </c>
      <c r="P92" s="112">
        <v>0.51</v>
      </c>
      <c r="Q92" s="112">
        <v>4.72</v>
      </c>
    </row>
    <row r="93" spans="1:17" customFormat="1">
      <c r="A93" s="80">
        <v>45492.885416666664</v>
      </c>
      <c r="B93" s="112">
        <v>9.11</v>
      </c>
      <c r="C93" s="112">
        <v>4.3</v>
      </c>
      <c r="D93" s="112">
        <v>14</v>
      </c>
      <c r="E93" s="112">
        <v>6.43</v>
      </c>
      <c r="F93" s="112">
        <v>11.14</v>
      </c>
      <c r="G93" s="112">
        <v>47.88</v>
      </c>
      <c r="H93" s="112">
        <v>18.03</v>
      </c>
      <c r="I93" s="112">
        <v>4.5999999999999996</v>
      </c>
      <c r="J93" s="112">
        <v>0.25</v>
      </c>
      <c r="K93" s="112">
        <v>247.45</v>
      </c>
      <c r="L93" s="112">
        <v>27.59</v>
      </c>
      <c r="M93" s="112">
        <v>94.95</v>
      </c>
      <c r="N93" s="112">
        <v>2</v>
      </c>
      <c r="O93" s="112">
        <v>0</v>
      </c>
      <c r="P93" s="112">
        <v>0.52</v>
      </c>
      <c r="Q93" s="112">
        <v>4.72</v>
      </c>
    </row>
    <row r="94" spans="1:17" customFormat="1">
      <c r="A94" s="80">
        <v>45492.895833333336</v>
      </c>
      <c r="B94" s="112">
        <v>9.11</v>
      </c>
      <c r="C94" s="112">
        <v>4.3</v>
      </c>
      <c r="D94" s="112">
        <v>14</v>
      </c>
      <c r="E94" s="112">
        <v>5.98</v>
      </c>
      <c r="F94" s="112">
        <v>12.84</v>
      </c>
      <c r="G94" s="112">
        <v>47.35</v>
      </c>
      <c r="H94" s="112">
        <v>17.89</v>
      </c>
      <c r="I94" s="112">
        <v>4.4800000000000004</v>
      </c>
      <c r="J94" s="112">
        <v>7.0000000000000007E-2</v>
      </c>
      <c r="K94" s="112">
        <v>182.71</v>
      </c>
      <c r="L94" s="112">
        <v>27.52</v>
      </c>
      <c r="M94" s="112">
        <v>97.73</v>
      </c>
      <c r="N94" s="112">
        <v>2.4</v>
      </c>
      <c r="O94" s="112">
        <v>0</v>
      </c>
      <c r="P94" s="112">
        <v>0.5</v>
      </c>
      <c r="Q94" s="112">
        <v>4.72</v>
      </c>
    </row>
    <row r="95" spans="1:17" customFormat="1">
      <c r="A95" s="80">
        <v>45492.90625</v>
      </c>
      <c r="B95" s="112">
        <v>9.08</v>
      </c>
      <c r="C95" s="112">
        <v>4.34</v>
      </c>
      <c r="D95" s="112">
        <v>14</v>
      </c>
      <c r="E95" s="112">
        <v>6.54</v>
      </c>
      <c r="F95" s="112">
        <v>10.14</v>
      </c>
      <c r="G95" s="112">
        <v>38.380000000000003</v>
      </c>
      <c r="H95" s="112">
        <v>15.63</v>
      </c>
      <c r="I95" s="112">
        <v>4.5</v>
      </c>
      <c r="J95" s="112">
        <v>0.34</v>
      </c>
      <c r="K95" s="112">
        <v>257.89999999999998</v>
      </c>
      <c r="L95" s="112">
        <v>27.31</v>
      </c>
      <c r="M95" s="112">
        <v>96.87</v>
      </c>
      <c r="N95" s="112">
        <v>2.2999999999999998</v>
      </c>
      <c r="O95" s="112">
        <v>0</v>
      </c>
      <c r="P95" s="112">
        <v>0.52</v>
      </c>
      <c r="Q95" s="112">
        <v>4.72</v>
      </c>
    </row>
    <row r="96" spans="1:17" customFormat="1">
      <c r="A96" s="80">
        <v>45492.916666666664</v>
      </c>
      <c r="B96" s="112">
        <v>9.08</v>
      </c>
      <c r="C96" s="112">
        <v>4.34</v>
      </c>
      <c r="D96" s="112">
        <v>14</v>
      </c>
      <c r="E96" s="112">
        <v>5.47</v>
      </c>
      <c r="F96" s="112">
        <v>11.57</v>
      </c>
      <c r="G96" s="112">
        <v>38.380000000000003</v>
      </c>
      <c r="H96" s="112">
        <v>15.63</v>
      </c>
      <c r="I96" s="112">
        <v>4.38</v>
      </c>
      <c r="J96" s="112">
        <v>0.18</v>
      </c>
      <c r="K96" s="112">
        <v>244.84</v>
      </c>
      <c r="L96" s="112">
        <v>27.43</v>
      </c>
      <c r="M96" s="112">
        <v>94.4</v>
      </c>
      <c r="N96" s="112">
        <v>1.9</v>
      </c>
      <c r="O96" s="112">
        <v>0</v>
      </c>
      <c r="P96" s="112">
        <v>0.52</v>
      </c>
      <c r="Q96" s="112">
        <v>4.72</v>
      </c>
    </row>
    <row r="97" spans="1:22" customFormat="1">
      <c r="A97" s="80">
        <v>45492.927083333336</v>
      </c>
      <c r="B97" s="112">
        <v>9.09</v>
      </c>
      <c r="C97" s="112">
        <v>4.32</v>
      </c>
      <c r="D97" s="112">
        <v>14</v>
      </c>
      <c r="E97" s="112">
        <v>6.15</v>
      </c>
      <c r="F97" s="112">
        <v>10.87</v>
      </c>
      <c r="G97" s="112">
        <v>38.380000000000003</v>
      </c>
      <c r="H97" s="112">
        <v>15.63</v>
      </c>
      <c r="I97" s="112">
        <v>4.46</v>
      </c>
      <c r="J97" s="112">
        <v>0.32</v>
      </c>
      <c r="K97" s="112">
        <v>255.49</v>
      </c>
      <c r="L97" s="112">
        <v>27.38</v>
      </c>
      <c r="M97" s="112">
        <v>91.45</v>
      </c>
      <c r="N97" s="112">
        <v>1.5</v>
      </c>
      <c r="O97" s="112">
        <v>0</v>
      </c>
      <c r="P97" s="112">
        <v>0.53</v>
      </c>
      <c r="Q97" s="112">
        <v>4.71</v>
      </c>
    </row>
    <row r="98" spans="1:22" customFormat="1">
      <c r="A98" s="80">
        <v>45492.9375</v>
      </c>
      <c r="B98" s="112">
        <v>9.11</v>
      </c>
      <c r="C98" s="112">
        <v>4.3</v>
      </c>
      <c r="D98" s="112">
        <v>14</v>
      </c>
      <c r="E98" s="112">
        <v>6.58</v>
      </c>
      <c r="F98" s="112">
        <v>6.32</v>
      </c>
      <c r="G98" s="112">
        <v>38.19</v>
      </c>
      <c r="H98" s="112">
        <v>15.33</v>
      </c>
      <c r="I98" s="112">
        <v>4.4400000000000004</v>
      </c>
      <c r="J98" s="112">
        <v>0.32</v>
      </c>
      <c r="K98" s="112">
        <v>271.69</v>
      </c>
      <c r="L98" s="112">
        <v>27.54</v>
      </c>
      <c r="M98" s="112">
        <v>87.28</v>
      </c>
      <c r="N98" s="112">
        <v>1.5</v>
      </c>
      <c r="O98" s="112">
        <v>0</v>
      </c>
      <c r="P98" s="112">
        <v>0.53</v>
      </c>
      <c r="Q98" s="112">
        <v>4.7</v>
      </c>
    </row>
    <row r="99" spans="1:22" customFormat="1">
      <c r="A99" s="80">
        <v>45492.947916666664</v>
      </c>
      <c r="B99" s="112">
        <v>9.1</v>
      </c>
      <c r="C99" s="112">
        <v>4.32</v>
      </c>
      <c r="D99" s="112">
        <v>14</v>
      </c>
      <c r="E99" s="112">
        <v>6.65</v>
      </c>
      <c r="F99" s="112">
        <v>5.74</v>
      </c>
      <c r="G99" s="112">
        <v>35.06</v>
      </c>
      <c r="H99" s="112">
        <v>10.78</v>
      </c>
      <c r="I99" s="112">
        <v>4.58</v>
      </c>
      <c r="J99" s="112">
        <v>0.36</v>
      </c>
      <c r="K99" s="112">
        <v>265.83</v>
      </c>
      <c r="L99" s="112">
        <v>27.62</v>
      </c>
      <c r="M99" s="112">
        <v>89.22</v>
      </c>
      <c r="N99" s="112">
        <v>2</v>
      </c>
      <c r="O99" s="112">
        <v>0</v>
      </c>
      <c r="P99" s="112">
        <v>0.52</v>
      </c>
      <c r="Q99" s="112">
        <v>4.71</v>
      </c>
    </row>
    <row r="100" spans="1:22" customFormat="1">
      <c r="A100" s="80">
        <v>45492.958333333336</v>
      </c>
      <c r="B100" s="112">
        <v>9.14</v>
      </c>
      <c r="C100" s="112">
        <v>4.25</v>
      </c>
      <c r="D100" s="112">
        <v>14</v>
      </c>
      <c r="E100" s="112">
        <v>7.07</v>
      </c>
      <c r="F100" s="112">
        <v>5.62</v>
      </c>
      <c r="G100" s="112">
        <v>35.06</v>
      </c>
      <c r="H100" s="112">
        <v>10.78</v>
      </c>
      <c r="I100" s="112">
        <v>4.79</v>
      </c>
      <c r="J100" s="112">
        <v>0.36</v>
      </c>
      <c r="K100" s="112">
        <v>274.77999999999997</v>
      </c>
      <c r="L100" s="112">
        <v>27.34</v>
      </c>
      <c r="M100" s="112">
        <v>92.29</v>
      </c>
      <c r="N100" s="112">
        <v>2.2000000000000002</v>
      </c>
      <c r="O100" s="112">
        <v>0</v>
      </c>
      <c r="P100" s="112">
        <v>0.52</v>
      </c>
      <c r="Q100" s="112">
        <v>4.71</v>
      </c>
    </row>
    <row r="101" spans="1:22" customFormat="1">
      <c r="A101" s="80">
        <v>45492.96875</v>
      </c>
      <c r="B101" s="112">
        <v>9.1999999999999993</v>
      </c>
      <c r="C101" s="112">
        <v>4.1500000000000004</v>
      </c>
      <c r="D101" s="112">
        <v>14</v>
      </c>
      <c r="E101" s="112">
        <v>7.33</v>
      </c>
      <c r="F101" s="112">
        <v>5.12</v>
      </c>
      <c r="G101" s="112">
        <v>35.06</v>
      </c>
      <c r="H101" s="112">
        <v>10.78</v>
      </c>
      <c r="I101" s="112">
        <v>4.91</v>
      </c>
      <c r="J101" s="112">
        <v>0.26</v>
      </c>
      <c r="K101" s="112">
        <v>176.8</v>
      </c>
      <c r="L101" s="112">
        <v>27.32</v>
      </c>
      <c r="M101" s="112">
        <v>90.73</v>
      </c>
      <c r="N101" s="112">
        <v>2.2000000000000002</v>
      </c>
      <c r="O101" s="112">
        <v>0</v>
      </c>
      <c r="P101" s="112">
        <v>0.56000000000000005</v>
      </c>
      <c r="Q101" s="112">
        <v>4.71</v>
      </c>
    </row>
    <row r="102" spans="1:22" customFormat="1">
      <c r="A102" s="80">
        <v>45492.979166666664</v>
      </c>
      <c r="B102" s="112">
        <v>9.23</v>
      </c>
      <c r="C102" s="112">
        <v>4.1100000000000003</v>
      </c>
      <c r="D102" s="112">
        <v>14</v>
      </c>
      <c r="E102" s="112">
        <v>6.77</v>
      </c>
      <c r="F102" s="112">
        <v>4.57</v>
      </c>
      <c r="G102" s="112">
        <v>34.78</v>
      </c>
      <c r="H102" s="112">
        <v>10.83</v>
      </c>
      <c r="I102" s="112">
        <v>5.03</v>
      </c>
      <c r="J102" s="112">
        <v>0.32</v>
      </c>
      <c r="K102" s="112">
        <v>270.93</v>
      </c>
      <c r="L102" s="112">
        <v>26.98</v>
      </c>
      <c r="M102" s="112">
        <v>94.88</v>
      </c>
      <c r="N102" s="112">
        <v>2.5</v>
      </c>
      <c r="O102" s="112">
        <v>0.2</v>
      </c>
      <c r="P102" s="112">
        <v>0.57999999999999996</v>
      </c>
      <c r="Q102" s="112">
        <v>4.72</v>
      </c>
    </row>
    <row r="103" spans="1:22" customFormat="1">
      <c r="A103" s="80">
        <v>45492.989583333336</v>
      </c>
      <c r="B103" s="112">
        <v>9.19</v>
      </c>
      <c r="C103" s="112">
        <v>4.17</v>
      </c>
      <c r="D103" s="112">
        <v>14</v>
      </c>
      <c r="E103" s="112">
        <v>7.81</v>
      </c>
      <c r="F103" s="112">
        <v>4.2</v>
      </c>
      <c r="G103" s="112">
        <v>29.9</v>
      </c>
      <c r="H103" s="112">
        <v>11.62</v>
      </c>
      <c r="I103" s="112">
        <v>5.32</v>
      </c>
      <c r="J103" s="112">
        <v>0.22</v>
      </c>
      <c r="K103" s="112">
        <v>252.55</v>
      </c>
      <c r="L103" s="112">
        <v>26.64</v>
      </c>
      <c r="M103" s="112">
        <v>95.33</v>
      </c>
      <c r="N103" s="112">
        <v>2.6</v>
      </c>
      <c r="O103" s="112">
        <v>0</v>
      </c>
      <c r="P103" s="112">
        <v>0.57999999999999996</v>
      </c>
      <c r="Q103" s="112">
        <v>4.71</v>
      </c>
    </row>
    <row r="104" spans="1:22" customFormat="1">
      <c r="A104" s="80">
        <v>45493</v>
      </c>
      <c r="B104" s="112">
        <v>9.18</v>
      </c>
      <c r="C104" s="112">
        <v>4.2</v>
      </c>
      <c r="D104" s="112">
        <v>14</v>
      </c>
      <c r="E104" s="112">
        <v>7.44</v>
      </c>
      <c r="F104" s="112">
        <v>4.2300000000000004</v>
      </c>
      <c r="G104" s="112">
        <v>29.9</v>
      </c>
      <c r="H104" s="112">
        <v>11.62</v>
      </c>
      <c r="I104" s="112">
        <v>5.57</v>
      </c>
      <c r="J104" s="112">
        <v>0.15</v>
      </c>
      <c r="K104" s="112">
        <v>213.91</v>
      </c>
      <c r="L104" s="112">
        <v>26.64</v>
      </c>
      <c r="M104" s="112">
        <v>94.8</v>
      </c>
      <c r="N104" s="112">
        <v>2.1</v>
      </c>
      <c r="O104" s="112">
        <v>0</v>
      </c>
      <c r="P104" s="112">
        <v>0.57999999999999996</v>
      </c>
      <c r="Q104" s="112">
        <v>4.7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9.0500000000000007</v>
      </c>
      <c r="C106" s="183">
        <f>MIN(C9:C104)</f>
        <v>4.04</v>
      </c>
      <c r="D106" s="183">
        <f t="shared" ref="D106:Q106" si="0">MIN(D9:D104)</f>
        <v>14</v>
      </c>
      <c r="E106" s="183">
        <f t="shared" si="0"/>
        <v>5.47</v>
      </c>
      <c r="F106" s="183">
        <f t="shared" si="0"/>
        <v>2.73</v>
      </c>
      <c r="G106" s="183">
        <f t="shared" si="0"/>
        <v>29.9</v>
      </c>
      <c r="H106" s="183">
        <f t="shared" si="0"/>
        <v>10.78</v>
      </c>
      <c r="I106" s="183">
        <f t="shared" si="0"/>
        <v>4.32</v>
      </c>
      <c r="J106" s="183">
        <f t="shared" si="0"/>
        <v>0.05</v>
      </c>
      <c r="K106" s="183">
        <f t="shared" si="0"/>
        <v>12.98</v>
      </c>
      <c r="L106" s="183">
        <f t="shared" si="0"/>
        <v>26.64</v>
      </c>
      <c r="M106" s="183">
        <f t="shared" si="0"/>
        <v>57.32</v>
      </c>
      <c r="N106" s="183">
        <f t="shared" si="0"/>
        <v>1.5</v>
      </c>
      <c r="O106" s="183">
        <f t="shared" si="0"/>
        <v>0</v>
      </c>
      <c r="P106" s="183">
        <f t="shared" si="0"/>
        <v>0.37</v>
      </c>
      <c r="Q106" s="183">
        <f t="shared" si="0"/>
        <v>4.68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9.32</v>
      </c>
      <c r="C107" s="184">
        <f t="shared" ref="C107:Q107" si="1">MAX(C9:C104)</f>
        <v>4.3899999999999997</v>
      </c>
      <c r="D107" s="184">
        <f t="shared" si="1"/>
        <v>14.05</v>
      </c>
      <c r="E107" s="184">
        <f t="shared" si="1"/>
        <v>29.44</v>
      </c>
      <c r="F107" s="184">
        <f t="shared" si="1"/>
        <v>28.75</v>
      </c>
      <c r="G107" s="184">
        <f t="shared" si="1"/>
        <v>98.41</v>
      </c>
      <c r="H107" s="184">
        <f t="shared" si="1"/>
        <v>32.97</v>
      </c>
      <c r="I107" s="184">
        <f t="shared" si="1"/>
        <v>8.2100000000000009</v>
      </c>
      <c r="J107" s="184">
        <f t="shared" si="1"/>
        <v>1.8</v>
      </c>
      <c r="K107" s="184">
        <f t="shared" si="1"/>
        <v>337.85</v>
      </c>
      <c r="L107" s="184">
        <f t="shared" si="1"/>
        <v>35.36</v>
      </c>
      <c r="M107" s="184">
        <f t="shared" si="1"/>
        <v>97.73</v>
      </c>
      <c r="N107" s="184">
        <f t="shared" si="1"/>
        <v>587.4</v>
      </c>
      <c r="O107" s="184">
        <f t="shared" si="1"/>
        <v>1.2</v>
      </c>
      <c r="P107" s="184">
        <f t="shared" si="1"/>
        <v>0.79</v>
      </c>
      <c r="Q107" s="184">
        <f t="shared" si="1"/>
        <v>4.7300000000000004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9.1691666666666656</v>
      </c>
      <c r="C108" s="183">
        <f t="shared" ref="C108:Q108" si="2">AVERAGE(C9:C104)</f>
        <v>4.2082291666666656</v>
      </c>
      <c r="D108" s="183">
        <f t="shared" si="2"/>
        <v>14.001666666666665</v>
      </c>
      <c r="E108" s="183">
        <f t="shared" si="2"/>
        <v>11.604895833333336</v>
      </c>
      <c r="F108" s="183">
        <f t="shared" si="2"/>
        <v>11.029374999999996</v>
      </c>
      <c r="G108" s="183">
        <f t="shared" si="2"/>
        <v>62.45760416666667</v>
      </c>
      <c r="H108" s="183">
        <f t="shared" si="2"/>
        <v>23.392604166666683</v>
      </c>
      <c r="I108" s="183">
        <f t="shared" si="2"/>
        <v>5.8831250000000033</v>
      </c>
      <c r="J108" s="183">
        <f t="shared" si="2"/>
        <v>0.64145833333333346</v>
      </c>
      <c r="K108" s="183">
        <f t="shared" si="2"/>
        <v>121.43458333333331</v>
      </c>
      <c r="L108" s="183">
        <f t="shared" si="2"/>
        <v>30.335416666666671</v>
      </c>
      <c r="M108" s="183">
        <f t="shared" si="2"/>
        <v>81.469895833333283</v>
      </c>
      <c r="N108" s="183">
        <f t="shared" si="2"/>
        <v>103.71562499999993</v>
      </c>
      <c r="O108" s="183">
        <f t="shared" si="2"/>
        <v>1.6666666666666666E-2</v>
      </c>
      <c r="P108" s="183">
        <f t="shared" si="2"/>
        <v>0.55802083333333352</v>
      </c>
      <c r="Q108" s="183">
        <f t="shared" si="2"/>
        <v>4.7105208333333355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6.5929255013739169E-2</v>
      </c>
      <c r="C109" s="183">
        <f t="shared" ref="C109:Q109" si="3">STDEV(C9:C104)</f>
        <v>9.6168654392830177E-2</v>
      </c>
      <c r="D109" s="183">
        <f t="shared" si="3"/>
        <v>6.5961179438988517E-3</v>
      </c>
      <c r="E109" s="183">
        <f t="shared" si="3"/>
        <v>4.6038212948974051</v>
      </c>
      <c r="F109" s="183">
        <f t="shared" si="3"/>
        <v>6.8022330408554268</v>
      </c>
      <c r="G109" s="183">
        <f t="shared" si="3"/>
        <v>15.935418131999819</v>
      </c>
      <c r="H109" s="183">
        <f t="shared" si="3"/>
        <v>5.9957525746483773</v>
      </c>
      <c r="I109" s="183">
        <f t="shared" si="3"/>
        <v>1.2866941013800779</v>
      </c>
      <c r="J109" s="183">
        <f t="shared" si="3"/>
        <v>0.46831833340529033</v>
      </c>
      <c r="K109" s="183">
        <f t="shared" si="3"/>
        <v>96.659429544274516</v>
      </c>
      <c r="L109" s="183">
        <f t="shared" si="3"/>
        <v>2.7117739063753667</v>
      </c>
      <c r="M109" s="183">
        <f t="shared" si="3"/>
        <v>14.243745182751228</v>
      </c>
      <c r="N109" s="183">
        <f t="shared" si="3"/>
        <v>144.89125092770354</v>
      </c>
      <c r="O109" s="183">
        <f t="shared" si="3"/>
        <v>0.1253766255951006</v>
      </c>
      <c r="P109" s="183">
        <f t="shared" si="3"/>
        <v>8.4362872747705306E-2</v>
      </c>
      <c r="Q109" s="183">
        <f t="shared" si="3"/>
        <v>1.0500104427216593E-2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45493.010416666664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45493.010416666664</v>
      </c>
      <c r="B9" s="112">
        <v>9.35</v>
      </c>
      <c r="C9" s="112">
        <v>4.03</v>
      </c>
      <c r="D9" s="112">
        <v>14.05</v>
      </c>
      <c r="E9" s="112">
        <v>7.54</v>
      </c>
      <c r="F9" s="112">
        <v>4.33</v>
      </c>
      <c r="G9" s="112">
        <v>29.9</v>
      </c>
      <c r="H9" s="112">
        <v>11.62</v>
      </c>
      <c r="I9" s="112">
        <v>5.68</v>
      </c>
      <c r="J9" s="112">
        <v>0.16</v>
      </c>
      <c r="K9" s="112">
        <v>263.23</v>
      </c>
      <c r="L9" s="112">
        <v>26.61</v>
      </c>
      <c r="M9" s="112">
        <v>94.71</v>
      </c>
      <c r="N9" s="112">
        <v>2.2000000000000002</v>
      </c>
      <c r="O9" s="112">
        <v>0</v>
      </c>
      <c r="P9" s="112">
        <v>0.56999999999999995</v>
      </c>
      <c r="Q9" s="112">
        <v>4.72</v>
      </c>
    </row>
    <row r="10" spans="1:21" customFormat="1">
      <c r="A10" s="80">
        <v>45493.020833333336</v>
      </c>
      <c r="B10" s="112">
        <v>9.2799999999999994</v>
      </c>
      <c r="C10" s="112">
        <v>4.08</v>
      </c>
      <c r="D10" s="112">
        <v>14.02</v>
      </c>
      <c r="E10" s="112">
        <v>7.73</v>
      </c>
      <c r="F10" s="112">
        <v>4.4800000000000004</v>
      </c>
      <c r="G10" s="112">
        <v>29.4</v>
      </c>
      <c r="H10" s="112">
        <v>11.6</v>
      </c>
      <c r="I10" s="112">
        <v>5.65</v>
      </c>
      <c r="J10" s="112">
        <v>0.19</v>
      </c>
      <c r="K10" s="112">
        <v>251.9</v>
      </c>
      <c r="L10" s="112">
        <v>26.78</v>
      </c>
      <c r="M10" s="112">
        <v>94.75</v>
      </c>
      <c r="N10" s="112">
        <v>2.1</v>
      </c>
      <c r="O10" s="112">
        <v>0</v>
      </c>
      <c r="P10" s="112">
        <v>0.56999999999999995</v>
      </c>
      <c r="Q10" s="112">
        <v>4.72</v>
      </c>
    </row>
    <row r="11" spans="1:21" customFormat="1">
      <c r="A11" s="80">
        <v>45493.03125</v>
      </c>
      <c r="B11" s="112">
        <v>9.2899999999999991</v>
      </c>
      <c r="C11" s="112">
        <v>4.07</v>
      </c>
      <c r="D11" s="112">
        <v>14.02</v>
      </c>
      <c r="E11" s="112">
        <v>8</v>
      </c>
      <c r="F11" s="112">
        <v>4.3499999999999996</v>
      </c>
      <c r="G11" s="112">
        <v>20.94</v>
      </c>
      <c r="H11" s="112">
        <v>11.25</v>
      </c>
      <c r="I11" s="112">
        <v>5.65</v>
      </c>
      <c r="J11" s="112">
        <v>0.28999999999999998</v>
      </c>
      <c r="K11" s="112">
        <v>265.17</v>
      </c>
      <c r="L11" s="112">
        <v>26.66</v>
      </c>
      <c r="M11" s="112">
        <v>94.98</v>
      </c>
      <c r="N11" s="112">
        <v>2.2999999999999998</v>
      </c>
      <c r="O11" s="112">
        <v>0</v>
      </c>
      <c r="P11" s="112">
        <v>0.56999999999999995</v>
      </c>
      <c r="Q11" s="112">
        <v>4.72</v>
      </c>
    </row>
    <row r="12" spans="1:21" customFormat="1">
      <c r="A12" s="80">
        <v>45493.041666666664</v>
      </c>
      <c r="B12" s="112">
        <v>9.2899999999999991</v>
      </c>
      <c r="C12" s="112">
        <v>4.0999999999999996</v>
      </c>
      <c r="D12" s="112">
        <v>14.04</v>
      </c>
      <c r="E12" s="112">
        <v>8.24</v>
      </c>
      <c r="F12" s="112">
        <v>4.5999999999999996</v>
      </c>
      <c r="G12" s="112">
        <v>20.94</v>
      </c>
      <c r="H12" s="112">
        <v>11.25</v>
      </c>
      <c r="I12" s="112">
        <v>5.52</v>
      </c>
      <c r="J12" s="112">
        <v>0.36</v>
      </c>
      <c r="K12" s="112">
        <v>276.29000000000002</v>
      </c>
      <c r="L12" s="112">
        <v>26.57</v>
      </c>
      <c r="M12" s="112">
        <v>94.29</v>
      </c>
      <c r="N12" s="112">
        <v>2.6</v>
      </c>
      <c r="O12" s="112">
        <v>0</v>
      </c>
      <c r="P12" s="112">
        <v>0.55000000000000004</v>
      </c>
      <c r="Q12" s="112">
        <v>4.72</v>
      </c>
    </row>
    <row r="13" spans="1:21" customFormat="1">
      <c r="A13" s="80">
        <v>45493.052083333336</v>
      </c>
      <c r="B13" s="112">
        <v>9.32</v>
      </c>
      <c r="C13" s="112">
        <v>4.08</v>
      </c>
      <c r="D13" s="112">
        <v>14.06</v>
      </c>
      <c r="E13" s="112">
        <v>8.1300000000000008</v>
      </c>
      <c r="F13" s="112">
        <v>4.42</v>
      </c>
      <c r="G13" s="112">
        <v>20.94</v>
      </c>
      <c r="H13" s="112">
        <v>11.25</v>
      </c>
      <c r="I13" s="112">
        <v>5.49</v>
      </c>
      <c r="J13" s="112">
        <v>0.15</v>
      </c>
      <c r="K13" s="112">
        <v>235.65</v>
      </c>
      <c r="L13" s="112">
        <v>26.82</v>
      </c>
      <c r="M13" s="112">
        <v>94.17</v>
      </c>
      <c r="N13" s="112">
        <v>2.1</v>
      </c>
      <c r="O13" s="112">
        <v>0</v>
      </c>
      <c r="P13" s="112">
        <v>0.55000000000000004</v>
      </c>
      <c r="Q13" s="112">
        <v>4.71</v>
      </c>
    </row>
    <row r="14" spans="1:21" customFormat="1">
      <c r="A14" s="80">
        <v>45493.0625</v>
      </c>
      <c r="B14" s="112">
        <v>9.33</v>
      </c>
      <c r="C14" s="112">
        <v>4.09</v>
      </c>
      <c r="D14" s="112">
        <v>14.07</v>
      </c>
      <c r="E14" s="112">
        <v>8.0500000000000007</v>
      </c>
      <c r="F14" s="112">
        <v>4.57</v>
      </c>
      <c r="G14" s="112">
        <v>20.59</v>
      </c>
      <c r="H14" s="112">
        <v>11.06</v>
      </c>
      <c r="I14" s="112">
        <v>5.37</v>
      </c>
      <c r="J14" s="112">
        <v>0.71</v>
      </c>
      <c r="K14" s="112">
        <v>61.57</v>
      </c>
      <c r="L14" s="112">
        <v>26.57</v>
      </c>
      <c r="M14" s="112">
        <v>95.69</v>
      </c>
      <c r="N14" s="112">
        <v>2.9</v>
      </c>
      <c r="O14" s="112">
        <v>5.6</v>
      </c>
      <c r="P14" s="112">
        <v>0.54</v>
      </c>
      <c r="Q14" s="112">
        <v>4.71</v>
      </c>
    </row>
    <row r="15" spans="1:21" customFormat="1">
      <c r="A15" s="80">
        <v>45493.072916666664</v>
      </c>
      <c r="B15" s="112">
        <v>9.33</v>
      </c>
      <c r="C15" s="112">
        <v>4.07</v>
      </c>
      <c r="D15" s="112">
        <v>14.06</v>
      </c>
      <c r="E15" s="112">
        <v>8.7200000000000006</v>
      </c>
      <c r="F15" s="112">
        <v>3.95</v>
      </c>
      <c r="G15" s="112">
        <v>14.76</v>
      </c>
      <c r="H15" s="112">
        <v>8.07</v>
      </c>
      <c r="I15" s="112">
        <v>5.32</v>
      </c>
      <c r="J15" s="112">
        <v>0.7</v>
      </c>
      <c r="K15" s="112">
        <v>47.34</v>
      </c>
      <c r="L15" s="112">
        <v>25.72</v>
      </c>
      <c r="M15" s="112">
        <v>99.67</v>
      </c>
      <c r="N15" s="112">
        <v>3</v>
      </c>
      <c r="O15" s="112">
        <v>9</v>
      </c>
      <c r="P15" s="112">
        <v>0.53</v>
      </c>
      <c r="Q15" s="112">
        <v>4.71</v>
      </c>
    </row>
    <row r="16" spans="1:21" customFormat="1">
      <c r="A16" s="80">
        <v>45493.083333333336</v>
      </c>
      <c r="B16" s="112">
        <v>9.34</v>
      </c>
      <c r="C16" s="112">
        <v>4.05</v>
      </c>
      <c r="D16" s="112">
        <v>14.05</v>
      </c>
      <c r="E16" s="112">
        <v>8.77</v>
      </c>
      <c r="F16" s="112">
        <v>3.44</v>
      </c>
      <c r="G16" s="112">
        <v>14.76</v>
      </c>
      <c r="H16" s="112">
        <v>8.07</v>
      </c>
      <c r="I16" s="112">
        <v>5.15</v>
      </c>
      <c r="J16" s="112">
        <v>0.11</v>
      </c>
      <c r="K16" s="112">
        <v>158.85</v>
      </c>
      <c r="L16" s="112">
        <v>25.77</v>
      </c>
      <c r="M16" s="112">
        <v>101.71</v>
      </c>
      <c r="N16" s="112">
        <v>2.1</v>
      </c>
      <c r="O16" s="112">
        <v>0</v>
      </c>
      <c r="P16" s="112">
        <v>0.53</v>
      </c>
      <c r="Q16" s="112">
        <v>4.72</v>
      </c>
    </row>
    <row r="17" spans="1:17" customFormat="1">
      <c r="A17" s="80">
        <v>45493.09375</v>
      </c>
      <c r="B17" s="112">
        <v>9.32</v>
      </c>
      <c r="C17" s="112">
        <v>4.05</v>
      </c>
      <c r="D17" s="112">
        <v>14.04</v>
      </c>
      <c r="E17" s="112">
        <v>8.1199999999999992</v>
      </c>
      <c r="F17" s="112">
        <v>3.6</v>
      </c>
      <c r="G17" s="112">
        <v>14.76</v>
      </c>
      <c r="H17" s="112">
        <v>8.07</v>
      </c>
      <c r="I17" s="112">
        <v>5.17</v>
      </c>
      <c r="J17" s="112">
        <v>0.12</v>
      </c>
      <c r="K17" s="112">
        <v>211.06</v>
      </c>
      <c r="L17" s="112">
        <v>25.62</v>
      </c>
      <c r="M17" s="112">
        <v>103.2</v>
      </c>
      <c r="N17" s="112">
        <v>2.5</v>
      </c>
      <c r="O17" s="112">
        <v>0</v>
      </c>
      <c r="P17" s="112">
        <v>0.52</v>
      </c>
      <c r="Q17" s="112">
        <v>4.71</v>
      </c>
    </row>
    <row r="18" spans="1:17" customFormat="1">
      <c r="A18" s="80">
        <v>45493.104166666664</v>
      </c>
      <c r="B18" s="112">
        <v>9.31</v>
      </c>
      <c r="C18" s="112">
        <v>4.08</v>
      </c>
      <c r="D18" s="112">
        <v>14.05</v>
      </c>
      <c r="E18" s="112">
        <v>9.74</v>
      </c>
      <c r="F18" s="112">
        <v>4.0199999999999996</v>
      </c>
      <c r="G18" s="112">
        <v>14.69</v>
      </c>
      <c r="H18" s="112">
        <v>7.93</v>
      </c>
      <c r="I18" s="112">
        <v>5.18</v>
      </c>
      <c r="J18" s="112">
        <v>0.11</v>
      </c>
      <c r="K18" s="112">
        <v>243.71</v>
      </c>
      <c r="L18" s="112">
        <v>25.68</v>
      </c>
      <c r="M18" s="112">
        <v>105.26</v>
      </c>
      <c r="N18" s="112">
        <v>2.2000000000000002</v>
      </c>
      <c r="O18" s="112">
        <v>0</v>
      </c>
      <c r="P18" s="112">
        <v>0.52</v>
      </c>
      <c r="Q18" s="112">
        <v>4.7</v>
      </c>
    </row>
    <row r="19" spans="1:17" customFormat="1">
      <c r="A19" s="80">
        <v>45493.114583333336</v>
      </c>
      <c r="B19" s="112">
        <v>9.2799999999999994</v>
      </c>
      <c r="C19" s="112">
        <v>4.0999999999999996</v>
      </c>
      <c r="D19" s="112">
        <v>14.03</v>
      </c>
      <c r="E19" s="112">
        <v>9.4499999999999993</v>
      </c>
      <c r="F19" s="112">
        <v>3.94</v>
      </c>
      <c r="G19" s="112">
        <v>13.46</v>
      </c>
      <c r="H19" s="112">
        <v>5.73</v>
      </c>
      <c r="I19" s="112">
        <v>5.16</v>
      </c>
      <c r="J19" s="112">
        <v>0.14000000000000001</v>
      </c>
      <c r="K19" s="112">
        <v>259.56</v>
      </c>
      <c r="L19" s="112">
        <v>25.7</v>
      </c>
      <c r="M19" s="112">
        <v>105.57</v>
      </c>
      <c r="N19" s="112">
        <v>2.2000000000000002</v>
      </c>
      <c r="O19" s="112">
        <v>0</v>
      </c>
      <c r="P19" s="112">
        <v>0.52</v>
      </c>
      <c r="Q19" s="112">
        <v>4.72</v>
      </c>
    </row>
    <row r="20" spans="1:17" customFormat="1">
      <c r="A20" s="80">
        <v>45493.125</v>
      </c>
      <c r="B20" s="112">
        <v>9.26</v>
      </c>
      <c r="C20" s="112">
        <v>4.09</v>
      </c>
      <c r="D20" s="112">
        <v>14.01</v>
      </c>
      <c r="E20" s="112">
        <v>9.8699999999999992</v>
      </c>
      <c r="F20" s="112">
        <v>3.63</v>
      </c>
      <c r="G20" s="112">
        <v>13.46</v>
      </c>
      <c r="H20" s="112">
        <v>5.73</v>
      </c>
      <c r="I20" s="112">
        <v>5.13</v>
      </c>
      <c r="J20" s="112">
        <v>0.21</v>
      </c>
      <c r="K20" s="112">
        <v>292.5</v>
      </c>
      <c r="L20" s="112">
        <v>25.67</v>
      </c>
      <c r="M20" s="112">
        <v>105.23</v>
      </c>
      <c r="N20" s="112">
        <v>2.2000000000000002</v>
      </c>
      <c r="O20" s="112">
        <v>0</v>
      </c>
      <c r="P20" s="112">
        <v>0.51</v>
      </c>
      <c r="Q20" s="112">
        <v>4.71</v>
      </c>
    </row>
    <row r="21" spans="1:17" customFormat="1">
      <c r="A21" s="80">
        <v>45493.135416666664</v>
      </c>
      <c r="B21" s="112">
        <v>9.25</v>
      </c>
      <c r="C21" s="112">
        <v>4.08</v>
      </c>
      <c r="D21" s="112">
        <v>14</v>
      </c>
      <c r="E21" s="112">
        <v>9.9</v>
      </c>
      <c r="F21" s="112">
        <v>2.15</v>
      </c>
      <c r="G21" s="112">
        <v>13.46</v>
      </c>
      <c r="H21" s="112">
        <v>5.73</v>
      </c>
      <c r="I21" s="112">
        <v>5.21</v>
      </c>
      <c r="J21" s="112">
        <v>0.32</v>
      </c>
      <c r="K21" s="112">
        <v>12.63</v>
      </c>
      <c r="L21" s="112">
        <v>25.67</v>
      </c>
      <c r="M21" s="112">
        <v>106.83</v>
      </c>
      <c r="N21" s="112">
        <v>2.4</v>
      </c>
      <c r="O21" s="112">
        <v>0</v>
      </c>
      <c r="P21" s="112">
        <v>0.52</v>
      </c>
      <c r="Q21" s="112">
        <v>4.71</v>
      </c>
    </row>
    <row r="22" spans="1:17" customFormat="1">
      <c r="A22" s="80">
        <v>45493.145833333336</v>
      </c>
      <c r="B22" s="112">
        <v>9.25</v>
      </c>
      <c r="C22" s="112">
        <v>4.08</v>
      </c>
      <c r="D22" s="112">
        <v>14</v>
      </c>
      <c r="E22" s="112">
        <v>9.9600000000000009</v>
      </c>
      <c r="F22" s="112">
        <v>3.61</v>
      </c>
      <c r="G22" s="112">
        <v>13.26</v>
      </c>
      <c r="H22" s="112">
        <v>5.71</v>
      </c>
      <c r="I22" s="112">
        <v>5.19</v>
      </c>
      <c r="J22" s="112">
        <v>0.49</v>
      </c>
      <c r="K22" s="112">
        <v>40.21</v>
      </c>
      <c r="L22" s="112">
        <v>25.61</v>
      </c>
      <c r="M22" s="112">
        <v>106.53</v>
      </c>
      <c r="N22" s="112">
        <v>2.2999999999999998</v>
      </c>
      <c r="O22" s="112">
        <v>0</v>
      </c>
      <c r="P22" s="112">
        <v>0.55000000000000004</v>
      </c>
      <c r="Q22" s="112">
        <v>4.71</v>
      </c>
    </row>
    <row r="23" spans="1:17" customFormat="1">
      <c r="A23" s="80">
        <v>45493.15625</v>
      </c>
      <c r="B23" s="112">
        <v>9.3000000000000007</v>
      </c>
      <c r="C23" s="112">
        <v>4.08</v>
      </c>
      <c r="D23" s="112">
        <v>14.04</v>
      </c>
      <c r="E23" s="112">
        <v>10.08</v>
      </c>
      <c r="F23" s="112">
        <v>3.96</v>
      </c>
      <c r="G23" s="112">
        <v>9.91</v>
      </c>
      <c r="H23" s="112">
        <v>5.36</v>
      </c>
      <c r="I23" s="112">
        <v>5.19</v>
      </c>
      <c r="J23" s="112">
        <v>0.39</v>
      </c>
      <c r="K23" s="112">
        <v>31.47</v>
      </c>
      <c r="L23" s="112">
        <v>25.5</v>
      </c>
      <c r="M23" s="112">
        <v>104.86</v>
      </c>
      <c r="N23" s="112">
        <v>2.7</v>
      </c>
      <c r="O23" s="112">
        <v>0</v>
      </c>
      <c r="P23" s="112">
        <v>0.55000000000000004</v>
      </c>
      <c r="Q23" s="112">
        <v>4.6900000000000004</v>
      </c>
    </row>
    <row r="24" spans="1:17" customFormat="1">
      <c r="A24" s="80">
        <v>45493.166666666664</v>
      </c>
      <c r="B24" s="112">
        <v>9.27</v>
      </c>
      <c r="C24" s="112">
        <v>4.0599999999999996</v>
      </c>
      <c r="D24" s="112">
        <v>14.01</v>
      </c>
      <c r="E24" s="112">
        <v>9.17</v>
      </c>
      <c r="F24" s="112">
        <v>3.76</v>
      </c>
      <c r="G24" s="112">
        <v>9.91</v>
      </c>
      <c r="H24" s="112">
        <v>5.36</v>
      </c>
      <c r="I24" s="112">
        <v>5.37</v>
      </c>
      <c r="J24" s="112">
        <v>0.03</v>
      </c>
      <c r="K24" s="112">
        <v>177.79</v>
      </c>
      <c r="L24" s="112">
        <v>25.56</v>
      </c>
      <c r="M24" s="112">
        <v>104.54</v>
      </c>
      <c r="N24" s="112">
        <v>2.2999999999999998</v>
      </c>
      <c r="O24" s="112">
        <v>0</v>
      </c>
      <c r="P24" s="112">
        <v>0.55000000000000004</v>
      </c>
      <c r="Q24" s="112">
        <v>4.71</v>
      </c>
    </row>
    <row r="25" spans="1:17" customFormat="1">
      <c r="A25" s="80">
        <v>45493.177083333336</v>
      </c>
      <c r="B25" s="112">
        <v>9.24</v>
      </c>
      <c r="C25" s="112">
        <v>4.0999999999999996</v>
      </c>
      <c r="D25" s="112">
        <v>14</v>
      </c>
      <c r="E25" s="112">
        <v>9.36</v>
      </c>
      <c r="F25" s="112">
        <v>3.74</v>
      </c>
      <c r="G25" s="112">
        <v>9.91</v>
      </c>
      <c r="H25" s="112">
        <v>5.36</v>
      </c>
      <c r="I25" s="112">
        <v>5.22</v>
      </c>
      <c r="J25" s="112">
        <v>0.13</v>
      </c>
      <c r="K25" s="112">
        <v>100.38</v>
      </c>
      <c r="L25" s="112">
        <v>25.57</v>
      </c>
      <c r="M25" s="112">
        <v>102.65</v>
      </c>
      <c r="N25" s="112">
        <v>2.4</v>
      </c>
      <c r="O25" s="112">
        <v>0</v>
      </c>
      <c r="P25" s="112">
        <v>0.54</v>
      </c>
      <c r="Q25" s="112">
        <v>4.72</v>
      </c>
    </row>
    <row r="26" spans="1:17" customFormat="1">
      <c r="A26" s="80">
        <v>45493.1875</v>
      </c>
      <c r="B26" s="112">
        <v>9.2200000000000006</v>
      </c>
      <c r="C26" s="112">
        <v>4.12</v>
      </c>
      <c r="D26" s="112">
        <v>14</v>
      </c>
      <c r="E26" s="112">
        <v>9.25</v>
      </c>
      <c r="F26" s="112">
        <v>3.75</v>
      </c>
      <c r="G26" s="112">
        <v>11.27</v>
      </c>
      <c r="H26" s="112">
        <v>5.49</v>
      </c>
      <c r="I26" s="112">
        <v>5.21</v>
      </c>
      <c r="J26" s="112">
        <v>0.08</v>
      </c>
      <c r="K26" s="112">
        <v>191.93</v>
      </c>
      <c r="L26" s="112">
        <v>25.59</v>
      </c>
      <c r="M26" s="112">
        <v>102.11</v>
      </c>
      <c r="N26" s="112">
        <v>2.2000000000000002</v>
      </c>
      <c r="O26" s="112">
        <v>0</v>
      </c>
      <c r="P26" s="112">
        <v>0.55000000000000004</v>
      </c>
      <c r="Q26" s="112">
        <v>4.7300000000000004</v>
      </c>
    </row>
    <row r="27" spans="1:17" customFormat="1">
      <c r="A27" s="80">
        <v>45493.197916666664</v>
      </c>
      <c r="B27" s="112">
        <v>9.23</v>
      </c>
      <c r="C27" s="112">
        <v>4.12</v>
      </c>
      <c r="D27" s="112">
        <v>14</v>
      </c>
      <c r="E27" s="112">
        <v>8.1300000000000008</v>
      </c>
      <c r="F27" s="112">
        <v>3.48</v>
      </c>
      <c r="G27" s="112">
        <v>34.28</v>
      </c>
      <c r="H27" s="112">
        <v>7.38</v>
      </c>
      <c r="I27" s="112">
        <v>5.32</v>
      </c>
      <c r="J27" s="112">
        <v>0.04</v>
      </c>
      <c r="K27" s="112">
        <v>209.32</v>
      </c>
      <c r="L27" s="112">
        <v>25.46</v>
      </c>
      <c r="M27" s="112">
        <v>102.11</v>
      </c>
      <c r="N27" s="112">
        <v>2.2999999999999998</v>
      </c>
      <c r="O27" s="112">
        <v>0</v>
      </c>
      <c r="P27" s="112">
        <v>0.55000000000000004</v>
      </c>
      <c r="Q27" s="112">
        <v>4.7300000000000004</v>
      </c>
    </row>
    <row r="28" spans="1:17" customFormat="1">
      <c r="A28" s="80">
        <v>45493.208333333336</v>
      </c>
      <c r="B28" s="112">
        <v>9.23</v>
      </c>
      <c r="C28" s="112">
        <v>4.12</v>
      </c>
      <c r="D28" s="112">
        <v>14</v>
      </c>
      <c r="E28" s="112">
        <v>8.6300000000000008</v>
      </c>
      <c r="F28" s="112">
        <v>3.61</v>
      </c>
      <c r="G28" s="112">
        <v>34.28</v>
      </c>
      <c r="H28" s="112">
        <v>7.38</v>
      </c>
      <c r="I28" s="112">
        <v>5.35</v>
      </c>
      <c r="J28" s="112">
        <v>0.28000000000000003</v>
      </c>
      <c r="K28" s="112">
        <v>32.85</v>
      </c>
      <c r="L28" s="112">
        <v>25.48</v>
      </c>
      <c r="M28" s="112">
        <v>102</v>
      </c>
      <c r="N28" s="112">
        <v>2.2000000000000002</v>
      </c>
      <c r="O28" s="112">
        <v>0</v>
      </c>
      <c r="P28" s="112">
        <v>0.56000000000000005</v>
      </c>
      <c r="Q28" s="112">
        <v>4.72</v>
      </c>
    </row>
    <row r="29" spans="1:17" customFormat="1">
      <c r="A29" s="80">
        <v>45493.21875</v>
      </c>
      <c r="B29" s="112">
        <v>9.2200000000000006</v>
      </c>
      <c r="C29" s="112">
        <v>4.12</v>
      </c>
      <c r="D29" s="112">
        <v>14</v>
      </c>
      <c r="E29" s="112">
        <v>8.34</v>
      </c>
      <c r="F29" s="112">
        <v>3.38</v>
      </c>
      <c r="G29" s="112">
        <v>34.28</v>
      </c>
      <c r="H29" s="112">
        <v>7.38</v>
      </c>
      <c r="I29" s="112">
        <v>5.38</v>
      </c>
      <c r="J29" s="112">
        <v>0.08</v>
      </c>
      <c r="K29" s="112">
        <v>61.05</v>
      </c>
      <c r="L29" s="112">
        <v>25.65</v>
      </c>
      <c r="M29" s="112">
        <v>101.91</v>
      </c>
      <c r="N29" s="112">
        <v>2.6</v>
      </c>
      <c r="O29" s="112">
        <v>0</v>
      </c>
      <c r="P29" s="112">
        <v>0.56000000000000005</v>
      </c>
      <c r="Q29" s="112">
        <v>4.72</v>
      </c>
    </row>
    <row r="30" spans="1:17" customFormat="1">
      <c r="A30" s="80">
        <v>45493.229166666664</v>
      </c>
      <c r="B30" s="112">
        <v>9.23</v>
      </c>
      <c r="C30" s="112">
        <v>4.12</v>
      </c>
      <c r="D30" s="112">
        <v>14</v>
      </c>
      <c r="E30" s="112">
        <v>7.9</v>
      </c>
      <c r="F30" s="112">
        <v>3.4</v>
      </c>
      <c r="G30" s="112">
        <v>34.56</v>
      </c>
      <c r="H30" s="112">
        <v>7.77</v>
      </c>
      <c r="I30" s="112">
        <v>5.75</v>
      </c>
      <c r="J30" s="112">
        <v>0.28000000000000003</v>
      </c>
      <c r="K30" s="112">
        <v>57.57</v>
      </c>
      <c r="L30" s="112">
        <v>25.66</v>
      </c>
      <c r="M30" s="112">
        <v>101.87</v>
      </c>
      <c r="N30" s="112">
        <v>6.2</v>
      </c>
      <c r="O30" s="112">
        <v>0</v>
      </c>
      <c r="P30" s="112">
        <v>0.57999999999999996</v>
      </c>
      <c r="Q30" s="112">
        <v>4.72</v>
      </c>
    </row>
    <row r="31" spans="1:17" customFormat="1">
      <c r="A31" s="80">
        <v>45493.239583333336</v>
      </c>
      <c r="B31" s="112">
        <v>9.23</v>
      </c>
      <c r="C31" s="112">
        <v>4.1100000000000003</v>
      </c>
      <c r="D31" s="112">
        <v>14</v>
      </c>
      <c r="E31" s="112">
        <v>8.16</v>
      </c>
      <c r="F31" s="112">
        <v>3.47</v>
      </c>
      <c r="G31" s="112">
        <v>39.28</v>
      </c>
      <c r="H31" s="112">
        <v>13.83</v>
      </c>
      <c r="I31" s="112">
        <v>5.64</v>
      </c>
      <c r="J31" s="112">
        <v>0.15</v>
      </c>
      <c r="K31" s="112">
        <v>7.33</v>
      </c>
      <c r="L31" s="112">
        <v>25.73</v>
      </c>
      <c r="M31" s="112">
        <v>101.77</v>
      </c>
      <c r="N31" s="112">
        <v>13.8</v>
      </c>
      <c r="O31" s="112">
        <v>0</v>
      </c>
      <c r="P31" s="112">
        <v>0.6</v>
      </c>
      <c r="Q31" s="112">
        <v>4.72</v>
      </c>
    </row>
    <row r="32" spans="1:17" customFormat="1">
      <c r="A32" s="80">
        <v>45493.25</v>
      </c>
      <c r="B32" s="112">
        <v>9.26</v>
      </c>
      <c r="C32" s="112">
        <v>4.0599999999999996</v>
      </c>
      <c r="D32" s="112">
        <v>14</v>
      </c>
      <c r="E32" s="112">
        <v>7.8</v>
      </c>
      <c r="F32" s="112">
        <v>3.67</v>
      </c>
      <c r="G32" s="112">
        <v>39.28</v>
      </c>
      <c r="H32" s="112">
        <v>13.83</v>
      </c>
      <c r="I32" s="112">
        <v>5.91</v>
      </c>
      <c r="J32" s="112">
        <v>0.2</v>
      </c>
      <c r="K32" s="112">
        <v>45.7</v>
      </c>
      <c r="L32" s="112">
        <v>25.78</v>
      </c>
      <c r="M32" s="112">
        <v>101.59</v>
      </c>
      <c r="N32" s="112">
        <v>19.8</v>
      </c>
      <c r="O32" s="112">
        <v>0</v>
      </c>
      <c r="P32" s="112">
        <v>0.57999999999999996</v>
      </c>
      <c r="Q32" s="112">
        <v>4.71</v>
      </c>
    </row>
    <row r="33" spans="1:17" customFormat="1">
      <c r="A33" s="80">
        <v>45493.260416666664</v>
      </c>
      <c r="B33" s="112">
        <v>9.24</v>
      </c>
      <c r="C33" s="112">
        <v>4.09</v>
      </c>
      <c r="D33" s="112">
        <v>14</v>
      </c>
      <c r="E33" s="112">
        <v>7.86</v>
      </c>
      <c r="F33" s="112">
        <v>3.76</v>
      </c>
      <c r="G33" s="112">
        <v>39.28</v>
      </c>
      <c r="H33" s="112">
        <v>13.83</v>
      </c>
      <c r="I33" s="112">
        <v>5.83</v>
      </c>
      <c r="J33" s="112">
        <v>0.17</v>
      </c>
      <c r="K33" s="112">
        <v>5.27</v>
      </c>
      <c r="L33" s="112">
        <v>25.95</v>
      </c>
      <c r="M33" s="112">
        <v>101.42</v>
      </c>
      <c r="N33" s="112">
        <v>22.1</v>
      </c>
      <c r="O33" s="112">
        <v>0</v>
      </c>
      <c r="P33" s="112">
        <v>0.6</v>
      </c>
      <c r="Q33" s="112">
        <v>4.71</v>
      </c>
    </row>
    <row r="34" spans="1:17" customFormat="1">
      <c r="A34" s="80">
        <v>45493.270833333336</v>
      </c>
      <c r="B34" s="112">
        <v>9.24</v>
      </c>
      <c r="C34" s="112">
        <v>4.0999999999999996</v>
      </c>
      <c r="D34" s="112">
        <v>14</v>
      </c>
      <c r="E34" s="112">
        <v>8.67</v>
      </c>
      <c r="F34" s="112">
        <v>3.88</v>
      </c>
      <c r="G34" s="112">
        <v>39.520000000000003</v>
      </c>
      <c r="H34" s="112">
        <v>13.83</v>
      </c>
      <c r="I34" s="112">
        <v>6.23</v>
      </c>
      <c r="J34" s="112">
        <v>0.2</v>
      </c>
      <c r="K34" s="112">
        <v>5.55</v>
      </c>
      <c r="L34" s="112">
        <v>26.19</v>
      </c>
      <c r="M34" s="112">
        <v>101.09</v>
      </c>
      <c r="N34" s="112">
        <v>55.6</v>
      </c>
      <c r="O34" s="112">
        <v>0</v>
      </c>
      <c r="P34" s="112">
        <v>0.65</v>
      </c>
      <c r="Q34" s="112">
        <v>4.72</v>
      </c>
    </row>
    <row r="35" spans="1:17" customFormat="1">
      <c r="A35" s="80">
        <v>45493.28125</v>
      </c>
      <c r="B35" s="112">
        <v>9.24</v>
      </c>
      <c r="C35" s="112">
        <v>4.0999999999999996</v>
      </c>
      <c r="D35" s="112">
        <v>14</v>
      </c>
      <c r="E35" s="112">
        <v>9.18</v>
      </c>
      <c r="F35" s="112">
        <v>4.0999999999999996</v>
      </c>
      <c r="G35" s="112">
        <v>43.49</v>
      </c>
      <c r="H35" s="112">
        <v>13.86</v>
      </c>
      <c r="I35" s="112">
        <v>6.54</v>
      </c>
      <c r="J35" s="112">
        <v>0.35</v>
      </c>
      <c r="K35" s="112">
        <v>41.29</v>
      </c>
      <c r="L35" s="112">
        <v>26.51</v>
      </c>
      <c r="M35" s="112">
        <v>101.07</v>
      </c>
      <c r="N35" s="112">
        <v>60.9</v>
      </c>
      <c r="O35" s="112">
        <v>0</v>
      </c>
      <c r="P35" s="112">
        <v>0.67</v>
      </c>
      <c r="Q35" s="112">
        <v>4.72</v>
      </c>
    </row>
    <row r="36" spans="1:17" customFormat="1">
      <c r="A36" s="80">
        <v>45493.291666666664</v>
      </c>
      <c r="B36" s="112">
        <v>9.26</v>
      </c>
      <c r="C36" s="112">
        <v>4.08</v>
      </c>
      <c r="D36" s="112">
        <v>14.01</v>
      </c>
      <c r="E36" s="112">
        <v>8.51</v>
      </c>
      <c r="F36" s="112">
        <v>5.19</v>
      </c>
      <c r="G36" s="112">
        <v>43.49</v>
      </c>
      <c r="H36" s="112">
        <v>13.86</v>
      </c>
      <c r="I36" s="112">
        <v>6.97</v>
      </c>
      <c r="J36" s="112">
        <v>0.33</v>
      </c>
      <c r="K36" s="112">
        <v>47.44</v>
      </c>
      <c r="L36" s="112">
        <v>26.72</v>
      </c>
      <c r="M36" s="112">
        <v>101.09</v>
      </c>
      <c r="N36" s="112">
        <v>77</v>
      </c>
      <c r="O36" s="112">
        <v>0</v>
      </c>
      <c r="P36" s="112">
        <v>0.64</v>
      </c>
      <c r="Q36" s="112">
        <v>4.72</v>
      </c>
    </row>
    <row r="37" spans="1:17" customFormat="1">
      <c r="A37" s="80">
        <v>45493.302083333336</v>
      </c>
      <c r="B37" s="112">
        <v>9.2899999999999991</v>
      </c>
      <c r="C37" s="112">
        <v>4.0599999999999996</v>
      </c>
      <c r="D37" s="112">
        <v>14.02</v>
      </c>
      <c r="E37" s="112">
        <v>8.3800000000000008</v>
      </c>
      <c r="F37" s="112">
        <v>5.15</v>
      </c>
      <c r="G37" s="112">
        <v>43.49</v>
      </c>
      <c r="H37" s="112">
        <v>13.86</v>
      </c>
      <c r="I37" s="112">
        <v>7.03</v>
      </c>
      <c r="J37" s="112">
        <v>0.1</v>
      </c>
      <c r="K37" s="112">
        <v>166.72</v>
      </c>
      <c r="L37" s="112">
        <v>27.05</v>
      </c>
      <c r="M37" s="112">
        <v>101.05</v>
      </c>
      <c r="N37" s="112">
        <v>60.3</v>
      </c>
      <c r="O37" s="112">
        <v>0</v>
      </c>
      <c r="P37" s="112">
        <v>0.6</v>
      </c>
      <c r="Q37" s="112">
        <v>4.71</v>
      </c>
    </row>
    <row r="38" spans="1:17" customFormat="1">
      <c r="A38" s="80">
        <v>45493.3125</v>
      </c>
      <c r="B38" s="112">
        <v>9.32</v>
      </c>
      <c r="C38" s="112">
        <v>4.04</v>
      </c>
      <c r="D38" s="112">
        <v>14.03</v>
      </c>
      <c r="E38" s="112">
        <v>8.17</v>
      </c>
      <c r="F38" s="112">
        <v>5.99</v>
      </c>
      <c r="G38" s="112">
        <v>44.22</v>
      </c>
      <c r="H38" s="112">
        <v>13.98</v>
      </c>
      <c r="I38" s="112">
        <v>6.81</v>
      </c>
      <c r="J38" s="112">
        <v>0.51</v>
      </c>
      <c r="K38" s="112">
        <v>48</v>
      </c>
      <c r="L38" s="112">
        <v>27.18</v>
      </c>
      <c r="M38" s="112">
        <v>101.04</v>
      </c>
      <c r="N38" s="112">
        <v>64.7</v>
      </c>
      <c r="O38" s="112">
        <v>0.2</v>
      </c>
      <c r="P38" s="112">
        <v>0.68</v>
      </c>
      <c r="Q38" s="112">
        <v>4.71</v>
      </c>
    </row>
    <row r="39" spans="1:17" customFormat="1">
      <c r="A39" s="80">
        <v>45493.322916666664</v>
      </c>
      <c r="B39" s="112">
        <v>9.2799999999999994</v>
      </c>
      <c r="C39" s="112">
        <v>4.05</v>
      </c>
      <c r="D39" s="112">
        <v>14.01</v>
      </c>
      <c r="E39" s="112">
        <v>8.01</v>
      </c>
      <c r="F39" s="112">
        <v>6.03</v>
      </c>
      <c r="G39" s="112">
        <v>56.58</v>
      </c>
      <c r="H39" s="112">
        <v>15.76</v>
      </c>
      <c r="I39" s="112">
        <v>6.61</v>
      </c>
      <c r="J39" s="112">
        <v>0.69</v>
      </c>
      <c r="K39" s="112">
        <v>49.79</v>
      </c>
      <c r="L39" s="112">
        <v>27.4</v>
      </c>
      <c r="M39" s="112">
        <v>99.1</v>
      </c>
      <c r="N39" s="112">
        <v>114.5</v>
      </c>
      <c r="O39" s="112">
        <v>0</v>
      </c>
      <c r="P39" s="112">
        <v>0.68</v>
      </c>
      <c r="Q39" s="112">
        <v>4.71</v>
      </c>
    </row>
    <row r="40" spans="1:17" customFormat="1">
      <c r="A40" s="80">
        <v>45493.333333333336</v>
      </c>
      <c r="B40" s="112">
        <v>9.27</v>
      </c>
      <c r="C40" s="112">
        <v>4.07</v>
      </c>
      <c r="D40" s="112">
        <v>14.01</v>
      </c>
      <c r="E40" s="112">
        <v>8.1199999999999992</v>
      </c>
      <c r="F40" s="112">
        <v>5.6</v>
      </c>
      <c r="G40" s="112">
        <v>56.58</v>
      </c>
      <c r="H40" s="112">
        <v>15.76</v>
      </c>
      <c r="I40" s="112">
        <v>6.78</v>
      </c>
      <c r="J40" s="112">
        <v>0.54</v>
      </c>
      <c r="K40" s="112">
        <v>54.95</v>
      </c>
      <c r="L40" s="112">
        <v>27.85</v>
      </c>
      <c r="M40" s="112">
        <v>93.44</v>
      </c>
      <c r="N40" s="112">
        <v>115.1</v>
      </c>
      <c r="O40" s="112">
        <v>0</v>
      </c>
      <c r="P40" s="112">
        <v>0.6</v>
      </c>
      <c r="Q40" s="112">
        <v>4.7300000000000004</v>
      </c>
    </row>
    <row r="41" spans="1:17" customFormat="1">
      <c r="A41" s="80">
        <v>45493.34375</v>
      </c>
      <c r="B41" s="112">
        <v>9.27</v>
      </c>
      <c r="C41" s="112">
        <v>4.09</v>
      </c>
      <c r="D41" s="112">
        <v>14.02</v>
      </c>
      <c r="E41" s="112">
        <v>8.36</v>
      </c>
      <c r="F41" s="112">
        <v>6.36</v>
      </c>
      <c r="G41" s="112">
        <v>56.58</v>
      </c>
      <c r="H41" s="112">
        <v>15.76</v>
      </c>
      <c r="I41" s="112">
        <v>6.93</v>
      </c>
      <c r="J41" s="112">
        <v>0.92</v>
      </c>
      <c r="K41" s="112">
        <v>51.34</v>
      </c>
      <c r="L41" s="112">
        <v>28.27</v>
      </c>
      <c r="M41" s="112">
        <v>87.67</v>
      </c>
      <c r="N41" s="112">
        <v>167.8</v>
      </c>
      <c r="O41" s="112">
        <v>0</v>
      </c>
      <c r="P41" s="112">
        <v>0.59</v>
      </c>
      <c r="Q41" s="112">
        <v>4.7300000000000004</v>
      </c>
    </row>
    <row r="42" spans="1:17" customFormat="1">
      <c r="A42" s="80">
        <v>45493.354166666664</v>
      </c>
      <c r="B42" s="112">
        <v>9.2899999999999991</v>
      </c>
      <c r="C42" s="112">
        <v>4.08</v>
      </c>
      <c r="D42" s="112">
        <v>14.03</v>
      </c>
      <c r="E42" s="112">
        <v>8.42</v>
      </c>
      <c r="F42" s="112">
        <v>4.93</v>
      </c>
      <c r="G42" s="112">
        <v>56.42</v>
      </c>
      <c r="H42" s="112">
        <v>15.72</v>
      </c>
      <c r="I42" s="112">
        <v>6.42</v>
      </c>
      <c r="J42" s="112">
        <v>0.91</v>
      </c>
      <c r="K42" s="112">
        <v>54.21</v>
      </c>
      <c r="L42" s="112">
        <v>29.1</v>
      </c>
      <c r="M42" s="112">
        <v>84.17</v>
      </c>
      <c r="N42" s="112">
        <v>217.9</v>
      </c>
      <c r="O42" s="112">
        <v>0</v>
      </c>
      <c r="P42" s="112">
        <v>0.59</v>
      </c>
      <c r="Q42" s="112">
        <v>4.7300000000000004</v>
      </c>
    </row>
    <row r="43" spans="1:17" customFormat="1">
      <c r="A43" s="80">
        <v>45493.364583333336</v>
      </c>
      <c r="B43" s="112">
        <v>9.32</v>
      </c>
      <c r="C43" s="112">
        <v>4.07</v>
      </c>
      <c r="D43" s="112">
        <v>14.05</v>
      </c>
      <c r="E43" s="112">
        <v>8.94</v>
      </c>
      <c r="F43" s="112">
        <v>4.59</v>
      </c>
      <c r="G43" s="112">
        <v>53.7</v>
      </c>
      <c r="H43" s="112">
        <v>15.09</v>
      </c>
      <c r="I43" s="112">
        <v>6.42</v>
      </c>
      <c r="J43" s="112">
        <v>0.56999999999999995</v>
      </c>
      <c r="K43" s="112">
        <v>75.48</v>
      </c>
      <c r="L43" s="112">
        <v>29.67</v>
      </c>
      <c r="M43" s="112">
        <v>82.37</v>
      </c>
      <c r="N43" s="112">
        <v>206.4</v>
      </c>
      <c r="O43" s="112">
        <v>0</v>
      </c>
      <c r="P43" s="112">
        <v>0.57999999999999996</v>
      </c>
      <c r="Q43" s="112">
        <v>4.7300000000000004</v>
      </c>
    </row>
    <row r="44" spans="1:17" customFormat="1">
      <c r="A44" s="80">
        <v>45493.375</v>
      </c>
      <c r="B44" s="112">
        <v>9.34</v>
      </c>
      <c r="C44" s="112">
        <v>4.05</v>
      </c>
      <c r="D44" s="112">
        <v>14.06</v>
      </c>
      <c r="E44" s="112">
        <v>8.68</v>
      </c>
      <c r="F44" s="112">
        <v>5.42</v>
      </c>
      <c r="G44" s="112">
        <v>53.7</v>
      </c>
      <c r="H44" s="112">
        <v>15.09</v>
      </c>
      <c r="I44" s="112">
        <v>6.28</v>
      </c>
      <c r="J44" s="112">
        <v>0.54</v>
      </c>
      <c r="K44" s="112">
        <v>64.069999999999993</v>
      </c>
      <c r="L44" s="112">
        <v>29.84</v>
      </c>
      <c r="M44" s="112">
        <v>81.75</v>
      </c>
      <c r="N44" s="112">
        <v>188.2</v>
      </c>
      <c r="O44" s="112">
        <v>0</v>
      </c>
      <c r="P44" s="112">
        <v>0.56999999999999995</v>
      </c>
      <c r="Q44" s="112">
        <v>4.7300000000000004</v>
      </c>
    </row>
    <row r="45" spans="1:17" customFormat="1">
      <c r="A45" s="80">
        <v>45493.385416666664</v>
      </c>
      <c r="B45" s="112">
        <v>9.33</v>
      </c>
      <c r="C45" s="112">
        <v>4.0599999999999996</v>
      </c>
      <c r="D45" s="112">
        <v>14.06</v>
      </c>
      <c r="E45" s="112">
        <v>8.48</v>
      </c>
      <c r="F45" s="112">
        <v>4.53</v>
      </c>
      <c r="G45" s="112">
        <v>53.7</v>
      </c>
      <c r="H45" s="112">
        <v>15.09</v>
      </c>
      <c r="I45" s="112">
        <v>6.06</v>
      </c>
      <c r="J45" s="112">
        <v>0.54</v>
      </c>
      <c r="K45" s="112">
        <v>69.34</v>
      </c>
      <c r="L45" s="112">
        <v>30.15</v>
      </c>
      <c r="M45" s="112">
        <v>79.680000000000007</v>
      </c>
      <c r="N45" s="112">
        <v>255.5</v>
      </c>
      <c r="O45" s="112">
        <v>0</v>
      </c>
      <c r="P45" s="112">
        <v>0.56999999999999995</v>
      </c>
      <c r="Q45" s="112">
        <v>4.72</v>
      </c>
    </row>
    <row r="46" spans="1:17" customFormat="1">
      <c r="A46" s="80">
        <v>45493.395833333336</v>
      </c>
      <c r="B46" s="112">
        <v>9.34</v>
      </c>
      <c r="C46" s="112">
        <v>4.05</v>
      </c>
      <c r="D46" s="112">
        <v>14.05</v>
      </c>
      <c r="E46" s="112">
        <v>8.58</v>
      </c>
      <c r="F46" s="112">
        <v>7.21</v>
      </c>
      <c r="G46" s="112">
        <v>53.28</v>
      </c>
      <c r="H46" s="112">
        <v>14.98</v>
      </c>
      <c r="I46" s="112">
        <v>6.19</v>
      </c>
      <c r="J46" s="112">
        <v>0.75</v>
      </c>
      <c r="K46" s="112">
        <v>56.95</v>
      </c>
      <c r="L46" s="112">
        <v>30.92</v>
      </c>
      <c r="M46" s="112">
        <v>76.78</v>
      </c>
      <c r="N46" s="112">
        <v>249.2</v>
      </c>
      <c r="O46" s="112">
        <v>0</v>
      </c>
      <c r="P46" s="112">
        <v>0.56000000000000005</v>
      </c>
      <c r="Q46" s="112">
        <v>4.7300000000000004</v>
      </c>
    </row>
    <row r="47" spans="1:17" customFormat="1">
      <c r="A47" s="80">
        <v>45493.40625</v>
      </c>
      <c r="B47" s="112">
        <v>9.31</v>
      </c>
      <c r="C47" s="112">
        <v>4.09</v>
      </c>
      <c r="D47" s="112">
        <v>14.06</v>
      </c>
      <c r="E47" s="112">
        <v>8.65</v>
      </c>
      <c r="F47" s="112">
        <v>6.61</v>
      </c>
      <c r="G47" s="112">
        <v>46.07</v>
      </c>
      <c r="H47" s="112">
        <v>13.31</v>
      </c>
      <c r="I47" s="112">
        <v>6.12</v>
      </c>
      <c r="J47" s="112">
        <v>0.67</v>
      </c>
      <c r="K47" s="112">
        <v>67.319999999999993</v>
      </c>
      <c r="L47" s="112">
        <v>30.51</v>
      </c>
      <c r="M47" s="112">
        <v>75.3</v>
      </c>
      <c r="N47" s="112">
        <v>214.7</v>
      </c>
      <c r="O47" s="112">
        <v>0</v>
      </c>
      <c r="P47" s="112">
        <v>0.55000000000000004</v>
      </c>
      <c r="Q47" s="112">
        <v>4.7300000000000004</v>
      </c>
    </row>
    <row r="48" spans="1:17" customFormat="1">
      <c r="A48" s="80">
        <v>45493.416666666664</v>
      </c>
      <c r="B48" s="112">
        <v>9.2899999999999991</v>
      </c>
      <c r="C48" s="112">
        <v>4.07</v>
      </c>
      <c r="D48" s="112">
        <v>14.02</v>
      </c>
      <c r="E48" s="112">
        <v>8.31</v>
      </c>
      <c r="F48" s="112">
        <v>6.75</v>
      </c>
      <c r="G48" s="112">
        <v>46.07</v>
      </c>
      <c r="H48" s="112">
        <v>13.31</v>
      </c>
      <c r="I48" s="112">
        <v>5.89</v>
      </c>
      <c r="J48" s="112">
        <v>1.08</v>
      </c>
      <c r="K48" s="112">
        <v>54.25</v>
      </c>
      <c r="L48" s="112">
        <v>30.79</v>
      </c>
      <c r="M48" s="112">
        <v>74.040000000000006</v>
      </c>
      <c r="N48" s="112">
        <v>286.60000000000002</v>
      </c>
      <c r="O48" s="112">
        <v>0</v>
      </c>
      <c r="P48" s="112">
        <v>0.54</v>
      </c>
      <c r="Q48" s="112">
        <v>4.72</v>
      </c>
    </row>
    <row r="49" spans="1:17" customFormat="1">
      <c r="A49" s="80">
        <v>45493.427083333336</v>
      </c>
      <c r="B49" s="112">
        <v>9.2899999999999991</v>
      </c>
      <c r="C49" s="112">
        <v>4.0599999999999996</v>
      </c>
      <c r="D49" s="112">
        <v>14.02</v>
      </c>
      <c r="E49" s="112">
        <v>8.74</v>
      </c>
      <c r="F49" s="112">
        <v>7.5</v>
      </c>
      <c r="G49" s="112">
        <v>46.07</v>
      </c>
      <c r="H49" s="112">
        <v>13.31</v>
      </c>
      <c r="I49" s="112">
        <v>5.8</v>
      </c>
      <c r="J49" s="112">
        <v>1.1100000000000001</v>
      </c>
      <c r="K49" s="112">
        <v>55.4</v>
      </c>
      <c r="L49" s="112">
        <v>31.2</v>
      </c>
      <c r="M49" s="112">
        <v>71.88</v>
      </c>
      <c r="N49" s="112">
        <v>270</v>
      </c>
      <c r="O49" s="112">
        <v>0</v>
      </c>
      <c r="P49" s="112">
        <v>0.53</v>
      </c>
      <c r="Q49" s="112">
        <v>4.7300000000000004</v>
      </c>
    </row>
    <row r="50" spans="1:17" customFormat="1">
      <c r="A50" s="80">
        <v>45493.4375</v>
      </c>
      <c r="B50" s="112">
        <v>9.2899999999999991</v>
      </c>
      <c r="C50" s="112">
        <v>4.09</v>
      </c>
      <c r="D50" s="112">
        <v>14.04</v>
      </c>
      <c r="E50" s="112">
        <v>11.35</v>
      </c>
      <c r="F50" s="112">
        <v>7.65</v>
      </c>
      <c r="G50" s="112">
        <v>45.72</v>
      </c>
      <c r="H50" s="112">
        <v>13.17</v>
      </c>
      <c r="I50" s="112">
        <v>5.62</v>
      </c>
      <c r="J50" s="112">
        <v>0.81</v>
      </c>
      <c r="K50" s="112">
        <v>66.91</v>
      </c>
      <c r="L50" s="112">
        <v>31.62</v>
      </c>
      <c r="M50" s="112">
        <v>70.13</v>
      </c>
      <c r="N50" s="112">
        <v>278.89999999999998</v>
      </c>
      <c r="O50" s="112">
        <v>0</v>
      </c>
      <c r="P50" s="112">
        <v>0.52</v>
      </c>
      <c r="Q50" s="112">
        <v>4.7300000000000004</v>
      </c>
    </row>
    <row r="51" spans="1:17" customFormat="1">
      <c r="A51" s="80">
        <v>45493.447916666664</v>
      </c>
      <c r="B51" s="112">
        <v>9.3000000000000007</v>
      </c>
      <c r="C51" s="112">
        <v>4.08</v>
      </c>
      <c r="D51" s="112">
        <v>14.04</v>
      </c>
      <c r="E51" s="112">
        <v>11.22</v>
      </c>
      <c r="F51" s="112">
        <v>5.56</v>
      </c>
      <c r="G51" s="112">
        <v>39.799999999999997</v>
      </c>
      <c r="H51" s="112">
        <v>10.98</v>
      </c>
      <c r="I51" s="112">
        <v>5.5</v>
      </c>
      <c r="J51" s="112">
        <v>0.77</v>
      </c>
      <c r="K51" s="112">
        <v>65.39</v>
      </c>
      <c r="L51" s="112">
        <v>32.270000000000003</v>
      </c>
      <c r="M51" s="112">
        <v>68.489999999999995</v>
      </c>
      <c r="N51" s="112">
        <v>283.89999999999998</v>
      </c>
      <c r="O51" s="112">
        <v>0</v>
      </c>
      <c r="P51" s="112">
        <v>0.51</v>
      </c>
      <c r="Q51" s="112">
        <v>4.72</v>
      </c>
    </row>
    <row r="52" spans="1:17" customFormat="1">
      <c r="A52" s="80">
        <v>45493.458333333336</v>
      </c>
      <c r="B52" s="112">
        <v>9.2899999999999991</v>
      </c>
      <c r="C52" s="112">
        <v>4.0599999999999996</v>
      </c>
      <c r="D52" s="112">
        <v>14.02</v>
      </c>
      <c r="E52" s="112">
        <v>11.6</v>
      </c>
      <c r="F52" s="112">
        <v>6.21</v>
      </c>
      <c r="G52" s="112">
        <v>39.799999999999997</v>
      </c>
      <c r="H52" s="112">
        <v>10.98</v>
      </c>
      <c r="I52" s="112">
        <v>5.47</v>
      </c>
      <c r="J52" s="112">
        <v>1.07</v>
      </c>
      <c r="K52" s="112">
        <v>55.34</v>
      </c>
      <c r="L52" s="112">
        <v>32.36</v>
      </c>
      <c r="M52" s="112">
        <v>67.63</v>
      </c>
      <c r="N52" s="112">
        <v>231.5</v>
      </c>
      <c r="O52" s="112">
        <v>0</v>
      </c>
      <c r="P52" s="112">
        <v>0.5</v>
      </c>
      <c r="Q52" s="112">
        <v>4.71</v>
      </c>
    </row>
    <row r="53" spans="1:17" customFormat="1">
      <c r="A53" s="80">
        <v>45493.46875</v>
      </c>
      <c r="B53" s="112">
        <v>9.2799999999999994</v>
      </c>
      <c r="C53" s="112">
        <v>4.08</v>
      </c>
      <c r="D53" s="112">
        <v>14.02</v>
      </c>
      <c r="E53" s="112">
        <v>11.51</v>
      </c>
      <c r="F53" s="112">
        <v>6.21</v>
      </c>
      <c r="G53" s="112">
        <v>39.799999999999997</v>
      </c>
      <c r="H53" s="112">
        <v>10.98</v>
      </c>
      <c r="I53" s="112">
        <v>5.47</v>
      </c>
      <c r="J53" s="112">
        <v>1.1200000000000001</v>
      </c>
      <c r="K53" s="112">
        <v>53.96</v>
      </c>
      <c r="L53" s="112">
        <v>32.46</v>
      </c>
      <c r="M53" s="112">
        <v>68.02</v>
      </c>
      <c r="N53" s="112">
        <v>210.4</v>
      </c>
      <c r="O53" s="112">
        <v>0</v>
      </c>
      <c r="P53" s="112">
        <v>0.5</v>
      </c>
      <c r="Q53" s="112">
        <v>4.71</v>
      </c>
    </row>
    <row r="54" spans="1:17" customFormat="1">
      <c r="A54" s="80">
        <v>45493.479166666664</v>
      </c>
      <c r="B54" s="112">
        <v>9.2799999999999994</v>
      </c>
      <c r="C54" s="112">
        <v>4.0599999999999996</v>
      </c>
      <c r="D54" s="112">
        <v>14.01</v>
      </c>
      <c r="E54" s="112">
        <v>11.61</v>
      </c>
      <c r="F54" s="112">
        <v>9.36</v>
      </c>
      <c r="G54" s="112">
        <v>39.69</v>
      </c>
      <c r="H54" s="112">
        <v>10.85</v>
      </c>
      <c r="I54" s="112">
        <v>5.22</v>
      </c>
      <c r="J54" s="112">
        <v>1.03</v>
      </c>
      <c r="K54" s="112">
        <v>55.18</v>
      </c>
      <c r="L54" s="112">
        <v>33.11</v>
      </c>
      <c r="M54" s="112">
        <v>65.7</v>
      </c>
      <c r="N54" s="112">
        <v>189.8</v>
      </c>
      <c r="O54" s="112">
        <v>0</v>
      </c>
      <c r="P54" s="112">
        <v>0.48</v>
      </c>
      <c r="Q54" s="112">
        <v>4.72</v>
      </c>
    </row>
    <row r="55" spans="1:17" customFormat="1">
      <c r="A55" s="80">
        <v>45493.489583333336</v>
      </c>
      <c r="B55" s="112">
        <v>9.2899999999999991</v>
      </c>
      <c r="C55" s="112">
        <v>4.09</v>
      </c>
      <c r="D55" s="112">
        <v>14.04</v>
      </c>
      <c r="E55" s="112">
        <v>11.25</v>
      </c>
      <c r="F55" s="112">
        <v>6.78</v>
      </c>
      <c r="G55" s="112">
        <v>37.880000000000003</v>
      </c>
      <c r="H55" s="112">
        <v>8.7899999999999991</v>
      </c>
      <c r="I55" s="112">
        <v>5.18</v>
      </c>
      <c r="J55" s="112">
        <v>0.93</v>
      </c>
      <c r="K55" s="112">
        <v>57.44</v>
      </c>
      <c r="L55" s="112">
        <v>33.08</v>
      </c>
      <c r="M55" s="112">
        <v>65.400000000000006</v>
      </c>
      <c r="N55" s="112">
        <v>362.7</v>
      </c>
      <c r="O55" s="112">
        <v>0</v>
      </c>
      <c r="P55" s="112">
        <v>0.49</v>
      </c>
      <c r="Q55" s="112">
        <v>4.72</v>
      </c>
    </row>
    <row r="56" spans="1:17" customFormat="1">
      <c r="A56" s="80">
        <v>45493.5</v>
      </c>
      <c r="B56" s="112">
        <v>9.3000000000000007</v>
      </c>
      <c r="C56" s="112">
        <v>4.09</v>
      </c>
      <c r="D56" s="112">
        <v>14.04</v>
      </c>
      <c r="E56" s="112">
        <v>11.06</v>
      </c>
      <c r="F56" s="112">
        <v>6.39</v>
      </c>
      <c r="G56" s="112">
        <v>37.880000000000003</v>
      </c>
      <c r="H56" s="112">
        <v>8.7899999999999991</v>
      </c>
      <c r="I56" s="112">
        <v>5</v>
      </c>
      <c r="J56" s="112">
        <v>0.97</v>
      </c>
      <c r="K56" s="112">
        <v>59.63</v>
      </c>
      <c r="L56" s="112">
        <v>32.68</v>
      </c>
      <c r="M56" s="112">
        <v>65.98</v>
      </c>
      <c r="N56" s="112">
        <v>384.8</v>
      </c>
      <c r="O56" s="112">
        <v>0</v>
      </c>
      <c r="P56" s="112">
        <v>0.47</v>
      </c>
      <c r="Q56" s="112">
        <v>4.7300000000000004</v>
      </c>
    </row>
    <row r="57" spans="1:17" customFormat="1">
      <c r="A57" s="80">
        <v>45493.510416666664</v>
      </c>
      <c r="B57" s="112">
        <v>9.2899999999999991</v>
      </c>
      <c r="C57" s="112">
        <v>4.04</v>
      </c>
      <c r="D57" s="112">
        <v>14.01</v>
      </c>
      <c r="E57" s="112">
        <v>10.83</v>
      </c>
      <c r="F57" s="112">
        <v>7.55</v>
      </c>
      <c r="G57" s="112">
        <v>37.880000000000003</v>
      </c>
      <c r="H57" s="112">
        <v>8.7899999999999991</v>
      </c>
      <c r="I57" s="112">
        <v>5.04</v>
      </c>
      <c r="J57" s="112">
        <v>1.37</v>
      </c>
      <c r="K57" s="112">
        <v>47.35</v>
      </c>
      <c r="L57" s="112">
        <v>32.58</v>
      </c>
      <c r="M57" s="112">
        <v>66</v>
      </c>
      <c r="N57" s="112">
        <v>381.6</v>
      </c>
      <c r="O57" s="112">
        <v>0</v>
      </c>
      <c r="P57" s="112">
        <v>0.47</v>
      </c>
      <c r="Q57" s="112">
        <v>4.7300000000000004</v>
      </c>
    </row>
    <row r="58" spans="1:17" customFormat="1">
      <c r="A58" s="80">
        <v>45493.520833333336</v>
      </c>
      <c r="B58" s="112">
        <v>9.3000000000000007</v>
      </c>
      <c r="C58" s="112">
        <v>4.04</v>
      </c>
      <c r="D58" s="112">
        <v>14.01</v>
      </c>
      <c r="E58" s="112">
        <v>10.86</v>
      </c>
      <c r="F58" s="112">
        <v>10.15</v>
      </c>
      <c r="G58" s="112">
        <v>37.61</v>
      </c>
      <c r="H58" s="112">
        <v>8.66</v>
      </c>
      <c r="I58" s="112">
        <v>4.92</v>
      </c>
      <c r="J58" s="112">
        <v>1.87</v>
      </c>
      <c r="K58" s="112">
        <v>54.49</v>
      </c>
      <c r="L58" s="112">
        <v>32.61</v>
      </c>
      <c r="M58" s="112">
        <v>65.89</v>
      </c>
      <c r="N58" s="112">
        <v>445.6</v>
      </c>
      <c r="O58" s="112">
        <v>0</v>
      </c>
      <c r="P58" s="112">
        <v>0.45</v>
      </c>
      <c r="Q58" s="112">
        <v>4.7300000000000004</v>
      </c>
    </row>
    <row r="59" spans="1:17" customFormat="1">
      <c r="A59" s="80">
        <v>45493.53125</v>
      </c>
      <c r="B59" s="112">
        <v>9.2799999999999994</v>
      </c>
      <c r="C59" s="112">
        <v>4.04</v>
      </c>
      <c r="D59" s="112">
        <v>14</v>
      </c>
      <c r="E59" s="112">
        <v>11.11</v>
      </c>
      <c r="F59" s="112">
        <v>8.0399999999999991</v>
      </c>
      <c r="G59" s="112">
        <v>33.020000000000003</v>
      </c>
      <c r="H59" s="112">
        <v>6.49</v>
      </c>
      <c r="I59" s="112">
        <v>4.79</v>
      </c>
      <c r="J59" s="112">
        <v>1.1100000000000001</v>
      </c>
      <c r="K59" s="112">
        <v>55.83</v>
      </c>
      <c r="L59" s="112">
        <v>33.36</v>
      </c>
      <c r="M59" s="112">
        <v>64.66</v>
      </c>
      <c r="N59" s="112">
        <v>576.1</v>
      </c>
      <c r="O59" s="112">
        <v>0</v>
      </c>
      <c r="P59" s="112">
        <v>0.49</v>
      </c>
      <c r="Q59" s="112">
        <v>4.72</v>
      </c>
    </row>
    <row r="60" spans="1:17" customFormat="1">
      <c r="A60" s="80">
        <v>45493.541666666664</v>
      </c>
      <c r="B60" s="112">
        <v>9.3000000000000007</v>
      </c>
      <c r="C60" s="112">
        <v>4.05</v>
      </c>
      <c r="D60" s="112">
        <v>14.02</v>
      </c>
      <c r="E60" s="112">
        <v>11.4</v>
      </c>
      <c r="F60" s="112">
        <v>9.09</v>
      </c>
      <c r="G60" s="112">
        <v>33.020000000000003</v>
      </c>
      <c r="H60" s="112">
        <v>6.49</v>
      </c>
      <c r="I60" s="112">
        <v>4.72</v>
      </c>
      <c r="J60" s="112">
        <v>1.46</v>
      </c>
      <c r="K60" s="112">
        <v>49.89</v>
      </c>
      <c r="L60" s="112">
        <v>33.49</v>
      </c>
      <c r="M60" s="112">
        <v>62.45</v>
      </c>
      <c r="N60" s="112">
        <v>368.7</v>
      </c>
      <c r="O60" s="112">
        <v>0</v>
      </c>
      <c r="P60" s="112">
        <v>0.52</v>
      </c>
      <c r="Q60" s="112">
        <v>4.6900000000000004</v>
      </c>
    </row>
    <row r="61" spans="1:17" customFormat="1">
      <c r="A61" s="80">
        <v>45493.552083333336</v>
      </c>
      <c r="B61" s="112">
        <v>9.35</v>
      </c>
      <c r="C61" s="112">
        <v>4.03</v>
      </c>
      <c r="D61" s="112">
        <v>14.06</v>
      </c>
      <c r="E61" s="112">
        <v>11.24</v>
      </c>
      <c r="F61" s="112">
        <v>12.68</v>
      </c>
      <c r="G61" s="112">
        <v>33.020000000000003</v>
      </c>
      <c r="H61" s="112">
        <v>6.49</v>
      </c>
      <c r="I61" s="112">
        <v>4.7</v>
      </c>
      <c r="J61" s="112">
        <v>1.24</v>
      </c>
      <c r="K61" s="112">
        <v>51.81</v>
      </c>
      <c r="L61" s="112">
        <v>32.81</v>
      </c>
      <c r="M61" s="112">
        <v>66.3</v>
      </c>
      <c r="N61" s="112">
        <v>375.7</v>
      </c>
      <c r="O61" s="112">
        <v>0</v>
      </c>
      <c r="P61" s="112">
        <v>0.5</v>
      </c>
      <c r="Q61" s="112">
        <v>4.7</v>
      </c>
    </row>
    <row r="62" spans="1:17" customFormat="1">
      <c r="A62" s="80">
        <v>45493.5625</v>
      </c>
      <c r="B62" s="112">
        <v>9.32</v>
      </c>
      <c r="C62" s="112">
        <v>4.03</v>
      </c>
      <c r="D62" s="112">
        <v>14.03</v>
      </c>
      <c r="E62" s="112">
        <v>11.24</v>
      </c>
      <c r="F62" s="112">
        <v>13.25</v>
      </c>
      <c r="G62" s="112">
        <v>33.04</v>
      </c>
      <c r="H62" s="112">
        <v>6.45</v>
      </c>
      <c r="I62" s="112">
        <v>4.62</v>
      </c>
      <c r="J62" s="112">
        <v>1.06</v>
      </c>
      <c r="K62" s="112">
        <v>57.91</v>
      </c>
      <c r="L62" s="112">
        <v>33.72</v>
      </c>
      <c r="M62" s="112">
        <v>66.22</v>
      </c>
      <c r="N62" s="112">
        <v>265.2</v>
      </c>
      <c r="O62" s="112">
        <v>0</v>
      </c>
      <c r="P62" s="112">
        <v>0.5</v>
      </c>
      <c r="Q62" s="112">
        <v>4.7</v>
      </c>
    </row>
    <row r="63" spans="1:17" customFormat="1">
      <c r="A63" s="80">
        <v>45493.572916666664</v>
      </c>
      <c r="B63" s="112">
        <v>9.32</v>
      </c>
      <c r="C63" s="112">
        <v>4.07</v>
      </c>
      <c r="D63" s="112">
        <v>14.05</v>
      </c>
      <c r="E63" s="112">
        <v>10.62</v>
      </c>
      <c r="F63" s="112">
        <v>11.32</v>
      </c>
      <c r="G63" s="112">
        <v>33.380000000000003</v>
      </c>
      <c r="H63" s="112">
        <v>5.73</v>
      </c>
      <c r="I63" s="112">
        <v>4.51</v>
      </c>
      <c r="J63" s="112">
        <v>0.98</v>
      </c>
      <c r="K63" s="112">
        <v>52.84</v>
      </c>
      <c r="L63" s="112">
        <v>33.68</v>
      </c>
      <c r="M63" s="112">
        <v>69.13</v>
      </c>
      <c r="N63" s="112">
        <v>232.7</v>
      </c>
      <c r="O63" s="112">
        <v>0</v>
      </c>
      <c r="P63" s="112">
        <v>0.5</v>
      </c>
      <c r="Q63" s="112">
        <v>4.71</v>
      </c>
    </row>
    <row r="64" spans="1:17" customFormat="1">
      <c r="A64" s="80">
        <v>45493.583333333336</v>
      </c>
      <c r="B64" s="112">
        <v>9.33</v>
      </c>
      <c r="C64" s="112">
        <v>4.09</v>
      </c>
      <c r="D64" s="112">
        <v>14.07</v>
      </c>
      <c r="E64" s="112">
        <v>9.9600000000000009</v>
      </c>
      <c r="F64" s="112">
        <v>13.21</v>
      </c>
      <c r="G64" s="112">
        <v>33.380000000000003</v>
      </c>
      <c r="H64" s="112">
        <v>5.73</v>
      </c>
      <c r="I64" s="112">
        <v>4.42</v>
      </c>
      <c r="J64" s="112">
        <v>1.58</v>
      </c>
      <c r="K64" s="112">
        <v>51.92</v>
      </c>
      <c r="L64" s="112">
        <v>33.159999999999997</v>
      </c>
      <c r="M64" s="112">
        <v>68.69</v>
      </c>
      <c r="N64" s="112">
        <v>299.7</v>
      </c>
      <c r="O64" s="112">
        <v>0</v>
      </c>
      <c r="P64" s="112">
        <v>0.48</v>
      </c>
      <c r="Q64" s="112">
        <v>4.71</v>
      </c>
    </row>
    <row r="65" spans="1:17" customFormat="1">
      <c r="A65" s="80">
        <v>45493.59375</v>
      </c>
      <c r="B65" s="112">
        <v>9.33</v>
      </c>
      <c r="C65" s="112">
        <v>4.0599999999999996</v>
      </c>
      <c r="D65" s="112">
        <v>14.05</v>
      </c>
      <c r="E65" s="112">
        <v>9.9499999999999993</v>
      </c>
      <c r="F65" s="112">
        <v>13.07</v>
      </c>
      <c r="G65" s="112">
        <v>33.380000000000003</v>
      </c>
      <c r="H65" s="112">
        <v>5.73</v>
      </c>
      <c r="I65" s="112">
        <v>4.3899999999999997</v>
      </c>
      <c r="J65" s="112">
        <v>1.56</v>
      </c>
      <c r="K65" s="112">
        <v>51.47</v>
      </c>
      <c r="L65" s="112">
        <v>33.21</v>
      </c>
      <c r="M65" s="112">
        <v>66.83</v>
      </c>
      <c r="N65" s="112">
        <v>440.5</v>
      </c>
      <c r="O65" s="112">
        <v>0</v>
      </c>
      <c r="P65" s="112">
        <v>0.37</v>
      </c>
      <c r="Q65" s="112">
        <v>4.71</v>
      </c>
    </row>
    <row r="66" spans="1:17" customFormat="1">
      <c r="A66" s="80">
        <v>45493.604166666664</v>
      </c>
      <c r="B66" s="112">
        <v>9.33</v>
      </c>
      <c r="C66" s="112">
        <v>4.03</v>
      </c>
      <c r="D66" s="112">
        <v>14.04</v>
      </c>
      <c r="E66" s="112">
        <v>9.2100000000000009</v>
      </c>
      <c r="F66" s="112">
        <v>14.19</v>
      </c>
      <c r="G66" s="112">
        <v>33.299999999999997</v>
      </c>
      <c r="H66" s="112">
        <v>5.88</v>
      </c>
      <c r="I66" s="112">
        <v>4.45</v>
      </c>
      <c r="J66" s="112">
        <v>1.5</v>
      </c>
      <c r="K66" s="112">
        <v>50.9</v>
      </c>
      <c r="L66" s="112">
        <v>33.61</v>
      </c>
      <c r="M66" s="112">
        <v>64.16</v>
      </c>
      <c r="N66" s="112">
        <v>711.2</v>
      </c>
      <c r="O66" s="112">
        <v>0</v>
      </c>
      <c r="P66" s="112">
        <v>0.38</v>
      </c>
      <c r="Q66" s="112">
        <v>4.7</v>
      </c>
    </row>
    <row r="67" spans="1:17" customFormat="1">
      <c r="A67" s="80">
        <v>45493.614583333336</v>
      </c>
      <c r="B67" s="112">
        <v>9.33</v>
      </c>
      <c r="C67" s="112">
        <v>4.03</v>
      </c>
      <c r="D67" s="112">
        <v>14.04</v>
      </c>
      <c r="E67" s="112">
        <v>8.9</v>
      </c>
      <c r="F67" s="112">
        <v>14.84</v>
      </c>
      <c r="G67" s="112">
        <v>31.9</v>
      </c>
      <c r="H67" s="112">
        <v>8.26</v>
      </c>
      <c r="I67" s="112">
        <v>4.45</v>
      </c>
      <c r="J67" s="112">
        <v>1.54</v>
      </c>
      <c r="K67" s="112">
        <v>39.630000000000003</v>
      </c>
      <c r="L67" s="112">
        <v>34.07</v>
      </c>
      <c r="M67" s="112">
        <v>62.1</v>
      </c>
      <c r="N67" s="112">
        <v>731</v>
      </c>
      <c r="O67" s="112">
        <v>0</v>
      </c>
      <c r="P67" s="112">
        <v>0.38</v>
      </c>
      <c r="Q67" s="112">
        <v>4.7</v>
      </c>
    </row>
    <row r="68" spans="1:17" customFormat="1">
      <c r="A68" s="80">
        <v>45493.625</v>
      </c>
      <c r="B68" s="112">
        <v>9.33</v>
      </c>
      <c r="C68" s="112">
        <v>4.09</v>
      </c>
      <c r="D68" s="112">
        <v>14.07</v>
      </c>
      <c r="E68" s="112">
        <v>11.1</v>
      </c>
      <c r="F68" s="112">
        <v>13.43</v>
      </c>
      <c r="G68" s="112">
        <v>31.9</v>
      </c>
      <c r="H68" s="112">
        <v>8.26</v>
      </c>
      <c r="I68" s="112">
        <v>4.28</v>
      </c>
      <c r="J68" s="112">
        <v>1.49</v>
      </c>
      <c r="K68" s="112">
        <v>51.34</v>
      </c>
      <c r="L68" s="112">
        <v>33.94</v>
      </c>
      <c r="M68" s="112">
        <v>61.34</v>
      </c>
      <c r="N68" s="112">
        <v>440.7</v>
      </c>
      <c r="O68" s="112">
        <v>0</v>
      </c>
      <c r="P68" s="112">
        <v>0.37</v>
      </c>
      <c r="Q68" s="112">
        <v>4.7</v>
      </c>
    </row>
    <row r="69" spans="1:17" customFormat="1">
      <c r="A69" s="80">
        <v>45493.635416666664</v>
      </c>
      <c r="B69" s="112">
        <v>9.34</v>
      </c>
      <c r="C69" s="112">
        <v>4.07</v>
      </c>
      <c r="D69" s="112">
        <v>14.07</v>
      </c>
      <c r="E69" s="112">
        <v>18.03</v>
      </c>
      <c r="F69" s="112">
        <v>14.32</v>
      </c>
      <c r="G69" s="112">
        <v>31.9</v>
      </c>
      <c r="H69" s="112">
        <v>8.26</v>
      </c>
      <c r="I69" s="112">
        <v>4.42</v>
      </c>
      <c r="J69" s="112">
        <v>1.38</v>
      </c>
      <c r="K69" s="112">
        <v>43.17</v>
      </c>
      <c r="L69" s="112">
        <v>33.950000000000003</v>
      </c>
      <c r="M69" s="112">
        <v>62.45</v>
      </c>
      <c r="N69" s="112">
        <v>283.89999999999998</v>
      </c>
      <c r="O69" s="112">
        <v>0</v>
      </c>
      <c r="P69" s="112">
        <v>0.39</v>
      </c>
      <c r="Q69" s="112">
        <v>4.71</v>
      </c>
    </row>
    <row r="70" spans="1:17" customFormat="1">
      <c r="A70" s="80">
        <v>45493.645833333336</v>
      </c>
      <c r="B70" s="112">
        <v>9.33</v>
      </c>
      <c r="C70" s="112">
        <v>4.08</v>
      </c>
      <c r="D70" s="112">
        <v>14.06</v>
      </c>
      <c r="E70" s="112">
        <v>14.42</v>
      </c>
      <c r="F70" s="112">
        <v>17.37</v>
      </c>
      <c r="G70" s="112">
        <v>31.67</v>
      </c>
      <c r="H70" s="112">
        <v>8.34</v>
      </c>
      <c r="I70" s="112">
        <v>4.49</v>
      </c>
      <c r="J70" s="112">
        <v>1.19</v>
      </c>
      <c r="K70" s="112">
        <v>51.22</v>
      </c>
      <c r="L70" s="112">
        <v>33.46</v>
      </c>
      <c r="M70" s="112">
        <v>65.290000000000006</v>
      </c>
      <c r="N70" s="112">
        <v>124.7</v>
      </c>
      <c r="O70" s="112">
        <v>0</v>
      </c>
      <c r="P70" s="112">
        <v>0.38</v>
      </c>
      <c r="Q70" s="112">
        <v>4.72</v>
      </c>
    </row>
    <row r="71" spans="1:17" customFormat="1">
      <c r="A71" s="80">
        <v>45493.65625</v>
      </c>
      <c r="B71" s="112">
        <v>9.33</v>
      </c>
      <c r="C71" s="112">
        <v>4.07</v>
      </c>
      <c r="D71" s="112">
        <v>14.06</v>
      </c>
      <c r="E71" s="112">
        <v>11.68</v>
      </c>
      <c r="F71" s="112">
        <v>15.76</v>
      </c>
      <c r="G71" s="112">
        <v>27.78</v>
      </c>
      <c r="H71" s="112">
        <v>9.61</v>
      </c>
      <c r="I71" s="112">
        <v>4.46</v>
      </c>
      <c r="J71" s="112">
        <v>0.74</v>
      </c>
      <c r="K71" s="112">
        <v>55.05</v>
      </c>
      <c r="L71" s="112">
        <v>33.1</v>
      </c>
      <c r="M71" s="112">
        <v>65.790000000000006</v>
      </c>
      <c r="N71" s="112">
        <v>104.4</v>
      </c>
      <c r="O71" s="112">
        <v>0</v>
      </c>
      <c r="P71" s="112">
        <v>0.37</v>
      </c>
      <c r="Q71" s="112">
        <v>4.71</v>
      </c>
    </row>
    <row r="72" spans="1:17" customFormat="1">
      <c r="A72" s="80">
        <v>45493.666666666664</v>
      </c>
      <c r="B72" s="112">
        <v>9.33</v>
      </c>
      <c r="C72" s="112">
        <v>4.0599999999999996</v>
      </c>
      <c r="D72" s="112">
        <v>14.06</v>
      </c>
      <c r="E72" s="112">
        <v>10.1</v>
      </c>
      <c r="F72" s="112">
        <v>17.649999999999999</v>
      </c>
      <c r="G72" s="112">
        <v>27.78</v>
      </c>
      <c r="H72" s="112">
        <v>9.61</v>
      </c>
      <c r="I72" s="112">
        <v>4.24</v>
      </c>
      <c r="J72" s="112">
        <v>0.75</v>
      </c>
      <c r="K72" s="112">
        <v>55.64</v>
      </c>
      <c r="L72" s="112">
        <v>32.99</v>
      </c>
      <c r="M72" s="112">
        <v>66.08</v>
      </c>
      <c r="N72" s="112">
        <v>91</v>
      </c>
      <c r="O72" s="112">
        <v>0</v>
      </c>
      <c r="P72" s="112">
        <v>0.36</v>
      </c>
      <c r="Q72" s="112">
        <v>4.71</v>
      </c>
    </row>
    <row r="73" spans="1:17" customFormat="1">
      <c r="A73" s="80">
        <v>45493.677083333336</v>
      </c>
      <c r="B73" s="112">
        <v>9.33</v>
      </c>
      <c r="C73" s="112">
        <v>4.05</v>
      </c>
      <c r="D73" s="112">
        <v>14.04</v>
      </c>
      <c r="E73" s="112">
        <v>9.9</v>
      </c>
      <c r="F73" s="112">
        <v>18.059999999999999</v>
      </c>
      <c r="G73" s="112">
        <v>27.78</v>
      </c>
      <c r="H73" s="112">
        <v>9.61</v>
      </c>
      <c r="I73" s="112">
        <v>3.98</v>
      </c>
      <c r="J73" s="112">
        <v>0.59</v>
      </c>
      <c r="K73" s="112">
        <v>60.47</v>
      </c>
      <c r="L73" s="112">
        <v>32.619999999999997</v>
      </c>
      <c r="M73" s="112">
        <v>66.73</v>
      </c>
      <c r="N73" s="112">
        <v>44.5</v>
      </c>
      <c r="O73" s="112">
        <v>0</v>
      </c>
      <c r="P73" s="112">
        <v>0.36</v>
      </c>
      <c r="Q73" s="112">
        <v>4.71</v>
      </c>
    </row>
    <row r="74" spans="1:17" customFormat="1">
      <c r="A74" s="80">
        <v>45493.6875</v>
      </c>
      <c r="B74" s="112">
        <v>9.31</v>
      </c>
      <c r="C74" s="112">
        <v>4.07</v>
      </c>
      <c r="D74" s="112">
        <v>14.04</v>
      </c>
      <c r="E74" s="112">
        <v>9.51</v>
      </c>
      <c r="F74" s="112">
        <v>19.41</v>
      </c>
      <c r="G74" s="112">
        <v>28.15</v>
      </c>
      <c r="H74" s="112">
        <v>9.64</v>
      </c>
      <c r="I74" s="112">
        <v>4.0599999999999996</v>
      </c>
      <c r="J74" s="112">
        <v>0.5</v>
      </c>
      <c r="K74" s="112">
        <v>69.97</v>
      </c>
      <c r="L74" s="112">
        <v>32.450000000000003</v>
      </c>
      <c r="M74" s="112">
        <v>70.31</v>
      </c>
      <c r="N74" s="112">
        <v>61.4</v>
      </c>
      <c r="O74" s="112">
        <v>0</v>
      </c>
      <c r="P74" s="112">
        <v>0.36</v>
      </c>
      <c r="Q74" s="112">
        <v>4.7</v>
      </c>
    </row>
    <row r="75" spans="1:17" customFormat="1">
      <c r="A75" s="80">
        <v>45493.697916666664</v>
      </c>
      <c r="B75" s="112">
        <v>9.32</v>
      </c>
      <c r="C75" s="112">
        <v>4.09</v>
      </c>
      <c r="D75" s="112">
        <v>14.06</v>
      </c>
      <c r="E75" s="112">
        <v>8.9700000000000006</v>
      </c>
      <c r="F75" s="112">
        <v>16.739999999999998</v>
      </c>
      <c r="G75" s="112">
        <v>34.29</v>
      </c>
      <c r="H75" s="112">
        <v>10.130000000000001</v>
      </c>
      <c r="I75" s="112">
        <v>3.97</v>
      </c>
      <c r="J75" s="112">
        <v>0.45</v>
      </c>
      <c r="K75" s="112">
        <v>67.37</v>
      </c>
      <c r="L75" s="112">
        <v>32.24</v>
      </c>
      <c r="M75" s="112">
        <v>68.400000000000006</v>
      </c>
      <c r="N75" s="112">
        <v>19.8</v>
      </c>
      <c r="O75" s="112">
        <v>0</v>
      </c>
      <c r="P75" s="112">
        <v>0.35</v>
      </c>
      <c r="Q75" s="112">
        <v>4.72</v>
      </c>
    </row>
    <row r="76" spans="1:17" customFormat="1">
      <c r="A76" s="80">
        <v>45493.708333333336</v>
      </c>
      <c r="B76" s="112">
        <v>9.3000000000000007</v>
      </c>
      <c r="C76" s="112">
        <v>4.0999999999999996</v>
      </c>
      <c r="D76" s="112">
        <v>14.05</v>
      </c>
      <c r="E76" s="112">
        <v>8.93</v>
      </c>
      <c r="F76" s="112">
        <v>15.03</v>
      </c>
      <c r="G76" s="112">
        <v>34.29</v>
      </c>
      <c r="H76" s="112">
        <v>10.130000000000001</v>
      </c>
      <c r="I76" s="112">
        <v>3.89</v>
      </c>
      <c r="J76" s="112">
        <v>0.37</v>
      </c>
      <c r="K76" s="112">
        <v>78.61</v>
      </c>
      <c r="L76" s="112">
        <v>31.84</v>
      </c>
      <c r="M76" s="112">
        <v>70.23</v>
      </c>
      <c r="N76" s="112">
        <v>16.100000000000001</v>
      </c>
      <c r="O76" s="112">
        <v>0</v>
      </c>
      <c r="P76" s="112">
        <v>0.36</v>
      </c>
      <c r="Q76" s="112">
        <v>4.71</v>
      </c>
    </row>
    <row r="77" spans="1:17" customFormat="1">
      <c r="A77" s="80">
        <v>45493.71875</v>
      </c>
      <c r="B77" s="112">
        <v>9.2799999999999994</v>
      </c>
      <c r="C77" s="112">
        <v>4.07</v>
      </c>
      <c r="D77" s="112">
        <v>14.02</v>
      </c>
      <c r="E77" s="112">
        <v>8.6199999999999992</v>
      </c>
      <c r="F77" s="112">
        <v>12.56</v>
      </c>
      <c r="G77" s="112">
        <v>34.29</v>
      </c>
      <c r="H77" s="112">
        <v>10.130000000000001</v>
      </c>
      <c r="I77" s="112">
        <v>3.82</v>
      </c>
      <c r="J77" s="112">
        <v>0.19</v>
      </c>
      <c r="K77" s="112">
        <v>149.53</v>
      </c>
      <c r="L77" s="112">
        <v>30.32</v>
      </c>
      <c r="M77" s="112">
        <v>82.31</v>
      </c>
      <c r="N77" s="112">
        <v>13.7</v>
      </c>
      <c r="O77" s="112">
        <v>0.2</v>
      </c>
      <c r="P77" s="112">
        <v>0.36</v>
      </c>
      <c r="Q77" s="112">
        <v>4.71</v>
      </c>
    </row>
    <row r="78" spans="1:17" customFormat="1">
      <c r="A78" s="80">
        <v>45493.729166666664</v>
      </c>
      <c r="B78" s="112">
        <v>9.2899999999999991</v>
      </c>
      <c r="C78" s="112">
        <v>4.0599999999999996</v>
      </c>
      <c r="D78" s="112">
        <v>14.02</v>
      </c>
      <c r="E78" s="112">
        <v>8.3800000000000008</v>
      </c>
      <c r="F78" s="112">
        <v>9.34</v>
      </c>
      <c r="G78" s="112">
        <v>34.18</v>
      </c>
      <c r="H78" s="112">
        <v>10.1</v>
      </c>
      <c r="I78" s="112">
        <v>4.08</v>
      </c>
      <c r="J78" s="112">
        <v>0.09</v>
      </c>
      <c r="K78" s="112">
        <v>79.88</v>
      </c>
      <c r="L78" s="112">
        <v>29.54</v>
      </c>
      <c r="M78" s="112">
        <v>87.56</v>
      </c>
      <c r="N78" s="112">
        <v>9.8000000000000007</v>
      </c>
      <c r="O78" s="112">
        <v>0.2</v>
      </c>
      <c r="P78" s="112">
        <v>0.38</v>
      </c>
      <c r="Q78" s="112">
        <v>4.7300000000000004</v>
      </c>
    </row>
    <row r="79" spans="1:17" customFormat="1">
      <c r="A79" s="80">
        <v>45493.739583333336</v>
      </c>
      <c r="B79" s="112">
        <v>9.31</v>
      </c>
      <c r="C79" s="112">
        <v>4.09</v>
      </c>
      <c r="D79" s="112">
        <v>14.05</v>
      </c>
      <c r="E79" s="112">
        <v>8.58</v>
      </c>
      <c r="F79" s="112">
        <v>9.49</v>
      </c>
      <c r="G79" s="112">
        <v>32.33</v>
      </c>
      <c r="H79" s="112">
        <v>9.65</v>
      </c>
      <c r="I79" s="112">
        <v>4.29</v>
      </c>
      <c r="J79" s="112">
        <v>0.37</v>
      </c>
      <c r="K79" s="112">
        <v>193.53</v>
      </c>
      <c r="L79" s="112">
        <v>28.86</v>
      </c>
      <c r="M79" s="112">
        <v>92.47</v>
      </c>
      <c r="N79" s="112">
        <v>16.600000000000001</v>
      </c>
      <c r="O79" s="112">
        <v>0</v>
      </c>
      <c r="P79" s="112">
        <v>0.34</v>
      </c>
      <c r="Q79" s="112">
        <v>4.72</v>
      </c>
    </row>
    <row r="80" spans="1:17" customFormat="1">
      <c r="A80" s="80">
        <v>45493.75</v>
      </c>
      <c r="B80" s="112">
        <v>9.31</v>
      </c>
      <c r="C80" s="112">
        <v>4.08</v>
      </c>
      <c r="D80" s="112">
        <v>14.05</v>
      </c>
      <c r="E80" s="112">
        <v>9.27</v>
      </c>
      <c r="F80" s="112">
        <v>6.91</v>
      </c>
      <c r="G80" s="112">
        <v>32.33</v>
      </c>
      <c r="H80" s="112">
        <v>9.65</v>
      </c>
      <c r="I80" s="112">
        <v>4.62</v>
      </c>
      <c r="J80" s="112">
        <v>0.37</v>
      </c>
      <c r="K80" s="112">
        <v>123.77</v>
      </c>
      <c r="L80" s="112">
        <v>27.97</v>
      </c>
      <c r="M80" s="112">
        <v>96.98</v>
      </c>
      <c r="N80" s="112">
        <v>6.3</v>
      </c>
      <c r="O80" s="112">
        <v>7.6</v>
      </c>
      <c r="P80" s="112">
        <v>0.33</v>
      </c>
      <c r="Q80" s="112">
        <v>4.72</v>
      </c>
    </row>
    <row r="81" spans="1:17" customFormat="1">
      <c r="A81" s="80">
        <v>45493.760416666664</v>
      </c>
      <c r="B81" s="112">
        <v>9.2899999999999991</v>
      </c>
      <c r="C81" s="112">
        <v>4.07</v>
      </c>
      <c r="D81" s="112">
        <v>14.02</v>
      </c>
      <c r="E81" s="112">
        <v>8.6999999999999993</v>
      </c>
      <c r="F81" s="112">
        <v>7.45</v>
      </c>
      <c r="G81" s="112">
        <v>32.33</v>
      </c>
      <c r="H81" s="112">
        <v>9.65</v>
      </c>
      <c r="I81" s="112">
        <v>4.49</v>
      </c>
      <c r="J81" s="112">
        <v>0.12</v>
      </c>
      <c r="K81" s="112">
        <v>44.62</v>
      </c>
      <c r="L81" s="112">
        <v>26.39</v>
      </c>
      <c r="M81" s="112">
        <v>102.13</v>
      </c>
      <c r="N81" s="112">
        <v>5.2</v>
      </c>
      <c r="O81" s="112">
        <v>0.2</v>
      </c>
      <c r="P81" s="112">
        <v>0.33</v>
      </c>
      <c r="Q81" s="112">
        <v>4.72</v>
      </c>
    </row>
    <row r="82" spans="1:17" customFormat="1">
      <c r="A82" s="80">
        <v>45493.770833333336</v>
      </c>
      <c r="B82" s="112">
        <v>9.2799999999999994</v>
      </c>
      <c r="C82" s="112">
        <v>4.07</v>
      </c>
      <c r="D82" s="112">
        <v>14.02</v>
      </c>
      <c r="E82" s="112">
        <v>10.119999999999999</v>
      </c>
      <c r="F82" s="112">
        <v>9.0500000000000007</v>
      </c>
      <c r="G82" s="112">
        <v>31.81</v>
      </c>
      <c r="H82" s="112">
        <v>9.5</v>
      </c>
      <c r="I82" s="112">
        <v>4.42</v>
      </c>
      <c r="J82" s="112">
        <v>0.12</v>
      </c>
      <c r="K82" s="112">
        <v>293.86</v>
      </c>
      <c r="L82" s="112">
        <v>26.51</v>
      </c>
      <c r="M82" s="112">
        <v>102.66</v>
      </c>
      <c r="N82" s="112">
        <v>2.9</v>
      </c>
      <c r="O82" s="112">
        <v>0.2</v>
      </c>
      <c r="P82" s="112">
        <v>0.32</v>
      </c>
      <c r="Q82" s="112">
        <v>4.72</v>
      </c>
    </row>
    <row r="83" spans="1:17" customFormat="1">
      <c r="A83" s="80">
        <v>45493.78125</v>
      </c>
      <c r="B83" s="112">
        <v>9.3000000000000007</v>
      </c>
      <c r="C83" s="112">
        <v>4.08</v>
      </c>
      <c r="D83" s="112">
        <v>14.04</v>
      </c>
      <c r="E83" s="112">
        <v>10.11</v>
      </c>
      <c r="F83" s="112">
        <v>7.48</v>
      </c>
      <c r="G83" s="112">
        <v>23.1</v>
      </c>
      <c r="H83" s="112">
        <v>7.26</v>
      </c>
      <c r="I83" s="112">
        <v>4.3499999999999996</v>
      </c>
      <c r="J83" s="112">
        <v>0.11</v>
      </c>
      <c r="K83" s="112">
        <v>204.03</v>
      </c>
      <c r="L83" s="112">
        <v>26.5</v>
      </c>
      <c r="M83" s="112">
        <v>103.02</v>
      </c>
      <c r="N83" s="112">
        <v>2.5</v>
      </c>
      <c r="O83" s="112">
        <v>0</v>
      </c>
      <c r="P83" s="112">
        <v>0.32</v>
      </c>
      <c r="Q83" s="112">
        <v>4.71</v>
      </c>
    </row>
    <row r="84" spans="1:17" customFormat="1">
      <c r="A84" s="80">
        <v>45493.791666666664</v>
      </c>
      <c r="B84" s="112">
        <v>9.2799999999999994</v>
      </c>
      <c r="C84" s="112">
        <v>4.09</v>
      </c>
      <c r="D84" s="112">
        <v>14.03</v>
      </c>
      <c r="E84" s="112">
        <v>10.44</v>
      </c>
      <c r="F84" s="112">
        <v>6.97</v>
      </c>
      <c r="G84" s="112">
        <v>23.1</v>
      </c>
      <c r="H84" s="112">
        <v>7.26</v>
      </c>
      <c r="I84" s="112">
        <v>4.22</v>
      </c>
      <c r="J84" s="112">
        <v>0.04</v>
      </c>
      <c r="K84" s="112">
        <v>324.61</v>
      </c>
      <c r="L84" s="112">
        <v>26.49</v>
      </c>
      <c r="M84" s="112">
        <v>102.87</v>
      </c>
      <c r="N84" s="112">
        <v>2.2000000000000002</v>
      </c>
      <c r="O84" s="112">
        <v>0</v>
      </c>
      <c r="P84" s="112">
        <v>0.32</v>
      </c>
      <c r="Q84" s="112">
        <v>4.72</v>
      </c>
    </row>
    <row r="85" spans="1:17" customFormat="1">
      <c r="A85" s="80">
        <v>45493.802083333336</v>
      </c>
      <c r="B85" s="112">
        <v>9.27</v>
      </c>
      <c r="C85" s="112">
        <v>4.08</v>
      </c>
      <c r="D85" s="112">
        <v>14.02</v>
      </c>
      <c r="E85" s="112">
        <v>10.23</v>
      </c>
      <c r="F85" s="112">
        <v>8.1999999999999993</v>
      </c>
      <c r="G85" s="112">
        <v>23.1</v>
      </c>
      <c r="H85" s="112">
        <v>7.26</v>
      </c>
      <c r="I85" s="112">
        <v>4.17</v>
      </c>
      <c r="J85" s="112">
        <v>7.0000000000000007E-2</v>
      </c>
      <c r="K85" s="112">
        <v>175.19</v>
      </c>
      <c r="L85" s="112">
        <v>26.79</v>
      </c>
      <c r="M85" s="112">
        <v>102.88</v>
      </c>
      <c r="N85" s="112">
        <v>2</v>
      </c>
      <c r="O85" s="112">
        <v>0</v>
      </c>
      <c r="P85" s="112">
        <v>0.32</v>
      </c>
      <c r="Q85" s="112">
        <v>4.72</v>
      </c>
    </row>
    <row r="86" spans="1:17" customFormat="1">
      <c r="A86" s="80">
        <v>45493.8125</v>
      </c>
      <c r="B86" s="112">
        <v>9.26</v>
      </c>
      <c r="C86" s="112">
        <v>4.08</v>
      </c>
      <c r="D86" s="112">
        <v>14</v>
      </c>
      <c r="E86" s="112">
        <v>10.76</v>
      </c>
      <c r="F86" s="112">
        <v>7.43</v>
      </c>
      <c r="G86" s="112">
        <v>22.72</v>
      </c>
      <c r="H86" s="112">
        <v>7.13</v>
      </c>
      <c r="I86" s="112">
        <v>4.21</v>
      </c>
      <c r="J86" s="112">
        <v>0.13</v>
      </c>
      <c r="K86" s="112">
        <v>82.79</v>
      </c>
      <c r="L86" s="112">
        <v>26.89</v>
      </c>
      <c r="M86" s="112">
        <v>102.6</v>
      </c>
      <c r="N86" s="112">
        <v>2.2000000000000002</v>
      </c>
      <c r="O86" s="112">
        <v>0.4</v>
      </c>
      <c r="P86" s="112">
        <v>0.32</v>
      </c>
      <c r="Q86" s="112">
        <v>4.72</v>
      </c>
    </row>
    <row r="87" spans="1:17" customFormat="1">
      <c r="A87" s="80">
        <v>45493.822916666664</v>
      </c>
      <c r="B87" s="112">
        <v>9.26</v>
      </c>
      <c r="C87" s="112">
        <v>4.07</v>
      </c>
      <c r="D87" s="112">
        <v>14</v>
      </c>
      <c r="E87" s="112">
        <v>10.76</v>
      </c>
      <c r="F87" s="112">
        <v>7.31</v>
      </c>
      <c r="G87" s="112">
        <v>16.34</v>
      </c>
      <c r="H87" s="112">
        <v>5.22</v>
      </c>
      <c r="I87" s="112">
        <v>4.21</v>
      </c>
      <c r="J87" s="112">
        <v>0.18</v>
      </c>
      <c r="K87" s="112">
        <v>76.760000000000005</v>
      </c>
      <c r="L87" s="112">
        <v>26.77</v>
      </c>
      <c r="M87" s="112">
        <v>102.56</v>
      </c>
      <c r="N87" s="112">
        <v>2.8</v>
      </c>
      <c r="O87" s="112">
        <v>1.6</v>
      </c>
      <c r="P87" s="112">
        <v>0.32</v>
      </c>
      <c r="Q87" s="112">
        <v>4.74</v>
      </c>
    </row>
    <row r="88" spans="1:17" customFormat="1">
      <c r="A88" s="80">
        <v>45493.833333333336</v>
      </c>
      <c r="B88" s="112">
        <v>9.25</v>
      </c>
      <c r="C88" s="112">
        <v>4.08</v>
      </c>
      <c r="D88" s="112">
        <v>14</v>
      </c>
      <c r="E88" s="112">
        <v>10.85</v>
      </c>
      <c r="F88" s="112">
        <v>7.22</v>
      </c>
      <c r="G88" s="112">
        <v>16.34</v>
      </c>
      <c r="H88" s="112">
        <v>5.22</v>
      </c>
      <c r="I88" s="112">
        <v>4.18</v>
      </c>
      <c r="J88" s="112">
        <v>0.73</v>
      </c>
      <c r="K88" s="112">
        <v>275.27</v>
      </c>
      <c r="L88" s="112">
        <v>26.54</v>
      </c>
      <c r="M88" s="112">
        <v>102.56</v>
      </c>
      <c r="N88" s="112">
        <v>2.7</v>
      </c>
      <c r="O88" s="112">
        <v>0.6</v>
      </c>
      <c r="P88" s="112">
        <v>0.32</v>
      </c>
      <c r="Q88" s="112">
        <v>4.7300000000000004</v>
      </c>
    </row>
    <row r="89" spans="1:17" customFormat="1">
      <c r="A89" s="80">
        <v>45493.84375</v>
      </c>
      <c r="B89" s="112">
        <v>9.23</v>
      </c>
      <c r="C89" s="112">
        <v>4.1100000000000003</v>
      </c>
      <c r="D89" s="112">
        <v>14</v>
      </c>
      <c r="E89" s="112">
        <v>11.27</v>
      </c>
      <c r="F89" s="112">
        <v>5.16</v>
      </c>
      <c r="G89" s="112">
        <v>16.34</v>
      </c>
      <c r="H89" s="112">
        <v>5.22</v>
      </c>
      <c r="I89" s="112">
        <v>4.13</v>
      </c>
      <c r="J89" s="112">
        <v>0.52</v>
      </c>
      <c r="K89" s="112">
        <v>269.98</v>
      </c>
      <c r="L89" s="112">
        <v>26.52</v>
      </c>
      <c r="M89" s="112">
        <v>102.83</v>
      </c>
      <c r="N89" s="112">
        <v>2.6</v>
      </c>
      <c r="O89" s="112">
        <v>0</v>
      </c>
      <c r="P89" s="112">
        <v>0.32</v>
      </c>
      <c r="Q89" s="112">
        <v>4.76</v>
      </c>
    </row>
    <row r="90" spans="1:17" customFormat="1">
      <c r="A90" s="80">
        <v>45493.854166666664</v>
      </c>
      <c r="B90" s="112">
        <v>9.23</v>
      </c>
      <c r="C90" s="112">
        <v>4.1100000000000003</v>
      </c>
      <c r="D90" s="112">
        <v>14</v>
      </c>
      <c r="E90" s="112">
        <v>11.08</v>
      </c>
      <c r="F90" s="112">
        <v>4.97</v>
      </c>
      <c r="G90" s="112">
        <v>16.2</v>
      </c>
      <c r="H90" s="112">
        <v>5.29</v>
      </c>
      <c r="I90" s="112">
        <v>4.13</v>
      </c>
      <c r="J90" s="112">
        <v>0.5</v>
      </c>
      <c r="K90" s="112">
        <v>268.88</v>
      </c>
      <c r="L90" s="112">
        <v>26.48</v>
      </c>
      <c r="M90" s="112">
        <v>102.64</v>
      </c>
      <c r="N90" s="112">
        <v>2.6</v>
      </c>
      <c r="O90" s="112">
        <v>0</v>
      </c>
      <c r="P90" s="112">
        <v>0.31</v>
      </c>
      <c r="Q90" s="112">
        <v>4.8</v>
      </c>
    </row>
    <row r="91" spans="1:17" customFormat="1">
      <c r="A91" s="80">
        <v>45493.864583333336</v>
      </c>
      <c r="B91" s="112">
        <v>9.24</v>
      </c>
      <c r="C91" s="112">
        <v>4.0999999999999996</v>
      </c>
      <c r="D91" s="112">
        <v>14</v>
      </c>
      <c r="E91" s="112">
        <v>11.05</v>
      </c>
      <c r="F91" s="112">
        <v>5.71</v>
      </c>
      <c r="G91" s="112">
        <v>13.84</v>
      </c>
      <c r="H91" s="112">
        <v>6.39</v>
      </c>
      <c r="I91" s="112">
        <v>4.1500000000000004</v>
      </c>
      <c r="J91" s="112">
        <v>0.52</v>
      </c>
      <c r="K91" s="112">
        <v>269.77999999999997</v>
      </c>
      <c r="L91" s="112">
        <v>26.52</v>
      </c>
      <c r="M91" s="112">
        <v>102.65</v>
      </c>
      <c r="N91" s="112">
        <v>2.8</v>
      </c>
      <c r="O91" s="112">
        <v>0</v>
      </c>
      <c r="P91" s="112">
        <v>0.32</v>
      </c>
      <c r="Q91" s="112">
        <v>4.79</v>
      </c>
    </row>
    <row r="92" spans="1:17" customFormat="1">
      <c r="A92" s="80">
        <v>45493.875</v>
      </c>
      <c r="B92" s="112">
        <v>9.23</v>
      </c>
      <c r="C92" s="112">
        <v>4.0999999999999996</v>
      </c>
      <c r="D92" s="112">
        <v>14</v>
      </c>
      <c r="E92" s="112">
        <v>11.53</v>
      </c>
      <c r="F92" s="112">
        <v>4.84</v>
      </c>
      <c r="G92" s="112">
        <v>13.84</v>
      </c>
      <c r="H92" s="112">
        <v>6.39</v>
      </c>
      <c r="I92" s="112">
        <v>4.09</v>
      </c>
      <c r="J92" s="112">
        <v>0.59</v>
      </c>
      <c r="K92" s="112">
        <v>272.23</v>
      </c>
      <c r="L92" s="112">
        <v>26.47</v>
      </c>
      <c r="M92" s="112">
        <v>106.58</v>
      </c>
      <c r="N92" s="112">
        <v>3.3</v>
      </c>
      <c r="O92" s="112">
        <v>0</v>
      </c>
      <c r="P92" s="112">
        <v>0.31</v>
      </c>
      <c r="Q92" s="112">
        <v>4.79</v>
      </c>
    </row>
    <row r="93" spans="1:17" customFormat="1">
      <c r="A93" s="80">
        <v>45493.885416666664</v>
      </c>
      <c r="B93" s="112">
        <v>9.2200000000000006</v>
      </c>
      <c r="C93" s="112">
        <v>4.13</v>
      </c>
      <c r="D93" s="112">
        <v>14</v>
      </c>
      <c r="E93" s="112">
        <v>11.65</v>
      </c>
      <c r="F93" s="112">
        <v>4.3899999999999997</v>
      </c>
      <c r="G93" s="112">
        <v>13.84</v>
      </c>
      <c r="H93" s="112">
        <v>6.39</v>
      </c>
      <c r="I93" s="112">
        <v>4.0599999999999996</v>
      </c>
      <c r="J93" s="112">
        <v>0.3</v>
      </c>
      <c r="K93" s="112">
        <v>264.93</v>
      </c>
      <c r="L93" s="112">
        <v>26.4</v>
      </c>
      <c r="M93" s="112">
        <v>107.45</v>
      </c>
      <c r="N93" s="112">
        <v>2.8</v>
      </c>
      <c r="O93" s="112">
        <v>0</v>
      </c>
      <c r="P93" s="112">
        <v>0.31</v>
      </c>
      <c r="Q93" s="112">
        <v>4.79</v>
      </c>
    </row>
    <row r="94" spans="1:17" customFormat="1">
      <c r="A94" s="80">
        <v>45493.895833333336</v>
      </c>
      <c r="B94" s="112">
        <v>9.2200000000000006</v>
      </c>
      <c r="C94" s="112">
        <v>4.13</v>
      </c>
      <c r="D94" s="112">
        <v>14</v>
      </c>
      <c r="E94" s="112">
        <v>11.52</v>
      </c>
      <c r="F94" s="112">
        <v>5.1100000000000003</v>
      </c>
      <c r="G94" s="112">
        <v>13.82</v>
      </c>
      <c r="H94" s="112">
        <v>6.28</v>
      </c>
      <c r="I94" s="112">
        <v>3.99</v>
      </c>
      <c r="J94" s="112">
        <v>0.36</v>
      </c>
      <c r="K94" s="112">
        <v>267.19</v>
      </c>
      <c r="L94" s="112">
        <v>26.41</v>
      </c>
      <c r="M94" s="112">
        <v>107.95</v>
      </c>
      <c r="N94" s="112">
        <v>2.7</v>
      </c>
      <c r="O94" s="112">
        <v>0</v>
      </c>
      <c r="P94" s="112">
        <v>0.3</v>
      </c>
      <c r="Q94" s="112">
        <v>4.8099999999999996</v>
      </c>
    </row>
    <row r="95" spans="1:17" customFormat="1">
      <c r="A95" s="80">
        <v>45493.90625</v>
      </c>
      <c r="B95" s="112">
        <v>9.19</v>
      </c>
      <c r="C95" s="112">
        <v>4.17</v>
      </c>
      <c r="D95" s="112">
        <v>14</v>
      </c>
      <c r="E95" s="112">
        <v>11.54</v>
      </c>
      <c r="F95" s="112">
        <v>5.48</v>
      </c>
      <c r="G95" s="112">
        <v>13.45</v>
      </c>
      <c r="H95" s="112">
        <v>4.68</v>
      </c>
      <c r="I95" s="112">
        <v>4.01</v>
      </c>
      <c r="J95" s="112">
        <v>0.49</v>
      </c>
      <c r="K95" s="112">
        <v>272.17</v>
      </c>
      <c r="L95" s="112">
        <v>26.47</v>
      </c>
      <c r="M95" s="112">
        <v>107.35</v>
      </c>
      <c r="N95" s="112">
        <v>2.7</v>
      </c>
      <c r="O95" s="112">
        <v>0</v>
      </c>
      <c r="P95" s="112">
        <v>0.31</v>
      </c>
      <c r="Q95" s="112">
        <v>4.8</v>
      </c>
    </row>
    <row r="96" spans="1:17" customFormat="1">
      <c r="A96" s="80">
        <v>45493.916666666664</v>
      </c>
      <c r="B96" s="112">
        <v>9.19</v>
      </c>
      <c r="C96" s="112">
        <v>4.18</v>
      </c>
      <c r="D96" s="112">
        <v>14</v>
      </c>
      <c r="E96" s="112">
        <v>11.83</v>
      </c>
      <c r="F96" s="112">
        <v>4.8499999999999996</v>
      </c>
      <c r="G96" s="112">
        <v>13.45</v>
      </c>
      <c r="H96" s="112">
        <v>4.68</v>
      </c>
      <c r="I96" s="112">
        <v>3.98</v>
      </c>
      <c r="J96" s="112">
        <v>0.49</v>
      </c>
      <c r="K96" s="112">
        <v>276.52</v>
      </c>
      <c r="L96" s="112">
        <v>26.49</v>
      </c>
      <c r="M96" s="112">
        <v>106.03</v>
      </c>
      <c r="N96" s="112">
        <v>2.6</v>
      </c>
      <c r="O96" s="112">
        <v>0</v>
      </c>
      <c r="P96" s="112">
        <v>0.31</v>
      </c>
      <c r="Q96" s="112">
        <v>4.82</v>
      </c>
    </row>
    <row r="97" spans="1:22" customFormat="1">
      <c r="A97" s="80">
        <v>45493.927083333336</v>
      </c>
      <c r="B97" s="112">
        <v>9.18</v>
      </c>
      <c r="C97" s="112">
        <v>4.18</v>
      </c>
      <c r="D97" s="112">
        <v>14</v>
      </c>
      <c r="E97" s="112">
        <v>11.85</v>
      </c>
      <c r="F97" s="112">
        <v>4.63</v>
      </c>
      <c r="G97" s="112">
        <v>13.45</v>
      </c>
      <c r="H97" s="112">
        <v>4.68</v>
      </c>
      <c r="I97" s="112">
        <v>4.0199999999999996</v>
      </c>
      <c r="J97" s="112">
        <v>0.67</v>
      </c>
      <c r="K97" s="112">
        <v>311.93</v>
      </c>
      <c r="L97" s="112">
        <v>26.65</v>
      </c>
      <c r="M97" s="112">
        <v>106.7</v>
      </c>
      <c r="N97" s="112">
        <v>2.6</v>
      </c>
      <c r="O97" s="112">
        <v>0</v>
      </c>
      <c r="P97" s="112">
        <v>0.33</v>
      </c>
      <c r="Q97" s="112">
        <v>4.8099999999999996</v>
      </c>
    </row>
    <row r="98" spans="1:22" customFormat="1">
      <c r="A98" s="80">
        <v>45493.9375</v>
      </c>
      <c r="B98" s="112">
        <v>9.23</v>
      </c>
      <c r="C98" s="112">
        <v>4.12</v>
      </c>
      <c r="D98" s="112">
        <v>14</v>
      </c>
      <c r="E98" s="112">
        <v>11.47</v>
      </c>
      <c r="F98" s="112">
        <v>5.97</v>
      </c>
      <c r="G98" s="112">
        <v>13.85</v>
      </c>
      <c r="H98" s="112">
        <v>4.79</v>
      </c>
      <c r="I98" s="112">
        <v>3.96</v>
      </c>
      <c r="J98" s="112">
        <v>0.56999999999999995</v>
      </c>
      <c r="K98" s="112">
        <v>16.41</v>
      </c>
      <c r="L98" s="112">
        <v>26.78</v>
      </c>
      <c r="M98" s="112">
        <v>105.14</v>
      </c>
      <c r="N98" s="112">
        <v>2.8</v>
      </c>
      <c r="O98" s="112">
        <v>0.2</v>
      </c>
      <c r="P98" s="112">
        <v>0.35</v>
      </c>
      <c r="Q98" s="112">
        <v>4.83</v>
      </c>
    </row>
    <row r="99" spans="1:22" customFormat="1">
      <c r="A99" s="80">
        <v>45493.947916666664</v>
      </c>
      <c r="B99" s="112">
        <v>9.3000000000000007</v>
      </c>
      <c r="C99" s="112">
        <v>4.07</v>
      </c>
      <c r="D99" s="112">
        <v>14.04</v>
      </c>
      <c r="E99" s="112">
        <v>10.95</v>
      </c>
      <c r="F99" s="112">
        <v>6.28</v>
      </c>
      <c r="G99" s="112">
        <v>20.75</v>
      </c>
      <c r="H99" s="112">
        <v>6.49</v>
      </c>
      <c r="I99" s="112">
        <v>3.96</v>
      </c>
      <c r="J99" s="112">
        <v>0.46</v>
      </c>
      <c r="K99" s="112">
        <v>302.05</v>
      </c>
      <c r="L99" s="112">
        <v>26.53</v>
      </c>
      <c r="M99" s="112">
        <v>105.53</v>
      </c>
      <c r="N99" s="112">
        <v>2.5</v>
      </c>
      <c r="O99" s="112">
        <v>2</v>
      </c>
      <c r="P99" s="112">
        <v>0.38</v>
      </c>
      <c r="Q99" s="112">
        <v>4.8600000000000003</v>
      </c>
    </row>
    <row r="100" spans="1:22" customFormat="1">
      <c r="A100" s="80">
        <v>45493.958333333336</v>
      </c>
      <c r="B100" s="112">
        <v>9.26</v>
      </c>
      <c r="C100" s="112">
        <v>4.08</v>
      </c>
      <c r="D100" s="112">
        <v>14.01</v>
      </c>
      <c r="E100" s="112">
        <v>11.13</v>
      </c>
      <c r="F100" s="112">
        <v>5.89</v>
      </c>
      <c r="G100" s="112">
        <v>20.75</v>
      </c>
      <c r="H100" s="112">
        <v>6.49</v>
      </c>
      <c r="I100" s="112">
        <v>3.93</v>
      </c>
      <c r="J100" s="112">
        <v>0.66</v>
      </c>
      <c r="K100" s="112">
        <v>277.14</v>
      </c>
      <c r="L100" s="112">
        <v>26.37</v>
      </c>
      <c r="M100" s="112">
        <v>105.45</v>
      </c>
      <c r="N100" s="112">
        <v>2.7</v>
      </c>
      <c r="O100" s="112">
        <v>1.6</v>
      </c>
      <c r="P100" s="112">
        <v>0.37</v>
      </c>
      <c r="Q100" s="112">
        <v>4.8899999999999997</v>
      </c>
    </row>
    <row r="101" spans="1:22" customFormat="1">
      <c r="A101" s="80">
        <v>45493.96875</v>
      </c>
      <c r="B101" s="112">
        <v>9.24</v>
      </c>
      <c r="C101" s="112">
        <v>4.0999999999999996</v>
      </c>
      <c r="D101" s="112">
        <v>14</v>
      </c>
      <c r="E101" s="112">
        <v>11.01</v>
      </c>
      <c r="F101" s="112">
        <v>5.32</v>
      </c>
      <c r="G101" s="112">
        <v>20.75</v>
      </c>
      <c r="H101" s="112">
        <v>6.49</v>
      </c>
      <c r="I101" s="112">
        <v>4.3</v>
      </c>
      <c r="J101" s="112">
        <v>0.66</v>
      </c>
      <c r="K101" s="112">
        <v>274.69</v>
      </c>
      <c r="L101" s="112">
        <v>26.04</v>
      </c>
      <c r="M101" s="112">
        <v>105.54</v>
      </c>
      <c r="N101" s="112">
        <v>2.8</v>
      </c>
      <c r="O101" s="112">
        <v>3.4</v>
      </c>
      <c r="P101" s="112">
        <v>0.36</v>
      </c>
      <c r="Q101" s="112">
        <v>4.92</v>
      </c>
    </row>
    <row r="102" spans="1:22" customFormat="1">
      <c r="A102" s="80">
        <v>45493.979166666664</v>
      </c>
      <c r="B102" s="112">
        <v>9.24</v>
      </c>
      <c r="C102" s="112">
        <v>4.0999999999999996</v>
      </c>
      <c r="D102" s="112">
        <v>14</v>
      </c>
      <c r="E102" s="112">
        <v>10.66</v>
      </c>
      <c r="F102" s="112">
        <v>4.68</v>
      </c>
      <c r="G102" s="112">
        <v>20.72</v>
      </c>
      <c r="H102" s="112">
        <v>6.41</v>
      </c>
      <c r="I102" s="112">
        <v>4.46</v>
      </c>
      <c r="J102" s="112">
        <v>1.0900000000000001</v>
      </c>
      <c r="K102" s="112">
        <v>286.72000000000003</v>
      </c>
      <c r="L102" s="112">
        <v>25.85</v>
      </c>
      <c r="M102" s="112">
        <v>104.95</v>
      </c>
      <c r="N102" s="112">
        <v>2.7</v>
      </c>
      <c r="O102" s="112">
        <v>0.6</v>
      </c>
      <c r="P102" s="112">
        <v>0.36</v>
      </c>
      <c r="Q102" s="112">
        <v>4.92</v>
      </c>
    </row>
    <row r="103" spans="1:22" customFormat="1">
      <c r="A103" s="80">
        <v>45493.989583333336</v>
      </c>
      <c r="B103" s="112">
        <v>9.23</v>
      </c>
      <c r="C103" s="112">
        <v>4.1100000000000003</v>
      </c>
      <c r="D103" s="112">
        <v>14</v>
      </c>
      <c r="E103" s="112">
        <v>9.5</v>
      </c>
      <c r="F103" s="112">
        <v>5.31</v>
      </c>
      <c r="G103" s="112">
        <v>20.18</v>
      </c>
      <c r="H103" s="112">
        <v>5.24</v>
      </c>
      <c r="I103" s="112">
        <v>4.4400000000000004</v>
      </c>
      <c r="J103" s="112">
        <v>0.69</v>
      </c>
      <c r="K103" s="112">
        <v>298.45999999999998</v>
      </c>
      <c r="L103" s="112">
        <v>25.84</v>
      </c>
      <c r="M103" s="112">
        <v>105.01</v>
      </c>
      <c r="N103" s="112">
        <v>2.4</v>
      </c>
      <c r="O103" s="112">
        <v>0</v>
      </c>
      <c r="P103" s="112">
        <v>0.36</v>
      </c>
      <c r="Q103" s="112">
        <v>4.91</v>
      </c>
    </row>
    <row r="104" spans="1:22" customFormat="1">
      <c r="A104" s="80">
        <v>45494</v>
      </c>
      <c r="B104" s="112">
        <v>9.23</v>
      </c>
      <c r="C104" s="112">
        <v>4.1100000000000003</v>
      </c>
      <c r="D104" s="112">
        <v>14</v>
      </c>
      <c r="E104" s="112">
        <v>9.5</v>
      </c>
      <c r="F104" s="112">
        <v>6.21</v>
      </c>
      <c r="G104" s="112">
        <v>20.18</v>
      </c>
      <c r="H104" s="112">
        <v>5.24</v>
      </c>
      <c r="I104" s="112">
        <v>4.4000000000000004</v>
      </c>
      <c r="J104" s="112">
        <v>0.56000000000000005</v>
      </c>
      <c r="K104" s="112">
        <v>288.8</v>
      </c>
      <c r="L104" s="112">
        <v>25.87</v>
      </c>
      <c r="M104" s="112">
        <v>105.21</v>
      </c>
      <c r="N104" s="112">
        <v>2.4</v>
      </c>
      <c r="O104" s="112">
        <v>0</v>
      </c>
      <c r="P104" s="112">
        <v>0.34</v>
      </c>
      <c r="Q104" s="112">
        <v>4.8899999999999997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9.18</v>
      </c>
      <c r="C106" s="183">
        <f>MIN(C9:C104)</f>
        <v>4.03</v>
      </c>
      <c r="D106" s="183">
        <f t="shared" ref="D106:Q106" si="0">MIN(D9:D104)</f>
        <v>14</v>
      </c>
      <c r="E106" s="183">
        <f t="shared" si="0"/>
        <v>7.54</v>
      </c>
      <c r="F106" s="183">
        <f t="shared" si="0"/>
        <v>2.15</v>
      </c>
      <c r="G106" s="183">
        <f t="shared" si="0"/>
        <v>9.91</v>
      </c>
      <c r="H106" s="183">
        <f t="shared" si="0"/>
        <v>4.68</v>
      </c>
      <c r="I106" s="183">
        <f t="shared" si="0"/>
        <v>3.82</v>
      </c>
      <c r="J106" s="183">
        <f t="shared" si="0"/>
        <v>0.03</v>
      </c>
      <c r="K106" s="183">
        <f t="shared" si="0"/>
        <v>5.27</v>
      </c>
      <c r="L106" s="183">
        <f t="shared" si="0"/>
        <v>25.46</v>
      </c>
      <c r="M106" s="183">
        <f t="shared" si="0"/>
        <v>61.34</v>
      </c>
      <c r="N106" s="183">
        <f t="shared" si="0"/>
        <v>2</v>
      </c>
      <c r="O106" s="183">
        <f t="shared" si="0"/>
        <v>0</v>
      </c>
      <c r="P106" s="183">
        <f t="shared" si="0"/>
        <v>0.3</v>
      </c>
      <c r="Q106" s="183">
        <f t="shared" si="0"/>
        <v>4.6900000000000004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9.35</v>
      </c>
      <c r="C107" s="184">
        <f t="shared" ref="C107:Q107" si="1">MAX(C9:C104)</f>
        <v>4.18</v>
      </c>
      <c r="D107" s="184">
        <f t="shared" si="1"/>
        <v>14.07</v>
      </c>
      <c r="E107" s="184">
        <f t="shared" si="1"/>
        <v>18.03</v>
      </c>
      <c r="F107" s="184">
        <f t="shared" si="1"/>
        <v>19.41</v>
      </c>
      <c r="G107" s="184">
        <f t="shared" si="1"/>
        <v>56.58</v>
      </c>
      <c r="H107" s="184">
        <f t="shared" si="1"/>
        <v>15.76</v>
      </c>
      <c r="I107" s="184">
        <f t="shared" si="1"/>
        <v>7.03</v>
      </c>
      <c r="J107" s="184">
        <f t="shared" si="1"/>
        <v>1.87</v>
      </c>
      <c r="K107" s="184">
        <f t="shared" si="1"/>
        <v>324.61</v>
      </c>
      <c r="L107" s="184">
        <f t="shared" si="1"/>
        <v>34.07</v>
      </c>
      <c r="M107" s="184">
        <f t="shared" si="1"/>
        <v>107.95</v>
      </c>
      <c r="N107" s="184">
        <f t="shared" si="1"/>
        <v>731</v>
      </c>
      <c r="O107" s="184">
        <f t="shared" si="1"/>
        <v>9</v>
      </c>
      <c r="P107" s="184">
        <f t="shared" si="1"/>
        <v>0.68</v>
      </c>
      <c r="Q107" s="184">
        <f t="shared" si="1"/>
        <v>4.92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9.2814583333333349</v>
      </c>
      <c r="C108" s="183">
        <f t="shared" ref="C108:Q108" si="2">AVERAGE(C9:C104)</f>
        <v>4.0815625000000013</v>
      </c>
      <c r="D108" s="183">
        <f t="shared" si="2"/>
        <v>14.025208333333319</v>
      </c>
      <c r="E108" s="183">
        <f t="shared" si="2"/>
        <v>9.8439583333333349</v>
      </c>
      <c r="F108" s="183">
        <f t="shared" si="2"/>
        <v>7.2129166666666675</v>
      </c>
      <c r="G108" s="183">
        <f t="shared" si="2"/>
        <v>29.801458333333333</v>
      </c>
      <c r="H108" s="183">
        <f t="shared" si="2"/>
        <v>9.0689583333333328</v>
      </c>
      <c r="I108" s="183">
        <f t="shared" si="2"/>
        <v>5.0151041666666671</v>
      </c>
      <c r="J108" s="183">
        <f t="shared" si="2"/>
        <v>0.59145833333333342</v>
      </c>
      <c r="K108" s="183">
        <f t="shared" si="2"/>
        <v>127.65499999999997</v>
      </c>
      <c r="L108" s="183">
        <f t="shared" si="2"/>
        <v>28.629791666666652</v>
      </c>
      <c r="M108" s="183">
        <f t="shared" si="2"/>
        <v>89.572395833333346</v>
      </c>
      <c r="N108" s="183">
        <f t="shared" si="2"/>
        <v>112.3385416666667</v>
      </c>
      <c r="O108" s="183">
        <f t="shared" si="2"/>
        <v>0.35000000000000003</v>
      </c>
      <c r="P108" s="183">
        <f t="shared" si="2"/>
        <v>0.46354166666666674</v>
      </c>
      <c r="Q108" s="183">
        <f t="shared" si="2"/>
        <v>4.7366666666666672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4.0574276701187892E-2</v>
      </c>
      <c r="C109" s="183">
        <f t="shared" ref="C109:Q109" si="3">STDEV(C9:C104)</f>
        <v>2.9534212988364925E-2</v>
      </c>
      <c r="D109" s="183">
        <f t="shared" si="3"/>
        <v>2.3259595265821584E-2</v>
      </c>
      <c r="E109" s="183">
        <f t="shared" si="3"/>
        <v>1.6079116754785689</v>
      </c>
      <c r="F109" s="183">
        <f t="shared" si="3"/>
        <v>4.024216410594514</v>
      </c>
      <c r="G109" s="183">
        <f t="shared" si="3"/>
        <v>12.816904953525983</v>
      </c>
      <c r="H109" s="183">
        <f t="shared" si="3"/>
        <v>3.3237785977207932</v>
      </c>
      <c r="I109" s="183">
        <f t="shared" si="3"/>
        <v>0.85854220972365625</v>
      </c>
      <c r="J109" s="183">
        <f t="shared" si="3"/>
        <v>0.44155938783187049</v>
      </c>
      <c r="K109" s="183">
        <f t="shared" si="3"/>
        <v>101.04374284645763</v>
      </c>
      <c r="L109" s="183">
        <f t="shared" si="3"/>
        <v>3.0454023946952153</v>
      </c>
      <c r="M109" s="183">
        <f t="shared" si="3"/>
        <v>16.550280375732271</v>
      </c>
      <c r="N109" s="183">
        <f t="shared" si="3"/>
        <v>165.7229230847247</v>
      </c>
      <c r="O109" s="183">
        <f t="shared" si="3"/>
        <v>1.3771060426240165</v>
      </c>
      <c r="P109" s="183">
        <f t="shared" si="3"/>
        <v>0.11039621624586314</v>
      </c>
      <c r="Q109" s="183">
        <f t="shared" si="3"/>
        <v>5.0610310301083199E-2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45494.010416666664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45494.010416666664</v>
      </c>
      <c r="B9" s="112">
        <v>9.2200000000000006</v>
      </c>
      <c r="C9" s="112">
        <v>4.1399999999999997</v>
      </c>
      <c r="D9" s="112">
        <v>14</v>
      </c>
      <c r="E9" s="112">
        <v>10.01</v>
      </c>
      <c r="F9" s="112">
        <v>6.04</v>
      </c>
      <c r="G9" s="112">
        <v>20.18</v>
      </c>
      <c r="H9" s="112">
        <v>5.24</v>
      </c>
      <c r="I9" s="112">
        <v>4.2699999999999996</v>
      </c>
      <c r="J9" s="112">
        <v>0.67</v>
      </c>
      <c r="K9" s="112">
        <v>289.14</v>
      </c>
      <c r="L9" s="112">
        <v>25.88</v>
      </c>
      <c r="M9" s="112">
        <v>105.3</v>
      </c>
      <c r="N9" s="112">
        <v>2.5</v>
      </c>
      <c r="O9" s="112">
        <v>0</v>
      </c>
      <c r="P9" s="112">
        <v>0.34</v>
      </c>
      <c r="Q9" s="112">
        <v>4.88</v>
      </c>
    </row>
    <row r="10" spans="1:21" customFormat="1">
      <c r="A10" s="80">
        <v>45494.020833333336</v>
      </c>
      <c r="B10" s="112">
        <v>9.2200000000000006</v>
      </c>
      <c r="C10" s="112">
        <v>4.13</v>
      </c>
      <c r="D10" s="112">
        <v>14</v>
      </c>
      <c r="E10" s="112">
        <v>9.66</v>
      </c>
      <c r="F10" s="112">
        <v>7.55</v>
      </c>
      <c r="G10" s="112">
        <v>19.850000000000001</v>
      </c>
      <c r="H10" s="112">
        <v>5.17</v>
      </c>
      <c r="I10" s="112">
        <v>4.0599999999999996</v>
      </c>
      <c r="J10" s="112">
        <v>0.62</v>
      </c>
      <c r="K10" s="112">
        <v>299.16000000000003</v>
      </c>
      <c r="L10" s="112">
        <v>25.99</v>
      </c>
      <c r="M10" s="112">
        <v>105.39</v>
      </c>
      <c r="N10" s="112">
        <v>2.5</v>
      </c>
      <c r="O10" s="112">
        <v>0</v>
      </c>
      <c r="P10" s="112">
        <v>0.35</v>
      </c>
      <c r="Q10" s="112">
        <v>4.8499999999999996</v>
      </c>
    </row>
    <row r="11" spans="1:21" customFormat="1">
      <c r="A11" s="80">
        <v>45494.03125</v>
      </c>
      <c r="B11" s="112">
        <v>9.2100000000000009</v>
      </c>
      <c r="C11" s="112">
        <v>4.1500000000000004</v>
      </c>
      <c r="D11" s="112">
        <v>14</v>
      </c>
      <c r="E11" s="112">
        <v>9.01</v>
      </c>
      <c r="F11" s="112">
        <v>7.57</v>
      </c>
      <c r="G11" s="112">
        <v>14.15</v>
      </c>
      <c r="H11" s="112">
        <v>4.16</v>
      </c>
      <c r="I11" s="112">
        <v>4.26</v>
      </c>
      <c r="J11" s="112">
        <v>0.56999999999999995</v>
      </c>
      <c r="K11" s="112">
        <v>309.16000000000003</v>
      </c>
      <c r="L11" s="112">
        <v>26.03</v>
      </c>
      <c r="M11" s="112">
        <v>103.86</v>
      </c>
      <c r="N11" s="112">
        <v>2.5</v>
      </c>
      <c r="O11" s="112">
        <v>0</v>
      </c>
      <c r="P11" s="112">
        <v>0.34</v>
      </c>
      <c r="Q11" s="112">
        <v>4.8899999999999997</v>
      </c>
    </row>
    <row r="12" spans="1:21" customFormat="1">
      <c r="A12" s="80">
        <v>45494.041666666664</v>
      </c>
      <c r="B12" s="112">
        <v>9.2200000000000006</v>
      </c>
      <c r="C12" s="112">
        <v>4.12</v>
      </c>
      <c r="D12" s="112">
        <v>14</v>
      </c>
      <c r="E12" s="112">
        <v>8.84</v>
      </c>
      <c r="F12" s="112">
        <v>6.7</v>
      </c>
      <c r="G12" s="112">
        <v>14.15</v>
      </c>
      <c r="H12" s="112">
        <v>4.16</v>
      </c>
      <c r="I12" s="112">
        <v>4.25</v>
      </c>
      <c r="J12" s="112">
        <v>0.57999999999999996</v>
      </c>
      <c r="K12" s="112">
        <v>280.32</v>
      </c>
      <c r="L12" s="112">
        <v>26.06</v>
      </c>
      <c r="M12" s="112">
        <v>104.78</v>
      </c>
      <c r="N12" s="112">
        <v>2.5</v>
      </c>
      <c r="O12" s="112">
        <v>0</v>
      </c>
      <c r="P12" s="112">
        <v>0.34</v>
      </c>
      <c r="Q12" s="112">
        <v>4.92</v>
      </c>
    </row>
    <row r="13" spans="1:21" customFormat="1">
      <c r="A13" s="80">
        <v>45494.052083333336</v>
      </c>
      <c r="B13" s="112">
        <v>9.2200000000000006</v>
      </c>
      <c r="C13" s="112">
        <v>4.12</v>
      </c>
      <c r="D13" s="112">
        <v>14</v>
      </c>
      <c r="E13" s="112">
        <v>9.34</v>
      </c>
      <c r="F13" s="112">
        <v>7.64</v>
      </c>
      <c r="G13" s="112">
        <v>14.15</v>
      </c>
      <c r="H13" s="112">
        <v>4.16</v>
      </c>
      <c r="I13" s="112">
        <v>4.22</v>
      </c>
      <c r="J13" s="112">
        <v>0.53</v>
      </c>
      <c r="K13" s="112">
        <v>301.73</v>
      </c>
      <c r="L13" s="112">
        <v>26.08</v>
      </c>
      <c r="M13" s="112">
        <v>104.43</v>
      </c>
      <c r="N13" s="112">
        <v>2.2999999999999998</v>
      </c>
      <c r="O13" s="112">
        <v>0.2</v>
      </c>
      <c r="P13" s="112">
        <v>0.34</v>
      </c>
      <c r="Q13" s="112">
        <v>4.95</v>
      </c>
    </row>
    <row r="14" spans="1:21" customFormat="1">
      <c r="A14" s="80">
        <v>45494.0625</v>
      </c>
      <c r="B14" s="112">
        <v>9.24</v>
      </c>
      <c r="C14" s="112">
        <v>4.09</v>
      </c>
      <c r="D14" s="112">
        <v>14</v>
      </c>
      <c r="E14" s="112">
        <v>9.0399999999999991</v>
      </c>
      <c r="F14" s="112">
        <v>8.26</v>
      </c>
      <c r="G14" s="112">
        <v>13.92</v>
      </c>
      <c r="H14" s="112">
        <v>4.1100000000000003</v>
      </c>
      <c r="I14" s="112">
        <v>4.0599999999999996</v>
      </c>
      <c r="J14" s="112">
        <v>0.52</v>
      </c>
      <c r="K14" s="112">
        <v>305.60000000000002</v>
      </c>
      <c r="L14" s="112">
        <v>26.1</v>
      </c>
      <c r="M14" s="112">
        <v>103.13</v>
      </c>
      <c r="N14" s="112">
        <v>2.5</v>
      </c>
      <c r="O14" s="112">
        <v>0</v>
      </c>
      <c r="P14" s="112">
        <v>0.33</v>
      </c>
      <c r="Q14" s="112">
        <v>4.9400000000000004</v>
      </c>
    </row>
    <row r="15" spans="1:21" customFormat="1">
      <c r="A15" s="80">
        <v>45494.072916666664</v>
      </c>
      <c r="B15" s="112">
        <v>9.24</v>
      </c>
      <c r="C15" s="112">
        <v>4.0999999999999996</v>
      </c>
      <c r="D15" s="112">
        <v>14</v>
      </c>
      <c r="E15" s="112">
        <v>9.26</v>
      </c>
      <c r="F15" s="112">
        <v>6.43</v>
      </c>
      <c r="G15" s="112">
        <v>10</v>
      </c>
      <c r="H15" s="112">
        <v>3.3</v>
      </c>
      <c r="I15" s="112">
        <v>4.16</v>
      </c>
      <c r="J15" s="112">
        <v>0.38</v>
      </c>
      <c r="K15" s="112">
        <v>280.02</v>
      </c>
      <c r="L15" s="112">
        <v>26.07</v>
      </c>
      <c r="M15" s="112">
        <v>103.26</v>
      </c>
      <c r="N15" s="112">
        <v>2.2999999999999998</v>
      </c>
      <c r="O15" s="112">
        <v>0</v>
      </c>
      <c r="P15" s="112">
        <v>0.34</v>
      </c>
      <c r="Q15" s="112">
        <v>4.95</v>
      </c>
    </row>
    <row r="16" spans="1:21" customFormat="1">
      <c r="A16" s="80">
        <v>45494.083333333336</v>
      </c>
      <c r="B16" s="112">
        <v>9.26</v>
      </c>
      <c r="C16" s="112">
        <v>4.07</v>
      </c>
      <c r="D16" s="112">
        <v>14</v>
      </c>
      <c r="E16" s="112">
        <v>9.06</v>
      </c>
      <c r="F16" s="112">
        <v>8.18</v>
      </c>
      <c r="G16" s="112">
        <v>10</v>
      </c>
      <c r="H16" s="112">
        <v>3.3</v>
      </c>
      <c r="I16" s="112">
        <v>4.0999999999999996</v>
      </c>
      <c r="J16" s="112">
        <v>0.25</v>
      </c>
      <c r="K16" s="112">
        <v>36.64</v>
      </c>
      <c r="L16" s="112">
        <v>26.14</v>
      </c>
      <c r="M16" s="112">
        <v>103.18</v>
      </c>
      <c r="N16" s="112">
        <v>2.2999999999999998</v>
      </c>
      <c r="O16" s="112">
        <v>0.2</v>
      </c>
      <c r="P16" s="112">
        <v>0.33</v>
      </c>
      <c r="Q16" s="112">
        <v>4.97</v>
      </c>
    </row>
    <row r="17" spans="1:17" customFormat="1">
      <c r="A17" s="80">
        <v>45494.09375</v>
      </c>
      <c r="B17" s="112">
        <v>9.26</v>
      </c>
      <c r="C17" s="112">
        <v>4.0999999999999996</v>
      </c>
      <c r="D17" s="112">
        <v>14.02</v>
      </c>
      <c r="E17" s="112">
        <v>7.18</v>
      </c>
      <c r="F17" s="112">
        <v>8.15</v>
      </c>
      <c r="G17" s="112">
        <v>10</v>
      </c>
      <c r="H17" s="112">
        <v>3.3</v>
      </c>
      <c r="I17" s="112">
        <v>4</v>
      </c>
      <c r="J17" s="112">
        <v>0.17</v>
      </c>
      <c r="K17" s="112">
        <v>86.59</v>
      </c>
      <c r="L17" s="112">
        <v>26.21</v>
      </c>
      <c r="M17" s="112">
        <v>103.37</v>
      </c>
      <c r="N17" s="112">
        <v>2.1</v>
      </c>
      <c r="O17" s="112">
        <v>0.2</v>
      </c>
      <c r="P17" s="112">
        <v>0.34</v>
      </c>
      <c r="Q17" s="112">
        <v>5.01</v>
      </c>
    </row>
    <row r="18" spans="1:17" customFormat="1">
      <c r="A18" s="80">
        <v>45494.104166666664</v>
      </c>
      <c r="B18" s="112">
        <v>9.27</v>
      </c>
      <c r="C18" s="112">
        <v>4.08</v>
      </c>
      <c r="D18" s="112">
        <v>14.01</v>
      </c>
      <c r="E18" s="112">
        <v>8.83</v>
      </c>
      <c r="F18" s="112">
        <v>8.43</v>
      </c>
      <c r="G18" s="112">
        <v>10.130000000000001</v>
      </c>
      <c r="H18" s="112">
        <v>3.25</v>
      </c>
      <c r="I18" s="112">
        <v>4.0199999999999996</v>
      </c>
      <c r="J18" s="112">
        <v>0.39</v>
      </c>
      <c r="K18" s="112">
        <v>320.22000000000003</v>
      </c>
      <c r="L18" s="112">
        <v>26.21</v>
      </c>
      <c r="M18" s="112">
        <v>104.14</v>
      </c>
      <c r="N18" s="112">
        <v>2.4</v>
      </c>
      <c r="O18" s="112">
        <v>0.2</v>
      </c>
      <c r="P18" s="112">
        <v>0.33</v>
      </c>
      <c r="Q18" s="112">
        <v>5.04</v>
      </c>
    </row>
    <row r="19" spans="1:17" customFormat="1">
      <c r="A19" s="80">
        <v>45494.114583333336</v>
      </c>
      <c r="B19" s="112">
        <v>9.27</v>
      </c>
      <c r="C19" s="112">
        <v>4.07</v>
      </c>
      <c r="D19" s="112">
        <v>14.01</v>
      </c>
      <c r="E19" s="112">
        <v>8.7200000000000006</v>
      </c>
      <c r="F19" s="112">
        <v>7.56</v>
      </c>
      <c r="G19" s="112">
        <v>12.39</v>
      </c>
      <c r="H19" s="112">
        <v>2.46</v>
      </c>
      <c r="I19" s="112">
        <v>3.95</v>
      </c>
      <c r="J19" s="112">
        <v>0.27</v>
      </c>
      <c r="K19" s="112">
        <v>254.37</v>
      </c>
      <c r="L19" s="112">
        <v>26.19</v>
      </c>
      <c r="M19" s="112">
        <v>102.93</v>
      </c>
      <c r="N19" s="112">
        <v>2.2000000000000002</v>
      </c>
      <c r="O19" s="112">
        <v>0</v>
      </c>
      <c r="P19" s="112">
        <v>0.33</v>
      </c>
      <c r="Q19" s="112">
        <v>5</v>
      </c>
    </row>
    <row r="20" spans="1:17" customFormat="1">
      <c r="A20" s="80">
        <v>45494.125</v>
      </c>
      <c r="B20" s="112">
        <v>9.27</v>
      </c>
      <c r="C20" s="112">
        <v>4.08</v>
      </c>
      <c r="D20" s="112">
        <v>14.01</v>
      </c>
      <c r="E20" s="112">
        <v>8.75</v>
      </c>
      <c r="F20" s="112">
        <v>6.71</v>
      </c>
      <c r="G20" s="112">
        <v>12.39</v>
      </c>
      <c r="H20" s="112">
        <v>2.46</v>
      </c>
      <c r="I20" s="112">
        <v>4.04</v>
      </c>
      <c r="J20" s="112">
        <v>0.19</v>
      </c>
      <c r="K20" s="112">
        <v>271.08999999999997</v>
      </c>
      <c r="L20" s="112">
        <v>26.24</v>
      </c>
      <c r="M20" s="112">
        <v>101.53</v>
      </c>
      <c r="N20" s="112">
        <v>2.4</v>
      </c>
      <c r="O20" s="112">
        <v>0</v>
      </c>
      <c r="P20" s="112">
        <v>0.31</v>
      </c>
      <c r="Q20" s="112">
        <v>5.01</v>
      </c>
    </row>
    <row r="21" spans="1:17" customFormat="1">
      <c r="A21" s="80">
        <v>45494.135416666664</v>
      </c>
      <c r="B21" s="112">
        <v>9.2799999999999994</v>
      </c>
      <c r="C21" s="112">
        <v>4.08</v>
      </c>
      <c r="D21" s="112">
        <v>14.03</v>
      </c>
      <c r="E21" s="112">
        <v>8.61</v>
      </c>
      <c r="F21" s="112">
        <v>6.36</v>
      </c>
      <c r="G21" s="112">
        <v>12.39</v>
      </c>
      <c r="H21" s="112">
        <v>2.46</v>
      </c>
      <c r="I21" s="112">
        <v>3.92</v>
      </c>
      <c r="J21" s="112">
        <v>0.35</v>
      </c>
      <c r="K21" s="112">
        <v>298.02999999999997</v>
      </c>
      <c r="L21" s="112">
        <v>26.21</v>
      </c>
      <c r="M21" s="112">
        <v>100.94</v>
      </c>
      <c r="N21" s="112">
        <v>2.2999999999999998</v>
      </c>
      <c r="O21" s="112">
        <v>0</v>
      </c>
      <c r="P21" s="112">
        <v>0.31</v>
      </c>
      <c r="Q21" s="112">
        <v>5.0199999999999996</v>
      </c>
    </row>
    <row r="22" spans="1:17" customFormat="1">
      <c r="A22" s="80">
        <v>45494.145833333336</v>
      </c>
      <c r="B22" s="112">
        <v>9.2799999999999994</v>
      </c>
      <c r="C22" s="112">
        <v>4.09</v>
      </c>
      <c r="D22" s="112">
        <v>14.03</v>
      </c>
      <c r="E22" s="112">
        <v>8.56</v>
      </c>
      <c r="F22" s="112">
        <v>6.99</v>
      </c>
      <c r="G22" s="112">
        <v>12.27</v>
      </c>
      <c r="H22" s="112">
        <v>2.44</v>
      </c>
      <c r="I22" s="112">
        <v>4.09</v>
      </c>
      <c r="J22" s="112">
        <v>0.18</v>
      </c>
      <c r="K22" s="112">
        <v>314.08999999999997</v>
      </c>
      <c r="L22" s="112">
        <v>26.28</v>
      </c>
      <c r="M22" s="112">
        <v>100.46</v>
      </c>
      <c r="N22" s="112">
        <v>2.5</v>
      </c>
      <c r="O22" s="112">
        <v>0</v>
      </c>
      <c r="P22" s="112">
        <v>0.31</v>
      </c>
      <c r="Q22" s="112">
        <v>5.01</v>
      </c>
    </row>
    <row r="23" spans="1:17" customFormat="1">
      <c r="A23" s="80">
        <v>45494.15625</v>
      </c>
      <c r="B23" s="112">
        <v>9.25</v>
      </c>
      <c r="C23" s="112">
        <v>4.09</v>
      </c>
      <c r="D23" s="112">
        <v>14.01</v>
      </c>
      <c r="E23" s="112">
        <v>8.92</v>
      </c>
      <c r="F23" s="112">
        <v>5.08</v>
      </c>
      <c r="G23" s="112">
        <v>10.220000000000001</v>
      </c>
      <c r="H23" s="112">
        <v>2.04</v>
      </c>
      <c r="I23" s="112">
        <v>3.96</v>
      </c>
      <c r="J23" s="112">
        <v>0.04</v>
      </c>
      <c r="K23" s="112">
        <v>328.43</v>
      </c>
      <c r="L23" s="112">
        <v>26.38</v>
      </c>
      <c r="M23" s="112">
        <v>100.52</v>
      </c>
      <c r="N23" s="112">
        <v>2.2999999999999998</v>
      </c>
      <c r="O23" s="112">
        <v>0</v>
      </c>
      <c r="P23" s="112">
        <v>0.3</v>
      </c>
      <c r="Q23" s="112">
        <v>5</v>
      </c>
    </row>
    <row r="24" spans="1:17" customFormat="1">
      <c r="A24" s="80">
        <v>45494.166666666664</v>
      </c>
      <c r="B24" s="112">
        <v>9.25</v>
      </c>
      <c r="C24" s="112">
        <v>4.08</v>
      </c>
      <c r="D24" s="112">
        <v>14</v>
      </c>
      <c r="E24" s="112">
        <v>9.3699999999999992</v>
      </c>
      <c r="F24" s="112">
        <v>5.45</v>
      </c>
      <c r="G24" s="112">
        <v>10.220000000000001</v>
      </c>
      <c r="H24" s="112">
        <v>2.04</v>
      </c>
      <c r="I24" s="112">
        <v>4.05</v>
      </c>
      <c r="J24" s="112">
        <v>0.14000000000000001</v>
      </c>
      <c r="K24" s="112">
        <v>334.66</v>
      </c>
      <c r="L24" s="112">
        <v>26.33</v>
      </c>
      <c r="M24" s="112">
        <v>100.55</v>
      </c>
      <c r="N24" s="112">
        <v>2.5</v>
      </c>
      <c r="O24" s="112">
        <v>0</v>
      </c>
      <c r="P24" s="112">
        <v>0.31</v>
      </c>
      <c r="Q24" s="112">
        <v>5.01</v>
      </c>
    </row>
    <row r="25" spans="1:17" customFormat="1">
      <c r="A25" s="80">
        <v>45494.177083333336</v>
      </c>
      <c r="B25" s="112">
        <v>9.25</v>
      </c>
      <c r="C25" s="112">
        <v>4.08</v>
      </c>
      <c r="D25" s="112">
        <v>14</v>
      </c>
      <c r="E25" s="112">
        <v>9.3800000000000008</v>
      </c>
      <c r="F25" s="112">
        <v>4.41</v>
      </c>
      <c r="G25" s="112">
        <v>10.220000000000001</v>
      </c>
      <c r="H25" s="112">
        <v>2.04</v>
      </c>
      <c r="I25" s="112">
        <v>3.88</v>
      </c>
      <c r="J25" s="112">
        <v>0.22</v>
      </c>
      <c r="K25" s="112">
        <v>271.86</v>
      </c>
      <c r="L25" s="112">
        <v>26.23</v>
      </c>
      <c r="M25" s="112">
        <v>100.08</v>
      </c>
      <c r="N25" s="112">
        <v>2.5</v>
      </c>
      <c r="O25" s="112">
        <v>0</v>
      </c>
      <c r="P25" s="112">
        <v>0.31</v>
      </c>
      <c r="Q25" s="112">
        <v>5</v>
      </c>
    </row>
    <row r="26" spans="1:17" customFormat="1">
      <c r="A26" s="80">
        <v>45494.1875</v>
      </c>
      <c r="B26" s="112">
        <v>9.2799999999999994</v>
      </c>
      <c r="C26" s="112">
        <v>4.0599999999999996</v>
      </c>
      <c r="D26" s="112">
        <v>14.01</v>
      </c>
      <c r="E26" s="112">
        <v>9.9700000000000006</v>
      </c>
      <c r="F26" s="112">
        <v>4.3099999999999996</v>
      </c>
      <c r="G26" s="112">
        <v>10.69</v>
      </c>
      <c r="H26" s="112">
        <v>2.21</v>
      </c>
      <c r="I26" s="112">
        <v>3.84</v>
      </c>
      <c r="J26" s="112">
        <v>0.35</v>
      </c>
      <c r="K26" s="112">
        <v>295.31</v>
      </c>
      <c r="L26" s="112">
        <v>26.18</v>
      </c>
      <c r="M26" s="112">
        <v>99.8</v>
      </c>
      <c r="N26" s="112">
        <v>2.5</v>
      </c>
      <c r="O26" s="112">
        <v>0</v>
      </c>
      <c r="P26" s="112">
        <v>0.31</v>
      </c>
      <c r="Q26" s="112">
        <v>5</v>
      </c>
    </row>
    <row r="27" spans="1:17" customFormat="1">
      <c r="A27" s="80">
        <v>45494.197916666664</v>
      </c>
      <c r="B27" s="112">
        <v>9.26</v>
      </c>
      <c r="C27" s="112">
        <v>4.09</v>
      </c>
      <c r="D27" s="112">
        <v>14.02</v>
      </c>
      <c r="E27" s="112">
        <v>9.93</v>
      </c>
      <c r="F27" s="112">
        <v>4.58</v>
      </c>
      <c r="G27" s="112">
        <v>18.61</v>
      </c>
      <c r="H27" s="112">
        <v>4.93</v>
      </c>
      <c r="I27" s="112">
        <v>3.83</v>
      </c>
      <c r="J27" s="112">
        <v>0.23</v>
      </c>
      <c r="K27" s="112">
        <v>266.99</v>
      </c>
      <c r="L27" s="112">
        <v>26.25</v>
      </c>
      <c r="M27" s="112">
        <v>99.95</v>
      </c>
      <c r="N27" s="112">
        <v>2.6</v>
      </c>
      <c r="O27" s="112">
        <v>0</v>
      </c>
      <c r="P27" s="112">
        <v>0.31</v>
      </c>
      <c r="Q27" s="112">
        <v>5.04</v>
      </c>
    </row>
    <row r="28" spans="1:17" customFormat="1">
      <c r="A28" s="80">
        <v>45494.208333333336</v>
      </c>
      <c r="B28" s="112">
        <v>9.27</v>
      </c>
      <c r="C28" s="112">
        <v>4.0599999999999996</v>
      </c>
      <c r="D28" s="112">
        <v>14.01</v>
      </c>
      <c r="E28" s="112">
        <v>10.46</v>
      </c>
      <c r="F28" s="112">
        <v>4.17</v>
      </c>
      <c r="G28" s="112">
        <v>18.61</v>
      </c>
      <c r="H28" s="112">
        <v>4.93</v>
      </c>
      <c r="I28" s="112">
        <v>3.82</v>
      </c>
      <c r="J28" s="112">
        <v>0.37</v>
      </c>
      <c r="K28" s="112">
        <v>308.85000000000002</v>
      </c>
      <c r="L28" s="112">
        <v>26.21</v>
      </c>
      <c r="M28" s="112">
        <v>99.8</v>
      </c>
      <c r="N28" s="112">
        <v>2.6</v>
      </c>
      <c r="O28" s="112">
        <v>0</v>
      </c>
      <c r="P28" s="112">
        <v>0.31</v>
      </c>
      <c r="Q28" s="112">
        <v>5.0199999999999996</v>
      </c>
    </row>
    <row r="29" spans="1:17" customFormat="1">
      <c r="A29" s="80">
        <v>45494.21875</v>
      </c>
      <c r="B29" s="112">
        <v>9.25</v>
      </c>
      <c r="C29" s="112">
        <v>4.07</v>
      </c>
      <c r="D29" s="112">
        <v>14</v>
      </c>
      <c r="E29" s="112">
        <v>10.130000000000001</v>
      </c>
      <c r="F29" s="112">
        <v>3.4</v>
      </c>
      <c r="G29" s="112">
        <v>18.61</v>
      </c>
      <c r="H29" s="112">
        <v>4.93</v>
      </c>
      <c r="I29" s="112">
        <v>3.82</v>
      </c>
      <c r="J29" s="112">
        <v>0.18</v>
      </c>
      <c r="K29" s="112">
        <v>315.95</v>
      </c>
      <c r="L29" s="112">
        <v>26.21</v>
      </c>
      <c r="M29" s="112">
        <v>99.02</v>
      </c>
      <c r="N29" s="112">
        <v>2.9</v>
      </c>
      <c r="O29" s="112">
        <v>0</v>
      </c>
      <c r="P29" s="112">
        <v>0.3</v>
      </c>
      <c r="Q29" s="112">
        <v>4.96</v>
      </c>
    </row>
    <row r="30" spans="1:17" customFormat="1">
      <c r="A30" s="80">
        <v>45494.229166666664</v>
      </c>
      <c r="B30" s="112">
        <v>9.24</v>
      </c>
      <c r="C30" s="112">
        <v>4.0999999999999996</v>
      </c>
      <c r="D30" s="112">
        <v>14</v>
      </c>
      <c r="E30" s="112">
        <v>10.210000000000001</v>
      </c>
      <c r="F30" s="112">
        <v>3.76</v>
      </c>
      <c r="G30" s="112">
        <v>19.04</v>
      </c>
      <c r="H30" s="112">
        <v>5.09</v>
      </c>
      <c r="I30" s="112">
        <v>3.83</v>
      </c>
      <c r="J30" s="112">
        <v>0.13</v>
      </c>
      <c r="K30" s="112">
        <v>292.79000000000002</v>
      </c>
      <c r="L30" s="112">
        <v>26.2</v>
      </c>
      <c r="M30" s="112">
        <v>99.03</v>
      </c>
      <c r="N30" s="112">
        <v>5.5</v>
      </c>
      <c r="O30" s="112">
        <v>0</v>
      </c>
      <c r="P30" s="112">
        <v>0.31</v>
      </c>
      <c r="Q30" s="112">
        <v>4.97</v>
      </c>
    </row>
    <row r="31" spans="1:17" customFormat="1">
      <c r="A31" s="80">
        <v>45494.239583333336</v>
      </c>
      <c r="B31" s="112">
        <v>9.25</v>
      </c>
      <c r="C31" s="112">
        <v>4.08</v>
      </c>
      <c r="D31" s="112">
        <v>14</v>
      </c>
      <c r="E31" s="112">
        <v>10.82</v>
      </c>
      <c r="F31" s="112">
        <v>3.52</v>
      </c>
      <c r="G31" s="112">
        <v>26.21</v>
      </c>
      <c r="H31" s="112">
        <v>7.63</v>
      </c>
      <c r="I31" s="112">
        <v>3.85</v>
      </c>
      <c r="J31" s="112">
        <v>0.21</v>
      </c>
      <c r="K31" s="112">
        <v>257.24</v>
      </c>
      <c r="L31" s="112">
        <v>26.28</v>
      </c>
      <c r="M31" s="112">
        <v>100.1</v>
      </c>
      <c r="N31" s="112">
        <v>16.2</v>
      </c>
      <c r="O31" s="112">
        <v>0</v>
      </c>
      <c r="P31" s="112">
        <v>0.32</v>
      </c>
      <c r="Q31" s="112">
        <v>4.95</v>
      </c>
    </row>
    <row r="32" spans="1:17" customFormat="1">
      <c r="A32" s="80">
        <v>45494.25</v>
      </c>
      <c r="B32" s="112">
        <v>9.24</v>
      </c>
      <c r="C32" s="112">
        <v>4.09</v>
      </c>
      <c r="D32" s="112">
        <v>14</v>
      </c>
      <c r="E32" s="112">
        <v>10.48</v>
      </c>
      <c r="F32" s="112">
        <v>3.58</v>
      </c>
      <c r="G32" s="112">
        <v>26.21</v>
      </c>
      <c r="H32" s="112">
        <v>7.63</v>
      </c>
      <c r="I32" s="112">
        <v>3.81</v>
      </c>
      <c r="J32" s="112">
        <v>0.12</v>
      </c>
      <c r="K32" s="112">
        <v>230.28</v>
      </c>
      <c r="L32" s="112">
        <v>26.38</v>
      </c>
      <c r="M32" s="112">
        <v>100.65</v>
      </c>
      <c r="N32" s="112">
        <v>22.7</v>
      </c>
      <c r="O32" s="112">
        <v>0</v>
      </c>
      <c r="P32" s="112">
        <v>0.34</v>
      </c>
      <c r="Q32" s="112">
        <v>4.96</v>
      </c>
    </row>
    <row r="33" spans="1:17" customFormat="1">
      <c r="A33" s="80">
        <v>45494.260416666664</v>
      </c>
      <c r="B33" s="112">
        <v>9.24</v>
      </c>
      <c r="C33" s="112">
        <v>4.0999999999999996</v>
      </c>
      <c r="D33" s="112">
        <v>14</v>
      </c>
      <c r="E33" s="112">
        <v>11.24</v>
      </c>
      <c r="F33" s="112">
        <v>3.45</v>
      </c>
      <c r="G33" s="112">
        <v>26.21</v>
      </c>
      <c r="H33" s="112">
        <v>7.63</v>
      </c>
      <c r="I33" s="112">
        <v>3.87</v>
      </c>
      <c r="J33" s="112">
        <v>0.13</v>
      </c>
      <c r="K33" s="112">
        <v>203.17</v>
      </c>
      <c r="L33" s="112">
        <v>26.48</v>
      </c>
      <c r="M33" s="112">
        <v>102.46</v>
      </c>
      <c r="N33" s="112">
        <v>15.3</v>
      </c>
      <c r="O33" s="112">
        <v>0</v>
      </c>
      <c r="P33" s="112">
        <v>0.34</v>
      </c>
      <c r="Q33" s="112">
        <v>4.96</v>
      </c>
    </row>
    <row r="34" spans="1:17" customFormat="1">
      <c r="A34" s="80">
        <v>45494.270833333336</v>
      </c>
      <c r="B34" s="112">
        <v>9.25</v>
      </c>
      <c r="C34" s="112">
        <v>4.09</v>
      </c>
      <c r="D34" s="112">
        <v>14</v>
      </c>
      <c r="E34" s="112">
        <v>10.47</v>
      </c>
      <c r="F34" s="112">
        <v>3.93</v>
      </c>
      <c r="G34" s="112">
        <v>26.88</v>
      </c>
      <c r="H34" s="112">
        <v>7.58</v>
      </c>
      <c r="I34" s="112">
        <v>3.91</v>
      </c>
      <c r="J34" s="112">
        <v>0.11</v>
      </c>
      <c r="K34" s="112">
        <v>265.22000000000003</v>
      </c>
      <c r="L34" s="112">
        <v>26.46</v>
      </c>
      <c r="M34" s="112">
        <v>102.69</v>
      </c>
      <c r="N34" s="112">
        <v>28.7</v>
      </c>
      <c r="O34" s="112">
        <v>0</v>
      </c>
      <c r="P34" s="112">
        <v>0.36</v>
      </c>
      <c r="Q34" s="112">
        <v>4.9800000000000004</v>
      </c>
    </row>
    <row r="35" spans="1:17" customFormat="1">
      <c r="A35" s="80">
        <v>45494.28125</v>
      </c>
      <c r="B35" s="112">
        <v>9.24</v>
      </c>
      <c r="C35" s="112">
        <v>4.0999999999999996</v>
      </c>
      <c r="D35" s="112">
        <v>14</v>
      </c>
      <c r="E35" s="112">
        <v>11.2</v>
      </c>
      <c r="F35" s="112">
        <v>3.28</v>
      </c>
      <c r="G35" s="112">
        <v>38.15</v>
      </c>
      <c r="H35" s="112">
        <v>6.89</v>
      </c>
      <c r="I35" s="112">
        <v>3.97</v>
      </c>
      <c r="J35" s="112">
        <v>0.15</v>
      </c>
      <c r="K35" s="112">
        <v>348.12</v>
      </c>
      <c r="L35" s="112">
        <v>26.56</v>
      </c>
      <c r="M35" s="112">
        <v>103.33</v>
      </c>
      <c r="N35" s="112">
        <v>42.3</v>
      </c>
      <c r="O35" s="112">
        <v>0</v>
      </c>
      <c r="P35" s="112">
        <v>0.37</v>
      </c>
      <c r="Q35" s="112">
        <v>4.99</v>
      </c>
    </row>
    <row r="36" spans="1:17" customFormat="1">
      <c r="A36" s="80">
        <v>45494.291666666664</v>
      </c>
      <c r="B36" s="112">
        <v>9.24</v>
      </c>
      <c r="C36" s="112">
        <v>4.09</v>
      </c>
      <c r="D36" s="112">
        <v>14</v>
      </c>
      <c r="E36" s="112">
        <v>11.58</v>
      </c>
      <c r="F36" s="112">
        <v>2.78</v>
      </c>
      <c r="G36" s="112">
        <v>38.15</v>
      </c>
      <c r="H36" s="112">
        <v>6.89</v>
      </c>
      <c r="I36" s="112">
        <v>3.99</v>
      </c>
      <c r="J36" s="112">
        <v>0.78</v>
      </c>
      <c r="K36" s="112">
        <v>53.78</v>
      </c>
      <c r="L36" s="112">
        <v>26.71</v>
      </c>
      <c r="M36" s="112">
        <v>100.42</v>
      </c>
      <c r="N36" s="112">
        <v>45.8</v>
      </c>
      <c r="O36" s="112">
        <v>1.4</v>
      </c>
      <c r="P36" s="112">
        <v>0.38</v>
      </c>
      <c r="Q36" s="112">
        <v>4.9800000000000004</v>
      </c>
    </row>
    <row r="37" spans="1:17" customFormat="1">
      <c r="A37" s="80">
        <v>45494.302083333336</v>
      </c>
      <c r="B37" s="112">
        <v>9.24</v>
      </c>
      <c r="C37" s="112">
        <v>4.09</v>
      </c>
      <c r="D37" s="112">
        <v>14</v>
      </c>
      <c r="E37" s="112">
        <v>12.05</v>
      </c>
      <c r="F37" s="112">
        <v>3.63</v>
      </c>
      <c r="G37" s="112">
        <v>38.15</v>
      </c>
      <c r="H37" s="112">
        <v>6.89</v>
      </c>
      <c r="I37" s="112">
        <v>4.07</v>
      </c>
      <c r="J37" s="112">
        <v>0.24</v>
      </c>
      <c r="K37" s="112">
        <v>347.17</v>
      </c>
      <c r="L37" s="112">
        <v>26.49</v>
      </c>
      <c r="M37" s="112">
        <v>102.89</v>
      </c>
      <c r="N37" s="112">
        <v>73.400000000000006</v>
      </c>
      <c r="O37" s="112">
        <v>1.2</v>
      </c>
      <c r="P37" s="112">
        <v>0.41</v>
      </c>
      <c r="Q37" s="112">
        <v>4.97</v>
      </c>
    </row>
    <row r="38" spans="1:17" customFormat="1">
      <c r="A38" s="80">
        <v>45494.3125</v>
      </c>
      <c r="B38" s="112">
        <v>9.25</v>
      </c>
      <c r="C38" s="112">
        <v>4.08</v>
      </c>
      <c r="D38" s="112">
        <v>14</v>
      </c>
      <c r="E38" s="112">
        <v>11.93</v>
      </c>
      <c r="F38" s="112">
        <v>3.12</v>
      </c>
      <c r="G38" s="112">
        <v>38.700000000000003</v>
      </c>
      <c r="H38" s="112">
        <v>7.17</v>
      </c>
      <c r="I38" s="112">
        <v>4.25</v>
      </c>
      <c r="J38" s="112">
        <v>0.24</v>
      </c>
      <c r="K38" s="112">
        <v>330.61</v>
      </c>
      <c r="L38" s="112">
        <v>26.73</v>
      </c>
      <c r="M38" s="112">
        <v>104.17</v>
      </c>
      <c r="N38" s="112">
        <v>73.599999999999994</v>
      </c>
      <c r="O38" s="112">
        <v>0</v>
      </c>
      <c r="P38" s="112">
        <v>0.42</v>
      </c>
      <c r="Q38" s="112">
        <v>4.96</v>
      </c>
    </row>
    <row r="39" spans="1:17" customFormat="1">
      <c r="A39" s="80">
        <v>45494.322916666664</v>
      </c>
      <c r="B39" s="112">
        <v>9.23</v>
      </c>
      <c r="C39" s="112">
        <v>4.1100000000000003</v>
      </c>
      <c r="D39" s="112">
        <v>14</v>
      </c>
      <c r="E39" s="112">
        <v>11.86</v>
      </c>
      <c r="F39" s="112">
        <v>3.28</v>
      </c>
      <c r="G39" s="112">
        <v>48.06</v>
      </c>
      <c r="H39" s="112">
        <v>11.41</v>
      </c>
      <c r="I39" s="112">
        <v>4.38</v>
      </c>
      <c r="J39" s="112">
        <v>0.42</v>
      </c>
      <c r="K39" s="112">
        <v>302.51</v>
      </c>
      <c r="L39" s="112">
        <v>26.83</v>
      </c>
      <c r="M39" s="112">
        <v>105.04</v>
      </c>
      <c r="N39" s="112">
        <v>74.099999999999994</v>
      </c>
      <c r="O39" s="112">
        <v>0</v>
      </c>
      <c r="P39" s="112">
        <v>0.47</v>
      </c>
      <c r="Q39" s="112">
        <v>4.93</v>
      </c>
    </row>
    <row r="40" spans="1:17" customFormat="1">
      <c r="A40" s="80">
        <v>45494.333333333336</v>
      </c>
      <c r="B40" s="112">
        <v>9.3000000000000007</v>
      </c>
      <c r="C40" s="112">
        <v>4.09</v>
      </c>
      <c r="D40" s="112">
        <v>14.04</v>
      </c>
      <c r="E40" s="112">
        <v>12.82</v>
      </c>
      <c r="F40" s="112">
        <v>3.21</v>
      </c>
      <c r="G40" s="112">
        <v>48.06</v>
      </c>
      <c r="H40" s="112">
        <v>11.41</v>
      </c>
      <c r="I40" s="112">
        <v>4.4800000000000004</v>
      </c>
      <c r="J40" s="112">
        <v>0.35</v>
      </c>
      <c r="K40" s="112">
        <v>320.29000000000002</v>
      </c>
      <c r="L40" s="112">
        <v>27.01</v>
      </c>
      <c r="M40" s="112">
        <v>105</v>
      </c>
      <c r="N40" s="112">
        <v>71.3</v>
      </c>
      <c r="O40" s="112">
        <v>0</v>
      </c>
      <c r="P40" s="112">
        <v>0.53</v>
      </c>
      <c r="Q40" s="112">
        <v>4.8899999999999997</v>
      </c>
    </row>
    <row r="41" spans="1:17" customFormat="1">
      <c r="A41" s="80">
        <v>45494.34375</v>
      </c>
      <c r="B41" s="112">
        <v>9.34</v>
      </c>
      <c r="C41" s="112">
        <v>4.1100000000000003</v>
      </c>
      <c r="D41" s="112">
        <v>14.08</v>
      </c>
      <c r="E41" s="112">
        <v>12.7</v>
      </c>
      <c r="F41" s="112">
        <v>4.3899999999999997</v>
      </c>
      <c r="G41" s="112">
        <v>48.06</v>
      </c>
      <c r="H41" s="112">
        <v>11.41</v>
      </c>
      <c r="I41" s="112">
        <v>4.7</v>
      </c>
      <c r="J41" s="112">
        <v>0.35</v>
      </c>
      <c r="K41" s="112">
        <v>276.67</v>
      </c>
      <c r="L41" s="112">
        <v>27.29</v>
      </c>
      <c r="M41" s="112">
        <v>103.45</v>
      </c>
      <c r="N41" s="112">
        <v>123.6</v>
      </c>
      <c r="O41" s="112">
        <v>0</v>
      </c>
      <c r="P41" s="112">
        <v>0.51</v>
      </c>
      <c r="Q41" s="112">
        <v>4.91</v>
      </c>
    </row>
    <row r="42" spans="1:17" customFormat="1">
      <c r="A42" s="80">
        <v>45494.354166666664</v>
      </c>
      <c r="B42" s="112">
        <v>9.31</v>
      </c>
      <c r="C42" s="112">
        <v>4.1100000000000003</v>
      </c>
      <c r="D42" s="112">
        <v>14.06</v>
      </c>
      <c r="E42" s="112">
        <v>13.66</v>
      </c>
      <c r="F42" s="112">
        <v>6.54</v>
      </c>
      <c r="G42" s="112">
        <v>48.73</v>
      </c>
      <c r="H42" s="112">
        <v>11.94</v>
      </c>
      <c r="I42" s="112">
        <v>5.0599999999999996</v>
      </c>
      <c r="J42" s="112">
        <v>0.34</v>
      </c>
      <c r="K42" s="112">
        <v>303.10000000000002</v>
      </c>
      <c r="L42" s="112">
        <v>27.74</v>
      </c>
      <c r="M42" s="112">
        <v>102.14</v>
      </c>
      <c r="N42" s="112">
        <v>166.1</v>
      </c>
      <c r="O42" s="112">
        <v>0</v>
      </c>
      <c r="P42" s="112">
        <v>0.55000000000000004</v>
      </c>
      <c r="Q42" s="112">
        <v>4.8</v>
      </c>
    </row>
    <row r="43" spans="1:17" customFormat="1">
      <c r="A43" s="80">
        <v>45494.364583333336</v>
      </c>
      <c r="B43" s="112">
        <v>9.3000000000000007</v>
      </c>
      <c r="C43" s="112">
        <v>4.09</v>
      </c>
      <c r="D43" s="112">
        <v>14.05</v>
      </c>
      <c r="E43" s="112">
        <v>13.39</v>
      </c>
      <c r="F43" s="112">
        <v>6.48</v>
      </c>
      <c r="G43" s="112">
        <v>60.08</v>
      </c>
      <c r="H43" s="112">
        <v>20.09</v>
      </c>
      <c r="I43" s="112">
        <v>5.0999999999999996</v>
      </c>
      <c r="J43" s="112">
        <v>0.38</v>
      </c>
      <c r="K43" s="112">
        <v>295.85000000000002</v>
      </c>
      <c r="L43" s="112">
        <v>28.01</v>
      </c>
      <c r="M43" s="112">
        <v>98.64</v>
      </c>
      <c r="N43" s="112">
        <v>124.6</v>
      </c>
      <c r="O43" s="112">
        <v>0</v>
      </c>
      <c r="P43" s="112">
        <v>0.55000000000000004</v>
      </c>
      <c r="Q43" s="112">
        <v>4.74</v>
      </c>
    </row>
    <row r="44" spans="1:17" customFormat="1">
      <c r="A44" s="80">
        <v>45494.375</v>
      </c>
      <c r="B44" s="112">
        <v>9.31</v>
      </c>
      <c r="C44" s="112">
        <v>4.09</v>
      </c>
      <c r="D44" s="112">
        <v>14.05</v>
      </c>
      <c r="E44" s="112">
        <v>13.51</v>
      </c>
      <c r="F44" s="112">
        <v>7.07</v>
      </c>
      <c r="G44" s="112">
        <v>60.08</v>
      </c>
      <c r="H44" s="112">
        <v>20.09</v>
      </c>
      <c r="I44" s="112">
        <v>5.26</v>
      </c>
      <c r="J44" s="112">
        <v>0.21</v>
      </c>
      <c r="K44" s="112">
        <v>0.95</v>
      </c>
      <c r="L44" s="112">
        <v>28.06</v>
      </c>
      <c r="M44" s="112">
        <v>97.88</v>
      </c>
      <c r="N44" s="112">
        <v>116.9</v>
      </c>
      <c r="O44" s="112">
        <v>0</v>
      </c>
      <c r="P44" s="112">
        <v>0.55000000000000004</v>
      </c>
      <c r="Q44" s="112">
        <v>4.7300000000000004</v>
      </c>
    </row>
    <row r="45" spans="1:17" customFormat="1">
      <c r="A45" s="80">
        <v>45494.385416666664</v>
      </c>
      <c r="B45" s="112">
        <v>9.32</v>
      </c>
      <c r="C45" s="112">
        <v>4.0599999999999996</v>
      </c>
      <c r="D45" s="112">
        <v>14.04</v>
      </c>
      <c r="E45" s="112">
        <v>15.18</v>
      </c>
      <c r="F45" s="112">
        <v>6.79</v>
      </c>
      <c r="G45" s="112">
        <v>60.08</v>
      </c>
      <c r="H45" s="112">
        <v>20.09</v>
      </c>
      <c r="I45" s="112">
        <v>5.33</v>
      </c>
      <c r="J45" s="112">
        <v>0.37</v>
      </c>
      <c r="K45" s="112">
        <v>320.3</v>
      </c>
      <c r="L45" s="112">
        <v>28.68</v>
      </c>
      <c r="M45" s="112">
        <v>94.83</v>
      </c>
      <c r="N45" s="112">
        <v>176.6</v>
      </c>
      <c r="O45" s="112">
        <v>0</v>
      </c>
      <c r="P45" s="112">
        <v>0.56000000000000005</v>
      </c>
      <c r="Q45" s="112">
        <v>4.72</v>
      </c>
    </row>
    <row r="46" spans="1:17" customFormat="1">
      <c r="A46" s="80">
        <v>45494.395833333336</v>
      </c>
      <c r="B46" s="112">
        <v>9.2799999999999994</v>
      </c>
      <c r="C46" s="112">
        <v>4.08</v>
      </c>
      <c r="D46" s="112">
        <v>14.02</v>
      </c>
      <c r="E46" s="112">
        <v>15.37</v>
      </c>
      <c r="F46" s="112">
        <v>6.65</v>
      </c>
      <c r="G46" s="112">
        <v>60.97</v>
      </c>
      <c r="H46" s="112">
        <v>20.39</v>
      </c>
      <c r="I46" s="112">
        <v>5.52</v>
      </c>
      <c r="J46" s="112">
        <v>0.15</v>
      </c>
      <c r="K46" s="112">
        <v>307.66000000000003</v>
      </c>
      <c r="L46" s="112">
        <v>28.7</v>
      </c>
      <c r="M46" s="112">
        <v>93.34</v>
      </c>
      <c r="N46" s="112">
        <v>87.2</v>
      </c>
      <c r="O46" s="112">
        <v>0</v>
      </c>
      <c r="P46" s="112">
        <v>0.56999999999999995</v>
      </c>
      <c r="Q46" s="112">
        <v>4.72</v>
      </c>
    </row>
    <row r="47" spans="1:17" customFormat="1">
      <c r="A47" s="80">
        <v>45494.40625</v>
      </c>
      <c r="B47" s="112">
        <v>9.26</v>
      </c>
      <c r="C47" s="112">
        <v>4.07</v>
      </c>
      <c r="D47" s="112">
        <v>14.01</v>
      </c>
      <c r="E47" s="112">
        <v>16.04</v>
      </c>
      <c r="F47" s="112">
        <v>6.63</v>
      </c>
      <c r="G47" s="112">
        <v>76.010000000000005</v>
      </c>
      <c r="H47" s="112">
        <v>25</v>
      </c>
      <c r="I47" s="112">
        <v>5.55</v>
      </c>
      <c r="J47" s="112">
        <v>0.14000000000000001</v>
      </c>
      <c r="K47" s="112">
        <v>336.13</v>
      </c>
      <c r="L47" s="112">
        <v>28.71</v>
      </c>
      <c r="M47" s="112">
        <v>93.02</v>
      </c>
      <c r="N47" s="112">
        <v>114.2</v>
      </c>
      <c r="O47" s="112">
        <v>0</v>
      </c>
      <c r="P47" s="112">
        <v>0.56000000000000005</v>
      </c>
      <c r="Q47" s="112">
        <v>4.74</v>
      </c>
    </row>
    <row r="48" spans="1:17" customFormat="1">
      <c r="A48" s="80">
        <v>45494.416666666664</v>
      </c>
      <c r="B48" s="112">
        <v>9.27</v>
      </c>
      <c r="C48" s="112">
        <v>4.07</v>
      </c>
      <c r="D48" s="112">
        <v>14.01</v>
      </c>
      <c r="E48" s="112">
        <v>16.37</v>
      </c>
      <c r="F48" s="112">
        <v>7.9</v>
      </c>
      <c r="G48" s="112">
        <v>76.010000000000005</v>
      </c>
      <c r="H48" s="112">
        <v>25</v>
      </c>
      <c r="I48" s="112">
        <v>5.51</v>
      </c>
      <c r="J48" s="112">
        <v>0.06</v>
      </c>
      <c r="K48" s="112">
        <v>40.98</v>
      </c>
      <c r="L48" s="112">
        <v>28.88</v>
      </c>
      <c r="M48" s="112">
        <v>93.59</v>
      </c>
      <c r="N48" s="112">
        <v>75.599999999999994</v>
      </c>
      <c r="O48" s="112">
        <v>0.2</v>
      </c>
      <c r="P48" s="112">
        <v>0.56000000000000005</v>
      </c>
      <c r="Q48" s="112">
        <v>4.74</v>
      </c>
    </row>
    <row r="49" spans="1:17" customFormat="1">
      <c r="A49" s="80">
        <v>45494.427083333336</v>
      </c>
      <c r="B49" s="112">
        <v>9.26</v>
      </c>
      <c r="C49" s="112">
        <v>4.08</v>
      </c>
      <c r="D49" s="112">
        <v>14.01</v>
      </c>
      <c r="E49" s="112">
        <v>9.89</v>
      </c>
      <c r="F49" s="112">
        <v>7.92</v>
      </c>
      <c r="G49" s="112">
        <v>76.010000000000005</v>
      </c>
      <c r="H49" s="112">
        <v>25</v>
      </c>
      <c r="I49" s="112">
        <v>5.47</v>
      </c>
      <c r="J49" s="112">
        <v>0.17</v>
      </c>
      <c r="K49" s="112">
        <v>196.61</v>
      </c>
      <c r="L49" s="112">
        <v>28.59</v>
      </c>
      <c r="M49" s="112">
        <v>96.27</v>
      </c>
      <c r="N49" s="112">
        <v>135.80000000000001</v>
      </c>
      <c r="O49" s="112">
        <v>0</v>
      </c>
      <c r="P49" s="112">
        <v>0.54</v>
      </c>
      <c r="Q49" s="112">
        <v>4.74</v>
      </c>
    </row>
    <row r="50" spans="1:17" customFormat="1">
      <c r="A50" s="80">
        <v>45494.4375</v>
      </c>
      <c r="B50" s="112">
        <v>9.2799999999999994</v>
      </c>
      <c r="C50" s="112">
        <v>4.07</v>
      </c>
      <c r="D50" s="112">
        <v>14.02</v>
      </c>
      <c r="E50" s="112">
        <v>14.21</v>
      </c>
      <c r="F50" s="112">
        <v>11.68</v>
      </c>
      <c r="G50" s="112">
        <v>75.72</v>
      </c>
      <c r="H50" s="112">
        <v>24.96</v>
      </c>
      <c r="I50" s="112">
        <v>5.46</v>
      </c>
      <c r="J50" s="112">
        <v>0.22</v>
      </c>
      <c r="K50" s="112">
        <v>270.32</v>
      </c>
      <c r="L50" s="112">
        <v>29.46</v>
      </c>
      <c r="M50" s="112">
        <v>90.83</v>
      </c>
      <c r="N50" s="112">
        <v>264.60000000000002</v>
      </c>
      <c r="O50" s="112">
        <v>0</v>
      </c>
      <c r="P50" s="112">
        <v>0.52</v>
      </c>
      <c r="Q50" s="112">
        <v>4.74</v>
      </c>
    </row>
    <row r="51" spans="1:17" customFormat="1">
      <c r="A51" s="80">
        <v>45494.447916666664</v>
      </c>
      <c r="B51" s="112">
        <v>9.2799999999999994</v>
      </c>
      <c r="C51" s="112">
        <v>4.0599999999999996</v>
      </c>
      <c r="D51" s="112">
        <v>14.01</v>
      </c>
      <c r="E51" s="112">
        <v>14.64</v>
      </c>
      <c r="F51" s="112">
        <v>9.69</v>
      </c>
      <c r="G51" s="112">
        <v>70.7</v>
      </c>
      <c r="H51" s="112">
        <v>24.45</v>
      </c>
      <c r="I51" s="112">
        <v>5.3</v>
      </c>
      <c r="J51" s="112">
        <v>0.57999999999999996</v>
      </c>
      <c r="K51" s="112">
        <v>58.09</v>
      </c>
      <c r="L51" s="112">
        <v>30.66</v>
      </c>
      <c r="M51" s="112">
        <v>83.46</v>
      </c>
      <c r="N51" s="112">
        <v>310.8</v>
      </c>
      <c r="O51" s="112">
        <v>0</v>
      </c>
      <c r="P51" s="112">
        <v>0.51</v>
      </c>
      <c r="Q51" s="112">
        <v>4.74</v>
      </c>
    </row>
    <row r="52" spans="1:17" customFormat="1">
      <c r="A52" s="80">
        <v>45494.458333333336</v>
      </c>
      <c r="B52" s="112">
        <v>9.2899999999999991</v>
      </c>
      <c r="C52" s="112">
        <v>4.0599999999999996</v>
      </c>
      <c r="D52" s="112">
        <v>14.02</v>
      </c>
      <c r="E52" s="112">
        <v>13.45</v>
      </c>
      <c r="F52" s="112">
        <v>10.66</v>
      </c>
      <c r="G52" s="112">
        <v>70.7</v>
      </c>
      <c r="H52" s="112">
        <v>24.45</v>
      </c>
      <c r="I52" s="112">
        <v>4.99</v>
      </c>
      <c r="J52" s="112">
        <v>0.5</v>
      </c>
      <c r="K52" s="112">
        <v>46.79</v>
      </c>
      <c r="L52" s="112">
        <v>30.8</v>
      </c>
      <c r="M52" s="112">
        <v>82.52</v>
      </c>
      <c r="N52" s="112">
        <v>281.5</v>
      </c>
      <c r="O52" s="112">
        <v>0</v>
      </c>
      <c r="P52" s="112">
        <v>0.51</v>
      </c>
      <c r="Q52" s="112">
        <v>4.7300000000000004</v>
      </c>
    </row>
    <row r="53" spans="1:17" customFormat="1">
      <c r="A53" s="80">
        <v>45494.46875</v>
      </c>
      <c r="B53" s="112">
        <v>9.2899999999999991</v>
      </c>
      <c r="C53" s="112">
        <v>4.05</v>
      </c>
      <c r="D53" s="112">
        <v>14.02</v>
      </c>
      <c r="E53" s="112">
        <v>13.85</v>
      </c>
      <c r="F53" s="112">
        <v>9.51</v>
      </c>
      <c r="G53" s="112">
        <v>70.7</v>
      </c>
      <c r="H53" s="112">
        <v>24.45</v>
      </c>
      <c r="I53" s="112">
        <v>5.03</v>
      </c>
      <c r="J53" s="112">
        <v>0.59</v>
      </c>
      <c r="K53" s="112">
        <v>323.43</v>
      </c>
      <c r="L53" s="112">
        <v>30.74</v>
      </c>
      <c r="M53" s="112">
        <v>82.78</v>
      </c>
      <c r="N53" s="112">
        <v>208.3</v>
      </c>
      <c r="O53" s="112">
        <v>0</v>
      </c>
      <c r="P53" s="112">
        <v>0.53</v>
      </c>
      <c r="Q53" s="112">
        <v>4.71</v>
      </c>
    </row>
    <row r="54" spans="1:17" customFormat="1">
      <c r="A54" s="80">
        <v>45494.479166666664</v>
      </c>
      <c r="B54" s="112">
        <v>9.2899999999999991</v>
      </c>
      <c r="C54" s="112">
        <v>4.0599999999999996</v>
      </c>
      <c r="D54" s="112">
        <v>14.02</v>
      </c>
      <c r="E54" s="112">
        <v>12.97</v>
      </c>
      <c r="F54" s="112">
        <v>11.08</v>
      </c>
      <c r="G54" s="112">
        <v>70.39</v>
      </c>
      <c r="H54" s="112">
        <v>24.13</v>
      </c>
      <c r="I54" s="112">
        <v>5.05</v>
      </c>
      <c r="J54" s="112">
        <v>0.22</v>
      </c>
      <c r="K54" s="112">
        <v>291.19</v>
      </c>
      <c r="L54" s="112">
        <v>29.83</v>
      </c>
      <c r="M54" s="112">
        <v>87.34</v>
      </c>
      <c r="N54" s="112">
        <v>64.099999999999994</v>
      </c>
      <c r="O54" s="112">
        <v>0</v>
      </c>
      <c r="P54" s="112">
        <v>0.53</v>
      </c>
      <c r="Q54" s="112">
        <v>4.7300000000000004</v>
      </c>
    </row>
    <row r="55" spans="1:17" customFormat="1">
      <c r="A55" s="80">
        <v>45494.489583333336</v>
      </c>
      <c r="B55" s="112">
        <v>9.27</v>
      </c>
      <c r="C55" s="112">
        <v>4.0999999999999996</v>
      </c>
      <c r="D55" s="112">
        <v>14.03</v>
      </c>
      <c r="E55" s="112">
        <v>12.13</v>
      </c>
      <c r="F55" s="112">
        <v>10.65</v>
      </c>
      <c r="G55" s="112">
        <v>65.13</v>
      </c>
      <c r="H55" s="112">
        <v>19.239999999999998</v>
      </c>
      <c r="I55" s="112">
        <v>5.19</v>
      </c>
      <c r="J55" s="112">
        <v>0.14000000000000001</v>
      </c>
      <c r="K55" s="112">
        <v>161.11000000000001</v>
      </c>
      <c r="L55" s="112">
        <v>29.73</v>
      </c>
      <c r="M55" s="112">
        <v>89.57</v>
      </c>
      <c r="N55" s="112">
        <v>124</v>
      </c>
      <c r="O55" s="112">
        <v>0</v>
      </c>
      <c r="P55" s="112">
        <v>0.54</v>
      </c>
      <c r="Q55" s="112">
        <v>4.7300000000000004</v>
      </c>
    </row>
    <row r="56" spans="1:17" customFormat="1">
      <c r="A56" s="80">
        <v>45494.5</v>
      </c>
      <c r="B56" s="112">
        <v>9.2799999999999994</v>
      </c>
      <c r="C56" s="112">
        <v>4.0999999999999996</v>
      </c>
      <c r="D56" s="112">
        <v>14.03</v>
      </c>
      <c r="E56" s="112">
        <v>12.17</v>
      </c>
      <c r="F56" s="112">
        <v>11.7</v>
      </c>
      <c r="G56" s="112">
        <v>65.13</v>
      </c>
      <c r="H56" s="112">
        <v>19.239999999999998</v>
      </c>
      <c r="I56" s="112">
        <v>5.07</v>
      </c>
      <c r="J56" s="112">
        <v>0.08</v>
      </c>
      <c r="K56" s="112">
        <v>233.75</v>
      </c>
      <c r="L56" s="112">
        <v>30.75</v>
      </c>
      <c r="M56" s="112">
        <v>85.36</v>
      </c>
      <c r="N56" s="112">
        <v>441.3</v>
      </c>
      <c r="O56" s="112">
        <v>0</v>
      </c>
      <c r="P56" s="112">
        <v>0.5</v>
      </c>
      <c r="Q56" s="112">
        <v>4.7300000000000004</v>
      </c>
    </row>
    <row r="57" spans="1:17" customFormat="1">
      <c r="A57" s="80">
        <v>45494.510416666664</v>
      </c>
      <c r="B57" s="112">
        <v>9.3000000000000007</v>
      </c>
      <c r="C57" s="112">
        <v>4.0999999999999996</v>
      </c>
      <c r="D57" s="112">
        <v>14.04</v>
      </c>
      <c r="E57" s="112">
        <v>12.21</v>
      </c>
      <c r="F57" s="112">
        <v>11.47</v>
      </c>
      <c r="G57" s="112">
        <v>65.13</v>
      </c>
      <c r="H57" s="112">
        <v>19.239999999999998</v>
      </c>
      <c r="I57" s="112">
        <v>4.97</v>
      </c>
      <c r="J57" s="112">
        <v>0.08</v>
      </c>
      <c r="K57" s="112">
        <v>332.97</v>
      </c>
      <c r="L57" s="112">
        <v>31.01</v>
      </c>
      <c r="M57" s="112">
        <v>81.97</v>
      </c>
      <c r="N57" s="112">
        <v>215.9</v>
      </c>
      <c r="O57" s="112">
        <v>0</v>
      </c>
      <c r="P57" s="112">
        <v>0.5</v>
      </c>
      <c r="Q57" s="112">
        <v>4.75</v>
      </c>
    </row>
    <row r="58" spans="1:17" customFormat="1">
      <c r="A58" s="80">
        <v>45494.520833333336</v>
      </c>
      <c r="B58" s="112">
        <v>9.34</v>
      </c>
      <c r="C58" s="112">
        <v>4.07</v>
      </c>
      <c r="D58" s="112">
        <v>14.07</v>
      </c>
      <c r="E58" s="112">
        <v>11.47</v>
      </c>
      <c r="F58" s="112">
        <v>7.96</v>
      </c>
      <c r="G58" s="112">
        <v>64.34</v>
      </c>
      <c r="H58" s="112">
        <v>18.97</v>
      </c>
      <c r="I58" s="112">
        <v>4.96</v>
      </c>
      <c r="J58" s="112">
        <v>1.68</v>
      </c>
      <c r="K58" s="112">
        <v>46.14</v>
      </c>
      <c r="L58" s="112">
        <v>29.84</v>
      </c>
      <c r="M58" s="112">
        <v>81.27</v>
      </c>
      <c r="N58" s="112">
        <v>107.7</v>
      </c>
      <c r="O58" s="112">
        <v>0</v>
      </c>
      <c r="P58" s="112">
        <v>0.48</v>
      </c>
      <c r="Q58" s="112">
        <v>4.7699999999999996</v>
      </c>
    </row>
    <row r="59" spans="1:17" customFormat="1">
      <c r="A59" s="80">
        <v>45494.53125</v>
      </c>
      <c r="B59" s="112">
        <v>9.34</v>
      </c>
      <c r="C59" s="112">
        <v>4.08</v>
      </c>
      <c r="D59" s="112">
        <v>14.07</v>
      </c>
      <c r="E59" s="112">
        <v>11.25</v>
      </c>
      <c r="F59" s="112">
        <v>6.82</v>
      </c>
      <c r="G59" s="112">
        <v>50.95</v>
      </c>
      <c r="H59" s="112">
        <v>14.76</v>
      </c>
      <c r="I59" s="112">
        <v>5.0599999999999996</v>
      </c>
      <c r="J59" s="112">
        <v>1.3</v>
      </c>
      <c r="K59" s="112">
        <v>50.05</v>
      </c>
      <c r="L59" s="112">
        <v>28.79</v>
      </c>
      <c r="M59" s="112">
        <v>84.81</v>
      </c>
      <c r="N59" s="112">
        <v>141.19999999999999</v>
      </c>
      <c r="O59" s="112">
        <v>0</v>
      </c>
      <c r="P59" s="112">
        <v>0.46</v>
      </c>
      <c r="Q59" s="112">
        <v>4.76</v>
      </c>
    </row>
    <row r="60" spans="1:17" customFormat="1">
      <c r="A60" s="80">
        <v>45494.541666666664</v>
      </c>
      <c r="B60" s="112">
        <v>9.34</v>
      </c>
      <c r="C60" s="112">
        <v>4.08</v>
      </c>
      <c r="D60" s="112">
        <v>14.07</v>
      </c>
      <c r="E60" s="112">
        <v>10.26</v>
      </c>
      <c r="F60" s="112">
        <v>7.3</v>
      </c>
      <c r="G60" s="112">
        <v>50.95</v>
      </c>
      <c r="H60" s="112">
        <v>14.76</v>
      </c>
      <c r="I60" s="112">
        <v>5.15</v>
      </c>
      <c r="J60" s="112">
        <v>1.24</v>
      </c>
      <c r="K60" s="112">
        <v>51.09</v>
      </c>
      <c r="L60" s="112">
        <v>28.79</v>
      </c>
      <c r="M60" s="112">
        <v>85.44</v>
      </c>
      <c r="N60" s="112">
        <v>196.2</v>
      </c>
      <c r="O60" s="112">
        <v>0</v>
      </c>
      <c r="P60" s="112">
        <v>0.45</v>
      </c>
      <c r="Q60" s="112">
        <v>4.75</v>
      </c>
    </row>
    <row r="61" spans="1:17" customFormat="1">
      <c r="A61" s="80">
        <v>45494.552083333336</v>
      </c>
      <c r="B61" s="112">
        <v>9.33</v>
      </c>
      <c r="C61" s="112">
        <v>4.0999999999999996</v>
      </c>
      <c r="D61" s="112">
        <v>14.07</v>
      </c>
      <c r="E61" s="112">
        <v>10.8</v>
      </c>
      <c r="F61" s="112">
        <v>6.46</v>
      </c>
      <c r="G61" s="112">
        <v>50.95</v>
      </c>
      <c r="H61" s="112">
        <v>14.76</v>
      </c>
      <c r="I61" s="112">
        <v>5.04</v>
      </c>
      <c r="J61" s="112">
        <v>1.01</v>
      </c>
      <c r="K61" s="112">
        <v>52.21</v>
      </c>
      <c r="L61" s="112">
        <v>29.53</v>
      </c>
      <c r="M61" s="112">
        <v>80.180000000000007</v>
      </c>
      <c r="N61" s="112">
        <v>286.8</v>
      </c>
      <c r="O61" s="112">
        <v>0</v>
      </c>
      <c r="P61" s="112">
        <v>0.45</v>
      </c>
      <c r="Q61" s="112">
        <v>4.76</v>
      </c>
    </row>
    <row r="62" spans="1:17" customFormat="1">
      <c r="A62" s="80">
        <v>45494.5625</v>
      </c>
      <c r="B62" s="112">
        <v>9.33</v>
      </c>
      <c r="C62" s="112">
        <v>4.08</v>
      </c>
      <c r="D62" s="112">
        <v>14.06</v>
      </c>
      <c r="E62" s="112">
        <v>12.58</v>
      </c>
      <c r="F62" s="112">
        <v>8.75</v>
      </c>
      <c r="G62" s="112">
        <v>50.47</v>
      </c>
      <c r="H62" s="112">
        <v>14.7</v>
      </c>
      <c r="I62" s="112">
        <v>5</v>
      </c>
      <c r="J62" s="112">
        <v>0.96</v>
      </c>
      <c r="K62" s="112">
        <v>48.58</v>
      </c>
      <c r="L62" s="112">
        <v>30.1</v>
      </c>
      <c r="M62" s="112">
        <v>77.349999999999994</v>
      </c>
      <c r="N62" s="112">
        <v>261.8</v>
      </c>
      <c r="O62" s="112">
        <v>0</v>
      </c>
      <c r="P62" s="112">
        <v>0.43</v>
      </c>
      <c r="Q62" s="112">
        <v>4.8099999999999996</v>
      </c>
    </row>
    <row r="63" spans="1:17" customFormat="1">
      <c r="A63" s="80">
        <v>45494.572916666664</v>
      </c>
      <c r="B63" s="112">
        <v>9.32</v>
      </c>
      <c r="C63" s="112">
        <v>4.0599999999999996</v>
      </c>
      <c r="D63" s="112">
        <v>14.04</v>
      </c>
      <c r="E63" s="112">
        <v>12.06</v>
      </c>
      <c r="F63" s="112">
        <v>7.54</v>
      </c>
      <c r="G63" s="112">
        <v>42.35</v>
      </c>
      <c r="H63" s="112">
        <v>13.74</v>
      </c>
      <c r="I63" s="112">
        <v>4.8600000000000003</v>
      </c>
      <c r="J63" s="112">
        <v>0.65</v>
      </c>
      <c r="K63" s="112">
        <v>43.93</v>
      </c>
      <c r="L63" s="112">
        <v>30.54</v>
      </c>
      <c r="M63" s="112">
        <v>75.34</v>
      </c>
      <c r="N63" s="112">
        <v>229.5</v>
      </c>
      <c r="O63" s="112">
        <v>0</v>
      </c>
      <c r="P63" s="112">
        <v>0.42</v>
      </c>
      <c r="Q63" s="112">
        <v>4.8499999999999996</v>
      </c>
    </row>
    <row r="64" spans="1:17" customFormat="1">
      <c r="A64" s="80">
        <v>45494.583333333336</v>
      </c>
      <c r="B64" s="112">
        <v>9.27</v>
      </c>
      <c r="C64" s="112">
        <v>4.08</v>
      </c>
      <c r="D64" s="112">
        <v>14.01</v>
      </c>
      <c r="E64" s="112">
        <v>11.76</v>
      </c>
      <c r="F64" s="112">
        <v>7.59</v>
      </c>
      <c r="G64" s="112">
        <v>42.35</v>
      </c>
      <c r="H64" s="112">
        <v>13.74</v>
      </c>
      <c r="I64" s="112">
        <v>4.6900000000000004</v>
      </c>
      <c r="J64" s="112">
        <v>0.37</v>
      </c>
      <c r="K64" s="112">
        <v>41.77</v>
      </c>
      <c r="L64" s="112">
        <v>31.12</v>
      </c>
      <c r="M64" s="112">
        <v>73.64</v>
      </c>
      <c r="N64" s="112">
        <v>279.8</v>
      </c>
      <c r="O64" s="112">
        <v>0</v>
      </c>
      <c r="P64" s="112">
        <v>0.42</v>
      </c>
      <c r="Q64" s="112">
        <v>4.84</v>
      </c>
    </row>
    <row r="65" spans="1:17" customFormat="1">
      <c r="A65" s="80">
        <v>45494.59375</v>
      </c>
      <c r="B65" s="112">
        <v>9.24</v>
      </c>
      <c r="C65" s="112">
        <v>4.09</v>
      </c>
      <c r="D65" s="112">
        <v>14</v>
      </c>
      <c r="E65" s="112">
        <v>12.93</v>
      </c>
      <c r="F65" s="112">
        <v>8.1300000000000008</v>
      </c>
      <c r="G65" s="112">
        <v>42.35</v>
      </c>
      <c r="H65" s="112">
        <v>13.74</v>
      </c>
      <c r="I65" s="112">
        <v>4.66</v>
      </c>
      <c r="J65" s="112">
        <v>0.67</v>
      </c>
      <c r="K65" s="112">
        <v>41.95</v>
      </c>
      <c r="L65" s="112">
        <v>31.49</v>
      </c>
      <c r="M65" s="112">
        <v>71.94</v>
      </c>
      <c r="N65" s="112">
        <v>371.5</v>
      </c>
      <c r="O65" s="112">
        <v>0</v>
      </c>
      <c r="P65" s="112">
        <v>0.45</v>
      </c>
      <c r="Q65" s="112">
        <v>4.8499999999999996</v>
      </c>
    </row>
    <row r="66" spans="1:17" customFormat="1">
      <c r="A66" s="80">
        <v>45494.604166666664</v>
      </c>
      <c r="B66" s="112">
        <v>9.25</v>
      </c>
      <c r="C66" s="112">
        <v>4.08</v>
      </c>
      <c r="D66" s="112">
        <v>14</v>
      </c>
      <c r="E66" s="112">
        <v>13.31</v>
      </c>
      <c r="F66" s="112">
        <v>7.1</v>
      </c>
      <c r="G66" s="112">
        <v>42.36</v>
      </c>
      <c r="H66" s="112">
        <v>13.62</v>
      </c>
      <c r="I66" s="112">
        <v>4.59</v>
      </c>
      <c r="J66" s="112">
        <v>0.21</v>
      </c>
      <c r="K66" s="112">
        <v>16.75</v>
      </c>
      <c r="L66" s="112">
        <v>31.77</v>
      </c>
      <c r="M66" s="112">
        <v>72.400000000000006</v>
      </c>
      <c r="N66" s="112">
        <v>278.89999999999998</v>
      </c>
      <c r="O66" s="112">
        <v>0</v>
      </c>
      <c r="P66" s="112">
        <v>0.47</v>
      </c>
      <c r="Q66" s="112">
        <v>4.82</v>
      </c>
    </row>
    <row r="67" spans="1:17" customFormat="1">
      <c r="A67" s="80">
        <v>45494.614583333336</v>
      </c>
      <c r="B67" s="112">
        <v>9.26</v>
      </c>
      <c r="C67" s="112">
        <v>4.08</v>
      </c>
      <c r="D67" s="112">
        <v>14</v>
      </c>
      <c r="E67" s="112">
        <v>13.07</v>
      </c>
      <c r="F67" s="112">
        <v>7.96</v>
      </c>
      <c r="G67" s="112">
        <v>42.43</v>
      </c>
      <c r="H67" s="112">
        <v>11.83</v>
      </c>
      <c r="I67" s="112">
        <v>4.55</v>
      </c>
      <c r="J67" s="112">
        <v>0.65</v>
      </c>
      <c r="K67" s="112">
        <v>48.32</v>
      </c>
      <c r="L67" s="112">
        <v>32.07</v>
      </c>
      <c r="M67" s="112">
        <v>72.180000000000007</v>
      </c>
      <c r="N67" s="112">
        <v>321.39999999999998</v>
      </c>
      <c r="O67" s="112">
        <v>0</v>
      </c>
      <c r="P67" s="112">
        <v>0.49</v>
      </c>
      <c r="Q67" s="112">
        <v>4.7699999999999996</v>
      </c>
    </row>
    <row r="68" spans="1:17" customFormat="1">
      <c r="A68" s="80">
        <v>45494.625</v>
      </c>
      <c r="B68" s="112">
        <v>9.25</v>
      </c>
      <c r="C68" s="112">
        <v>4.09</v>
      </c>
      <c r="D68" s="112">
        <v>14</v>
      </c>
      <c r="E68" s="112">
        <v>12.52</v>
      </c>
      <c r="F68" s="112">
        <v>6.98</v>
      </c>
      <c r="G68" s="112">
        <v>42.43</v>
      </c>
      <c r="H68" s="112">
        <v>11.83</v>
      </c>
      <c r="I68" s="112">
        <v>4.6100000000000003</v>
      </c>
      <c r="J68" s="112">
        <v>0.56999999999999995</v>
      </c>
      <c r="K68" s="112">
        <v>46.14</v>
      </c>
      <c r="L68" s="112">
        <v>32.31</v>
      </c>
      <c r="M68" s="112">
        <v>71.319999999999993</v>
      </c>
      <c r="N68" s="112">
        <v>252.5</v>
      </c>
      <c r="O68" s="112">
        <v>0</v>
      </c>
      <c r="P68" s="112">
        <v>0.49</v>
      </c>
      <c r="Q68" s="112">
        <v>4.76</v>
      </c>
    </row>
    <row r="69" spans="1:17" customFormat="1">
      <c r="A69" s="80">
        <v>45494.635416666664</v>
      </c>
      <c r="B69" s="112">
        <v>9.23</v>
      </c>
      <c r="C69" s="112">
        <v>4.1100000000000003</v>
      </c>
      <c r="D69" s="112">
        <v>14</v>
      </c>
      <c r="E69" s="112">
        <v>12.58</v>
      </c>
      <c r="F69" s="112">
        <v>5.94</v>
      </c>
      <c r="G69" s="112">
        <v>42.43</v>
      </c>
      <c r="H69" s="112">
        <v>11.83</v>
      </c>
      <c r="I69" s="112">
        <v>4.68</v>
      </c>
      <c r="J69" s="112">
        <v>0.25</v>
      </c>
      <c r="K69" s="112">
        <v>146.57</v>
      </c>
      <c r="L69" s="112">
        <v>32.94</v>
      </c>
      <c r="M69" s="112">
        <v>71.12</v>
      </c>
      <c r="N69" s="112">
        <v>215.7</v>
      </c>
      <c r="O69" s="112">
        <v>0</v>
      </c>
      <c r="P69" s="112">
        <v>0.46</v>
      </c>
      <c r="Q69" s="112">
        <v>4.78</v>
      </c>
    </row>
    <row r="70" spans="1:17" customFormat="1">
      <c r="A70" s="80">
        <v>45494.645833333336</v>
      </c>
      <c r="B70" s="112">
        <v>9.2200000000000006</v>
      </c>
      <c r="C70" s="112">
        <v>4.13</v>
      </c>
      <c r="D70" s="112">
        <v>14</v>
      </c>
      <c r="E70" s="112">
        <v>12.48</v>
      </c>
      <c r="F70" s="112">
        <v>7.09</v>
      </c>
      <c r="G70" s="112">
        <v>42.31</v>
      </c>
      <c r="H70" s="112">
        <v>12</v>
      </c>
      <c r="I70" s="112">
        <v>4.6500000000000004</v>
      </c>
      <c r="J70" s="112">
        <v>0.04</v>
      </c>
      <c r="K70" s="112">
        <v>345.68</v>
      </c>
      <c r="L70" s="112">
        <v>31.91</v>
      </c>
      <c r="M70" s="112">
        <v>76.08</v>
      </c>
      <c r="N70" s="112">
        <v>36.1</v>
      </c>
      <c r="O70" s="112">
        <v>0.2</v>
      </c>
      <c r="P70" s="112">
        <v>0.46</v>
      </c>
      <c r="Q70" s="112">
        <v>4.76</v>
      </c>
    </row>
    <row r="71" spans="1:17" customFormat="1">
      <c r="A71" s="80">
        <v>45494.65625</v>
      </c>
      <c r="B71" s="112">
        <v>9.2100000000000009</v>
      </c>
      <c r="C71" s="112">
        <v>4.1399999999999997</v>
      </c>
      <c r="D71" s="112">
        <v>14</v>
      </c>
      <c r="E71" s="112">
        <v>13.05</v>
      </c>
      <c r="F71" s="112">
        <v>5.75</v>
      </c>
      <c r="G71" s="112">
        <v>40.35</v>
      </c>
      <c r="H71" s="112">
        <v>14.66</v>
      </c>
      <c r="I71" s="112">
        <v>4.6399999999999997</v>
      </c>
      <c r="J71" s="112">
        <v>0.1</v>
      </c>
      <c r="K71" s="112">
        <v>306.27999999999997</v>
      </c>
      <c r="L71" s="112">
        <v>29.89</v>
      </c>
      <c r="M71" s="112">
        <v>88.67</v>
      </c>
      <c r="N71" s="112">
        <v>17.5</v>
      </c>
      <c r="O71" s="112">
        <v>1.4</v>
      </c>
      <c r="P71" s="112">
        <v>0.47</v>
      </c>
      <c r="Q71" s="112">
        <v>4.76</v>
      </c>
    </row>
    <row r="72" spans="1:17" customFormat="1">
      <c r="A72" s="80">
        <v>45494.666666666664</v>
      </c>
      <c r="B72" s="112">
        <v>9.18</v>
      </c>
      <c r="C72" s="112">
        <v>4.18</v>
      </c>
      <c r="D72" s="112">
        <v>14</v>
      </c>
      <c r="E72" s="112">
        <v>12.68</v>
      </c>
      <c r="F72" s="112">
        <v>6.42</v>
      </c>
      <c r="G72" s="112">
        <v>40.35</v>
      </c>
      <c r="H72" s="112">
        <v>14.66</v>
      </c>
      <c r="I72" s="112">
        <v>4.41</v>
      </c>
      <c r="J72" s="112">
        <v>0.28000000000000003</v>
      </c>
      <c r="K72" s="112">
        <v>88.64</v>
      </c>
      <c r="L72" s="112">
        <v>28.6</v>
      </c>
      <c r="M72" s="112">
        <v>95.48</v>
      </c>
      <c r="N72" s="112">
        <v>12.9</v>
      </c>
      <c r="O72" s="112">
        <v>0.4</v>
      </c>
      <c r="P72" s="112">
        <v>0.46</v>
      </c>
      <c r="Q72" s="112">
        <v>4.78</v>
      </c>
    </row>
    <row r="73" spans="1:17" customFormat="1">
      <c r="A73" s="80">
        <v>45494.677083333336</v>
      </c>
      <c r="B73" s="112">
        <v>9.19</v>
      </c>
      <c r="C73" s="112">
        <v>4.17</v>
      </c>
      <c r="D73" s="112">
        <v>14</v>
      </c>
      <c r="E73" s="112">
        <v>12.56</v>
      </c>
      <c r="F73" s="112">
        <v>3.24</v>
      </c>
      <c r="G73" s="112">
        <v>40.35</v>
      </c>
      <c r="H73" s="112">
        <v>14.66</v>
      </c>
      <c r="I73" s="112">
        <v>4.51</v>
      </c>
      <c r="J73" s="112">
        <v>0.25</v>
      </c>
      <c r="K73" s="112">
        <v>98.79</v>
      </c>
      <c r="L73" s="112">
        <v>26.8</v>
      </c>
      <c r="M73" s="112">
        <v>97.93</v>
      </c>
      <c r="N73" s="112">
        <v>10.9</v>
      </c>
      <c r="O73" s="112">
        <v>1.6</v>
      </c>
      <c r="P73" s="112">
        <v>0.45</v>
      </c>
      <c r="Q73" s="112">
        <v>4.79</v>
      </c>
    </row>
    <row r="74" spans="1:17" customFormat="1">
      <c r="A74" s="80">
        <v>45494.6875</v>
      </c>
      <c r="B74" s="112">
        <v>9.19</v>
      </c>
      <c r="C74" s="112">
        <v>4.17</v>
      </c>
      <c r="D74" s="112">
        <v>14</v>
      </c>
      <c r="E74" s="112">
        <v>12.27</v>
      </c>
      <c r="F74" s="112">
        <v>4.76</v>
      </c>
      <c r="G74" s="112">
        <v>39.6</v>
      </c>
      <c r="H74" s="112">
        <v>14.41</v>
      </c>
      <c r="I74" s="112">
        <v>4.55</v>
      </c>
      <c r="J74" s="112">
        <v>0.11</v>
      </c>
      <c r="K74" s="112">
        <v>146.52000000000001</v>
      </c>
      <c r="L74" s="112">
        <v>26.32</v>
      </c>
      <c r="M74" s="112">
        <v>104.14</v>
      </c>
      <c r="N74" s="112">
        <v>15.9</v>
      </c>
      <c r="O74" s="112">
        <v>1.8</v>
      </c>
      <c r="P74" s="112">
        <v>0.45</v>
      </c>
      <c r="Q74" s="112">
        <v>4.79</v>
      </c>
    </row>
    <row r="75" spans="1:17" customFormat="1">
      <c r="A75" s="80">
        <v>45494.697916666664</v>
      </c>
      <c r="B75" s="112">
        <v>9.18</v>
      </c>
      <c r="C75" s="112">
        <v>4.1900000000000004</v>
      </c>
      <c r="D75" s="112">
        <v>14</v>
      </c>
      <c r="E75" s="112">
        <v>12.31</v>
      </c>
      <c r="F75" s="112">
        <v>4.95</v>
      </c>
      <c r="G75" s="112">
        <v>26.72</v>
      </c>
      <c r="H75" s="112">
        <v>10.62</v>
      </c>
      <c r="I75" s="112">
        <v>4.46</v>
      </c>
      <c r="J75" s="112">
        <v>0.17</v>
      </c>
      <c r="K75" s="112">
        <v>276.91000000000003</v>
      </c>
      <c r="L75" s="112">
        <v>26.43</v>
      </c>
      <c r="M75" s="112">
        <v>105.61</v>
      </c>
      <c r="N75" s="112">
        <v>25.1</v>
      </c>
      <c r="O75" s="112">
        <v>0</v>
      </c>
      <c r="P75" s="112">
        <v>0.45</v>
      </c>
      <c r="Q75" s="112">
        <v>4.7699999999999996</v>
      </c>
    </row>
    <row r="76" spans="1:17" customFormat="1">
      <c r="A76" s="80">
        <v>45494.708333333336</v>
      </c>
      <c r="B76" s="112">
        <v>9.18</v>
      </c>
      <c r="C76" s="112">
        <v>4.18</v>
      </c>
      <c r="D76" s="112">
        <v>14</v>
      </c>
      <c r="E76" s="112">
        <v>12.09</v>
      </c>
      <c r="F76" s="112">
        <v>4.5599999999999996</v>
      </c>
      <c r="G76" s="112">
        <v>26.72</v>
      </c>
      <c r="H76" s="112">
        <v>10.62</v>
      </c>
      <c r="I76" s="112">
        <v>4.26</v>
      </c>
      <c r="J76" s="112">
        <v>0.43</v>
      </c>
      <c r="K76" s="112">
        <v>269.95999999999998</v>
      </c>
      <c r="L76" s="112">
        <v>26.62</v>
      </c>
      <c r="M76" s="112">
        <v>104.42</v>
      </c>
      <c r="N76" s="112">
        <v>16.3</v>
      </c>
      <c r="O76" s="112">
        <v>0</v>
      </c>
      <c r="P76" s="112">
        <v>0.45</v>
      </c>
      <c r="Q76" s="112">
        <v>4.7699999999999996</v>
      </c>
    </row>
    <row r="77" spans="1:17" customFormat="1">
      <c r="A77" s="80">
        <v>45494.71875</v>
      </c>
      <c r="B77" s="112">
        <v>9.17</v>
      </c>
      <c r="C77" s="112">
        <v>4.21</v>
      </c>
      <c r="D77" s="112">
        <v>14</v>
      </c>
      <c r="E77" s="112">
        <v>12.42</v>
      </c>
      <c r="F77" s="112">
        <v>2.66</v>
      </c>
      <c r="G77" s="112">
        <v>26.72</v>
      </c>
      <c r="H77" s="112">
        <v>10.62</v>
      </c>
      <c r="I77" s="112">
        <v>4.2699999999999996</v>
      </c>
      <c r="J77" s="112">
        <v>0.36</v>
      </c>
      <c r="K77" s="112">
        <v>273.41000000000003</v>
      </c>
      <c r="L77" s="112">
        <v>26.78</v>
      </c>
      <c r="M77" s="112">
        <v>106.27</v>
      </c>
      <c r="N77" s="112">
        <v>11.6</v>
      </c>
      <c r="O77" s="112">
        <v>0</v>
      </c>
      <c r="P77" s="112">
        <v>0.49</v>
      </c>
      <c r="Q77" s="112">
        <v>4.74</v>
      </c>
    </row>
    <row r="78" spans="1:17" customFormat="1">
      <c r="A78" s="80">
        <v>45494.729166666664</v>
      </c>
      <c r="B78" s="112">
        <v>9.2899999999999991</v>
      </c>
      <c r="C78" s="112">
        <v>4.09</v>
      </c>
      <c r="D78" s="112">
        <v>14.04</v>
      </c>
      <c r="E78" s="112">
        <v>12.05</v>
      </c>
      <c r="F78" s="112">
        <v>7.14</v>
      </c>
      <c r="G78" s="112">
        <v>26.44</v>
      </c>
      <c r="H78" s="112">
        <v>10.58</v>
      </c>
      <c r="I78" s="112">
        <v>4.33</v>
      </c>
      <c r="J78" s="112">
        <v>0.33</v>
      </c>
      <c r="K78" s="112">
        <v>280.02</v>
      </c>
      <c r="L78" s="112">
        <v>26.84</v>
      </c>
      <c r="M78" s="112">
        <v>105.24</v>
      </c>
      <c r="N78" s="112">
        <v>12.1</v>
      </c>
      <c r="O78" s="112">
        <v>0</v>
      </c>
      <c r="P78" s="112">
        <v>0.5</v>
      </c>
      <c r="Q78" s="112">
        <v>4.74</v>
      </c>
    </row>
    <row r="79" spans="1:17" customFormat="1">
      <c r="A79" s="80">
        <v>45494.739583333336</v>
      </c>
      <c r="B79" s="112">
        <v>9.3699999999999992</v>
      </c>
      <c r="C79" s="112">
        <v>4.07</v>
      </c>
      <c r="D79" s="112">
        <v>14.09</v>
      </c>
      <c r="E79" s="112">
        <v>11.33</v>
      </c>
      <c r="F79" s="112">
        <v>10.72</v>
      </c>
      <c r="G79" s="112">
        <v>21.63</v>
      </c>
      <c r="H79" s="112">
        <v>9.9700000000000006</v>
      </c>
      <c r="I79" s="112">
        <v>4.38</v>
      </c>
      <c r="J79" s="112">
        <v>0.23</v>
      </c>
      <c r="K79" s="112">
        <v>264.35000000000002</v>
      </c>
      <c r="L79" s="112">
        <v>26.82</v>
      </c>
      <c r="M79" s="112">
        <v>104.72</v>
      </c>
      <c r="N79" s="112">
        <v>7.1</v>
      </c>
      <c r="O79" s="112">
        <v>0</v>
      </c>
      <c r="P79" s="112">
        <v>0.46</v>
      </c>
      <c r="Q79" s="112">
        <v>4.7699999999999996</v>
      </c>
    </row>
    <row r="80" spans="1:17" customFormat="1">
      <c r="A80" s="80">
        <v>45494.75</v>
      </c>
      <c r="B80" s="112">
        <v>9.4</v>
      </c>
      <c r="C80" s="112">
        <v>4.07</v>
      </c>
      <c r="D80" s="112">
        <v>14.11</v>
      </c>
      <c r="E80" s="112">
        <v>10.09</v>
      </c>
      <c r="F80" s="112">
        <v>11.05</v>
      </c>
      <c r="G80" s="112">
        <v>21.63</v>
      </c>
      <c r="H80" s="112">
        <v>9.9700000000000006</v>
      </c>
      <c r="I80" s="112">
        <v>4.1900000000000004</v>
      </c>
      <c r="J80" s="112">
        <v>0.27</v>
      </c>
      <c r="K80" s="112">
        <v>290.2</v>
      </c>
      <c r="L80" s="112">
        <v>26.78</v>
      </c>
      <c r="M80" s="112">
        <v>103.8</v>
      </c>
      <c r="N80" s="112">
        <v>7.3</v>
      </c>
      <c r="O80" s="112">
        <v>0</v>
      </c>
      <c r="P80" s="112">
        <v>0.45</v>
      </c>
      <c r="Q80" s="112">
        <v>4.8</v>
      </c>
    </row>
    <row r="81" spans="1:17" customFormat="1">
      <c r="A81" s="80">
        <v>45494.760416666664</v>
      </c>
      <c r="B81" s="112">
        <v>9.39</v>
      </c>
      <c r="C81" s="112">
        <v>4.0599999999999996</v>
      </c>
      <c r="D81" s="112">
        <v>14.1</v>
      </c>
      <c r="E81" s="112">
        <v>7.53</v>
      </c>
      <c r="F81" s="112">
        <v>11.72</v>
      </c>
      <c r="G81" s="112">
        <v>21.63</v>
      </c>
      <c r="H81" s="112">
        <v>9.9700000000000006</v>
      </c>
      <c r="I81" s="112">
        <v>4</v>
      </c>
      <c r="J81" s="112">
        <v>0.36</v>
      </c>
      <c r="K81" s="112">
        <v>272.16000000000003</v>
      </c>
      <c r="L81" s="112">
        <v>26.7</v>
      </c>
      <c r="M81" s="112">
        <v>101.23</v>
      </c>
      <c r="N81" s="112">
        <v>6.5</v>
      </c>
      <c r="O81" s="112">
        <v>0</v>
      </c>
      <c r="P81" s="112">
        <v>0.44</v>
      </c>
      <c r="Q81" s="112">
        <v>4.79</v>
      </c>
    </row>
    <row r="82" spans="1:17" customFormat="1">
      <c r="A82" s="80">
        <v>45494.770833333336</v>
      </c>
      <c r="B82" s="112">
        <v>9.3800000000000008</v>
      </c>
      <c r="C82" s="112">
        <v>4.0599999999999996</v>
      </c>
      <c r="D82" s="112">
        <v>14.09</v>
      </c>
      <c r="E82" s="112">
        <v>8.98</v>
      </c>
      <c r="F82" s="112">
        <v>12.71</v>
      </c>
      <c r="G82" s="112">
        <v>21.56</v>
      </c>
      <c r="H82" s="112">
        <v>9.8000000000000007</v>
      </c>
      <c r="I82" s="112">
        <v>3.95</v>
      </c>
      <c r="J82" s="112">
        <v>0.19</v>
      </c>
      <c r="K82" s="112">
        <v>253.82</v>
      </c>
      <c r="L82" s="112">
        <v>26.82</v>
      </c>
      <c r="M82" s="112">
        <v>100.17</v>
      </c>
      <c r="N82" s="112">
        <v>3.9</v>
      </c>
      <c r="O82" s="112">
        <v>0</v>
      </c>
      <c r="P82" s="112">
        <v>0.44</v>
      </c>
      <c r="Q82" s="112">
        <v>4.78</v>
      </c>
    </row>
    <row r="83" spans="1:17" customFormat="1">
      <c r="A83" s="80">
        <v>45494.78125</v>
      </c>
      <c r="B83" s="112">
        <v>9.36</v>
      </c>
      <c r="C83" s="112">
        <v>4.07</v>
      </c>
      <c r="D83" s="112">
        <v>14.08</v>
      </c>
      <c r="E83" s="112">
        <v>9.14</v>
      </c>
      <c r="F83" s="112">
        <v>12.42</v>
      </c>
      <c r="G83" s="112">
        <v>20.350000000000001</v>
      </c>
      <c r="H83" s="112">
        <v>7.26</v>
      </c>
      <c r="I83" s="112">
        <v>3.79</v>
      </c>
      <c r="J83" s="112">
        <v>0.13</v>
      </c>
      <c r="K83" s="112">
        <v>231.17</v>
      </c>
      <c r="L83" s="112">
        <v>26.87</v>
      </c>
      <c r="M83" s="112">
        <v>100.29</v>
      </c>
      <c r="N83" s="112">
        <v>2.7</v>
      </c>
      <c r="O83" s="112">
        <v>0</v>
      </c>
      <c r="P83" s="112">
        <v>0.45</v>
      </c>
      <c r="Q83" s="112">
        <v>4.78</v>
      </c>
    </row>
    <row r="84" spans="1:17" customFormat="1">
      <c r="A84" s="80">
        <v>45494.791666666664</v>
      </c>
      <c r="B84" s="112">
        <v>9.35</v>
      </c>
      <c r="C84" s="112">
        <v>4.07</v>
      </c>
      <c r="D84" s="112">
        <v>14.07</v>
      </c>
      <c r="E84" s="112">
        <v>9.58</v>
      </c>
      <c r="F84" s="112">
        <v>11.81</v>
      </c>
      <c r="G84" s="112">
        <v>20.350000000000001</v>
      </c>
      <c r="H84" s="112">
        <v>7.26</v>
      </c>
      <c r="I84" s="112">
        <v>3.81</v>
      </c>
      <c r="J84" s="112">
        <v>0.11</v>
      </c>
      <c r="K84" s="112">
        <v>207.71</v>
      </c>
      <c r="L84" s="112">
        <v>26.96</v>
      </c>
      <c r="M84" s="112">
        <v>100.53</v>
      </c>
      <c r="N84" s="112">
        <v>2.2999999999999998</v>
      </c>
      <c r="O84" s="112">
        <v>1.2</v>
      </c>
      <c r="P84" s="112">
        <v>0.45</v>
      </c>
      <c r="Q84" s="112">
        <v>4.7699999999999996</v>
      </c>
    </row>
    <row r="85" spans="1:17" customFormat="1">
      <c r="A85" s="80">
        <v>45494.802083333336</v>
      </c>
      <c r="B85" s="112">
        <v>9.33</v>
      </c>
      <c r="C85" s="112">
        <v>4.07</v>
      </c>
      <c r="D85" s="112">
        <v>14.06</v>
      </c>
      <c r="E85" s="112">
        <v>9.4</v>
      </c>
      <c r="F85" s="112">
        <v>11.56</v>
      </c>
      <c r="G85" s="112">
        <v>20.350000000000001</v>
      </c>
      <c r="H85" s="112">
        <v>7.26</v>
      </c>
      <c r="I85" s="112">
        <v>4.05</v>
      </c>
      <c r="J85" s="112">
        <v>0.24</v>
      </c>
      <c r="K85" s="112">
        <v>266.06</v>
      </c>
      <c r="L85" s="112">
        <v>26.85</v>
      </c>
      <c r="M85" s="112">
        <v>101.37</v>
      </c>
      <c r="N85" s="112">
        <v>2.2999999999999998</v>
      </c>
      <c r="O85" s="112">
        <v>3.2</v>
      </c>
      <c r="P85" s="112">
        <v>0.45</v>
      </c>
      <c r="Q85" s="112">
        <v>4.76</v>
      </c>
    </row>
    <row r="86" spans="1:17" customFormat="1">
      <c r="A86" s="80">
        <v>45494.8125</v>
      </c>
      <c r="B86" s="112">
        <v>9.33</v>
      </c>
      <c r="C86" s="112">
        <v>4.08</v>
      </c>
      <c r="D86" s="112">
        <v>14.06</v>
      </c>
      <c r="E86" s="112">
        <v>9.33</v>
      </c>
      <c r="F86" s="112">
        <v>12.67</v>
      </c>
      <c r="G86" s="112">
        <v>20.45</v>
      </c>
      <c r="H86" s="112">
        <v>7.25</v>
      </c>
      <c r="I86" s="112">
        <v>4.05</v>
      </c>
      <c r="J86" s="112">
        <v>0.47</v>
      </c>
      <c r="K86" s="112">
        <v>291.23</v>
      </c>
      <c r="L86" s="112">
        <v>26.63</v>
      </c>
      <c r="M86" s="112">
        <v>103.24</v>
      </c>
      <c r="N86" s="112">
        <v>2.8</v>
      </c>
      <c r="O86" s="112">
        <v>0.2</v>
      </c>
      <c r="P86" s="112">
        <v>0.48</v>
      </c>
      <c r="Q86" s="112">
        <v>4.78</v>
      </c>
    </row>
    <row r="87" spans="1:17" customFormat="1">
      <c r="A87" s="80">
        <v>45494.822916666664</v>
      </c>
      <c r="B87" s="112">
        <v>9.34</v>
      </c>
      <c r="C87" s="112">
        <v>4.0999999999999996</v>
      </c>
      <c r="D87" s="112">
        <v>14.08</v>
      </c>
      <c r="E87" s="112">
        <v>9.57</v>
      </c>
      <c r="F87" s="112">
        <v>12.27</v>
      </c>
      <c r="G87" s="112">
        <v>22.16</v>
      </c>
      <c r="H87" s="112">
        <v>7.21</v>
      </c>
      <c r="I87" s="112">
        <v>4.0599999999999996</v>
      </c>
      <c r="J87" s="112">
        <v>0.21</v>
      </c>
      <c r="K87" s="112">
        <v>261.45999999999998</v>
      </c>
      <c r="L87" s="112">
        <v>26.53</v>
      </c>
      <c r="M87" s="112">
        <v>102.45</v>
      </c>
      <c r="N87" s="112">
        <v>2.4</v>
      </c>
      <c r="O87" s="112">
        <v>0</v>
      </c>
      <c r="P87" s="112">
        <v>0.46</v>
      </c>
      <c r="Q87" s="112">
        <v>4.78</v>
      </c>
    </row>
    <row r="88" spans="1:17" customFormat="1">
      <c r="A88" s="80">
        <v>45494.833333333336</v>
      </c>
      <c r="B88" s="112">
        <v>9.34</v>
      </c>
      <c r="C88" s="112">
        <v>4.09</v>
      </c>
      <c r="D88" s="112">
        <v>14.07</v>
      </c>
      <c r="E88" s="112">
        <v>9.0500000000000007</v>
      </c>
      <c r="F88" s="112">
        <v>12.64</v>
      </c>
      <c r="G88" s="112">
        <v>22.16</v>
      </c>
      <c r="H88" s="112">
        <v>7.21</v>
      </c>
      <c r="I88" s="112">
        <v>4.2</v>
      </c>
      <c r="J88" s="112">
        <v>0.14000000000000001</v>
      </c>
      <c r="K88" s="112">
        <v>209.11</v>
      </c>
      <c r="L88" s="112">
        <v>26.64</v>
      </c>
      <c r="M88" s="112">
        <v>102.73</v>
      </c>
      <c r="N88" s="112">
        <v>2.2000000000000002</v>
      </c>
      <c r="O88" s="112">
        <v>0</v>
      </c>
      <c r="P88" s="112">
        <v>0.45</v>
      </c>
      <c r="Q88" s="112">
        <v>4.7699999999999996</v>
      </c>
    </row>
    <row r="89" spans="1:17" customFormat="1">
      <c r="A89" s="80">
        <v>45494.84375</v>
      </c>
      <c r="B89" s="112">
        <v>9.33</v>
      </c>
      <c r="C89" s="112">
        <v>4.08</v>
      </c>
      <c r="D89" s="112">
        <v>14.06</v>
      </c>
      <c r="E89" s="112">
        <v>9.14</v>
      </c>
      <c r="F89" s="112">
        <v>12.53</v>
      </c>
      <c r="G89" s="112">
        <v>22.16</v>
      </c>
      <c r="H89" s="112">
        <v>7.21</v>
      </c>
      <c r="I89" s="112">
        <v>4.1500000000000004</v>
      </c>
      <c r="J89" s="112">
        <v>0.28000000000000003</v>
      </c>
      <c r="K89" s="112">
        <v>277.29000000000002</v>
      </c>
      <c r="L89" s="112">
        <v>26.7</v>
      </c>
      <c r="M89" s="112">
        <v>102.1</v>
      </c>
      <c r="N89" s="112">
        <v>2.4</v>
      </c>
      <c r="O89" s="112">
        <v>0</v>
      </c>
      <c r="P89" s="112">
        <v>0.45</v>
      </c>
      <c r="Q89" s="112">
        <v>4.7699999999999996</v>
      </c>
    </row>
    <row r="90" spans="1:17" customFormat="1">
      <c r="A90" s="80">
        <v>45494.854166666664</v>
      </c>
      <c r="B90" s="112">
        <v>9.33</v>
      </c>
      <c r="C90" s="112">
        <v>4.09</v>
      </c>
      <c r="D90" s="112">
        <v>14.06</v>
      </c>
      <c r="E90" s="112">
        <v>8.9700000000000006</v>
      </c>
      <c r="F90" s="112">
        <v>13.71</v>
      </c>
      <c r="G90" s="112">
        <v>21.82</v>
      </c>
      <c r="H90" s="112">
        <v>7.18</v>
      </c>
      <c r="I90" s="112">
        <v>4.1100000000000003</v>
      </c>
      <c r="J90" s="112">
        <v>0.44</v>
      </c>
      <c r="K90" s="112">
        <v>271.77999999999997</v>
      </c>
      <c r="L90" s="112">
        <v>26.75</v>
      </c>
      <c r="M90" s="112">
        <v>102.45</v>
      </c>
      <c r="N90" s="112">
        <v>2.7</v>
      </c>
      <c r="O90" s="112">
        <v>0</v>
      </c>
      <c r="P90" s="112">
        <v>0.45</v>
      </c>
      <c r="Q90" s="112">
        <v>4.76</v>
      </c>
    </row>
    <row r="91" spans="1:17" customFormat="1">
      <c r="A91" s="80">
        <v>45494.864583333336</v>
      </c>
      <c r="B91" s="112">
        <v>9.32</v>
      </c>
      <c r="C91" s="112">
        <v>4.07</v>
      </c>
      <c r="D91" s="112">
        <v>14.05</v>
      </c>
      <c r="E91" s="112">
        <v>8.74</v>
      </c>
      <c r="F91" s="112">
        <v>11.73</v>
      </c>
      <c r="G91" s="112">
        <v>16.010000000000002</v>
      </c>
      <c r="H91" s="112">
        <v>6.61</v>
      </c>
      <c r="I91" s="112">
        <v>4.0599999999999996</v>
      </c>
      <c r="J91" s="112">
        <v>0.3</v>
      </c>
      <c r="K91" s="112">
        <v>260.7</v>
      </c>
      <c r="L91" s="112">
        <v>26.85</v>
      </c>
      <c r="M91" s="112">
        <v>101.35</v>
      </c>
      <c r="N91" s="112">
        <v>2.5</v>
      </c>
      <c r="O91" s="112">
        <v>0</v>
      </c>
      <c r="P91" s="112">
        <v>0.45</v>
      </c>
      <c r="Q91" s="112">
        <v>4.75</v>
      </c>
    </row>
    <row r="92" spans="1:17" customFormat="1">
      <c r="A92" s="80">
        <v>45494.875</v>
      </c>
      <c r="B92" s="112">
        <v>9.32</v>
      </c>
      <c r="C92" s="112">
        <v>4.0599999999999996</v>
      </c>
      <c r="D92" s="112">
        <v>14.05</v>
      </c>
      <c r="E92" s="112">
        <v>8.91</v>
      </c>
      <c r="F92" s="112">
        <v>11.37</v>
      </c>
      <c r="G92" s="112">
        <v>16.010000000000002</v>
      </c>
      <c r="H92" s="112">
        <v>6.61</v>
      </c>
      <c r="I92" s="112">
        <v>4</v>
      </c>
      <c r="J92" s="112">
        <v>0.28999999999999998</v>
      </c>
      <c r="K92" s="112">
        <v>264.39999999999998</v>
      </c>
      <c r="L92" s="112">
        <v>26.88</v>
      </c>
      <c r="M92" s="112">
        <v>100.79</v>
      </c>
      <c r="N92" s="112">
        <v>3</v>
      </c>
      <c r="O92" s="112">
        <v>0</v>
      </c>
      <c r="P92" s="112">
        <v>0.43</v>
      </c>
      <c r="Q92" s="112">
        <v>4.76</v>
      </c>
    </row>
    <row r="93" spans="1:17" customFormat="1">
      <c r="A93" s="80">
        <v>45494.885416666664</v>
      </c>
      <c r="B93" s="112">
        <v>9.32</v>
      </c>
      <c r="C93" s="112">
        <v>4.08</v>
      </c>
      <c r="D93" s="112">
        <v>14.06</v>
      </c>
      <c r="E93" s="112">
        <v>8.92</v>
      </c>
      <c r="F93" s="112">
        <v>10.25</v>
      </c>
      <c r="G93" s="112">
        <v>16.010000000000002</v>
      </c>
      <c r="H93" s="112">
        <v>6.61</v>
      </c>
      <c r="I93" s="112">
        <v>3.98</v>
      </c>
      <c r="J93" s="112">
        <v>0.64</v>
      </c>
      <c r="K93" s="112">
        <v>272.20999999999998</v>
      </c>
      <c r="L93" s="112">
        <v>26.64</v>
      </c>
      <c r="M93" s="112">
        <v>99.78</v>
      </c>
      <c r="N93" s="112">
        <v>3.3</v>
      </c>
      <c r="O93" s="112">
        <v>0</v>
      </c>
      <c r="P93" s="112">
        <v>0.44</v>
      </c>
      <c r="Q93" s="112">
        <v>4.78</v>
      </c>
    </row>
    <row r="94" spans="1:17" customFormat="1">
      <c r="A94" s="80">
        <v>45494.895833333336</v>
      </c>
      <c r="B94" s="112">
        <v>9.33</v>
      </c>
      <c r="C94" s="112">
        <v>4.07</v>
      </c>
      <c r="D94" s="112">
        <v>14.06</v>
      </c>
      <c r="E94" s="112">
        <v>9.52</v>
      </c>
      <c r="F94" s="112">
        <v>10.9</v>
      </c>
      <c r="G94" s="112">
        <v>15.79</v>
      </c>
      <c r="H94" s="112">
        <v>6.64</v>
      </c>
      <c r="I94" s="112">
        <v>4</v>
      </c>
      <c r="J94" s="112">
        <v>0.74</v>
      </c>
      <c r="K94" s="112">
        <v>275.89</v>
      </c>
      <c r="L94" s="112">
        <v>26.56</v>
      </c>
      <c r="M94" s="112">
        <v>98.63</v>
      </c>
      <c r="N94" s="112">
        <v>3</v>
      </c>
      <c r="O94" s="112">
        <v>0</v>
      </c>
      <c r="P94" s="112">
        <v>0.42</v>
      </c>
      <c r="Q94" s="112">
        <v>4.79</v>
      </c>
    </row>
    <row r="95" spans="1:17" customFormat="1">
      <c r="A95" s="80">
        <v>45494.90625</v>
      </c>
      <c r="B95" s="112">
        <v>9.31</v>
      </c>
      <c r="C95" s="112">
        <v>4.09</v>
      </c>
      <c r="D95" s="112">
        <v>14.06</v>
      </c>
      <c r="E95" s="112">
        <v>9.35</v>
      </c>
      <c r="F95" s="112">
        <v>6.65</v>
      </c>
      <c r="G95" s="112">
        <v>12</v>
      </c>
      <c r="H95" s="112">
        <v>7.07</v>
      </c>
      <c r="I95" s="112">
        <v>3.87</v>
      </c>
      <c r="J95" s="112">
        <v>0.78</v>
      </c>
      <c r="K95" s="112">
        <v>276.29000000000002</v>
      </c>
      <c r="L95" s="112">
        <v>26.59</v>
      </c>
      <c r="M95" s="112">
        <v>98.28</v>
      </c>
      <c r="N95" s="112">
        <v>3.1</v>
      </c>
      <c r="O95" s="112">
        <v>0</v>
      </c>
      <c r="P95" s="112">
        <v>0.43</v>
      </c>
      <c r="Q95" s="112">
        <v>4.78</v>
      </c>
    </row>
    <row r="96" spans="1:17" customFormat="1">
      <c r="A96" s="80">
        <v>45494.916666666664</v>
      </c>
      <c r="B96" s="112">
        <v>9.33</v>
      </c>
      <c r="C96" s="112">
        <v>4.05</v>
      </c>
      <c r="D96" s="112">
        <v>14.05</v>
      </c>
      <c r="E96" s="112">
        <v>9.2100000000000009</v>
      </c>
      <c r="F96" s="112">
        <v>5.42</v>
      </c>
      <c r="G96" s="112">
        <v>12</v>
      </c>
      <c r="H96" s="112">
        <v>7.07</v>
      </c>
      <c r="I96" s="112">
        <v>3.88</v>
      </c>
      <c r="J96" s="112">
        <v>0.95</v>
      </c>
      <c r="K96" s="112">
        <v>276.14999999999998</v>
      </c>
      <c r="L96" s="112">
        <v>26.59</v>
      </c>
      <c r="M96" s="112">
        <v>97.52</v>
      </c>
      <c r="N96" s="112">
        <v>3.2</v>
      </c>
      <c r="O96" s="112">
        <v>0</v>
      </c>
      <c r="P96" s="112">
        <v>0.42</v>
      </c>
      <c r="Q96" s="112">
        <v>4.7699999999999996</v>
      </c>
    </row>
    <row r="97" spans="1:22" customFormat="1">
      <c r="A97" s="80">
        <v>45494.927083333336</v>
      </c>
      <c r="B97" s="112">
        <v>9.34</v>
      </c>
      <c r="C97" s="112">
        <v>4.04</v>
      </c>
      <c r="D97" s="112">
        <v>14.05</v>
      </c>
      <c r="E97" s="112">
        <v>9.74</v>
      </c>
      <c r="F97" s="112">
        <v>6.02</v>
      </c>
      <c r="G97" s="112">
        <v>12</v>
      </c>
      <c r="H97" s="112">
        <v>7.07</v>
      </c>
      <c r="I97" s="112">
        <v>4.13</v>
      </c>
      <c r="J97" s="112">
        <v>0.92</v>
      </c>
      <c r="K97" s="112">
        <v>275.02999999999997</v>
      </c>
      <c r="L97" s="112">
        <v>26.6</v>
      </c>
      <c r="M97" s="112">
        <v>96.58</v>
      </c>
      <c r="N97" s="112">
        <v>3.3</v>
      </c>
      <c r="O97" s="112">
        <v>0</v>
      </c>
      <c r="P97" s="112">
        <v>0.4</v>
      </c>
      <c r="Q97" s="112">
        <v>4.76</v>
      </c>
    </row>
    <row r="98" spans="1:22" customFormat="1">
      <c r="A98" s="80">
        <v>45494.9375</v>
      </c>
      <c r="B98" s="112">
        <v>9.34</v>
      </c>
      <c r="C98" s="112">
        <v>4.07</v>
      </c>
      <c r="D98" s="112">
        <v>14.07</v>
      </c>
      <c r="E98" s="112">
        <v>9.6300000000000008</v>
      </c>
      <c r="F98" s="112">
        <v>6.4</v>
      </c>
      <c r="G98" s="112">
        <v>11.87</v>
      </c>
      <c r="H98" s="112">
        <v>6.94</v>
      </c>
      <c r="I98" s="112">
        <v>4.12</v>
      </c>
      <c r="J98" s="112">
        <v>0.68</v>
      </c>
      <c r="K98" s="112">
        <v>276.11</v>
      </c>
      <c r="L98" s="112">
        <v>26.62</v>
      </c>
      <c r="M98" s="112">
        <v>96.43</v>
      </c>
      <c r="N98" s="112">
        <v>2.9</v>
      </c>
      <c r="O98" s="112">
        <v>0</v>
      </c>
      <c r="P98" s="112">
        <v>0.4</v>
      </c>
      <c r="Q98" s="112">
        <v>4.75</v>
      </c>
    </row>
    <row r="99" spans="1:22" customFormat="1">
      <c r="A99" s="80">
        <v>45494.947916666664</v>
      </c>
      <c r="B99" s="112">
        <v>9.35</v>
      </c>
      <c r="C99" s="112">
        <v>4.07</v>
      </c>
      <c r="D99" s="112">
        <v>14.07</v>
      </c>
      <c r="E99" s="112">
        <v>9.61</v>
      </c>
      <c r="F99" s="112">
        <v>6.6</v>
      </c>
      <c r="G99" s="112">
        <v>9.74</v>
      </c>
      <c r="H99" s="112">
        <v>4.95</v>
      </c>
      <c r="I99" s="112">
        <v>4.04</v>
      </c>
      <c r="J99" s="112">
        <v>0.54</v>
      </c>
      <c r="K99" s="112">
        <v>276.52999999999997</v>
      </c>
      <c r="L99" s="112">
        <v>26.64</v>
      </c>
      <c r="M99" s="112">
        <v>96.85</v>
      </c>
      <c r="N99" s="112">
        <v>2.8</v>
      </c>
      <c r="O99" s="112">
        <v>0</v>
      </c>
      <c r="P99" s="112">
        <v>0.39</v>
      </c>
      <c r="Q99" s="112">
        <v>4.75</v>
      </c>
    </row>
    <row r="100" spans="1:22" customFormat="1">
      <c r="A100" s="80">
        <v>45494.958333333336</v>
      </c>
      <c r="B100" s="112">
        <v>9.35</v>
      </c>
      <c r="C100" s="112">
        <v>4.05</v>
      </c>
      <c r="D100" s="112">
        <v>14.06</v>
      </c>
      <c r="E100" s="112">
        <v>10.210000000000001</v>
      </c>
      <c r="F100" s="112">
        <v>4.97</v>
      </c>
      <c r="G100" s="112">
        <v>9.74</v>
      </c>
      <c r="H100" s="112">
        <v>4.95</v>
      </c>
      <c r="I100" s="112">
        <v>3.93</v>
      </c>
      <c r="J100" s="112">
        <v>0.51</v>
      </c>
      <c r="K100" s="112">
        <v>273.64999999999998</v>
      </c>
      <c r="L100" s="112">
        <v>26.73</v>
      </c>
      <c r="M100" s="112">
        <v>96.6</v>
      </c>
      <c r="N100" s="112">
        <v>2.9</v>
      </c>
      <c r="O100" s="112">
        <v>0</v>
      </c>
      <c r="P100" s="112">
        <v>0.39</v>
      </c>
      <c r="Q100" s="112">
        <v>4.74</v>
      </c>
    </row>
    <row r="101" spans="1:22" customFormat="1">
      <c r="A101" s="80">
        <v>45494.96875</v>
      </c>
      <c r="B101" s="112">
        <v>9.34</v>
      </c>
      <c r="C101" s="112">
        <v>4.04</v>
      </c>
      <c r="D101" s="112">
        <v>14.05</v>
      </c>
      <c r="E101" s="112">
        <v>10.210000000000001</v>
      </c>
      <c r="F101" s="112">
        <v>5.52</v>
      </c>
      <c r="G101" s="112">
        <v>9.74</v>
      </c>
      <c r="H101" s="112">
        <v>4.95</v>
      </c>
      <c r="I101" s="112">
        <v>3.85</v>
      </c>
      <c r="J101" s="112">
        <v>0.73</v>
      </c>
      <c r="K101" s="112">
        <v>275.14</v>
      </c>
      <c r="L101" s="112">
        <v>26.64</v>
      </c>
      <c r="M101" s="112">
        <v>96.77</v>
      </c>
      <c r="N101" s="112">
        <v>3</v>
      </c>
      <c r="O101" s="112">
        <v>0</v>
      </c>
      <c r="P101" s="112">
        <v>0.39</v>
      </c>
      <c r="Q101" s="112">
        <v>4.76</v>
      </c>
    </row>
    <row r="102" spans="1:22" customFormat="1">
      <c r="A102" s="80">
        <v>45494.979166666664</v>
      </c>
      <c r="B102" s="112">
        <v>9.33</v>
      </c>
      <c r="C102" s="112">
        <v>4.07</v>
      </c>
      <c r="D102" s="112">
        <v>14.06</v>
      </c>
      <c r="E102" s="112">
        <v>10.72</v>
      </c>
      <c r="F102" s="112">
        <v>4.91</v>
      </c>
      <c r="G102" s="112">
        <v>9.7100000000000009</v>
      </c>
      <c r="H102" s="112">
        <v>4.8600000000000003</v>
      </c>
      <c r="I102" s="112">
        <v>3.66</v>
      </c>
      <c r="J102" s="112">
        <v>0.82</v>
      </c>
      <c r="K102" s="112">
        <v>275.81</v>
      </c>
      <c r="L102" s="112">
        <v>26.58</v>
      </c>
      <c r="M102" s="112">
        <v>96.14</v>
      </c>
      <c r="N102" s="112">
        <v>3.2</v>
      </c>
      <c r="O102" s="112">
        <v>0</v>
      </c>
      <c r="P102" s="112">
        <v>0.37</v>
      </c>
      <c r="Q102" s="112">
        <v>4.76</v>
      </c>
    </row>
    <row r="103" spans="1:22" customFormat="1">
      <c r="A103" s="80">
        <v>45494.989583333336</v>
      </c>
      <c r="B103" s="112">
        <v>9.34</v>
      </c>
      <c r="C103" s="112">
        <v>4.0599999999999996</v>
      </c>
      <c r="D103" s="112">
        <v>14.06</v>
      </c>
      <c r="E103" s="112">
        <v>10.94</v>
      </c>
      <c r="F103" s="112">
        <v>5.19</v>
      </c>
      <c r="G103" s="112">
        <v>9.2100000000000009</v>
      </c>
      <c r="H103" s="112">
        <v>3.46</v>
      </c>
      <c r="I103" s="112">
        <v>3.76</v>
      </c>
      <c r="J103" s="112">
        <v>0.55000000000000004</v>
      </c>
      <c r="K103" s="112">
        <v>267.05</v>
      </c>
      <c r="L103" s="112">
        <v>26.64</v>
      </c>
      <c r="M103" s="112">
        <v>95.97</v>
      </c>
      <c r="N103" s="112">
        <v>2.8</v>
      </c>
      <c r="O103" s="112">
        <v>0</v>
      </c>
      <c r="P103" s="112">
        <v>0.38</v>
      </c>
      <c r="Q103" s="112">
        <v>4.76</v>
      </c>
    </row>
    <row r="104" spans="1:22" customFormat="1">
      <c r="A104" s="80">
        <v>45495</v>
      </c>
      <c r="B104" s="112">
        <v>9.32</v>
      </c>
      <c r="C104" s="112">
        <v>4.08</v>
      </c>
      <c r="D104" s="112">
        <v>14.06</v>
      </c>
      <c r="E104" s="112">
        <v>10.84</v>
      </c>
      <c r="F104" s="112">
        <v>4.3899999999999997</v>
      </c>
      <c r="G104" s="112">
        <v>9.2100000000000009</v>
      </c>
      <c r="H104" s="112">
        <v>3.46</v>
      </c>
      <c r="I104" s="112">
        <v>3.56</v>
      </c>
      <c r="J104" s="112">
        <v>0.82</v>
      </c>
      <c r="K104" s="112">
        <v>279.08</v>
      </c>
      <c r="L104" s="112">
        <v>26.64</v>
      </c>
      <c r="M104" s="112">
        <v>96.16</v>
      </c>
      <c r="N104" s="112">
        <v>2.8</v>
      </c>
      <c r="O104" s="112">
        <v>0</v>
      </c>
      <c r="P104" s="112">
        <v>0.37</v>
      </c>
      <c r="Q104" s="112">
        <v>4.76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9.17</v>
      </c>
      <c r="C106" s="183">
        <f>MIN(C9:C104)</f>
        <v>4.04</v>
      </c>
      <c r="D106" s="183">
        <f t="shared" ref="D106:Q106" si="0">MIN(D9:D104)</f>
        <v>14</v>
      </c>
      <c r="E106" s="183">
        <f t="shared" si="0"/>
        <v>7.18</v>
      </c>
      <c r="F106" s="183">
        <f t="shared" si="0"/>
        <v>2.66</v>
      </c>
      <c r="G106" s="183">
        <f t="shared" si="0"/>
        <v>9.2100000000000009</v>
      </c>
      <c r="H106" s="183">
        <f t="shared" si="0"/>
        <v>2.04</v>
      </c>
      <c r="I106" s="183">
        <f t="shared" si="0"/>
        <v>3.56</v>
      </c>
      <c r="J106" s="183">
        <f t="shared" si="0"/>
        <v>0.04</v>
      </c>
      <c r="K106" s="183">
        <f t="shared" si="0"/>
        <v>0.95</v>
      </c>
      <c r="L106" s="183">
        <f t="shared" si="0"/>
        <v>25.88</v>
      </c>
      <c r="M106" s="183">
        <f t="shared" si="0"/>
        <v>71.12</v>
      </c>
      <c r="N106" s="183">
        <f t="shared" si="0"/>
        <v>2.1</v>
      </c>
      <c r="O106" s="183">
        <f t="shared" si="0"/>
        <v>0</v>
      </c>
      <c r="P106" s="183">
        <f t="shared" si="0"/>
        <v>0.3</v>
      </c>
      <c r="Q106" s="183">
        <f t="shared" si="0"/>
        <v>4.71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</v>
      </c>
      <c r="C107" s="184">
        <f t="shared" ref="C107:Q107" si="1">MAX(C9:C104)</f>
        <v>4.21</v>
      </c>
      <c r="D107" s="184">
        <f t="shared" si="1"/>
        <v>14.11</v>
      </c>
      <c r="E107" s="184">
        <f t="shared" si="1"/>
        <v>16.37</v>
      </c>
      <c r="F107" s="184">
        <f t="shared" si="1"/>
        <v>13.71</v>
      </c>
      <c r="G107" s="184">
        <f t="shared" si="1"/>
        <v>76.010000000000005</v>
      </c>
      <c r="H107" s="184">
        <f t="shared" si="1"/>
        <v>25</v>
      </c>
      <c r="I107" s="184">
        <f t="shared" si="1"/>
        <v>5.55</v>
      </c>
      <c r="J107" s="184">
        <f t="shared" si="1"/>
        <v>1.68</v>
      </c>
      <c r="K107" s="184">
        <f t="shared" si="1"/>
        <v>348.12</v>
      </c>
      <c r="L107" s="184">
        <f t="shared" si="1"/>
        <v>32.94</v>
      </c>
      <c r="M107" s="184">
        <f t="shared" si="1"/>
        <v>106.27</v>
      </c>
      <c r="N107" s="184">
        <f t="shared" si="1"/>
        <v>441.3</v>
      </c>
      <c r="O107" s="184">
        <f t="shared" si="1"/>
        <v>3.2</v>
      </c>
      <c r="P107" s="184">
        <f t="shared" si="1"/>
        <v>0.56999999999999995</v>
      </c>
      <c r="Q107" s="184">
        <f t="shared" si="1"/>
        <v>5.04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9.2825000000000042</v>
      </c>
      <c r="C108" s="183">
        <f t="shared" ref="C108:Q108" si="2">AVERAGE(C9:C104)</f>
        <v>4.0895833333333336</v>
      </c>
      <c r="D108" s="183">
        <f t="shared" si="2"/>
        <v>14.030104166666653</v>
      </c>
      <c r="E108" s="183">
        <f t="shared" si="2"/>
        <v>10.985312499999997</v>
      </c>
      <c r="F108" s="183">
        <f t="shared" si="2"/>
        <v>7.2869791666666641</v>
      </c>
      <c r="G108" s="183">
        <f t="shared" si="2"/>
        <v>32.039687499999992</v>
      </c>
      <c r="H108" s="183">
        <f t="shared" si="2"/>
        <v>10.191562500000005</v>
      </c>
      <c r="I108" s="183">
        <f t="shared" si="2"/>
        <v>4.3654166666666674</v>
      </c>
      <c r="J108" s="183">
        <f t="shared" si="2"/>
        <v>0.40239583333333334</v>
      </c>
      <c r="K108" s="183">
        <f t="shared" si="2"/>
        <v>230.78520833333337</v>
      </c>
      <c r="L108" s="183">
        <f t="shared" si="2"/>
        <v>27.63520833333332</v>
      </c>
      <c r="M108" s="183">
        <f t="shared" si="2"/>
        <v>96.072395833333346</v>
      </c>
      <c r="N108" s="183">
        <f t="shared" si="2"/>
        <v>70.197916666666671</v>
      </c>
      <c r="O108" s="183">
        <f t="shared" si="2"/>
        <v>0.14166666666666669</v>
      </c>
      <c r="P108" s="183">
        <f t="shared" si="2"/>
        <v>0.42593750000000014</v>
      </c>
      <c r="Q108" s="183">
        <f t="shared" si="2"/>
        <v>4.8344791666666636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5.1728033731084415E-2</v>
      </c>
      <c r="C109" s="183">
        <f t="shared" ref="C109:Q109" si="3">STDEV(C9:C104)</f>
        <v>3.2115471486059956E-2</v>
      </c>
      <c r="D109" s="183">
        <f t="shared" si="3"/>
        <v>3.0693554669435415E-2</v>
      </c>
      <c r="E109" s="183">
        <f t="shared" si="3"/>
        <v>1.9431287592437392</v>
      </c>
      <c r="F109" s="183">
        <f t="shared" si="3"/>
        <v>2.8974119558093068</v>
      </c>
      <c r="G109" s="183">
        <f t="shared" si="3"/>
        <v>20.48929643307379</v>
      </c>
      <c r="H109" s="183">
        <f t="shared" si="3"/>
        <v>6.5371407443806788</v>
      </c>
      <c r="I109" s="183">
        <f t="shared" si="3"/>
        <v>0.51714991548652356</v>
      </c>
      <c r="J109" s="183">
        <f t="shared" si="3"/>
        <v>0.29924728303446402</v>
      </c>
      <c r="K109" s="183">
        <f t="shared" si="3"/>
        <v>100.71655891637756</v>
      </c>
      <c r="L109" s="183">
        <f t="shared" si="3"/>
        <v>1.8372273040284122</v>
      </c>
      <c r="M109" s="183">
        <f t="shared" si="3"/>
        <v>9.6283548077968284</v>
      </c>
      <c r="N109" s="183">
        <f t="shared" si="3"/>
        <v>104.48600105596283</v>
      </c>
      <c r="O109" s="183">
        <f t="shared" si="3"/>
        <v>0.47410118099891024</v>
      </c>
      <c r="P109" s="183">
        <f t="shared" si="3"/>
        <v>7.6455396353553806E-2</v>
      </c>
      <c r="Q109" s="183">
        <f t="shared" si="3"/>
        <v>0.10309800949309347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P9" sqref="P9:Q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45495.010416666664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45495.010416666664</v>
      </c>
      <c r="B9" s="112">
        <v>9.3800000000000008</v>
      </c>
      <c r="C9" s="112">
        <v>4.12</v>
      </c>
      <c r="D9" s="112">
        <v>14.12</v>
      </c>
      <c r="E9" s="112">
        <v>11.3</v>
      </c>
      <c r="F9" s="112">
        <v>4.21</v>
      </c>
      <c r="G9" s="112">
        <v>9.2100000000000009</v>
      </c>
      <c r="H9" s="112">
        <v>3.46</v>
      </c>
      <c r="I9" s="112">
        <v>3.49</v>
      </c>
      <c r="J9" s="112">
        <v>0.86</v>
      </c>
      <c r="K9" s="112">
        <v>276.77</v>
      </c>
      <c r="L9" s="112">
        <v>26.66</v>
      </c>
      <c r="M9" s="112">
        <v>94.63</v>
      </c>
      <c r="N9" s="112">
        <v>2.8</v>
      </c>
      <c r="O9" s="112">
        <v>0</v>
      </c>
      <c r="P9" s="112">
        <v>0.37</v>
      </c>
      <c r="Q9" s="112">
        <v>4.7699999999999996</v>
      </c>
    </row>
    <row r="10" spans="1:21" customFormat="1">
      <c r="A10" s="80">
        <v>45495.020833333336</v>
      </c>
      <c r="B10" s="112">
        <v>9.36</v>
      </c>
      <c r="C10" s="112">
        <v>4.09</v>
      </c>
      <c r="D10" s="112">
        <v>14.09</v>
      </c>
      <c r="E10" s="112">
        <v>11.47</v>
      </c>
      <c r="F10" s="112">
        <v>4.45</v>
      </c>
      <c r="G10" s="112">
        <v>9.09</v>
      </c>
      <c r="H10" s="112">
        <v>3.47</v>
      </c>
      <c r="I10" s="112">
        <v>3.5</v>
      </c>
      <c r="J10" s="112">
        <v>0.98</v>
      </c>
      <c r="K10" s="112">
        <v>278.16000000000003</v>
      </c>
      <c r="L10" s="112">
        <v>26.62</v>
      </c>
      <c r="M10" s="112">
        <v>94.19</v>
      </c>
      <c r="N10" s="112">
        <v>2.7</v>
      </c>
      <c r="O10" s="112">
        <v>0</v>
      </c>
      <c r="P10" s="112">
        <v>0.36</v>
      </c>
      <c r="Q10" s="112">
        <v>4.78</v>
      </c>
    </row>
    <row r="11" spans="1:21" customFormat="1">
      <c r="A11" s="80">
        <v>45495.03125</v>
      </c>
      <c r="B11" s="112">
        <v>9.36</v>
      </c>
      <c r="C11" s="112">
        <v>4.0599999999999996</v>
      </c>
      <c r="D11" s="112">
        <v>14.08</v>
      </c>
      <c r="E11" s="112">
        <v>11.38</v>
      </c>
      <c r="F11" s="112">
        <v>4.5</v>
      </c>
      <c r="G11" s="112">
        <v>6.98</v>
      </c>
      <c r="H11" s="112">
        <v>3.62</v>
      </c>
      <c r="I11" s="112">
        <v>3.45</v>
      </c>
      <c r="J11" s="112">
        <v>0.94</v>
      </c>
      <c r="K11" s="112">
        <v>274.47000000000003</v>
      </c>
      <c r="L11" s="112">
        <v>26.55</v>
      </c>
      <c r="M11" s="112">
        <v>94.45</v>
      </c>
      <c r="N11" s="112">
        <v>2.6</v>
      </c>
      <c r="O11" s="112">
        <v>0</v>
      </c>
      <c r="P11" s="112">
        <v>0.36</v>
      </c>
      <c r="Q11" s="112">
        <v>4.78</v>
      </c>
    </row>
    <row r="12" spans="1:21" customFormat="1">
      <c r="A12" s="80">
        <v>45495.041666666664</v>
      </c>
      <c r="B12" s="112">
        <v>9.3699999999999992</v>
      </c>
      <c r="C12" s="112">
        <v>4.08</v>
      </c>
      <c r="D12" s="112">
        <v>14.09</v>
      </c>
      <c r="E12" s="112">
        <v>11.42</v>
      </c>
      <c r="F12" s="112">
        <v>4.37</v>
      </c>
      <c r="G12" s="112">
        <v>6.98</v>
      </c>
      <c r="H12" s="112">
        <v>3.62</v>
      </c>
      <c r="I12" s="112">
        <v>3.39</v>
      </c>
      <c r="J12" s="112">
        <v>1.1399999999999999</v>
      </c>
      <c r="K12" s="112">
        <v>275.68</v>
      </c>
      <c r="L12" s="112">
        <v>26.53</v>
      </c>
      <c r="M12" s="112">
        <v>95.38</v>
      </c>
      <c r="N12" s="112">
        <v>2.5</v>
      </c>
      <c r="O12" s="112">
        <v>0</v>
      </c>
      <c r="P12" s="112">
        <v>0.35</v>
      </c>
      <c r="Q12" s="112">
        <v>4.78</v>
      </c>
    </row>
    <row r="13" spans="1:21" customFormat="1">
      <c r="A13" s="80">
        <v>45495.052083333336</v>
      </c>
      <c r="B13" s="112">
        <v>9.3699999999999992</v>
      </c>
      <c r="C13" s="112">
        <v>4.09</v>
      </c>
      <c r="D13" s="112">
        <v>14.1</v>
      </c>
      <c r="E13" s="112">
        <v>11.43</v>
      </c>
      <c r="F13" s="112">
        <v>4.1100000000000003</v>
      </c>
      <c r="G13" s="112">
        <v>6.98</v>
      </c>
      <c r="H13" s="112">
        <v>3.62</v>
      </c>
      <c r="I13" s="112">
        <v>3.38</v>
      </c>
      <c r="J13" s="112">
        <v>1.04</v>
      </c>
      <c r="K13" s="112">
        <v>275.12</v>
      </c>
      <c r="L13" s="112">
        <v>26.45</v>
      </c>
      <c r="M13" s="112">
        <v>95.69</v>
      </c>
      <c r="N13" s="112">
        <v>2.4</v>
      </c>
      <c r="O13" s="112">
        <v>0</v>
      </c>
      <c r="P13" s="112">
        <v>0.35</v>
      </c>
      <c r="Q13" s="112">
        <v>4.7699999999999996</v>
      </c>
    </row>
    <row r="14" spans="1:21" customFormat="1">
      <c r="A14" s="80">
        <v>45495.0625</v>
      </c>
      <c r="B14" s="112">
        <v>9.3800000000000008</v>
      </c>
      <c r="C14" s="112">
        <v>4.09</v>
      </c>
      <c r="D14" s="112">
        <v>14.1</v>
      </c>
      <c r="E14" s="112">
        <v>11.16</v>
      </c>
      <c r="F14" s="112">
        <v>4.55</v>
      </c>
      <c r="G14" s="112">
        <v>6.86</v>
      </c>
      <c r="H14" s="112">
        <v>3.56</v>
      </c>
      <c r="I14" s="112">
        <v>3.35</v>
      </c>
      <c r="J14" s="112">
        <v>0.7</v>
      </c>
      <c r="K14" s="112">
        <v>273.42</v>
      </c>
      <c r="L14" s="112">
        <v>26.45</v>
      </c>
      <c r="M14" s="112">
        <v>96.73</v>
      </c>
      <c r="N14" s="112">
        <v>2.4</v>
      </c>
      <c r="O14" s="112">
        <v>0</v>
      </c>
      <c r="P14" s="112">
        <v>0.35</v>
      </c>
      <c r="Q14" s="112">
        <v>4.7699999999999996</v>
      </c>
    </row>
    <row r="15" spans="1:21" customFormat="1">
      <c r="A15" s="80">
        <v>45495.072916666664</v>
      </c>
      <c r="B15" s="112">
        <v>9.3800000000000008</v>
      </c>
      <c r="C15" s="112">
        <v>4.08</v>
      </c>
      <c r="D15" s="112">
        <v>14.1</v>
      </c>
      <c r="E15" s="112">
        <v>11.63</v>
      </c>
      <c r="F15" s="112">
        <v>4.5999999999999996</v>
      </c>
      <c r="G15" s="112">
        <v>4.91</v>
      </c>
      <c r="H15" s="112">
        <v>2.76</v>
      </c>
      <c r="I15" s="112">
        <v>3.29</v>
      </c>
      <c r="J15" s="112">
        <v>0.85</v>
      </c>
      <c r="K15" s="112">
        <v>272.49</v>
      </c>
      <c r="L15" s="112">
        <v>26.38</v>
      </c>
      <c r="M15" s="112">
        <v>96.97</v>
      </c>
      <c r="N15" s="112">
        <v>2.4</v>
      </c>
      <c r="O15" s="112">
        <v>0</v>
      </c>
      <c r="P15" s="112">
        <v>0.35</v>
      </c>
      <c r="Q15" s="112">
        <v>4.79</v>
      </c>
    </row>
    <row r="16" spans="1:21" customFormat="1">
      <c r="A16" s="80">
        <v>45495.083333333336</v>
      </c>
      <c r="B16" s="112">
        <v>9.39</v>
      </c>
      <c r="C16" s="112">
        <v>4.07</v>
      </c>
      <c r="D16" s="112">
        <v>14.1</v>
      </c>
      <c r="E16" s="112">
        <v>11.45</v>
      </c>
      <c r="F16" s="112">
        <v>4.08</v>
      </c>
      <c r="G16" s="112">
        <v>4.91</v>
      </c>
      <c r="H16" s="112">
        <v>2.76</v>
      </c>
      <c r="I16" s="112">
        <v>3.25</v>
      </c>
      <c r="J16" s="112">
        <v>1.0900000000000001</v>
      </c>
      <c r="K16" s="112">
        <v>275.14</v>
      </c>
      <c r="L16" s="112">
        <v>26.27</v>
      </c>
      <c r="M16" s="112">
        <v>95.16</v>
      </c>
      <c r="N16" s="112">
        <v>2.6</v>
      </c>
      <c r="O16" s="112">
        <v>0</v>
      </c>
      <c r="P16" s="112">
        <v>0.34</v>
      </c>
      <c r="Q16" s="112">
        <v>4.78</v>
      </c>
    </row>
    <row r="17" spans="1:17" customFormat="1">
      <c r="A17" s="80">
        <v>45495.09375</v>
      </c>
      <c r="B17" s="112">
        <v>9.4</v>
      </c>
      <c r="C17" s="112">
        <v>4.04</v>
      </c>
      <c r="D17" s="112">
        <v>14.1</v>
      </c>
      <c r="E17" s="112">
        <v>7.79</v>
      </c>
      <c r="F17" s="112">
        <v>4</v>
      </c>
      <c r="G17" s="112">
        <v>4.91</v>
      </c>
      <c r="H17" s="112">
        <v>2.76</v>
      </c>
      <c r="I17" s="112">
        <v>3.26</v>
      </c>
      <c r="J17" s="112">
        <v>0.86</v>
      </c>
      <c r="K17" s="112">
        <v>277.07</v>
      </c>
      <c r="L17" s="112">
        <v>26.21</v>
      </c>
      <c r="M17" s="112">
        <v>95.62</v>
      </c>
      <c r="N17" s="112">
        <v>2.5</v>
      </c>
      <c r="O17" s="112">
        <v>0</v>
      </c>
      <c r="P17" s="112">
        <v>0.34</v>
      </c>
      <c r="Q17" s="112">
        <v>4.78</v>
      </c>
    </row>
    <row r="18" spans="1:17" customFormat="1">
      <c r="A18" s="80">
        <v>45495.104166666664</v>
      </c>
      <c r="B18" s="112">
        <v>9.39</v>
      </c>
      <c r="C18" s="112">
        <v>4.04</v>
      </c>
      <c r="D18" s="112">
        <v>14.1</v>
      </c>
      <c r="E18" s="112">
        <v>9.32</v>
      </c>
      <c r="F18" s="112">
        <v>3.79</v>
      </c>
      <c r="G18" s="112">
        <v>4.96</v>
      </c>
      <c r="H18" s="112">
        <v>2.74</v>
      </c>
      <c r="I18" s="112">
        <v>3.23</v>
      </c>
      <c r="J18" s="112">
        <v>0.82</v>
      </c>
      <c r="K18" s="112">
        <v>276.45</v>
      </c>
      <c r="L18" s="112">
        <v>26.15</v>
      </c>
      <c r="M18" s="112">
        <v>97.46</v>
      </c>
      <c r="N18" s="112">
        <v>2.4</v>
      </c>
      <c r="O18" s="112">
        <v>0</v>
      </c>
      <c r="P18" s="112">
        <v>0.33</v>
      </c>
      <c r="Q18" s="112">
        <v>4.7699999999999996</v>
      </c>
    </row>
    <row r="19" spans="1:17" customFormat="1">
      <c r="A19" s="80">
        <v>45495.114583333336</v>
      </c>
      <c r="B19" s="112">
        <v>9.3699999999999992</v>
      </c>
      <c r="C19" s="112">
        <v>4.0599999999999996</v>
      </c>
      <c r="D19" s="112">
        <v>14.08</v>
      </c>
      <c r="E19" s="112">
        <v>9.77</v>
      </c>
      <c r="F19" s="112">
        <v>3.91</v>
      </c>
      <c r="G19" s="112">
        <v>5.71</v>
      </c>
      <c r="H19" s="112">
        <v>2.52</v>
      </c>
      <c r="I19" s="112">
        <v>3.17</v>
      </c>
      <c r="J19" s="112">
        <v>0.78</v>
      </c>
      <c r="K19" s="112">
        <v>272.10000000000002</v>
      </c>
      <c r="L19" s="112">
        <v>26.08</v>
      </c>
      <c r="M19" s="112">
        <v>100.2</v>
      </c>
      <c r="N19" s="112">
        <v>2.4</v>
      </c>
      <c r="O19" s="112">
        <v>0</v>
      </c>
      <c r="P19" s="112">
        <v>0.36</v>
      </c>
      <c r="Q19" s="112">
        <v>4.78</v>
      </c>
    </row>
    <row r="20" spans="1:17" customFormat="1">
      <c r="A20" s="80">
        <v>45495.125</v>
      </c>
      <c r="B20" s="112">
        <v>9.3800000000000008</v>
      </c>
      <c r="C20" s="112">
        <v>4.08</v>
      </c>
      <c r="D20" s="112">
        <v>14.1</v>
      </c>
      <c r="E20" s="112">
        <v>10.08</v>
      </c>
      <c r="F20" s="112">
        <v>3.75</v>
      </c>
      <c r="G20" s="112">
        <v>5.71</v>
      </c>
      <c r="H20" s="112">
        <v>2.52</v>
      </c>
      <c r="I20" s="112">
        <v>3.09</v>
      </c>
      <c r="J20" s="112">
        <v>0.69</v>
      </c>
      <c r="K20" s="112">
        <v>271.04000000000002</v>
      </c>
      <c r="L20" s="112">
        <v>26.07</v>
      </c>
      <c r="M20" s="112">
        <v>101.67</v>
      </c>
      <c r="N20" s="112">
        <v>2.4</v>
      </c>
      <c r="O20" s="112">
        <v>0</v>
      </c>
      <c r="P20" s="112">
        <v>0.36</v>
      </c>
      <c r="Q20" s="112">
        <v>4.76</v>
      </c>
    </row>
    <row r="21" spans="1:17" customFormat="1">
      <c r="A21" s="80">
        <v>45495.135416666664</v>
      </c>
      <c r="B21" s="112">
        <v>9.3800000000000008</v>
      </c>
      <c r="C21" s="112">
        <v>4.09</v>
      </c>
      <c r="D21" s="112">
        <v>14.11</v>
      </c>
      <c r="E21" s="112">
        <v>9.27</v>
      </c>
      <c r="F21" s="112">
        <v>4.47</v>
      </c>
      <c r="G21" s="112">
        <v>5.71</v>
      </c>
      <c r="H21" s="112">
        <v>2.52</v>
      </c>
      <c r="I21" s="112">
        <v>3.15</v>
      </c>
      <c r="J21" s="112">
        <v>0.7</v>
      </c>
      <c r="K21" s="112">
        <v>275.54000000000002</v>
      </c>
      <c r="L21" s="112">
        <v>26.03</v>
      </c>
      <c r="M21" s="112">
        <v>101.59</v>
      </c>
      <c r="N21" s="112">
        <v>2.4</v>
      </c>
      <c r="O21" s="112">
        <v>0</v>
      </c>
      <c r="P21" s="112">
        <v>0.35</v>
      </c>
      <c r="Q21" s="112">
        <v>4.7699999999999996</v>
      </c>
    </row>
    <row r="22" spans="1:17" customFormat="1">
      <c r="A22" s="80">
        <v>45495.145833333336</v>
      </c>
      <c r="B22" s="112">
        <v>9.3699999999999992</v>
      </c>
      <c r="C22" s="112">
        <v>4.0999999999999996</v>
      </c>
      <c r="D22" s="112">
        <v>14.11</v>
      </c>
      <c r="E22" s="112">
        <v>8.66</v>
      </c>
      <c r="F22" s="112">
        <v>5.36</v>
      </c>
      <c r="G22" s="112">
        <v>5.68</v>
      </c>
      <c r="H22" s="112">
        <v>2.5</v>
      </c>
      <c r="I22" s="112">
        <v>3.12</v>
      </c>
      <c r="J22" s="112">
        <v>0.74</v>
      </c>
      <c r="K22" s="112">
        <v>271.54000000000002</v>
      </c>
      <c r="L22" s="112">
        <v>26.07</v>
      </c>
      <c r="M22" s="112">
        <v>100.55</v>
      </c>
      <c r="N22" s="112">
        <v>2.4</v>
      </c>
      <c r="O22" s="112">
        <v>0</v>
      </c>
      <c r="P22" s="112">
        <v>0.34</v>
      </c>
      <c r="Q22" s="112">
        <v>4.7699999999999996</v>
      </c>
    </row>
    <row r="23" spans="1:17" customFormat="1">
      <c r="A23" s="80">
        <v>45495.15625</v>
      </c>
      <c r="B23" s="112">
        <v>9.3699999999999992</v>
      </c>
      <c r="C23" s="112">
        <v>4.0999999999999996</v>
      </c>
      <c r="D23" s="112">
        <v>14.11</v>
      </c>
      <c r="E23" s="112">
        <v>7.95</v>
      </c>
      <c r="F23" s="112">
        <v>6.3</v>
      </c>
      <c r="G23" s="112">
        <v>5.1100000000000003</v>
      </c>
      <c r="H23" s="112">
        <v>2.2000000000000002</v>
      </c>
      <c r="I23" s="112">
        <v>3.08</v>
      </c>
      <c r="J23" s="112">
        <v>0.91</v>
      </c>
      <c r="K23" s="112">
        <v>273.2</v>
      </c>
      <c r="L23" s="112">
        <v>26.03</v>
      </c>
      <c r="M23" s="112">
        <v>99.49</v>
      </c>
      <c r="N23" s="112">
        <v>2.4</v>
      </c>
      <c r="O23" s="112">
        <v>0</v>
      </c>
      <c r="P23" s="112">
        <v>0.35</v>
      </c>
      <c r="Q23" s="112">
        <v>4.7699999999999996</v>
      </c>
    </row>
    <row r="24" spans="1:17" customFormat="1">
      <c r="A24" s="80">
        <v>45495.166666666664</v>
      </c>
      <c r="B24" s="112">
        <v>9.3699999999999992</v>
      </c>
      <c r="C24" s="112">
        <v>4.09</v>
      </c>
      <c r="D24" s="112">
        <v>14.09</v>
      </c>
      <c r="E24" s="112">
        <v>7.94</v>
      </c>
      <c r="F24" s="112">
        <v>5.08</v>
      </c>
      <c r="G24" s="112">
        <v>5.1100000000000003</v>
      </c>
      <c r="H24" s="112">
        <v>2.2000000000000002</v>
      </c>
      <c r="I24" s="112">
        <v>3.01</v>
      </c>
      <c r="J24" s="112">
        <v>0.79</v>
      </c>
      <c r="K24" s="112">
        <v>274.12</v>
      </c>
      <c r="L24" s="112">
        <v>25.95</v>
      </c>
      <c r="M24" s="112">
        <v>100.14</v>
      </c>
      <c r="N24" s="112">
        <v>2.6</v>
      </c>
      <c r="O24" s="112">
        <v>0</v>
      </c>
      <c r="P24" s="112">
        <v>0.34</v>
      </c>
      <c r="Q24" s="112">
        <v>4.7699999999999996</v>
      </c>
    </row>
    <row r="25" spans="1:17" customFormat="1">
      <c r="A25" s="80">
        <v>45495.177083333336</v>
      </c>
      <c r="B25" s="112">
        <v>9.3800000000000008</v>
      </c>
      <c r="C25" s="112">
        <v>4.05</v>
      </c>
      <c r="D25" s="112">
        <v>14.09</v>
      </c>
      <c r="E25" s="112">
        <v>7.96</v>
      </c>
      <c r="F25" s="112">
        <v>4.7</v>
      </c>
      <c r="G25" s="112">
        <v>5.1100000000000003</v>
      </c>
      <c r="H25" s="112">
        <v>2.2000000000000002</v>
      </c>
      <c r="I25" s="112">
        <v>3</v>
      </c>
      <c r="J25" s="112">
        <v>0.82</v>
      </c>
      <c r="K25" s="112">
        <v>275.14</v>
      </c>
      <c r="L25" s="112">
        <v>25.73</v>
      </c>
      <c r="M25" s="112">
        <v>100.81</v>
      </c>
      <c r="N25" s="112">
        <v>2.2999999999999998</v>
      </c>
      <c r="O25" s="112">
        <v>0.2</v>
      </c>
      <c r="P25" s="112">
        <v>0.33</v>
      </c>
      <c r="Q25" s="112">
        <v>4.79</v>
      </c>
    </row>
    <row r="26" spans="1:17" customFormat="1">
      <c r="A26" s="80">
        <v>45495.1875</v>
      </c>
      <c r="B26" s="112">
        <v>9.3699999999999992</v>
      </c>
      <c r="C26" s="112">
        <v>4.07</v>
      </c>
      <c r="D26" s="112">
        <v>14.09</v>
      </c>
      <c r="E26" s="112">
        <v>7.53</v>
      </c>
      <c r="F26" s="112">
        <v>5.96</v>
      </c>
      <c r="G26" s="112">
        <v>5.0199999999999996</v>
      </c>
      <c r="H26" s="112">
        <v>2.1800000000000002</v>
      </c>
      <c r="I26" s="112">
        <v>3.04</v>
      </c>
      <c r="J26" s="112">
        <v>0.75</v>
      </c>
      <c r="K26" s="112">
        <v>272.89999999999998</v>
      </c>
      <c r="L26" s="112">
        <v>25.64</v>
      </c>
      <c r="M26" s="112">
        <v>101.68</v>
      </c>
      <c r="N26" s="112">
        <v>2.1</v>
      </c>
      <c r="O26" s="112">
        <v>0</v>
      </c>
      <c r="P26" s="112">
        <v>0.33</v>
      </c>
      <c r="Q26" s="112">
        <v>4.7699999999999996</v>
      </c>
    </row>
    <row r="27" spans="1:17" customFormat="1">
      <c r="A27" s="80">
        <v>45495.197916666664</v>
      </c>
      <c r="B27" s="112">
        <v>9.3800000000000008</v>
      </c>
      <c r="C27" s="112">
        <v>4.0599999999999996</v>
      </c>
      <c r="D27" s="112">
        <v>14.1</v>
      </c>
      <c r="E27" s="112">
        <v>7.51</v>
      </c>
      <c r="F27" s="112">
        <v>6.16</v>
      </c>
      <c r="G27" s="112">
        <v>3.6</v>
      </c>
      <c r="H27" s="112">
        <v>1.85</v>
      </c>
      <c r="I27" s="112">
        <v>3.06</v>
      </c>
      <c r="J27" s="112">
        <v>0.56000000000000005</v>
      </c>
      <c r="K27" s="112">
        <v>273.87</v>
      </c>
      <c r="L27" s="112">
        <v>25.69</v>
      </c>
      <c r="M27" s="112">
        <v>100.79</v>
      </c>
      <c r="N27" s="112">
        <v>2</v>
      </c>
      <c r="O27" s="112">
        <v>0</v>
      </c>
      <c r="P27" s="112">
        <v>0.33</v>
      </c>
      <c r="Q27" s="112">
        <v>4.78</v>
      </c>
    </row>
    <row r="28" spans="1:17" customFormat="1">
      <c r="A28" s="80">
        <v>45495.208333333336</v>
      </c>
      <c r="B28" s="112">
        <v>9.39</v>
      </c>
      <c r="C28" s="112">
        <v>4.07</v>
      </c>
      <c r="D28" s="112">
        <v>14.11</v>
      </c>
      <c r="E28" s="112">
        <v>7.31</v>
      </c>
      <c r="F28" s="112">
        <v>4.88</v>
      </c>
      <c r="G28" s="112">
        <v>3.6</v>
      </c>
      <c r="H28" s="112">
        <v>1.85</v>
      </c>
      <c r="I28" s="112">
        <v>2.93</v>
      </c>
      <c r="J28" s="112">
        <v>0.56000000000000005</v>
      </c>
      <c r="K28" s="112">
        <v>274.58999999999997</v>
      </c>
      <c r="L28" s="112">
        <v>25.61</v>
      </c>
      <c r="M28" s="112">
        <v>100.36</v>
      </c>
      <c r="N28" s="112">
        <v>2.2000000000000002</v>
      </c>
      <c r="O28" s="112">
        <v>0</v>
      </c>
      <c r="P28" s="112">
        <v>0.33</v>
      </c>
      <c r="Q28" s="112">
        <v>4.78</v>
      </c>
    </row>
    <row r="29" spans="1:17" customFormat="1">
      <c r="A29" s="80">
        <v>45495.21875</v>
      </c>
      <c r="B29" s="112">
        <v>9.4</v>
      </c>
      <c r="C29" s="112">
        <v>4.07</v>
      </c>
      <c r="D29" s="112">
        <v>14.11</v>
      </c>
      <c r="E29" s="112">
        <v>7.34</v>
      </c>
      <c r="F29" s="112">
        <v>4.72</v>
      </c>
      <c r="G29" s="112">
        <v>3.6</v>
      </c>
      <c r="H29" s="112">
        <v>1.85</v>
      </c>
      <c r="I29" s="112">
        <v>2.96</v>
      </c>
      <c r="J29" s="112">
        <v>0.53</v>
      </c>
      <c r="K29" s="112">
        <v>275.02</v>
      </c>
      <c r="L29" s="112">
        <v>25.63</v>
      </c>
      <c r="M29" s="112">
        <v>101.54</v>
      </c>
      <c r="N29" s="112">
        <v>2.1</v>
      </c>
      <c r="O29" s="112">
        <v>0</v>
      </c>
      <c r="P29" s="112">
        <v>0.33</v>
      </c>
      <c r="Q29" s="112">
        <v>4.78</v>
      </c>
    </row>
    <row r="30" spans="1:17" customFormat="1">
      <c r="A30" s="80">
        <v>45495.229166666664</v>
      </c>
      <c r="B30" s="112">
        <v>9.39</v>
      </c>
      <c r="C30" s="112">
        <v>4.0999999999999996</v>
      </c>
      <c r="D30" s="112">
        <v>14.12</v>
      </c>
      <c r="E30" s="112">
        <v>7.37</v>
      </c>
      <c r="F30" s="112">
        <v>5.17</v>
      </c>
      <c r="G30" s="112">
        <v>3.56</v>
      </c>
      <c r="H30" s="112">
        <v>1.82</v>
      </c>
      <c r="I30" s="112">
        <v>2.96</v>
      </c>
      <c r="J30" s="112">
        <v>0.67</v>
      </c>
      <c r="K30" s="112">
        <v>278.7</v>
      </c>
      <c r="L30" s="112">
        <v>25.64</v>
      </c>
      <c r="M30" s="112">
        <v>101.15</v>
      </c>
      <c r="N30" s="112">
        <v>2.7</v>
      </c>
      <c r="O30" s="112">
        <v>0</v>
      </c>
      <c r="P30" s="112">
        <v>0.33</v>
      </c>
      <c r="Q30" s="112">
        <v>4.78</v>
      </c>
    </row>
    <row r="31" spans="1:17" customFormat="1">
      <c r="A31" s="80">
        <v>45495.239583333336</v>
      </c>
      <c r="B31" s="112">
        <v>9.39</v>
      </c>
      <c r="C31" s="112">
        <v>4.1100000000000003</v>
      </c>
      <c r="D31" s="112">
        <v>14.12</v>
      </c>
      <c r="E31" s="112">
        <v>6.82</v>
      </c>
      <c r="F31" s="112">
        <v>6.57</v>
      </c>
      <c r="G31" s="112">
        <v>3.01</v>
      </c>
      <c r="H31" s="112">
        <v>1.45</v>
      </c>
      <c r="I31" s="112">
        <v>2.96</v>
      </c>
      <c r="J31" s="112">
        <v>0.56999999999999995</v>
      </c>
      <c r="K31" s="112">
        <v>270.93</v>
      </c>
      <c r="L31" s="112">
        <v>25.69</v>
      </c>
      <c r="M31" s="112">
        <v>100.43</v>
      </c>
      <c r="N31" s="112">
        <v>4.3</v>
      </c>
      <c r="O31" s="112">
        <v>0</v>
      </c>
      <c r="P31" s="112">
        <v>0.33</v>
      </c>
      <c r="Q31" s="112">
        <v>4.7699999999999996</v>
      </c>
    </row>
    <row r="32" spans="1:17" customFormat="1">
      <c r="A32" s="80">
        <v>45495.25</v>
      </c>
      <c r="B32" s="112">
        <v>9.4</v>
      </c>
      <c r="C32" s="112">
        <v>4.0999999999999996</v>
      </c>
      <c r="D32" s="112">
        <v>14.13</v>
      </c>
      <c r="E32" s="112">
        <v>7.15</v>
      </c>
      <c r="F32" s="112">
        <v>5.07</v>
      </c>
      <c r="G32" s="112">
        <v>3.01</v>
      </c>
      <c r="H32" s="112">
        <v>1.45</v>
      </c>
      <c r="I32" s="112">
        <v>2.86</v>
      </c>
      <c r="J32" s="112">
        <v>0.53</v>
      </c>
      <c r="K32" s="112">
        <v>270.63</v>
      </c>
      <c r="L32" s="112">
        <v>25.75</v>
      </c>
      <c r="M32" s="112">
        <v>99.24</v>
      </c>
      <c r="N32" s="112">
        <v>6.2</v>
      </c>
      <c r="O32" s="112">
        <v>0</v>
      </c>
      <c r="P32" s="112">
        <v>0.32</v>
      </c>
      <c r="Q32" s="112">
        <v>4.7699999999999996</v>
      </c>
    </row>
    <row r="33" spans="1:17" customFormat="1">
      <c r="A33" s="80">
        <v>45495.260416666664</v>
      </c>
      <c r="B33" s="112">
        <v>9.4</v>
      </c>
      <c r="C33" s="112">
        <v>4.09</v>
      </c>
      <c r="D33" s="112">
        <v>14.13</v>
      </c>
      <c r="E33" s="112">
        <v>7.04</v>
      </c>
      <c r="F33" s="112">
        <v>4.8499999999999996</v>
      </c>
      <c r="G33" s="112">
        <v>3.01</v>
      </c>
      <c r="H33" s="112">
        <v>1.45</v>
      </c>
      <c r="I33" s="112">
        <v>2.92</v>
      </c>
      <c r="J33" s="112">
        <v>0.56999999999999995</v>
      </c>
      <c r="K33" s="112">
        <v>272.56</v>
      </c>
      <c r="L33" s="112">
        <v>25.73</v>
      </c>
      <c r="M33" s="112">
        <v>99.27</v>
      </c>
      <c r="N33" s="112">
        <v>12.5</v>
      </c>
      <c r="O33" s="112">
        <v>0</v>
      </c>
      <c r="P33" s="112">
        <v>0.33</v>
      </c>
      <c r="Q33" s="112">
        <v>4.7699999999999996</v>
      </c>
    </row>
    <row r="34" spans="1:17" customFormat="1">
      <c r="A34" s="80">
        <v>45495.270833333336</v>
      </c>
      <c r="B34" s="112">
        <v>9.41</v>
      </c>
      <c r="C34" s="112">
        <v>4.09</v>
      </c>
      <c r="D34" s="112">
        <v>14.14</v>
      </c>
      <c r="E34" s="112">
        <v>6.73</v>
      </c>
      <c r="F34" s="112">
        <v>5.79</v>
      </c>
      <c r="G34" s="112">
        <v>2.96</v>
      </c>
      <c r="H34" s="112">
        <v>1.44</v>
      </c>
      <c r="I34" s="112">
        <v>2.96</v>
      </c>
      <c r="J34" s="112">
        <v>0.43</v>
      </c>
      <c r="K34" s="112">
        <v>269.89999999999998</v>
      </c>
      <c r="L34" s="112">
        <v>25.83</v>
      </c>
      <c r="M34" s="112">
        <v>100.5</v>
      </c>
      <c r="N34" s="112">
        <v>18.7</v>
      </c>
      <c r="O34" s="112">
        <v>0</v>
      </c>
      <c r="P34" s="112">
        <v>0.33</v>
      </c>
      <c r="Q34" s="112">
        <v>4.76</v>
      </c>
    </row>
    <row r="35" spans="1:17" customFormat="1">
      <c r="A35" s="80">
        <v>45495.28125</v>
      </c>
      <c r="B35" s="112">
        <v>9.42</v>
      </c>
      <c r="C35" s="112">
        <v>4.07</v>
      </c>
      <c r="D35" s="112">
        <v>14.13</v>
      </c>
      <c r="E35" s="112">
        <v>6.89</v>
      </c>
      <c r="F35" s="112">
        <v>5.85</v>
      </c>
      <c r="G35" s="112">
        <v>2.17</v>
      </c>
      <c r="H35" s="112">
        <v>1.19</v>
      </c>
      <c r="I35" s="112">
        <v>2.98</v>
      </c>
      <c r="J35" s="112">
        <v>0.68</v>
      </c>
      <c r="K35" s="112">
        <v>275.51</v>
      </c>
      <c r="L35" s="112">
        <v>25.94</v>
      </c>
      <c r="M35" s="112">
        <v>102.26</v>
      </c>
      <c r="N35" s="112">
        <v>34.799999999999997</v>
      </c>
      <c r="O35" s="112">
        <v>0</v>
      </c>
      <c r="P35" s="112">
        <v>0.33</v>
      </c>
      <c r="Q35" s="112">
        <v>4.76</v>
      </c>
    </row>
    <row r="36" spans="1:17" customFormat="1">
      <c r="A36" s="80">
        <v>45495.291666666664</v>
      </c>
      <c r="B36" s="112">
        <v>9.41</v>
      </c>
      <c r="C36" s="112">
        <v>4.0999999999999996</v>
      </c>
      <c r="D36" s="112">
        <v>14.14</v>
      </c>
      <c r="E36" s="112">
        <v>7.17</v>
      </c>
      <c r="F36" s="112">
        <v>5.45</v>
      </c>
      <c r="G36" s="112">
        <v>2.17</v>
      </c>
      <c r="H36" s="112">
        <v>1.19</v>
      </c>
      <c r="I36" s="112">
        <v>2.96</v>
      </c>
      <c r="J36" s="112">
        <v>0.62</v>
      </c>
      <c r="K36" s="112">
        <v>277.88</v>
      </c>
      <c r="L36" s="112">
        <v>26.11</v>
      </c>
      <c r="M36" s="112">
        <v>102.29</v>
      </c>
      <c r="N36" s="112">
        <v>44.3</v>
      </c>
      <c r="O36" s="112">
        <v>0</v>
      </c>
      <c r="P36" s="112">
        <v>0.32</v>
      </c>
      <c r="Q36" s="112">
        <v>4.76</v>
      </c>
    </row>
    <row r="37" spans="1:17" customFormat="1">
      <c r="A37" s="80">
        <v>45495.302083333336</v>
      </c>
      <c r="B37" s="112">
        <v>9.42</v>
      </c>
      <c r="C37" s="112">
        <v>4.1100000000000003</v>
      </c>
      <c r="D37" s="112">
        <v>14.15</v>
      </c>
      <c r="E37" s="112">
        <v>6.91</v>
      </c>
      <c r="F37" s="112">
        <v>4.99</v>
      </c>
      <c r="G37" s="112">
        <v>2.17</v>
      </c>
      <c r="H37" s="112">
        <v>1.19</v>
      </c>
      <c r="I37" s="112">
        <v>3.03</v>
      </c>
      <c r="J37" s="112">
        <v>0.75</v>
      </c>
      <c r="K37" s="112">
        <v>279.14999999999998</v>
      </c>
      <c r="L37" s="112">
        <v>26.24</v>
      </c>
      <c r="M37" s="112">
        <v>100.66</v>
      </c>
      <c r="N37" s="112">
        <v>44.8</v>
      </c>
      <c r="O37" s="112">
        <v>0</v>
      </c>
      <c r="P37" s="112">
        <v>0.32</v>
      </c>
      <c r="Q37" s="112">
        <v>4.75</v>
      </c>
    </row>
    <row r="38" spans="1:17" customFormat="1">
      <c r="A38" s="80">
        <v>45495.3125</v>
      </c>
      <c r="B38" s="112">
        <v>9.44</v>
      </c>
      <c r="C38" s="112">
        <v>4.07</v>
      </c>
      <c r="D38" s="112">
        <v>14.15</v>
      </c>
      <c r="E38" s="112">
        <v>7.03</v>
      </c>
      <c r="F38" s="112">
        <v>5.37</v>
      </c>
      <c r="G38" s="112">
        <v>2.13</v>
      </c>
      <c r="H38" s="112">
        <v>1.18</v>
      </c>
      <c r="I38" s="112">
        <v>3.03</v>
      </c>
      <c r="J38" s="112">
        <v>0.6</v>
      </c>
      <c r="K38" s="112">
        <v>276.45999999999998</v>
      </c>
      <c r="L38" s="112">
        <v>26.44</v>
      </c>
      <c r="M38" s="112">
        <v>100.52</v>
      </c>
      <c r="N38" s="112">
        <v>56.4</v>
      </c>
      <c r="O38" s="112">
        <v>0</v>
      </c>
      <c r="P38" s="112">
        <v>0.31</v>
      </c>
      <c r="Q38" s="112">
        <v>4.7699999999999996</v>
      </c>
    </row>
    <row r="39" spans="1:17" customFormat="1">
      <c r="A39" s="80">
        <v>45495.322916666664</v>
      </c>
      <c r="B39" s="112">
        <v>9.43</v>
      </c>
      <c r="C39" s="112">
        <v>4.08</v>
      </c>
      <c r="D39" s="112">
        <v>14.14</v>
      </c>
      <c r="E39" s="112">
        <v>6.69</v>
      </c>
      <c r="F39" s="112">
        <v>5.16</v>
      </c>
      <c r="G39" s="112">
        <v>1.6</v>
      </c>
      <c r="H39" s="112">
        <v>0.93</v>
      </c>
      <c r="I39" s="112">
        <v>3.06</v>
      </c>
      <c r="J39" s="112">
        <v>0.63</v>
      </c>
      <c r="K39" s="112">
        <v>276.42</v>
      </c>
      <c r="L39" s="112">
        <v>26.57</v>
      </c>
      <c r="M39" s="112">
        <v>99.76</v>
      </c>
      <c r="N39" s="112">
        <v>56.8</v>
      </c>
      <c r="O39" s="112">
        <v>0</v>
      </c>
      <c r="P39" s="112">
        <v>0.32</v>
      </c>
      <c r="Q39" s="112">
        <v>4.7699999999999996</v>
      </c>
    </row>
    <row r="40" spans="1:17" customFormat="1">
      <c r="A40" s="80">
        <v>45495.333333333336</v>
      </c>
      <c r="B40" s="112">
        <v>9.41</v>
      </c>
      <c r="C40" s="112">
        <v>4.0999999999999996</v>
      </c>
      <c r="D40" s="112">
        <v>14.13</v>
      </c>
      <c r="E40" s="112">
        <v>7.41</v>
      </c>
      <c r="F40" s="112">
        <v>5.12</v>
      </c>
      <c r="G40" s="112">
        <v>1.6</v>
      </c>
      <c r="H40" s="112">
        <v>0.93</v>
      </c>
      <c r="I40" s="112">
        <v>3.09</v>
      </c>
      <c r="J40" s="112">
        <v>0.69</v>
      </c>
      <c r="K40" s="112">
        <v>279.51</v>
      </c>
      <c r="L40" s="112">
        <v>26.75</v>
      </c>
      <c r="M40" s="112">
        <v>99.08</v>
      </c>
      <c r="N40" s="112">
        <v>63.2</v>
      </c>
      <c r="O40" s="112">
        <v>0</v>
      </c>
      <c r="P40" s="112">
        <v>0.32</v>
      </c>
      <c r="Q40" s="112">
        <v>4.7699999999999996</v>
      </c>
    </row>
    <row r="41" spans="1:17" customFormat="1">
      <c r="A41" s="80">
        <v>45495.34375</v>
      </c>
      <c r="B41" s="112">
        <v>9.43</v>
      </c>
      <c r="C41" s="112">
        <v>4.09</v>
      </c>
      <c r="D41" s="112">
        <v>14.15</v>
      </c>
      <c r="E41" s="112">
        <v>7.94</v>
      </c>
      <c r="F41" s="112">
        <v>4.46</v>
      </c>
      <c r="G41" s="112">
        <v>1.6</v>
      </c>
      <c r="H41" s="112">
        <v>0.93</v>
      </c>
      <c r="I41" s="112">
        <v>3.17</v>
      </c>
      <c r="J41" s="112">
        <v>0.66</v>
      </c>
      <c r="K41" s="112">
        <v>284.04000000000002</v>
      </c>
      <c r="L41" s="112">
        <v>26.84</v>
      </c>
      <c r="M41" s="112">
        <v>97.32</v>
      </c>
      <c r="N41" s="112">
        <v>52.4</v>
      </c>
      <c r="O41" s="112">
        <v>0</v>
      </c>
      <c r="P41" s="112">
        <v>0.35</v>
      </c>
      <c r="Q41" s="112">
        <v>4.76</v>
      </c>
    </row>
    <row r="42" spans="1:17" customFormat="1">
      <c r="A42" s="80">
        <v>45495.354166666664</v>
      </c>
      <c r="B42" s="112">
        <v>9.4499999999999993</v>
      </c>
      <c r="C42" s="112">
        <v>4.09</v>
      </c>
      <c r="D42" s="112">
        <v>14.17</v>
      </c>
      <c r="E42" s="112">
        <v>7.54</v>
      </c>
      <c r="F42" s="112">
        <v>4.71</v>
      </c>
      <c r="G42" s="112">
        <v>1.85</v>
      </c>
      <c r="H42" s="112">
        <v>0.92</v>
      </c>
      <c r="I42" s="112">
        <v>3.31</v>
      </c>
      <c r="J42" s="112">
        <v>0.7</v>
      </c>
      <c r="K42" s="112">
        <v>283.29000000000002</v>
      </c>
      <c r="L42" s="112">
        <v>26.89</v>
      </c>
      <c r="M42" s="112">
        <v>97.29</v>
      </c>
      <c r="N42" s="112">
        <v>55.3</v>
      </c>
      <c r="O42" s="112">
        <v>0</v>
      </c>
      <c r="P42" s="112">
        <v>0.37</v>
      </c>
      <c r="Q42" s="112">
        <v>4.75</v>
      </c>
    </row>
    <row r="43" spans="1:17" customFormat="1">
      <c r="A43" s="80">
        <v>45495.364583333336</v>
      </c>
      <c r="B43" s="112">
        <v>9.44</v>
      </c>
      <c r="C43" s="112">
        <v>4.07</v>
      </c>
      <c r="D43" s="112">
        <v>14.15</v>
      </c>
      <c r="E43" s="112">
        <v>7.95</v>
      </c>
      <c r="F43" s="112">
        <v>4.76</v>
      </c>
      <c r="G43" s="112">
        <v>6.05</v>
      </c>
      <c r="H43" s="112">
        <v>0.75</v>
      </c>
      <c r="I43" s="112">
        <v>3.52</v>
      </c>
      <c r="J43" s="112">
        <v>0.55000000000000004</v>
      </c>
      <c r="K43" s="112">
        <v>288.35000000000002</v>
      </c>
      <c r="L43" s="112">
        <v>26.96</v>
      </c>
      <c r="M43" s="112">
        <v>99.29</v>
      </c>
      <c r="N43" s="112">
        <v>86.1</v>
      </c>
      <c r="O43" s="112">
        <v>0</v>
      </c>
      <c r="P43" s="112">
        <v>0.4</v>
      </c>
      <c r="Q43" s="112">
        <v>4.76</v>
      </c>
    </row>
    <row r="44" spans="1:17" customFormat="1">
      <c r="A44" s="80">
        <v>45495.375</v>
      </c>
      <c r="B44" s="112">
        <v>9.41</v>
      </c>
      <c r="C44" s="112">
        <v>4.05</v>
      </c>
      <c r="D44" s="112">
        <v>14.11</v>
      </c>
      <c r="E44" s="112">
        <v>8.07</v>
      </c>
      <c r="F44" s="112">
        <v>3.2</v>
      </c>
      <c r="G44" s="112">
        <v>6.05</v>
      </c>
      <c r="H44" s="112">
        <v>0.75</v>
      </c>
      <c r="I44" s="112">
        <v>3.82</v>
      </c>
      <c r="J44" s="112">
        <v>0.61</v>
      </c>
      <c r="K44" s="112">
        <v>289</v>
      </c>
      <c r="L44" s="112">
        <v>27.15</v>
      </c>
      <c r="M44" s="112">
        <v>100.15</v>
      </c>
      <c r="N44" s="112">
        <v>89.9</v>
      </c>
      <c r="O44" s="112">
        <v>0.2</v>
      </c>
      <c r="P44" s="112">
        <v>0.43</v>
      </c>
      <c r="Q44" s="112">
        <v>4.76</v>
      </c>
    </row>
    <row r="45" spans="1:17" customFormat="1">
      <c r="A45" s="80">
        <v>45495.385416666664</v>
      </c>
      <c r="B45" s="112">
        <v>9.3800000000000008</v>
      </c>
      <c r="C45" s="112">
        <v>4.07</v>
      </c>
      <c r="D45" s="112">
        <v>14.1</v>
      </c>
      <c r="E45" s="112">
        <v>8.48</v>
      </c>
      <c r="F45" s="112">
        <v>2.76</v>
      </c>
      <c r="G45" s="112">
        <v>6.05</v>
      </c>
      <c r="H45" s="112">
        <v>0.75</v>
      </c>
      <c r="I45" s="112">
        <v>4.1900000000000004</v>
      </c>
      <c r="J45" s="112">
        <v>0.81</v>
      </c>
      <c r="K45" s="112">
        <v>298.04000000000002</v>
      </c>
      <c r="L45" s="112">
        <v>27.16</v>
      </c>
      <c r="M45" s="112">
        <v>99.06</v>
      </c>
      <c r="N45" s="112">
        <v>117.1</v>
      </c>
      <c r="O45" s="112">
        <v>0</v>
      </c>
      <c r="P45" s="112">
        <v>0.45</v>
      </c>
      <c r="Q45" s="112">
        <v>4.75</v>
      </c>
    </row>
    <row r="46" spans="1:17" customFormat="1">
      <c r="A46" s="80">
        <v>45495.395833333336</v>
      </c>
      <c r="B46" s="112">
        <v>9.36</v>
      </c>
      <c r="C46" s="112">
        <v>4.07</v>
      </c>
      <c r="D46" s="112">
        <v>14.08</v>
      </c>
      <c r="E46" s="112">
        <v>8.67</v>
      </c>
      <c r="F46" s="112">
        <v>4.01</v>
      </c>
      <c r="G46" s="112">
        <v>6.04</v>
      </c>
      <c r="H46" s="112">
        <v>0.86</v>
      </c>
      <c r="I46" s="112">
        <v>4.53</v>
      </c>
      <c r="J46" s="112">
        <v>0.66</v>
      </c>
      <c r="K46" s="112">
        <v>297.60000000000002</v>
      </c>
      <c r="L46" s="112">
        <v>27.13</v>
      </c>
      <c r="M46" s="112">
        <v>98.96</v>
      </c>
      <c r="N46" s="112">
        <v>98.9</v>
      </c>
      <c r="O46" s="112">
        <v>0.2</v>
      </c>
      <c r="P46" s="112">
        <v>0.46</v>
      </c>
      <c r="Q46" s="112">
        <v>4.75</v>
      </c>
    </row>
    <row r="47" spans="1:17" customFormat="1">
      <c r="A47" s="80">
        <v>45495.40625</v>
      </c>
      <c r="B47" s="112">
        <v>9.36</v>
      </c>
      <c r="C47" s="112">
        <v>4.08</v>
      </c>
      <c r="D47" s="112">
        <v>14.09</v>
      </c>
      <c r="E47" s="112">
        <v>8.85</v>
      </c>
      <c r="F47" s="112">
        <v>3.62</v>
      </c>
      <c r="G47" s="112">
        <v>5.79</v>
      </c>
      <c r="H47" s="112">
        <v>2.58</v>
      </c>
      <c r="I47" s="112">
        <v>4.72</v>
      </c>
      <c r="J47" s="112">
        <v>0.73</v>
      </c>
      <c r="K47" s="112">
        <v>309.02</v>
      </c>
      <c r="L47" s="112">
        <v>27.14</v>
      </c>
      <c r="M47" s="112">
        <v>98.08</v>
      </c>
      <c r="N47" s="112">
        <v>141.6</v>
      </c>
      <c r="O47" s="112">
        <v>0</v>
      </c>
      <c r="P47" s="112">
        <v>0.48</v>
      </c>
      <c r="Q47" s="112">
        <v>4.74</v>
      </c>
    </row>
    <row r="48" spans="1:17" customFormat="1">
      <c r="A48" s="80">
        <v>45495.416666666664</v>
      </c>
      <c r="B48" s="112">
        <v>9.34</v>
      </c>
      <c r="C48" s="112">
        <v>4.08</v>
      </c>
      <c r="D48" s="112">
        <v>14.07</v>
      </c>
      <c r="E48" s="112">
        <v>8.86</v>
      </c>
      <c r="F48" s="112">
        <v>3.7</v>
      </c>
      <c r="G48" s="112">
        <v>5.79</v>
      </c>
      <c r="H48" s="112">
        <v>2.58</v>
      </c>
      <c r="I48" s="112">
        <v>4.83</v>
      </c>
      <c r="J48" s="112">
        <v>0.7</v>
      </c>
      <c r="K48" s="112">
        <v>316.22000000000003</v>
      </c>
      <c r="L48" s="112">
        <v>27.22</v>
      </c>
      <c r="M48" s="112">
        <v>97.54</v>
      </c>
      <c r="N48" s="112">
        <v>62.6</v>
      </c>
      <c r="O48" s="112">
        <v>0.2</v>
      </c>
      <c r="P48" s="112">
        <v>0.49</v>
      </c>
      <c r="Q48" s="112">
        <v>4.75</v>
      </c>
    </row>
    <row r="49" spans="1:17" customFormat="1">
      <c r="A49" s="80">
        <v>45495.427083333336</v>
      </c>
      <c r="B49" s="112">
        <v>9.32</v>
      </c>
      <c r="C49" s="112">
        <v>4.1100000000000003</v>
      </c>
      <c r="D49" s="112">
        <v>14.07</v>
      </c>
      <c r="E49" s="112">
        <v>7.83</v>
      </c>
      <c r="F49" s="112">
        <v>3.71</v>
      </c>
      <c r="G49" s="112">
        <v>5.79</v>
      </c>
      <c r="H49" s="112">
        <v>2.58</v>
      </c>
      <c r="I49" s="112">
        <v>4.88</v>
      </c>
      <c r="J49" s="112">
        <v>0.78</v>
      </c>
      <c r="K49" s="112">
        <v>308.91000000000003</v>
      </c>
      <c r="L49" s="112">
        <v>27.04</v>
      </c>
      <c r="M49" s="112">
        <v>97.74</v>
      </c>
      <c r="N49" s="112">
        <v>71.099999999999994</v>
      </c>
      <c r="O49" s="112">
        <v>0</v>
      </c>
      <c r="P49" s="112">
        <v>0.51</v>
      </c>
      <c r="Q49" s="112">
        <v>4.75</v>
      </c>
    </row>
    <row r="50" spans="1:17" customFormat="1">
      <c r="A50" s="80">
        <v>45495.4375</v>
      </c>
      <c r="B50" s="112">
        <v>9.33</v>
      </c>
      <c r="C50" s="112">
        <v>4.08</v>
      </c>
      <c r="D50" s="112">
        <v>14.07</v>
      </c>
      <c r="E50" s="112">
        <v>9.4700000000000006</v>
      </c>
      <c r="F50" s="112">
        <v>3.59</v>
      </c>
      <c r="G50" s="112">
        <v>6.55</v>
      </c>
      <c r="H50" s="112">
        <v>2.65</v>
      </c>
      <c r="I50" s="112">
        <v>4.9400000000000004</v>
      </c>
      <c r="J50" s="112">
        <v>0.93</v>
      </c>
      <c r="K50" s="112">
        <v>303.52999999999997</v>
      </c>
      <c r="L50" s="112">
        <v>27.14</v>
      </c>
      <c r="M50" s="112">
        <v>97.46</v>
      </c>
      <c r="N50" s="112">
        <v>86.7</v>
      </c>
      <c r="O50" s="112">
        <v>0</v>
      </c>
      <c r="P50" s="112">
        <v>0.53</v>
      </c>
      <c r="Q50" s="112">
        <v>4.75</v>
      </c>
    </row>
    <row r="51" spans="1:17" customFormat="1">
      <c r="A51" s="80">
        <v>45495.447916666664</v>
      </c>
      <c r="B51" s="112">
        <v>9.33</v>
      </c>
      <c r="C51" s="112">
        <v>4.0599999999999996</v>
      </c>
      <c r="D51" s="112">
        <v>14.05</v>
      </c>
      <c r="E51" s="112">
        <v>9.83</v>
      </c>
      <c r="F51" s="112">
        <v>3.79</v>
      </c>
      <c r="G51" s="112">
        <v>19.61</v>
      </c>
      <c r="H51" s="112">
        <v>3.73</v>
      </c>
      <c r="I51" s="112">
        <v>5.07</v>
      </c>
      <c r="J51" s="112">
        <v>0.73</v>
      </c>
      <c r="K51" s="112">
        <v>294.89</v>
      </c>
      <c r="L51" s="112">
        <v>27.18</v>
      </c>
      <c r="M51" s="112">
        <v>98.54</v>
      </c>
      <c r="N51" s="112">
        <v>97.8</v>
      </c>
      <c r="O51" s="112">
        <v>0</v>
      </c>
      <c r="P51" s="112">
        <v>0.53</v>
      </c>
      <c r="Q51" s="112">
        <v>4.75</v>
      </c>
    </row>
    <row r="52" spans="1:17" customFormat="1">
      <c r="A52" s="80">
        <v>45495.458333333336</v>
      </c>
      <c r="B52" s="112">
        <v>9.32</v>
      </c>
      <c r="C52" s="112">
        <v>4.0599999999999996</v>
      </c>
      <c r="D52" s="112">
        <v>14.04</v>
      </c>
      <c r="E52" s="112">
        <v>9.6</v>
      </c>
      <c r="F52" s="112">
        <v>4.0599999999999996</v>
      </c>
      <c r="G52" s="112">
        <v>19.61</v>
      </c>
      <c r="H52" s="112">
        <v>3.73</v>
      </c>
      <c r="I52" s="112">
        <v>5.15</v>
      </c>
      <c r="J52" s="112">
        <v>0.71</v>
      </c>
      <c r="K52" s="112">
        <v>303.63</v>
      </c>
      <c r="L52" s="112">
        <v>27.43</v>
      </c>
      <c r="M52" s="112">
        <v>99.71</v>
      </c>
      <c r="N52" s="112">
        <v>114.8</v>
      </c>
      <c r="O52" s="112">
        <v>0</v>
      </c>
      <c r="P52" s="112">
        <v>0.54</v>
      </c>
      <c r="Q52" s="112">
        <v>4.74</v>
      </c>
    </row>
    <row r="53" spans="1:17" customFormat="1">
      <c r="A53" s="80">
        <v>45495.46875</v>
      </c>
      <c r="B53" s="112">
        <v>9.33</v>
      </c>
      <c r="C53" s="112">
        <v>4.05</v>
      </c>
      <c r="D53" s="112">
        <v>14.05</v>
      </c>
      <c r="E53" s="112">
        <v>9.49</v>
      </c>
      <c r="F53" s="112">
        <v>3.61</v>
      </c>
      <c r="G53" s="112">
        <v>19.61</v>
      </c>
      <c r="H53" s="112">
        <v>3.73</v>
      </c>
      <c r="I53" s="112">
        <v>5.16</v>
      </c>
      <c r="J53" s="112">
        <v>0.57999999999999996</v>
      </c>
      <c r="K53" s="112">
        <v>291.38</v>
      </c>
      <c r="L53" s="112">
        <v>27.55</v>
      </c>
      <c r="M53" s="112">
        <v>98.89</v>
      </c>
      <c r="N53" s="112">
        <v>69.5</v>
      </c>
      <c r="O53" s="112">
        <v>0</v>
      </c>
      <c r="P53" s="112">
        <v>0.56000000000000005</v>
      </c>
      <c r="Q53" s="112">
        <v>4.74</v>
      </c>
    </row>
    <row r="54" spans="1:17" customFormat="1">
      <c r="A54" s="80">
        <v>45495.479166666664</v>
      </c>
      <c r="B54" s="112">
        <v>9.31</v>
      </c>
      <c r="C54" s="112">
        <v>4.07</v>
      </c>
      <c r="D54" s="112">
        <v>14.04</v>
      </c>
      <c r="E54" s="112">
        <v>10.130000000000001</v>
      </c>
      <c r="F54" s="112">
        <v>3.99</v>
      </c>
      <c r="G54" s="112">
        <v>20.52</v>
      </c>
      <c r="H54" s="112">
        <v>3.93</v>
      </c>
      <c r="I54" s="112">
        <v>5.38</v>
      </c>
      <c r="J54" s="112">
        <v>0.61</v>
      </c>
      <c r="K54" s="112">
        <v>277.08999999999997</v>
      </c>
      <c r="L54" s="112">
        <v>27.29</v>
      </c>
      <c r="M54" s="112">
        <v>98.98</v>
      </c>
      <c r="N54" s="112">
        <v>59.3</v>
      </c>
      <c r="O54" s="112">
        <v>0.2</v>
      </c>
      <c r="P54" s="112">
        <v>0.56000000000000005</v>
      </c>
      <c r="Q54" s="112">
        <v>4.74</v>
      </c>
    </row>
    <row r="55" spans="1:17" customFormat="1">
      <c r="A55" s="80">
        <v>45495.489583333336</v>
      </c>
      <c r="B55" s="112">
        <v>9.3000000000000007</v>
      </c>
      <c r="C55" s="112">
        <v>4.0999999999999996</v>
      </c>
      <c r="D55" s="112">
        <v>14.05</v>
      </c>
      <c r="E55" s="112">
        <v>9.76</v>
      </c>
      <c r="F55" s="112">
        <v>2.76</v>
      </c>
      <c r="G55" s="112">
        <v>35.96</v>
      </c>
      <c r="H55" s="112">
        <v>6.94</v>
      </c>
      <c r="I55" s="112">
        <v>5.56</v>
      </c>
      <c r="J55" s="112">
        <v>0.81</v>
      </c>
      <c r="K55" s="112">
        <v>276.07</v>
      </c>
      <c r="L55" s="112">
        <v>26.84</v>
      </c>
      <c r="M55" s="112">
        <v>102.61</v>
      </c>
      <c r="N55" s="112">
        <v>62.6</v>
      </c>
      <c r="O55" s="112">
        <v>0</v>
      </c>
      <c r="P55" s="112">
        <v>0.56000000000000005</v>
      </c>
      <c r="Q55" s="112">
        <v>4.74</v>
      </c>
    </row>
    <row r="56" spans="1:17" customFormat="1">
      <c r="A56" s="80">
        <v>45495.5</v>
      </c>
      <c r="B56" s="112">
        <v>9.31</v>
      </c>
      <c r="C56" s="112">
        <v>4.0599999999999996</v>
      </c>
      <c r="D56" s="112">
        <v>14.03</v>
      </c>
      <c r="E56" s="112">
        <v>10.17</v>
      </c>
      <c r="F56" s="112">
        <v>3.66</v>
      </c>
      <c r="G56" s="112">
        <v>35.96</v>
      </c>
      <c r="H56" s="112">
        <v>6.94</v>
      </c>
      <c r="I56" s="112">
        <v>5.68</v>
      </c>
      <c r="J56" s="112">
        <v>0.81</v>
      </c>
      <c r="K56" s="112">
        <v>276.64</v>
      </c>
      <c r="L56" s="112">
        <v>26.56</v>
      </c>
      <c r="M56" s="112">
        <v>101.69</v>
      </c>
      <c r="N56" s="112">
        <v>123.4</v>
      </c>
      <c r="O56" s="112">
        <v>0</v>
      </c>
      <c r="P56" s="112">
        <v>0.56000000000000005</v>
      </c>
      <c r="Q56" s="112">
        <v>4.7300000000000004</v>
      </c>
    </row>
    <row r="57" spans="1:17" customFormat="1">
      <c r="A57" s="80">
        <v>45495.510416666664</v>
      </c>
      <c r="B57" s="112">
        <v>9.2899999999999991</v>
      </c>
      <c r="C57" s="112">
        <v>4.05</v>
      </c>
      <c r="D57" s="112">
        <v>14.02</v>
      </c>
      <c r="E57" s="112">
        <v>10.210000000000001</v>
      </c>
      <c r="F57" s="112">
        <v>3.57</v>
      </c>
      <c r="G57" s="112">
        <v>35.96</v>
      </c>
      <c r="H57" s="112">
        <v>6.94</v>
      </c>
      <c r="I57" s="112">
        <v>5.69</v>
      </c>
      <c r="J57" s="112">
        <v>0.95</v>
      </c>
      <c r="K57" s="112">
        <v>274.58999999999997</v>
      </c>
      <c r="L57" s="112">
        <v>26.88</v>
      </c>
      <c r="M57" s="112">
        <v>101.08</v>
      </c>
      <c r="N57" s="112">
        <v>253.7</v>
      </c>
      <c r="O57" s="112">
        <v>0</v>
      </c>
      <c r="P57" s="112">
        <v>0.57999999999999996</v>
      </c>
      <c r="Q57" s="112">
        <v>4.71</v>
      </c>
    </row>
    <row r="58" spans="1:17" customFormat="1">
      <c r="A58" s="80">
        <v>45495.520833333336</v>
      </c>
      <c r="B58" s="112">
        <v>9.3699999999999992</v>
      </c>
      <c r="C58" s="112">
        <v>4.05</v>
      </c>
      <c r="D58" s="112">
        <v>14.08</v>
      </c>
      <c r="E58" s="112">
        <v>9.7799999999999994</v>
      </c>
      <c r="F58" s="112">
        <v>4.21</v>
      </c>
      <c r="G58" s="112">
        <v>35.799999999999997</v>
      </c>
      <c r="H58" s="112">
        <v>6.83</v>
      </c>
      <c r="I58" s="112">
        <v>5.65</v>
      </c>
      <c r="J58" s="112">
        <v>1.01</v>
      </c>
      <c r="K58" s="112">
        <v>277.02</v>
      </c>
      <c r="L58" s="112">
        <v>26.99</v>
      </c>
      <c r="M58" s="112">
        <v>99.5</v>
      </c>
      <c r="N58" s="112">
        <v>172.9</v>
      </c>
      <c r="O58" s="112">
        <v>0</v>
      </c>
      <c r="P58" s="112">
        <v>0.56999999999999995</v>
      </c>
      <c r="Q58" s="112">
        <v>4.71</v>
      </c>
    </row>
    <row r="59" spans="1:17" customFormat="1">
      <c r="A59" s="80">
        <v>45495.53125</v>
      </c>
      <c r="B59" s="112">
        <v>9.42</v>
      </c>
      <c r="C59" s="112">
        <v>4.07</v>
      </c>
      <c r="D59" s="112">
        <v>14.13</v>
      </c>
      <c r="E59" s="112">
        <v>8.94</v>
      </c>
      <c r="F59" s="112">
        <v>5.0599999999999996</v>
      </c>
      <c r="G59" s="112">
        <v>33.15</v>
      </c>
      <c r="H59" s="112">
        <v>5.14</v>
      </c>
      <c r="I59" s="112">
        <v>5.56</v>
      </c>
      <c r="J59" s="112">
        <v>0.99</v>
      </c>
      <c r="K59" s="112">
        <v>275.87</v>
      </c>
      <c r="L59" s="112">
        <v>26.57</v>
      </c>
      <c r="M59" s="112">
        <v>97.54</v>
      </c>
      <c r="N59" s="112">
        <v>107.1</v>
      </c>
      <c r="O59" s="112">
        <v>0</v>
      </c>
      <c r="P59" s="112">
        <v>0.55000000000000004</v>
      </c>
      <c r="Q59" s="112">
        <v>4.71</v>
      </c>
    </row>
    <row r="60" spans="1:17" customFormat="1">
      <c r="A60" s="80">
        <v>45495.541666666664</v>
      </c>
      <c r="B60" s="112">
        <v>9.42</v>
      </c>
      <c r="C60" s="112">
        <v>4.0999999999999996</v>
      </c>
      <c r="D60" s="112">
        <v>14.15</v>
      </c>
      <c r="E60" s="112">
        <v>8.7100000000000009</v>
      </c>
      <c r="F60" s="112">
        <v>4.9800000000000004</v>
      </c>
      <c r="G60" s="112">
        <v>33.15</v>
      </c>
      <c r="H60" s="112">
        <v>5.14</v>
      </c>
      <c r="I60" s="112">
        <v>5.48</v>
      </c>
      <c r="J60" s="112">
        <v>1.1599999999999999</v>
      </c>
      <c r="K60" s="112">
        <v>274.62</v>
      </c>
      <c r="L60" s="112">
        <v>26.15</v>
      </c>
      <c r="M60" s="112">
        <v>97.67</v>
      </c>
      <c r="N60" s="112">
        <v>43.5</v>
      </c>
      <c r="O60" s="112">
        <v>0</v>
      </c>
      <c r="P60" s="112">
        <v>0.54</v>
      </c>
      <c r="Q60" s="112">
        <v>4.72</v>
      </c>
    </row>
    <row r="61" spans="1:17" customFormat="1">
      <c r="A61" s="80">
        <v>45495.552083333336</v>
      </c>
      <c r="B61" s="112">
        <v>9.3800000000000008</v>
      </c>
      <c r="C61" s="112">
        <v>4.0999999999999996</v>
      </c>
      <c r="D61" s="112">
        <v>14.12</v>
      </c>
      <c r="E61" s="112">
        <v>7.74</v>
      </c>
      <c r="F61" s="112">
        <v>4.5599999999999996</v>
      </c>
      <c r="G61" s="112">
        <v>33.15</v>
      </c>
      <c r="H61" s="112">
        <v>5.14</v>
      </c>
      <c r="I61" s="112">
        <v>5.37</v>
      </c>
      <c r="J61" s="112">
        <v>0.9</v>
      </c>
      <c r="K61" s="112">
        <v>269.76</v>
      </c>
      <c r="L61" s="112">
        <v>25.93</v>
      </c>
      <c r="M61" s="112">
        <v>96.15</v>
      </c>
      <c r="N61" s="112">
        <v>37.1</v>
      </c>
      <c r="O61" s="112">
        <v>0</v>
      </c>
      <c r="P61" s="112">
        <v>0.53</v>
      </c>
      <c r="Q61" s="112">
        <v>4.7300000000000004</v>
      </c>
    </row>
    <row r="62" spans="1:17" customFormat="1">
      <c r="A62" s="80">
        <v>45495.5625</v>
      </c>
      <c r="B62" s="112">
        <v>9.3699999999999992</v>
      </c>
      <c r="C62" s="112">
        <v>4.09</v>
      </c>
      <c r="D62" s="112">
        <v>14.1</v>
      </c>
      <c r="E62" s="112">
        <v>7.7</v>
      </c>
      <c r="F62" s="112">
        <v>4.8600000000000003</v>
      </c>
      <c r="G62" s="112">
        <v>32.549999999999997</v>
      </c>
      <c r="H62" s="112">
        <v>5.05</v>
      </c>
      <c r="I62" s="112">
        <v>5.05</v>
      </c>
      <c r="J62" s="112">
        <v>1</v>
      </c>
      <c r="K62" s="112">
        <v>273.66000000000003</v>
      </c>
      <c r="L62" s="112">
        <v>25.78</v>
      </c>
      <c r="M62" s="112">
        <v>97.07</v>
      </c>
      <c r="N62" s="112">
        <v>57</v>
      </c>
      <c r="O62" s="112">
        <v>0</v>
      </c>
      <c r="P62" s="112">
        <v>0.51</v>
      </c>
      <c r="Q62" s="112">
        <v>4.72</v>
      </c>
    </row>
    <row r="63" spans="1:17" customFormat="1">
      <c r="A63" s="80">
        <v>45495.572916666664</v>
      </c>
      <c r="B63" s="112">
        <v>9.3800000000000008</v>
      </c>
      <c r="C63" s="112">
        <v>4.07</v>
      </c>
      <c r="D63" s="112">
        <v>14.1</v>
      </c>
      <c r="E63" s="112">
        <v>7.15</v>
      </c>
      <c r="F63" s="112">
        <v>5.04</v>
      </c>
      <c r="G63" s="112">
        <v>22.4</v>
      </c>
      <c r="H63" s="112">
        <v>3.74</v>
      </c>
      <c r="I63" s="112">
        <v>4.9400000000000004</v>
      </c>
      <c r="J63" s="112">
        <v>0.9</v>
      </c>
      <c r="K63" s="112">
        <v>274.22000000000003</v>
      </c>
      <c r="L63" s="112">
        <v>25.89</v>
      </c>
      <c r="M63" s="112">
        <v>97.77</v>
      </c>
      <c r="N63" s="112">
        <v>64.8</v>
      </c>
      <c r="O63" s="112">
        <v>0</v>
      </c>
      <c r="P63" s="112">
        <v>0.5</v>
      </c>
      <c r="Q63" s="112">
        <v>4.72</v>
      </c>
    </row>
    <row r="64" spans="1:17" customFormat="1">
      <c r="A64" s="80">
        <v>45495.583333333336</v>
      </c>
      <c r="B64" s="112">
        <v>9.3800000000000008</v>
      </c>
      <c r="C64" s="112">
        <v>4.07</v>
      </c>
      <c r="D64" s="112">
        <v>14.1</v>
      </c>
      <c r="E64" s="112">
        <v>7.05</v>
      </c>
      <c r="F64" s="112">
        <v>4.8099999999999996</v>
      </c>
      <c r="G64" s="112">
        <v>22.4</v>
      </c>
      <c r="H64" s="112">
        <v>3.74</v>
      </c>
      <c r="I64" s="112">
        <v>4.72</v>
      </c>
      <c r="J64" s="112">
        <v>0.87</v>
      </c>
      <c r="K64" s="112">
        <v>271</v>
      </c>
      <c r="L64" s="112">
        <v>25.98</v>
      </c>
      <c r="M64" s="112">
        <v>98.38</v>
      </c>
      <c r="N64" s="112">
        <v>51.9</v>
      </c>
      <c r="O64" s="112">
        <v>0</v>
      </c>
      <c r="P64" s="112">
        <v>0.5</v>
      </c>
      <c r="Q64" s="112">
        <v>4.71</v>
      </c>
    </row>
    <row r="65" spans="1:17" customFormat="1">
      <c r="A65" s="80">
        <v>45495.59375</v>
      </c>
      <c r="B65" s="112">
        <v>9.3800000000000008</v>
      </c>
      <c r="C65" s="112">
        <v>4.09</v>
      </c>
      <c r="D65" s="112">
        <v>14.1</v>
      </c>
      <c r="E65" s="112">
        <v>7.09</v>
      </c>
      <c r="F65" s="112">
        <v>4.51</v>
      </c>
      <c r="G65" s="112">
        <v>22.4</v>
      </c>
      <c r="H65" s="112">
        <v>3.74</v>
      </c>
      <c r="I65" s="112">
        <v>4.68</v>
      </c>
      <c r="J65" s="112">
        <v>0.92</v>
      </c>
      <c r="K65" s="112">
        <v>275.61</v>
      </c>
      <c r="L65" s="112">
        <v>25.96</v>
      </c>
      <c r="M65" s="112">
        <v>97.07</v>
      </c>
      <c r="N65" s="112">
        <v>29.5</v>
      </c>
      <c r="O65" s="112">
        <v>0</v>
      </c>
      <c r="P65" s="112">
        <v>0.43</v>
      </c>
      <c r="Q65" s="112">
        <v>4.7300000000000004</v>
      </c>
    </row>
    <row r="66" spans="1:17" customFormat="1">
      <c r="A66" s="80">
        <v>45495.604166666664</v>
      </c>
      <c r="B66" s="112">
        <v>9.3699999999999992</v>
      </c>
      <c r="C66" s="112">
        <v>4.0999999999999996</v>
      </c>
      <c r="D66" s="112">
        <v>14.1</v>
      </c>
      <c r="E66" s="112">
        <v>7.03</v>
      </c>
      <c r="F66" s="112">
        <v>4.82</v>
      </c>
      <c r="G66" s="112">
        <v>22.01</v>
      </c>
      <c r="H66" s="112">
        <v>3.7</v>
      </c>
      <c r="I66" s="112">
        <v>4.6399999999999997</v>
      </c>
      <c r="J66" s="112">
        <v>0.81</v>
      </c>
      <c r="K66" s="112">
        <v>271.61</v>
      </c>
      <c r="L66" s="112">
        <v>25.89</v>
      </c>
      <c r="M66" s="112">
        <v>96.89</v>
      </c>
      <c r="N66" s="112">
        <v>25.2</v>
      </c>
      <c r="O66" s="112">
        <v>0</v>
      </c>
      <c r="P66" s="112">
        <v>0.44</v>
      </c>
      <c r="Q66" s="112">
        <v>4.72</v>
      </c>
    </row>
    <row r="67" spans="1:17" customFormat="1">
      <c r="A67" s="80">
        <v>45495.614583333336</v>
      </c>
      <c r="B67" s="112">
        <v>9.3699999999999992</v>
      </c>
      <c r="C67" s="112">
        <v>4.08</v>
      </c>
      <c r="D67" s="112">
        <v>14.1</v>
      </c>
      <c r="E67" s="112">
        <v>6.7</v>
      </c>
      <c r="F67" s="112">
        <v>5.45</v>
      </c>
      <c r="G67" s="112">
        <v>15.36</v>
      </c>
      <c r="H67" s="112">
        <v>3.09</v>
      </c>
      <c r="I67" s="112">
        <v>4.55</v>
      </c>
      <c r="J67" s="112">
        <v>1.22</v>
      </c>
      <c r="K67" s="112">
        <v>272.85000000000002</v>
      </c>
      <c r="L67" s="112">
        <v>25.44</v>
      </c>
      <c r="M67" s="112">
        <v>96.06</v>
      </c>
      <c r="N67" s="112">
        <v>49.6</v>
      </c>
      <c r="O67" s="112">
        <v>0.4</v>
      </c>
      <c r="P67" s="112">
        <v>0.43</v>
      </c>
      <c r="Q67" s="112">
        <v>4.71</v>
      </c>
    </row>
    <row r="68" spans="1:17" customFormat="1">
      <c r="A68" s="80">
        <v>45495.625</v>
      </c>
      <c r="B68" s="112">
        <v>9.3699999999999992</v>
      </c>
      <c r="C68" s="112">
        <v>4.08</v>
      </c>
      <c r="D68" s="112">
        <v>14.09</v>
      </c>
      <c r="E68" s="112">
        <v>6.7</v>
      </c>
      <c r="F68" s="112">
        <v>4.9400000000000004</v>
      </c>
      <c r="G68" s="112">
        <v>15.36</v>
      </c>
      <c r="H68" s="112">
        <v>3.09</v>
      </c>
      <c r="I68" s="112">
        <v>4.38</v>
      </c>
      <c r="J68" s="112">
        <v>1</v>
      </c>
      <c r="K68" s="112">
        <v>274.04000000000002</v>
      </c>
      <c r="L68" s="112">
        <v>25.19</v>
      </c>
      <c r="M68" s="112">
        <v>97.41</v>
      </c>
      <c r="N68" s="112">
        <v>95.9</v>
      </c>
      <c r="O68" s="112">
        <v>0.2</v>
      </c>
      <c r="P68" s="112">
        <v>0.43</v>
      </c>
      <c r="Q68" s="112">
        <v>4.72</v>
      </c>
    </row>
    <row r="69" spans="1:17" customFormat="1">
      <c r="A69" s="80">
        <v>45495.635416666664</v>
      </c>
      <c r="B69" s="112">
        <v>9.3800000000000008</v>
      </c>
      <c r="C69" s="112">
        <v>4.0599999999999996</v>
      </c>
      <c r="D69" s="112">
        <v>14.09</v>
      </c>
      <c r="E69" s="112">
        <v>6.5</v>
      </c>
      <c r="F69" s="112">
        <v>5.1100000000000003</v>
      </c>
      <c r="G69" s="112">
        <v>15.36</v>
      </c>
      <c r="H69" s="112">
        <v>3.09</v>
      </c>
      <c r="I69" s="112">
        <v>4.38</v>
      </c>
      <c r="J69" s="112">
        <v>0.95</v>
      </c>
      <c r="K69" s="112">
        <v>274.11</v>
      </c>
      <c r="L69" s="112">
        <v>25.38</v>
      </c>
      <c r="M69" s="112">
        <v>97.98</v>
      </c>
      <c r="N69" s="112">
        <v>97.9</v>
      </c>
      <c r="O69" s="112">
        <v>0</v>
      </c>
      <c r="P69" s="112">
        <v>0.41</v>
      </c>
      <c r="Q69" s="112">
        <v>4.7300000000000004</v>
      </c>
    </row>
    <row r="70" spans="1:17" customFormat="1">
      <c r="A70" s="80">
        <v>45495.645833333336</v>
      </c>
      <c r="B70" s="112">
        <v>9.3699999999999992</v>
      </c>
      <c r="C70" s="112">
        <v>4.08</v>
      </c>
      <c r="D70" s="112">
        <v>14.1</v>
      </c>
      <c r="E70" s="112">
        <v>6.48</v>
      </c>
      <c r="F70" s="112">
        <v>5.18</v>
      </c>
      <c r="G70" s="112">
        <v>15.1</v>
      </c>
      <c r="H70" s="112">
        <v>3.05</v>
      </c>
      <c r="I70" s="112">
        <v>4.29</v>
      </c>
      <c r="J70" s="112">
        <v>0.74</v>
      </c>
      <c r="K70" s="112">
        <v>272.07</v>
      </c>
      <c r="L70" s="112">
        <v>25.34</v>
      </c>
      <c r="M70" s="112">
        <v>97.54</v>
      </c>
      <c r="N70" s="112">
        <v>55.1</v>
      </c>
      <c r="O70" s="112">
        <v>0</v>
      </c>
      <c r="P70" s="112">
        <v>0.4</v>
      </c>
      <c r="Q70" s="112">
        <v>4.71</v>
      </c>
    </row>
    <row r="71" spans="1:17" customFormat="1">
      <c r="A71" s="80">
        <v>45495.65625</v>
      </c>
      <c r="B71" s="112">
        <v>9.36</v>
      </c>
      <c r="C71" s="112">
        <v>4.09</v>
      </c>
      <c r="D71" s="112">
        <v>14.09</v>
      </c>
      <c r="E71" s="112">
        <v>6.55</v>
      </c>
      <c r="F71" s="112">
        <v>4.78</v>
      </c>
      <c r="G71" s="112">
        <v>10.64</v>
      </c>
      <c r="H71" s="112">
        <v>2.41</v>
      </c>
      <c r="I71" s="112">
        <v>4.21</v>
      </c>
      <c r="J71" s="112">
        <v>0.84</v>
      </c>
      <c r="K71" s="112">
        <v>273.83</v>
      </c>
      <c r="L71" s="112">
        <v>25.41</v>
      </c>
      <c r="M71" s="112">
        <v>97.82</v>
      </c>
      <c r="N71" s="112">
        <v>57.1</v>
      </c>
      <c r="O71" s="112">
        <v>0</v>
      </c>
      <c r="P71" s="112">
        <v>0.4</v>
      </c>
      <c r="Q71" s="112">
        <v>4.71</v>
      </c>
    </row>
    <row r="72" spans="1:17" customFormat="1">
      <c r="A72" s="80">
        <v>45495.666666666664</v>
      </c>
      <c r="B72" s="112">
        <v>9.34</v>
      </c>
      <c r="C72" s="112">
        <v>4.08</v>
      </c>
      <c r="D72" s="112">
        <v>14.07</v>
      </c>
      <c r="E72" s="112">
        <v>6.3</v>
      </c>
      <c r="F72" s="112">
        <v>4.7</v>
      </c>
      <c r="G72" s="112">
        <v>10.64</v>
      </c>
      <c r="H72" s="112">
        <v>2.41</v>
      </c>
      <c r="I72" s="112">
        <v>4.16</v>
      </c>
      <c r="J72" s="112">
        <v>0.57999999999999996</v>
      </c>
      <c r="K72" s="112">
        <v>272.55</v>
      </c>
      <c r="L72" s="112">
        <v>25.42</v>
      </c>
      <c r="M72" s="112">
        <v>97.93</v>
      </c>
      <c r="N72" s="112">
        <v>30.9</v>
      </c>
      <c r="O72" s="112">
        <v>0</v>
      </c>
      <c r="P72" s="112">
        <v>0.42</v>
      </c>
      <c r="Q72" s="112">
        <v>4.72</v>
      </c>
    </row>
    <row r="73" spans="1:17" customFormat="1">
      <c r="A73" s="80">
        <v>45495.677083333336</v>
      </c>
      <c r="B73" s="112">
        <v>9.34</v>
      </c>
      <c r="C73" s="112">
        <v>4.05</v>
      </c>
      <c r="D73" s="112">
        <v>14.05</v>
      </c>
      <c r="E73" s="112">
        <v>6.49</v>
      </c>
      <c r="F73" s="112">
        <v>4.28</v>
      </c>
      <c r="G73" s="112">
        <v>10.64</v>
      </c>
      <c r="H73" s="112">
        <v>2.41</v>
      </c>
      <c r="I73" s="112">
        <v>4.1100000000000003</v>
      </c>
      <c r="J73" s="112">
        <v>0.88</v>
      </c>
      <c r="K73" s="112">
        <v>272.08</v>
      </c>
      <c r="L73" s="112">
        <v>25.51</v>
      </c>
      <c r="M73" s="112">
        <v>97.19</v>
      </c>
      <c r="N73" s="112">
        <v>26.4</v>
      </c>
      <c r="O73" s="112">
        <v>0</v>
      </c>
      <c r="P73" s="112">
        <v>0.4</v>
      </c>
      <c r="Q73" s="112">
        <v>4.72</v>
      </c>
    </row>
    <row r="74" spans="1:17" customFormat="1">
      <c r="A74" s="80">
        <v>45495.6875</v>
      </c>
      <c r="B74" s="112">
        <v>9.33</v>
      </c>
      <c r="C74" s="112">
        <v>4.07</v>
      </c>
      <c r="D74" s="112">
        <v>14.06</v>
      </c>
      <c r="E74" s="112">
        <v>6.09</v>
      </c>
      <c r="F74" s="112">
        <v>4.7699999999999996</v>
      </c>
      <c r="G74" s="112">
        <v>10.5</v>
      </c>
      <c r="H74" s="112">
        <v>2.37</v>
      </c>
      <c r="I74" s="112">
        <v>4.0999999999999996</v>
      </c>
      <c r="J74" s="112">
        <v>0.82</v>
      </c>
      <c r="K74" s="112">
        <v>276.39</v>
      </c>
      <c r="L74" s="112">
        <v>25.52</v>
      </c>
      <c r="M74" s="112">
        <v>96.3</v>
      </c>
      <c r="N74" s="112">
        <v>17.2</v>
      </c>
      <c r="O74" s="112">
        <v>0</v>
      </c>
      <c r="P74" s="112">
        <v>0.38</v>
      </c>
      <c r="Q74" s="112">
        <v>4.72</v>
      </c>
    </row>
    <row r="75" spans="1:17" customFormat="1">
      <c r="A75" s="80">
        <v>45495.697916666664</v>
      </c>
      <c r="B75" s="112">
        <v>9.33</v>
      </c>
      <c r="C75" s="112">
        <v>4.07</v>
      </c>
      <c r="D75" s="112">
        <v>14.06</v>
      </c>
      <c r="E75" s="112">
        <v>6.15</v>
      </c>
      <c r="F75" s="112">
        <v>4.5199999999999996</v>
      </c>
      <c r="G75" s="112">
        <v>8.14</v>
      </c>
      <c r="H75" s="112">
        <v>1.75</v>
      </c>
      <c r="I75" s="112">
        <v>4.0599999999999996</v>
      </c>
      <c r="J75" s="112">
        <v>0.84</v>
      </c>
      <c r="K75" s="112">
        <v>276.17</v>
      </c>
      <c r="L75" s="112">
        <v>25.53</v>
      </c>
      <c r="M75" s="112">
        <v>95.95</v>
      </c>
      <c r="N75" s="112">
        <v>11.9</v>
      </c>
      <c r="O75" s="112">
        <v>0</v>
      </c>
      <c r="P75" s="112">
        <v>0.39</v>
      </c>
      <c r="Q75" s="112">
        <v>4.7300000000000004</v>
      </c>
    </row>
    <row r="76" spans="1:17" customFormat="1">
      <c r="A76" s="80">
        <v>45495.708333333336</v>
      </c>
      <c r="B76" s="112">
        <v>9.35</v>
      </c>
      <c r="C76" s="112">
        <v>4.05</v>
      </c>
      <c r="D76" s="112">
        <v>14.06</v>
      </c>
      <c r="E76" s="112">
        <v>6.38</v>
      </c>
      <c r="F76" s="112">
        <v>4.2699999999999996</v>
      </c>
      <c r="G76" s="112">
        <v>8.14</v>
      </c>
      <c r="H76" s="112">
        <v>1.75</v>
      </c>
      <c r="I76" s="112">
        <v>3.94</v>
      </c>
      <c r="J76" s="112">
        <v>1.02</v>
      </c>
      <c r="K76" s="112">
        <v>277.47000000000003</v>
      </c>
      <c r="L76" s="112">
        <v>25.29</v>
      </c>
      <c r="M76" s="112">
        <v>97.25</v>
      </c>
      <c r="N76" s="112">
        <v>11.1</v>
      </c>
      <c r="O76" s="112">
        <v>1.6</v>
      </c>
      <c r="P76" s="112">
        <v>0.37</v>
      </c>
      <c r="Q76" s="112">
        <v>4.7300000000000004</v>
      </c>
    </row>
    <row r="77" spans="1:17" customFormat="1">
      <c r="A77" s="80">
        <v>45495.71875</v>
      </c>
      <c r="B77" s="112">
        <v>9.36</v>
      </c>
      <c r="C77" s="112">
        <v>4.05</v>
      </c>
      <c r="D77" s="112">
        <v>14.07</v>
      </c>
      <c r="E77" s="112">
        <v>6.54</v>
      </c>
      <c r="F77" s="112">
        <v>4.1500000000000004</v>
      </c>
      <c r="G77" s="112">
        <v>8.14</v>
      </c>
      <c r="H77" s="112">
        <v>1.75</v>
      </c>
      <c r="I77" s="112">
        <v>3.95</v>
      </c>
      <c r="J77" s="112">
        <v>1.08</v>
      </c>
      <c r="K77" s="112">
        <v>274.25</v>
      </c>
      <c r="L77" s="112">
        <v>24.94</v>
      </c>
      <c r="M77" s="112">
        <v>99.35</v>
      </c>
      <c r="N77" s="112">
        <v>14.3</v>
      </c>
      <c r="O77" s="112">
        <v>1.8</v>
      </c>
      <c r="P77" s="112">
        <v>0.36</v>
      </c>
      <c r="Q77" s="112">
        <v>4.74</v>
      </c>
    </row>
    <row r="78" spans="1:17" customFormat="1">
      <c r="A78" s="80">
        <v>45495.729166666664</v>
      </c>
      <c r="B78" s="112">
        <v>9.36</v>
      </c>
      <c r="C78" s="112">
        <v>4.05</v>
      </c>
      <c r="D78" s="112">
        <v>14.07</v>
      </c>
      <c r="E78" s="112">
        <v>6.74</v>
      </c>
      <c r="F78" s="112">
        <v>4.0999999999999996</v>
      </c>
      <c r="G78" s="112">
        <v>8.0299999999999994</v>
      </c>
      <c r="H78" s="112">
        <v>1.72</v>
      </c>
      <c r="I78" s="112">
        <v>3.86</v>
      </c>
      <c r="J78" s="112">
        <v>0.89</v>
      </c>
      <c r="K78" s="112">
        <v>272.94</v>
      </c>
      <c r="L78" s="112">
        <v>25</v>
      </c>
      <c r="M78" s="112">
        <v>99.97</v>
      </c>
      <c r="N78" s="112">
        <v>19.100000000000001</v>
      </c>
      <c r="O78" s="112">
        <v>0.2</v>
      </c>
      <c r="P78" s="112">
        <v>0.36</v>
      </c>
      <c r="Q78" s="112">
        <v>4.74</v>
      </c>
    </row>
    <row r="79" spans="1:17" customFormat="1">
      <c r="A79" s="80">
        <v>45495.739583333336</v>
      </c>
      <c r="B79" s="112">
        <v>9.34</v>
      </c>
      <c r="C79" s="112">
        <v>4.0599999999999996</v>
      </c>
      <c r="D79" s="112">
        <v>14.06</v>
      </c>
      <c r="E79" s="112">
        <v>6.89</v>
      </c>
      <c r="F79" s="112">
        <v>4.46</v>
      </c>
      <c r="G79" s="112">
        <v>6.05</v>
      </c>
      <c r="H79" s="112">
        <v>1.26</v>
      </c>
      <c r="I79" s="112">
        <v>3.8</v>
      </c>
      <c r="J79" s="112">
        <v>0.76</v>
      </c>
      <c r="K79" s="112">
        <v>274.3</v>
      </c>
      <c r="L79" s="112">
        <v>25.11</v>
      </c>
      <c r="M79" s="112">
        <v>100.27</v>
      </c>
      <c r="N79" s="112">
        <v>13.6</v>
      </c>
      <c r="O79" s="112">
        <v>0</v>
      </c>
      <c r="P79" s="112">
        <v>0.35</v>
      </c>
      <c r="Q79" s="112">
        <v>4.72</v>
      </c>
    </row>
    <row r="80" spans="1:17" customFormat="1">
      <c r="A80" s="80">
        <v>45495.75</v>
      </c>
      <c r="B80" s="112">
        <v>9.32</v>
      </c>
      <c r="C80" s="112">
        <v>4.07</v>
      </c>
      <c r="D80" s="112">
        <v>14.05</v>
      </c>
      <c r="E80" s="112">
        <v>7.02</v>
      </c>
      <c r="F80" s="112">
        <v>4.26</v>
      </c>
      <c r="G80" s="112">
        <v>6.05</v>
      </c>
      <c r="H80" s="112">
        <v>1.26</v>
      </c>
      <c r="I80" s="112">
        <v>3.72</v>
      </c>
      <c r="J80" s="112">
        <v>0.69</v>
      </c>
      <c r="K80" s="112">
        <v>276.16000000000003</v>
      </c>
      <c r="L80" s="112">
        <v>25.16</v>
      </c>
      <c r="M80" s="112">
        <v>100.3</v>
      </c>
      <c r="N80" s="112">
        <v>7.5</v>
      </c>
      <c r="O80" s="112">
        <v>0</v>
      </c>
      <c r="P80" s="112">
        <v>0.35</v>
      </c>
      <c r="Q80" s="112">
        <v>4.7300000000000004</v>
      </c>
    </row>
    <row r="81" spans="1:17" customFormat="1">
      <c r="A81" s="80">
        <v>45495.760416666664</v>
      </c>
      <c r="B81" s="112">
        <v>9.33</v>
      </c>
      <c r="C81" s="112">
        <v>4.07</v>
      </c>
      <c r="D81" s="112">
        <v>14.06</v>
      </c>
      <c r="E81" s="112">
        <v>9.1300000000000008</v>
      </c>
      <c r="F81" s="112">
        <v>3.66</v>
      </c>
      <c r="G81" s="112">
        <v>6.05</v>
      </c>
      <c r="H81" s="112">
        <v>1.26</v>
      </c>
      <c r="I81" s="112">
        <v>3.71</v>
      </c>
      <c r="J81" s="112">
        <v>0.74</v>
      </c>
      <c r="K81" s="112">
        <v>275.32</v>
      </c>
      <c r="L81" s="112">
        <v>25.18</v>
      </c>
      <c r="M81" s="112">
        <v>100.19</v>
      </c>
      <c r="N81" s="112">
        <v>4.5999999999999996</v>
      </c>
      <c r="O81" s="112">
        <v>0</v>
      </c>
      <c r="P81" s="112">
        <v>0.34</v>
      </c>
      <c r="Q81" s="112">
        <v>4.72</v>
      </c>
    </row>
    <row r="82" spans="1:17" customFormat="1">
      <c r="A82" s="80">
        <v>45495.770833333336</v>
      </c>
      <c r="B82" s="112">
        <v>9.36</v>
      </c>
      <c r="C82" s="112">
        <v>4.05</v>
      </c>
      <c r="D82" s="112">
        <v>14.08</v>
      </c>
      <c r="E82" s="112">
        <v>10.65</v>
      </c>
      <c r="F82" s="112">
        <v>3.62</v>
      </c>
      <c r="G82" s="112">
        <v>6.11</v>
      </c>
      <c r="H82" s="112">
        <v>1.26</v>
      </c>
      <c r="I82" s="112">
        <v>3.71</v>
      </c>
      <c r="J82" s="112">
        <v>0.66</v>
      </c>
      <c r="K82" s="112">
        <v>277.08999999999997</v>
      </c>
      <c r="L82" s="112">
        <v>25.24</v>
      </c>
      <c r="M82" s="112">
        <v>102.67</v>
      </c>
      <c r="N82" s="112">
        <v>3</v>
      </c>
      <c r="O82" s="112">
        <v>0</v>
      </c>
      <c r="P82" s="112">
        <v>0.34</v>
      </c>
      <c r="Q82" s="112">
        <v>4.72</v>
      </c>
    </row>
    <row r="83" spans="1:17" customFormat="1">
      <c r="A83" s="80">
        <v>45495.78125</v>
      </c>
      <c r="B83" s="112">
        <v>9.3699999999999992</v>
      </c>
      <c r="C83" s="112">
        <v>4.09</v>
      </c>
      <c r="D83" s="112">
        <v>14.1</v>
      </c>
      <c r="E83" s="112">
        <v>10.55</v>
      </c>
      <c r="F83" s="112">
        <v>3.82</v>
      </c>
      <c r="G83" s="112">
        <v>7.05</v>
      </c>
      <c r="H83" s="112">
        <v>1.37</v>
      </c>
      <c r="I83" s="112">
        <v>3.69</v>
      </c>
      <c r="J83" s="112">
        <v>0.79</v>
      </c>
      <c r="K83" s="112">
        <v>271.55</v>
      </c>
      <c r="L83" s="112">
        <v>25.3</v>
      </c>
      <c r="M83" s="112">
        <v>101.42</v>
      </c>
      <c r="N83" s="112">
        <v>2.8</v>
      </c>
      <c r="O83" s="112">
        <v>0</v>
      </c>
      <c r="P83" s="112">
        <v>0.34</v>
      </c>
      <c r="Q83" s="112">
        <v>4.7300000000000004</v>
      </c>
    </row>
    <row r="84" spans="1:17" customFormat="1">
      <c r="A84" s="80">
        <v>45495.791666666664</v>
      </c>
      <c r="B84" s="112">
        <v>9.39</v>
      </c>
      <c r="C84" s="112">
        <v>4.07</v>
      </c>
      <c r="D84" s="112">
        <v>14.1</v>
      </c>
      <c r="E84" s="112">
        <v>11.21</v>
      </c>
      <c r="F84" s="112">
        <v>3.86</v>
      </c>
      <c r="G84" s="112">
        <v>7.05</v>
      </c>
      <c r="H84" s="112">
        <v>1.37</v>
      </c>
      <c r="I84" s="112">
        <v>3.63</v>
      </c>
      <c r="J84" s="112">
        <v>0.82</v>
      </c>
      <c r="K84" s="112">
        <v>273.37</v>
      </c>
      <c r="L84" s="112">
        <v>25.36</v>
      </c>
      <c r="M84" s="112">
        <v>100.4</v>
      </c>
      <c r="N84" s="112">
        <v>3</v>
      </c>
      <c r="O84" s="112">
        <v>0</v>
      </c>
      <c r="P84" s="112">
        <v>0.34</v>
      </c>
      <c r="Q84" s="112">
        <v>4.71</v>
      </c>
    </row>
    <row r="85" spans="1:17" customFormat="1">
      <c r="A85" s="80">
        <v>45495.802083333336</v>
      </c>
      <c r="B85" s="112">
        <v>9.39</v>
      </c>
      <c r="C85" s="112">
        <v>4.07</v>
      </c>
      <c r="D85" s="112">
        <v>14.1</v>
      </c>
      <c r="E85" s="112">
        <v>11.09</v>
      </c>
      <c r="F85" s="112">
        <v>4</v>
      </c>
      <c r="G85" s="112">
        <v>7.05</v>
      </c>
      <c r="H85" s="112">
        <v>1.37</v>
      </c>
      <c r="I85" s="112">
        <v>3.61</v>
      </c>
      <c r="J85" s="112">
        <v>0.76</v>
      </c>
      <c r="K85" s="112">
        <v>275.25</v>
      </c>
      <c r="L85" s="112">
        <v>25.43</v>
      </c>
      <c r="M85" s="112">
        <v>99.81</v>
      </c>
      <c r="N85" s="112">
        <v>2.9</v>
      </c>
      <c r="O85" s="112">
        <v>0</v>
      </c>
      <c r="P85" s="112">
        <v>0.33</v>
      </c>
      <c r="Q85" s="112">
        <v>4.72</v>
      </c>
    </row>
    <row r="86" spans="1:17" customFormat="1">
      <c r="A86" s="80">
        <v>45495.8125</v>
      </c>
      <c r="B86" s="112">
        <v>9.3800000000000008</v>
      </c>
      <c r="C86" s="112">
        <v>4.08</v>
      </c>
      <c r="D86" s="112">
        <v>14.1</v>
      </c>
      <c r="E86" s="112">
        <v>11.19</v>
      </c>
      <c r="F86" s="112">
        <v>3.92</v>
      </c>
      <c r="G86" s="112">
        <v>7.1</v>
      </c>
      <c r="H86" s="112">
        <v>1.37</v>
      </c>
      <c r="I86" s="112">
        <v>3.6</v>
      </c>
      <c r="J86" s="112">
        <v>0.7</v>
      </c>
      <c r="K86" s="112">
        <v>273.13</v>
      </c>
      <c r="L86" s="112">
        <v>25.4</v>
      </c>
      <c r="M86" s="112">
        <v>98.77</v>
      </c>
      <c r="N86" s="112">
        <v>2.6</v>
      </c>
      <c r="O86" s="112">
        <v>0</v>
      </c>
      <c r="P86" s="112">
        <v>0.33</v>
      </c>
      <c r="Q86" s="112">
        <v>4.72</v>
      </c>
    </row>
    <row r="87" spans="1:17" customFormat="1">
      <c r="A87" s="80">
        <v>45495.822916666664</v>
      </c>
      <c r="B87" s="112">
        <v>9.3800000000000008</v>
      </c>
      <c r="C87" s="112">
        <v>4.09</v>
      </c>
      <c r="D87" s="112">
        <v>14.11</v>
      </c>
      <c r="E87" s="112">
        <v>11.46</v>
      </c>
      <c r="F87" s="112">
        <v>3.72</v>
      </c>
      <c r="G87" s="112">
        <v>7.94</v>
      </c>
      <c r="H87" s="112">
        <v>1.31</v>
      </c>
      <c r="I87" s="112">
        <v>3.59</v>
      </c>
      <c r="J87" s="112">
        <v>0.81</v>
      </c>
      <c r="K87" s="112">
        <v>269.94</v>
      </c>
      <c r="L87" s="112">
        <v>25.49</v>
      </c>
      <c r="M87" s="112">
        <v>97.5</v>
      </c>
      <c r="N87" s="112">
        <v>2.7</v>
      </c>
      <c r="O87" s="112">
        <v>0</v>
      </c>
      <c r="P87" s="112">
        <v>0.33</v>
      </c>
      <c r="Q87" s="112">
        <v>4.7300000000000004</v>
      </c>
    </row>
    <row r="88" spans="1:17" customFormat="1">
      <c r="A88" s="80">
        <v>45495.833333333336</v>
      </c>
      <c r="B88" s="112">
        <v>9.3699999999999992</v>
      </c>
      <c r="C88" s="112">
        <v>4.09</v>
      </c>
      <c r="D88" s="112">
        <v>14.1</v>
      </c>
      <c r="E88" s="112">
        <v>11.72</v>
      </c>
      <c r="F88" s="112">
        <v>4.0199999999999996</v>
      </c>
      <c r="G88" s="112">
        <v>7.94</v>
      </c>
      <c r="H88" s="112">
        <v>1.31</v>
      </c>
      <c r="I88" s="112">
        <v>3.57</v>
      </c>
      <c r="J88" s="112">
        <v>0.98</v>
      </c>
      <c r="K88" s="112">
        <v>273.73</v>
      </c>
      <c r="L88" s="112">
        <v>25.56</v>
      </c>
      <c r="M88" s="112">
        <v>96.49</v>
      </c>
      <c r="N88" s="112">
        <v>2.9</v>
      </c>
      <c r="O88" s="112">
        <v>0</v>
      </c>
      <c r="P88" s="112">
        <v>0.32</v>
      </c>
      <c r="Q88" s="112">
        <v>4.7300000000000004</v>
      </c>
    </row>
    <row r="89" spans="1:17" customFormat="1">
      <c r="A89" s="80">
        <v>45495.84375</v>
      </c>
      <c r="B89" s="112">
        <v>9.3800000000000008</v>
      </c>
      <c r="C89" s="112">
        <v>4.09</v>
      </c>
      <c r="D89" s="112">
        <v>14.11</v>
      </c>
      <c r="E89" s="112">
        <v>11.59</v>
      </c>
      <c r="F89" s="112">
        <v>4.03</v>
      </c>
      <c r="G89" s="112">
        <v>7.94</v>
      </c>
      <c r="H89" s="112">
        <v>1.31</v>
      </c>
      <c r="I89" s="112">
        <v>3.57</v>
      </c>
      <c r="J89" s="112">
        <v>1.1000000000000001</v>
      </c>
      <c r="K89" s="112">
        <v>274.13</v>
      </c>
      <c r="L89" s="112">
        <v>25.57</v>
      </c>
      <c r="M89" s="112">
        <v>95.92</v>
      </c>
      <c r="N89" s="112">
        <v>3.1</v>
      </c>
      <c r="O89" s="112">
        <v>0</v>
      </c>
      <c r="P89" s="112">
        <v>0.33</v>
      </c>
      <c r="Q89" s="112">
        <v>4.72</v>
      </c>
    </row>
    <row r="90" spans="1:17" customFormat="1">
      <c r="A90" s="80">
        <v>45495.854166666664</v>
      </c>
      <c r="B90" s="112">
        <v>9.36</v>
      </c>
      <c r="C90" s="112">
        <v>4.08</v>
      </c>
      <c r="D90" s="112">
        <v>14.09</v>
      </c>
      <c r="E90" s="112">
        <v>12.18</v>
      </c>
      <c r="F90" s="112">
        <v>3.61</v>
      </c>
      <c r="G90" s="112">
        <v>7.82</v>
      </c>
      <c r="H90" s="112">
        <v>1.41</v>
      </c>
      <c r="I90" s="112">
        <v>3.53</v>
      </c>
      <c r="J90" s="112">
        <v>1.1599999999999999</v>
      </c>
      <c r="K90" s="112">
        <v>273.70999999999998</v>
      </c>
      <c r="L90" s="112">
        <v>25.66</v>
      </c>
      <c r="M90" s="112">
        <v>95.25</v>
      </c>
      <c r="N90" s="112">
        <v>3.1</v>
      </c>
      <c r="O90" s="112">
        <v>0</v>
      </c>
      <c r="P90" s="112">
        <v>0.33</v>
      </c>
      <c r="Q90" s="112">
        <v>4.71</v>
      </c>
    </row>
    <row r="91" spans="1:17" customFormat="1">
      <c r="A91" s="80">
        <v>45495.864583333336</v>
      </c>
      <c r="B91" s="112">
        <v>9.33</v>
      </c>
      <c r="C91" s="112">
        <v>4.1100000000000003</v>
      </c>
      <c r="D91" s="112">
        <v>14.08</v>
      </c>
      <c r="E91" s="112">
        <v>12.59</v>
      </c>
      <c r="F91" s="112">
        <v>3.64</v>
      </c>
      <c r="G91" s="112">
        <v>5.77</v>
      </c>
      <c r="H91" s="112">
        <v>2.97</v>
      </c>
      <c r="I91" s="112">
        <v>3.51</v>
      </c>
      <c r="J91" s="112">
        <v>0.86</v>
      </c>
      <c r="K91" s="112">
        <v>273.52999999999997</v>
      </c>
      <c r="L91" s="112">
        <v>25.73</v>
      </c>
      <c r="M91" s="112">
        <v>95.23</v>
      </c>
      <c r="N91" s="112">
        <v>2.9</v>
      </c>
      <c r="O91" s="112">
        <v>0</v>
      </c>
      <c r="P91" s="112">
        <v>0.33</v>
      </c>
      <c r="Q91" s="112">
        <v>4.72</v>
      </c>
    </row>
    <row r="92" spans="1:17" customFormat="1">
      <c r="A92" s="80">
        <v>45495.875</v>
      </c>
      <c r="B92" s="112">
        <v>9.34</v>
      </c>
      <c r="C92" s="112">
        <v>4.0999999999999996</v>
      </c>
      <c r="D92" s="112">
        <v>14.08</v>
      </c>
      <c r="E92" s="112">
        <v>12.32</v>
      </c>
      <c r="F92" s="112">
        <v>3.61</v>
      </c>
      <c r="G92" s="112">
        <v>5.77</v>
      </c>
      <c r="H92" s="112">
        <v>2.97</v>
      </c>
      <c r="I92" s="112">
        <v>3.46</v>
      </c>
      <c r="J92" s="112">
        <v>0.99</v>
      </c>
      <c r="K92" s="112">
        <v>271.8</v>
      </c>
      <c r="L92" s="112">
        <v>25.81</v>
      </c>
      <c r="M92" s="112">
        <v>94.78</v>
      </c>
      <c r="N92" s="112">
        <v>3</v>
      </c>
      <c r="O92" s="112">
        <v>0</v>
      </c>
      <c r="P92" s="112">
        <v>0.33</v>
      </c>
      <c r="Q92" s="112">
        <v>4.7300000000000004</v>
      </c>
    </row>
    <row r="93" spans="1:17" customFormat="1">
      <c r="A93" s="80">
        <v>45495.885416666664</v>
      </c>
      <c r="B93" s="112">
        <v>9.34</v>
      </c>
      <c r="C93" s="112">
        <v>4.07</v>
      </c>
      <c r="D93" s="112">
        <v>14.07</v>
      </c>
      <c r="E93" s="112">
        <v>12.23</v>
      </c>
      <c r="F93" s="112">
        <v>3.8</v>
      </c>
      <c r="G93" s="112">
        <v>5.77</v>
      </c>
      <c r="H93" s="112">
        <v>2.97</v>
      </c>
      <c r="I93" s="112">
        <v>3.45</v>
      </c>
      <c r="J93" s="112">
        <v>1.08</v>
      </c>
      <c r="K93" s="112">
        <v>275.94</v>
      </c>
      <c r="L93" s="112">
        <v>25.82</v>
      </c>
      <c r="M93" s="112">
        <v>94.47</v>
      </c>
      <c r="N93" s="112">
        <v>2.8</v>
      </c>
      <c r="O93" s="112">
        <v>0</v>
      </c>
      <c r="P93" s="112">
        <v>0.32</v>
      </c>
      <c r="Q93" s="112">
        <v>4.7300000000000004</v>
      </c>
    </row>
    <row r="94" spans="1:17" customFormat="1">
      <c r="A94" s="80">
        <v>45495.895833333336</v>
      </c>
      <c r="B94" s="112">
        <v>9.33</v>
      </c>
      <c r="C94" s="112">
        <v>4.09</v>
      </c>
      <c r="D94" s="112">
        <v>14.07</v>
      </c>
      <c r="E94" s="112">
        <v>12.78</v>
      </c>
      <c r="F94" s="112">
        <v>3.86</v>
      </c>
      <c r="G94" s="112">
        <v>5.68</v>
      </c>
      <c r="H94" s="112">
        <v>2.94</v>
      </c>
      <c r="I94" s="112">
        <v>3.44</v>
      </c>
      <c r="J94" s="112">
        <v>1.07</v>
      </c>
      <c r="K94" s="112">
        <v>272.66000000000003</v>
      </c>
      <c r="L94" s="112">
        <v>25.8</v>
      </c>
      <c r="M94" s="112">
        <v>95.07</v>
      </c>
      <c r="N94" s="112">
        <v>2.8</v>
      </c>
      <c r="O94" s="112">
        <v>0</v>
      </c>
      <c r="P94" s="112">
        <v>0.33</v>
      </c>
      <c r="Q94" s="112">
        <v>4.7</v>
      </c>
    </row>
    <row r="95" spans="1:17" customFormat="1">
      <c r="A95" s="80">
        <v>45495.90625</v>
      </c>
      <c r="B95" s="112">
        <v>9.32</v>
      </c>
      <c r="C95" s="112">
        <v>4.09</v>
      </c>
      <c r="D95" s="112">
        <v>14.06</v>
      </c>
      <c r="E95" s="112">
        <v>12.87</v>
      </c>
      <c r="F95" s="112">
        <v>3.1</v>
      </c>
      <c r="G95" s="112">
        <v>4.24</v>
      </c>
      <c r="H95" s="112">
        <v>2.58</v>
      </c>
      <c r="I95" s="112">
        <v>3.43</v>
      </c>
      <c r="J95" s="112">
        <v>0.86</v>
      </c>
      <c r="K95" s="112">
        <v>277.57</v>
      </c>
      <c r="L95" s="112">
        <v>25.73</v>
      </c>
      <c r="M95" s="112">
        <v>98.97</v>
      </c>
      <c r="N95" s="112">
        <v>2.7</v>
      </c>
      <c r="O95" s="112">
        <v>0</v>
      </c>
      <c r="P95" s="112">
        <v>0.37</v>
      </c>
      <c r="Q95" s="112">
        <v>4.7</v>
      </c>
    </row>
    <row r="96" spans="1:17" customFormat="1">
      <c r="A96" s="80">
        <v>45495.916666666664</v>
      </c>
      <c r="B96" s="112">
        <v>9.36</v>
      </c>
      <c r="C96" s="112">
        <v>4.09</v>
      </c>
      <c r="D96" s="112">
        <v>14.09</v>
      </c>
      <c r="E96" s="112">
        <v>12.75</v>
      </c>
      <c r="F96" s="112">
        <v>3.35</v>
      </c>
      <c r="G96" s="112">
        <v>4.24</v>
      </c>
      <c r="H96" s="112">
        <v>2.58</v>
      </c>
      <c r="I96" s="112">
        <v>3.4</v>
      </c>
      <c r="J96" s="112">
        <v>0.68</v>
      </c>
      <c r="K96" s="112">
        <v>271.55</v>
      </c>
      <c r="L96" s="112">
        <v>25.73</v>
      </c>
      <c r="M96" s="112">
        <v>100.27</v>
      </c>
      <c r="N96" s="112">
        <v>2.4</v>
      </c>
      <c r="O96" s="112">
        <v>0</v>
      </c>
      <c r="P96" s="112">
        <v>0.37</v>
      </c>
      <c r="Q96" s="112">
        <v>4.72</v>
      </c>
    </row>
    <row r="97" spans="1:22" customFormat="1">
      <c r="A97" s="80">
        <v>45495.927083333336</v>
      </c>
      <c r="B97" s="112">
        <v>9.39</v>
      </c>
      <c r="C97" s="112">
        <v>4.08</v>
      </c>
      <c r="D97" s="112">
        <v>14.11</v>
      </c>
      <c r="E97" s="112">
        <v>12.48</v>
      </c>
      <c r="F97" s="112">
        <v>3.66</v>
      </c>
      <c r="G97" s="112">
        <v>4.24</v>
      </c>
      <c r="H97" s="112">
        <v>2.58</v>
      </c>
      <c r="I97" s="112">
        <v>3.43</v>
      </c>
      <c r="J97" s="112">
        <v>0.69</v>
      </c>
      <c r="K97" s="112">
        <v>273.57</v>
      </c>
      <c r="L97" s="112">
        <v>25.75</v>
      </c>
      <c r="M97" s="112">
        <v>99.08</v>
      </c>
      <c r="N97" s="112">
        <v>2.4</v>
      </c>
      <c r="O97" s="112">
        <v>0</v>
      </c>
      <c r="P97" s="112">
        <v>0.38</v>
      </c>
      <c r="Q97" s="112">
        <v>4.71</v>
      </c>
    </row>
    <row r="98" spans="1:22" customFormat="1">
      <c r="A98" s="80">
        <v>45495.9375</v>
      </c>
      <c r="B98" s="112">
        <v>9.39</v>
      </c>
      <c r="C98" s="112">
        <v>4.07</v>
      </c>
      <c r="D98" s="112">
        <v>14.1</v>
      </c>
      <c r="E98" s="112">
        <v>11.9</v>
      </c>
      <c r="F98" s="112">
        <v>4.22</v>
      </c>
      <c r="G98" s="112">
        <v>4.45</v>
      </c>
      <c r="H98" s="112">
        <v>2.56</v>
      </c>
      <c r="I98" s="112">
        <v>3.49</v>
      </c>
      <c r="J98" s="112">
        <v>0.87</v>
      </c>
      <c r="K98" s="112">
        <v>270.13</v>
      </c>
      <c r="L98" s="112">
        <v>25.84</v>
      </c>
      <c r="M98" s="112">
        <v>98.99</v>
      </c>
      <c r="N98" s="112">
        <v>2.2999999999999998</v>
      </c>
      <c r="O98" s="112">
        <v>0</v>
      </c>
      <c r="P98" s="112">
        <v>0.37</v>
      </c>
      <c r="Q98" s="112">
        <v>4.7</v>
      </c>
    </row>
    <row r="99" spans="1:22" customFormat="1">
      <c r="A99" s="80">
        <v>45495.947916666664</v>
      </c>
      <c r="B99" s="112">
        <v>9.3699999999999992</v>
      </c>
      <c r="C99" s="112">
        <v>4.07</v>
      </c>
      <c r="D99" s="112">
        <v>14.09</v>
      </c>
      <c r="E99" s="112">
        <v>11.86</v>
      </c>
      <c r="F99" s="112">
        <v>4.71</v>
      </c>
      <c r="G99" s="112">
        <v>8.0399999999999991</v>
      </c>
      <c r="H99" s="112">
        <v>2.2799999999999998</v>
      </c>
      <c r="I99" s="112">
        <v>3.6</v>
      </c>
      <c r="J99" s="112">
        <v>0.96</v>
      </c>
      <c r="K99" s="112">
        <v>273.56</v>
      </c>
      <c r="L99" s="112">
        <v>25.96</v>
      </c>
      <c r="M99" s="112">
        <v>95.81</v>
      </c>
      <c r="N99" s="112">
        <v>2.2999999999999998</v>
      </c>
      <c r="O99" s="112">
        <v>0</v>
      </c>
      <c r="P99" s="112">
        <v>0.36</v>
      </c>
      <c r="Q99" s="112">
        <v>4.72</v>
      </c>
    </row>
    <row r="100" spans="1:22" customFormat="1">
      <c r="A100" s="80">
        <v>45495.958333333336</v>
      </c>
      <c r="B100" s="112">
        <v>9.3800000000000008</v>
      </c>
      <c r="C100" s="112">
        <v>4.05</v>
      </c>
      <c r="D100" s="112">
        <v>14.09</v>
      </c>
      <c r="E100" s="112">
        <v>11.21</v>
      </c>
      <c r="F100" s="112">
        <v>4.55</v>
      </c>
      <c r="G100" s="112">
        <v>8.0399999999999991</v>
      </c>
      <c r="H100" s="112">
        <v>2.2799999999999998</v>
      </c>
      <c r="I100" s="112">
        <v>3.58</v>
      </c>
      <c r="J100" s="112">
        <v>0.77</v>
      </c>
      <c r="K100" s="112">
        <v>269.56</v>
      </c>
      <c r="L100" s="112">
        <v>25.95</v>
      </c>
      <c r="M100" s="112">
        <v>93.92</v>
      </c>
      <c r="N100" s="112">
        <v>2.5</v>
      </c>
      <c r="O100" s="112">
        <v>0</v>
      </c>
      <c r="P100" s="112">
        <v>0.35</v>
      </c>
      <c r="Q100" s="112">
        <v>4.72</v>
      </c>
    </row>
    <row r="101" spans="1:22" customFormat="1">
      <c r="A101" s="80">
        <v>45495.96875</v>
      </c>
      <c r="B101" s="112">
        <v>9.4</v>
      </c>
      <c r="C101" s="112">
        <v>4.04</v>
      </c>
      <c r="D101" s="112">
        <v>14.09</v>
      </c>
      <c r="E101" s="112">
        <v>10.51</v>
      </c>
      <c r="F101" s="112">
        <v>4.4400000000000004</v>
      </c>
      <c r="G101" s="112">
        <v>8.0399999999999991</v>
      </c>
      <c r="H101" s="112">
        <v>2.2799999999999998</v>
      </c>
      <c r="I101" s="112">
        <v>3.57</v>
      </c>
      <c r="J101" s="112">
        <v>0.74</v>
      </c>
      <c r="K101" s="112">
        <v>273.23</v>
      </c>
      <c r="L101" s="112">
        <v>25.96</v>
      </c>
      <c r="M101" s="112">
        <v>94.21</v>
      </c>
      <c r="N101" s="112">
        <v>2.4</v>
      </c>
      <c r="O101" s="112">
        <v>0</v>
      </c>
      <c r="P101" s="112">
        <v>0.36</v>
      </c>
      <c r="Q101" s="112">
        <v>4.71</v>
      </c>
    </row>
    <row r="102" spans="1:22" customFormat="1">
      <c r="A102" s="80">
        <v>45495.979166666664</v>
      </c>
      <c r="B102" s="112">
        <v>9.4</v>
      </c>
      <c r="C102" s="112">
        <v>4.05</v>
      </c>
      <c r="D102" s="112">
        <v>14.11</v>
      </c>
      <c r="E102" s="112">
        <v>10.57</v>
      </c>
      <c r="F102" s="112">
        <v>4.8899999999999997</v>
      </c>
      <c r="G102" s="112">
        <v>7.92</v>
      </c>
      <c r="H102" s="112">
        <v>2.27</v>
      </c>
      <c r="I102" s="112">
        <v>3.55</v>
      </c>
      <c r="J102" s="112">
        <v>0.72</v>
      </c>
      <c r="K102" s="112">
        <v>271.92</v>
      </c>
      <c r="L102" s="112">
        <v>25.93</v>
      </c>
      <c r="M102" s="112">
        <v>97.83</v>
      </c>
      <c r="N102" s="112">
        <v>2.4</v>
      </c>
      <c r="O102" s="112">
        <v>0</v>
      </c>
      <c r="P102" s="112">
        <v>0.35</v>
      </c>
      <c r="Q102" s="112">
        <v>4.71</v>
      </c>
    </row>
    <row r="103" spans="1:22" customFormat="1">
      <c r="A103" s="80">
        <v>45495.989583333336</v>
      </c>
      <c r="B103" s="112">
        <v>9.39</v>
      </c>
      <c r="C103" s="112">
        <v>4.08</v>
      </c>
      <c r="D103" s="112">
        <v>14.11</v>
      </c>
      <c r="E103" s="112">
        <v>10.039999999999999</v>
      </c>
      <c r="F103" s="112">
        <v>5.98</v>
      </c>
      <c r="G103" s="112">
        <v>5.83</v>
      </c>
      <c r="H103" s="112">
        <v>2.09</v>
      </c>
      <c r="I103" s="112">
        <v>3.49</v>
      </c>
      <c r="J103" s="112">
        <v>0.7</v>
      </c>
      <c r="K103" s="112">
        <v>271.7</v>
      </c>
      <c r="L103" s="112">
        <v>25.93</v>
      </c>
      <c r="M103" s="112">
        <v>98.67</v>
      </c>
      <c r="N103" s="112">
        <v>2.4</v>
      </c>
      <c r="O103" s="112">
        <v>0</v>
      </c>
      <c r="P103" s="112">
        <v>0.34</v>
      </c>
      <c r="Q103" s="112">
        <v>4.72</v>
      </c>
    </row>
    <row r="104" spans="1:22" customFormat="1">
      <c r="A104" s="80">
        <v>45496</v>
      </c>
      <c r="B104" s="112">
        <v>9.39</v>
      </c>
      <c r="C104" s="112">
        <v>4.08</v>
      </c>
      <c r="D104" s="112">
        <v>14.11</v>
      </c>
      <c r="E104" s="112">
        <v>10.28</v>
      </c>
      <c r="F104" s="112">
        <v>5.04</v>
      </c>
      <c r="G104" s="112">
        <v>5.83</v>
      </c>
      <c r="H104" s="112">
        <v>2.09</v>
      </c>
      <c r="I104" s="112">
        <v>3.36</v>
      </c>
      <c r="J104" s="112">
        <v>0.68</v>
      </c>
      <c r="K104" s="112">
        <v>273.44</v>
      </c>
      <c r="L104" s="112">
        <v>25.98</v>
      </c>
      <c r="M104" s="112">
        <v>95.84</v>
      </c>
      <c r="N104" s="112">
        <v>2.4</v>
      </c>
      <c r="O104" s="112">
        <v>0</v>
      </c>
      <c r="P104" s="112">
        <v>0.33</v>
      </c>
      <c r="Q104" s="112">
        <v>4.72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9.2899999999999991</v>
      </c>
      <c r="C106" s="183">
        <f>MIN(C9:C104)</f>
        <v>4.04</v>
      </c>
      <c r="D106" s="183">
        <f t="shared" ref="D106:Q106" si="0">MIN(D9:D104)</f>
        <v>14.02</v>
      </c>
      <c r="E106" s="183">
        <f t="shared" si="0"/>
        <v>6.09</v>
      </c>
      <c r="F106" s="183">
        <f t="shared" si="0"/>
        <v>2.76</v>
      </c>
      <c r="G106" s="183">
        <f t="shared" si="0"/>
        <v>1.6</v>
      </c>
      <c r="H106" s="183">
        <f t="shared" si="0"/>
        <v>0.75</v>
      </c>
      <c r="I106" s="183">
        <f t="shared" si="0"/>
        <v>2.86</v>
      </c>
      <c r="J106" s="183">
        <f t="shared" si="0"/>
        <v>0.43</v>
      </c>
      <c r="K106" s="183">
        <f t="shared" si="0"/>
        <v>269.56</v>
      </c>
      <c r="L106" s="183">
        <f t="shared" si="0"/>
        <v>24.94</v>
      </c>
      <c r="M106" s="183">
        <f t="shared" si="0"/>
        <v>93.92</v>
      </c>
      <c r="N106" s="183">
        <f t="shared" si="0"/>
        <v>2</v>
      </c>
      <c r="O106" s="183">
        <f t="shared" si="0"/>
        <v>0</v>
      </c>
      <c r="P106" s="183">
        <f t="shared" si="0"/>
        <v>0.31</v>
      </c>
      <c r="Q106" s="183">
        <f t="shared" si="0"/>
        <v>4.7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9.4499999999999993</v>
      </c>
      <c r="C107" s="184">
        <f t="shared" ref="C107:Q107" si="1">MAX(C9:C104)</f>
        <v>4.12</v>
      </c>
      <c r="D107" s="184">
        <f t="shared" si="1"/>
        <v>14.17</v>
      </c>
      <c r="E107" s="184">
        <f t="shared" si="1"/>
        <v>12.87</v>
      </c>
      <c r="F107" s="184">
        <f t="shared" si="1"/>
        <v>6.57</v>
      </c>
      <c r="G107" s="184">
        <f t="shared" si="1"/>
        <v>35.96</v>
      </c>
      <c r="H107" s="184">
        <f t="shared" si="1"/>
        <v>6.94</v>
      </c>
      <c r="I107" s="184">
        <f t="shared" si="1"/>
        <v>5.69</v>
      </c>
      <c r="J107" s="184">
        <f t="shared" si="1"/>
        <v>1.22</v>
      </c>
      <c r="K107" s="184">
        <f t="shared" si="1"/>
        <v>316.22000000000003</v>
      </c>
      <c r="L107" s="184">
        <f t="shared" si="1"/>
        <v>27.55</v>
      </c>
      <c r="M107" s="184">
        <f t="shared" si="1"/>
        <v>102.67</v>
      </c>
      <c r="N107" s="184">
        <f t="shared" si="1"/>
        <v>253.7</v>
      </c>
      <c r="O107" s="184">
        <f t="shared" si="1"/>
        <v>1.8</v>
      </c>
      <c r="P107" s="184">
        <f t="shared" si="1"/>
        <v>0.57999999999999996</v>
      </c>
      <c r="Q107" s="184">
        <f t="shared" si="1"/>
        <v>4.79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9.3718750000000064</v>
      </c>
      <c r="C108" s="183">
        <f t="shared" ref="C108:Q108" si="2">AVERAGE(C9:C104)</f>
        <v>4.076979166666665</v>
      </c>
      <c r="D108" s="183">
        <f t="shared" si="2"/>
        <v>14.094895833333313</v>
      </c>
      <c r="E108" s="183">
        <f t="shared" si="2"/>
        <v>9.0376041666666662</v>
      </c>
      <c r="F108" s="183">
        <f t="shared" si="2"/>
        <v>4.4398958333333338</v>
      </c>
      <c r="G108" s="183">
        <f t="shared" si="2"/>
        <v>9.8645833333333286</v>
      </c>
      <c r="H108" s="183">
        <f t="shared" si="2"/>
        <v>2.5487500000000014</v>
      </c>
      <c r="I108" s="183">
        <f t="shared" si="2"/>
        <v>3.8352083333333327</v>
      </c>
      <c r="J108" s="183">
        <f t="shared" si="2"/>
        <v>0.80458333333333332</v>
      </c>
      <c r="K108" s="183">
        <f t="shared" si="2"/>
        <v>277.33052083333331</v>
      </c>
      <c r="L108" s="183">
        <f t="shared" si="2"/>
        <v>26.056041666666676</v>
      </c>
      <c r="M108" s="183">
        <f t="shared" si="2"/>
        <v>98.39135416666663</v>
      </c>
      <c r="N108" s="183">
        <f t="shared" si="2"/>
        <v>33.344791666666673</v>
      </c>
      <c r="O108" s="183">
        <f t="shared" si="2"/>
        <v>5.4166666666666669E-2</v>
      </c>
      <c r="P108" s="183">
        <f t="shared" si="2"/>
        <v>0.3896874999999998</v>
      </c>
      <c r="Q108" s="183">
        <f t="shared" si="2"/>
        <v>4.741770833333339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3.2291843519606338E-2</v>
      </c>
      <c r="C109" s="183">
        <f t="shared" ref="C109:Q109" si="3">STDEV(C9:C104)</f>
        <v>1.8245102683455201E-2</v>
      </c>
      <c r="D109" s="183">
        <f t="shared" si="3"/>
        <v>2.8836920474560709E-2</v>
      </c>
      <c r="E109" s="183">
        <f t="shared" si="3"/>
        <v>2.033145732106393</v>
      </c>
      <c r="F109" s="183">
        <f t="shared" si="3"/>
        <v>0.7585394480831199</v>
      </c>
      <c r="G109" s="183">
        <f t="shared" si="3"/>
        <v>8.9528472291652541</v>
      </c>
      <c r="H109" s="183">
        <f t="shared" si="3"/>
        <v>1.3831537190516123</v>
      </c>
      <c r="I109" s="183">
        <f t="shared" si="3"/>
        <v>0.79556531263414265</v>
      </c>
      <c r="J109" s="183">
        <f t="shared" si="3"/>
        <v>0.16647374799628342</v>
      </c>
      <c r="K109" s="183">
        <f t="shared" si="3"/>
        <v>9.0881443152229</v>
      </c>
      <c r="L109" s="183">
        <f t="shared" si="3"/>
        <v>0.62821464512556868</v>
      </c>
      <c r="M109" s="183">
        <f t="shared" si="3"/>
        <v>2.2284205498372005</v>
      </c>
      <c r="N109" s="183">
        <f t="shared" si="3"/>
        <v>45.014572774396093</v>
      </c>
      <c r="O109" s="183">
        <f t="shared" si="3"/>
        <v>0.25043821243095882</v>
      </c>
      <c r="P109" s="183">
        <f t="shared" si="3"/>
        <v>7.720721434793959E-2</v>
      </c>
      <c r="Q109" s="183">
        <f t="shared" si="3"/>
        <v>2.5669756592316392E-2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7" activePane="bottomRight" state="frozen"/>
      <selection activeCell="A9" sqref="A9"/>
      <selection pane="topRight" activeCell="A9" sqref="A9"/>
      <selection pane="bottomLeft" activeCell="A9" sqref="A9"/>
      <selection pane="bottomRight" activeCell="P9" sqref="P9:Q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45496.010416666664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45496.010416666664</v>
      </c>
      <c r="B9" s="112">
        <v>9.24</v>
      </c>
      <c r="C9" s="112">
        <v>4.12</v>
      </c>
      <c r="D9" s="112">
        <v>14.02</v>
      </c>
      <c r="E9" s="112">
        <v>10.18</v>
      </c>
      <c r="F9" s="112">
        <v>4.8600000000000003</v>
      </c>
      <c r="G9" s="112">
        <v>5.83</v>
      </c>
      <c r="H9" s="112">
        <v>2.09</v>
      </c>
      <c r="I9" s="112">
        <v>3.39</v>
      </c>
      <c r="J9" s="112">
        <v>0.84</v>
      </c>
      <c r="K9" s="112">
        <v>270.95999999999998</v>
      </c>
      <c r="L9" s="112">
        <v>25.98</v>
      </c>
      <c r="M9" s="112">
        <v>95.4</v>
      </c>
      <c r="N9" s="112">
        <v>2.2999999999999998</v>
      </c>
      <c r="O9" s="112">
        <v>0</v>
      </c>
      <c r="P9" s="112">
        <v>0.37</v>
      </c>
      <c r="Q9" s="112">
        <v>4.7699999999999996</v>
      </c>
    </row>
    <row r="10" spans="1:21" customFormat="1">
      <c r="A10" s="80">
        <v>45496.020833333336</v>
      </c>
      <c r="B10" s="112">
        <v>9.26</v>
      </c>
      <c r="C10" s="112">
        <v>4.0999999999999996</v>
      </c>
      <c r="D10" s="112">
        <v>14.02</v>
      </c>
      <c r="E10" s="112">
        <v>10.25</v>
      </c>
      <c r="F10" s="112">
        <v>5.55</v>
      </c>
      <c r="G10" s="112">
        <v>5.74</v>
      </c>
      <c r="H10" s="112">
        <v>2.08</v>
      </c>
      <c r="I10" s="112">
        <v>3.36</v>
      </c>
      <c r="J10" s="112">
        <v>0.93</v>
      </c>
      <c r="K10" s="112">
        <v>272.43</v>
      </c>
      <c r="L10" s="112">
        <v>25.98</v>
      </c>
      <c r="M10" s="112">
        <v>96.17</v>
      </c>
      <c r="N10" s="112">
        <v>2.4</v>
      </c>
      <c r="O10" s="112">
        <v>0</v>
      </c>
      <c r="P10" s="112">
        <v>0.36</v>
      </c>
      <c r="Q10" s="112">
        <v>4.78</v>
      </c>
    </row>
    <row r="11" spans="1:21" customFormat="1">
      <c r="A11" s="80">
        <v>45496.03125</v>
      </c>
      <c r="B11" s="112">
        <v>9.25</v>
      </c>
      <c r="C11" s="112">
        <v>4.09</v>
      </c>
      <c r="D11" s="112">
        <v>14.01</v>
      </c>
      <c r="E11" s="112">
        <v>9.81</v>
      </c>
      <c r="F11" s="112">
        <v>5.73</v>
      </c>
      <c r="G11" s="112">
        <v>4.16</v>
      </c>
      <c r="H11" s="112">
        <v>1.89</v>
      </c>
      <c r="I11" s="112">
        <v>3.38</v>
      </c>
      <c r="J11" s="112">
        <v>0.85</v>
      </c>
      <c r="K11" s="112">
        <v>273.58</v>
      </c>
      <c r="L11" s="112">
        <v>26.05</v>
      </c>
      <c r="M11" s="112">
        <v>95.96</v>
      </c>
      <c r="N11" s="112">
        <v>2.4</v>
      </c>
      <c r="O11" s="112">
        <v>0</v>
      </c>
      <c r="P11" s="112">
        <v>0.36</v>
      </c>
      <c r="Q11" s="112">
        <v>4.78</v>
      </c>
    </row>
    <row r="12" spans="1:21" customFormat="1">
      <c r="A12" s="80">
        <v>45496.041666666664</v>
      </c>
      <c r="B12" s="112">
        <v>9.23</v>
      </c>
      <c r="C12" s="112">
        <v>4.12</v>
      </c>
      <c r="D12" s="112">
        <v>14</v>
      </c>
      <c r="E12" s="112">
        <v>10.57</v>
      </c>
      <c r="F12" s="112">
        <v>4.7300000000000004</v>
      </c>
      <c r="G12" s="112">
        <v>4.16</v>
      </c>
      <c r="H12" s="112">
        <v>1.89</v>
      </c>
      <c r="I12" s="112">
        <v>3.29</v>
      </c>
      <c r="J12" s="112">
        <v>0.79</v>
      </c>
      <c r="K12" s="112">
        <v>274.16000000000003</v>
      </c>
      <c r="L12" s="112">
        <v>26</v>
      </c>
      <c r="M12" s="112">
        <v>95.6</v>
      </c>
      <c r="N12" s="112">
        <v>2.4</v>
      </c>
      <c r="O12" s="112">
        <v>0</v>
      </c>
      <c r="P12" s="112">
        <v>0.35</v>
      </c>
      <c r="Q12" s="112">
        <v>4.78</v>
      </c>
    </row>
    <row r="13" spans="1:21" customFormat="1">
      <c r="A13" s="80">
        <v>45496.052083333336</v>
      </c>
      <c r="B13" s="112">
        <v>9.24</v>
      </c>
      <c r="C13" s="112">
        <v>4.0999999999999996</v>
      </c>
      <c r="D13" s="112">
        <v>14</v>
      </c>
      <c r="E13" s="112">
        <v>10.16</v>
      </c>
      <c r="F13" s="112">
        <v>4.45</v>
      </c>
      <c r="G13" s="112">
        <v>4.16</v>
      </c>
      <c r="H13" s="112">
        <v>1.89</v>
      </c>
      <c r="I13" s="112">
        <v>3.51</v>
      </c>
      <c r="J13" s="112">
        <v>0.69</v>
      </c>
      <c r="K13" s="112">
        <v>273.70999999999998</v>
      </c>
      <c r="L13" s="112">
        <v>26</v>
      </c>
      <c r="M13" s="112">
        <v>95.53</v>
      </c>
      <c r="N13" s="112">
        <v>2.5</v>
      </c>
      <c r="O13" s="112">
        <v>0</v>
      </c>
      <c r="P13" s="112">
        <v>0.35</v>
      </c>
      <c r="Q13" s="112">
        <v>4.7699999999999996</v>
      </c>
    </row>
    <row r="14" spans="1:21" customFormat="1">
      <c r="A14" s="80">
        <v>45496.0625</v>
      </c>
      <c r="B14" s="112">
        <v>9.24</v>
      </c>
      <c r="C14" s="112">
        <v>4.0999999999999996</v>
      </c>
      <c r="D14" s="112">
        <v>14</v>
      </c>
      <c r="E14" s="112">
        <v>10</v>
      </c>
      <c r="F14" s="112">
        <v>4.83</v>
      </c>
      <c r="G14" s="112">
        <v>4.17</v>
      </c>
      <c r="H14" s="112">
        <v>1.88</v>
      </c>
      <c r="I14" s="112">
        <v>3.33</v>
      </c>
      <c r="J14" s="112">
        <v>0.85</v>
      </c>
      <c r="K14" s="112">
        <v>274.12</v>
      </c>
      <c r="L14" s="112">
        <v>26.02</v>
      </c>
      <c r="M14" s="112">
        <v>95.29</v>
      </c>
      <c r="N14" s="112">
        <v>2.4</v>
      </c>
      <c r="O14" s="112">
        <v>0</v>
      </c>
      <c r="P14" s="112">
        <v>0.35</v>
      </c>
      <c r="Q14" s="112">
        <v>4.7699999999999996</v>
      </c>
    </row>
    <row r="15" spans="1:21" customFormat="1">
      <c r="A15" s="80">
        <v>45496.072916666664</v>
      </c>
      <c r="B15" s="112">
        <v>9.23</v>
      </c>
      <c r="C15" s="112">
        <v>4.12</v>
      </c>
      <c r="D15" s="112">
        <v>14</v>
      </c>
      <c r="E15" s="112">
        <v>10.029999999999999</v>
      </c>
      <c r="F15" s="112">
        <v>5.15</v>
      </c>
      <c r="G15" s="112">
        <v>4.4000000000000004</v>
      </c>
      <c r="H15" s="112">
        <v>1.78</v>
      </c>
      <c r="I15" s="112">
        <v>3.27</v>
      </c>
      <c r="J15" s="112">
        <v>0.7</v>
      </c>
      <c r="K15" s="112">
        <v>272.91000000000003</v>
      </c>
      <c r="L15" s="112">
        <v>25.98</v>
      </c>
      <c r="M15" s="112">
        <v>95.5</v>
      </c>
      <c r="N15" s="112">
        <v>2.4</v>
      </c>
      <c r="O15" s="112">
        <v>0</v>
      </c>
      <c r="P15" s="112">
        <v>0.35</v>
      </c>
      <c r="Q15" s="112">
        <v>4.79</v>
      </c>
    </row>
    <row r="16" spans="1:21" customFormat="1">
      <c r="A16" s="80">
        <v>45496.083333333336</v>
      </c>
      <c r="B16" s="112">
        <v>9.24</v>
      </c>
      <c r="C16" s="112">
        <v>4.0999999999999996</v>
      </c>
      <c r="D16" s="112">
        <v>14</v>
      </c>
      <c r="E16" s="112">
        <v>10.72</v>
      </c>
      <c r="F16" s="112">
        <v>4.6100000000000003</v>
      </c>
      <c r="G16" s="112">
        <v>4.4000000000000004</v>
      </c>
      <c r="H16" s="112">
        <v>1.78</v>
      </c>
      <c r="I16" s="112">
        <v>3.19</v>
      </c>
      <c r="J16" s="112">
        <v>0.81</v>
      </c>
      <c r="K16" s="112">
        <v>272.85000000000002</v>
      </c>
      <c r="L16" s="112">
        <v>25.99</v>
      </c>
      <c r="M16" s="112">
        <v>97.94</v>
      </c>
      <c r="N16" s="112">
        <v>2.4</v>
      </c>
      <c r="O16" s="112">
        <v>0</v>
      </c>
      <c r="P16" s="112">
        <v>0.34</v>
      </c>
      <c r="Q16" s="112">
        <v>4.78</v>
      </c>
    </row>
    <row r="17" spans="1:17" customFormat="1">
      <c r="A17" s="80">
        <v>45496.09375</v>
      </c>
      <c r="B17" s="112">
        <v>9.24</v>
      </c>
      <c r="C17" s="112">
        <v>4.0999999999999996</v>
      </c>
      <c r="D17" s="112">
        <v>14</v>
      </c>
      <c r="E17" s="112">
        <v>8.7200000000000006</v>
      </c>
      <c r="F17" s="112">
        <v>5.13</v>
      </c>
      <c r="G17" s="112">
        <v>4.4000000000000004</v>
      </c>
      <c r="H17" s="112">
        <v>1.78</v>
      </c>
      <c r="I17" s="112">
        <v>3.19</v>
      </c>
      <c r="J17" s="112">
        <v>0.77</v>
      </c>
      <c r="K17" s="112">
        <v>270.97000000000003</v>
      </c>
      <c r="L17" s="112">
        <v>25.95</v>
      </c>
      <c r="M17" s="112">
        <v>96.42</v>
      </c>
      <c r="N17" s="112">
        <v>2.4</v>
      </c>
      <c r="O17" s="112">
        <v>0</v>
      </c>
      <c r="P17" s="112">
        <v>0.34</v>
      </c>
      <c r="Q17" s="112">
        <v>4.78</v>
      </c>
    </row>
    <row r="18" spans="1:17" customFormat="1">
      <c r="A18" s="80">
        <v>45496.104166666664</v>
      </c>
      <c r="B18" s="112">
        <v>9.26</v>
      </c>
      <c r="C18" s="112">
        <v>4.07</v>
      </c>
      <c r="D18" s="112">
        <v>14</v>
      </c>
      <c r="E18" s="112">
        <v>10.51</v>
      </c>
      <c r="F18" s="112">
        <v>4.63</v>
      </c>
      <c r="G18" s="112">
        <v>4.3499999999999996</v>
      </c>
      <c r="H18" s="112">
        <v>1.77</v>
      </c>
      <c r="I18" s="112">
        <v>3.21</v>
      </c>
      <c r="J18" s="112">
        <v>0.91</v>
      </c>
      <c r="K18" s="112">
        <v>277.88</v>
      </c>
      <c r="L18" s="112">
        <v>25.95</v>
      </c>
      <c r="M18" s="112">
        <v>95.24</v>
      </c>
      <c r="N18" s="112">
        <v>2.4</v>
      </c>
      <c r="O18" s="112">
        <v>0</v>
      </c>
      <c r="P18" s="112">
        <v>0.33</v>
      </c>
      <c r="Q18" s="112">
        <v>4.7699999999999996</v>
      </c>
    </row>
    <row r="19" spans="1:17" customFormat="1">
      <c r="A19" s="80">
        <v>45496.114583333336</v>
      </c>
      <c r="B19" s="112">
        <v>9.26</v>
      </c>
      <c r="C19" s="112">
        <v>4.0599999999999996</v>
      </c>
      <c r="D19" s="112">
        <v>14</v>
      </c>
      <c r="E19" s="112">
        <v>11.16</v>
      </c>
      <c r="F19" s="112">
        <v>3.99</v>
      </c>
      <c r="G19" s="112">
        <v>3.6</v>
      </c>
      <c r="H19" s="112">
        <v>1.6</v>
      </c>
      <c r="I19" s="112">
        <v>3.33</v>
      </c>
      <c r="J19" s="112">
        <v>0.97</v>
      </c>
      <c r="K19" s="112">
        <v>271.94</v>
      </c>
      <c r="L19" s="112">
        <v>25.85</v>
      </c>
      <c r="M19" s="112">
        <v>95.89</v>
      </c>
      <c r="N19" s="112">
        <v>2.6</v>
      </c>
      <c r="O19" s="112">
        <v>0</v>
      </c>
      <c r="P19" s="112">
        <v>0.36</v>
      </c>
      <c r="Q19" s="112">
        <v>4.78</v>
      </c>
    </row>
    <row r="20" spans="1:17" customFormat="1">
      <c r="A20" s="80">
        <v>45496.125</v>
      </c>
      <c r="B20" s="112">
        <v>9.25</v>
      </c>
      <c r="C20" s="112">
        <v>4.09</v>
      </c>
      <c r="D20" s="112">
        <v>14</v>
      </c>
      <c r="E20" s="112">
        <v>11.06</v>
      </c>
      <c r="F20" s="112">
        <v>4.04</v>
      </c>
      <c r="G20" s="112">
        <v>3.6</v>
      </c>
      <c r="H20" s="112">
        <v>1.6</v>
      </c>
      <c r="I20" s="112">
        <v>3.12</v>
      </c>
      <c r="J20" s="112">
        <v>0.88</v>
      </c>
      <c r="K20" s="112">
        <v>272.91000000000003</v>
      </c>
      <c r="L20" s="112">
        <v>25.45</v>
      </c>
      <c r="M20" s="112">
        <v>101.35</v>
      </c>
      <c r="N20" s="112">
        <v>2</v>
      </c>
      <c r="O20" s="112">
        <v>0</v>
      </c>
      <c r="P20" s="112">
        <v>0.36</v>
      </c>
      <c r="Q20" s="112">
        <v>4.76</v>
      </c>
    </row>
    <row r="21" spans="1:17" customFormat="1">
      <c r="A21" s="80">
        <v>45496.135416666664</v>
      </c>
      <c r="B21" s="112">
        <v>9.24</v>
      </c>
      <c r="C21" s="112">
        <v>4.0999999999999996</v>
      </c>
      <c r="D21" s="112">
        <v>14</v>
      </c>
      <c r="E21" s="112">
        <v>11.01</v>
      </c>
      <c r="F21" s="112">
        <v>3.77</v>
      </c>
      <c r="G21" s="112">
        <v>3.6</v>
      </c>
      <c r="H21" s="112">
        <v>1.6</v>
      </c>
      <c r="I21" s="112">
        <v>3.05</v>
      </c>
      <c r="J21" s="112">
        <v>0.82</v>
      </c>
      <c r="K21" s="112">
        <v>270.29000000000002</v>
      </c>
      <c r="L21" s="112">
        <v>25.47</v>
      </c>
      <c r="M21" s="112">
        <v>101.42</v>
      </c>
      <c r="N21" s="112">
        <v>2.1</v>
      </c>
      <c r="O21" s="112">
        <v>0</v>
      </c>
      <c r="P21" s="112">
        <v>0.35</v>
      </c>
      <c r="Q21" s="112">
        <v>4.7699999999999996</v>
      </c>
    </row>
    <row r="22" spans="1:17" customFormat="1">
      <c r="A22" s="80">
        <v>45496.145833333336</v>
      </c>
      <c r="B22" s="112">
        <v>9.2200000000000006</v>
      </c>
      <c r="C22" s="112">
        <v>4.12</v>
      </c>
      <c r="D22" s="112">
        <v>14</v>
      </c>
      <c r="E22" s="112">
        <v>11.28</v>
      </c>
      <c r="F22" s="112">
        <v>4.4800000000000004</v>
      </c>
      <c r="G22" s="112">
        <v>3.67</v>
      </c>
      <c r="H22" s="112">
        <v>1.6</v>
      </c>
      <c r="I22" s="112">
        <v>3.01</v>
      </c>
      <c r="J22" s="112">
        <v>0.85</v>
      </c>
      <c r="K22" s="112">
        <v>275</v>
      </c>
      <c r="L22" s="112">
        <v>25.41</v>
      </c>
      <c r="M22" s="112">
        <v>100.83</v>
      </c>
      <c r="N22" s="112">
        <v>2.2999999999999998</v>
      </c>
      <c r="O22" s="112">
        <v>0</v>
      </c>
      <c r="P22" s="112">
        <v>0.34</v>
      </c>
      <c r="Q22" s="112">
        <v>4.7699999999999996</v>
      </c>
    </row>
    <row r="23" spans="1:17" customFormat="1">
      <c r="A23" s="80">
        <v>45496.15625</v>
      </c>
      <c r="B23" s="112">
        <v>9.2100000000000009</v>
      </c>
      <c r="C23" s="112">
        <v>4.1399999999999997</v>
      </c>
      <c r="D23" s="112">
        <v>14</v>
      </c>
      <c r="E23" s="112">
        <v>11.62</v>
      </c>
      <c r="F23" s="112">
        <v>4.34</v>
      </c>
      <c r="G23" s="112">
        <v>4.71</v>
      </c>
      <c r="H23" s="112">
        <v>1.49</v>
      </c>
      <c r="I23" s="112">
        <v>3</v>
      </c>
      <c r="J23" s="112">
        <v>0.88</v>
      </c>
      <c r="K23" s="112">
        <v>277.95999999999998</v>
      </c>
      <c r="L23" s="112">
        <v>25.27</v>
      </c>
      <c r="M23" s="112">
        <v>101.28</v>
      </c>
      <c r="N23" s="112">
        <v>2.2999999999999998</v>
      </c>
      <c r="O23" s="112">
        <v>0</v>
      </c>
      <c r="P23" s="112">
        <v>0.35</v>
      </c>
      <c r="Q23" s="112">
        <v>4.7699999999999996</v>
      </c>
    </row>
    <row r="24" spans="1:17" customFormat="1">
      <c r="A24" s="80">
        <v>45496.166666666664</v>
      </c>
      <c r="B24" s="112">
        <v>9.19</v>
      </c>
      <c r="C24" s="112">
        <v>4.17</v>
      </c>
      <c r="D24" s="112">
        <v>14</v>
      </c>
      <c r="E24" s="112">
        <v>12.08</v>
      </c>
      <c r="F24" s="112">
        <v>4.0599999999999996</v>
      </c>
      <c r="G24" s="112">
        <v>4.71</v>
      </c>
      <c r="H24" s="112">
        <v>1.49</v>
      </c>
      <c r="I24" s="112">
        <v>3.11</v>
      </c>
      <c r="J24" s="112">
        <v>0.98</v>
      </c>
      <c r="K24" s="112">
        <v>271.11</v>
      </c>
      <c r="L24" s="112">
        <v>25.25</v>
      </c>
      <c r="M24" s="112">
        <v>100.96</v>
      </c>
      <c r="N24" s="112">
        <v>2.1</v>
      </c>
      <c r="O24" s="112">
        <v>0</v>
      </c>
      <c r="P24" s="112">
        <v>0.34</v>
      </c>
      <c r="Q24" s="112">
        <v>4.7699999999999996</v>
      </c>
    </row>
    <row r="25" spans="1:17" customFormat="1">
      <c r="A25" s="80">
        <v>45496.177083333336</v>
      </c>
      <c r="B25" s="112">
        <v>9.19</v>
      </c>
      <c r="C25" s="112">
        <v>4.17</v>
      </c>
      <c r="D25" s="112">
        <v>14</v>
      </c>
      <c r="E25" s="112">
        <v>11.76</v>
      </c>
      <c r="F25" s="112">
        <v>3.9</v>
      </c>
      <c r="G25" s="112">
        <v>4.71</v>
      </c>
      <c r="H25" s="112">
        <v>1.49</v>
      </c>
      <c r="I25" s="112">
        <v>3.14</v>
      </c>
      <c r="J25" s="112">
        <v>0.86</v>
      </c>
      <c r="K25" s="112">
        <v>274.45</v>
      </c>
      <c r="L25" s="112">
        <v>25.33</v>
      </c>
      <c r="M25" s="112">
        <v>98.46</v>
      </c>
      <c r="N25" s="112">
        <v>2.2999999999999998</v>
      </c>
      <c r="O25" s="112">
        <v>0</v>
      </c>
      <c r="P25" s="112">
        <v>0.33</v>
      </c>
      <c r="Q25" s="112">
        <v>4.79</v>
      </c>
    </row>
    <row r="26" spans="1:17" customFormat="1">
      <c r="A26" s="80">
        <v>45496.1875</v>
      </c>
      <c r="B26" s="112">
        <v>9.19</v>
      </c>
      <c r="C26" s="112">
        <v>4.18</v>
      </c>
      <c r="D26" s="112">
        <v>14</v>
      </c>
      <c r="E26" s="112">
        <v>11.86</v>
      </c>
      <c r="F26" s="112">
        <v>3.8</v>
      </c>
      <c r="G26" s="112">
        <v>4.66</v>
      </c>
      <c r="H26" s="112">
        <v>1.49</v>
      </c>
      <c r="I26" s="112">
        <v>2.95</v>
      </c>
      <c r="J26" s="112">
        <v>0.96</v>
      </c>
      <c r="K26" s="112">
        <v>275.91000000000003</v>
      </c>
      <c r="L26" s="112">
        <v>25.42</v>
      </c>
      <c r="M26" s="112">
        <v>96.62</v>
      </c>
      <c r="N26" s="112">
        <v>2.2999999999999998</v>
      </c>
      <c r="O26" s="112">
        <v>0</v>
      </c>
      <c r="P26" s="112">
        <v>0.33</v>
      </c>
      <c r="Q26" s="112">
        <v>4.7699999999999996</v>
      </c>
    </row>
    <row r="27" spans="1:17" customFormat="1">
      <c r="A27" s="80">
        <v>45496.197916666664</v>
      </c>
      <c r="B27" s="112">
        <v>9.1999999999999993</v>
      </c>
      <c r="C27" s="112">
        <v>4.16</v>
      </c>
      <c r="D27" s="112">
        <v>14</v>
      </c>
      <c r="E27" s="112">
        <v>11.67</v>
      </c>
      <c r="F27" s="112">
        <v>4.1100000000000003</v>
      </c>
      <c r="G27" s="112">
        <v>3.85</v>
      </c>
      <c r="H27" s="112">
        <v>1.48</v>
      </c>
      <c r="I27" s="112">
        <v>3.01</v>
      </c>
      <c r="J27" s="112">
        <v>0.96</v>
      </c>
      <c r="K27" s="112">
        <v>277.2</v>
      </c>
      <c r="L27" s="112">
        <v>25.36</v>
      </c>
      <c r="M27" s="112">
        <v>96.45</v>
      </c>
      <c r="N27" s="112">
        <v>2.6</v>
      </c>
      <c r="O27" s="112">
        <v>0</v>
      </c>
      <c r="P27" s="112">
        <v>0.33</v>
      </c>
      <c r="Q27" s="112">
        <v>4.78</v>
      </c>
    </row>
    <row r="28" spans="1:17" customFormat="1">
      <c r="A28" s="80">
        <v>45496.208333333336</v>
      </c>
      <c r="B28" s="112">
        <v>9.1999999999999993</v>
      </c>
      <c r="C28" s="112">
        <v>4.17</v>
      </c>
      <c r="D28" s="112">
        <v>14</v>
      </c>
      <c r="E28" s="112">
        <v>12.42</v>
      </c>
      <c r="F28" s="112">
        <v>3.67</v>
      </c>
      <c r="G28" s="112">
        <v>3.85</v>
      </c>
      <c r="H28" s="112">
        <v>1.48</v>
      </c>
      <c r="I28" s="112">
        <v>3.02</v>
      </c>
      <c r="J28" s="112">
        <v>0.91</v>
      </c>
      <c r="K28" s="112">
        <v>275.05</v>
      </c>
      <c r="L28" s="112">
        <v>25.19</v>
      </c>
      <c r="M28" s="112">
        <v>96.6</v>
      </c>
      <c r="N28" s="112">
        <v>1.8</v>
      </c>
      <c r="O28" s="112">
        <v>0</v>
      </c>
      <c r="P28" s="112">
        <v>0.33</v>
      </c>
      <c r="Q28" s="112">
        <v>4.78</v>
      </c>
    </row>
    <row r="29" spans="1:17" customFormat="1">
      <c r="A29" s="80">
        <v>45496.21875</v>
      </c>
      <c r="B29" s="112">
        <v>9.18</v>
      </c>
      <c r="C29" s="112">
        <v>4.18</v>
      </c>
      <c r="D29" s="112">
        <v>14</v>
      </c>
      <c r="E29" s="112">
        <v>12.19</v>
      </c>
      <c r="F29" s="112">
        <v>3.47</v>
      </c>
      <c r="G29" s="112">
        <v>3.85</v>
      </c>
      <c r="H29" s="112">
        <v>1.48</v>
      </c>
      <c r="I29" s="112">
        <v>2.87</v>
      </c>
      <c r="J29" s="112">
        <v>0.91</v>
      </c>
      <c r="K29" s="112">
        <v>275.39</v>
      </c>
      <c r="L29" s="112">
        <v>25.26</v>
      </c>
      <c r="M29" s="112">
        <v>95.97</v>
      </c>
      <c r="N29" s="112">
        <v>1.7</v>
      </c>
      <c r="O29" s="112">
        <v>0</v>
      </c>
      <c r="P29" s="112">
        <v>0.33</v>
      </c>
      <c r="Q29" s="112">
        <v>4.78</v>
      </c>
    </row>
    <row r="30" spans="1:17" customFormat="1">
      <c r="A30" s="80">
        <v>45496.229166666664</v>
      </c>
      <c r="B30" s="112">
        <v>9.19</v>
      </c>
      <c r="C30" s="112">
        <v>4.17</v>
      </c>
      <c r="D30" s="112">
        <v>14</v>
      </c>
      <c r="E30" s="112">
        <v>11.9</v>
      </c>
      <c r="F30" s="112">
        <v>3.72</v>
      </c>
      <c r="G30" s="112">
        <v>3.82</v>
      </c>
      <c r="H30" s="112">
        <v>1.48</v>
      </c>
      <c r="I30" s="112">
        <v>2.79</v>
      </c>
      <c r="J30" s="112">
        <v>0.67</v>
      </c>
      <c r="K30" s="112">
        <v>275.81</v>
      </c>
      <c r="L30" s="112">
        <v>25.28</v>
      </c>
      <c r="M30" s="112">
        <v>96.04</v>
      </c>
      <c r="N30" s="112">
        <v>2.4</v>
      </c>
      <c r="O30" s="112">
        <v>0</v>
      </c>
      <c r="P30" s="112">
        <v>0.33</v>
      </c>
      <c r="Q30" s="112">
        <v>4.78</v>
      </c>
    </row>
    <row r="31" spans="1:17" customFormat="1">
      <c r="A31" s="80">
        <v>45496.239583333336</v>
      </c>
      <c r="B31" s="112">
        <v>9.19</v>
      </c>
      <c r="C31" s="112">
        <v>4.17</v>
      </c>
      <c r="D31" s="112">
        <v>14</v>
      </c>
      <c r="E31" s="112">
        <v>12.64</v>
      </c>
      <c r="F31" s="112">
        <v>4.04</v>
      </c>
      <c r="G31" s="112">
        <v>3.37</v>
      </c>
      <c r="H31" s="112">
        <v>1.47</v>
      </c>
      <c r="I31" s="112">
        <v>2.93</v>
      </c>
      <c r="J31" s="112">
        <v>0.77</v>
      </c>
      <c r="K31" s="112">
        <v>274.45</v>
      </c>
      <c r="L31" s="112">
        <v>25.38</v>
      </c>
      <c r="M31" s="112">
        <v>96.26</v>
      </c>
      <c r="N31" s="112">
        <v>4.9000000000000004</v>
      </c>
      <c r="O31" s="112">
        <v>0</v>
      </c>
      <c r="P31" s="112">
        <v>0.33</v>
      </c>
      <c r="Q31" s="112">
        <v>4.7699999999999996</v>
      </c>
    </row>
    <row r="32" spans="1:17" customFormat="1">
      <c r="A32" s="80">
        <v>45496.25</v>
      </c>
      <c r="B32" s="112">
        <v>9.18</v>
      </c>
      <c r="C32" s="112">
        <v>4.1900000000000004</v>
      </c>
      <c r="D32" s="112">
        <v>14</v>
      </c>
      <c r="E32" s="112">
        <v>12.82</v>
      </c>
      <c r="F32" s="112">
        <v>3.78</v>
      </c>
      <c r="G32" s="112">
        <v>3.37</v>
      </c>
      <c r="H32" s="112">
        <v>1.47</v>
      </c>
      <c r="I32" s="112">
        <v>2.97</v>
      </c>
      <c r="J32" s="112">
        <v>0.74</v>
      </c>
      <c r="K32" s="112">
        <v>272.27</v>
      </c>
      <c r="L32" s="112">
        <v>25.42</v>
      </c>
      <c r="M32" s="112">
        <v>97.88</v>
      </c>
      <c r="N32" s="112">
        <v>9.1</v>
      </c>
      <c r="O32" s="112">
        <v>0</v>
      </c>
      <c r="P32" s="112">
        <v>0.32</v>
      </c>
      <c r="Q32" s="112">
        <v>4.7699999999999996</v>
      </c>
    </row>
    <row r="33" spans="1:17" customFormat="1">
      <c r="A33" s="80">
        <v>45496.260416666664</v>
      </c>
      <c r="B33" s="112">
        <v>9.18</v>
      </c>
      <c r="C33" s="112">
        <v>4.1900000000000004</v>
      </c>
      <c r="D33" s="112">
        <v>14</v>
      </c>
      <c r="E33" s="112">
        <v>12.82</v>
      </c>
      <c r="F33" s="112">
        <v>3.62</v>
      </c>
      <c r="G33" s="112">
        <v>3.37</v>
      </c>
      <c r="H33" s="112">
        <v>1.47</v>
      </c>
      <c r="I33" s="112">
        <v>3.03</v>
      </c>
      <c r="J33" s="112">
        <v>0.85</v>
      </c>
      <c r="K33" s="112">
        <v>274.69</v>
      </c>
      <c r="L33" s="112">
        <v>25.53</v>
      </c>
      <c r="M33" s="112">
        <v>99.38</v>
      </c>
      <c r="N33" s="112">
        <v>12.8</v>
      </c>
      <c r="O33" s="112">
        <v>0</v>
      </c>
      <c r="P33" s="112">
        <v>0.33</v>
      </c>
      <c r="Q33" s="112">
        <v>4.7699999999999996</v>
      </c>
    </row>
    <row r="34" spans="1:17" customFormat="1">
      <c r="A34" s="80">
        <v>45496.270833333336</v>
      </c>
      <c r="B34" s="112">
        <v>9.19</v>
      </c>
      <c r="C34" s="112">
        <v>4.18</v>
      </c>
      <c r="D34" s="112">
        <v>14</v>
      </c>
      <c r="E34" s="112">
        <v>13.17</v>
      </c>
      <c r="F34" s="112">
        <v>4.08</v>
      </c>
      <c r="G34" s="112">
        <v>3.34</v>
      </c>
      <c r="H34" s="112">
        <v>1.47</v>
      </c>
      <c r="I34" s="112">
        <v>3.04</v>
      </c>
      <c r="J34" s="112">
        <v>0.72</v>
      </c>
      <c r="K34" s="112">
        <v>275.88</v>
      </c>
      <c r="L34" s="112">
        <v>25.59</v>
      </c>
      <c r="M34" s="112">
        <v>98.57</v>
      </c>
      <c r="N34" s="112">
        <v>15.4</v>
      </c>
      <c r="O34" s="112">
        <v>0</v>
      </c>
      <c r="P34" s="112">
        <v>0.33</v>
      </c>
      <c r="Q34" s="112">
        <v>4.76</v>
      </c>
    </row>
    <row r="35" spans="1:17" customFormat="1">
      <c r="A35" s="80">
        <v>45496.28125</v>
      </c>
      <c r="B35" s="112">
        <v>9.17</v>
      </c>
      <c r="C35" s="112">
        <v>4.2</v>
      </c>
      <c r="D35" s="112">
        <v>14</v>
      </c>
      <c r="E35" s="112">
        <v>12.96</v>
      </c>
      <c r="F35" s="112">
        <v>4.0199999999999996</v>
      </c>
      <c r="G35" s="112">
        <v>2.93</v>
      </c>
      <c r="H35" s="112">
        <v>1.6</v>
      </c>
      <c r="I35" s="112">
        <v>2.87</v>
      </c>
      <c r="J35" s="112">
        <v>0.8</v>
      </c>
      <c r="K35" s="112">
        <v>275.85000000000002</v>
      </c>
      <c r="L35" s="112">
        <v>25.65</v>
      </c>
      <c r="M35" s="112">
        <v>97</v>
      </c>
      <c r="N35" s="112">
        <v>18.600000000000001</v>
      </c>
      <c r="O35" s="112">
        <v>0</v>
      </c>
      <c r="P35" s="112">
        <v>0.33</v>
      </c>
      <c r="Q35" s="112">
        <v>4.76</v>
      </c>
    </row>
    <row r="36" spans="1:17" customFormat="1">
      <c r="A36" s="80">
        <v>45496.291666666664</v>
      </c>
      <c r="B36" s="112">
        <v>9.18</v>
      </c>
      <c r="C36" s="112">
        <v>4.1900000000000004</v>
      </c>
      <c r="D36" s="112">
        <v>14</v>
      </c>
      <c r="E36" s="112">
        <v>12.94</v>
      </c>
      <c r="F36" s="112">
        <v>3.78</v>
      </c>
      <c r="G36" s="112">
        <v>2.93</v>
      </c>
      <c r="H36" s="112">
        <v>1.6</v>
      </c>
      <c r="I36" s="112">
        <v>2.8</v>
      </c>
      <c r="J36" s="112">
        <v>0.83</v>
      </c>
      <c r="K36" s="112">
        <v>276.3</v>
      </c>
      <c r="L36" s="112">
        <v>25.68</v>
      </c>
      <c r="M36" s="112">
        <v>96.62</v>
      </c>
      <c r="N36" s="112">
        <v>27.8</v>
      </c>
      <c r="O36" s="112">
        <v>0</v>
      </c>
      <c r="P36" s="112">
        <v>0.32</v>
      </c>
      <c r="Q36" s="112">
        <v>4.76</v>
      </c>
    </row>
    <row r="37" spans="1:17" customFormat="1">
      <c r="A37" s="80">
        <v>45496.302083333336</v>
      </c>
      <c r="B37" s="112">
        <v>9.18</v>
      </c>
      <c r="C37" s="112">
        <v>4.1900000000000004</v>
      </c>
      <c r="D37" s="112">
        <v>14</v>
      </c>
      <c r="E37" s="112">
        <v>13.67</v>
      </c>
      <c r="F37" s="112">
        <v>3.32</v>
      </c>
      <c r="G37" s="112">
        <v>2.93</v>
      </c>
      <c r="H37" s="112">
        <v>1.6</v>
      </c>
      <c r="I37" s="112">
        <v>2.81</v>
      </c>
      <c r="J37" s="112">
        <v>0.79</v>
      </c>
      <c r="K37" s="112">
        <v>272.86</v>
      </c>
      <c r="L37" s="112">
        <v>25.87</v>
      </c>
      <c r="M37" s="112">
        <v>99.34</v>
      </c>
      <c r="N37" s="112">
        <v>38.6</v>
      </c>
      <c r="O37" s="112">
        <v>0</v>
      </c>
      <c r="P37" s="112">
        <v>0.32</v>
      </c>
      <c r="Q37" s="112">
        <v>4.75</v>
      </c>
    </row>
    <row r="38" spans="1:17" customFormat="1">
      <c r="A38" s="80">
        <v>45496.3125</v>
      </c>
      <c r="B38" s="112">
        <v>9.26</v>
      </c>
      <c r="C38" s="112">
        <v>4.08</v>
      </c>
      <c r="D38" s="112">
        <v>14.01</v>
      </c>
      <c r="E38" s="112">
        <v>13.45</v>
      </c>
      <c r="F38" s="112">
        <v>4.47</v>
      </c>
      <c r="G38" s="112">
        <v>3.11</v>
      </c>
      <c r="H38" s="112">
        <v>1.59</v>
      </c>
      <c r="I38" s="112">
        <v>2.87</v>
      </c>
      <c r="J38" s="112">
        <v>0.93</v>
      </c>
      <c r="K38" s="112">
        <v>274.42</v>
      </c>
      <c r="L38" s="112">
        <v>25.79</v>
      </c>
      <c r="M38" s="112">
        <v>99.09</v>
      </c>
      <c r="N38" s="112">
        <v>29.2</v>
      </c>
      <c r="O38" s="112">
        <v>0</v>
      </c>
      <c r="P38" s="112">
        <v>0.31</v>
      </c>
      <c r="Q38" s="112">
        <v>4.7699999999999996</v>
      </c>
    </row>
    <row r="39" spans="1:17" customFormat="1">
      <c r="A39" s="80">
        <v>45496.322916666664</v>
      </c>
      <c r="B39" s="112">
        <v>9.27</v>
      </c>
      <c r="C39" s="112">
        <v>4.08</v>
      </c>
      <c r="D39" s="112">
        <v>14.01</v>
      </c>
      <c r="E39" s="112">
        <v>12.5</v>
      </c>
      <c r="F39" s="112">
        <v>5.0599999999999996</v>
      </c>
      <c r="G39" s="112">
        <v>6.12</v>
      </c>
      <c r="H39" s="112">
        <v>1.55</v>
      </c>
      <c r="I39" s="112">
        <v>3.04</v>
      </c>
      <c r="J39" s="112">
        <v>0.89</v>
      </c>
      <c r="K39" s="112">
        <v>272.20999999999998</v>
      </c>
      <c r="L39" s="112">
        <v>25.84</v>
      </c>
      <c r="M39" s="112">
        <v>97.01</v>
      </c>
      <c r="N39" s="112">
        <v>35.6</v>
      </c>
      <c r="O39" s="112">
        <v>0</v>
      </c>
      <c r="P39" s="112">
        <v>0.32</v>
      </c>
      <c r="Q39" s="112">
        <v>4.7699999999999996</v>
      </c>
    </row>
    <row r="40" spans="1:17" customFormat="1">
      <c r="A40" s="80">
        <v>45496.333333333336</v>
      </c>
      <c r="B40" s="112">
        <v>9.2899999999999991</v>
      </c>
      <c r="C40" s="112">
        <v>4.09</v>
      </c>
      <c r="D40" s="112">
        <v>14.04</v>
      </c>
      <c r="E40" s="112">
        <v>11.67</v>
      </c>
      <c r="F40" s="112">
        <v>4.7</v>
      </c>
      <c r="G40" s="112">
        <v>6.12</v>
      </c>
      <c r="H40" s="112">
        <v>1.55</v>
      </c>
      <c r="I40" s="112">
        <v>3.06</v>
      </c>
      <c r="J40" s="112">
        <v>1.03</v>
      </c>
      <c r="K40" s="112">
        <v>274.58</v>
      </c>
      <c r="L40" s="112">
        <v>25.87</v>
      </c>
      <c r="M40" s="112">
        <v>94.19</v>
      </c>
      <c r="N40" s="112">
        <v>44.6</v>
      </c>
      <c r="O40" s="112">
        <v>0</v>
      </c>
      <c r="P40" s="112">
        <v>0.32</v>
      </c>
      <c r="Q40" s="112">
        <v>4.7699999999999996</v>
      </c>
    </row>
    <row r="41" spans="1:17" customFormat="1">
      <c r="A41" s="80">
        <v>45496.34375</v>
      </c>
      <c r="B41" s="112">
        <v>9.2899999999999991</v>
      </c>
      <c r="C41" s="112">
        <v>4.07</v>
      </c>
      <c r="D41" s="112">
        <v>14.02</v>
      </c>
      <c r="E41" s="112">
        <v>11.32</v>
      </c>
      <c r="F41" s="112">
        <v>4.82</v>
      </c>
      <c r="G41" s="112">
        <v>6.12</v>
      </c>
      <c r="H41" s="112">
        <v>1.55</v>
      </c>
      <c r="I41" s="112">
        <v>2.9</v>
      </c>
      <c r="J41" s="112">
        <v>0.91</v>
      </c>
      <c r="K41" s="112">
        <v>272.26</v>
      </c>
      <c r="L41" s="112">
        <v>25.81</v>
      </c>
      <c r="M41" s="112">
        <v>94.8</v>
      </c>
      <c r="N41" s="112">
        <v>48.6</v>
      </c>
      <c r="O41" s="112">
        <v>0</v>
      </c>
      <c r="P41" s="112">
        <v>0.35</v>
      </c>
      <c r="Q41" s="112">
        <v>4.76</v>
      </c>
    </row>
    <row r="42" spans="1:17" customFormat="1">
      <c r="A42" s="80">
        <v>45496.354166666664</v>
      </c>
      <c r="B42" s="112">
        <v>9.27</v>
      </c>
      <c r="C42" s="112">
        <v>4.09</v>
      </c>
      <c r="D42" s="112">
        <v>14.02</v>
      </c>
      <c r="E42" s="112">
        <v>10.97</v>
      </c>
      <c r="F42" s="112">
        <v>4.87</v>
      </c>
      <c r="G42" s="112">
        <v>6.11</v>
      </c>
      <c r="H42" s="112">
        <v>1.56</v>
      </c>
      <c r="I42" s="112">
        <v>3.05</v>
      </c>
      <c r="J42" s="112">
        <v>0.94</v>
      </c>
      <c r="K42" s="112">
        <v>273.92</v>
      </c>
      <c r="L42" s="112">
        <v>25.63</v>
      </c>
      <c r="M42" s="112">
        <v>96.7</v>
      </c>
      <c r="N42" s="112">
        <v>63.9</v>
      </c>
      <c r="O42" s="112">
        <v>0</v>
      </c>
      <c r="P42" s="112">
        <v>0.37</v>
      </c>
      <c r="Q42" s="112">
        <v>4.75</v>
      </c>
    </row>
    <row r="43" spans="1:17" customFormat="1">
      <c r="A43" s="80">
        <v>45496.364583333336</v>
      </c>
      <c r="B43" s="112">
        <v>9.27</v>
      </c>
      <c r="C43" s="112">
        <v>4.0999999999999996</v>
      </c>
      <c r="D43" s="112">
        <v>14.02</v>
      </c>
      <c r="E43" s="112">
        <v>11.02</v>
      </c>
      <c r="F43" s="112">
        <v>4.49</v>
      </c>
      <c r="G43" s="112">
        <v>5.84</v>
      </c>
      <c r="H43" s="112">
        <v>1.66</v>
      </c>
      <c r="I43" s="112">
        <v>3.08</v>
      </c>
      <c r="J43" s="112">
        <v>0.79</v>
      </c>
      <c r="K43" s="112">
        <v>275.7</v>
      </c>
      <c r="L43" s="112">
        <v>25.64</v>
      </c>
      <c r="M43" s="112">
        <v>98.35</v>
      </c>
      <c r="N43" s="112">
        <v>57.1</v>
      </c>
      <c r="O43" s="112">
        <v>0.4</v>
      </c>
      <c r="P43" s="112">
        <v>0.4</v>
      </c>
      <c r="Q43" s="112">
        <v>4.76</v>
      </c>
    </row>
    <row r="44" spans="1:17" customFormat="1">
      <c r="A44" s="80">
        <v>45496.375</v>
      </c>
      <c r="B44" s="112">
        <v>9.27</v>
      </c>
      <c r="C44" s="112">
        <v>4.0599999999999996</v>
      </c>
      <c r="D44" s="112">
        <v>14</v>
      </c>
      <c r="E44" s="112">
        <v>11.6</v>
      </c>
      <c r="F44" s="112">
        <v>3.8</v>
      </c>
      <c r="G44" s="112">
        <v>5.84</v>
      </c>
      <c r="H44" s="112">
        <v>1.66</v>
      </c>
      <c r="I44" s="112">
        <v>3.08</v>
      </c>
      <c r="J44" s="112">
        <v>0.88</v>
      </c>
      <c r="K44" s="112">
        <v>272.51</v>
      </c>
      <c r="L44" s="112">
        <v>25.19</v>
      </c>
      <c r="M44" s="112">
        <v>100.87</v>
      </c>
      <c r="N44" s="112">
        <v>39.5</v>
      </c>
      <c r="O44" s="112">
        <v>1</v>
      </c>
      <c r="P44" s="112">
        <v>0.43</v>
      </c>
      <c r="Q44" s="112">
        <v>4.76</v>
      </c>
    </row>
    <row r="45" spans="1:17" customFormat="1">
      <c r="A45" s="80">
        <v>45496.385416666664</v>
      </c>
      <c r="B45" s="112">
        <v>9.26</v>
      </c>
      <c r="C45" s="112">
        <v>4.07</v>
      </c>
      <c r="D45" s="112">
        <v>14</v>
      </c>
      <c r="E45" s="112">
        <v>11.1</v>
      </c>
      <c r="F45" s="112">
        <v>3.7</v>
      </c>
      <c r="G45" s="112">
        <v>5.84</v>
      </c>
      <c r="H45" s="112">
        <v>1.66</v>
      </c>
      <c r="I45" s="112">
        <v>3.13</v>
      </c>
      <c r="J45" s="112">
        <v>0.86</v>
      </c>
      <c r="K45" s="112">
        <v>275.29000000000002</v>
      </c>
      <c r="L45" s="112">
        <v>25.04</v>
      </c>
      <c r="M45" s="112">
        <v>102.57</v>
      </c>
      <c r="N45" s="112">
        <v>37.799999999999997</v>
      </c>
      <c r="O45" s="112">
        <v>1.4</v>
      </c>
      <c r="P45" s="112">
        <v>0.45</v>
      </c>
      <c r="Q45" s="112">
        <v>4.75</v>
      </c>
    </row>
    <row r="46" spans="1:17" customFormat="1">
      <c r="A46" s="80">
        <v>45496.395833333336</v>
      </c>
      <c r="B46" s="112">
        <v>9.25</v>
      </c>
      <c r="C46" s="112">
        <v>4.08</v>
      </c>
      <c r="D46" s="112">
        <v>14</v>
      </c>
      <c r="E46" s="112">
        <v>10.9</v>
      </c>
      <c r="F46" s="112">
        <v>3.79</v>
      </c>
      <c r="G46" s="112">
        <v>5.85</v>
      </c>
      <c r="H46" s="112">
        <v>1.66</v>
      </c>
      <c r="I46" s="112">
        <v>3.17</v>
      </c>
      <c r="J46" s="112">
        <v>1.1100000000000001</v>
      </c>
      <c r="K46" s="112">
        <v>278.54000000000002</v>
      </c>
      <c r="L46" s="112">
        <v>24.81</v>
      </c>
      <c r="M46" s="112">
        <v>102.37</v>
      </c>
      <c r="N46" s="112">
        <v>53.1</v>
      </c>
      <c r="O46" s="112">
        <v>2.2000000000000002</v>
      </c>
      <c r="P46" s="112">
        <v>0.46</v>
      </c>
      <c r="Q46" s="112">
        <v>4.75</v>
      </c>
    </row>
    <row r="47" spans="1:17" customFormat="1">
      <c r="A47" s="80">
        <v>45496.40625</v>
      </c>
      <c r="B47" s="112">
        <v>9.24</v>
      </c>
      <c r="C47" s="112">
        <v>4.0999999999999996</v>
      </c>
      <c r="D47" s="112">
        <v>14</v>
      </c>
      <c r="E47" s="112">
        <v>10.74</v>
      </c>
      <c r="F47" s="112">
        <v>3.78</v>
      </c>
      <c r="G47" s="112">
        <v>6.03</v>
      </c>
      <c r="H47" s="112">
        <v>1.65</v>
      </c>
      <c r="I47" s="112">
        <v>3.18</v>
      </c>
      <c r="J47" s="112">
        <v>0.93</v>
      </c>
      <c r="K47" s="112">
        <v>277.52999999999997</v>
      </c>
      <c r="L47" s="112">
        <v>24.54</v>
      </c>
      <c r="M47" s="112">
        <v>103.66</v>
      </c>
      <c r="N47" s="112">
        <v>36.9</v>
      </c>
      <c r="O47" s="112">
        <v>5.6</v>
      </c>
      <c r="P47" s="112">
        <v>0.48</v>
      </c>
      <c r="Q47" s="112">
        <v>4.74</v>
      </c>
    </row>
    <row r="48" spans="1:17" customFormat="1">
      <c r="A48" s="80">
        <v>45496.416666666664</v>
      </c>
      <c r="B48" s="112">
        <v>9.24</v>
      </c>
      <c r="C48" s="112">
        <v>4.0999999999999996</v>
      </c>
      <c r="D48" s="112">
        <v>14</v>
      </c>
      <c r="E48" s="112">
        <v>10.68</v>
      </c>
      <c r="F48" s="112">
        <v>3.62</v>
      </c>
      <c r="G48" s="112">
        <v>6.03</v>
      </c>
      <c r="H48" s="112">
        <v>1.65</v>
      </c>
      <c r="I48" s="112">
        <v>3.19</v>
      </c>
      <c r="J48" s="112">
        <v>0.97</v>
      </c>
      <c r="K48" s="112">
        <v>278.64</v>
      </c>
      <c r="L48" s="112">
        <v>24.52</v>
      </c>
      <c r="M48" s="112">
        <v>104.01</v>
      </c>
      <c r="N48" s="112">
        <v>41.6</v>
      </c>
      <c r="O48" s="112">
        <v>4.2</v>
      </c>
      <c r="P48" s="112">
        <v>0.49</v>
      </c>
      <c r="Q48" s="112">
        <v>4.75</v>
      </c>
    </row>
    <row r="49" spans="1:17" customFormat="1">
      <c r="A49" s="80">
        <v>45496.427083333336</v>
      </c>
      <c r="B49" s="112">
        <v>9.26</v>
      </c>
      <c r="C49" s="112">
        <v>4.07</v>
      </c>
      <c r="D49" s="112">
        <v>14</v>
      </c>
      <c r="E49" s="112">
        <v>7.44</v>
      </c>
      <c r="F49" s="112">
        <v>3.61</v>
      </c>
      <c r="G49" s="112">
        <v>6.03</v>
      </c>
      <c r="H49" s="112">
        <v>1.65</v>
      </c>
      <c r="I49" s="112">
        <v>3.2</v>
      </c>
      <c r="J49" s="112">
        <v>0.67</v>
      </c>
      <c r="K49" s="112">
        <v>273.69</v>
      </c>
      <c r="L49" s="112">
        <v>24.57</v>
      </c>
      <c r="M49" s="112">
        <v>104.1</v>
      </c>
      <c r="N49" s="112">
        <v>39</v>
      </c>
      <c r="O49" s="112">
        <v>1.8</v>
      </c>
      <c r="P49" s="112">
        <v>0.51</v>
      </c>
      <c r="Q49" s="112">
        <v>4.75</v>
      </c>
    </row>
    <row r="50" spans="1:17" customFormat="1">
      <c r="A50" s="80">
        <v>45496.4375</v>
      </c>
      <c r="B50" s="112">
        <v>9.25</v>
      </c>
      <c r="C50" s="112">
        <v>4.08</v>
      </c>
      <c r="D50" s="112">
        <v>14</v>
      </c>
      <c r="E50" s="112">
        <v>9.23</v>
      </c>
      <c r="F50" s="112">
        <v>3.88</v>
      </c>
      <c r="G50" s="112">
        <v>6.05</v>
      </c>
      <c r="H50" s="112">
        <v>1.7</v>
      </c>
      <c r="I50" s="112">
        <v>3.24</v>
      </c>
      <c r="J50" s="112">
        <v>0.95</v>
      </c>
      <c r="K50" s="112">
        <v>275.56</v>
      </c>
      <c r="L50" s="112">
        <v>24.56</v>
      </c>
      <c r="M50" s="112">
        <v>103.76</v>
      </c>
      <c r="N50" s="112">
        <v>43.7</v>
      </c>
      <c r="O50" s="112">
        <v>1</v>
      </c>
      <c r="P50" s="112">
        <v>0.53</v>
      </c>
      <c r="Q50" s="112">
        <v>4.75</v>
      </c>
    </row>
    <row r="51" spans="1:17" customFormat="1">
      <c r="A51" s="80">
        <v>45496.447916666664</v>
      </c>
      <c r="B51" s="112">
        <v>9.25</v>
      </c>
      <c r="C51" s="112">
        <v>4.08</v>
      </c>
      <c r="D51" s="112">
        <v>14</v>
      </c>
      <c r="E51" s="112">
        <v>8.84</v>
      </c>
      <c r="F51" s="112">
        <v>3.94</v>
      </c>
      <c r="G51" s="112">
        <v>6.27</v>
      </c>
      <c r="H51" s="112">
        <v>2.44</v>
      </c>
      <c r="I51" s="112">
        <v>3.25</v>
      </c>
      <c r="J51" s="112">
        <v>0.73</v>
      </c>
      <c r="K51" s="112">
        <v>272.62</v>
      </c>
      <c r="L51" s="112">
        <v>24.57</v>
      </c>
      <c r="M51" s="112">
        <v>104.15</v>
      </c>
      <c r="N51" s="112">
        <v>37.4</v>
      </c>
      <c r="O51" s="112">
        <v>0.6</v>
      </c>
      <c r="P51" s="112">
        <v>0.53</v>
      </c>
      <c r="Q51" s="112">
        <v>4.75</v>
      </c>
    </row>
    <row r="52" spans="1:17" customFormat="1">
      <c r="A52" s="80">
        <v>45496.458333333336</v>
      </c>
      <c r="B52" s="112">
        <v>9.24</v>
      </c>
      <c r="C52" s="112">
        <v>4.0999999999999996</v>
      </c>
      <c r="D52" s="112">
        <v>14</v>
      </c>
      <c r="E52" s="112">
        <v>9.09</v>
      </c>
      <c r="F52" s="112">
        <v>3.81</v>
      </c>
      <c r="G52" s="112">
        <v>6.27</v>
      </c>
      <c r="H52" s="112">
        <v>2.44</v>
      </c>
      <c r="I52" s="112">
        <v>3.22</v>
      </c>
      <c r="J52" s="112">
        <v>0.73</v>
      </c>
      <c r="K52" s="112">
        <v>275.68</v>
      </c>
      <c r="L52" s="112">
        <v>24.57</v>
      </c>
      <c r="M52" s="112">
        <v>105.06</v>
      </c>
      <c r="N52" s="112">
        <v>36.6</v>
      </c>
      <c r="O52" s="112">
        <v>0.6</v>
      </c>
      <c r="P52" s="112">
        <v>0.54</v>
      </c>
      <c r="Q52" s="112">
        <v>4.74</v>
      </c>
    </row>
    <row r="53" spans="1:17" customFormat="1">
      <c r="A53" s="80">
        <v>45496.46875</v>
      </c>
      <c r="B53" s="112">
        <v>9.26</v>
      </c>
      <c r="C53" s="112">
        <v>4.08</v>
      </c>
      <c r="D53" s="112">
        <v>14.01</v>
      </c>
      <c r="E53" s="112">
        <v>8.44</v>
      </c>
      <c r="F53" s="112">
        <v>3.65</v>
      </c>
      <c r="G53" s="112">
        <v>6.27</v>
      </c>
      <c r="H53" s="112">
        <v>2.44</v>
      </c>
      <c r="I53" s="112">
        <v>3.23</v>
      </c>
      <c r="J53" s="112">
        <v>0.72</v>
      </c>
      <c r="K53" s="112">
        <v>275.83</v>
      </c>
      <c r="L53" s="112">
        <v>24.67</v>
      </c>
      <c r="M53" s="112">
        <v>105.24</v>
      </c>
      <c r="N53" s="112">
        <v>43.2</v>
      </c>
      <c r="O53" s="112">
        <v>1.2</v>
      </c>
      <c r="P53" s="112">
        <v>0.56000000000000005</v>
      </c>
      <c r="Q53" s="112">
        <v>4.74</v>
      </c>
    </row>
    <row r="54" spans="1:17" customFormat="1">
      <c r="A54" s="80">
        <v>45496.479166666664</v>
      </c>
      <c r="B54" s="112">
        <v>9.27</v>
      </c>
      <c r="C54" s="112">
        <v>4.05</v>
      </c>
      <c r="D54" s="112">
        <v>14</v>
      </c>
      <c r="E54" s="112">
        <v>8.64</v>
      </c>
      <c r="F54" s="112">
        <v>4.05</v>
      </c>
      <c r="G54" s="112">
        <v>6.25</v>
      </c>
      <c r="H54" s="112">
        <v>2.4300000000000002</v>
      </c>
      <c r="I54" s="112">
        <v>3.26</v>
      </c>
      <c r="J54" s="112">
        <v>1.01</v>
      </c>
      <c r="K54" s="112">
        <v>276.33999999999997</v>
      </c>
      <c r="L54" s="112">
        <v>24.61</v>
      </c>
      <c r="M54" s="112">
        <v>105.55</v>
      </c>
      <c r="N54" s="112">
        <v>49.7</v>
      </c>
      <c r="O54" s="112">
        <v>2.2000000000000002</v>
      </c>
      <c r="P54" s="112">
        <v>0.56000000000000005</v>
      </c>
      <c r="Q54" s="112">
        <v>4.74</v>
      </c>
    </row>
    <row r="55" spans="1:17" customFormat="1">
      <c r="A55" s="80">
        <v>45496.489583333336</v>
      </c>
      <c r="B55" s="112">
        <v>9.27</v>
      </c>
      <c r="C55" s="112">
        <v>4.05</v>
      </c>
      <c r="D55" s="112">
        <v>14</v>
      </c>
      <c r="E55" s="112">
        <v>8.52</v>
      </c>
      <c r="F55" s="112">
        <v>4.6900000000000004</v>
      </c>
      <c r="G55" s="112">
        <v>5.85</v>
      </c>
      <c r="H55" s="112">
        <v>2.2799999999999998</v>
      </c>
      <c r="I55" s="112">
        <v>3.05</v>
      </c>
      <c r="J55" s="112">
        <v>0.99</v>
      </c>
      <c r="K55" s="112">
        <v>276.52</v>
      </c>
      <c r="L55" s="112">
        <v>24.64</v>
      </c>
      <c r="M55" s="112">
        <v>104.44</v>
      </c>
      <c r="N55" s="112">
        <v>50.3</v>
      </c>
      <c r="O55" s="112">
        <v>2</v>
      </c>
      <c r="P55" s="112">
        <v>0.56000000000000005</v>
      </c>
      <c r="Q55" s="112">
        <v>4.74</v>
      </c>
    </row>
    <row r="56" spans="1:17" customFormat="1">
      <c r="A56" s="80">
        <v>45496.5</v>
      </c>
      <c r="B56" s="112">
        <v>9.26</v>
      </c>
      <c r="C56" s="112">
        <v>4.07</v>
      </c>
      <c r="D56" s="112">
        <v>14</v>
      </c>
      <c r="E56" s="112">
        <v>9.14</v>
      </c>
      <c r="F56" s="112">
        <v>4.1900000000000004</v>
      </c>
      <c r="G56" s="112">
        <v>5.85</v>
      </c>
      <c r="H56" s="112">
        <v>2.2799999999999998</v>
      </c>
      <c r="I56" s="112">
        <v>3.21</v>
      </c>
      <c r="J56" s="112">
        <v>1.1100000000000001</v>
      </c>
      <c r="K56" s="112">
        <v>275.91000000000003</v>
      </c>
      <c r="L56" s="112">
        <v>24.6</v>
      </c>
      <c r="M56" s="112">
        <v>105.82</v>
      </c>
      <c r="N56" s="112">
        <v>37.200000000000003</v>
      </c>
      <c r="O56" s="112">
        <v>0.8</v>
      </c>
      <c r="P56" s="112">
        <v>0.56000000000000005</v>
      </c>
      <c r="Q56" s="112">
        <v>4.7300000000000004</v>
      </c>
    </row>
    <row r="57" spans="1:17" customFormat="1">
      <c r="A57" s="80">
        <v>45496.510416666664</v>
      </c>
      <c r="B57" s="112">
        <v>9.25</v>
      </c>
      <c r="C57" s="112">
        <v>4.08</v>
      </c>
      <c r="D57" s="112">
        <v>14</v>
      </c>
      <c r="E57" s="112">
        <v>8.7200000000000006</v>
      </c>
      <c r="F57" s="112">
        <v>4.2</v>
      </c>
      <c r="G57" s="112">
        <v>5.85</v>
      </c>
      <c r="H57" s="112">
        <v>2.2799999999999998</v>
      </c>
      <c r="I57" s="112">
        <v>3.02</v>
      </c>
      <c r="J57" s="112">
        <v>1.21</v>
      </c>
      <c r="K57" s="112">
        <v>275.02</v>
      </c>
      <c r="L57" s="112">
        <v>24.55</v>
      </c>
      <c r="M57" s="112">
        <v>106.27</v>
      </c>
      <c r="N57" s="112">
        <v>38.799999999999997</v>
      </c>
      <c r="O57" s="112">
        <v>0.6</v>
      </c>
      <c r="P57" s="112">
        <v>0.57999999999999996</v>
      </c>
      <c r="Q57" s="112">
        <v>4.71</v>
      </c>
    </row>
    <row r="58" spans="1:17" customFormat="1">
      <c r="A58" s="80">
        <v>45496.520833333336</v>
      </c>
      <c r="B58" s="112">
        <v>9.24</v>
      </c>
      <c r="C58" s="112">
        <v>4.09</v>
      </c>
      <c r="D58" s="112">
        <v>14</v>
      </c>
      <c r="E58" s="112">
        <v>9.0399999999999991</v>
      </c>
      <c r="F58" s="112">
        <v>4.01</v>
      </c>
      <c r="G58" s="112">
        <v>5.78</v>
      </c>
      <c r="H58" s="112">
        <v>2.2599999999999998</v>
      </c>
      <c r="I58" s="112">
        <v>2.95</v>
      </c>
      <c r="J58" s="112">
        <v>1.24</v>
      </c>
      <c r="K58" s="112">
        <v>275.68</v>
      </c>
      <c r="L58" s="112">
        <v>24.58</v>
      </c>
      <c r="M58" s="112">
        <v>104.85</v>
      </c>
      <c r="N58" s="112">
        <v>48.7</v>
      </c>
      <c r="O58" s="112">
        <v>1.2</v>
      </c>
      <c r="P58" s="112">
        <v>0.56999999999999995</v>
      </c>
      <c r="Q58" s="112">
        <v>4.71</v>
      </c>
    </row>
    <row r="59" spans="1:17" customFormat="1">
      <c r="A59" s="80">
        <v>45496.53125</v>
      </c>
      <c r="B59" s="112">
        <v>9.24</v>
      </c>
      <c r="C59" s="112">
        <v>4.0999999999999996</v>
      </c>
      <c r="D59" s="112">
        <v>14</v>
      </c>
      <c r="E59" s="112">
        <v>8.73</v>
      </c>
      <c r="F59" s="112">
        <v>3.9</v>
      </c>
      <c r="G59" s="112">
        <v>4.6100000000000003</v>
      </c>
      <c r="H59" s="112">
        <v>1.89</v>
      </c>
      <c r="I59" s="112">
        <v>3.12</v>
      </c>
      <c r="J59" s="112">
        <v>1.24</v>
      </c>
      <c r="K59" s="112">
        <v>273.97000000000003</v>
      </c>
      <c r="L59" s="112">
        <v>24.61</v>
      </c>
      <c r="M59" s="112">
        <v>104.26</v>
      </c>
      <c r="N59" s="112">
        <v>45.1</v>
      </c>
      <c r="O59" s="112">
        <v>1.4</v>
      </c>
      <c r="P59" s="112">
        <v>0.55000000000000004</v>
      </c>
      <c r="Q59" s="112">
        <v>4.71</v>
      </c>
    </row>
    <row r="60" spans="1:17" customFormat="1">
      <c r="A60" s="80">
        <v>45496.541666666664</v>
      </c>
      <c r="B60" s="112">
        <v>9.2200000000000006</v>
      </c>
      <c r="C60" s="112">
        <v>4.1399999999999997</v>
      </c>
      <c r="D60" s="112">
        <v>14</v>
      </c>
      <c r="E60" s="112">
        <v>8.94</v>
      </c>
      <c r="F60" s="112">
        <v>3.67</v>
      </c>
      <c r="G60" s="112">
        <v>4.6100000000000003</v>
      </c>
      <c r="H60" s="112">
        <v>1.89</v>
      </c>
      <c r="I60" s="112">
        <v>3.15</v>
      </c>
      <c r="J60" s="112">
        <v>1.24</v>
      </c>
      <c r="K60" s="112">
        <v>273.69</v>
      </c>
      <c r="L60" s="112">
        <v>24.62</v>
      </c>
      <c r="M60" s="112">
        <v>104.11</v>
      </c>
      <c r="N60" s="112">
        <v>43.7</v>
      </c>
      <c r="O60" s="112">
        <v>1</v>
      </c>
      <c r="P60" s="112">
        <v>0.54</v>
      </c>
      <c r="Q60" s="112">
        <v>4.72</v>
      </c>
    </row>
    <row r="61" spans="1:17" customFormat="1">
      <c r="A61" s="80">
        <v>45496.552083333336</v>
      </c>
      <c r="B61" s="112">
        <v>9.17</v>
      </c>
      <c r="C61" s="112">
        <v>4.2</v>
      </c>
      <c r="D61" s="112">
        <v>14</v>
      </c>
      <c r="E61" s="112">
        <v>9.2899999999999991</v>
      </c>
      <c r="F61" s="112">
        <v>4.09</v>
      </c>
      <c r="G61" s="112">
        <v>4.6100000000000003</v>
      </c>
      <c r="H61" s="112">
        <v>1.89</v>
      </c>
      <c r="I61" s="112">
        <v>3.13</v>
      </c>
      <c r="J61" s="112">
        <v>1.1200000000000001</v>
      </c>
      <c r="K61" s="112">
        <v>274.70999999999998</v>
      </c>
      <c r="L61" s="112">
        <v>24.68</v>
      </c>
      <c r="M61" s="112">
        <v>103.91</v>
      </c>
      <c r="N61" s="112">
        <v>44.7</v>
      </c>
      <c r="O61" s="112">
        <v>0.6</v>
      </c>
      <c r="P61" s="112">
        <v>0.53</v>
      </c>
      <c r="Q61" s="112">
        <v>4.7300000000000004</v>
      </c>
    </row>
    <row r="62" spans="1:17" customFormat="1">
      <c r="A62" s="80">
        <v>45496.5625</v>
      </c>
      <c r="B62" s="112">
        <v>9.17</v>
      </c>
      <c r="C62" s="112">
        <v>4.2</v>
      </c>
      <c r="D62" s="112">
        <v>14</v>
      </c>
      <c r="E62" s="112">
        <v>9.58</v>
      </c>
      <c r="F62" s="112">
        <v>3.96</v>
      </c>
      <c r="G62" s="112">
        <v>4.54</v>
      </c>
      <c r="H62" s="112">
        <v>1.88</v>
      </c>
      <c r="I62" s="112">
        <v>3.09</v>
      </c>
      <c r="J62" s="112">
        <v>0.96</v>
      </c>
      <c r="K62" s="112">
        <v>274.45999999999998</v>
      </c>
      <c r="L62" s="112">
        <v>24.77</v>
      </c>
      <c r="M62" s="112">
        <v>103.6</v>
      </c>
      <c r="N62" s="112">
        <v>58.4</v>
      </c>
      <c r="O62" s="112">
        <v>0.2</v>
      </c>
      <c r="P62" s="112">
        <v>0.51</v>
      </c>
      <c r="Q62" s="112">
        <v>4.72</v>
      </c>
    </row>
    <row r="63" spans="1:17" customFormat="1">
      <c r="A63" s="80">
        <v>45496.572916666664</v>
      </c>
      <c r="B63" s="112">
        <v>9.18</v>
      </c>
      <c r="C63" s="112">
        <v>4.1900000000000004</v>
      </c>
      <c r="D63" s="112">
        <v>14</v>
      </c>
      <c r="E63" s="112">
        <v>9.83</v>
      </c>
      <c r="F63" s="112">
        <v>4.12</v>
      </c>
      <c r="G63" s="112">
        <v>3.48</v>
      </c>
      <c r="H63" s="112">
        <v>1.76</v>
      </c>
      <c r="I63" s="112">
        <v>2.91</v>
      </c>
      <c r="J63" s="112">
        <v>1.07</v>
      </c>
      <c r="K63" s="112">
        <v>276.32</v>
      </c>
      <c r="L63" s="112">
        <v>24.83</v>
      </c>
      <c r="M63" s="112">
        <v>103.38</v>
      </c>
      <c r="N63" s="112">
        <v>48.4</v>
      </c>
      <c r="O63" s="112">
        <v>0</v>
      </c>
      <c r="P63" s="112">
        <v>0.5</v>
      </c>
      <c r="Q63" s="112">
        <v>4.72</v>
      </c>
    </row>
    <row r="64" spans="1:17" customFormat="1">
      <c r="A64" s="80">
        <v>45496.583333333336</v>
      </c>
      <c r="B64" s="112">
        <v>9.18</v>
      </c>
      <c r="C64" s="112">
        <v>4.18</v>
      </c>
      <c r="D64" s="112">
        <v>14</v>
      </c>
      <c r="E64" s="112">
        <v>9.94</v>
      </c>
      <c r="F64" s="112">
        <v>3.8</v>
      </c>
      <c r="G64" s="112">
        <v>3.48</v>
      </c>
      <c r="H64" s="112">
        <v>1.76</v>
      </c>
      <c r="I64" s="112">
        <v>3.02</v>
      </c>
      <c r="J64" s="112">
        <v>1.1200000000000001</v>
      </c>
      <c r="K64" s="112">
        <v>275.95999999999998</v>
      </c>
      <c r="L64" s="112">
        <v>24.82</v>
      </c>
      <c r="M64" s="112">
        <v>103.34</v>
      </c>
      <c r="N64" s="112">
        <v>46.7</v>
      </c>
      <c r="O64" s="112">
        <v>0.6</v>
      </c>
      <c r="P64" s="112">
        <v>0.5</v>
      </c>
      <c r="Q64" s="112">
        <v>4.71</v>
      </c>
    </row>
    <row r="65" spans="1:17" customFormat="1">
      <c r="A65" s="80">
        <v>45496.59375</v>
      </c>
      <c r="B65" s="112">
        <v>9.19</v>
      </c>
      <c r="C65" s="112">
        <v>4.17</v>
      </c>
      <c r="D65" s="112">
        <v>14</v>
      </c>
      <c r="E65" s="112">
        <v>9.9700000000000006</v>
      </c>
      <c r="F65" s="112">
        <v>3.96</v>
      </c>
      <c r="G65" s="112">
        <v>3.48</v>
      </c>
      <c r="H65" s="112">
        <v>1.76</v>
      </c>
      <c r="I65" s="112">
        <v>3.04</v>
      </c>
      <c r="J65" s="112">
        <v>1.1100000000000001</v>
      </c>
      <c r="K65" s="112">
        <v>276.88</v>
      </c>
      <c r="L65" s="112">
        <v>24.79</v>
      </c>
      <c r="M65" s="112">
        <v>103.37</v>
      </c>
      <c r="N65" s="112">
        <v>30.9</v>
      </c>
      <c r="O65" s="112">
        <v>0.2</v>
      </c>
      <c r="P65" s="112">
        <v>0.43</v>
      </c>
      <c r="Q65" s="112">
        <v>4.7300000000000004</v>
      </c>
    </row>
    <row r="66" spans="1:17" customFormat="1">
      <c r="A66" s="80">
        <v>45496.604166666664</v>
      </c>
      <c r="B66" s="112">
        <v>9.1999999999999993</v>
      </c>
      <c r="C66" s="112">
        <v>4.16</v>
      </c>
      <c r="D66" s="112">
        <v>14</v>
      </c>
      <c r="E66" s="112">
        <v>10.029999999999999</v>
      </c>
      <c r="F66" s="112">
        <v>3.89</v>
      </c>
      <c r="G66" s="112">
        <v>3.62</v>
      </c>
      <c r="H66" s="112">
        <v>1.75</v>
      </c>
      <c r="I66" s="112">
        <v>2.9</v>
      </c>
      <c r="J66" s="112">
        <v>1</v>
      </c>
      <c r="K66" s="112">
        <v>280.35000000000002</v>
      </c>
      <c r="L66" s="112">
        <v>24.81</v>
      </c>
      <c r="M66" s="112">
        <v>103.32</v>
      </c>
      <c r="N66" s="112">
        <v>32.9</v>
      </c>
      <c r="O66" s="112">
        <v>0.2</v>
      </c>
      <c r="P66" s="112">
        <v>0.44</v>
      </c>
      <c r="Q66" s="112">
        <v>4.72</v>
      </c>
    </row>
    <row r="67" spans="1:17" customFormat="1">
      <c r="A67" s="80">
        <v>45496.614583333336</v>
      </c>
      <c r="B67" s="112">
        <v>9.1999999999999993</v>
      </c>
      <c r="C67" s="112">
        <v>4.16</v>
      </c>
      <c r="D67" s="112">
        <v>14</v>
      </c>
      <c r="E67" s="112">
        <v>10.42</v>
      </c>
      <c r="F67" s="112">
        <v>3.87</v>
      </c>
      <c r="G67" s="112">
        <v>5.98</v>
      </c>
      <c r="H67" s="112">
        <v>1.64</v>
      </c>
      <c r="I67" s="112">
        <v>2.97</v>
      </c>
      <c r="J67" s="112">
        <v>1.23</v>
      </c>
      <c r="K67" s="112">
        <v>276.57</v>
      </c>
      <c r="L67" s="112">
        <v>24.86</v>
      </c>
      <c r="M67" s="112">
        <v>102.84</v>
      </c>
      <c r="N67" s="112">
        <v>36.9</v>
      </c>
      <c r="O67" s="112">
        <v>0.8</v>
      </c>
      <c r="P67" s="112">
        <v>0.43</v>
      </c>
      <c r="Q67" s="112">
        <v>4.71</v>
      </c>
    </row>
    <row r="68" spans="1:17" customFormat="1">
      <c r="A68" s="80">
        <v>45496.625</v>
      </c>
      <c r="B68" s="112">
        <v>9.1999999999999993</v>
      </c>
      <c r="C68" s="112">
        <v>4.1500000000000004</v>
      </c>
      <c r="D68" s="112">
        <v>14</v>
      </c>
      <c r="E68" s="112">
        <v>10.52</v>
      </c>
      <c r="F68" s="112">
        <v>3.73</v>
      </c>
      <c r="G68" s="112">
        <v>5.98</v>
      </c>
      <c r="H68" s="112">
        <v>1.64</v>
      </c>
      <c r="I68" s="112">
        <v>3.01</v>
      </c>
      <c r="J68" s="112">
        <v>1.28</v>
      </c>
      <c r="K68" s="112">
        <v>277.57</v>
      </c>
      <c r="L68" s="112">
        <v>24.8</v>
      </c>
      <c r="M68" s="112">
        <v>102.57</v>
      </c>
      <c r="N68" s="112">
        <v>34.299999999999997</v>
      </c>
      <c r="O68" s="112">
        <v>0.8</v>
      </c>
      <c r="P68" s="112">
        <v>0.43</v>
      </c>
      <c r="Q68" s="112">
        <v>4.72</v>
      </c>
    </row>
    <row r="69" spans="1:17" customFormat="1">
      <c r="A69" s="80">
        <v>45496.635416666664</v>
      </c>
      <c r="B69" s="112">
        <v>9.1999999999999993</v>
      </c>
      <c r="C69" s="112">
        <v>4.1500000000000004</v>
      </c>
      <c r="D69" s="112">
        <v>14</v>
      </c>
      <c r="E69" s="112">
        <v>10.57</v>
      </c>
      <c r="F69" s="112">
        <v>3.81</v>
      </c>
      <c r="G69" s="112">
        <v>5.98</v>
      </c>
      <c r="H69" s="112">
        <v>1.64</v>
      </c>
      <c r="I69" s="112">
        <v>3.02</v>
      </c>
      <c r="J69" s="112">
        <v>0.94</v>
      </c>
      <c r="K69" s="112">
        <v>279.51</v>
      </c>
      <c r="L69" s="112">
        <v>24.77</v>
      </c>
      <c r="M69" s="112">
        <v>102.41</v>
      </c>
      <c r="N69" s="112">
        <v>31.4</v>
      </c>
      <c r="O69" s="112">
        <v>1.4</v>
      </c>
      <c r="P69" s="112">
        <v>0.41</v>
      </c>
      <c r="Q69" s="112">
        <v>4.7300000000000004</v>
      </c>
    </row>
    <row r="70" spans="1:17" customFormat="1">
      <c r="A70" s="80">
        <v>45496.645833333336</v>
      </c>
      <c r="B70" s="112">
        <v>9.1999999999999993</v>
      </c>
      <c r="C70" s="112">
        <v>4.1500000000000004</v>
      </c>
      <c r="D70" s="112">
        <v>14</v>
      </c>
      <c r="E70" s="112">
        <v>10.69</v>
      </c>
      <c r="F70" s="112">
        <v>3.82</v>
      </c>
      <c r="G70" s="112">
        <v>5.91</v>
      </c>
      <c r="H70" s="112">
        <v>1.64</v>
      </c>
      <c r="I70" s="112">
        <v>3</v>
      </c>
      <c r="J70" s="112">
        <v>1.19</v>
      </c>
      <c r="K70" s="112">
        <v>278.39</v>
      </c>
      <c r="L70" s="112">
        <v>24.74</v>
      </c>
      <c r="M70" s="112">
        <v>102.56</v>
      </c>
      <c r="N70" s="112">
        <v>31.6</v>
      </c>
      <c r="O70" s="112">
        <v>1.2</v>
      </c>
      <c r="P70" s="112">
        <v>0.4</v>
      </c>
      <c r="Q70" s="112">
        <v>4.71</v>
      </c>
    </row>
    <row r="71" spans="1:17" customFormat="1">
      <c r="A71" s="80">
        <v>45496.65625</v>
      </c>
      <c r="B71" s="112">
        <v>9.19</v>
      </c>
      <c r="C71" s="112">
        <v>4.17</v>
      </c>
      <c r="D71" s="112">
        <v>14</v>
      </c>
      <c r="E71" s="112">
        <v>10.49</v>
      </c>
      <c r="F71" s="112">
        <v>3.56</v>
      </c>
      <c r="G71" s="112">
        <v>4.62</v>
      </c>
      <c r="H71" s="112">
        <v>1.52</v>
      </c>
      <c r="I71" s="112">
        <v>3.01</v>
      </c>
      <c r="J71" s="112">
        <v>1.1299999999999999</v>
      </c>
      <c r="K71" s="112">
        <v>275.95999999999998</v>
      </c>
      <c r="L71" s="112">
        <v>24.66</v>
      </c>
      <c r="M71" s="112">
        <v>103.49</v>
      </c>
      <c r="N71" s="112">
        <v>33.5</v>
      </c>
      <c r="O71" s="112">
        <v>1.8</v>
      </c>
      <c r="P71" s="112">
        <v>0.4</v>
      </c>
      <c r="Q71" s="112">
        <v>4.71</v>
      </c>
    </row>
    <row r="72" spans="1:17" customFormat="1">
      <c r="A72" s="80">
        <v>45496.666666666664</v>
      </c>
      <c r="B72" s="112">
        <v>9.1999999999999993</v>
      </c>
      <c r="C72" s="112">
        <v>4.16</v>
      </c>
      <c r="D72" s="112">
        <v>14</v>
      </c>
      <c r="E72" s="112">
        <v>10.34</v>
      </c>
      <c r="F72" s="112">
        <v>4.1900000000000004</v>
      </c>
      <c r="G72" s="112">
        <v>4.62</v>
      </c>
      <c r="H72" s="112">
        <v>1.52</v>
      </c>
      <c r="I72" s="112">
        <v>2.85</v>
      </c>
      <c r="J72" s="112">
        <v>1.1299999999999999</v>
      </c>
      <c r="K72" s="112">
        <v>274.42</v>
      </c>
      <c r="L72" s="112">
        <v>24.69</v>
      </c>
      <c r="M72" s="112">
        <v>103.9</v>
      </c>
      <c r="N72" s="112">
        <v>26.3</v>
      </c>
      <c r="O72" s="112">
        <v>1</v>
      </c>
      <c r="P72" s="112">
        <v>0.42</v>
      </c>
      <c r="Q72" s="112">
        <v>4.72</v>
      </c>
    </row>
    <row r="73" spans="1:17" customFormat="1">
      <c r="A73" s="80">
        <v>45496.677083333336</v>
      </c>
      <c r="B73" s="112">
        <v>9.2100000000000009</v>
      </c>
      <c r="C73" s="112">
        <v>4.1500000000000004</v>
      </c>
      <c r="D73" s="112">
        <v>14</v>
      </c>
      <c r="E73" s="112">
        <v>11.18</v>
      </c>
      <c r="F73" s="112">
        <v>3.99</v>
      </c>
      <c r="G73" s="112">
        <v>4.62</v>
      </c>
      <c r="H73" s="112">
        <v>1.52</v>
      </c>
      <c r="I73" s="112">
        <v>2.95</v>
      </c>
      <c r="J73" s="112">
        <v>0.79</v>
      </c>
      <c r="K73" s="112">
        <v>274.04000000000002</v>
      </c>
      <c r="L73" s="112">
        <v>24.71</v>
      </c>
      <c r="M73" s="112">
        <v>104.54</v>
      </c>
      <c r="N73" s="112">
        <v>27.1</v>
      </c>
      <c r="O73" s="112">
        <v>1.4</v>
      </c>
      <c r="P73" s="112">
        <v>0.4</v>
      </c>
      <c r="Q73" s="112">
        <v>4.72</v>
      </c>
    </row>
    <row r="74" spans="1:17" customFormat="1">
      <c r="A74" s="80">
        <v>45496.6875</v>
      </c>
      <c r="B74" s="112">
        <v>9.18</v>
      </c>
      <c r="C74" s="112">
        <v>4.1900000000000004</v>
      </c>
      <c r="D74" s="112">
        <v>14</v>
      </c>
      <c r="E74" s="112">
        <v>11.01</v>
      </c>
      <c r="F74" s="112">
        <v>2.98</v>
      </c>
      <c r="G74" s="112">
        <v>4.72</v>
      </c>
      <c r="H74" s="112">
        <v>1.51</v>
      </c>
      <c r="I74" s="112">
        <v>2.95</v>
      </c>
      <c r="J74" s="112">
        <v>0.91</v>
      </c>
      <c r="K74" s="112">
        <v>275.08999999999997</v>
      </c>
      <c r="L74" s="112">
        <v>24.8</v>
      </c>
      <c r="M74" s="112">
        <v>105.56</v>
      </c>
      <c r="N74" s="112">
        <v>27.2</v>
      </c>
      <c r="O74" s="112">
        <v>0.6</v>
      </c>
      <c r="P74" s="112">
        <v>0.38</v>
      </c>
      <c r="Q74" s="112">
        <v>4.72</v>
      </c>
    </row>
    <row r="75" spans="1:17" customFormat="1">
      <c r="A75" s="80">
        <v>45496.697916666664</v>
      </c>
      <c r="B75" s="112">
        <v>9.17</v>
      </c>
      <c r="C75" s="112">
        <v>4.2</v>
      </c>
      <c r="D75" s="112">
        <v>14</v>
      </c>
      <c r="E75" s="112">
        <v>11.14</v>
      </c>
      <c r="F75" s="112">
        <v>3.49</v>
      </c>
      <c r="G75" s="112">
        <v>6.4</v>
      </c>
      <c r="H75" s="112">
        <v>1.32</v>
      </c>
      <c r="I75" s="112">
        <v>2.96</v>
      </c>
      <c r="J75" s="112">
        <v>0.82</v>
      </c>
      <c r="K75" s="112">
        <v>273.26</v>
      </c>
      <c r="L75" s="112">
        <v>24.79</v>
      </c>
      <c r="M75" s="112">
        <v>109.81</v>
      </c>
      <c r="N75" s="112">
        <v>22.8</v>
      </c>
      <c r="O75" s="112">
        <v>1.6</v>
      </c>
      <c r="P75" s="112">
        <v>0.39</v>
      </c>
      <c r="Q75" s="112">
        <v>4.7300000000000004</v>
      </c>
    </row>
    <row r="76" spans="1:17" customFormat="1">
      <c r="A76" s="80">
        <v>45496.708333333336</v>
      </c>
      <c r="B76" s="112">
        <v>9.2200000000000006</v>
      </c>
      <c r="C76" s="112">
        <v>4.13</v>
      </c>
      <c r="D76" s="112">
        <v>14</v>
      </c>
      <c r="E76" s="112">
        <v>10.85</v>
      </c>
      <c r="F76" s="112">
        <v>3.65</v>
      </c>
      <c r="G76" s="112">
        <v>6.4</v>
      </c>
      <c r="H76" s="112">
        <v>1.32</v>
      </c>
      <c r="I76" s="112">
        <v>2.95</v>
      </c>
      <c r="J76" s="112">
        <v>0.86</v>
      </c>
      <c r="K76" s="112">
        <v>276.20999999999998</v>
      </c>
      <c r="L76" s="112">
        <v>24.78</v>
      </c>
      <c r="M76" s="112">
        <v>108.38</v>
      </c>
      <c r="N76" s="112">
        <v>22.3</v>
      </c>
      <c r="O76" s="112">
        <v>1</v>
      </c>
      <c r="P76" s="112">
        <v>0.37</v>
      </c>
      <c r="Q76" s="112">
        <v>4.7300000000000004</v>
      </c>
    </row>
    <row r="77" spans="1:17" customFormat="1">
      <c r="A77" s="80">
        <v>45496.71875</v>
      </c>
      <c r="B77" s="112">
        <v>9.24</v>
      </c>
      <c r="C77" s="112">
        <v>4.09</v>
      </c>
      <c r="D77" s="112">
        <v>14</v>
      </c>
      <c r="E77" s="112">
        <v>10.41</v>
      </c>
      <c r="F77" s="112">
        <v>3.88</v>
      </c>
      <c r="G77" s="112">
        <v>6.4</v>
      </c>
      <c r="H77" s="112">
        <v>1.32</v>
      </c>
      <c r="I77" s="112">
        <v>2.88</v>
      </c>
      <c r="J77" s="112">
        <v>0.83</v>
      </c>
      <c r="K77" s="112">
        <v>276.45</v>
      </c>
      <c r="L77" s="112">
        <v>24.86</v>
      </c>
      <c r="M77" s="112">
        <v>107.71</v>
      </c>
      <c r="N77" s="112">
        <v>15.3</v>
      </c>
      <c r="O77" s="112">
        <v>0.6</v>
      </c>
      <c r="P77" s="112">
        <v>0.36</v>
      </c>
      <c r="Q77" s="112">
        <v>4.74</v>
      </c>
    </row>
    <row r="78" spans="1:17" customFormat="1">
      <c r="A78" s="80">
        <v>45496.729166666664</v>
      </c>
      <c r="B78" s="112">
        <v>9.23</v>
      </c>
      <c r="C78" s="112">
        <v>4.1100000000000003</v>
      </c>
      <c r="D78" s="112">
        <v>14</v>
      </c>
      <c r="E78" s="112">
        <v>9.93</v>
      </c>
      <c r="F78" s="112">
        <v>3.85</v>
      </c>
      <c r="G78" s="112">
        <v>6.33</v>
      </c>
      <c r="H78" s="112">
        <v>1.35</v>
      </c>
      <c r="I78" s="112">
        <v>3.05</v>
      </c>
      <c r="J78" s="112">
        <v>0.69</v>
      </c>
      <c r="K78" s="112">
        <v>274.95999999999998</v>
      </c>
      <c r="L78" s="112">
        <v>24.89</v>
      </c>
      <c r="M78" s="112">
        <v>106.11</v>
      </c>
      <c r="N78" s="112">
        <v>9</v>
      </c>
      <c r="O78" s="112">
        <v>0.4</v>
      </c>
      <c r="P78" s="112">
        <v>0.36</v>
      </c>
      <c r="Q78" s="112">
        <v>4.74</v>
      </c>
    </row>
    <row r="79" spans="1:17" customFormat="1">
      <c r="A79" s="80">
        <v>45496.739583333336</v>
      </c>
      <c r="B79" s="112">
        <v>9.25</v>
      </c>
      <c r="C79" s="112">
        <v>4.09</v>
      </c>
      <c r="D79" s="112">
        <v>14</v>
      </c>
      <c r="E79" s="112">
        <v>10.06</v>
      </c>
      <c r="F79" s="112">
        <v>3.98</v>
      </c>
      <c r="G79" s="112">
        <v>5.2</v>
      </c>
      <c r="H79" s="112">
        <v>1.86</v>
      </c>
      <c r="I79" s="112">
        <v>3.12</v>
      </c>
      <c r="J79" s="112">
        <v>0.74</v>
      </c>
      <c r="K79" s="112">
        <v>279.16000000000003</v>
      </c>
      <c r="L79" s="112">
        <v>24.85</v>
      </c>
      <c r="M79" s="112">
        <v>106.97</v>
      </c>
      <c r="N79" s="112">
        <v>6.7</v>
      </c>
      <c r="O79" s="112">
        <v>0.8</v>
      </c>
      <c r="P79" s="112">
        <v>0.35</v>
      </c>
      <c r="Q79" s="112">
        <v>4.72</v>
      </c>
    </row>
    <row r="80" spans="1:17" customFormat="1">
      <c r="A80" s="80">
        <v>45496.75</v>
      </c>
      <c r="B80" s="112">
        <v>9.24</v>
      </c>
      <c r="C80" s="112">
        <v>4.0999999999999996</v>
      </c>
      <c r="D80" s="112">
        <v>14</v>
      </c>
      <c r="E80" s="112">
        <v>10.16</v>
      </c>
      <c r="F80" s="112">
        <v>3.82</v>
      </c>
      <c r="G80" s="112">
        <v>5.2</v>
      </c>
      <c r="H80" s="112">
        <v>1.86</v>
      </c>
      <c r="I80" s="112">
        <v>3.12</v>
      </c>
      <c r="J80" s="112">
        <v>0.88</v>
      </c>
      <c r="K80" s="112">
        <v>276.93</v>
      </c>
      <c r="L80" s="112">
        <v>24.83</v>
      </c>
      <c r="M80" s="112">
        <v>106.35</v>
      </c>
      <c r="N80" s="112">
        <v>6.2</v>
      </c>
      <c r="O80" s="112">
        <v>0.6</v>
      </c>
      <c r="P80" s="112">
        <v>0.35</v>
      </c>
      <c r="Q80" s="112">
        <v>4.7300000000000004</v>
      </c>
    </row>
    <row r="81" spans="1:17" customFormat="1">
      <c r="A81" s="80">
        <v>45496.760416666664</v>
      </c>
      <c r="B81" s="112">
        <v>9.23</v>
      </c>
      <c r="C81" s="112">
        <v>4.12</v>
      </c>
      <c r="D81" s="112">
        <v>14</v>
      </c>
      <c r="E81" s="112">
        <v>8.7100000000000009</v>
      </c>
      <c r="F81" s="112">
        <v>3.78</v>
      </c>
      <c r="G81" s="112">
        <v>5.2</v>
      </c>
      <c r="H81" s="112">
        <v>1.86</v>
      </c>
      <c r="I81" s="112">
        <v>3.17</v>
      </c>
      <c r="J81" s="112">
        <v>0.84</v>
      </c>
      <c r="K81" s="112">
        <v>273.83999999999997</v>
      </c>
      <c r="L81" s="112">
        <v>24.85</v>
      </c>
      <c r="M81" s="112">
        <v>103.69</v>
      </c>
      <c r="N81" s="112">
        <v>5.8</v>
      </c>
      <c r="O81" s="112">
        <v>0.2</v>
      </c>
      <c r="P81" s="112">
        <v>0.34</v>
      </c>
      <c r="Q81" s="112">
        <v>4.72</v>
      </c>
    </row>
    <row r="82" spans="1:17" customFormat="1">
      <c r="A82" s="80">
        <v>45496.770833333336</v>
      </c>
      <c r="B82" s="112">
        <v>9.25</v>
      </c>
      <c r="C82" s="112">
        <v>4.08</v>
      </c>
      <c r="D82" s="112">
        <v>14</v>
      </c>
      <c r="E82" s="112">
        <v>10.31</v>
      </c>
      <c r="F82" s="112">
        <v>3.81</v>
      </c>
      <c r="G82" s="112">
        <v>5.13</v>
      </c>
      <c r="H82" s="112">
        <v>1.99</v>
      </c>
      <c r="I82" s="112">
        <v>3.22</v>
      </c>
      <c r="J82" s="112">
        <v>0.73</v>
      </c>
      <c r="K82" s="112">
        <v>274.54000000000002</v>
      </c>
      <c r="L82" s="112">
        <v>24.9</v>
      </c>
      <c r="M82" s="112">
        <v>102.85</v>
      </c>
      <c r="N82" s="112">
        <v>3.5</v>
      </c>
      <c r="O82" s="112">
        <v>0.4</v>
      </c>
      <c r="P82" s="112">
        <v>0.34</v>
      </c>
      <c r="Q82" s="112">
        <v>4.72</v>
      </c>
    </row>
    <row r="83" spans="1:17" customFormat="1">
      <c r="A83" s="80">
        <v>45496.78125</v>
      </c>
      <c r="B83" s="112">
        <v>9.24</v>
      </c>
      <c r="C83" s="112">
        <v>4.09</v>
      </c>
      <c r="D83" s="112">
        <v>14</v>
      </c>
      <c r="E83" s="112">
        <v>9.6</v>
      </c>
      <c r="F83" s="112">
        <v>3.85</v>
      </c>
      <c r="G83" s="112">
        <v>3.9</v>
      </c>
      <c r="H83" s="112">
        <v>4.05</v>
      </c>
      <c r="I83" s="112">
        <v>3.25</v>
      </c>
      <c r="J83" s="112">
        <v>0.75</v>
      </c>
      <c r="K83" s="112">
        <v>275.89</v>
      </c>
      <c r="L83" s="112">
        <v>24.92</v>
      </c>
      <c r="M83" s="112">
        <v>103.11</v>
      </c>
      <c r="N83" s="112">
        <v>2.6</v>
      </c>
      <c r="O83" s="112">
        <v>0.2</v>
      </c>
      <c r="P83" s="112">
        <v>0.34</v>
      </c>
      <c r="Q83" s="112">
        <v>4.7300000000000004</v>
      </c>
    </row>
    <row r="84" spans="1:17" customFormat="1">
      <c r="A84" s="80">
        <v>45496.791666666664</v>
      </c>
      <c r="B84" s="112">
        <v>9.23</v>
      </c>
      <c r="C84" s="112">
        <v>4.1100000000000003</v>
      </c>
      <c r="D84" s="112">
        <v>14</v>
      </c>
      <c r="E84" s="112">
        <v>10.050000000000001</v>
      </c>
      <c r="F84" s="112">
        <v>3.49</v>
      </c>
      <c r="G84" s="112">
        <v>3.9</v>
      </c>
      <c r="H84" s="112">
        <v>4.05</v>
      </c>
      <c r="I84" s="112">
        <v>3.04</v>
      </c>
      <c r="J84" s="112">
        <v>0.69</v>
      </c>
      <c r="K84" s="112">
        <v>274.56</v>
      </c>
      <c r="L84" s="112">
        <v>24.93</v>
      </c>
      <c r="M84" s="112">
        <v>101.75</v>
      </c>
      <c r="N84" s="112">
        <v>2.5</v>
      </c>
      <c r="O84" s="112">
        <v>0</v>
      </c>
      <c r="P84" s="112">
        <v>0.34</v>
      </c>
      <c r="Q84" s="112">
        <v>4.71</v>
      </c>
    </row>
    <row r="85" spans="1:17" customFormat="1">
      <c r="A85" s="80">
        <v>45496.802083333336</v>
      </c>
      <c r="B85" s="112">
        <v>9.23</v>
      </c>
      <c r="C85" s="112">
        <v>4.1100000000000003</v>
      </c>
      <c r="D85" s="112">
        <v>14</v>
      </c>
      <c r="E85" s="112">
        <v>9.9499999999999993</v>
      </c>
      <c r="F85" s="112">
        <v>3.45</v>
      </c>
      <c r="G85" s="112">
        <v>3.9</v>
      </c>
      <c r="H85" s="112">
        <v>4.05</v>
      </c>
      <c r="I85" s="112">
        <v>3.03</v>
      </c>
      <c r="J85" s="112">
        <v>0.71</v>
      </c>
      <c r="K85" s="112">
        <v>274.99</v>
      </c>
      <c r="L85" s="112">
        <v>24.98</v>
      </c>
      <c r="M85" s="112">
        <v>101.59</v>
      </c>
      <c r="N85" s="112">
        <v>2.4</v>
      </c>
      <c r="O85" s="112">
        <v>0</v>
      </c>
      <c r="P85" s="112">
        <v>0.33</v>
      </c>
      <c r="Q85" s="112">
        <v>4.72</v>
      </c>
    </row>
    <row r="86" spans="1:17" customFormat="1">
      <c r="A86" s="80">
        <v>45496.8125</v>
      </c>
      <c r="B86" s="112">
        <v>9.2200000000000006</v>
      </c>
      <c r="C86" s="112">
        <v>4.13</v>
      </c>
      <c r="D86" s="112">
        <v>14</v>
      </c>
      <c r="E86" s="112">
        <v>10.02</v>
      </c>
      <c r="F86" s="112">
        <v>3.61</v>
      </c>
      <c r="G86" s="112">
        <v>3.86</v>
      </c>
      <c r="H86" s="112">
        <v>4</v>
      </c>
      <c r="I86" s="112">
        <v>3.25</v>
      </c>
      <c r="J86" s="112">
        <v>0.88</v>
      </c>
      <c r="K86" s="112">
        <v>277.07</v>
      </c>
      <c r="L86" s="112">
        <v>25.01</v>
      </c>
      <c r="M86" s="112">
        <v>102.22</v>
      </c>
      <c r="N86" s="112">
        <v>2.5</v>
      </c>
      <c r="O86" s="112">
        <v>0</v>
      </c>
      <c r="P86" s="112">
        <v>0.33</v>
      </c>
      <c r="Q86" s="112">
        <v>4.72</v>
      </c>
    </row>
    <row r="87" spans="1:17" customFormat="1">
      <c r="A87" s="80">
        <v>45496.822916666664</v>
      </c>
      <c r="B87" s="112">
        <v>9.2200000000000006</v>
      </c>
      <c r="C87" s="112">
        <v>4.12</v>
      </c>
      <c r="D87" s="112">
        <v>14</v>
      </c>
      <c r="E87" s="112">
        <v>10.14</v>
      </c>
      <c r="F87" s="112">
        <v>3.83</v>
      </c>
      <c r="G87" s="112">
        <v>3.17</v>
      </c>
      <c r="H87" s="112">
        <v>3.16</v>
      </c>
      <c r="I87" s="112">
        <v>3.34</v>
      </c>
      <c r="J87" s="112">
        <v>0.8</v>
      </c>
      <c r="K87" s="112">
        <v>280.52999999999997</v>
      </c>
      <c r="L87" s="112">
        <v>25.04</v>
      </c>
      <c r="M87" s="112">
        <v>101.91</v>
      </c>
      <c r="N87" s="112">
        <v>2.5</v>
      </c>
      <c r="O87" s="112">
        <v>0</v>
      </c>
      <c r="P87" s="112">
        <v>0.33</v>
      </c>
      <c r="Q87" s="112">
        <v>4.7300000000000004</v>
      </c>
    </row>
    <row r="88" spans="1:17" customFormat="1">
      <c r="A88" s="80">
        <v>45496.833333333336</v>
      </c>
      <c r="B88" s="112">
        <v>9.2200000000000006</v>
      </c>
      <c r="C88" s="112">
        <v>4.13</v>
      </c>
      <c r="D88" s="112">
        <v>14</v>
      </c>
      <c r="E88" s="112">
        <v>9.8699999999999992</v>
      </c>
      <c r="F88" s="112">
        <v>3.43</v>
      </c>
      <c r="G88" s="112">
        <v>3.17</v>
      </c>
      <c r="H88" s="112">
        <v>3.16</v>
      </c>
      <c r="I88" s="112">
        <v>3.34</v>
      </c>
      <c r="J88" s="112">
        <v>0.82</v>
      </c>
      <c r="K88" s="112">
        <v>276.13</v>
      </c>
      <c r="L88" s="112">
        <v>25.11</v>
      </c>
      <c r="M88" s="112">
        <v>101.59</v>
      </c>
      <c r="N88" s="112">
        <v>2.5</v>
      </c>
      <c r="O88" s="112">
        <v>0.2</v>
      </c>
      <c r="P88" s="112">
        <v>0.32</v>
      </c>
      <c r="Q88" s="112">
        <v>4.7300000000000004</v>
      </c>
    </row>
    <row r="89" spans="1:17" customFormat="1">
      <c r="A89" s="80">
        <v>45496.84375</v>
      </c>
      <c r="B89" s="112">
        <v>9.1999999999999993</v>
      </c>
      <c r="C89" s="112">
        <v>4.16</v>
      </c>
      <c r="D89" s="112">
        <v>14</v>
      </c>
      <c r="E89" s="112">
        <v>9.91</v>
      </c>
      <c r="F89" s="112">
        <v>3.44</v>
      </c>
      <c r="G89" s="112">
        <v>3.17</v>
      </c>
      <c r="H89" s="112">
        <v>3.16</v>
      </c>
      <c r="I89" s="112">
        <v>3.36</v>
      </c>
      <c r="J89" s="112">
        <v>0.8</v>
      </c>
      <c r="K89" s="112">
        <v>272.95</v>
      </c>
      <c r="L89" s="112">
        <v>25.1</v>
      </c>
      <c r="M89" s="112">
        <v>101</v>
      </c>
      <c r="N89" s="112">
        <v>2.5</v>
      </c>
      <c r="O89" s="112">
        <v>0</v>
      </c>
      <c r="P89" s="112">
        <v>0.33</v>
      </c>
      <c r="Q89" s="112">
        <v>4.72</v>
      </c>
    </row>
    <row r="90" spans="1:17" customFormat="1">
      <c r="A90" s="80">
        <v>45496.854166666664</v>
      </c>
      <c r="B90" s="112">
        <v>9.1999999999999993</v>
      </c>
      <c r="C90" s="112">
        <v>4.16</v>
      </c>
      <c r="D90" s="112">
        <v>14</v>
      </c>
      <c r="E90" s="112">
        <v>9.81</v>
      </c>
      <c r="F90" s="112">
        <v>3.83</v>
      </c>
      <c r="G90" s="112">
        <v>3.12</v>
      </c>
      <c r="H90" s="112">
        <v>3.17</v>
      </c>
      <c r="I90" s="112">
        <v>3.37</v>
      </c>
      <c r="J90" s="112">
        <v>0.79</v>
      </c>
      <c r="K90" s="112">
        <v>269.95</v>
      </c>
      <c r="L90" s="112">
        <v>25.11</v>
      </c>
      <c r="M90" s="112">
        <v>100.94</v>
      </c>
      <c r="N90" s="112">
        <v>2.5</v>
      </c>
      <c r="O90" s="112">
        <v>0.2</v>
      </c>
      <c r="P90" s="112">
        <v>0.33</v>
      </c>
      <c r="Q90" s="112">
        <v>4.71</v>
      </c>
    </row>
    <row r="91" spans="1:17" customFormat="1">
      <c r="A91" s="80">
        <v>45496.864583333336</v>
      </c>
      <c r="B91" s="112">
        <v>9.2100000000000009</v>
      </c>
      <c r="C91" s="112">
        <v>4.1500000000000004</v>
      </c>
      <c r="D91" s="112">
        <v>14</v>
      </c>
      <c r="E91" s="112">
        <v>9.5</v>
      </c>
      <c r="F91" s="112">
        <v>4.17</v>
      </c>
      <c r="G91" s="112">
        <v>2.52</v>
      </c>
      <c r="H91" s="112">
        <v>3.28</v>
      </c>
      <c r="I91" s="112">
        <v>3.39</v>
      </c>
      <c r="J91" s="112">
        <v>0.86</v>
      </c>
      <c r="K91" s="112">
        <v>273.02</v>
      </c>
      <c r="L91" s="112">
        <v>25.1</v>
      </c>
      <c r="M91" s="112">
        <v>100.87</v>
      </c>
      <c r="N91" s="112">
        <v>2.4</v>
      </c>
      <c r="O91" s="112">
        <v>0</v>
      </c>
      <c r="P91" s="112">
        <v>0.33</v>
      </c>
      <c r="Q91" s="112">
        <v>4.72</v>
      </c>
    </row>
    <row r="92" spans="1:17" customFormat="1">
      <c r="A92" s="80">
        <v>45496.875</v>
      </c>
      <c r="B92" s="112">
        <v>9.2100000000000009</v>
      </c>
      <c r="C92" s="112">
        <v>4.1399999999999997</v>
      </c>
      <c r="D92" s="112">
        <v>14</v>
      </c>
      <c r="E92" s="112">
        <v>9.68</v>
      </c>
      <c r="F92" s="112">
        <v>3.56</v>
      </c>
      <c r="G92" s="112">
        <v>2.52</v>
      </c>
      <c r="H92" s="112">
        <v>3.28</v>
      </c>
      <c r="I92" s="112">
        <v>3.37</v>
      </c>
      <c r="J92" s="112">
        <v>0.73</v>
      </c>
      <c r="K92" s="112">
        <v>275.95999999999998</v>
      </c>
      <c r="L92" s="112">
        <v>25.07</v>
      </c>
      <c r="M92" s="112">
        <v>100.89</v>
      </c>
      <c r="N92" s="112">
        <v>2.5</v>
      </c>
      <c r="O92" s="112">
        <v>0</v>
      </c>
      <c r="P92" s="112">
        <v>0.33</v>
      </c>
      <c r="Q92" s="112">
        <v>4.7300000000000004</v>
      </c>
    </row>
    <row r="93" spans="1:17" customFormat="1">
      <c r="A93" s="80">
        <v>45496.885416666664</v>
      </c>
      <c r="B93" s="112">
        <v>9.2200000000000006</v>
      </c>
      <c r="C93" s="112">
        <v>4.13</v>
      </c>
      <c r="D93" s="112">
        <v>14</v>
      </c>
      <c r="E93" s="112">
        <v>9.7899999999999991</v>
      </c>
      <c r="F93" s="112">
        <v>3.5</v>
      </c>
      <c r="G93" s="112">
        <v>2.52</v>
      </c>
      <c r="H93" s="112">
        <v>3.28</v>
      </c>
      <c r="I93" s="112">
        <v>3.41</v>
      </c>
      <c r="J93" s="112">
        <v>0.8</v>
      </c>
      <c r="K93" s="112">
        <v>275.04000000000002</v>
      </c>
      <c r="L93" s="112">
        <v>25.1</v>
      </c>
      <c r="M93" s="112">
        <v>100.91</v>
      </c>
      <c r="N93" s="112">
        <v>2.5</v>
      </c>
      <c r="O93" s="112">
        <v>0</v>
      </c>
      <c r="P93" s="112">
        <v>0.32</v>
      </c>
      <c r="Q93" s="112">
        <v>4.7300000000000004</v>
      </c>
    </row>
    <row r="94" spans="1:17" customFormat="1">
      <c r="A94" s="80">
        <v>45496.895833333336</v>
      </c>
      <c r="B94" s="112">
        <v>9.24</v>
      </c>
      <c r="C94" s="112">
        <v>4.0999999999999996</v>
      </c>
      <c r="D94" s="112">
        <v>14</v>
      </c>
      <c r="E94" s="112">
        <v>9.42</v>
      </c>
      <c r="F94" s="112">
        <v>4.47</v>
      </c>
      <c r="G94" s="112">
        <v>2.59</v>
      </c>
      <c r="H94" s="112">
        <v>3.22</v>
      </c>
      <c r="I94" s="112">
        <v>3.41</v>
      </c>
      <c r="J94" s="112">
        <v>0.76</v>
      </c>
      <c r="K94" s="112">
        <v>273.67</v>
      </c>
      <c r="L94" s="112">
        <v>25.1</v>
      </c>
      <c r="M94" s="112">
        <v>100.62</v>
      </c>
      <c r="N94" s="112">
        <v>2.4</v>
      </c>
      <c r="O94" s="112">
        <v>0.2</v>
      </c>
      <c r="P94" s="112">
        <v>0.33</v>
      </c>
      <c r="Q94" s="112">
        <v>4.7</v>
      </c>
    </row>
    <row r="95" spans="1:17" customFormat="1">
      <c r="A95" s="80">
        <v>45496.90625</v>
      </c>
      <c r="B95" s="112">
        <v>9.23</v>
      </c>
      <c r="C95" s="112">
        <v>4.12</v>
      </c>
      <c r="D95" s="112">
        <v>14</v>
      </c>
      <c r="E95" s="112">
        <v>10.029999999999999</v>
      </c>
      <c r="F95" s="112">
        <v>4.3600000000000003</v>
      </c>
      <c r="G95" s="112">
        <v>3.84</v>
      </c>
      <c r="H95" s="112">
        <v>2.29</v>
      </c>
      <c r="I95" s="112">
        <v>3.33</v>
      </c>
      <c r="J95" s="112">
        <v>0.78</v>
      </c>
      <c r="K95" s="112">
        <v>273.42</v>
      </c>
      <c r="L95" s="112">
        <v>25.1</v>
      </c>
      <c r="M95" s="112">
        <v>100.32</v>
      </c>
      <c r="N95" s="112">
        <v>2.5</v>
      </c>
      <c r="O95" s="112">
        <v>0.2</v>
      </c>
      <c r="P95" s="112">
        <v>0.37</v>
      </c>
      <c r="Q95" s="112">
        <v>4.7</v>
      </c>
    </row>
    <row r="96" spans="1:17" customFormat="1">
      <c r="A96" s="80">
        <v>45496.916666666664</v>
      </c>
      <c r="B96" s="112">
        <v>9.24</v>
      </c>
      <c r="C96" s="112">
        <v>4.0999999999999996</v>
      </c>
      <c r="D96" s="112">
        <v>14</v>
      </c>
      <c r="E96" s="112">
        <v>9.9700000000000006</v>
      </c>
      <c r="F96" s="112">
        <v>3.43</v>
      </c>
      <c r="G96" s="112">
        <v>3.84</v>
      </c>
      <c r="H96" s="112">
        <v>2.29</v>
      </c>
      <c r="I96" s="112">
        <v>3.03</v>
      </c>
      <c r="J96" s="112">
        <v>0.91</v>
      </c>
      <c r="K96" s="112">
        <v>271.44</v>
      </c>
      <c r="L96" s="112">
        <v>25.08</v>
      </c>
      <c r="M96" s="112">
        <v>100.24</v>
      </c>
      <c r="N96" s="112">
        <v>2.5</v>
      </c>
      <c r="O96" s="112">
        <v>0</v>
      </c>
      <c r="P96" s="112">
        <v>0.37</v>
      </c>
      <c r="Q96" s="112">
        <v>4.72</v>
      </c>
    </row>
    <row r="97" spans="1:22" customFormat="1">
      <c r="A97" s="80">
        <v>45496.927083333336</v>
      </c>
      <c r="B97" s="112">
        <v>9.24</v>
      </c>
      <c r="C97" s="112">
        <v>4.09</v>
      </c>
      <c r="D97" s="112">
        <v>14</v>
      </c>
      <c r="E97" s="112">
        <v>10.56</v>
      </c>
      <c r="F97" s="112">
        <v>3.87</v>
      </c>
      <c r="G97" s="112">
        <v>3.84</v>
      </c>
      <c r="H97" s="112">
        <v>2.29</v>
      </c>
      <c r="I97" s="112">
        <v>3.22</v>
      </c>
      <c r="J97" s="112">
        <v>0.83</v>
      </c>
      <c r="K97" s="112">
        <v>276.95</v>
      </c>
      <c r="L97" s="112">
        <v>25.03</v>
      </c>
      <c r="M97" s="112">
        <v>100.1</v>
      </c>
      <c r="N97" s="112">
        <v>2.5</v>
      </c>
      <c r="O97" s="112">
        <v>0.2</v>
      </c>
      <c r="P97" s="112">
        <v>0.38</v>
      </c>
      <c r="Q97" s="112">
        <v>4.71</v>
      </c>
    </row>
    <row r="98" spans="1:22" customFormat="1">
      <c r="A98" s="80">
        <v>45496.9375</v>
      </c>
      <c r="B98" s="112">
        <v>9.2100000000000009</v>
      </c>
      <c r="C98" s="112">
        <v>4.1500000000000004</v>
      </c>
      <c r="D98" s="112">
        <v>14</v>
      </c>
      <c r="E98" s="112">
        <v>10.52</v>
      </c>
      <c r="F98" s="112">
        <v>3.92</v>
      </c>
      <c r="G98" s="112">
        <v>3.86</v>
      </c>
      <c r="H98" s="112">
        <v>2.25</v>
      </c>
      <c r="I98" s="112">
        <v>3.02</v>
      </c>
      <c r="J98" s="112">
        <v>0.88</v>
      </c>
      <c r="K98" s="112">
        <v>272.66000000000003</v>
      </c>
      <c r="L98" s="112">
        <v>25.03</v>
      </c>
      <c r="M98" s="112">
        <v>100.07</v>
      </c>
      <c r="N98" s="112">
        <v>2.5</v>
      </c>
      <c r="O98" s="112">
        <v>0</v>
      </c>
      <c r="P98" s="112">
        <v>0.37</v>
      </c>
      <c r="Q98" s="112">
        <v>4.7</v>
      </c>
    </row>
    <row r="99" spans="1:22" customFormat="1">
      <c r="A99" s="80">
        <v>45496.947916666664</v>
      </c>
      <c r="B99" s="112">
        <v>9.19</v>
      </c>
      <c r="C99" s="112">
        <v>4.18</v>
      </c>
      <c r="D99" s="112">
        <v>14</v>
      </c>
      <c r="E99" s="112">
        <v>10.65</v>
      </c>
      <c r="F99" s="112">
        <v>4.0599999999999996</v>
      </c>
      <c r="G99" s="112">
        <v>4.13</v>
      </c>
      <c r="H99" s="112">
        <v>1.61</v>
      </c>
      <c r="I99" s="112">
        <v>3.12</v>
      </c>
      <c r="J99" s="112">
        <v>0.76</v>
      </c>
      <c r="K99" s="112">
        <v>272.83999999999997</v>
      </c>
      <c r="L99" s="112">
        <v>25.01</v>
      </c>
      <c r="M99" s="112">
        <v>99.89</v>
      </c>
      <c r="N99" s="112">
        <v>2.4</v>
      </c>
      <c r="O99" s="112">
        <v>0.4</v>
      </c>
      <c r="P99" s="112">
        <v>0.36</v>
      </c>
      <c r="Q99" s="112">
        <v>4.72</v>
      </c>
    </row>
    <row r="100" spans="1:22" customFormat="1">
      <c r="A100" s="80">
        <v>45496.958333333336</v>
      </c>
      <c r="B100" s="112">
        <v>9.17</v>
      </c>
      <c r="C100" s="112">
        <v>4.2</v>
      </c>
      <c r="D100" s="112">
        <v>14</v>
      </c>
      <c r="E100" s="112">
        <v>10.59</v>
      </c>
      <c r="F100" s="112">
        <v>4.03</v>
      </c>
      <c r="G100" s="112">
        <v>4.13</v>
      </c>
      <c r="H100" s="112">
        <v>1.61</v>
      </c>
      <c r="I100" s="112">
        <v>3.13</v>
      </c>
      <c r="J100" s="112">
        <v>1.1299999999999999</v>
      </c>
      <c r="K100" s="112">
        <v>276.18</v>
      </c>
      <c r="L100" s="112">
        <v>24.81</v>
      </c>
      <c r="M100" s="112">
        <v>100.5</v>
      </c>
      <c r="N100" s="112">
        <v>2.7</v>
      </c>
      <c r="O100" s="112">
        <v>1.4</v>
      </c>
      <c r="P100" s="112">
        <v>0.35</v>
      </c>
      <c r="Q100" s="112">
        <v>4.72</v>
      </c>
    </row>
    <row r="101" spans="1:22" customFormat="1">
      <c r="A101" s="80">
        <v>45496.96875</v>
      </c>
      <c r="B101" s="112">
        <v>9.18</v>
      </c>
      <c r="C101" s="112">
        <v>4.1900000000000004</v>
      </c>
      <c r="D101" s="112">
        <v>14</v>
      </c>
      <c r="E101" s="112">
        <v>10.62</v>
      </c>
      <c r="F101" s="112">
        <v>3.62</v>
      </c>
      <c r="G101" s="112">
        <v>4.13</v>
      </c>
      <c r="H101" s="112">
        <v>1.61</v>
      </c>
      <c r="I101" s="112">
        <v>3.15</v>
      </c>
      <c r="J101" s="112">
        <v>1.01</v>
      </c>
      <c r="K101" s="112">
        <v>274.14</v>
      </c>
      <c r="L101" s="112">
        <v>24.78</v>
      </c>
      <c r="M101" s="112">
        <v>100.74</v>
      </c>
      <c r="N101" s="112">
        <v>2.5</v>
      </c>
      <c r="O101" s="112">
        <v>0.2</v>
      </c>
      <c r="P101" s="112">
        <v>0.36</v>
      </c>
      <c r="Q101" s="112">
        <v>4.71</v>
      </c>
    </row>
    <row r="102" spans="1:22" customFormat="1">
      <c r="A102" s="80">
        <v>45496.979166666664</v>
      </c>
      <c r="B102" s="112">
        <v>9.18</v>
      </c>
      <c r="C102" s="112">
        <v>4.2</v>
      </c>
      <c r="D102" s="112">
        <v>14</v>
      </c>
      <c r="E102" s="112">
        <v>10.64</v>
      </c>
      <c r="F102" s="112">
        <v>3.86</v>
      </c>
      <c r="G102" s="112">
        <v>4.2699999999999996</v>
      </c>
      <c r="H102" s="112">
        <v>1.6</v>
      </c>
      <c r="I102" s="112">
        <v>2.93</v>
      </c>
      <c r="J102" s="112">
        <v>0.84</v>
      </c>
      <c r="K102" s="112">
        <v>274.33999999999997</v>
      </c>
      <c r="L102" s="112">
        <v>24.8</v>
      </c>
      <c r="M102" s="112">
        <v>101.27</v>
      </c>
      <c r="N102" s="112">
        <v>2.5</v>
      </c>
      <c r="O102" s="112">
        <v>0.4</v>
      </c>
      <c r="P102" s="112">
        <v>0.35</v>
      </c>
      <c r="Q102" s="112">
        <v>4.71</v>
      </c>
    </row>
    <row r="103" spans="1:22" customFormat="1">
      <c r="A103" s="80">
        <v>45496.989583333336</v>
      </c>
      <c r="B103" s="112">
        <v>9.16</v>
      </c>
      <c r="C103" s="112">
        <v>4.22</v>
      </c>
      <c r="D103" s="112">
        <v>14</v>
      </c>
      <c r="E103" s="112">
        <v>10.75</v>
      </c>
      <c r="F103" s="112">
        <v>3.79</v>
      </c>
      <c r="G103" s="112">
        <v>6.68</v>
      </c>
      <c r="H103" s="112">
        <v>1.57</v>
      </c>
      <c r="I103" s="112">
        <v>3.08</v>
      </c>
      <c r="J103" s="112">
        <v>0.83</v>
      </c>
      <c r="K103" s="112">
        <v>274.87</v>
      </c>
      <c r="L103" s="112">
        <v>24.72</v>
      </c>
      <c r="M103" s="112">
        <v>101.17</v>
      </c>
      <c r="N103" s="112">
        <v>2.6</v>
      </c>
      <c r="O103" s="112">
        <v>0.8</v>
      </c>
      <c r="P103" s="112">
        <v>0.34</v>
      </c>
      <c r="Q103" s="112">
        <v>4.72</v>
      </c>
    </row>
    <row r="104" spans="1:22" customFormat="1">
      <c r="A104" s="80">
        <v>45497</v>
      </c>
      <c r="B104" s="112">
        <v>9.16</v>
      </c>
      <c r="C104" s="112">
        <v>4.22</v>
      </c>
      <c r="D104" s="112">
        <v>14</v>
      </c>
      <c r="E104" s="112">
        <v>10.97</v>
      </c>
      <c r="F104" s="112">
        <v>4.16</v>
      </c>
      <c r="G104" s="112">
        <v>6.68</v>
      </c>
      <c r="H104" s="112">
        <v>1.57</v>
      </c>
      <c r="I104" s="112">
        <v>3.03</v>
      </c>
      <c r="J104" s="112">
        <v>0.74</v>
      </c>
      <c r="K104" s="112">
        <v>274.77999999999997</v>
      </c>
      <c r="L104" s="112">
        <v>24.6</v>
      </c>
      <c r="M104" s="112">
        <v>101.1</v>
      </c>
      <c r="N104" s="112">
        <v>2.7</v>
      </c>
      <c r="O104" s="112">
        <v>1.4</v>
      </c>
      <c r="P104" s="112">
        <v>0.33</v>
      </c>
      <c r="Q104" s="112">
        <v>4.72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9.16</v>
      </c>
      <c r="C106" s="183">
        <f>MIN(C9:C104)</f>
        <v>4.05</v>
      </c>
      <c r="D106" s="183">
        <f t="shared" ref="D106:Q106" si="0">MIN(D9:D104)</f>
        <v>14</v>
      </c>
      <c r="E106" s="183">
        <f t="shared" si="0"/>
        <v>7.44</v>
      </c>
      <c r="F106" s="183">
        <f t="shared" si="0"/>
        <v>2.98</v>
      </c>
      <c r="G106" s="183">
        <f t="shared" si="0"/>
        <v>2.52</v>
      </c>
      <c r="H106" s="183">
        <f t="shared" si="0"/>
        <v>1.32</v>
      </c>
      <c r="I106" s="183">
        <f t="shared" si="0"/>
        <v>2.79</v>
      </c>
      <c r="J106" s="183">
        <f t="shared" si="0"/>
        <v>0.67</v>
      </c>
      <c r="K106" s="183">
        <f t="shared" si="0"/>
        <v>269.95</v>
      </c>
      <c r="L106" s="183">
        <f t="shared" si="0"/>
        <v>24.52</v>
      </c>
      <c r="M106" s="183">
        <f t="shared" si="0"/>
        <v>94.19</v>
      </c>
      <c r="N106" s="183">
        <f t="shared" si="0"/>
        <v>1.7</v>
      </c>
      <c r="O106" s="183">
        <f t="shared" si="0"/>
        <v>0</v>
      </c>
      <c r="P106" s="183">
        <f t="shared" si="0"/>
        <v>0.31</v>
      </c>
      <c r="Q106" s="183">
        <f t="shared" si="0"/>
        <v>4.7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9.2899999999999991</v>
      </c>
      <c r="C107" s="184">
        <f t="shared" ref="C107:Q107" si="1">MAX(C9:C104)</f>
        <v>4.22</v>
      </c>
      <c r="D107" s="184">
        <f t="shared" si="1"/>
        <v>14.04</v>
      </c>
      <c r="E107" s="184">
        <f t="shared" si="1"/>
        <v>13.67</v>
      </c>
      <c r="F107" s="184">
        <f t="shared" si="1"/>
        <v>5.73</v>
      </c>
      <c r="G107" s="184">
        <f t="shared" si="1"/>
        <v>6.68</v>
      </c>
      <c r="H107" s="184">
        <f t="shared" si="1"/>
        <v>4.05</v>
      </c>
      <c r="I107" s="184">
        <f t="shared" si="1"/>
        <v>3.51</v>
      </c>
      <c r="J107" s="184">
        <f t="shared" si="1"/>
        <v>1.28</v>
      </c>
      <c r="K107" s="184">
        <f t="shared" si="1"/>
        <v>280.52999999999997</v>
      </c>
      <c r="L107" s="184">
        <f t="shared" si="1"/>
        <v>26.05</v>
      </c>
      <c r="M107" s="184">
        <f t="shared" si="1"/>
        <v>109.81</v>
      </c>
      <c r="N107" s="184">
        <f t="shared" si="1"/>
        <v>63.9</v>
      </c>
      <c r="O107" s="184">
        <f t="shared" si="1"/>
        <v>5.6</v>
      </c>
      <c r="P107" s="184">
        <f t="shared" si="1"/>
        <v>0.57999999999999996</v>
      </c>
      <c r="Q107" s="184">
        <f t="shared" si="1"/>
        <v>4.79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9.2212500000000066</v>
      </c>
      <c r="C108" s="183">
        <f t="shared" ref="C108:Q108" si="2">AVERAGE(C9:C104)</f>
        <v>4.1296875000000002</v>
      </c>
      <c r="D108" s="183">
        <f t="shared" si="2"/>
        <v>14.001874999999998</v>
      </c>
      <c r="E108" s="183">
        <f t="shared" si="2"/>
        <v>10.53302083333333</v>
      </c>
      <c r="F108" s="183">
        <f t="shared" si="2"/>
        <v>4.0220833333333355</v>
      </c>
      <c r="G108" s="183">
        <f t="shared" si="2"/>
        <v>4.6352083333333338</v>
      </c>
      <c r="H108" s="183">
        <f t="shared" si="2"/>
        <v>1.9621874999999998</v>
      </c>
      <c r="I108" s="183">
        <f t="shared" si="2"/>
        <v>3.1097916666666663</v>
      </c>
      <c r="J108" s="183">
        <f t="shared" si="2"/>
        <v>0.89416666666666644</v>
      </c>
      <c r="K108" s="183">
        <f t="shared" si="2"/>
        <v>274.91624999999993</v>
      </c>
      <c r="L108" s="183">
        <f t="shared" si="2"/>
        <v>25.129166666666659</v>
      </c>
      <c r="M108" s="183">
        <f t="shared" si="2"/>
        <v>101.04854166666668</v>
      </c>
      <c r="N108" s="183">
        <f t="shared" si="2"/>
        <v>19.126041666666676</v>
      </c>
      <c r="O108" s="183">
        <f t="shared" si="2"/>
        <v>0.53541666666666676</v>
      </c>
      <c r="P108" s="183">
        <f t="shared" si="2"/>
        <v>0.3896874999999998</v>
      </c>
      <c r="Q108" s="183">
        <f t="shared" si="2"/>
        <v>4.741770833333339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3.2517201925329219E-2</v>
      </c>
      <c r="C109" s="183">
        <f t="shared" ref="C109:Q109" si="3">STDEV(C9:C104)</f>
        <v>4.4966727465397961E-2</v>
      </c>
      <c r="D109" s="183">
        <f t="shared" si="3"/>
        <v>6.2090765480017794E-3</v>
      </c>
      <c r="E109" s="183">
        <f t="shared" si="3"/>
        <v>1.2163025245145562</v>
      </c>
      <c r="F109" s="183">
        <f t="shared" si="3"/>
        <v>0.48435071387897266</v>
      </c>
      <c r="G109" s="183">
        <f t="shared" si="3"/>
        <v>1.1817088243785094</v>
      </c>
      <c r="H109" s="183">
        <f t="shared" si="3"/>
        <v>0.65511140575276861</v>
      </c>
      <c r="I109" s="183">
        <f t="shared" si="3"/>
        <v>0.16181197123541449</v>
      </c>
      <c r="J109" s="183">
        <f t="shared" si="3"/>
        <v>0.15034463333265391</v>
      </c>
      <c r="K109" s="183">
        <f t="shared" si="3"/>
        <v>2.1244373868305306</v>
      </c>
      <c r="L109" s="183">
        <f t="shared" si="3"/>
        <v>0.46304863145044323</v>
      </c>
      <c r="M109" s="183">
        <f t="shared" si="3"/>
        <v>3.5586478742599934</v>
      </c>
      <c r="N109" s="183">
        <f t="shared" si="3"/>
        <v>19.043491745236118</v>
      </c>
      <c r="O109" s="183">
        <f t="shared" si="3"/>
        <v>0.87418884707531996</v>
      </c>
      <c r="P109" s="183">
        <f t="shared" si="3"/>
        <v>7.720721434793959E-2</v>
      </c>
      <c r="Q109" s="183">
        <f t="shared" si="3"/>
        <v>2.5669756592316392E-2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45497.010416666664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45497.010416666664</v>
      </c>
      <c r="B9" s="112">
        <v>9.3000000000000007</v>
      </c>
      <c r="C9" s="112">
        <v>4</v>
      </c>
      <c r="D9" s="112">
        <v>14</v>
      </c>
      <c r="E9" s="112">
        <v>11.21</v>
      </c>
      <c r="F9" s="112">
        <v>3.72</v>
      </c>
      <c r="G9" s="112">
        <v>6.68</v>
      </c>
      <c r="H9" s="112">
        <v>1.57</v>
      </c>
      <c r="I9" s="112">
        <v>2.89</v>
      </c>
      <c r="J9" s="112">
        <v>0.81</v>
      </c>
      <c r="K9" s="112">
        <v>276.95999999999998</v>
      </c>
      <c r="L9" s="112">
        <v>24.42</v>
      </c>
      <c r="M9" s="112">
        <v>101.4</v>
      </c>
      <c r="N9" s="112">
        <v>2.7</v>
      </c>
      <c r="O9" s="112">
        <v>2.4</v>
      </c>
      <c r="P9" s="112">
        <v>0.26</v>
      </c>
      <c r="Q9" s="112">
        <v>4.74</v>
      </c>
    </row>
    <row r="10" spans="1:21" customFormat="1">
      <c r="A10" s="80">
        <v>45497.020833333336</v>
      </c>
      <c r="B10" s="112">
        <v>9.27</v>
      </c>
      <c r="C10" s="112">
        <v>4.05</v>
      </c>
      <c r="D10" s="112">
        <v>14</v>
      </c>
      <c r="E10" s="112">
        <v>11.46</v>
      </c>
      <c r="F10" s="112">
        <v>3.55</v>
      </c>
      <c r="G10" s="112">
        <v>6.6</v>
      </c>
      <c r="H10" s="112">
        <v>1.57</v>
      </c>
      <c r="I10" s="112">
        <v>3</v>
      </c>
      <c r="J10" s="112">
        <v>0.91</v>
      </c>
      <c r="K10" s="112">
        <v>275.93</v>
      </c>
      <c r="L10" s="112">
        <v>24.35</v>
      </c>
      <c r="M10" s="112">
        <v>101.46</v>
      </c>
      <c r="N10" s="112">
        <v>2.6</v>
      </c>
      <c r="O10" s="112">
        <v>0.8</v>
      </c>
      <c r="P10" s="112">
        <v>0.26</v>
      </c>
      <c r="Q10" s="112">
        <v>4.7300000000000004</v>
      </c>
    </row>
    <row r="11" spans="1:21" customFormat="1">
      <c r="A11" s="80">
        <v>45497.03125</v>
      </c>
      <c r="B11" s="112">
        <v>9.26</v>
      </c>
      <c r="C11" s="112">
        <v>4.09</v>
      </c>
      <c r="D11" s="112">
        <v>14.02</v>
      </c>
      <c r="E11" s="112">
        <v>11.94</v>
      </c>
      <c r="F11" s="112">
        <v>3.56</v>
      </c>
      <c r="G11" s="112">
        <v>5.28</v>
      </c>
      <c r="H11" s="112">
        <v>1.48</v>
      </c>
      <c r="I11" s="112">
        <v>3.04</v>
      </c>
      <c r="J11" s="112">
        <v>1.18</v>
      </c>
      <c r="K11" s="112">
        <v>274.61</v>
      </c>
      <c r="L11" s="112">
        <v>24.27</v>
      </c>
      <c r="M11" s="112">
        <v>101.87</v>
      </c>
      <c r="N11" s="112">
        <v>2.7</v>
      </c>
      <c r="O11" s="112">
        <v>0.8</v>
      </c>
      <c r="P11" s="112">
        <v>0.26</v>
      </c>
      <c r="Q11" s="112">
        <v>4.74</v>
      </c>
    </row>
    <row r="12" spans="1:21" customFormat="1">
      <c r="A12" s="80">
        <v>45497.041666666664</v>
      </c>
      <c r="B12" s="112">
        <v>9.27</v>
      </c>
      <c r="C12" s="112">
        <v>4.07</v>
      </c>
      <c r="D12" s="112">
        <v>14.01</v>
      </c>
      <c r="E12" s="112">
        <v>11.76</v>
      </c>
      <c r="F12" s="112">
        <v>3.65</v>
      </c>
      <c r="G12" s="112">
        <v>5.28</v>
      </c>
      <c r="H12" s="112">
        <v>1.48</v>
      </c>
      <c r="I12" s="112">
        <v>3</v>
      </c>
      <c r="J12" s="112">
        <v>0.97</v>
      </c>
      <c r="K12" s="112">
        <v>276.61</v>
      </c>
      <c r="L12" s="112">
        <v>24.33</v>
      </c>
      <c r="M12" s="112">
        <v>101.76</v>
      </c>
      <c r="N12" s="112">
        <v>2.5</v>
      </c>
      <c r="O12" s="112">
        <v>0.4</v>
      </c>
      <c r="P12" s="112">
        <v>0.26</v>
      </c>
      <c r="Q12" s="112">
        <v>4.7300000000000004</v>
      </c>
    </row>
    <row r="13" spans="1:21" customFormat="1">
      <c r="A13" s="80">
        <v>45497.052083333336</v>
      </c>
      <c r="B13" s="112">
        <v>9.27</v>
      </c>
      <c r="C13" s="112">
        <v>4.05</v>
      </c>
      <c r="D13" s="112">
        <v>14</v>
      </c>
      <c r="E13" s="112">
        <v>11.87</v>
      </c>
      <c r="F13" s="112">
        <v>3.8</v>
      </c>
      <c r="G13" s="112">
        <v>5.28</v>
      </c>
      <c r="H13" s="112">
        <v>1.48</v>
      </c>
      <c r="I13" s="112">
        <v>2.82</v>
      </c>
      <c r="J13" s="112">
        <v>0.98</v>
      </c>
      <c r="K13" s="112">
        <v>282.69</v>
      </c>
      <c r="L13" s="112">
        <v>24.27</v>
      </c>
      <c r="M13" s="112">
        <v>101.99</v>
      </c>
      <c r="N13" s="112">
        <v>2.6</v>
      </c>
      <c r="O13" s="112">
        <v>0.8</v>
      </c>
      <c r="P13" s="112">
        <v>0.26</v>
      </c>
      <c r="Q13" s="112">
        <v>4.72</v>
      </c>
    </row>
    <row r="14" spans="1:21" customFormat="1">
      <c r="A14" s="80">
        <v>45497.0625</v>
      </c>
      <c r="B14" s="112">
        <v>9.27</v>
      </c>
      <c r="C14" s="112">
        <v>4.0599999999999996</v>
      </c>
      <c r="D14" s="112">
        <v>14.01</v>
      </c>
      <c r="E14" s="112">
        <v>11.89</v>
      </c>
      <c r="F14" s="112">
        <v>3.6</v>
      </c>
      <c r="G14" s="112">
        <v>5.19</v>
      </c>
      <c r="H14" s="112">
        <v>1.47</v>
      </c>
      <c r="I14" s="112">
        <v>2.79</v>
      </c>
      <c r="J14" s="112">
        <v>1.1100000000000001</v>
      </c>
      <c r="K14" s="112">
        <v>275.72000000000003</v>
      </c>
      <c r="L14" s="112">
        <v>24.2</v>
      </c>
      <c r="M14" s="112">
        <v>101.79</v>
      </c>
      <c r="N14" s="112">
        <v>2.6</v>
      </c>
      <c r="O14" s="112">
        <v>1</v>
      </c>
      <c r="P14" s="112">
        <v>0.26</v>
      </c>
      <c r="Q14" s="112">
        <v>4.7300000000000004</v>
      </c>
    </row>
    <row r="15" spans="1:21" customFormat="1">
      <c r="A15" s="80">
        <v>45497.072916666664</v>
      </c>
      <c r="B15" s="112">
        <v>9.27</v>
      </c>
      <c r="C15" s="112">
        <v>4.08</v>
      </c>
      <c r="D15" s="112">
        <v>14.02</v>
      </c>
      <c r="E15" s="112">
        <v>12.27</v>
      </c>
      <c r="F15" s="112">
        <v>3.42</v>
      </c>
      <c r="G15" s="112">
        <v>3.79</v>
      </c>
      <c r="H15" s="112">
        <v>1.24</v>
      </c>
      <c r="I15" s="112">
        <v>2.89</v>
      </c>
      <c r="J15" s="112">
        <v>1.01</v>
      </c>
      <c r="K15" s="112">
        <v>275.06</v>
      </c>
      <c r="L15" s="112">
        <v>24.12</v>
      </c>
      <c r="M15" s="112">
        <v>101.86</v>
      </c>
      <c r="N15" s="112">
        <v>2.4</v>
      </c>
      <c r="O15" s="112">
        <v>1</v>
      </c>
      <c r="P15" s="112">
        <v>0.26</v>
      </c>
      <c r="Q15" s="112">
        <v>4.7300000000000004</v>
      </c>
    </row>
    <row r="16" spans="1:21" customFormat="1">
      <c r="A16" s="80">
        <v>45497.083333333336</v>
      </c>
      <c r="B16" s="112">
        <v>9.26</v>
      </c>
      <c r="C16" s="112">
        <v>4.08</v>
      </c>
      <c r="D16" s="112">
        <v>14.01</v>
      </c>
      <c r="E16" s="112">
        <v>12.58</v>
      </c>
      <c r="F16" s="112">
        <v>3.21</v>
      </c>
      <c r="G16" s="112">
        <v>3.79</v>
      </c>
      <c r="H16" s="112">
        <v>1.24</v>
      </c>
      <c r="I16" s="112">
        <v>2.87</v>
      </c>
      <c r="J16" s="112">
        <v>1</v>
      </c>
      <c r="K16" s="112">
        <v>275.86</v>
      </c>
      <c r="L16" s="112">
        <v>24.1</v>
      </c>
      <c r="M16" s="112">
        <v>103.75</v>
      </c>
      <c r="N16" s="112">
        <v>2.5</v>
      </c>
      <c r="O16" s="112">
        <v>1.4</v>
      </c>
      <c r="P16" s="112">
        <v>0.27</v>
      </c>
      <c r="Q16" s="112">
        <v>4.7300000000000004</v>
      </c>
    </row>
    <row r="17" spans="1:17" customFormat="1">
      <c r="A17" s="80">
        <v>45497.09375</v>
      </c>
      <c r="B17" s="112">
        <v>9.26</v>
      </c>
      <c r="C17" s="112">
        <v>4.0999999999999996</v>
      </c>
      <c r="D17" s="112">
        <v>14.02</v>
      </c>
      <c r="E17" s="112">
        <v>7.01</v>
      </c>
      <c r="F17" s="112">
        <v>3.24</v>
      </c>
      <c r="G17" s="112">
        <v>3.79</v>
      </c>
      <c r="H17" s="112">
        <v>1.24</v>
      </c>
      <c r="I17" s="112">
        <v>2.89</v>
      </c>
      <c r="J17" s="112">
        <v>0.98</v>
      </c>
      <c r="K17" s="112">
        <v>275.37</v>
      </c>
      <c r="L17" s="112">
        <v>24.08</v>
      </c>
      <c r="M17" s="112">
        <v>108</v>
      </c>
      <c r="N17" s="112">
        <v>2.5</v>
      </c>
      <c r="O17" s="112">
        <v>1.2</v>
      </c>
      <c r="P17" s="112">
        <v>0.28999999999999998</v>
      </c>
      <c r="Q17" s="112">
        <v>4.71</v>
      </c>
    </row>
    <row r="18" spans="1:17" customFormat="1">
      <c r="A18" s="80">
        <v>45497.104166666664</v>
      </c>
      <c r="B18" s="112">
        <v>9.3000000000000007</v>
      </c>
      <c r="C18" s="112">
        <v>4.1100000000000003</v>
      </c>
      <c r="D18" s="112">
        <v>14.06</v>
      </c>
      <c r="E18" s="112">
        <v>7.97</v>
      </c>
      <c r="F18" s="112">
        <v>4.08</v>
      </c>
      <c r="G18" s="112">
        <v>3.79</v>
      </c>
      <c r="H18" s="112">
        <v>1.23</v>
      </c>
      <c r="I18" s="112">
        <v>2.89</v>
      </c>
      <c r="J18" s="112">
        <v>0.82</v>
      </c>
      <c r="K18" s="112">
        <v>272.58</v>
      </c>
      <c r="L18" s="112">
        <v>24.06</v>
      </c>
      <c r="M18" s="112">
        <v>105.63</v>
      </c>
      <c r="N18" s="112">
        <v>2.4</v>
      </c>
      <c r="O18" s="112">
        <v>1.2</v>
      </c>
      <c r="P18" s="112">
        <v>0.27</v>
      </c>
      <c r="Q18" s="112">
        <v>4.71</v>
      </c>
    </row>
    <row r="19" spans="1:17" customFormat="1">
      <c r="A19" s="80">
        <v>45497.114583333336</v>
      </c>
      <c r="B19" s="112">
        <v>9.31</v>
      </c>
      <c r="C19" s="112">
        <v>4.0999999999999996</v>
      </c>
      <c r="D19" s="112">
        <v>14.06</v>
      </c>
      <c r="E19" s="112">
        <v>7.4</v>
      </c>
      <c r="F19" s="112">
        <v>4.45</v>
      </c>
      <c r="G19" s="112">
        <v>3.86</v>
      </c>
      <c r="H19" s="112">
        <v>1.02</v>
      </c>
      <c r="I19" s="112">
        <v>2.91</v>
      </c>
      <c r="J19" s="112">
        <v>0.78</v>
      </c>
      <c r="K19" s="112">
        <v>274.18</v>
      </c>
      <c r="L19" s="112">
        <v>24.05</v>
      </c>
      <c r="M19" s="112">
        <v>102.69</v>
      </c>
      <c r="N19" s="112">
        <v>2.5</v>
      </c>
      <c r="O19" s="112">
        <v>1.8</v>
      </c>
      <c r="P19" s="112">
        <v>0.27</v>
      </c>
      <c r="Q19" s="112">
        <v>4.7</v>
      </c>
    </row>
    <row r="20" spans="1:17" customFormat="1">
      <c r="A20" s="80">
        <v>45497.125</v>
      </c>
      <c r="B20" s="112">
        <v>9.31</v>
      </c>
      <c r="C20" s="112">
        <v>4.0999999999999996</v>
      </c>
      <c r="D20" s="112">
        <v>14.06</v>
      </c>
      <c r="E20" s="112">
        <v>7.12</v>
      </c>
      <c r="F20" s="112">
        <v>4.1100000000000003</v>
      </c>
      <c r="G20" s="112">
        <v>3.86</v>
      </c>
      <c r="H20" s="112">
        <v>1.02</v>
      </c>
      <c r="I20" s="112">
        <v>2.92</v>
      </c>
      <c r="J20" s="112">
        <v>0.88</v>
      </c>
      <c r="K20" s="112">
        <v>275.20999999999998</v>
      </c>
      <c r="L20" s="112">
        <v>24.01</v>
      </c>
      <c r="M20" s="112">
        <v>103.46</v>
      </c>
      <c r="N20" s="112">
        <v>2.5</v>
      </c>
      <c r="O20" s="112">
        <v>1.2</v>
      </c>
      <c r="P20" s="112">
        <v>0.26</v>
      </c>
      <c r="Q20" s="112">
        <v>4.72</v>
      </c>
    </row>
    <row r="21" spans="1:17" customFormat="1">
      <c r="A21" s="80">
        <v>45497.135416666664</v>
      </c>
      <c r="B21" s="112">
        <v>9.32</v>
      </c>
      <c r="C21" s="112">
        <v>4.09</v>
      </c>
      <c r="D21" s="112">
        <v>14.06</v>
      </c>
      <c r="E21" s="112">
        <v>6.45</v>
      </c>
      <c r="F21" s="112">
        <v>4</v>
      </c>
      <c r="G21" s="112">
        <v>3.86</v>
      </c>
      <c r="H21" s="112">
        <v>1.02</v>
      </c>
      <c r="I21" s="112">
        <v>2.99</v>
      </c>
      <c r="J21" s="112">
        <v>0.94</v>
      </c>
      <c r="K21" s="112">
        <v>273.2</v>
      </c>
      <c r="L21" s="112">
        <v>23.98</v>
      </c>
      <c r="M21" s="112">
        <v>103.35</v>
      </c>
      <c r="N21" s="112">
        <v>2.5</v>
      </c>
      <c r="O21" s="112">
        <v>0.8</v>
      </c>
      <c r="P21" s="112">
        <v>0.26</v>
      </c>
      <c r="Q21" s="112">
        <v>4.72</v>
      </c>
    </row>
    <row r="22" spans="1:17" customFormat="1">
      <c r="A22" s="80">
        <v>45497.145833333336</v>
      </c>
      <c r="B22" s="112">
        <v>9.31</v>
      </c>
      <c r="C22" s="112">
        <v>4.07</v>
      </c>
      <c r="D22" s="112">
        <v>14.05</v>
      </c>
      <c r="E22" s="112">
        <v>6.04</v>
      </c>
      <c r="F22" s="112">
        <v>4.07</v>
      </c>
      <c r="G22" s="112">
        <v>3.81</v>
      </c>
      <c r="H22" s="112">
        <v>1.02</v>
      </c>
      <c r="I22" s="112">
        <v>3</v>
      </c>
      <c r="J22" s="112">
        <v>0.82</v>
      </c>
      <c r="K22" s="112">
        <v>274.45999999999998</v>
      </c>
      <c r="L22" s="112">
        <v>23.97</v>
      </c>
      <c r="M22" s="112">
        <v>102.17</v>
      </c>
      <c r="N22" s="112">
        <v>2.6</v>
      </c>
      <c r="O22" s="112">
        <v>0.6</v>
      </c>
      <c r="P22" s="112">
        <v>0.26</v>
      </c>
      <c r="Q22" s="112">
        <v>4.72</v>
      </c>
    </row>
    <row r="23" spans="1:17" customFormat="1">
      <c r="A23" s="80">
        <v>45497.15625</v>
      </c>
      <c r="B23" s="112">
        <v>9.31</v>
      </c>
      <c r="C23" s="112">
        <v>4.07</v>
      </c>
      <c r="D23" s="112">
        <v>14.04</v>
      </c>
      <c r="E23" s="112">
        <v>6.16</v>
      </c>
      <c r="F23" s="112">
        <v>3.89</v>
      </c>
      <c r="G23" s="112">
        <v>3.03</v>
      </c>
      <c r="H23" s="112">
        <v>0.96</v>
      </c>
      <c r="I23" s="112">
        <v>2.97</v>
      </c>
      <c r="J23" s="112">
        <v>1.06</v>
      </c>
      <c r="K23" s="112">
        <v>278.17</v>
      </c>
      <c r="L23" s="112">
        <v>23.97</v>
      </c>
      <c r="M23" s="112">
        <v>102.89</v>
      </c>
      <c r="N23" s="112">
        <v>2.6</v>
      </c>
      <c r="O23" s="112">
        <v>0.4</v>
      </c>
      <c r="P23" s="112">
        <v>0.27</v>
      </c>
      <c r="Q23" s="112">
        <v>4.72</v>
      </c>
    </row>
    <row r="24" spans="1:17" customFormat="1">
      <c r="A24" s="80">
        <v>45497.166666666664</v>
      </c>
      <c r="B24" s="112">
        <v>9.31</v>
      </c>
      <c r="C24" s="112">
        <v>4.0999999999999996</v>
      </c>
      <c r="D24" s="112">
        <v>14.06</v>
      </c>
      <c r="E24" s="112">
        <v>6.27</v>
      </c>
      <c r="F24" s="112">
        <v>3.32</v>
      </c>
      <c r="G24" s="112">
        <v>3.03</v>
      </c>
      <c r="H24" s="112">
        <v>0.96</v>
      </c>
      <c r="I24" s="112">
        <v>2.94</v>
      </c>
      <c r="J24" s="112">
        <v>0.96</v>
      </c>
      <c r="K24" s="112">
        <v>276.39</v>
      </c>
      <c r="L24" s="112">
        <v>23.96</v>
      </c>
      <c r="M24" s="112">
        <v>104.2</v>
      </c>
      <c r="N24" s="112">
        <v>2.5</v>
      </c>
      <c r="O24" s="112">
        <v>0.2</v>
      </c>
      <c r="P24" s="112">
        <v>0.27</v>
      </c>
      <c r="Q24" s="112">
        <v>4.72</v>
      </c>
    </row>
    <row r="25" spans="1:17" customFormat="1">
      <c r="A25" s="80">
        <v>45497.177083333336</v>
      </c>
      <c r="B25" s="112">
        <v>9.3000000000000007</v>
      </c>
      <c r="C25" s="112">
        <v>4.08</v>
      </c>
      <c r="D25" s="112">
        <v>14.04</v>
      </c>
      <c r="E25" s="112">
        <v>6.53</v>
      </c>
      <c r="F25" s="112">
        <v>3.39</v>
      </c>
      <c r="G25" s="112">
        <v>3.03</v>
      </c>
      <c r="H25" s="112">
        <v>0.96</v>
      </c>
      <c r="I25" s="112">
        <v>2.94</v>
      </c>
      <c r="J25" s="112">
        <v>0.82</v>
      </c>
      <c r="K25" s="112">
        <v>275.51</v>
      </c>
      <c r="L25" s="112">
        <v>23.96</v>
      </c>
      <c r="M25" s="112">
        <v>103.38</v>
      </c>
      <c r="N25" s="112">
        <v>2.5</v>
      </c>
      <c r="O25" s="112">
        <v>0.2</v>
      </c>
      <c r="P25" s="112">
        <v>0.27</v>
      </c>
      <c r="Q25" s="112">
        <v>4.72</v>
      </c>
    </row>
    <row r="26" spans="1:17" customFormat="1">
      <c r="A26" s="80">
        <v>45497.1875</v>
      </c>
      <c r="B26" s="112">
        <v>9.31</v>
      </c>
      <c r="C26" s="112">
        <v>4.0599999999999996</v>
      </c>
      <c r="D26" s="112">
        <v>14.04</v>
      </c>
      <c r="E26" s="112">
        <v>5.95</v>
      </c>
      <c r="F26" s="112">
        <v>3.68</v>
      </c>
      <c r="G26" s="112">
        <v>2.99</v>
      </c>
      <c r="H26" s="112">
        <v>0.96</v>
      </c>
      <c r="I26" s="112">
        <v>2.98</v>
      </c>
      <c r="J26" s="112">
        <v>0.84</v>
      </c>
      <c r="K26" s="112">
        <v>277.3</v>
      </c>
      <c r="L26" s="112">
        <v>23.94</v>
      </c>
      <c r="M26" s="112">
        <v>102.56</v>
      </c>
      <c r="N26" s="112">
        <v>2.5</v>
      </c>
      <c r="O26" s="112">
        <v>0</v>
      </c>
      <c r="P26" s="112">
        <v>0.27</v>
      </c>
      <c r="Q26" s="112">
        <v>4.72</v>
      </c>
    </row>
    <row r="27" spans="1:17" customFormat="1">
      <c r="A27" s="80">
        <v>45497.197916666664</v>
      </c>
      <c r="B27" s="112">
        <v>9.31</v>
      </c>
      <c r="C27" s="112">
        <v>4.09</v>
      </c>
      <c r="D27" s="112">
        <v>14.05</v>
      </c>
      <c r="E27" s="112">
        <v>6.14</v>
      </c>
      <c r="F27" s="112">
        <v>3.92</v>
      </c>
      <c r="G27" s="112">
        <v>2.4300000000000002</v>
      </c>
      <c r="H27" s="112">
        <v>0.96</v>
      </c>
      <c r="I27" s="112">
        <v>2.97</v>
      </c>
      <c r="J27" s="112">
        <v>1.07</v>
      </c>
      <c r="K27" s="112">
        <v>273.42</v>
      </c>
      <c r="L27" s="112">
        <v>23.94</v>
      </c>
      <c r="M27" s="112">
        <v>103.02</v>
      </c>
      <c r="N27" s="112">
        <v>2.6</v>
      </c>
      <c r="O27" s="112">
        <v>0</v>
      </c>
      <c r="P27" s="112">
        <v>0.26</v>
      </c>
      <c r="Q27" s="112">
        <v>4.7300000000000004</v>
      </c>
    </row>
    <row r="28" spans="1:17" customFormat="1">
      <c r="A28" s="80">
        <v>45497.208333333336</v>
      </c>
      <c r="B28" s="112">
        <v>9.31</v>
      </c>
      <c r="C28" s="112">
        <v>4.08</v>
      </c>
      <c r="D28" s="112">
        <v>14.05</v>
      </c>
      <c r="E28" s="112">
        <v>5.87</v>
      </c>
      <c r="F28" s="112">
        <v>3.95</v>
      </c>
      <c r="G28" s="112">
        <v>2.4300000000000002</v>
      </c>
      <c r="H28" s="112">
        <v>0.96</v>
      </c>
      <c r="I28" s="112">
        <v>2.93</v>
      </c>
      <c r="J28" s="112">
        <v>0.91</v>
      </c>
      <c r="K28" s="112">
        <v>274.08</v>
      </c>
      <c r="L28" s="112">
        <v>23.99</v>
      </c>
      <c r="M28" s="112">
        <v>103.31</v>
      </c>
      <c r="N28" s="112">
        <v>2.4</v>
      </c>
      <c r="O28" s="112">
        <v>0.2</v>
      </c>
      <c r="P28" s="112">
        <v>0.26</v>
      </c>
      <c r="Q28" s="112">
        <v>4.7300000000000004</v>
      </c>
    </row>
    <row r="29" spans="1:17" customFormat="1">
      <c r="A29" s="80">
        <v>45497.21875</v>
      </c>
      <c r="B29" s="112">
        <v>9.31</v>
      </c>
      <c r="C29" s="112">
        <v>4.08</v>
      </c>
      <c r="D29" s="112">
        <v>14.04</v>
      </c>
      <c r="E29" s="112">
        <v>5.77</v>
      </c>
      <c r="F29" s="112">
        <v>3.6</v>
      </c>
      <c r="G29" s="112">
        <v>2.4300000000000002</v>
      </c>
      <c r="H29" s="112">
        <v>0.96</v>
      </c>
      <c r="I29" s="112">
        <v>2.93</v>
      </c>
      <c r="J29" s="112">
        <v>1.02</v>
      </c>
      <c r="K29" s="112">
        <v>273.92</v>
      </c>
      <c r="L29" s="112">
        <v>24</v>
      </c>
      <c r="M29" s="112">
        <v>104.18</v>
      </c>
      <c r="N29" s="112">
        <v>2.7</v>
      </c>
      <c r="O29" s="112">
        <v>0</v>
      </c>
      <c r="P29" s="112">
        <v>0.26</v>
      </c>
      <c r="Q29" s="112">
        <v>4.72</v>
      </c>
    </row>
    <row r="30" spans="1:17" customFormat="1">
      <c r="A30" s="80">
        <v>45497.229166666664</v>
      </c>
      <c r="B30" s="112">
        <v>9.2899999999999991</v>
      </c>
      <c r="C30" s="112">
        <v>4.08</v>
      </c>
      <c r="D30" s="112">
        <v>14.03</v>
      </c>
      <c r="E30" s="112">
        <v>6.15</v>
      </c>
      <c r="F30" s="112">
        <v>3.72</v>
      </c>
      <c r="G30" s="112">
        <v>2.41</v>
      </c>
      <c r="H30" s="112">
        <v>0.96</v>
      </c>
      <c r="I30" s="112">
        <v>2.94</v>
      </c>
      <c r="J30" s="112">
        <v>1.02</v>
      </c>
      <c r="K30" s="112">
        <v>277.77</v>
      </c>
      <c r="L30" s="112">
        <v>24.02</v>
      </c>
      <c r="M30" s="112">
        <v>103.65</v>
      </c>
      <c r="N30" s="112">
        <v>4</v>
      </c>
      <c r="O30" s="112">
        <v>0</v>
      </c>
      <c r="P30" s="112">
        <v>0.26</v>
      </c>
      <c r="Q30" s="112">
        <v>4.72</v>
      </c>
    </row>
    <row r="31" spans="1:17" customFormat="1">
      <c r="A31" s="80">
        <v>45497.239583333336</v>
      </c>
      <c r="B31" s="112">
        <v>9.27</v>
      </c>
      <c r="C31" s="112">
        <v>4.0999999999999996</v>
      </c>
      <c r="D31" s="112">
        <v>14.03</v>
      </c>
      <c r="E31" s="112">
        <v>5.93</v>
      </c>
      <c r="F31" s="112">
        <v>4.0199999999999996</v>
      </c>
      <c r="G31" s="112">
        <v>2.1</v>
      </c>
      <c r="H31" s="112">
        <v>0.92</v>
      </c>
      <c r="I31" s="112">
        <v>2.95</v>
      </c>
      <c r="J31" s="112">
        <v>0.94</v>
      </c>
      <c r="K31" s="112">
        <v>277.77</v>
      </c>
      <c r="L31" s="112">
        <v>24.07</v>
      </c>
      <c r="M31" s="112">
        <v>102.82</v>
      </c>
      <c r="N31" s="112">
        <v>8.1</v>
      </c>
      <c r="O31" s="112">
        <v>0</v>
      </c>
      <c r="P31" s="112">
        <v>0.26</v>
      </c>
      <c r="Q31" s="112">
        <v>4.72</v>
      </c>
    </row>
    <row r="32" spans="1:17" customFormat="1">
      <c r="A32" s="80">
        <v>45497.25</v>
      </c>
      <c r="B32" s="112">
        <v>9.2899999999999991</v>
      </c>
      <c r="C32" s="112">
        <v>4.07</v>
      </c>
      <c r="D32" s="112">
        <v>14.03</v>
      </c>
      <c r="E32" s="112">
        <v>6</v>
      </c>
      <c r="F32" s="112">
        <v>3.36</v>
      </c>
      <c r="G32" s="112">
        <v>2.1</v>
      </c>
      <c r="H32" s="112">
        <v>0.92</v>
      </c>
      <c r="I32" s="112">
        <v>2.91</v>
      </c>
      <c r="J32" s="112">
        <v>1.22</v>
      </c>
      <c r="K32" s="112">
        <v>272.38</v>
      </c>
      <c r="L32" s="112">
        <v>24.14</v>
      </c>
      <c r="M32" s="112">
        <v>104.17</v>
      </c>
      <c r="N32" s="112">
        <v>17.399999999999999</v>
      </c>
      <c r="O32" s="112">
        <v>0</v>
      </c>
      <c r="P32" s="112">
        <v>0.26</v>
      </c>
      <c r="Q32" s="112">
        <v>4.72</v>
      </c>
    </row>
    <row r="33" spans="1:17" customFormat="1">
      <c r="A33" s="80">
        <v>45497.260416666664</v>
      </c>
      <c r="B33" s="112">
        <v>9.2899999999999991</v>
      </c>
      <c r="C33" s="112">
        <v>4.05</v>
      </c>
      <c r="D33" s="112">
        <v>14.02</v>
      </c>
      <c r="E33" s="112">
        <v>5.9</v>
      </c>
      <c r="F33" s="112">
        <v>3.39</v>
      </c>
      <c r="G33" s="112">
        <v>2.1</v>
      </c>
      <c r="H33" s="112">
        <v>0.92</v>
      </c>
      <c r="I33" s="112">
        <v>2.91</v>
      </c>
      <c r="J33" s="112">
        <v>1.1100000000000001</v>
      </c>
      <c r="K33" s="112">
        <v>274.43</v>
      </c>
      <c r="L33" s="112">
        <v>24.24</v>
      </c>
      <c r="M33" s="112">
        <v>100.06</v>
      </c>
      <c r="N33" s="112">
        <v>21.6</v>
      </c>
      <c r="O33" s="112">
        <v>0</v>
      </c>
      <c r="P33" s="112">
        <v>0.26</v>
      </c>
      <c r="Q33" s="112">
        <v>4.71</v>
      </c>
    </row>
    <row r="34" spans="1:17" customFormat="1">
      <c r="A34" s="80">
        <v>45497.270833333336</v>
      </c>
      <c r="B34" s="112">
        <v>9.2899999999999991</v>
      </c>
      <c r="C34" s="112">
        <v>4.08</v>
      </c>
      <c r="D34" s="112">
        <v>14.03</v>
      </c>
      <c r="E34" s="112">
        <v>5.92</v>
      </c>
      <c r="F34" s="112">
        <v>3.61</v>
      </c>
      <c r="G34" s="112">
        <v>2.1</v>
      </c>
      <c r="H34" s="112">
        <v>0.91</v>
      </c>
      <c r="I34" s="112">
        <v>2.94</v>
      </c>
      <c r="J34" s="112">
        <v>1.01</v>
      </c>
      <c r="K34" s="112">
        <v>275.8</v>
      </c>
      <c r="L34" s="112">
        <v>24.33</v>
      </c>
      <c r="M34" s="112">
        <v>98.35</v>
      </c>
      <c r="N34" s="112">
        <v>21.1</v>
      </c>
      <c r="O34" s="112">
        <v>0</v>
      </c>
      <c r="P34" s="112">
        <v>0.27</v>
      </c>
      <c r="Q34" s="112">
        <v>4.71</v>
      </c>
    </row>
    <row r="35" spans="1:17" customFormat="1">
      <c r="A35" s="80">
        <v>45497.28125</v>
      </c>
      <c r="B35" s="112">
        <v>9.2899999999999991</v>
      </c>
      <c r="C35" s="112">
        <v>4.0599999999999996</v>
      </c>
      <c r="D35" s="112">
        <v>14.02</v>
      </c>
      <c r="E35" s="112">
        <v>5.79</v>
      </c>
      <c r="F35" s="112">
        <v>3.45</v>
      </c>
      <c r="G35" s="112">
        <v>2.19</v>
      </c>
      <c r="H35" s="112">
        <v>0.82</v>
      </c>
      <c r="I35" s="112">
        <v>2.97</v>
      </c>
      <c r="J35" s="112">
        <v>0.94</v>
      </c>
      <c r="K35" s="112">
        <v>275.45999999999998</v>
      </c>
      <c r="L35" s="112">
        <v>24.27</v>
      </c>
      <c r="M35" s="112">
        <v>98.51</v>
      </c>
      <c r="N35" s="112">
        <v>22.7</v>
      </c>
      <c r="O35" s="112">
        <v>0.4</v>
      </c>
      <c r="P35" s="112">
        <v>0.25</v>
      </c>
      <c r="Q35" s="112">
        <v>4.7300000000000004</v>
      </c>
    </row>
    <row r="36" spans="1:17" customFormat="1">
      <c r="A36" s="80">
        <v>45497.291666666664</v>
      </c>
      <c r="B36" s="112">
        <v>9.2899999999999991</v>
      </c>
      <c r="C36" s="112">
        <v>4.09</v>
      </c>
      <c r="D36" s="112">
        <v>14.04</v>
      </c>
      <c r="E36" s="112">
        <v>5.63</v>
      </c>
      <c r="F36" s="112">
        <v>3.22</v>
      </c>
      <c r="G36" s="112">
        <v>2.19</v>
      </c>
      <c r="H36" s="112">
        <v>0.82</v>
      </c>
      <c r="I36" s="112">
        <v>2.97</v>
      </c>
      <c r="J36" s="112">
        <v>1.06</v>
      </c>
      <c r="K36" s="112">
        <v>273.35000000000002</v>
      </c>
      <c r="L36" s="112">
        <v>24.3</v>
      </c>
      <c r="M36" s="112">
        <v>98.84</v>
      </c>
      <c r="N36" s="112">
        <v>40.4</v>
      </c>
      <c r="O36" s="112">
        <v>0</v>
      </c>
      <c r="P36" s="112">
        <v>0.25</v>
      </c>
      <c r="Q36" s="112">
        <v>4.74</v>
      </c>
    </row>
    <row r="37" spans="1:17" customFormat="1">
      <c r="A37" s="80">
        <v>45497.302083333336</v>
      </c>
      <c r="B37" s="112">
        <v>9.3000000000000007</v>
      </c>
      <c r="C37" s="112">
        <v>4.07</v>
      </c>
      <c r="D37" s="112">
        <v>14.03</v>
      </c>
      <c r="E37" s="112">
        <v>5.84</v>
      </c>
      <c r="F37" s="112">
        <v>3.26</v>
      </c>
      <c r="G37" s="112">
        <v>2.19</v>
      </c>
      <c r="H37" s="112">
        <v>0.82</v>
      </c>
      <c r="I37" s="112">
        <v>2.94</v>
      </c>
      <c r="J37" s="112">
        <v>1</v>
      </c>
      <c r="K37" s="112">
        <v>275.88</v>
      </c>
      <c r="L37" s="112">
        <v>24.4</v>
      </c>
      <c r="M37" s="112">
        <v>98.26</v>
      </c>
      <c r="N37" s="112">
        <v>56.2</v>
      </c>
      <c r="O37" s="112">
        <v>0</v>
      </c>
      <c r="P37" s="112">
        <v>0.24</v>
      </c>
      <c r="Q37" s="112">
        <v>4.72</v>
      </c>
    </row>
    <row r="38" spans="1:17" customFormat="1">
      <c r="A38" s="80">
        <v>45497.3125</v>
      </c>
      <c r="B38" s="112">
        <v>9.2899999999999991</v>
      </c>
      <c r="C38" s="112">
        <v>4.0999999999999996</v>
      </c>
      <c r="D38" s="112">
        <v>14.04</v>
      </c>
      <c r="E38" s="112">
        <v>5.75</v>
      </c>
      <c r="F38" s="112">
        <v>3.34</v>
      </c>
      <c r="G38" s="112">
        <v>2.17</v>
      </c>
      <c r="H38" s="112">
        <v>0.82</v>
      </c>
      <c r="I38" s="112">
        <v>2.89</v>
      </c>
      <c r="J38" s="112">
        <v>1.1000000000000001</v>
      </c>
      <c r="K38" s="112">
        <v>275.43</v>
      </c>
      <c r="L38" s="112">
        <v>24.52</v>
      </c>
      <c r="M38" s="112">
        <v>97.69</v>
      </c>
      <c r="N38" s="112">
        <v>55.6</v>
      </c>
      <c r="O38" s="112">
        <v>0</v>
      </c>
      <c r="P38" s="112">
        <v>0.24</v>
      </c>
      <c r="Q38" s="112">
        <v>4.72</v>
      </c>
    </row>
    <row r="39" spans="1:17" customFormat="1">
      <c r="A39" s="80">
        <v>45497.322916666664</v>
      </c>
      <c r="B39" s="112">
        <v>9.3000000000000007</v>
      </c>
      <c r="C39" s="112">
        <v>4.0999999999999996</v>
      </c>
      <c r="D39" s="112">
        <v>14.05</v>
      </c>
      <c r="E39" s="112">
        <v>6.03</v>
      </c>
      <c r="F39" s="112">
        <v>3.35</v>
      </c>
      <c r="G39" s="112">
        <v>1.75</v>
      </c>
      <c r="H39" s="112">
        <v>0.73</v>
      </c>
      <c r="I39" s="112">
        <v>2.87</v>
      </c>
      <c r="J39" s="112">
        <v>1.1599999999999999</v>
      </c>
      <c r="K39" s="112">
        <v>273.99</v>
      </c>
      <c r="L39" s="112">
        <v>24.57</v>
      </c>
      <c r="M39" s="112">
        <v>96.99</v>
      </c>
      <c r="N39" s="112">
        <v>45.3</v>
      </c>
      <c r="O39" s="112">
        <v>0</v>
      </c>
      <c r="P39" s="112">
        <v>0.25</v>
      </c>
      <c r="Q39" s="112">
        <v>4.72</v>
      </c>
    </row>
    <row r="40" spans="1:17" customFormat="1">
      <c r="A40" s="80">
        <v>45497.333333333336</v>
      </c>
      <c r="B40" s="112">
        <v>9.31</v>
      </c>
      <c r="C40" s="112">
        <v>4.08</v>
      </c>
      <c r="D40" s="112">
        <v>14.04</v>
      </c>
      <c r="E40" s="112">
        <v>6</v>
      </c>
      <c r="F40" s="112">
        <v>3.5</v>
      </c>
      <c r="G40" s="112">
        <v>1.75</v>
      </c>
      <c r="H40" s="112">
        <v>0.73</v>
      </c>
      <c r="I40" s="112">
        <v>2.86</v>
      </c>
      <c r="J40" s="112">
        <v>1.03</v>
      </c>
      <c r="K40" s="112">
        <v>275.07</v>
      </c>
      <c r="L40" s="112">
        <v>24.7</v>
      </c>
      <c r="M40" s="112">
        <v>96.21</v>
      </c>
      <c r="N40" s="112">
        <v>66</v>
      </c>
      <c r="O40" s="112">
        <v>0</v>
      </c>
      <c r="P40" s="112">
        <v>0.25</v>
      </c>
      <c r="Q40" s="112">
        <v>4.7300000000000004</v>
      </c>
    </row>
    <row r="41" spans="1:17" customFormat="1">
      <c r="A41" s="80">
        <v>45497.34375</v>
      </c>
      <c r="B41" s="112">
        <v>9.32</v>
      </c>
      <c r="C41" s="112">
        <v>4.0199999999999996</v>
      </c>
      <c r="D41" s="112">
        <v>14.02</v>
      </c>
      <c r="E41" s="112">
        <v>6.42</v>
      </c>
      <c r="F41" s="112">
        <v>3.53</v>
      </c>
      <c r="G41" s="112">
        <v>1.75</v>
      </c>
      <c r="H41" s="112">
        <v>0.73</v>
      </c>
      <c r="I41" s="112">
        <v>2.86</v>
      </c>
      <c r="J41" s="112">
        <v>0.95</v>
      </c>
      <c r="K41" s="112">
        <v>277.27999999999997</v>
      </c>
      <c r="L41" s="112">
        <v>24.91</v>
      </c>
      <c r="M41" s="112">
        <v>95.66</v>
      </c>
      <c r="N41" s="112">
        <v>85.2</v>
      </c>
      <c r="O41" s="112">
        <v>0</v>
      </c>
      <c r="P41" s="112">
        <v>0.25</v>
      </c>
      <c r="Q41" s="112">
        <v>4.74</v>
      </c>
    </row>
    <row r="42" spans="1:17" customFormat="1">
      <c r="A42" s="80">
        <v>45497.354166666664</v>
      </c>
      <c r="B42" s="112">
        <v>9.2899999999999991</v>
      </c>
      <c r="C42" s="112">
        <v>4.0599999999999996</v>
      </c>
      <c r="D42" s="112">
        <v>14.02</v>
      </c>
      <c r="E42" s="112">
        <v>6.54</v>
      </c>
      <c r="F42" s="112">
        <v>3.72</v>
      </c>
      <c r="G42" s="112">
        <v>1.78</v>
      </c>
      <c r="H42" s="112">
        <v>0.72</v>
      </c>
      <c r="I42" s="112">
        <v>2.91</v>
      </c>
      <c r="J42" s="112">
        <v>1.05</v>
      </c>
      <c r="K42" s="112">
        <v>276.08999999999997</v>
      </c>
      <c r="L42" s="112">
        <v>25.17</v>
      </c>
      <c r="M42" s="112">
        <v>94.46</v>
      </c>
      <c r="N42" s="112">
        <v>108.3</v>
      </c>
      <c r="O42" s="112">
        <v>0</v>
      </c>
      <c r="P42" s="112">
        <v>0.25</v>
      </c>
      <c r="Q42" s="112">
        <v>4.74</v>
      </c>
    </row>
    <row r="43" spans="1:17" customFormat="1">
      <c r="A43" s="80">
        <v>45497.364583333336</v>
      </c>
      <c r="B43" s="112">
        <v>9.2799999999999994</v>
      </c>
      <c r="C43" s="112">
        <v>4.07</v>
      </c>
      <c r="D43" s="112">
        <v>14.02</v>
      </c>
      <c r="E43" s="112">
        <v>6.68</v>
      </c>
      <c r="F43" s="112">
        <v>4.22</v>
      </c>
      <c r="G43" s="112">
        <v>2.2999999999999998</v>
      </c>
      <c r="H43" s="112">
        <v>0.65</v>
      </c>
      <c r="I43" s="112">
        <v>2.87</v>
      </c>
      <c r="J43" s="112">
        <v>1.1399999999999999</v>
      </c>
      <c r="K43" s="112">
        <v>274.16000000000003</v>
      </c>
      <c r="L43" s="112">
        <v>25.31</v>
      </c>
      <c r="M43" s="112">
        <v>93.33</v>
      </c>
      <c r="N43" s="112">
        <v>89.2</v>
      </c>
      <c r="O43" s="112">
        <v>0</v>
      </c>
      <c r="P43" s="112">
        <v>0.26</v>
      </c>
      <c r="Q43" s="112">
        <v>4.72</v>
      </c>
    </row>
    <row r="44" spans="1:17" customFormat="1">
      <c r="A44" s="80">
        <v>45497.375</v>
      </c>
      <c r="B44" s="112">
        <v>9.2799999999999994</v>
      </c>
      <c r="C44" s="112">
        <v>4.07</v>
      </c>
      <c r="D44" s="112">
        <v>14.02</v>
      </c>
      <c r="E44" s="112">
        <v>6.68</v>
      </c>
      <c r="F44" s="112">
        <v>3.58</v>
      </c>
      <c r="G44" s="112">
        <v>2.2999999999999998</v>
      </c>
      <c r="H44" s="112">
        <v>0.65</v>
      </c>
      <c r="I44" s="112">
        <v>2.85</v>
      </c>
      <c r="J44" s="112">
        <v>1.07</v>
      </c>
      <c r="K44" s="112">
        <v>274.99</v>
      </c>
      <c r="L44" s="112">
        <v>25.29</v>
      </c>
      <c r="M44" s="112">
        <v>93.1</v>
      </c>
      <c r="N44" s="112">
        <v>65.900000000000006</v>
      </c>
      <c r="O44" s="112">
        <v>0</v>
      </c>
      <c r="P44" s="112">
        <v>0.26</v>
      </c>
      <c r="Q44" s="112">
        <v>4.72</v>
      </c>
    </row>
    <row r="45" spans="1:17" customFormat="1">
      <c r="A45" s="80">
        <v>45497.385416666664</v>
      </c>
      <c r="B45" s="112">
        <v>9.27</v>
      </c>
      <c r="C45" s="112">
        <v>4.09</v>
      </c>
      <c r="D45" s="112">
        <v>14.02</v>
      </c>
      <c r="E45" s="112">
        <v>6.91</v>
      </c>
      <c r="F45" s="112">
        <v>3.44</v>
      </c>
      <c r="G45" s="112">
        <v>2.2999999999999998</v>
      </c>
      <c r="H45" s="112">
        <v>0.65</v>
      </c>
      <c r="I45" s="112">
        <v>2.86</v>
      </c>
      <c r="J45" s="112">
        <v>1</v>
      </c>
      <c r="K45" s="112">
        <v>272.92</v>
      </c>
      <c r="L45" s="112">
        <v>25.34</v>
      </c>
      <c r="M45" s="112">
        <v>93.13</v>
      </c>
      <c r="N45" s="112">
        <v>63.7</v>
      </c>
      <c r="O45" s="112">
        <v>0</v>
      </c>
      <c r="P45" s="112">
        <v>0.26</v>
      </c>
      <c r="Q45" s="112">
        <v>4.74</v>
      </c>
    </row>
    <row r="46" spans="1:17" customFormat="1">
      <c r="A46" s="80">
        <v>45497.395833333336</v>
      </c>
      <c r="B46" s="112">
        <v>9.27</v>
      </c>
      <c r="C46" s="112">
        <v>4.08</v>
      </c>
      <c r="D46" s="112">
        <v>14.01</v>
      </c>
      <c r="E46" s="112">
        <v>6.65</v>
      </c>
      <c r="F46" s="112">
        <v>3.55</v>
      </c>
      <c r="G46" s="112">
        <v>2.2999999999999998</v>
      </c>
      <c r="H46" s="112">
        <v>0.66</v>
      </c>
      <c r="I46" s="112">
        <v>2.91</v>
      </c>
      <c r="J46" s="112">
        <v>0.99</v>
      </c>
      <c r="K46" s="112">
        <v>274.29000000000002</v>
      </c>
      <c r="L46" s="112">
        <v>25.44</v>
      </c>
      <c r="M46" s="112">
        <v>92.75</v>
      </c>
      <c r="N46" s="112">
        <v>73.7</v>
      </c>
      <c r="O46" s="112">
        <v>0</v>
      </c>
      <c r="P46" s="112">
        <v>0.26</v>
      </c>
      <c r="Q46" s="112">
        <v>4.7300000000000004</v>
      </c>
    </row>
    <row r="47" spans="1:17" customFormat="1">
      <c r="A47" s="80">
        <v>45497.40625</v>
      </c>
      <c r="B47" s="112">
        <v>9.27</v>
      </c>
      <c r="C47" s="112">
        <v>4.0599999999999996</v>
      </c>
      <c r="D47" s="112">
        <v>14.01</v>
      </c>
      <c r="E47" s="112">
        <v>7.28</v>
      </c>
      <c r="F47" s="112">
        <v>3.72</v>
      </c>
      <c r="G47" s="112">
        <v>2.2200000000000002</v>
      </c>
      <c r="H47" s="112">
        <v>0.69</v>
      </c>
      <c r="I47" s="112">
        <v>2.89</v>
      </c>
      <c r="J47" s="112">
        <v>0.97</v>
      </c>
      <c r="K47" s="112">
        <v>275.14999999999998</v>
      </c>
      <c r="L47" s="112">
        <v>25.53</v>
      </c>
      <c r="M47" s="112">
        <v>92.72</v>
      </c>
      <c r="N47" s="112">
        <v>56.9</v>
      </c>
      <c r="O47" s="112">
        <v>0</v>
      </c>
      <c r="P47" s="112">
        <v>0.27</v>
      </c>
      <c r="Q47" s="112">
        <v>4.7300000000000004</v>
      </c>
    </row>
    <row r="48" spans="1:17" customFormat="1">
      <c r="A48" s="80">
        <v>45497.416666666664</v>
      </c>
      <c r="B48" s="112">
        <v>9.27</v>
      </c>
      <c r="C48" s="112">
        <v>4.08</v>
      </c>
      <c r="D48" s="112">
        <v>14.01</v>
      </c>
      <c r="E48" s="112">
        <v>7.51</v>
      </c>
      <c r="F48" s="112">
        <v>3.46</v>
      </c>
      <c r="G48" s="112">
        <v>2.2200000000000002</v>
      </c>
      <c r="H48" s="112">
        <v>0.69</v>
      </c>
      <c r="I48" s="112">
        <v>2.92</v>
      </c>
      <c r="J48" s="112">
        <v>1.1399999999999999</v>
      </c>
      <c r="K48" s="112">
        <v>272.88</v>
      </c>
      <c r="L48" s="112">
        <v>25.41</v>
      </c>
      <c r="M48" s="112">
        <v>93.82</v>
      </c>
      <c r="N48" s="112">
        <v>93.6</v>
      </c>
      <c r="O48" s="112">
        <v>0.6</v>
      </c>
      <c r="P48" s="112">
        <v>0.27</v>
      </c>
      <c r="Q48" s="112">
        <v>4.72</v>
      </c>
    </row>
    <row r="49" spans="1:17" customFormat="1">
      <c r="A49" s="80">
        <v>45497.427083333336</v>
      </c>
      <c r="B49" s="112">
        <v>9.26</v>
      </c>
      <c r="C49" s="112">
        <v>4.07</v>
      </c>
      <c r="D49" s="112">
        <v>14</v>
      </c>
      <c r="E49" s="112">
        <v>9.41</v>
      </c>
      <c r="F49" s="112">
        <v>3.55</v>
      </c>
      <c r="G49" s="112">
        <v>2.2200000000000002</v>
      </c>
      <c r="H49" s="112">
        <v>0.69</v>
      </c>
      <c r="I49" s="112">
        <v>2.92</v>
      </c>
      <c r="J49" s="112">
        <v>0.91</v>
      </c>
      <c r="K49" s="112">
        <v>275.89999999999998</v>
      </c>
      <c r="L49" s="112">
        <v>24.95</v>
      </c>
      <c r="M49" s="112">
        <v>97.3</v>
      </c>
      <c r="N49" s="112">
        <v>72.599999999999994</v>
      </c>
      <c r="O49" s="112">
        <v>0.8</v>
      </c>
      <c r="P49" s="112">
        <v>0.28000000000000003</v>
      </c>
      <c r="Q49" s="112">
        <v>4.7300000000000004</v>
      </c>
    </row>
    <row r="50" spans="1:17" customFormat="1">
      <c r="A50" s="80">
        <v>45497.4375</v>
      </c>
      <c r="B50" s="112">
        <v>9.26</v>
      </c>
      <c r="C50" s="112">
        <v>4.08</v>
      </c>
      <c r="D50" s="112">
        <v>14</v>
      </c>
      <c r="E50" s="112">
        <v>11.7</v>
      </c>
      <c r="F50" s="112">
        <v>3.29</v>
      </c>
      <c r="G50" s="112">
        <v>2.25</v>
      </c>
      <c r="H50" s="112">
        <v>0.73</v>
      </c>
      <c r="I50" s="112">
        <v>2.97</v>
      </c>
      <c r="J50" s="112">
        <v>0.89</v>
      </c>
      <c r="K50" s="112">
        <v>279.47000000000003</v>
      </c>
      <c r="L50" s="112">
        <v>25.1</v>
      </c>
      <c r="M50" s="112">
        <v>97.96</v>
      </c>
      <c r="N50" s="112">
        <v>59.7</v>
      </c>
      <c r="O50" s="112">
        <v>0</v>
      </c>
      <c r="P50" s="112">
        <v>0.28000000000000003</v>
      </c>
      <c r="Q50" s="112">
        <v>4.7300000000000004</v>
      </c>
    </row>
    <row r="51" spans="1:17" customFormat="1">
      <c r="A51" s="80">
        <v>45497.447916666664</v>
      </c>
      <c r="B51" s="112">
        <v>9.25</v>
      </c>
      <c r="C51" s="112">
        <v>4.09</v>
      </c>
      <c r="D51" s="112">
        <v>14</v>
      </c>
      <c r="E51" s="112">
        <v>11.23</v>
      </c>
      <c r="F51" s="112">
        <v>3.36</v>
      </c>
      <c r="G51" s="112">
        <v>2.78</v>
      </c>
      <c r="H51" s="112">
        <v>1.28</v>
      </c>
      <c r="I51" s="112">
        <v>3.02</v>
      </c>
      <c r="J51" s="112">
        <v>0.9</v>
      </c>
      <c r="K51" s="112">
        <v>277.37</v>
      </c>
      <c r="L51" s="112">
        <v>25.14</v>
      </c>
      <c r="M51" s="112">
        <v>97.41</v>
      </c>
      <c r="N51" s="112">
        <v>33</v>
      </c>
      <c r="O51" s="112">
        <v>0</v>
      </c>
      <c r="P51" s="112">
        <v>0.28000000000000003</v>
      </c>
      <c r="Q51" s="112">
        <v>4.7300000000000004</v>
      </c>
    </row>
    <row r="52" spans="1:17" customFormat="1">
      <c r="A52" s="80">
        <v>45497.458333333336</v>
      </c>
      <c r="B52" s="112">
        <v>9.24</v>
      </c>
      <c r="C52" s="112">
        <v>4.0999999999999996</v>
      </c>
      <c r="D52" s="112">
        <v>14</v>
      </c>
      <c r="E52" s="112">
        <v>11.88</v>
      </c>
      <c r="F52" s="112">
        <v>3.39</v>
      </c>
      <c r="G52" s="112">
        <v>2.78</v>
      </c>
      <c r="H52" s="112">
        <v>1.28</v>
      </c>
      <c r="I52" s="112">
        <v>3.1</v>
      </c>
      <c r="J52" s="112">
        <v>0.82</v>
      </c>
      <c r="K52" s="112">
        <v>275.39</v>
      </c>
      <c r="L52" s="112">
        <v>25.14</v>
      </c>
      <c r="M52" s="112">
        <v>96.7</v>
      </c>
      <c r="N52" s="112">
        <v>21.2</v>
      </c>
      <c r="O52" s="112">
        <v>0</v>
      </c>
      <c r="P52" s="112">
        <v>0.28000000000000003</v>
      </c>
      <c r="Q52" s="112">
        <v>4.74</v>
      </c>
    </row>
    <row r="53" spans="1:17" customFormat="1">
      <c r="A53" s="80">
        <v>45497.46875</v>
      </c>
      <c r="B53" s="112">
        <v>9.24</v>
      </c>
      <c r="C53" s="112">
        <v>4.09</v>
      </c>
      <c r="D53" s="112">
        <v>14</v>
      </c>
      <c r="E53" s="112">
        <v>12.14</v>
      </c>
      <c r="F53" s="112">
        <v>3.5</v>
      </c>
      <c r="G53" s="112">
        <v>2.78</v>
      </c>
      <c r="H53" s="112">
        <v>1.28</v>
      </c>
      <c r="I53" s="112">
        <v>3.07</v>
      </c>
      <c r="J53" s="112">
        <v>0.88</v>
      </c>
      <c r="K53" s="112">
        <v>275.76</v>
      </c>
      <c r="L53" s="112">
        <v>24.84</v>
      </c>
      <c r="M53" s="112">
        <v>97.93</v>
      </c>
      <c r="N53" s="112">
        <v>37.1</v>
      </c>
      <c r="O53" s="112">
        <v>1.6</v>
      </c>
      <c r="P53" s="112">
        <v>0.28999999999999998</v>
      </c>
      <c r="Q53" s="112">
        <v>4.74</v>
      </c>
    </row>
    <row r="54" spans="1:17" customFormat="1">
      <c r="A54" s="80">
        <v>45497.479166666664</v>
      </c>
      <c r="B54" s="112">
        <v>9.23</v>
      </c>
      <c r="C54" s="112">
        <v>4.12</v>
      </c>
      <c r="D54" s="112">
        <v>14</v>
      </c>
      <c r="E54" s="112">
        <v>12.17</v>
      </c>
      <c r="F54" s="112">
        <v>3.14</v>
      </c>
      <c r="G54" s="112">
        <v>3.06</v>
      </c>
      <c r="H54" s="112">
        <v>1.3</v>
      </c>
      <c r="I54" s="112">
        <v>3.1</v>
      </c>
      <c r="J54" s="112">
        <v>0.74</v>
      </c>
      <c r="K54" s="112">
        <v>278.52</v>
      </c>
      <c r="L54" s="112">
        <v>24.7</v>
      </c>
      <c r="M54" s="112">
        <v>100.3</v>
      </c>
      <c r="N54" s="112">
        <v>39.9</v>
      </c>
      <c r="O54" s="112">
        <v>1.2</v>
      </c>
      <c r="P54" s="112">
        <v>0.32</v>
      </c>
      <c r="Q54" s="112">
        <v>4.72</v>
      </c>
    </row>
    <row r="55" spans="1:17" customFormat="1">
      <c r="A55" s="80">
        <v>45497.489583333336</v>
      </c>
      <c r="B55" s="112">
        <v>9.26</v>
      </c>
      <c r="C55" s="112">
        <v>4.08</v>
      </c>
      <c r="D55" s="112">
        <v>14.01</v>
      </c>
      <c r="E55" s="112">
        <v>12.09</v>
      </c>
      <c r="F55" s="112">
        <v>3.17</v>
      </c>
      <c r="G55" s="112">
        <v>7.78</v>
      </c>
      <c r="H55" s="112">
        <v>1.6</v>
      </c>
      <c r="I55" s="112">
        <v>3.05</v>
      </c>
      <c r="J55" s="112">
        <v>1.01</v>
      </c>
      <c r="K55" s="112">
        <v>275.62</v>
      </c>
      <c r="L55" s="112">
        <v>24.59</v>
      </c>
      <c r="M55" s="112">
        <v>104.05</v>
      </c>
      <c r="N55" s="112">
        <v>42.4</v>
      </c>
      <c r="O55" s="112">
        <v>1</v>
      </c>
      <c r="P55" s="112">
        <v>0.33</v>
      </c>
      <c r="Q55" s="112">
        <v>4.7</v>
      </c>
    </row>
    <row r="56" spans="1:17" customFormat="1">
      <c r="A56" s="80">
        <v>45497.5</v>
      </c>
      <c r="B56" s="112">
        <v>9.33</v>
      </c>
      <c r="C56" s="112">
        <v>4.0599999999999996</v>
      </c>
      <c r="D56" s="112">
        <v>14.05</v>
      </c>
      <c r="E56" s="112">
        <v>11.45</v>
      </c>
      <c r="F56" s="112">
        <v>3.41</v>
      </c>
      <c r="G56" s="112">
        <v>7.78</v>
      </c>
      <c r="H56" s="112">
        <v>1.6</v>
      </c>
      <c r="I56" s="112">
        <v>3.24</v>
      </c>
      <c r="J56" s="112">
        <v>1</v>
      </c>
      <c r="K56" s="112">
        <v>275.94</v>
      </c>
      <c r="L56" s="112">
        <v>24.64</v>
      </c>
      <c r="M56" s="112">
        <v>106.36</v>
      </c>
      <c r="N56" s="112">
        <v>57.4</v>
      </c>
      <c r="O56" s="112">
        <v>0.6</v>
      </c>
      <c r="P56" s="112">
        <v>0.31</v>
      </c>
      <c r="Q56" s="112">
        <v>4.72</v>
      </c>
    </row>
    <row r="57" spans="1:17" customFormat="1">
      <c r="A57" s="80">
        <v>45497.510416666664</v>
      </c>
      <c r="B57" s="112">
        <v>9.31</v>
      </c>
      <c r="C57" s="112">
        <v>4.07</v>
      </c>
      <c r="D57" s="112">
        <v>14.04</v>
      </c>
      <c r="E57" s="112">
        <v>10.97</v>
      </c>
      <c r="F57" s="112">
        <v>3.61</v>
      </c>
      <c r="G57" s="112">
        <v>7.78</v>
      </c>
      <c r="H57" s="112">
        <v>1.6</v>
      </c>
      <c r="I57" s="112">
        <v>3.36</v>
      </c>
      <c r="J57" s="112">
        <v>1.0900000000000001</v>
      </c>
      <c r="K57" s="112">
        <v>277.51</v>
      </c>
      <c r="L57" s="112">
        <v>24.69</v>
      </c>
      <c r="M57" s="112">
        <v>106.15</v>
      </c>
      <c r="N57" s="112">
        <v>70.3</v>
      </c>
      <c r="O57" s="112">
        <v>0.4</v>
      </c>
      <c r="P57" s="112">
        <v>0.32</v>
      </c>
      <c r="Q57" s="112">
        <v>4.72</v>
      </c>
    </row>
    <row r="58" spans="1:17" customFormat="1">
      <c r="A58" s="80">
        <v>45497.520833333336</v>
      </c>
      <c r="B58" s="112">
        <v>9.31</v>
      </c>
      <c r="C58" s="112">
        <v>4.07</v>
      </c>
      <c r="D58" s="112">
        <v>14.04</v>
      </c>
      <c r="E58" s="112">
        <v>10.53</v>
      </c>
      <c r="F58" s="112">
        <v>3.97</v>
      </c>
      <c r="G58" s="112">
        <v>7.69</v>
      </c>
      <c r="H58" s="112">
        <v>1.6</v>
      </c>
      <c r="I58" s="112">
        <v>3.45</v>
      </c>
      <c r="J58" s="112">
        <v>0.91</v>
      </c>
      <c r="K58" s="112">
        <v>278.05</v>
      </c>
      <c r="L58" s="112">
        <v>24.81</v>
      </c>
      <c r="M58" s="112">
        <v>104.75</v>
      </c>
      <c r="N58" s="112">
        <v>94.2</v>
      </c>
      <c r="O58" s="112">
        <v>0.4</v>
      </c>
      <c r="P58" s="112">
        <v>0.31</v>
      </c>
      <c r="Q58" s="112">
        <v>4.72</v>
      </c>
    </row>
    <row r="59" spans="1:17" customFormat="1">
      <c r="A59" s="80">
        <v>45497.53125</v>
      </c>
      <c r="B59" s="112">
        <v>9.3000000000000007</v>
      </c>
      <c r="C59" s="112">
        <v>4.0599999999999996</v>
      </c>
      <c r="D59" s="112">
        <v>14.03</v>
      </c>
      <c r="E59" s="112">
        <v>9.99</v>
      </c>
      <c r="F59" s="112">
        <v>4.01</v>
      </c>
      <c r="G59" s="112">
        <v>6.11</v>
      </c>
      <c r="H59" s="112">
        <v>1.59</v>
      </c>
      <c r="I59" s="112">
        <v>3.5</v>
      </c>
      <c r="J59" s="112">
        <v>0.91</v>
      </c>
      <c r="K59" s="112">
        <v>276.26</v>
      </c>
      <c r="L59" s="112">
        <v>24.97</v>
      </c>
      <c r="M59" s="112">
        <v>104.35</v>
      </c>
      <c r="N59" s="112">
        <v>98.6</v>
      </c>
      <c r="O59" s="112">
        <v>0.6</v>
      </c>
      <c r="P59" s="112">
        <v>0.31</v>
      </c>
      <c r="Q59" s="112">
        <v>4.72</v>
      </c>
    </row>
    <row r="60" spans="1:17" customFormat="1">
      <c r="A60" s="80">
        <v>45497.541666666664</v>
      </c>
      <c r="B60" s="112">
        <v>9.3000000000000007</v>
      </c>
      <c r="C60" s="112">
        <v>4.08</v>
      </c>
      <c r="D60" s="112">
        <v>14.04</v>
      </c>
      <c r="E60" s="112">
        <v>9.94</v>
      </c>
      <c r="F60" s="112">
        <v>3.94</v>
      </c>
      <c r="G60" s="112">
        <v>6.11</v>
      </c>
      <c r="H60" s="112">
        <v>1.59</v>
      </c>
      <c r="I60" s="112">
        <v>3.45</v>
      </c>
      <c r="J60" s="112">
        <v>0.99</v>
      </c>
      <c r="K60" s="112">
        <v>274.73</v>
      </c>
      <c r="L60" s="112">
        <v>24.92</v>
      </c>
      <c r="M60" s="112">
        <v>103.25</v>
      </c>
      <c r="N60" s="112">
        <v>59.3</v>
      </c>
      <c r="O60" s="112">
        <v>0.2</v>
      </c>
      <c r="P60" s="112">
        <v>0.3</v>
      </c>
      <c r="Q60" s="112">
        <v>4.72</v>
      </c>
    </row>
    <row r="61" spans="1:17" customFormat="1">
      <c r="A61" s="80">
        <v>45497.552083333336</v>
      </c>
      <c r="B61" s="112">
        <v>9.2799999999999994</v>
      </c>
      <c r="C61" s="112">
        <v>4.0999999999999996</v>
      </c>
      <c r="D61" s="112">
        <v>14.03</v>
      </c>
      <c r="E61" s="112">
        <v>10.01</v>
      </c>
      <c r="F61" s="112">
        <v>3.67</v>
      </c>
      <c r="G61" s="112">
        <v>6.11</v>
      </c>
      <c r="H61" s="112">
        <v>1.59</v>
      </c>
      <c r="I61" s="112">
        <v>3.45</v>
      </c>
      <c r="J61" s="112">
        <v>0.92</v>
      </c>
      <c r="K61" s="112">
        <v>275.62</v>
      </c>
      <c r="L61" s="112">
        <v>24.85</v>
      </c>
      <c r="M61" s="112">
        <v>102.15</v>
      </c>
      <c r="N61" s="112">
        <v>51.2</v>
      </c>
      <c r="O61" s="112">
        <v>0</v>
      </c>
      <c r="P61" s="112">
        <v>0.3</v>
      </c>
      <c r="Q61" s="112">
        <v>4.7300000000000004</v>
      </c>
    </row>
    <row r="62" spans="1:17" customFormat="1">
      <c r="A62" s="80">
        <v>45497.5625</v>
      </c>
      <c r="B62" s="112">
        <v>9.27</v>
      </c>
      <c r="C62" s="112">
        <v>4.1100000000000003</v>
      </c>
      <c r="D62" s="112">
        <v>14.03</v>
      </c>
      <c r="E62" s="112">
        <v>9.26</v>
      </c>
      <c r="F62" s="112">
        <v>3.75</v>
      </c>
      <c r="G62" s="112">
        <v>6.03</v>
      </c>
      <c r="H62" s="112">
        <v>1.59</v>
      </c>
      <c r="I62" s="112">
        <v>3.49</v>
      </c>
      <c r="J62" s="112">
        <v>0.97</v>
      </c>
      <c r="K62" s="112">
        <v>273.45999999999998</v>
      </c>
      <c r="L62" s="112">
        <v>24.85</v>
      </c>
      <c r="M62" s="112">
        <v>101.67</v>
      </c>
      <c r="N62" s="112">
        <v>65</v>
      </c>
      <c r="O62" s="112">
        <v>0</v>
      </c>
      <c r="P62" s="112">
        <v>0.3</v>
      </c>
      <c r="Q62" s="112">
        <v>4.72</v>
      </c>
    </row>
    <row r="63" spans="1:17" customFormat="1">
      <c r="A63" s="80">
        <v>45497.572916666664</v>
      </c>
      <c r="B63" s="112">
        <v>9.2899999999999991</v>
      </c>
      <c r="C63" s="112">
        <v>4.0599999999999996</v>
      </c>
      <c r="D63" s="112">
        <v>14.02</v>
      </c>
      <c r="E63" s="112">
        <v>9.35</v>
      </c>
      <c r="F63" s="112">
        <v>3.86</v>
      </c>
      <c r="G63" s="112">
        <v>4.63</v>
      </c>
      <c r="H63" s="112">
        <v>1.52</v>
      </c>
      <c r="I63" s="112">
        <v>3.52</v>
      </c>
      <c r="J63" s="112">
        <v>0.89</v>
      </c>
      <c r="K63" s="112">
        <v>273.33</v>
      </c>
      <c r="L63" s="112">
        <v>24.85</v>
      </c>
      <c r="M63" s="112">
        <v>101.19</v>
      </c>
      <c r="N63" s="112">
        <v>51.7</v>
      </c>
      <c r="O63" s="112">
        <v>0</v>
      </c>
      <c r="P63" s="112">
        <v>0.3</v>
      </c>
      <c r="Q63" s="112">
        <v>4.71</v>
      </c>
    </row>
    <row r="64" spans="1:17" customFormat="1">
      <c r="A64" s="80">
        <v>45497.583333333336</v>
      </c>
      <c r="B64" s="112">
        <v>9.2799999999999994</v>
      </c>
      <c r="C64" s="112">
        <v>4.08</v>
      </c>
      <c r="D64" s="112">
        <v>14.02</v>
      </c>
      <c r="E64" s="112">
        <v>8.9600000000000009</v>
      </c>
      <c r="F64" s="112">
        <v>3.61</v>
      </c>
      <c r="G64" s="112">
        <v>4.63</v>
      </c>
      <c r="H64" s="112">
        <v>1.52</v>
      </c>
      <c r="I64" s="112">
        <v>3.47</v>
      </c>
      <c r="J64" s="112">
        <v>1.1100000000000001</v>
      </c>
      <c r="K64" s="112">
        <v>279.64999999999998</v>
      </c>
      <c r="L64" s="112">
        <v>24.86</v>
      </c>
      <c r="M64" s="112">
        <v>100.79</v>
      </c>
      <c r="N64" s="112">
        <v>85.8</v>
      </c>
      <c r="O64" s="112">
        <v>0</v>
      </c>
      <c r="P64" s="112">
        <v>0.3</v>
      </c>
      <c r="Q64" s="112">
        <v>4.72</v>
      </c>
    </row>
    <row r="65" spans="1:17" customFormat="1">
      <c r="A65" s="80">
        <v>45497.59375</v>
      </c>
      <c r="B65" s="112">
        <v>9.3000000000000007</v>
      </c>
      <c r="C65" s="112">
        <v>4.05</v>
      </c>
      <c r="D65" s="112">
        <v>14.02</v>
      </c>
      <c r="E65" s="112">
        <v>9.3000000000000007</v>
      </c>
      <c r="F65" s="112">
        <v>3.67</v>
      </c>
      <c r="G65" s="112">
        <v>4.63</v>
      </c>
      <c r="H65" s="112">
        <v>1.52</v>
      </c>
      <c r="I65" s="112">
        <v>3.49</v>
      </c>
      <c r="J65" s="112">
        <v>1.19</v>
      </c>
      <c r="K65" s="112">
        <v>271.92</v>
      </c>
      <c r="L65" s="112">
        <v>25.1</v>
      </c>
      <c r="M65" s="112">
        <v>99.3</v>
      </c>
      <c r="N65" s="112">
        <v>107.9</v>
      </c>
      <c r="O65" s="112">
        <v>0</v>
      </c>
      <c r="P65" s="112">
        <v>0.28000000000000003</v>
      </c>
      <c r="Q65" s="112">
        <v>4.72</v>
      </c>
    </row>
    <row r="66" spans="1:17" customFormat="1">
      <c r="A66" s="80">
        <v>45497.604166666664</v>
      </c>
      <c r="B66" s="112">
        <v>9.2799999999999994</v>
      </c>
      <c r="C66" s="112">
        <v>4.09</v>
      </c>
      <c r="D66" s="112">
        <v>14.03</v>
      </c>
      <c r="E66" s="112">
        <v>9.6</v>
      </c>
      <c r="F66" s="112">
        <v>3.76</v>
      </c>
      <c r="G66" s="112">
        <v>4.57</v>
      </c>
      <c r="H66" s="112">
        <v>1.51</v>
      </c>
      <c r="I66" s="112">
        <v>3.52</v>
      </c>
      <c r="J66" s="112">
        <v>1.01</v>
      </c>
      <c r="K66" s="112">
        <v>278.76</v>
      </c>
      <c r="L66" s="112">
        <v>25.24</v>
      </c>
      <c r="M66" s="112">
        <v>98.05</v>
      </c>
      <c r="N66" s="112">
        <v>74.7</v>
      </c>
      <c r="O66" s="112">
        <v>0</v>
      </c>
      <c r="P66" s="112">
        <v>0.3</v>
      </c>
      <c r="Q66" s="112">
        <v>4.7300000000000004</v>
      </c>
    </row>
    <row r="67" spans="1:17" customFormat="1">
      <c r="A67" s="80">
        <v>45497.614583333336</v>
      </c>
      <c r="B67" s="112">
        <v>9.2899999999999991</v>
      </c>
      <c r="C67" s="112">
        <v>4.08</v>
      </c>
      <c r="D67" s="112">
        <v>14.03</v>
      </c>
      <c r="E67" s="112">
        <v>9.32</v>
      </c>
      <c r="F67" s="112">
        <v>3.77</v>
      </c>
      <c r="G67" s="112">
        <v>3.6</v>
      </c>
      <c r="H67" s="112">
        <v>1.3</v>
      </c>
      <c r="I67" s="112">
        <v>3.47</v>
      </c>
      <c r="J67" s="112">
        <v>1.1000000000000001</v>
      </c>
      <c r="K67" s="112">
        <v>275.52</v>
      </c>
      <c r="L67" s="112">
        <v>25.27</v>
      </c>
      <c r="M67" s="112">
        <v>97.07</v>
      </c>
      <c r="N67" s="112">
        <v>62.6</v>
      </c>
      <c r="O67" s="112">
        <v>0</v>
      </c>
      <c r="P67" s="112">
        <v>0.31</v>
      </c>
      <c r="Q67" s="112">
        <v>4.7300000000000004</v>
      </c>
    </row>
    <row r="68" spans="1:17" customFormat="1">
      <c r="A68" s="80">
        <v>45497.625</v>
      </c>
      <c r="B68" s="112">
        <v>9.2899999999999991</v>
      </c>
      <c r="C68" s="112">
        <v>4.09</v>
      </c>
      <c r="D68" s="112">
        <v>14.03</v>
      </c>
      <c r="E68" s="112">
        <v>9.16</v>
      </c>
      <c r="F68" s="112">
        <v>3.67</v>
      </c>
      <c r="G68" s="112">
        <v>3.6</v>
      </c>
      <c r="H68" s="112">
        <v>1.3</v>
      </c>
      <c r="I68" s="112">
        <v>3.5</v>
      </c>
      <c r="J68" s="112">
        <v>1.1000000000000001</v>
      </c>
      <c r="K68" s="112">
        <v>274.61</v>
      </c>
      <c r="L68" s="112">
        <v>25.3</v>
      </c>
      <c r="M68" s="112">
        <v>96.72</v>
      </c>
      <c r="N68" s="112">
        <v>61.8</v>
      </c>
      <c r="O68" s="112">
        <v>0</v>
      </c>
      <c r="P68" s="112">
        <v>0.3</v>
      </c>
      <c r="Q68" s="112">
        <v>4.71</v>
      </c>
    </row>
    <row r="69" spans="1:17" customFormat="1">
      <c r="A69" s="80">
        <v>45497.635416666664</v>
      </c>
      <c r="B69" s="112">
        <v>9.2899999999999991</v>
      </c>
      <c r="C69" s="112">
        <v>4.09</v>
      </c>
      <c r="D69" s="112">
        <v>14.04</v>
      </c>
      <c r="E69" s="112">
        <v>9.15</v>
      </c>
      <c r="F69" s="112">
        <v>3.87</v>
      </c>
      <c r="G69" s="112">
        <v>3.6</v>
      </c>
      <c r="H69" s="112">
        <v>1.3</v>
      </c>
      <c r="I69" s="112">
        <v>3.5</v>
      </c>
      <c r="J69" s="112">
        <v>1.1000000000000001</v>
      </c>
      <c r="K69" s="112">
        <v>272.29000000000002</v>
      </c>
      <c r="L69" s="112">
        <v>25.27</v>
      </c>
      <c r="M69" s="112">
        <v>96.25</v>
      </c>
      <c r="N69" s="112">
        <v>45.6</v>
      </c>
      <c r="O69" s="112">
        <v>0</v>
      </c>
      <c r="P69" s="112">
        <v>0.3</v>
      </c>
      <c r="Q69" s="112">
        <v>4.71</v>
      </c>
    </row>
    <row r="70" spans="1:17" customFormat="1">
      <c r="A70" s="80">
        <v>45497.645833333336</v>
      </c>
      <c r="B70" s="112">
        <v>9.31</v>
      </c>
      <c r="C70" s="112">
        <v>4.08</v>
      </c>
      <c r="D70" s="112">
        <v>14.04</v>
      </c>
      <c r="E70" s="112">
        <v>8.57</v>
      </c>
      <c r="F70" s="112">
        <v>4.04</v>
      </c>
      <c r="G70" s="112">
        <v>3.58</v>
      </c>
      <c r="H70" s="112">
        <v>1.3</v>
      </c>
      <c r="I70" s="112">
        <v>3.5</v>
      </c>
      <c r="J70" s="112">
        <v>1.24</v>
      </c>
      <c r="K70" s="112">
        <v>271.52999999999997</v>
      </c>
      <c r="L70" s="112">
        <v>25.37</v>
      </c>
      <c r="M70" s="112">
        <v>95.3</v>
      </c>
      <c r="N70" s="112">
        <v>74.8</v>
      </c>
      <c r="O70" s="112">
        <v>0</v>
      </c>
      <c r="P70" s="112">
        <v>0.3</v>
      </c>
      <c r="Q70" s="112">
        <v>4.74</v>
      </c>
    </row>
    <row r="71" spans="1:17" customFormat="1">
      <c r="A71" s="80">
        <v>45497.65625</v>
      </c>
      <c r="B71" s="112">
        <v>9.31</v>
      </c>
      <c r="C71" s="112">
        <v>4.09</v>
      </c>
      <c r="D71" s="112">
        <v>14.06</v>
      </c>
      <c r="E71" s="112">
        <v>8.4</v>
      </c>
      <c r="F71" s="112">
        <v>4.1900000000000004</v>
      </c>
      <c r="G71" s="112">
        <v>3.18</v>
      </c>
      <c r="H71" s="112">
        <v>1.29</v>
      </c>
      <c r="I71" s="112">
        <v>3.29</v>
      </c>
      <c r="J71" s="112">
        <v>1.03</v>
      </c>
      <c r="K71" s="112">
        <v>270.95999999999998</v>
      </c>
      <c r="L71" s="112">
        <v>25.58</v>
      </c>
      <c r="M71" s="112">
        <v>94.66</v>
      </c>
      <c r="N71" s="112">
        <v>100.3</v>
      </c>
      <c r="O71" s="112">
        <v>0</v>
      </c>
      <c r="P71" s="112">
        <v>0.3</v>
      </c>
      <c r="Q71" s="112">
        <v>4.72</v>
      </c>
    </row>
    <row r="72" spans="1:17" customFormat="1">
      <c r="A72" s="80">
        <v>45497.666666666664</v>
      </c>
      <c r="B72" s="112">
        <v>9.32</v>
      </c>
      <c r="C72" s="112">
        <v>4.07</v>
      </c>
      <c r="D72" s="112">
        <v>14.05</v>
      </c>
      <c r="E72" s="112">
        <v>8.8000000000000007</v>
      </c>
      <c r="F72" s="112">
        <v>3.96</v>
      </c>
      <c r="G72" s="112">
        <v>3.18</v>
      </c>
      <c r="H72" s="112">
        <v>1.29</v>
      </c>
      <c r="I72" s="112">
        <v>3.39</v>
      </c>
      <c r="J72" s="112">
        <v>1.25</v>
      </c>
      <c r="K72" s="112">
        <v>271.99</v>
      </c>
      <c r="L72" s="112">
        <v>25.79</v>
      </c>
      <c r="M72" s="112">
        <v>93.26</v>
      </c>
      <c r="N72" s="112">
        <v>132.19999999999999</v>
      </c>
      <c r="O72" s="112">
        <v>0</v>
      </c>
      <c r="P72" s="112">
        <v>0.3</v>
      </c>
      <c r="Q72" s="112">
        <v>4.71</v>
      </c>
    </row>
    <row r="73" spans="1:17" customFormat="1">
      <c r="A73" s="80">
        <v>45497.677083333336</v>
      </c>
      <c r="B73" s="112">
        <v>9.31</v>
      </c>
      <c r="C73" s="112">
        <v>4.09</v>
      </c>
      <c r="D73" s="112">
        <v>14.05</v>
      </c>
      <c r="E73" s="112">
        <v>8.6999999999999993</v>
      </c>
      <c r="F73" s="112">
        <v>3.75</v>
      </c>
      <c r="G73" s="112">
        <v>3.18</v>
      </c>
      <c r="H73" s="112">
        <v>1.29</v>
      </c>
      <c r="I73" s="112">
        <v>3.25</v>
      </c>
      <c r="J73" s="112">
        <v>1.22</v>
      </c>
      <c r="K73" s="112">
        <v>272.70999999999998</v>
      </c>
      <c r="L73" s="112">
        <v>25.95</v>
      </c>
      <c r="M73" s="112">
        <v>91.94</v>
      </c>
      <c r="N73" s="112">
        <v>109.1</v>
      </c>
      <c r="O73" s="112">
        <v>0</v>
      </c>
      <c r="P73" s="112">
        <v>0.28000000000000003</v>
      </c>
      <c r="Q73" s="112">
        <v>4.7300000000000004</v>
      </c>
    </row>
    <row r="74" spans="1:17" customFormat="1">
      <c r="A74" s="80">
        <v>45497.6875</v>
      </c>
      <c r="B74" s="112">
        <v>9.31</v>
      </c>
      <c r="C74" s="112">
        <v>4.08</v>
      </c>
      <c r="D74" s="112">
        <v>14.05</v>
      </c>
      <c r="E74" s="112">
        <v>8.3800000000000008</v>
      </c>
      <c r="F74" s="112">
        <v>4.04</v>
      </c>
      <c r="G74" s="112">
        <v>3.14</v>
      </c>
      <c r="H74" s="112">
        <v>1.29</v>
      </c>
      <c r="I74" s="112">
        <v>3.37</v>
      </c>
      <c r="J74" s="112">
        <v>1.1000000000000001</v>
      </c>
      <c r="K74" s="112">
        <v>273.42</v>
      </c>
      <c r="L74" s="112">
        <v>25.87</v>
      </c>
      <c r="M74" s="112">
        <v>92.54</v>
      </c>
      <c r="N74" s="112">
        <v>79.7</v>
      </c>
      <c r="O74" s="112">
        <v>0</v>
      </c>
      <c r="P74" s="112">
        <v>0.28000000000000003</v>
      </c>
      <c r="Q74" s="112">
        <v>4.7300000000000004</v>
      </c>
    </row>
    <row r="75" spans="1:17" customFormat="1">
      <c r="A75" s="80">
        <v>45497.697916666664</v>
      </c>
      <c r="B75" s="112">
        <v>9.31</v>
      </c>
      <c r="C75" s="112">
        <v>4.08</v>
      </c>
      <c r="D75" s="112">
        <v>14.05</v>
      </c>
      <c r="E75" s="112">
        <v>8.86</v>
      </c>
      <c r="F75" s="112">
        <v>3.81</v>
      </c>
      <c r="G75" s="112">
        <v>2.4700000000000002</v>
      </c>
      <c r="H75" s="112">
        <v>1.18</v>
      </c>
      <c r="I75" s="112">
        <v>3.16</v>
      </c>
      <c r="J75" s="112">
        <v>1.1399999999999999</v>
      </c>
      <c r="K75" s="112">
        <v>277.23</v>
      </c>
      <c r="L75" s="112">
        <v>25.73</v>
      </c>
      <c r="M75" s="112">
        <v>92.18</v>
      </c>
      <c r="N75" s="112">
        <v>44.5</v>
      </c>
      <c r="O75" s="112">
        <v>0</v>
      </c>
      <c r="P75" s="112">
        <v>0.27</v>
      </c>
      <c r="Q75" s="112">
        <v>4.7300000000000004</v>
      </c>
    </row>
    <row r="76" spans="1:17" customFormat="1">
      <c r="A76" s="80">
        <v>45497.708333333336</v>
      </c>
      <c r="B76" s="112">
        <v>9.33</v>
      </c>
      <c r="C76" s="112">
        <v>4.1100000000000003</v>
      </c>
      <c r="D76" s="112">
        <v>14.07</v>
      </c>
      <c r="E76" s="112">
        <v>8.6300000000000008</v>
      </c>
      <c r="F76" s="112">
        <v>3.77</v>
      </c>
      <c r="G76" s="112">
        <v>2.4700000000000002</v>
      </c>
      <c r="H76" s="112">
        <v>1.18</v>
      </c>
      <c r="I76" s="112">
        <v>3.29</v>
      </c>
      <c r="J76" s="112">
        <v>1.1499999999999999</v>
      </c>
      <c r="K76" s="112">
        <v>274.14</v>
      </c>
      <c r="L76" s="112">
        <v>25.53</v>
      </c>
      <c r="M76" s="112">
        <v>92.71</v>
      </c>
      <c r="N76" s="112">
        <v>18</v>
      </c>
      <c r="O76" s="112">
        <v>0</v>
      </c>
      <c r="P76" s="112">
        <v>0.27</v>
      </c>
      <c r="Q76" s="112">
        <v>4.7300000000000004</v>
      </c>
    </row>
    <row r="77" spans="1:17" customFormat="1">
      <c r="A77" s="80">
        <v>45497.71875</v>
      </c>
      <c r="B77" s="112">
        <v>9.33</v>
      </c>
      <c r="C77" s="112">
        <v>4.08</v>
      </c>
      <c r="D77" s="112">
        <v>14.07</v>
      </c>
      <c r="E77" s="112">
        <v>9.5299999999999994</v>
      </c>
      <c r="F77" s="112">
        <v>3.77</v>
      </c>
      <c r="G77" s="112">
        <v>2.4700000000000002</v>
      </c>
      <c r="H77" s="112">
        <v>1.18</v>
      </c>
      <c r="I77" s="112">
        <v>3.26</v>
      </c>
      <c r="J77" s="112">
        <v>1.03</v>
      </c>
      <c r="K77" s="112">
        <v>273.64</v>
      </c>
      <c r="L77" s="112">
        <v>25.48</v>
      </c>
      <c r="M77" s="112">
        <v>92.57</v>
      </c>
      <c r="N77" s="112">
        <v>11.3</v>
      </c>
      <c r="O77" s="112">
        <v>0</v>
      </c>
      <c r="P77" s="112">
        <v>0.28000000000000003</v>
      </c>
      <c r="Q77" s="112">
        <v>4.7300000000000004</v>
      </c>
    </row>
    <row r="78" spans="1:17" customFormat="1">
      <c r="A78" s="80">
        <v>45497.729166666664</v>
      </c>
      <c r="B78" s="112">
        <v>9.3000000000000007</v>
      </c>
      <c r="C78" s="112">
        <v>4.09</v>
      </c>
      <c r="D78" s="112">
        <v>14.05</v>
      </c>
      <c r="E78" s="112">
        <v>9.4499999999999993</v>
      </c>
      <c r="F78" s="112">
        <v>3.85</v>
      </c>
      <c r="G78" s="112">
        <v>2.44</v>
      </c>
      <c r="H78" s="112">
        <v>1.17</v>
      </c>
      <c r="I78" s="112">
        <v>3.06</v>
      </c>
      <c r="J78" s="112">
        <v>1.01</v>
      </c>
      <c r="K78" s="112">
        <v>275.37</v>
      </c>
      <c r="L78" s="112">
        <v>25.43</v>
      </c>
      <c r="M78" s="112">
        <v>92.81</v>
      </c>
      <c r="N78" s="112">
        <v>9.9</v>
      </c>
      <c r="O78" s="112">
        <v>0</v>
      </c>
      <c r="P78" s="112">
        <v>0.27</v>
      </c>
      <c r="Q78" s="112">
        <v>4.72</v>
      </c>
    </row>
    <row r="79" spans="1:17" customFormat="1">
      <c r="A79" s="80">
        <v>45497.739583333336</v>
      </c>
      <c r="B79" s="112">
        <v>9.3000000000000007</v>
      </c>
      <c r="C79" s="112">
        <v>4.08</v>
      </c>
      <c r="D79" s="112">
        <v>14.04</v>
      </c>
      <c r="E79" s="112">
        <v>9.8000000000000007</v>
      </c>
      <c r="F79" s="112">
        <v>4.21</v>
      </c>
      <c r="G79" s="112">
        <v>1.82</v>
      </c>
      <c r="H79" s="112">
        <v>0.95</v>
      </c>
      <c r="I79" s="112">
        <v>3.22</v>
      </c>
      <c r="J79" s="112">
        <v>0.99</v>
      </c>
      <c r="K79" s="112">
        <v>276.41000000000003</v>
      </c>
      <c r="L79" s="112">
        <v>25.4</v>
      </c>
      <c r="M79" s="112">
        <v>92.52</v>
      </c>
      <c r="N79" s="112">
        <v>8.5</v>
      </c>
      <c r="O79" s="112">
        <v>0</v>
      </c>
      <c r="P79" s="112">
        <v>0.28000000000000003</v>
      </c>
      <c r="Q79" s="112">
        <v>4.7300000000000004</v>
      </c>
    </row>
    <row r="80" spans="1:17" customFormat="1">
      <c r="A80" s="80">
        <v>45497.75</v>
      </c>
      <c r="B80" s="112">
        <v>9.2899999999999991</v>
      </c>
      <c r="C80" s="112">
        <v>4.07</v>
      </c>
      <c r="D80" s="112">
        <v>14.03</v>
      </c>
      <c r="E80" s="112">
        <v>9.42</v>
      </c>
      <c r="F80" s="112">
        <v>4.1500000000000004</v>
      </c>
      <c r="G80" s="112">
        <v>1.82</v>
      </c>
      <c r="H80" s="112">
        <v>0.95</v>
      </c>
      <c r="I80" s="112">
        <v>3.21</v>
      </c>
      <c r="J80" s="112">
        <v>1.07</v>
      </c>
      <c r="K80" s="112">
        <v>276.18</v>
      </c>
      <c r="L80" s="112">
        <v>25.38</v>
      </c>
      <c r="M80" s="112">
        <v>92.49</v>
      </c>
      <c r="N80" s="112">
        <v>6</v>
      </c>
      <c r="O80" s="112">
        <v>0</v>
      </c>
      <c r="P80" s="112">
        <v>0.27</v>
      </c>
      <c r="Q80" s="112">
        <v>4.7300000000000004</v>
      </c>
    </row>
    <row r="81" spans="1:17" customFormat="1">
      <c r="A81" s="80">
        <v>45497.760416666664</v>
      </c>
      <c r="B81" s="112">
        <v>9.2899999999999991</v>
      </c>
      <c r="C81" s="112">
        <v>4.0599999999999996</v>
      </c>
      <c r="D81" s="112">
        <v>14.02</v>
      </c>
      <c r="E81" s="112">
        <v>7.33</v>
      </c>
      <c r="F81" s="112">
        <v>3.65</v>
      </c>
      <c r="G81" s="112">
        <v>1.82</v>
      </c>
      <c r="H81" s="112">
        <v>0.95</v>
      </c>
      <c r="I81" s="112">
        <v>3.22</v>
      </c>
      <c r="J81" s="112">
        <v>0.91</v>
      </c>
      <c r="K81" s="112">
        <v>273.45999999999998</v>
      </c>
      <c r="L81" s="112">
        <v>25.39</v>
      </c>
      <c r="M81" s="112">
        <v>92.32</v>
      </c>
      <c r="N81" s="112">
        <v>5.0999999999999996</v>
      </c>
      <c r="O81" s="112">
        <v>0</v>
      </c>
      <c r="P81" s="112">
        <v>0.27</v>
      </c>
      <c r="Q81" s="112">
        <v>4.72</v>
      </c>
    </row>
    <row r="82" spans="1:17" customFormat="1">
      <c r="A82" s="80">
        <v>45497.770833333336</v>
      </c>
      <c r="B82" s="112">
        <v>9.2799999999999994</v>
      </c>
      <c r="C82" s="112">
        <v>4.05</v>
      </c>
      <c r="D82" s="112">
        <v>14.01</v>
      </c>
      <c r="E82" s="112">
        <v>8.7899999999999991</v>
      </c>
      <c r="F82" s="112">
        <v>4.03</v>
      </c>
      <c r="G82" s="112">
        <v>1.8</v>
      </c>
      <c r="H82" s="112">
        <v>0.94</v>
      </c>
      <c r="I82" s="112">
        <v>3.21</v>
      </c>
      <c r="J82" s="112">
        <v>1.1100000000000001</v>
      </c>
      <c r="K82" s="112">
        <v>271.2</v>
      </c>
      <c r="L82" s="112">
        <v>25.21</v>
      </c>
      <c r="M82" s="112">
        <v>92.73</v>
      </c>
      <c r="N82" s="112">
        <v>4.4000000000000004</v>
      </c>
      <c r="O82" s="112">
        <v>0.2</v>
      </c>
      <c r="P82" s="112">
        <v>0.28000000000000003</v>
      </c>
      <c r="Q82" s="112">
        <v>4.72</v>
      </c>
    </row>
    <row r="83" spans="1:17" customFormat="1">
      <c r="A83" s="80">
        <v>45497.78125</v>
      </c>
      <c r="B83" s="112">
        <v>9.2899999999999991</v>
      </c>
      <c r="C83" s="112">
        <v>4.04</v>
      </c>
      <c r="D83" s="112">
        <v>14.01</v>
      </c>
      <c r="E83" s="112">
        <v>9.25</v>
      </c>
      <c r="F83" s="112">
        <v>3.75</v>
      </c>
      <c r="G83" s="112">
        <v>1.48</v>
      </c>
      <c r="H83" s="112">
        <v>0.82</v>
      </c>
      <c r="I83" s="112">
        <v>3.21</v>
      </c>
      <c r="J83" s="112">
        <v>0.92</v>
      </c>
      <c r="K83" s="112">
        <v>275.16000000000003</v>
      </c>
      <c r="L83" s="112">
        <v>24.53</v>
      </c>
      <c r="M83" s="112">
        <v>97.78</v>
      </c>
      <c r="N83" s="112">
        <v>3.3</v>
      </c>
      <c r="O83" s="112">
        <v>0</v>
      </c>
      <c r="P83" s="112">
        <v>0.27</v>
      </c>
      <c r="Q83" s="112">
        <v>4.72</v>
      </c>
    </row>
    <row r="84" spans="1:17" customFormat="1">
      <c r="A84" s="80">
        <v>45497.791666666664</v>
      </c>
      <c r="B84" s="112">
        <v>9.2799999999999994</v>
      </c>
      <c r="C84" s="112">
        <v>4.08</v>
      </c>
      <c r="D84" s="112">
        <v>14.03</v>
      </c>
      <c r="E84" s="112">
        <v>9.5399999999999991</v>
      </c>
      <c r="F84" s="112">
        <v>3.43</v>
      </c>
      <c r="G84" s="112">
        <v>1.48</v>
      </c>
      <c r="H84" s="112">
        <v>0.82</v>
      </c>
      <c r="I84" s="112">
        <v>3.04</v>
      </c>
      <c r="J84" s="112">
        <v>0.85</v>
      </c>
      <c r="K84" s="112">
        <v>274.74</v>
      </c>
      <c r="L84" s="112">
        <v>24.45</v>
      </c>
      <c r="M84" s="112">
        <v>98.76</v>
      </c>
      <c r="N84" s="112">
        <v>2.2999999999999998</v>
      </c>
      <c r="O84" s="112">
        <v>0</v>
      </c>
      <c r="P84" s="112">
        <v>0.28000000000000003</v>
      </c>
      <c r="Q84" s="112">
        <v>4.7300000000000004</v>
      </c>
    </row>
    <row r="85" spans="1:17" customFormat="1">
      <c r="A85" s="80">
        <v>45497.802083333336</v>
      </c>
      <c r="B85" s="112">
        <v>9.2899999999999991</v>
      </c>
      <c r="C85" s="112">
        <v>4.08</v>
      </c>
      <c r="D85" s="112">
        <v>14.03</v>
      </c>
      <c r="E85" s="112">
        <v>9.81</v>
      </c>
      <c r="F85" s="112">
        <v>3.44</v>
      </c>
      <c r="G85" s="112">
        <v>1.48</v>
      </c>
      <c r="H85" s="112">
        <v>0.82</v>
      </c>
      <c r="I85" s="112">
        <v>3.14</v>
      </c>
      <c r="J85" s="112">
        <v>0.68</v>
      </c>
      <c r="K85" s="112">
        <v>272.08</v>
      </c>
      <c r="L85" s="112">
        <v>24.41</v>
      </c>
      <c r="M85" s="112">
        <v>99.09</v>
      </c>
      <c r="N85" s="112">
        <v>2.2999999999999998</v>
      </c>
      <c r="O85" s="112">
        <v>0.2</v>
      </c>
      <c r="P85" s="112">
        <v>0.28000000000000003</v>
      </c>
      <c r="Q85" s="112">
        <v>4.7300000000000004</v>
      </c>
    </row>
    <row r="86" spans="1:17" customFormat="1">
      <c r="A86" s="80">
        <v>45497.8125</v>
      </c>
      <c r="B86" s="112">
        <v>9.2899999999999991</v>
      </c>
      <c r="C86" s="112">
        <v>4.07</v>
      </c>
      <c r="D86" s="112">
        <v>14.03</v>
      </c>
      <c r="E86" s="112">
        <v>9.73</v>
      </c>
      <c r="F86" s="112">
        <v>3.48</v>
      </c>
      <c r="G86" s="112">
        <v>1.48</v>
      </c>
      <c r="H86" s="112">
        <v>0.82</v>
      </c>
      <c r="I86" s="112">
        <v>3.21</v>
      </c>
      <c r="J86" s="112">
        <v>0.7</v>
      </c>
      <c r="K86" s="112">
        <v>272.44</v>
      </c>
      <c r="L86" s="112">
        <v>24.32</v>
      </c>
      <c r="M86" s="112">
        <v>99.59</v>
      </c>
      <c r="N86" s="112">
        <v>2.4</v>
      </c>
      <c r="O86" s="112">
        <v>0</v>
      </c>
      <c r="P86" s="112">
        <v>0.28000000000000003</v>
      </c>
      <c r="Q86" s="112">
        <v>4.74</v>
      </c>
    </row>
    <row r="87" spans="1:17" customFormat="1">
      <c r="A87" s="80">
        <v>45497.822916666664</v>
      </c>
      <c r="B87" s="112">
        <v>9.2899999999999991</v>
      </c>
      <c r="C87" s="112">
        <v>4.07</v>
      </c>
      <c r="D87" s="112">
        <v>14.02</v>
      </c>
      <c r="E87" s="112">
        <v>9.48</v>
      </c>
      <c r="F87" s="112">
        <v>3.67</v>
      </c>
      <c r="G87" s="112">
        <v>1.45</v>
      </c>
      <c r="H87" s="112">
        <v>0.89</v>
      </c>
      <c r="I87" s="112">
        <v>3.21</v>
      </c>
      <c r="J87" s="112">
        <v>0.88</v>
      </c>
      <c r="K87" s="112">
        <v>272.76</v>
      </c>
      <c r="L87" s="112">
        <v>24.31</v>
      </c>
      <c r="M87" s="112">
        <v>99.48</v>
      </c>
      <c r="N87" s="112">
        <v>2.5</v>
      </c>
      <c r="O87" s="112">
        <v>0</v>
      </c>
      <c r="P87" s="112">
        <v>0.28000000000000003</v>
      </c>
      <c r="Q87" s="112">
        <v>4.7300000000000004</v>
      </c>
    </row>
    <row r="88" spans="1:17" customFormat="1">
      <c r="A88" s="80">
        <v>45497.833333333336</v>
      </c>
      <c r="B88" s="112">
        <v>9.2899999999999991</v>
      </c>
      <c r="C88" s="112">
        <v>4.08</v>
      </c>
      <c r="D88" s="112">
        <v>14.04</v>
      </c>
      <c r="E88" s="112">
        <v>9.9499999999999993</v>
      </c>
      <c r="F88" s="112">
        <v>3.59</v>
      </c>
      <c r="G88" s="112">
        <v>1.45</v>
      </c>
      <c r="H88" s="112">
        <v>0.89</v>
      </c>
      <c r="I88" s="112">
        <v>3.19</v>
      </c>
      <c r="J88" s="112">
        <v>0.7</v>
      </c>
      <c r="K88" s="112">
        <v>272.63</v>
      </c>
      <c r="L88" s="112">
        <v>24.32</v>
      </c>
      <c r="M88" s="112">
        <v>99.48</v>
      </c>
      <c r="N88" s="112">
        <v>2.7</v>
      </c>
      <c r="O88" s="112">
        <v>0</v>
      </c>
      <c r="P88" s="112">
        <v>0.28999999999999998</v>
      </c>
      <c r="Q88" s="112">
        <v>4.74</v>
      </c>
    </row>
    <row r="89" spans="1:17" customFormat="1">
      <c r="A89" s="80">
        <v>45497.84375</v>
      </c>
      <c r="B89" s="112">
        <v>9.2899999999999991</v>
      </c>
      <c r="C89" s="112">
        <v>4.07</v>
      </c>
      <c r="D89" s="112">
        <v>14.03</v>
      </c>
      <c r="E89" s="112">
        <v>10.24</v>
      </c>
      <c r="F89" s="112">
        <v>3.43</v>
      </c>
      <c r="G89" s="112">
        <v>1.45</v>
      </c>
      <c r="H89" s="112">
        <v>0.89</v>
      </c>
      <c r="I89" s="112">
        <v>3.05</v>
      </c>
      <c r="J89" s="112">
        <v>0.79</v>
      </c>
      <c r="K89" s="112">
        <v>272.83999999999997</v>
      </c>
      <c r="L89" s="112">
        <v>24.4</v>
      </c>
      <c r="M89" s="112">
        <v>99.46</v>
      </c>
      <c r="N89" s="112">
        <v>2.5</v>
      </c>
      <c r="O89" s="112">
        <v>0</v>
      </c>
      <c r="P89" s="112">
        <v>0.28000000000000003</v>
      </c>
      <c r="Q89" s="112">
        <v>4.75</v>
      </c>
    </row>
    <row r="90" spans="1:17" customFormat="1">
      <c r="A90" s="80">
        <v>45497.854166666664</v>
      </c>
      <c r="B90" s="112">
        <v>9.2899999999999991</v>
      </c>
      <c r="C90" s="112">
        <v>4.08</v>
      </c>
      <c r="D90" s="112">
        <v>14.03</v>
      </c>
      <c r="E90" s="112">
        <v>10.72</v>
      </c>
      <c r="F90" s="112">
        <v>3.55</v>
      </c>
      <c r="G90" s="112">
        <v>1.45</v>
      </c>
      <c r="H90" s="112">
        <v>0.89</v>
      </c>
      <c r="I90" s="112">
        <v>3.15</v>
      </c>
      <c r="J90" s="112">
        <v>0.85</v>
      </c>
      <c r="K90" s="112">
        <v>276.69</v>
      </c>
      <c r="L90" s="112">
        <v>24.48</v>
      </c>
      <c r="M90" s="112">
        <v>99.4</v>
      </c>
      <c r="N90" s="112">
        <v>2.5</v>
      </c>
      <c r="O90" s="112">
        <v>0</v>
      </c>
      <c r="P90" s="112">
        <v>0.28000000000000003</v>
      </c>
      <c r="Q90" s="112">
        <v>4.7300000000000004</v>
      </c>
    </row>
    <row r="91" spans="1:17" customFormat="1">
      <c r="A91" s="80">
        <v>45497.864583333336</v>
      </c>
      <c r="B91" s="112">
        <v>9.2899999999999991</v>
      </c>
      <c r="C91" s="112">
        <v>4.09</v>
      </c>
      <c r="D91" s="112">
        <v>14.04</v>
      </c>
      <c r="E91" s="112">
        <v>10.11</v>
      </c>
      <c r="F91" s="112">
        <v>3.56</v>
      </c>
      <c r="G91" s="112">
        <v>1.37</v>
      </c>
      <c r="H91" s="112">
        <v>0.87</v>
      </c>
      <c r="I91" s="112">
        <v>3.2</v>
      </c>
      <c r="J91" s="112">
        <v>0.72</v>
      </c>
      <c r="K91" s="112">
        <v>270.55</v>
      </c>
      <c r="L91" s="112">
        <v>24.61</v>
      </c>
      <c r="M91" s="112">
        <v>100.08</v>
      </c>
      <c r="N91" s="112">
        <v>2.6</v>
      </c>
      <c r="O91" s="112">
        <v>0</v>
      </c>
      <c r="P91" s="112">
        <v>0.28000000000000003</v>
      </c>
      <c r="Q91" s="112">
        <v>4.72</v>
      </c>
    </row>
    <row r="92" spans="1:17" customFormat="1">
      <c r="A92" s="80">
        <v>45497.875</v>
      </c>
      <c r="B92" s="112">
        <v>9.2799999999999994</v>
      </c>
      <c r="C92" s="112">
        <v>4.1100000000000003</v>
      </c>
      <c r="D92" s="112">
        <v>14.04</v>
      </c>
      <c r="E92" s="112">
        <v>10.38</v>
      </c>
      <c r="F92" s="112">
        <v>3.45</v>
      </c>
      <c r="G92" s="112">
        <v>1.37</v>
      </c>
      <c r="H92" s="112">
        <v>0.87</v>
      </c>
      <c r="I92" s="112">
        <v>3.17</v>
      </c>
      <c r="J92" s="112">
        <v>0.9</v>
      </c>
      <c r="K92" s="112">
        <v>277.49</v>
      </c>
      <c r="L92" s="112">
        <v>24.58</v>
      </c>
      <c r="M92" s="112">
        <v>100.93</v>
      </c>
      <c r="N92" s="112">
        <v>2.6</v>
      </c>
      <c r="O92" s="112">
        <v>0</v>
      </c>
      <c r="P92" s="112">
        <v>0.3</v>
      </c>
      <c r="Q92" s="112">
        <v>4.7300000000000004</v>
      </c>
    </row>
    <row r="93" spans="1:17" customFormat="1">
      <c r="A93" s="80">
        <v>45497.885416666664</v>
      </c>
      <c r="B93" s="112">
        <v>9.2899999999999991</v>
      </c>
      <c r="C93" s="112">
        <v>4.0599999999999996</v>
      </c>
      <c r="D93" s="112">
        <v>14.02</v>
      </c>
      <c r="E93" s="112">
        <v>10.25</v>
      </c>
      <c r="F93" s="112">
        <v>3.33</v>
      </c>
      <c r="G93" s="112">
        <v>1.37</v>
      </c>
      <c r="H93" s="112">
        <v>0.87</v>
      </c>
      <c r="I93" s="112">
        <v>3.17</v>
      </c>
      <c r="J93" s="112">
        <v>0.8</v>
      </c>
      <c r="K93" s="112">
        <v>271.7</v>
      </c>
      <c r="L93" s="112">
        <v>24.55</v>
      </c>
      <c r="M93" s="112">
        <v>101.58</v>
      </c>
      <c r="N93" s="112">
        <v>2.6</v>
      </c>
      <c r="O93" s="112">
        <v>0</v>
      </c>
      <c r="P93" s="112">
        <v>0.31</v>
      </c>
      <c r="Q93" s="112">
        <v>4.72</v>
      </c>
    </row>
    <row r="94" spans="1:17" customFormat="1">
      <c r="A94" s="80">
        <v>45497.895833333336</v>
      </c>
      <c r="B94" s="112">
        <v>9.35</v>
      </c>
      <c r="C94" s="112">
        <v>4.0599999999999996</v>
      </c>
      <c r="D94" s="112">
        <v>14.07</v>
      </c>
      <c r="E94" s="112">
        <v>10.45</v>
      </c>
      <c r="F94" s="112">
        <v>3.77</v>
      </c>
      <c r="G94" s="112">
        <v>1.37</v>
      </c>
      <c r="H94" s="112">
        <v>0.87</v>
      </c>
      <c r="I94" s="112">
        <v>3.21</v>
      </c>
      <c r="J94" s="112">
        <v>0.68</v>
      </c>
      <c r="K94" s="112">
        <v>271.62</v>
      </c>
      <c r="L94" s="112">
        <v>24.61</v>
      </c>
      <c r="M94" s="112">
        <v>100.7</v>
      </c>
      <c r="N94" s="112">
        <v>2.5</v>
      </c>
      <c r="O94" s="112">
        <v>0</v>
      </c>
      <c r="P94" s="112">
        <v>0.31</v>
      </c>
      <c r="Q94" s="112">
        <v>4.72</v>
      </c>
    </row>
    <row r="95" spans="1:17" customFormat="1">
      <c r="A95" s="80">
        <v>45497.90625</v>
      </c>
      <c r="B95" s="112">
        <v>9.35</v>
      </c>
      <c r="C95" s="112">
        <v>4.05</v>
      </c>
      <c r="D95" s="112">
        <v>14.07</v>
      </c>
      <c r="E95" s="112">
        <v>10.07</v>
      </c>
      <c r="F95" s="112">
        <v>4.09</v>
      </c>
      <c r="G95" s="112">
        <v>1.37</v>
      </c>
      <c r="H95" s="112">
        <v>0.89</v>
      </c>
      <c r="I95" s="112">
        <v>3.2</v>
      </c>
      <c r="J95" s="112">
        <v>0.76</v>
      </c>
      <c r="K95" s="112">
        <v>273.27</v>
      </c>
      <c r="L95" s="112">
        <v>24.61</v>
      </c>
      <c r="M95" s="112">
        <v>99.18</v>
      </c>
      <c r="N95" s="112">
        <v>2.5</v>
      </c>
      <c r="O95" s="112">
        <v>0</v>
      </c>
      <c r="P95" s="112">
        <v>0.31</v>
      </c>
      <c r="Q95" s="112">
        <v>4.7300000000000004</v>
      </c>
    </row>
    <row r="96" spans="1:17" customFormat="1">
      <c r="A96" s="80">
        <v>45497.916666666664</v>
      </c>
      <c r="B96" s="112">
        <v>9.33</v>
      </c>
      <c r="C96" s="112">
        <v>4.04</v>
      </c>
      <c r="D96" s="112">
        <v>14.04</v>
      </c>
      <c r="E96" s="112">
        <v>9.93</v>
      </c>
      <c r="F96" s="112">
        <v>4.18</v>
      </c>
      <c r="G96" s="112">
        <v>1.37</v>
      </c>
      <c r="H96" s="112">
        <v>0.89</v>
      </c>
      <c r="I96" s="112">
        <v>3.21</v>
      </c>
      <c r="J96" s="112">
        <v>1.04</v>
      </c>
      <c r="K96" s="112">
        <v>272.52</v>
      </c>
      <c r="L96" s="112">
        <v>24.66</v>
      </c>
      <c r="M96" s="112">
        <v>98.35</v>
      </c>
      <c r="N96" s="112">
        <v>2.7</v>
      </c>
      <c r="O96" s="112">
        <v>0</v>
      </c>
      <c r="P96" s="112">
        <v>0.3</v>
      </c>
      <c r="Q96" s="112">
        <v>4.72</v>
      </c>
    </row>
    <row r="97" spans="1:22" customFormat="1">
      <c r="A97" s="80">
        <v>45497.927083333336</v>
      </c>
      <c r="B97" s="112">
        <v>9.34</v>
      </c>
      <c r="C97" s="112">
        <v>4.0199999999999996</v>
      </c>
      <c r="D97" s="112">
        <v>14.04</v>
      </c>
      <c r="E97" s="112">
        <v>9.0299999999999994</v>
      </c>
      <c r="F97" s="112">
        <v>3.82</v>
      </c>
      <c r="G97" s="112">
        <v>1.37</v>
      </c>
      <c r="H97" s="112">
        <v>0.89</v>
      </c>
      <c r="I97" s="112">
        <v>3.2</v>
      </c>
      <c r="J97" s="112">
        <v>0.86</v>
      </c>
      <c r="K97" s="112">
        <v>272.56</v>
      </c>
      <c r="L97" s="112">
        <v>24.59</v>
      </c>
      <c r="M97" s="112">
        <v>98.3</v>
      </c>
      <c r="N97" s="112">
        <v>2.5</v>
      </c>
      <c r="O97" s="112">
        <v>0</v>
      </c>
      <c r="P97" s="112">
        <v>0.28999999999999998</v>
      </c>
      <c r="Q97" s="112">
        <v>4.7300000000000004</v>
      </c>
    </row>
    <row r="98" spans="1:22" customFormat="1">
      <c r="A98" s="80">
        <v>45497.9375</v>
      </c>
      <c r="B98" s="112">
        <v>9.31</v>
      </c>
      <c r="C98" s="112">
        <v>4.0599999999999996</v>
      </c>
      <c r="D98" s="112">
        <v>14.03</v>
      </c>
      <c r="E98" s="112">
        <v>8.84</v>
      </c>
      <c r="F98" s="112">
        <v>4.1900000000000004</v>
      </c>
      <c r="G98" s="112">
        <v>1.36</v>
      </c>
      <c r="H98" s="112">
        <v>0.88</v>
      </c>
      <c r="I98" s="112">
        <v>3.23</v>
      </c>
      <c r="J98" s="112">
        <v>0.81</v>
      </c>
      <c r="K98" s="112">
        <v>274.7</v>
      </c>
      <c r="L98" s="112">
        <v>24.58</v>
      </c>
      <c r="M98" s="112">
        <v>99.33</v>
      </c>
      <c r="N98" s="112">
        <v>2.4</v>
      </c>
      <c r="O98" s="112">
        <v>0</v>
      </c>
      <c r="P98" s="112">
        <v>0.28999999999999998</v>
      </c>
      <c r="Q98" s="112">
        <v>4.7300000000000004</v>
      </c>
    </row>
    <row r="99" spans="1:22" customFormat="1">
      <c r="A99" s="80">
        <v>45497.947916666664</v>
      </c>
      <c r="B99" s="112">
        <v>9.3000000000000007</v>
      </c>
      <c r="C99" s="112">
        <v>4.07</v>
      </c>
      <c r="D99" s="112">
        <v>14.03</v>
      </c>
      <c r="E99" s="112">
        <v>8.4499999999999993</v>
      </c>
      <c r="F99" s="112">
        <v>4.45</v>
      </c>
      <c r="G99" s="112">
        <v>1.23</v>
      </c>
      <c r="H99" s="112">
        <v>0.8</v>
      </c>
      <c r="I99" s="112">
        <v>3.21</v>
      </c>
      <c r="J99" s="112">
        <v>0.72</v>
      </c>
      <c r="K99" s="112">
        <v>272.57</v>
      </c>
      <c r="L99" s="112">
        <v>24.69</v>
      </c>
      <c r="M99" s="112">
        <v>98.18</v>
      </c>
      <c r="N99" s="112">
        <v>2.4</v>
      </c>
      <c r="O99" s="112">
        <v>0</v>
      </c>
      <c r="P99" s="112">
        <v>0.28999999999999998</v>
      </c>
      <c r="Q99" s="112">
        <v>4.72</v>
      </c>
    </row>
    <row r="100" spans="1:22" customFormat="1">
      <c r="A100" s="80">
        <v>45497.958333333336</v>
      </c>
      <c r="B100" s="112">
        <v>9.3000000000000007</v>
      </c>
      <c r="C100" s="112">
        <v>4.05</v>
      </c>
      <c r="D100" s="112">
        <v>14.03</v>
      </c>
      <c r="E100" s="112">
        <v>8.16</v>
      </c>
      <c r="F100" s="112">
        <v>3.97</v>
      </c>
      <c r="G100" s="112">
        <v>1.23</v>
      </c>
      <c r="H100" s="112">
        <v>0.8</v>
      </c>
      <c r="I100" s="112">
        <v>3.16</v>
      </c>
      <c r="J100" s="112">
        <v>0.63</v>
      </c>
      <c r="K100" s="112">
        <v>272.22000000000003</v>
      </c>
      <c r="L100" s="112">
        <v>24.72</v>
      </c>
      <c r="M100" s="112">
        <v>99.51</v>
      </c>
      <c r="N100" s="112">
        <v>2.2999999999999998</v>
      </c>
      <c r="O100" s="112">
        <v>0</v>
      </c>
      <c r="P100" s="112">
        <v>0.28000000000000003</v>
      </c>
      <c r="Q100" s="112">
        <v>4.72</v>
      </c>
    </row>
    <row r="101" spans="1:22" customFormat="1">
      <c r="A101" s="80">
        <v>45497.96875</v>
      </c>
      <c r="B101" s="112">
        <v>9.3000000000000007</v>
      </c>
      <c r="C101" s="112">
        <v>4.05</v>
      </c>
      <c r="D101" s="112">
        <v>14.02</v>
      </c>
      <c r="E101" s="112">
        <v>8.65</v>
      </c>
      <c r="F101" s="112">
        <v>3.92</v>
      </c>
      <c r="G101" s="112">
        <v>1.23</v>
      </c>
      <c r="H101" s="112">
        <v>0.8</v>
      </c>
      <c r="I101" s="112">
        <v>3.19</v>
      </c>
      <c r="J101" s="112">
        <v>0.7</v>
      </c>
      <c r="K101" s="112">
        <v>270.43</v>
      </c>
      <c r="L101" s="112">
        <v>24.76</v>
      </c>
      <c r="M101" s="112">
        <v>98.92</v>
      </c>
      <c r="N101" s="112">
        <v>2.4</v>
      </c>
      <c r="O101" s="112">
        <v>0</v>
      </c>
      <c r="P101" s="112">
        <v>0.28999999999999998</v>
      </c>
      <c r="Q101" s="112">
        <v>4.72</v>
      </c>
    </row>
    <row r="102" spans="1:22" customFormat="1">
      <c r="A102" s="80">
        <v>45497.979166666664</v>
      </c>
      <c r="B102" s="112">
        <v>9.2799999999999994</v>
      </c>
      <c r="C102" s="112">
        <v>4.07</v>
      </c>
      <c r="D102" s="112">
        <v>14.02</v>
      </c>
      <c r="E102" s="112">
        <v>8.5</v>
      </c>
      <c r="F102" s="112">
        <v>4.0599999999999996</v>
      </c>
      <c r="G102" s="112">
        <v>1.24</v>
      </c>
      <c r="H102" s="112">
        <v>0.81</v>
      </c>
      <c r="I102" s="112">
        <v>3.18</v>
      </c>
      <c r="J102" s="112">
        <v>0.66</v>
      </c>
      <c r="K102" s="112">
        <v>274.35000000000002</v>
      </c>
      <c r="L102" s="112">
        <v>24.79</v>
      </c>
      <c r="M102" s="112">
        <v>99.88</v>
      </c>
      <c r="N102" s="112">
        <v>2.4</v>
      </c>
      <c r="O102" s="112">
        <v>0</v>
      </c>
      <c r="P102" s="112">
        <v>0.28999999999999998</v>
      </c>
      <c r="Q102" s="112">
        <v>4.72</v>
      </c>
    </row>
    <row r="103" spans="1:22" customFormat="1">
      <c r="A103" s="80">
        <v>45497.989583333336</v>
      </c>
      <c r="B103" s="112">
        <v>9.2799999999999994</v>
      </c>
      <c r="C103" s="112">
        <v>4.0999999999999996</v>
      </c>
      <c r="D103" s="112">
        <v>14.03</v>
      </c>
      <c r="E103" s="112">
        <v>8.5500000000000007</v>
      </c>
      <c r="F103" s="112">
        <v>4.9400000000000004</v>
      </c>
      <c r="G103" s="112">
        <v>1.38</v>
      </c>
      <c r="H103" s="112">
        <v>0.83</v>
      </c>
      <c r="I103" s="112">
        <v>3.19</v>
      </c>
      <c r="J103" s="112">
        <v>0.68</v>
      </c>
      <c r="K103" s="112">
        <v>270.68</v>
      </c>
      <c r="L103" s="112">
        <v>24.72</v>
      </c>
      <c r="M103" s="112">
        <v>98.72</v>
      </c>
      <c r="N103" s="112">
        <v>2.2000000000000002</v>
      </c>
      <c r="O103" s="112">
        <v>0</v>
      </c>
      <c r="P103" s="112">
        <v>0.28999999999999998</v>
      </c>
      <c r="Q103" s="112">
        <v>4.72</v>
      </c>
    </row>
    <row r="104" spans="1:22" customFormat="1">
      <c r="A104" s="80">
        <v>45498</v>
      </c>
      <c r="B104" s="112">
        <v>9.2899999999999991</v>
      </c>
      <c r="C104" s="112">
        <v>4.0599999999999996</v>
      </c>
      <c r="D104" s="112">
        <v>14.02</v>
      </c>
      <c r="E104" s="112">
        <v>8.89</v>
      </c>
      <c r="F104" s="112">
        <v>4.0599999999999996</v>
      </c>
      <c r="G104" s="112">
        <v>1.38</v>
      </c>
      <c r="H104" s="112">
        <v>0.83</v>
      </c>
      <c r="I104" s="112">
        <v>3.13</v>
      </c>
      <c r="J104" s="112">
        <v>0.63</v>
      </c>
      <c r="K104" s="112">
        <v>272.89</v>
      </c>
      <c r="L104" s="112">
        <v>24.73</v>
      </c>
      <c r="M104" s="112">
        <v>97.39</v>
      </c>
      <c r="N104" s="112">
        <v>2</v>
      </c>
      <c r="O104" s="112">
        <v>0</v>
      </c>
      <c r="P104" s="112">
        <v>0.28999999999999998</v>
      </c>
      <c r="Q104" s="112">
        <v>4.72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9.23</v>
      </c>
      <c r="C106" s="183">
        <f>MIN(C9:C104)</f>
        <v>4</v>
      </c>
      <c r="D106" s="183">
        <f t="shared" ref="D106:Q106" si="0">MIN(D9:D104)</f>
        <v>14</v>
      </c>
      <c r="E106" s="183">
        <f t="shared" si="0"/>
        <v>5.63</v>
      </c>
      <c r="F106" s="183">
        <f t="shared" si="0"/>
        <v>3.14</v>
      </c>
      <c r="G106" s="183">
        <f t="shared" si="0"/>
        <v>1.23</v>
      </c>
      <c r="H106" s="183">
        <f t="shared" si="0"/>
        <v>0.65</v>
      </c>
      <c r="I106" s="183">
        <f t="shared" si="0"/>
        <v>2.79</v>
      </c>
      <c r="J106" s="183">
        <f t="shared" si="0"/>
        <v>0.63</v>
      </c>
      <c r="K106" s="183">
        <f t="shared" si="0"/>
        <v>270.43</v>
      </c>
      <c r="L106" s="183">
        <f t="shared" si="0"/>
        <v>23.94</v>
      </c>
      <c r="M106" s="183">
        <f t="shared" si="0"/>
        <v>91.94</v>
      </c>
      <c r="N106" s="183">
        <f t="shared" si="0"/>
        <v>2</v>
      </c>
      <c r="O106" s="183">
        <f t="shared" si="0"/>
        <v>0</v>
      </c>
      <c r="P106" s="183">
        <f t="shared" si="0"/>
        <v>0.24</v>
      </c>
      <c r="Q106" s="183">
        <f t="shared" si="0"/>
        <v>4.7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9.35</v>
      </c>
      <c r="C107" s="184">
        <f t="shared" ref="C107:Q107" si="1">MAX(C9:C104)</f>
        <v>4.12</v>
      </c>
      <c r="D107" s="184">
        <f t="shared" si="1"/>
        <v>14.07</v>
      </c>
      <c r="E107" s="184">
        <f t="shared" si="1"/>
        <v>12.58</v>
      </c>
      <c r="F107" s="184">
        <f t="shared" si="1"/>
        <v>4.9400000000000004</v>
      </c>
      <c r="G107" s="184">
        <f t="shared" si="1"/>
        <v>7.78</v>
      </c>
      <c r="H107" s="184">
        <f t="shared" si="1"/>
        <v>1.6</v>
      </c>
      <c r="I107" s="184">
        <f t="shared" si="1"/>
        <v>3.52</v>
      </c>
      <c r="J107" s="184">
        <f t="shared" si="1"/>
        <v>1.25</v>
      </c>
      <c r="K107" s="184">
        <f t="shared" si="1"/>
        <v>282.69</v>
      </c>
      <c r="L107" s="184">
        <f t="shared" si="1"/>
        <v>25.95</v>
      </c>
      <c r="M107" s="184">
        <f t="shared" si="1"/>
        <v>108</v>
      </c>
      <c r="N107" s="184">
        <f t="shared" si="1"/>
        <v>132.19999999999999</v>
      </c>
      <c r="O107" s="184">
        <f t="shared" si="1"/>
        <v>2.4</v>
      </c>
      <c r="P107" s="184">
        <f t="shared" si="1"/>
        <v>0.33</v>
      </c>
      <c r="Q107" s="184">
        <f t="shared" si="1"/>
        <v>4.75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9.2921874999999883</v>
      </c>
      <c r="C108" s="183">
        <f t="shared" ref="C108:Q108" si="2">AVERAGE(C9:C104)</f>
        <v>4.0753124999999999</v>
      </c>
      <c r="D108" s="183">
        <f t="shared" si="2"/>
        <v>14.030833333333318</v>
      </c>
      <c r="E108" s="183">
        <f t="shared" si="2"/>
        <v>8.7554166666666671</v>
      </c>
      <c r="F108" s="183">
        <f t="shared" si="2"/>
        <v>3.718437499999999</v>
      </c>
      <c r="G108" s="183">
        <f t="shared" si="2"/>
        <v>3.0072916666666676</v>
      </c>
      <c r="H108" s="183">
        <f t="shared" si="2"/>
        <v>1.0687500000000003</v>
      </c>
      <c r="I108" s="183">
        <f t="shared" si="2"/>
        <v>3.1114583333333332</v>
      </c>
      <c r="J108" s="183">
        <f t="shared" si="2"/>
        <v>0.95229166666666687</v>
      </c>
      <c r="K108" s="183">
        <f t="shared" si="2"/>
        <v>274.72010416666666</v>
      </c>
      <c r="L108" s="183">
        <f t="shared" si="2"/>
        <v>24.713958333333334</v>
      </c>
      <c r="M108" s="183">
        <f t="shared" si="2"/>
        <v>99.073541666666642</v>
      </c>
      <c r="N108" s="183">
        <f t="shared" si="2"/>
        <v>31.236458333333335</v>
      </c>
      <c r="O108" s="183">
        <f t="shared" si="2"/>
        <v>0.25624999999999998</v>
      </c>
      <c r="P108" s="183">
        <f t="shared" si="2"/>
        <v>0.27854166666666674</v>
      </c>
      <c r="Q108" s="183">
        <f t="shared" si="2"/>
        <v>4.724687500000007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2.2440711359397642E-2</v>
      </c>
      <c r="C109" s="183">
        <f t="shared" ref="C109:Q109" si="3">STDEV(C9:C104)</f>
        <v>2.0362665785567922E-2</v>
      </c>
      <c r="D109" s="183">
        <f t="shared" si="3"/>
        <v>1.8103019036768961E-2</v>
      </c>
      <c r="E109" s="183">
        <f t="shared" si="3"/>
        <v>2.0013542344946886</v>
      </c>
      <c r="F109" s="183">
        <f t="shared" si="3"/>
        <v>0.32214193708919814</v>
      </c>
      <c r="G109" s="183">
        <f t="shared" si="3"/>
        <v>1.7030019805079575</v>
      </c>
      <c r="H109" s="183">
        <f t="shared" si="3"/>
        <v>0.29414013845891801</v>
      </c>
      <c r="I109" s="183">
        <f t="shared" si="3"/>
        <v>0.2051083367992611</v>
      </c>
      <c r="J109" s="183">
        <f t="shared" si="3"/>
        <v>0.15046929511341928</v>
      </c>
      <c r="K109" s="183">
        <f t="shared" si="3"/>
        <v>2.2517878252859131</v>
      </c>
      <c r="L109" s="183">
        <f t="shared" si="3"/>
        <v>0.52726399892373443</v>
      </c>
      <c r="M109" s="183">
        <f t="shared" si="3"/>
        <v>3.9688341067219066</v>
      </c>
      <c r="N109" s="183">
        <f t="shared" si="3"/>
        <v>35.386652612447477</v>
      </c>
      <c r="O109" s="183">
        <f t="shared" si="3"/>
        <v>0.47745211939605992</v>
      </c>
      <c r="P109" s="183">
        <f t="shared" si="3"/>
        <v>1.9627004311549776E-2</v>
      </c>
      <c r="Q109" s="183">
        <f t="shared" si="3"/>
        <v>9.1712508473635393E-3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V117"/>
  <sheetViews>
    <sheetView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45498.010416666664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45498.010416666664</v>
      </c>
      <c r="B9" s="112">
        <v>9.17</v>
      </c>
      <c r="C9" s="112">
        <v>4.21</v>
      </c>
      <c r="D9" s="112">
        <v>14</v>
      </c>
      <c r="E9" s="112">
        <v>9.1</v>
      </c>
      <c r="F9" s="112">
        <v>3.48</v>
      </c>
      <c r="G9" s="112">
        <v>1.38</v>
      </c>
      <c r="H9" s="112">
        <v>0.83</v>
      </c>
      <c r="I9" s="112">
        <v>3.16</v>
      </c>
      <c r="J9" s="112">
        <v>0.67</v>
      </c>
      <c r="K9" s="112">
        <v>270.37</v>
      </c>
      <c r="L9" s="112">
        <v>24.65</v>
      </c>
      <c r="M9" s="112">
        <v>97.43</v>
      </c>
      <c r="N9" s="112">
        <v>2.2000000000000002</v>
      </c>
      <c r="O9" s="112">
        <v>0</v>
      </c>
      <c r="P9" s="112">
        <v>0.28999999999999998</v>
      </c>
      <c r="Q9" s="112">
        <v>4.72</v>
      </c>
    </row>
    <row r="10" spans="1:21" customFormat="1">
      <c r="A10" s="80">
        <v>45498.020833333336</v>
      </c>
      <c r="B10" s="112">
        <v>9.15</v>
      </c>
      <c r="C10" s="112">
        <v>4.2300000000000004</v>
      </c>
      <c r="D10" s="112">
        <v>14</v>
      </c>
      <c r="E10" s="112">
        <v>8.81</v>
      </c>
      <c r="F10" s="112">
        <v>3.8</v>
      </c>
      <c r="G10" s="112">
        <v>1.38</v>
      </c>
      <c r="H10" s="112">
        <v>0.83</v>
      </c>
      <c r="I10" s="112">
        <v>3.16</v>
      </c>
      <c r="J10" s="112">
        <v>0.57999999999999996</v>
      </c>
      <c r="K10" s="112">
        <v>270.3</v>
      </c>
      <c r="L10" s="112">
        <v>24.5</v>
      </c>
      <c r="M10" s="112">
        <v>97.95</v>
      </c>
      <c r="N10" s="112">
        <v>2.1</v>
      </c>
      <c r="O10" s="112">
        <v>0</v>
      </c>
      <c r="P10" s="112">
        <v>0.3</v>
      </c>
      <c r="Q10" s="112">
        <v>4.72</v>
      </c>
    </row>
    <row r="11" spans="1:21" customFormat="1">
      <c r="A11" s="80">
        <v>45498.03125</v>
      </c>
      <c r="B11" s="112">
        <v>9.15</v>
      </c>
      <c r="C11" s="112">
        <v>4.2300000000000004</v>
      </c>
      <c r="D11" s="112">
        <v>14</v>
      </c>
      <c r="E11" s="112">
        <v>8.9700000000000006</v>
      </c>
      <c r="F11" s="112">
        <v>4.32</v>
      </c>
      <c r="G11" s="112">
        <v>1.48</v>
      </c>
      <c r="H11" s="112">
        <v>0.82</v>
      </c>
      <c r="I11" s="112">
        <v>3.17</v>
      </c>
      <c r="J11" s="112">
        <v>0.61</v>
      </c>
      <c r="K11" s="112">
        <v>272.43</v>
      </c>
      <c r="L11" s="112">
        <v>24.55</v>
      </c>
      <c r="M11" s="112">
        <v>99.43</v>
      </c>
      <c r="N11" s="112">
        <v>1.9</v>
      </c>
      <c r="O11" s="112">
        <v>0</v>
      </c>
      <c r="P11" s="112">
        <v>0.28999999999999998</v>
      </c>
      <c r="Q11" s="112">
        <v>4.7300000000000004</v>
      </c>
    </row>
    <row r="12" spans="1:21" customFormat="1">
      <c r="A12" s="80">
        <v>45498.041666666664</v>
      </c>
      <c r="B12" s="112">
        <v>9.18</v>
      </c>
      <c r="C12" s="112">
        <v>4.1900000000000004</v>
      </c>
      <c r="D12" s="112">
        <v>14</v>
      </c>
      <c r="E12" s="112">
        <v>8.2799999999999994</v>
      </c>
      <c r="F12" s="112">
        <v>3.8</v>
      </c>
      <c r="G12" s="112">
        <v>1.48</v>
      </c>
      <c r="H12" s="112">
        <v>0.82</v>
      </c>
      <c r="I12" s="112">
        <v>3.14</v>
      </c>
      <c r="J12" s="112">
        <v>0.83</v>
      </c>
      <c r="K12" s="112">
        <v>274.41000000000003</v>
      </c>
      <c r="L12" s="112">
        <v>24.6</v>
      </c>
      <c r="M12" s="112">
        <v>98.62</v>
      </c>
      <c r="N12" s="112">
        <v>2.2000000000000002</v>
      </c>
      <c r="O12" s="112">
        <v>0</v>
      </c>
      <c r="P12" s="112">
        <v>0.28999999999999998</v>
      </c>
      <c r="Q12" s="112">
        <v>4.7300000000000004</v>
      </c>
    </row>
    <row r="13" spans="1:21" customFormat="1">
      <c r="A13" s="80">
        <v>45498.052083333336</v>
      </c>
      <c r="B13" s="112">
        <v>9.16</v>
      </c>
      <c r="C13" s="112">
        <v>4.22</v>
      </c>
      <c r="D13" s="112">
        <v>14</v>
      </c>
      <c r="E13" s="112">
        <v>8.18</v>
      </c>
      <c r="F13" s="112">
        <v>3.82</v>
      </c>
      <c r="G13" s="112">
        <v>1.48</v>
      </c>
      <c r="H13" s="112">
        <v>0.82</v>
      </c>
      <c r="I13" s="112">
        <v>3.21</v>
      </c>
      <c r="J13" s="112">
        <v>0.74</v>
      </c>
      <c r="K13" s="112">
        <v>274.37</v>
      </c>
      <c r="L13" s="112">
        <v>24.7</v>
      </c>
      <c r="M13" s="112">
        <v>99.07</v>
      </c>
      <c r="N13" s="112">
        <v>2.4</v>
      </c>
      <c r="O13" s="112">
        <v>0</v>
      </c>
      <c r="P13" s="112">
        <v>0.28000000000000003</v>
      </c>
      <c r="Q13" s="112">
        <v>4.74</v>
      </c>
    </row>
    <row r="14" spans="1:21" customFormat="1">
      <c r="A14" s="80">
        <v>45498.0625</v>
      </c>
      <c r="B14" s="112">
        <v>9.16</v>
      </c>
      <c r="C14" s="112">
        <v>4.21</v>
      </c>
      <c r="D14" s="112">
        <v>14</v>
      </c>
      <c r="E14" s="112">
        <v>8.5299999999999994</v>
      </c>
      <c r="F14" s="112">
        <v>3.76</v>
      </c>
      <c r="G14" s="112">
        <v>1.48</v>
      </c>
      <c r="H14" s="112">
        <v>0.82</v>
      </c>
      <c r="I14" s="112">
        <v>3.23</v>
      </c>
      <c r="J14" s="112">
        <v>0.96</v>
      </c>
      <c r="K14" s="112">
        <v>276.44</v>
      </c>
      <c r="L14" s="112">
        <v>24.78</v>
      </c>
      <c r="M14" s="112">
        <v>96.78</v>
      </c>
      <c r="N14" s="112">
        <v>2.4</v>
      </c>
      <c r="O14" s="112">
        <v>0</v>
      </c>
      <c r="P14" s="112">
        <v>0.28000000000000003</v>
      </c>
      <c r="Q14" s="112">
        <v>4.74</v>
      </c>
    </row>
    <row r="15" spans="1:21" customFormat="1">
      <c r="A15" s="80">
        <v>45498.072916666664</v>
      </c>
      <c r="B15" s="112">
        <v>9.16</v>
      </c>
      <c r="C15" s="112">
        <v>4.22</v>
      </c>
      <c r="D15" s="112">
        <v>14</v>
      </c>
      <c r="E15" s="112">
        <v>8.26</v>
      </c>
      <c r="F15" s="112">
        <v>3.73</v>
      </c>
      <c r="G15" s="112">
        <v>1.49</v>
      </c>
      <c r="H15" s="112">
        <v>0.84</v>
      </c>
      <c r="I15" s="112">
        <v>3.22</v>
      </c>
      <c r="J15" s="112">
        <v>0.98</v>
      </c>
      <c r="K15" s="112">
        <v>276.42</v>
      </c>
      <c r="L15" s="112">
        <v>24.83</v>
      </c>
      <c r="M15" s="112">
        <v>95.75</v>
      </c>
      <c r="N15" s="112">
        <v>2.2999999999999998</v>
      </c>
      <c r="O15" s="112">
        <v>0</v>
      </c>
      <c r="P15" s="112">
        <v>0.26</v>
      </c>
      <c r="Q15" s="112">
        <v>4.7300000000000004</v>
      </c>
    </row>
    <row r="16" spans="1:21" customFormat="1">
      <c r="A16" s="80">
        <v>45498.083333333336</v>
      </c>
      <c r="B16" s="112">
        <v>9.17</v>
      </c>
      <c r="C16" s="112">
        <v>4.21</v>
      </c>
      <c r="D16" s="112">
        <v>14</v>
      </c>
      <c r="E16" s="112">
        <v>8.4499999999999993</v>
      </c>
      <c r="F16" s="112">
        <v>4.09</v>
      </c>
      <c r="G16" s="112">
        <v>1.49</v>
      </c>
      <c r="H16" s="112">
        <v>0.84</v>
      </c>
      <c r="I16" s="112">
        <v>3.19</v>
      </c>
      <c r="J16" s="112">
        <v>0.85</v>
      </c>
      <c r="K16" s="112">
        <v>275.37</v>
      </c>
      <c r="L16" s="112">
        <v>24.9</v>
      </c>
      <c r="M16" s="112">
        <v>95.12</v>
      </c>
      <c r="N16" s="112">
        <v>2.2000000000000002</v>
      </c>
      <c r="O16" s="112">
        <v>0</v>
      </c>
      <c r="P16" s="112">
        <v>0.26</v>
      </c>
      <c r="Q16" s="112">
        <v>4.7300000000000004</v>
      </c>
    </row>
    <row r="17" spans="1:17" customFormat="1">
      <c r="A17" s="80">
        <v>45498.09375</v>
      </c>
      <c r="B17" s="112">
        <v>9.19</v>
      </c>
      <c r="C17" s="112">
        <v>4.18</v>
      </c>
      <c r="D17" s="112">
        <v>14</v>
      </c>
      <c r="E17" s="112">
        <v>8.8800000000000008</v>
      </c>
      <c r="F17" s="112">
        <v>3.81</v>
      </c>
      <c r="G17" s="112">
        <v>1.49</v>
      </c>
      <c r="H17" s="112">
        <v>0.84</v>
      </c>
      <c r="I17" s="112">
        <v>3.07</v>
      </c>
      <c r="J17" s="112">
        <v>0.91</v>
      </c>
      <c r="K17" s="112">
        <v>275.02999999999997</v>
      </c>
      <c r="L17" s="112">
        <v>24.89</v>
      </c>
      <c r="M17" s="112">
        <v>95.17</v>
      </c>
      <c r="N17" s="112">
        <v>2.2999999999999998</v>
      </c>
      <c r="O17" s="112">
        <v>0</v>
      </c>
      <c r="P17" s="112">
        <v>0.26</v>
      </c>
      <c r="Q17" s="112">
        <v>4.72</v>
      </c>
    </row>
    <row r="18" spans="1:17" customFormat="1">
      <c r="A18" s="80">
        <v>45498.104166666664</v>
      </c>
      <c r="B18" s="112">
        <v>9.19</v>
      </c>
      <c r="C18" s="112">
        <v>4.17</v>
      </c>
      <c r="D18" s="112">
        <v>14</v>
      </c>
      <c r="E18" s="112">
        <v>10.65</v>
      </c>
      <c r="F18" s="112">
        <v>4.43</v>
      </c>
      <c r="G18" s="112">
        <v>1.48</v>
      </c>
      <c r="H18" s="112">
        <v>0.84</v>
      </c>
      <c r="I18" s="112">
        <v>3.05</v>
      </c>
      <c r="J18" s="112">
        <v>0.84</v>
      </c>
      <c r="K18" s="112">
        <v>275.89999999999998</v>
      </c>
      <c r="L18" s="112">
        <v>24.93</v>
      </c>
      <c r="M18" s="112">
        <v>95.02</v>
      </c>
      <c r="N18" s="112">
        <v>2.4</v>
      </c>
      <c r="O18" s="112">
        <v>0</v>
      </c>
      <c r="P18" s="112">
        <v>0.25</v>
      </c>
      <c r="Q18" s="112">
        <v>4.71</v>
      </c>
    </row>
    <row r="19" spans="1:17" customFormat="1">
      <c r="A19" s="80">
        <v>45498.114583333336</v>
      </c>
      <c r="B19" s="112">
        <v>9.1999999999999993</v>
      </c>
      <c r="C19" s="112">
        <v>4.16</v>
      </c>
      <c r="D19" s="112">
        <v>14</v>
      </c>
      <c r="E19" s="112">
        <v>10.26</v>
      </c>
      <c r="F19" s="112">
        <v>4.9000000000000004</v>
      </c>
      <c r="G19" s="112">
        <v>1.4</v>
      </c>
      <c r="H19" s="112">
        <v>0.82</v>
      </c>
      <c r="I19" s="112">
        <v>2.96</v>
      </c>
      <c r="J19" s="112">
        <v>0.81</v>
      </c>
      <c r="K19" s="112">
        <v>273.52999999999997</v>
      </c>
      <c r="L19" s="112">
        <v>24.9</v>
      </c>
      <c r="M19" s="112">
        <v>95.25</v>
      </c>
      <c r="N19" s="112">
        <v>2.4</v>
      </c>
      <c r="O19" s="112">
        <v>0</v>
      </c>
      <c r="P19" s="112">
        <v>0.25</v>
      </c>
      <c r="Q19" s="112">
        <v>4.71</v>
      </c>
    </row>
    <row r="20" spans="1:17" customFormat="1">
      <c r="A20" s="80">
        <v>45498.125</v>
      </c>
      <c r="B20" s="112">
        <v>9.19</v>
      </c>
      <c r="C20" s="112">
        <v>4.17</v>
      </c>
      <c r="D20" s="112">
        <v>14</v>
      </c>
      <c r="E20" s="112">
        <v>10.33</v>
      </c>
      <c r="F20" s="112">
        <v>3.89</v>
      </c>
      <c r="G20" s="112">
        <v>1.4</v>
      </c>
      <c r="H20" s="112">
        <v>0.82</v>
      </c>
      <c r="I20" s="112">
        <v>2.92</v>
      </c>
      <c r="J20" s="112">
        <v>0.66</v>
      </c>
      <c r="K20" s="112">
        <v>271.82</v>
      </c>
      <c r="L20" s="112">
        <v>24.89</v>
      </c>
      <c r="M20" s="112">
        <v>95.4</v>
      </c>
      <c r="N20" s="112">
        <v>2.4</v>
      </c>
      <c r="O20" s="112">
        <v>0</v>
      </c>
      <c r="P20" s="112">
        <v>0.26</v>
      </c>
      <c r="Q20" s="112">
        <v>4.72</v>
      </c>
    </row>
    <row r="21" spans="1:17" customFormat="1">
      <c r="A21" s="80">
        <v>45498.135416666664</v>
      </c>
      <c r="B21" s="112">
        <v>9.1999999999999993</v>
      </c>
      <c r="C21" s="112">
        <v>4.16</v>
      </c>
      <c r="D21" s="112">
        <v>14</v>
      </c>
      <c r="E21" s="112">
        <v>10.8</v>
      </c>
      <c r="F21" s="112">
        <v>3.55</v>
      </c>
      <c r="G21" s="112">
        <v>1.4</v>
      </c>
      <c r="H21" s="112">
        <v>0.82</v>
      </c>
      <c r="I21" s="112">
        <v>2.98</v>
      </c>
      <c r="J21" s="112">
        <v>0.69</v>
      </c>
      <c r="K21" s="112">
        <v>272.7</v>
      </c>
      <c r="L21" s="112">
        <v>24.88</v>
      </c>
      <c r="M21" s="112">
        <v>95.6</v>
      </c>
      <c r="N21" s="112">
        <v>2.2999999999999998</v>
      </c>
      <c r="O21" s="112">
        <v>0</v>
      </c>
      <c r="P21" s="112">
        <v>0.26</v>
      </c>
      <c r="Q21" s="112">
        <v>4.7300000000000004</v>
      </c>
    </row>
    <row r="22" spans="1:17" customFormat="1">
      <c r="A22" s="80">
        <v>45498.145833333336</v>
      </c>
      <c r="B22" s="112">
        <v>9.18</v>
      </c>
      <c r="C22" s="112">
        <v>4.1900000000000004</v>
      </c>
      <c r="D22" s="112">
        <v>14</v>
      </c>
      <c r="E22" s="112">
        <v>10.97</v>
      </c>
      <c r="F22" s="112">
        <v>3.7</v>
      </c>
      <c r="G22" s="112">
        <v>1.4</v>
      </c>
      <c r="H22" s="112">
        <v>0.82</v>
      </c>
      <c r="I22" s="112">
        <v>2.91</v>
      </c>
      <c r="J22" s="112">
        <v>0.65</v>
      </c>
      <c r="K22" s="112">
        <v>275.74</v>
      </c>
      <c r="L22" s="112">
        <v>24.74</v>
      </c>
      <c r="M22" s="112">
        <v>96.65</v>
      </c>
      <c r="N22" s="112">
        <v>2.1</v>
      </c>
      <c r="O22" s="112">
        <v>0</v>
      </c>
      <c r="P22" s="112">
        <v>0.26</v>
      </c>
      <c r="Q22" s="112">
        <v>4.7300000000000004</v>
      </c>
    </row>
    <row r="23" spans="1:17" customFormat="1">
      <c r="A23" s="80">
        <v>45498.15625</v>
      </c>
      <c r="B23" s="112">
        <v>9.18</v>
      </c>
      <c r="C23" s="112">
        <v>4.1900000000000004</v>
      </c>
      <c r="D23" s="112">
        <v>14</v>
      </c>
      <c r="E23" s="112">
        <v>10.95</v>
      </c>
      <c r="F23" s="112">
        <v>3.55</v>
      </c>
      <c r="G23" s="112">
        <v>1.46</v>
      </c>
      <c r="H23" s="112">
        <v>0.81</v>
      </c>
      <c r="I23" s="112">
        <v>2.86</v>
      </c>
      <c r="J23" s="112">
        <v>0.81</v>
      </c>
      <c r="K23" s="112">
        <v>275.33999999999997</v>
      </c>
      <c r="L23" s="112">
        <v>24.87</v>
      </c>
      <c r="M23" s="112">
        <v>95.88</v>
      </c>
      <c r="N23" s="112">
        <v>2</v>
      </c>
      <c r="O23" s="112">
        <v>0</v>
      </c>
      <c r="P23" s="112">
        <v>0.25</v>
      </c>
      <c r="Q23" s="112">
        <v>4.72</v>
      </c>
    </row>
    <row r="24" spans="1:17" customFormat="1">
      <c r="A24" s="80">
        <v>45498.166666666664</v>
      </c>
      <c r="B24" s="112">
        <v>9.18</v>
      </c>
      <c r="C24" s="112">
        <v>4.1900000000000004</v>
      </c>
      <c r="D24" s="112">
        <v>14</v>
      </c>
      <c r="E24" s="112">
        <v>10.63</v>
      </c>
      <c r="F24" s="112">
        <v>3.76</v>
      </c>
      <c r="G24" s="112">
        <v>1.46</v>
      </c>
      <c r="H24" s="112">
        <v>0.81</v>
      </c>
      <c r="I24" s="112">
        <v>2.85</v>
      </c>
      <c r="J24" s="112">
        <v>0.99</v>
      </c>
      <c r="K24" s="112">
        <v>276.70999999999998</v>
      </c>
      <c r="L24" s="112">
        <v>24.96</v>
      </c>
      <c r="M24" s="112">
        <v>94.5</v>
      </c>
      <c r="N24" s="112">
        <v>2.1</v>
      </c>
      <c r="O24" s="112">
        <v>0</v>
      </c>
      <c r="P24" s="112">
        <v>0.26</v>
      </c>
      <c r="Q24" s="112">
        <v>4.74</v>
      </c>
    </row>
    <row r="25" spans="1:17" customFormat="1">
      <c r="A25" s="80">
        <v>45498.177083333336</v>
      </c>
      <c r="B25" s="112">
        <v>9.19</v>
      </c>
      <c r="C25" s="112">
        <v>4.17</v>
      </c>
      <c r="D25" s="112">
        <v>14</v>
      </c>
      <c r="E25" s="112">
        <v>11.33</v>
      </c>
      <c r="F25" s="112">
        <v>3.61</v>
      </c>
      <c r="G25" s="112">
        <v>1.46</v>
      </c>
      <c r="H25" s="112">
        <v>0.81</v>
      </c>
      <c r="I25" s="112">
        <v>2.89</v>
      </c>
      <c r="J25" s="112">
        <v>1.01</v>
      </c>
      <c r="K25" s="112">
        <v>274.79000000000002</v>
      </c>
      <c r="L25" s="112">
        <v>25.01</v>
      </c>
      <c r="M25" s="112">
        <v>94.06</v>
      </c>
      <c r="N25" s="112">
        <v>2.2999999999999998</v>
      </c>
      <c r="O25" s="112">
        <v>0</v>
      </c>
      <c r="P25" s="112">
        <v>0.26</v>
      </c>
      <c r="Q25" s="112">
        <v>4.7300000000000004</v>
      </c>
    </row>
    <row r="26" spans="1:17" customFormat="1">
      <c r="A26" s="80">
        <v>45498.1875</v>
      </c>
      <c r="B26" s="112">
        <v>9.2100000000000009</v>
      </c>
      <c r="C26" s="112">
        <v>4.1500000000000004</v>
      </c>
      <c r="D26" s="112">
        <v>14</v>
      </c>
      <c r="E26" s="112">
        <v>11.19</v>
      </c>
      <c r="F26" s="112">
        <v>3.62</v>
      </c>
      <c r="G26" s="112">
        <v>1.46</v>
      </c>
      <c r="H26" s="112">
        <v>0.81</v>
      </c>
      <c r="I26" s="112">
        <v>2.85</v>
      </c>
      <c r="J26" s="112">
        <v>0.92</v>
      </c>
      <c r="K26" s="112">
        <v>274.74</v>
      </c>
      <c r="L26" s="112">
        <v>25.02</v>
      </c>
      <c r="M26" s="112">
        <v>94.16</v>
      </c>
      <c r="N26" s="112">
        <v>2.4</v>
      </c>
      <c r="O26" s="112">
        <v>0</v>
      </c>
      <c r="P26" s="112">
        <v>0.26</v>
      </c>
      <c r="Q26" s="112">
        <v>4.7300000000000004</v>
      </c>
    </row>
    <row r="27" spans="1:17" customFormat="1">
      <c r="A27" s="80">
        <v>45498.197916666664</v>
      </c>
      <c r="B27" s="112">
        <v>9.2100000000000009</v>
      </c>
      <c r="C27" s="112">
        <v>4.1500000000000004</v>
      </c>
      <c r="D27" s="112">
        <v>14</v>
      </c>
      <c r="E27" s="112">
        <v>11.74</v>
      </c>
      <c r="F27" s="112">
        <v>3.83</v>
      </c>
      <c r="G27" s="112">
        <v>1.45</v>
      </c>
      <c r="H27" s="112">
        <v>0.81</v>
      </c>
      <c r="I27" s="112">
        <v>2.83</v>
      </c>
      <c r="J27" s="112">
        <v>0.81</v>
      </c>
      <c r="K27" s="112">
        <v>273.13</v>
      </c>
      <c r="L27" s="112">
        <v>24.91</v>
      </c>
      <c r="M27" s="112">
        <v>94.97</v>
      </c>
      <c r="N27" s="112">
        <v>2.4</v>
      </c>
      <c r="O27" s="112">
        <v>0</v>
      </c>
      <c r="P27" s="112">
        <v>0.26</v>
      </c>
      <c r="Q27" s="112">
        <v>4.72</v>
      </c>
    </row>
    <row r="28" spans="1:17" customFormat="1">
      <c r="A28" s="80">
        <v>45498.208333333336</v>
      </c>
      <c r="B28" s="112">
        <v>9.1999999999999993</v>
      </c>
      <c r="C28" s="112">
        <v>4.16</v>
      </c>
      <c r="D28" s="112">
        <v>14</v>
      </c>
      <c r="E28" s="112">
        <v>11.68</v>
      </c>
      <c r="F28" s="112">
        <v>3.69</v>
      </c>
      <c r="G28" s="112">
        <v>1.45</v>
      </c>
      <c r="H28" s="112">
        <v>0.81</v>
      </c>
      <c r="I28" s="112">
        <v>2.77</v>
      </c>
      <c r="J28" s="112">
        <v>0.91</v>
      </c>
      <c r="K28" s="112">
        <v>272.82</v>
      </c>
      <c r="L28" s="112">
        <v>24.79</v>
      </c>
      <c r="M28" s="112">
        <v>95.41</v>
      </c>
      <c r="N28" s="112">
        <v>1.7</v>
      </c>
      <c r="O28" s="112">
        <v>0</v>
      </c>
      <c r="P28" s="112">
        <v>0.25</v>
      </c>
      <c r="Q28" s="112">
        <v>4.7300000000000004</v>
      </c>
    </row>
    <row r="29" spans="1:17" customFormat="1">
      <c r="A29" s="80">
        <v>45498.21875</v>
      </c>
      <c r="B29" s="112">
        <v>9.19</v>
      </c>
      <c r="C29" s="112">
        <v>4.18</v>
      </c>
      <c r="D29" s="112">
        <v>14</v>
      </c>
      <c r="E29" s="112">
        <v>11.82</v>
      </c>
      <c r="F29" s="112">
        <v>3.55</v>
      </c>
      <c r="G29" s="112">
        <v>1.45</v>
      </c>
      <c r="H29" s="112">
        <v>0.81</v>
      </c>
      <c r="I29" s="112">
        <v>2.78</v>
      </c>
      <c r="J29" s="112">
        <v>0.83</v>
      </c>
      <c r="K29" s="112">
        <v>274.08999999999997</v>
      </c>
      <c r="L29" s="112">
        <v>24.78</v>
      </c>
      <c r="M29" s="112">
        <v>95.41</v>
      </c>
      <c r="N29" s="112">
        <v>1.7</v>
      </c>
      <c r="O29" s="112">
        <v>0</v>
      </c>
      <c r="P29" s="112">
        <v>0.26</v>
      </c>
      <c r="Q29" s="112">
        <v>4.7300000000000004</v>
      </c>
    </row>
    <row r="30" spans="1:17" customFormat="1">
      <c r="A30" s="80">
        <v>45498.229166666664</v>
      </c>
      <c r="B30" s="112">
        <v>9.19</v>
      </c>
      <c r="C30" s="112">
        <v>4.18</v>
      </c>
      <c r="D30" s="112">
        <v>14</v>
      </c>
      <c r="E30" s="112">
        <v>11.78</v>
      </c>
      <c r="F30" s="112">
        <v>3.54</v>
      </c>
      <c r="G30" s="112">
        <v>1.45</v>
      </c>
      <c r="H30" s="112">
        <v>0.81</v>
      </c>
      <c r="I30" s="112">
        <v>2.76</v>
      </c>
      <c r="J30" s="112">
        <v>0.7</v>
      </c>
      <c r="K30" s="112">
        <v>274.48</v>
      </c>
      <c r="L30" s="112">
        <v>24.86</v>
      </c>
      <c r="M30" s="112">
        <v>94.74</v>
      </c>
      <c r="N30" s="112">
        <v>3.1</v>
      </c>
      <c r="O30" s="112">
        <v>0</v>
      </c>
      <c r="P30" s="112">
        <v>0.25</v>
      </c>
      <c r="Q30" s="112">
        <v>4.72</v>
      </c>
    </row>
    <row r="31" spans="1:17" customFormat="1">
      <c r="A31" s="80">
        <v>45498.239583333336</v>
      </c>
      <c r="B31" s="112">
        <v>9.19</v>
      </c>
      <c r="C31" s="112">
        <v>4.17</v>
      </c>
      <c r="D31" s="112">
        <v>14</v>
      </c>
      <c r="E31" s="112">
        <v>11.99</v>
      </c>
      <c r="F31" s="112">
        <v>3.57</v>
      </c>
      <c r="G31" s="112">
        <v>1.47</v>
      </c>
      <c r="H31" s="112">
        <v>0.79</v>
      </c>
      <c r="I31" s="112">
        <v>2.76</v>
      </c>
      <c r="J31" s="112">
        <v>0.7</v>
      </c>
      <c r="K31" s="112">
        <v>270.11</v>
      </c>
      <c r="L31" s="112">
        <v>24.87</v>
      </c>
      <c r="M31" s="112">
        <v>94.79</v>
      </c>
      <c r="N31" s="112">
        <v>4.9000000000000004</v>
      </c>
      <c r="O31" s="112">
        <v>0</v>
      </c>
      <c r="P31" s="112">
        <v>0.26</v>
      </c>
      <c r="Q31" s="112">
        <v>4.7300000000000004</v>
      </c>
    </row>
    <row r="32" spans="1:17" customFormat="1">
      <c r="A32" s="80">
        <v>45498.25</v>
      </c>
      <c r="B32" s="112">
        <v>9.18</v>
      </c>
      <c r="C32" s="112">
        <v>4.1900000000000004</v>
      </c>
      <c r="D32" s="112">
        <v>14</v>
      </c>
      <c r="E32" s="112">
        <v>12.14</v>
      </c>
      <c r="F32" s="112">
        <v>3.55</v>
      </c>
      <c r="G32" s="112">
        <v>1.47</v>
      </c>
      <c r="H32" s="112">
        <v>0.79</v>
      </c>
      <c r="I32" s="112">
        <v>2.75</v>
      </c>
      <c r="J32" s="112">
        <v>0.63</v>
      </c>
      <c r="K32" s="112">
        <v>271.70999999999998</v>
      </c>
      <c r="L32" s="112">
        <v>24.87</v>
      </c>
      <c r="M32" s="112">
        <v>95.01</v>
      </c>
      <c r="N32" s="112">
        <v>8.8000000000000007</v>
      </c>
      <c r="O32" s="112">
        <v>0</v>
      </c>
      <c r="P32" s="112">
        <v>0.26</v>
      </c>
      <c r="Q32" s="112">
        <v>4.7300000000000004</v>
      </c>
    </row>
    <row r="33" spans="1:17" customFormat="1">
      <c r="A33" s="80">
        <v>45498.260416666664</v>
      </c>
      <c r="B33" s="112">
        <v>9.17</v>
      </c>
      <c r="C33" s="112">
        <v>4.2</v>
      </c>
      <c r="D33" s="112">
        <v>14</v>
      </c>
      <c r="E33" s="112">
        <v>12.66</v>
      </c>
      <c r="F33" s="112">
        <v>3.45</v>
      </c>
      <c r="G33" s="112">
        <v>1.47</v>
      </c>
      <c r="H33" s="112">
        <v>0.79</v>
      </c>
      <c r="I33" s="112">
        <v>2.77</v>
      </c>
      <c r="J33" s="112">
        <v>0.64</v>
      </c>
      <c r="K33" s="112">
        <v>270.56</v>
      </c>
      <c r="L33" s="112">
        <v>24.75</v>
      </c>
      <c r="M33" s="112">
        <v>96.43</v>
      </c>
      <c r="N33" s="112">
        <v>11.4</v>
      </c>
      <c r="O33" s="112">
        <v>0</v>
      </c>
      <c r="P33" s="112">
        <v>0.27</v>
      </c>
      <c r="Q33" s="112">
        <v>4.72</v>
      </c>
    </row>
    <row r="34" spans="1:17" customFormat="1">
      <c r="A34" s="80">
        <v>45498.270833333336</v>
      </c>
      <c r="B34" s="112">
        <v>9.16</v>
      </c>
      <c r="C34" s="112">
        <v>4.22</v>
      </c>
      <c r="D34" s="112">
        <v>14</v>
      </c>
      <c r="E34" s="112">
        <v>13.03</v>
      </c>
      <c r="F34" s="112">
        <v>3.12</v>
      </c>
      <c r="G34" s="112">
        <v>1.47</v>
      </c>
      <c r="H34" s="112">
        <v>0.79</v>
      </c>
      <c r="I34" s="112">
        <v>2.75</v>
      </c>
      <c r="J34" s="112">
        <v>0.78</v>
      </c>
      <c r="K34" s="112">
        <v>271.91000000000003</v>
      </c>
      <c r="L34" s="112">
        <v>24.62</v>
      </c>
      <c r="M34" s="112">
        <v>99.01</v>
      </c>
      <c r="N34" s="112">
        <v>16.899999999999999</v>
      </c>
      <c r="O34" s="112">
        <v>0</v>
      </c>
      <c r="P34" s="112">
        <v>0.3</v>
      </c>
      <c r="Q34" s="112">
        <v>4.72</v>
      </c>
    </row>
    <row r="35" spans="1:17" customFormat="1">
      <c r="A35" s="80">
        <v>45498.28125</v>
      </c>
      <c r="B35" s="112">
        <v>9.18</v>
      </c>
      <c r="C35" s="112">
        <v>4.1900000000000004</v>
      </c>
      <c r="D35" s="112">
        <v>14</v>
      </c>
      <c r="E35" s="112">
        <v>12.95</v>
      </c>
      <c r="F35" s="112">
        <v>3.47</v>
      </c>
      <c r="G35" s="112">
        <v>1.48</v>
      </c>
      <c r="H35" s="112">
        <v>0.77</v>
      </c>
      <c r="I35" s="112">
        <v>2.79</v>
      </c>
      <c r="J35" s="112">
        <v>0.78</v>
      </c>
      <c r="K35" s="112">
        <v>272.12</v>
      </c>
      <c r="L35" s="112">
        <v>24.52</v>
      </c>
      <c r="M35" s="112">
        <v>103.94</v>
      </c>
      <c r="N35" s="112">
        <v>20.3</v>
      </c>
      <c r="O35" s="112">
        <v>0</v>
      </c>
      <c r="P35" s="112">
        <v>0.28999999999999998</v>
      </c>
      <c r="Q35" s="112">
        <v>4.71</v>
      </c>
    </row>
    <row r="36" spans="1:17" customFormat="1">
      <c r="A36" s="80">
        <v>45498.291666666664</v>
      </c>
      <c r="B36" s="112">
        <v>9.2200000000000006</v>
      </c>
      <c r="C36" s="112">
        <v>4.13</v>
      </c>
      <c r="D36" s="112">
        <v>14</v>
      </c>
      <c r="E36" s="112">
        <v>12.1</v>
      </c>
      <c r="F36" s="112">
        <v>3.97</v>
      </c>
      <c r="G36" s="112">
        <v>1.48</v>
      </c>
      <c r="H36" s="112">
        <v>0.77</v>
      </c>
      <c r="I36" s="112">
        <v>2.82</v>
      </c>
      <c r="J36" s="112">
        <v>0.81</v>
      </c>
      <c r="K36" s="112">
        <v>277.12</v>
      </c>
      <c r="L36" s="112">
        <v>24.48</v>
      </c>
      <c r="M36" s="112">
        <v>103.56</v>
      </c>
      <c r="N36" s="112">
        <v>21.2</v>
      </c>
      <c r="O36" s="112">
        <v>0</v>
      </c>
      <c r="P36" s="112">
        <v>0.27</v>
      </c>
      <c r="Q36" s="112">
        <v>4.72</v>
      </c>
    </row>
    <row r="37" spans="1:17" customFormat="1">
      <c r="A37" s="80">
        <v>45498.302083333336</v>
      </c>
      <c r="B37" s="112">
        <v>9.1999999999999993</v>
      </c>
      <c r="C37" s="112">
        <v>4.16</v>
      </c>
      <c r="D37" s="112">
        <v>14</v>
      </c>
      <c r="E37" s="112">
        <v>11.59</v>
      </c>
      <c r="F37" s="112">
        <v>4.16</v>
      </c>
      <c r="G37" s="112">
        <v>1.48</v>
      </c>
      <c r="H37" s="112">
        <v>0.77</v>
      </c>
      <c r="I37" s="112">
        <v>2.9</v>
      </c>
      <c r="J37" s="112">
        <v>0.7</v>
      </c>
      <c r="K37" s="112">
        <v>275.72000000000003</v>
      </c>
      <c r="L37" s="112">
        <v>24.44</v>
      </c>
      <c r="M37" s="112">
        <v>103.02</v>
      </c>
      <c r="N37" s="112">
        <v>20.2</v>
      </c>
      <c r="O37" s="112">
        <v>0</v>
      </c>
      <c r="P37" s="112">
        <v>0.27</v>
      </c>
      <c r="Q37" s="112">
        <v>4.74</v>
      </c>
    </row>
    <row r="38" spans="1:17" customFormat="1">
      <c r="A38" s="80">
        <v>45498.3125</v>
      </c>
      <c r="B38" s="112">
        <v>9.18</v>
      </c>
      <c r="C38" s="112">
        <v>4.18</v>
      </c>
      <c r="D38" s="112">
        <v>14</v>
      </c>
      <c r="E38" s="112">
        <v>10.86</v>
      </c>
      <c r="F38" s="112">
        <v>3.83</v>
      </c>
      <c r="G38" s="112">
        <v>1.48</v>
      </c>
      <c r="H38" s="112">
        <v>0.77</v>
      </c>
      <c r="I38" s="112">
        <v>2.93</v>
      </c>
      <c r="J38" s="112">
        <v>0.68</v>
      </c>
      <c r="K38" s="112">
        <v>270.45999999999998</v>
      </c>
      <c r="L38" s="112">
        <v>24.36</v>
      </c>
      <c r="M38" s="112">
        <v>103.4</v>
      </c>
      <c r="N38" s="112">
        <v>23.8</v>
      </c>
      <c r="O38" s="112">
        <v>0</v>
      </c>
      <c r="P38" s="112">
        <v>0.28000000000000003</v>
      </c>
      <c r="Q38" s="112">
        <v>4.7300000000000004</v>
      </c>
    </row>
    <row r="39" spans="1:17" customFormat="1">
      <c r="A39" s="80">
        <v>45498.322916666664</v>
      </c>
      <c r="B39" s="112">
        <v>9.18</v>
      </c>
      <c r="C39" s="112">
        <v>4.18</v>
      </c>
      <c r="D39" s="112">
        <v>14</v>
      </c>
      <c r="E39" s="112">
        <v>10.86</v>
      </c>
      <c r="F39" s="112">
        <v>3.87</v>
      </c>
      <c r="G39" s="112">
        <v>1.45</v>
      </c>
      <c r="H39" s="112">
        <v>0.75</v>
      </c>
      <c r="I39" s="112">
        <v>2.94</v>
      </c>
      <c r="J39" s="112">
        <v>0.88</v>
      </c>
      <c r="K39" s="112">
        <v>274.69</v>
      </c>
      <c r="L39" s="112">
        <v>24.23</v>
      </c>
      <c r="M39" s="112">
        <v>103.3</v>
      </c>
      <c r="N39" s="112">
        <v>24</v>
      </c>
      <c r="O39" s="112">
        <v>0</v>
      </c>
      <c r="P39" s="112">
        <v>0.27</v>
      </c>
      <c r="Q39" s="112">
        <v>4.7300000000000004</v>
      </c>
    </row>
    <row r="40" spans="1:17" customFormat="1">
      <c r="A40" s="80">
        <v>45498.333333333336</v>
      </c>
      <c r="B40" s="112">
        <v>9.19</v>
      </c>
      <c r="C40" s="112">
        <v>4.18</v>
      </c>
      <c r="D40" s="112">
        <v>14</v>
      </c>
      <c r="E40" s="112">
        <v>10.82</v>
      </c>
      <c r="F40" s="112">
        <v>3.68</v>
      </c>
      <c r="G40" s="112">
        <v>1.45</v>
      </c>
      <c r="H40" s="112">
        <v>0.75</v>
      </c>
      <c r="I40" s="112">
        <v>2.93</v>
      </c>
      <c r="J40" s="112">
        <v>0.81</v>
      </c>
      <c r="K40" s="112">
        <v>275.12</v>
      </c>
      <c r="L40" s="112">
        <v>24.25</v>
      </c>
      <c r="M40" s="112">
        <v>103.99</v>
      </c>
      <c r="N40" s="112">
        <v>31.9</v>
      </c>
      <c r="O40" s="112">
        <v>0</v>
      </c>
      <c r="P40" s="112">
        <v>0.27</v>
      </c>
      <c r="Q40" s="112">
        <v>4.74</v>
      </c>
    </row>
    <row r="41" spans="1:17" customFormat="1">
      <c r="A41" s="80">
        <v>45498.34375</v>
      </c>
      <c r="B41" s="112">
        <v>9.19</v>
      </c>
      <c r="C41" s="112">
        <v>4.17</v>
      </c>
      <c r="D41" s="112">
        <v>14</v>
      </c>
      <c r="E41" s="112">
        <v>10.52</v>
      </c>
      <c r="F41" s="112">
        <v>3.58</v>
      </c>
      <c r="G41" s="112">
        <v>1.45</v>
      </c>
      <c r="H41" s="112">
        <v>0.75</v>
      </c>
      <c r="I41" s="112">
        <v>2.97</v>
      </c>
      <c r="J41" s="112">
        <v>0.55000000000000004</v>
      </c>
      <c r="K41" s="112">
        <v>272.97000000000003</v>
      </c>
      <c r="L41" s="112">
        <v>24.33</v>
      </c>
      <c r="M41" s="112">
        <v>102.12</v>
      </c>
      <c r="N41" s="112">
        <v>33.799999999999997</v>
      </c>
      <c r="O41" s="112">
        <v>0</v>
      </c>
      <c r="P41" s="112">
        <v>0.27</v>
      </c>
      <c r="Q41" s="112">
        <v>4.74</v>
      </c>
    </row>
    <row r="42" spans="1:17" customFormat="1">
      <c r="A42" s="80">
        <v>45498.354166666664</v>
      </c>
      <c r="B42" s="112">
        <v>9.16</v>
      </c>
      <c r="C42" s="112">
        <v>4.21</v>
      </c>
      <c r="D42" s="112">
        <v>14</v>
      </c>
      <c r="E42" s="112">
        <v>10.72</v>
      </c>
      <c r="F42" s="112">
        <v>3.47</v>
      </c>
      <c r="G42" s="112">
        <v>1.46</v>
      </c>
      <c r="H42" s="112">
        <v>0.75</v>
      </c>
      <c r="I42" s="112">
        <v>2.98</v>
      </c>
      <c r="J42" s="112">
        <v>0.62</v>
      </c>
      <c r="K42" s="112">
        <v>272.66000000000003</v>
      </c>
      <c r="L42" s="112">
        <v>24.43</v>
      </c>
      <c r="M42" s="112">
        <v>102.77</v>
      </c>
      <c r="N42" s="112">
        <v>51</v>
      </c>
      <c r="O42" s="112">
        <v>0</v>
      </c>
      <c r="P42" s="112">
        <v>0.28000000000000003</v>
      </c>
      <c r="Q42" s="112">
        <v>4.7300000000000004</v>
      </c>
    </row>
    <row r="43" spans="1:17" customFormat="1">
      <c r="A43" s="80">
        <v>45498.364583333336</v>
      </c>
      <c r="B43" s="112">
        <v>9.16</v>
      </c>
      <c r="C43" s="112">
        <v>4.22</v>
      </c>
      <c r="D43" s="112">
        <v>14</v>
      </c>
      <c r="E43" s="112">
        <v>10.66</v>
      </c>
      <c r="F43" s="112">
        <v>3.29</v>
      </c>
      <c r="G43" s="112">
        <v>1.47</v>
      </c>
      <c r="H43" s="112">
        <v>0.75</v>
      </c>
      <c r="I43" s="112">
        <v>3.01</v>
      </c>
      <c r="J43" s="112">
        <v>0.76</v>
      </c>
      <c r="K43" s="112">
        <v>271.14</v>
      </c>
      <c r="L43" s="112">
        <v>24.71</v>
      </c>
      <c r="M43" s="112">
        <v>101.05</v>
      </c>
      <c r="N43" s="112">
        <v>78.599999999999994</v>
      </c>
      <c r="O43" s="112">
        <v>0</v>
      </c>
      <c r="P43" s="112">
        <v>0.28999999999999998</v>
      </c>
      <c r="Q43" s="112">
        <v>4.72</v>
      </c>
    </row>
    <row r="44" spans="1:17" customFormat="1">
      <c r="A44" s="80">
        <v>45498.375</v>
      </c>
      <c r="B44" s="112">
        <v>9.17</v>
      </c>
      <c r="C44" s="112">
        <v>4.21</v>
      </c>
      <c r="D44" s="112">
        <v>14</v>
      </c>
      <c r="E44" s="112">
        <v>10.74</v>
      </c>
      <c r="F44" s="112">
        <v>3.38</v>
      </c>
      <c r="G44" s="112">
        <v>1.47</v>
      </c>
      <c r="H44" s="112">
        <v>0.75</v>
      </c>
      <c r="I44" s="112">
        <v>3</v>
      </c>
      <c r="J44" s="112">
        <v>0.79</v>
      </c>
      <c r="K44" s="112">
        <v>273.8</v>
      </c>
      <c r="L44" s="112">
        <v>24.92</v>
      </c>
      <c r="M44" s="112">
        <v>99.93</v>
      </c>
      <c r="N44" s="112">
        <v>88</v>
      </c>
      <c r="O44" s="112">
        <v>0</v>
      </c>
      <c r="P44" s="112">
        <v>0.28999999999999998</v>
      </c>
      <c r="Q44" s="112">
        <v>4.72</v>
      </c>
    </row>
    <row r="45" spans="1:17" customFormat="1">
      <c r="A45" s="80">
        <v>45498.385416666664</v>
      </c>
      <c r="B45" s="112">
        <v>9.16</v>
      </c>
      <c r="C45" s="112">
        <v>4.21</v>
      </c>
      <c r="D45" s="112">
        <v>14</v>
      </c>
      <c r="E45" s="112">
        <v>10.66</v>
      </c>
      <c r="F45" s="112">
        <v>3.67</v>
      </c>
      <c r="G45" s="112">
        <v>1.47</v>
      </c>
      <c r="H45" s="112">
        <v>0.75</v>
      </c>
      <c r="I45" s="112">
        <v>3.07</v>
      </c>
      <c r="J45" s="112">
        <v>0.79</v>
      </c>
      <c r="K45" s="112">
        <v>274.42</v>
      </c>
      <c r="L45" s="112">
        <v>25.32</v>
      </c>
      <c r="M45" s="112">
        <v>99.61</v>
      </c>
      <c r="N45" s="112">
        <v>125.5</v>
      </c>
      <c r="O45" s="112">
        <v>0</v>
      </c>
      <c r="P45" s="112">
        <v>0.28999999999999998</v>
      </c>
      <c r="Q45" s="112">
        <v>4.71</v>
      </c>
    </row>
    <row r="46" spans="1:17" customFormat="1">
      <c r="A46" s="80">
        <v>45498.395833333336</v>
      </c>
      <c r="B46" s="112">
        <v>9.16</v>
      </c>
      <c r="C46" s="112">
        <v>4.21</v>
      </c>
      <c r="D46" s="112">
        <v>14</v>
      </c>
      <c r="E46" s="112">
        <v>9.94</v>
      </c>
      <c r="F46" s="112">
        <v>3.76</v>
      </c>
      <c r="G46" s="112">
        <v>1.47</v>
      </c>
      <c r="H46" s="112">
        <v>0.75</v>
      </c>
      <c r="I46" s="112">
        <v>3.06</v>
      </c>
      <c r="J46" s="112">
        <v>0.79</v>
      </c>
      <c r="K46" s="112">
        <v>279.85000000000002</v>
      </c>
      <c r="L46" s="112">
        <v>25.65</v>
      </c>
      <c r="M46" s="112">
        <v>97.28</v>
      </c>
      <c r="N46" s="112">
        <v>119.9</v>
      </c>
      <c r="O46" s="112">
        <v>0</v>
      </c>
      <c r="P46" s="112">
        <v>0.28999999999999998</v>
      </c>
      <c r="Q46" s="112">
        <v>4.71</v>
      </c>
    </row>
    <row r="47" spans="1:17" customFormat="1">
      <c r="A47" s="80">
        <v>45498.40625</v>
      </c>
      <c r="B47" s="112">
        <v>9.16</v>
      </c>
      <c r="C47" s="112">
        <v>4.22</v>
      </c>
      <c r="D47" s="112">
        <v>14</v>
      </c>
      <c r="E47" s="112">
        <v>10.28</v>
      </c>
      <c r="F47" s="112">
        <v>4.0599999999999996</v>
      </c>
      <c r="G47" s="112">
        <v>1.49</v>
      </c>
      <c r="H47" s="112">
        <v>0.78</v>
      </c>
      <c r="I47" s="112">
        <v>3.11</v>
      </c>
      <c r="J47" s="112">
        <v>0.74</v>
      </c>
      <c r="K47" s="112">
        <v>277.2</v>
      </c>
      <c r="L47" s="112">
        <v>25.62</v>
      </c>
      <c r="M47" s="112">
        <v>96.69</v>
      </c>
      <c r="N47" s="112">
        <v>84.4</v>
      </c>
      <c r="O47" s="112">
        <v>0</v>
      </c>
      <c r="P47" s="112">
        <v>0.28999999999999998</v>
      </c>
      <c r="Q47" s="112">
        <v>4.71</v>
      </c>
    </row>
    <row r="48" spans="1:17" customFormat="1">
      <c r="A48" s="80">
        <v>45498.416666666664</v>
      </c>
      <c r="B48" s="112">
        <v>9.16</v>
      </c>
      <c r="C48" s="112">
        <v>4.22</v>
      </c>
      <c r="D48" s="112">
        <v>14</v>
      </c>
      <c r="E48" s="112">
        <v>9.82</v>
      </c>
      <c r="F48" s="112">
        <v>3.84</v>
      </c>
      <c r="G48" s="112">
        <v>1.49</v>
      </c>
      <c r="H48" s="112">
        <v>0.78</v>
      </c>
      <c r="I48" s="112">
        <v>3.08</v>
      </c>
      <c r="J48" s="112">
        <v>0.98</v>
      </c>
      <c r="K48" s="112">
        <v>277.27</v>
      </c>
      <c r="L48" s="112">
        <v>25.75</v>
      </c>
      <c r="M48" s="112">
        <v>95.3</v>
      </c>
      <c r="N48" s="112">
        <v>100</v>
      </c>
      <c r="O48" s="112">
        <v>0</v>
      </c>
      <c r="P48" s="112">
        <v>0.28999999999999998</v>
      </c>
      <c r="Q48" s="112">
        <v>4.7300000000000004</v>
      </c>
    </row>
    <row r="49" spans="1:17" customFormat="1">
      <c r="A49" s="80">
        <v>45498.427083333336</v>
      </c>
      <c r="B49" s="112">
        <v>9.16</v>
      </c>
      <c r="C49" s="112">
        <v>4.21</v>
      </c>
      <c r="D49" s="112">
        <v>14</v>
      </c>
      <c r="E49" s="112">
        <v>9.0399999999999991</v>
      </c>
      <c r="F49" s="112">
        <v>3.99</v>
      </c>
      <c r="G49" s="112">
        <v>1.49</v>
      </c>
      <c r="H49" s="112">
        <v>0.78</v>
      </c>
      <c r="I49" s="112">
        <v>3.1</v>
      </c>
      <c r="J49" s="112">
        <v>0.92</v>
      </c>
      <c r="K49" s="112">
        <v>277.43</v>
      </c>
      <c r="L49" s="112">
        <v>25.93</v>
      </c>
      <c r="M49" s="112">
        <v>94.23</v>
      </c>
      <c r="N49" s="112">
        <v>115.1</v>
      </c>
      <c r="O49" s="112">
        <v>0</v>
      </c>
      <c r="P49" s="112">
        <v>0.28999999999999998</v>
      </c>
      <c r="Q49" s="112">
        <v>4.7300000000000004</v>
      </c>
    </row>
    <row r="50" spans="1:17" customFormat="1">
      <c r="A50" s="80">
        <v>45498.4375</v>
      </c>
      <c r="B50" s="112">
        <v>9.16</v>
      </c>
      <c r="C50" s="112">
        <v>4.22</v>
      </c>
      <c r="D50" s="112">
        <v>14</v>
      </c>
      <c r="E50" s="112">
        <v>11.02</v>
      </c>
      <c r="F50" s="112">
        <v>4.3499999999999996</v>
      </c>
      <c r="G50" s="112">
        <v>1.5</v>
      </c>
      <c r="H50" s="112">
        <v>0.78</v>
      </c>
      <c r="I50" s="112">
        <v>3.12</v>
      </c>
      <c r="J50" s="112">
        <v>0.96</v>
      </c>
      <c r="K50" s="112">
        <v>275.57</v>
      </c>
      <c r="L50" s="112">
        <v>25.91</v>
      </c>
      <c r="M50" s="112">
        <v>93.47</v>
      </c>
      <c r="N50" s="112">
        <v>81.8</v>
      </c>
      <c r="O50" s="112">
        <v>0</v>
      </c>
      <c r="P50" s="112">
        <v>0.3</v>
      </c>
      <c r="Q50" s="112">
        <v>4.7300000000000004</v>
      </c>
    </row>
    <row r="51" spans="1:17" customFormat="1">
      <c r="A51" s="80">
        <v>45498.447916666664</v>
      </c>
      <c r="B51" s="112">
        <v>9.18</v>
      </c>
      <c r="C51" s="112">
        <v>4.2</v>
      </c>
      <c r="D51" s="112">
        <v>14</v>
      </c>
      <c r="E51" s="112">
        <v>10.46</v>
      </c>
      <c r="F51" s="112">
        <v>4.74</v>
      </c>
      <c r="G51" s="112">
        <v>1.69</v>
      </c>
      <c r="H51" s="112">
        <v>0.77</v>
      </c>
      <c r="I51" s="112">
        <v>3.14</v>
      </c>
      <c r="J51" s="112">
        <v>0.94</v>
      </c>
      <c r="K51" s="112">
        <v>276.89</v>
      </c>
      <c r="L51" s="112">
        <v>25.89</v>
      </c>
      <c r="M51" s="112">
        <v>93.46</v>
      </c>
      <c r="N51" s="112">
        <v>68.5</v>
      </c>
      <c r="O51" s="112">
        <v>0</v>
      </c>
      <c r="P51" s="112">
        <v>0.3</v>
      </c>
      <c r="Q51" s="112">
        <v>4.74</v>
      </c>
    </row>
    <row r="52" spans="1:17" customFormat="1">
      <c r="A52" s="80">
        <v>45498.458333333336</v>
      </c>
      <c r="B52" s="112">
        <v>9.17</v>
      </c>
      <c r="C52" s="112">
        <v>4.21</v>
      </c>
      <c r="D52" s="112">
        <v>14</v>
      </c>
      <c r="E52" s="112">
        <v>10.17</v>
      </c>
      <c r="F52" s="112">
        <v>4.13</v>
      </c>
      <c r="G52" s="112">
        <v>1.69</v>
      </c>
      <c r="H52" s="112">
        <v>0.77</v>
      </c>
      <c r="I52" s="112">
        <v>3.12</v>
      </c>
      <c r="J52" s="112">
        <v>0.88</v>
      </c>
      <c r="K52" s="112">
        <v>275.20999999999998</v>
      </c>
      <c r="L52" s="112">
        <v>25.92</v>
      </c>
      <c r="M52" s="112">
        <v>92.55</v>
      </c>
      <c r="N52" s="112">
        <v>80.900000000000006</v>
      </c>
      <c r="O52" s="112">
        <v>0</v>
      </c>
      <c r="P52" s="112">
        <v>0.28999999999999998</v>
      </c>
      <c r="Q52" s="112">
        <v>4.74</v>
      </c>
    </row>
    <row r="53" spans="1:17" customFormat="1">
      <c r="A53" s="80">
        <v>45498.46875</v>
      </c>
      <c r="B53" s="112">
        <v>9.17</v>
      </c>
      <c r="C53" s="112">
        <v>4.21</v>
      </c>
      <c r="D53" s="112">
        <v>14</v>
      </c>
      <c r="E53" s="112">
        <v>10.1</v>
      </c>
      <c r="F53" s="112">
        <v>4.82</v>
      </c>
      <c r="G53" s="112">
        <v>1.69</v>
      </c>
      <c r="H53" s="112">
        <v>0.77</v>
      </c>
      <c r="I53" s="112">
        <v>3.16</v>
      </c>
      <c r="J53" s="112">
        <v>0.92</v>
      </c>
      <c r="K53" s="112">
        <v>276.19</v>
      </c>
      <c r="L53" s="112">
        <v>25.65</v>
      </c>
      <c r="M53" s="112">
        <v>94.17</v>
      </c>
      <c r="N53" s="112">
        <v>60</v>
      </c>
      <c r="O53" s="112">
        <v>0.2</v>
      </c>
      <c r="P53" s="112">
        <v>0.28000000000000003</v>
      </c>
      <c r="Q53" s="112">
        <v>4.7300000000000004</v>
      </c>
    </row>
    <row r="54" spans="1:17" customFormat="1">
      <c r="A54" s="80">
        <v>45498.479166666664</v>
      </c>
      <c r="B54" s="112">
        <v>9.17</v>
      </c>
      <c r="C54" s="112">
        <v>4.21</v>
      </c>
      <c r="D54" s="112">
        <v>14</v>
      </c>
      <c r="E54" s="112">
        <v>10.67</v>
      </c>
      <c r="F54" s="112">
        <v>5.3</v>
      </c>
      <c r="G54" s="112">
        <v>1.7</v>
      </c>
      <c r="H54" s="112">
        <v>0.77</v>
      </c>
      <c r="I54" s="112">
        <v>3.13</v>
      </c>
      <c r="J54" s="112">
        <v>0.78</v>
      </c>
      <c r="K54" s="112">
        <v>277.62</v>
      </c>
      <c r="L54" s="112">
        <v>25.51</v>
      </c>
      <c r="M54" s="112">
        <v>95.75</v>
      </c>
      <c r="N54" s="112">
        <v>66.599999999999994</v>
      </c>
      <c r="O54" s="112">
        <v>0</v>
      </c>
      <c r="P54" s="112">
        <v>0.28000000000000003</v>
      </c>
      <c r="Q54" s="112">
        <v>4.7300000000000004</v>
      </c>
    </row>
    <row r="55" spans="1:17" customFormat="1">
      <c r="A55" s="80">
        <v>45498.489583333336</v>
      </c>
      <c r="B55" s="112">
        <v>9.19</v>
      </c>
      <c r="C55" s="112">
        <v>4.18</v>
      </c>
      <c r="D55" s="112">
        <v>14</v>
      </c>
      <c r="E55" s="112">
        <v>10.36</v>
      </c>
      <c r="F55" s="112">
        <v>5.74</v>
      </c>
      <c r="G55" s="112">
        <v>1.83</v>
      </c>
      <c r="H55" s="112">
        <v>0.75</v>
      </c>
      <c r="I55" s="112">
        <v>3.12</v>
      </c>
      <c r="J55" s="112">
        <v>0.83</v>
      </c>
      <c r="K55" s="112">
        <v>278.72000000000003</v>
      </c>
      <c r="L55" s="112">
        <v>25.52</v>
      </c>
      <c r="M55" s="112">
        <v>96.09</v>
      </c>
      <c r="N55" s="112">
        <v>56.7</v>
      </c>
      <c r="O55" s="112">
        <v>0</v>
      </c>
      <c r="P55" s="112">
        <v>0.28999999999999998</v>
      </c>
      <c r="Q55" s="112">
        <v>4.74</v>
      </c>
    </row>
    <row r="56" spans="1:17" customFormat="1">
      <c r="A56" s="80">
        <v>45498.5</v>
      </c>
      <c r="B56" s="112">
        <v>9.18</v>
      </c>
      <c r="C56" s="112">
        <v>4.18</v>
      </c>
      <c r="D56" s="112">
        <v>14</v>
      </c>
      <c r="E56" s="112">
        <v>11.03</v>
      </c>
      <c r="F56" s="112">
        <v>4.3</v>
      </c>
      <c r="G56" s="112">
        <v>1.83</v>
      </c>
      <c r="H56" s="112">
        <v>0.75</v>
      </c>
      <c r="I56" s="112">
        <v>3.1</v>
      </c>
      <c r="J56" s="112">
        <v>0.93</v>
      </c>
      <c r="K56" s="112">
        <v>277.64</v>
      </c>
      <c r="L56" s="112">
        <v>25.42</v>
      </c>
      <c r="M56" s="112">
        <v>96.66</v>
      </c>
      <c r="N56" s="112">
        <v>50.9</v>
      </c>
      <c r="O56" s="112">
        <v>0</v>
      </c>
      <c r="P56" s="112">
        <v>0.28999999999999998</v>
      </c>
      <c r="Q56" s="112">
        <v>4.74</v>
      </c>
    </row>
    <row r="57" spans="1:17" customFormat="1">
      <c r="A57" s="80">
        <v>45498.510416666664</v>
      </c>
      <c r="B57" s="112">
        <v>9.19</v>
      </c>
      <c r="C57" s="112">
        <v>4.17</v>
      </c>
      <c r="D57" s="112">
        <v>14</v>
      </c>
      <c r="E57" s="112">
        <v>11.39</v>
      </c>
      <c r="F57" s="112">
        <v>3.74</v>
      </c>
      <c r="G57" s="112">
        <v>1.83</v>
      </c>
      <c r="H57" s="112">
        <v>0.75</v>
      </c>
      <c r="I57" s="112">
        <v>2.89</v>
      </c>
      <c r="J57" s="112">
        <v>0.81</v>
      </c>
      <c r="K57" s="112">
        <v>274.7</v>
      </c>
      <c r="L57" s="112">
        <v>25.34</v>
      </c>
      <c r="M57" s="112">
        <v>97.29</v>
      </c>
      <c r="N57" s="112">
        <v>35.299999999999997</v>
      </c>
      <c r="O57" s="112">
        <v>0</v>
      </c>
      <c r="P57" s="112">
        <v>0.28999999999999998</v>
      </c>
      <c r="Q57" s="112">
        <v>4.7300000000000004</v>
      </c>
    </row>
    <row r="58" spans="1:17" customFormat="1">
      <c r="A58" s="80">
        <v>45498.520833333336</v>
      </c>
      <c r="B58" s="112">
        <v>9.2100000000000009</v>
      </c>
      <c r="C58" s="112">
        <v>4.1399999999999997</v>
      </c>
      <c r="D58" s="112">
        <v>14</v>
      </c>
      <c r="E58" s="112">
        <v>11.25</v>
      </c>
      <c r="F58" s="112">
        <v>3.54</v>
      </c>
      <c r="G58" s="112">
        <v>1.83</v>
      </c>
      <c r="H58" s="112">
        <v>0.75</v>
      </c>
      <c r="I58" s="112">
        <v>3.06</v>
      </c>
      <c r="J58" s="112">
        <v>0.94</v>
      </c>
      <c r="K58" s="112">
        <v>278.63</v>
      </c>
      <c r="L58" s="112">
        <v>25.31</v>
      </c>
      <c r="M58" s="112">
        <v>97.27</v>
      </c>
      <c r="N58" s="112">
        <v>45.1</v>
      </c>
      <c r="O58" s="112">
        <v>0</v>
      </c>
      <c r="P58" s="112">
        <v>0.28999999999999998</v>
      </c>
      <c r="Q58" s="112">
        <v>4.7300000000000004</v>
      </c>
    </row>
    <row r="59" spans="1:17" customFormat="1">
      <c r="A59" s="80">
        <v>45498.53125</v>
      </c>
      <c r="B59" s="112">
        <v>9.1999999999999993</v>
      </c>
      <c r="C59" s="112">
        <v>4.16</v>
      </c>
      <c r="D59" s="112">
        <v>14</v>
      </c>
      <c r="E59" s="112">
        <v>12.02</v>
      </c>
      <c r="F59" s="112">
        <v>3.58</v>
      </c>
      <c r="G59" s="112">
        <v>1.89</v>
      </c>
      <c r="H59" s="112">
        <v>0.76</v>
      </c>
      <c r="I59" s="112">
        <v>3.09</v>
      </c>
      <c r="J59" s="112">
        <v>0.78</v>
      </c>
      <c r="K59" s="112">
        <v>277.14999999999998</v>
      </c>
      <c r="L59" s="112">
        <v>25.45</v>
      </c>
      <c r="M59" s="112">
        <v>96.12</v>
      </c>
      <c r="N59" s="112">
        <v>54.1</v>
      </c>
      <c r="O59" s="112">
        <v>0</v>
      </c>
      <c r="P59" s="112">
        <v>0.3</v>
      </c>
      <c r="Q59" s="112">
        <v>4.7300000000000004</v>
      </c>
    </row>
    <row r="60" spans="1:17" customFormat="1">
      <c r="A60" s="80">
        <v>45498.541666666664</v>
      </c>
      <c r="B60" s="112">
        <v>9.19</v>
      </c>
      <c r="C60" s="112">
        <v>4.18</v>
      </c>
      <c r="D60" s="112">
        <v>14</v>
      </c>
      <c r="E60" s="112">
        <v>11.59</v>
      </c>
      <c r="F60" s="112">
        <v>3.63</v>
      </c>
      <c r="G60" s="112">
        <v>1.89</v>
      </c>
      <c r="H60" s="112">
        <v>0.76</v>
      </c>
      <c r="I60" s="112">
        <v>3.08</v>
      </c>
      <c r="J60" s="112">
        <v>0.79</v>
      </c>
      <c r="K60" s="112">
        <v>283.85000000000002</v>
      </c>
      <c r="L60" s="112">
        <v>25.45</v>
      </c>
      <c r="M60" s="112">
        <v>96.2</v>
      </c>
      <c r="N60" s="112">
        <v>54.6</v>
      </c>
      <c r="O60" s="112">
        <v>0</v>
      </c>
      <c r="P60" s="112">
        <v>0.28999999999999998</v>
      </c>
      <c r="Q60" s="112">
        <v>4.7300000000000004</v>
      </c>
    </row>
    <row r="61" spans="1:17" customFormat="1">
      <c r="A61" s="80">
        <v>45498.552083333336</v>
      </c>
      <c r="B61" s="112">
        <v>9.19</v>
      </c>
      <c r="C61" s="112">
        <v>4.18</v>
      </c>
      <c r="D61" s="112">
        <v>14</v>
      </c>
      <c r="E61" s="112">
        <v>11.94</v>
      </c>
      <c r="F61" s="112">
        <v>3.59</v>
      </c>
      <c r="G61" s="112">
        <v>1.89</v>
      </c>
      <c r="H61" s="112">
        <v>0.76</v>
      </c>
      <c r="I61" s="112">
        <v>3.09</v>
      </c>
      <c r="J61" s="112">
        <v>0.7</v>
      </c>
      <c r="K61" s="112">
        <v>276.99</v>
      </c>
      <c r="L61" s="112">
        <v>25.44</v>
      </c>
      <c r="M61" s="112">
        <v>96.12</v>
      </c>
      <c r="N61" s="112">
        <v>36.799999999999997</v>
      </c>
      <c r="O61" s="112">
        <v>0</v>
      </c>
      <c r="P61" s="112">
        <v>0.28999999999999998</v>
      </c>
      <c r="Q61" s="112">
        <v>4.7300000000000004</v>
      </c>
    </row>
    <row r="62" spans="1:17" customFormat="1">
      <c r="A62" s="80">
        <v>45498.5625</v>
      </c>
      <c r="B62" s="112">
        <v>9.19</v>
      </c>
      <c r="C62" s="112">
        <v>4.18</v>
      </c>
      <c r="D62" s="112">
        <v>14</v>
      </c>
      <c r="E62" s="112">
        <v>12.27</v>
      </c>
      <c r="F62" s="112">
        <v>3.56</v>
      </c>
      <c r="G62" s="112">
        <v>1.89</v>
      </c>
      <c r="H62" s="112">
        <v>0.76</v>
      </c>
      <c r="I62" s="112">
        <v>3.08</v>
      </c>
      <c r="J62" s="112">
        <v>0.89</v>
      </c>
      <c r="K62" s="112">
        <v>277.18</v>
      </c>
      <c r="L62" s="112">
        <v>25.36</v>
      </c>
      <c r="M62" s="112">
        <v>96.19</v>
      </c>
      <c r="N62" s="112">
        <v>60.8</v>
      </c>
      <c r="O62" s="112">
        <v>0</v>
      </c>
      <c r="P62" s="112">
        <v>0.3</v>
      </c>
      <c r="Q62" s="112">
        <v>4.7300000000000004</v>
      </c>
    </row>
    <row r="63" spans="1:17" customFormat="1">
      <c r="A63" s="80">
        <v>45498.572916666664</v>
      </c>
      <c r="B63" s="112">
        <v>9.19</v>
      </c>
      <c r="C63" s="112">
        <v>4.17</v>
      </c>
      <c r="D63" s="112">
        <v>14</v>
      </c>
      <c r="E63" s="112">
        <v>12.25</v>
      </c>
      <c r="F63" s="112">
        <v>3.72</v>
      </c>
      <c r="G63" s="112">
        <v>1.84</v>
      </c>
      <c r="H63" s="112">
        <v>0.77</v>
      </c>
      <c r="I63" s="112">
        <v>2.97</v>
      </c>
      <c r="J63" s="112">
        <v>0.86</v>
      </c>
      <c r="K63" s="112">
        <v>273.64999999999998</v>
      </c>
      <c r="L63" s="112">
        <v>25.71</v>
      </c>
      <c r="M63" s="112">
        <v>94.54</v>
      </c>
      <c r="N63" s="112">
        <v>102.7</v>
      </c>
      <c r="O63" s="112">
        <v>0</v>
      </c>
      <c r="P63" s="112">
        <v>0.3</v>
      </c>
      <c r="Q63" s="112">
        <v>4.7300000000000004</v>
      </c>
    </row>
    <row r="64" spans="1:17" customFormat="1">
      <c r="A64" s="80">
        <v>45498.583333333336</v>
      </c>
      <c r="B64" s="112">
        <v>9.19</v>
      </c>
      <c r="C64" s="112">
        <v>4.18</v>
      </c>
      <c r="D64" s="112">
        <v>14</v>
      </c>
      <c r="E64" s="112">
        <v>12.53</v>
      </c>
      <c r="F64" s="112">
        <v>3.68</v>
      </c>
      <c r="G64" s="112">
        <v>1.84</v>
      </c>
      <c r="H64" s="112">
        <v>0.77</v>
      </c>
      <c r="I64" s="112">
        <v>2.94</v>
      </c>
      <c r="J64" s="112">
        <v>0.81</v>
      </c>
      <c r="K64" s="112">
        <v>272.97000000000003</v>
      </c>
      <c r="L64" s="112">
        <v>26.09</v>
      </c>
      <c r="M64" s="112">
        <v>93.26</v>
      </c>
      <c r="N64" s="112">
        <v>128.19999999999999</v>
      </c>
      <c r="O64" s="112">
        <v>0</v>
      </c>
      <c r="P64" s="112">
        <v>0.28999999999999998</v>
      </c>
      <c r="Q64" s="112">
        <v>4.7300000000000004</v>
      </c>
    </row>
    <row r="65" spans="1:17" customFormat="1">
      <c r="A65" s="80">
        <v>45498.59375</v>
      </c>
      <c r="B65" s="112">
        <v>9.18</v>
      </c>
      <c r="C65" s="112">
        <v>4.18</v>
      </c>
      <c r="D65" s="112">
        <v>14</v>
      </c>
      <c r="E65" s="112">
        <v>12.53</v>
      </c>
      <c r="F65" s="112">
        <v>3.68</v>
      </c>
      <c r="G65" s="112">
        <v>1.84</v>
      </c>
      <c r="H65" s="112">
        <v>0.77</v>
      </c>
      <c r="I65" s="112">
        <v>2.95</v>
      </c>
      <c r="J65" s="112">
        <v>0.74</v>
      </c>
      <c r="K65" s="112">
        <v>275.26</v>
      </c>
      <c r="L65" s="112">
        <v>25.97</v>
      </c>
      <c r="M65" s="112">
        <v>94.95</v>
      </c>
      <c r="N65" s="112">
        <v>131.5</v>
      </c>
      <c r="O65" s="112">
        <v>0</v>
      </c>
      <c r="P65" s="112">
        <v>0.28999999999999998</v>
      </c>
      <c r="Q65" s="112">
        <v>4.7300000000000004</v>
      </c>
    </row>
    <row r="66" spans="1:17" customFormat="1">
      <c r="A66" s="80">
        <v>45498.604166666664</v>
      </c>
      <c r="B66" s="112">
        <v>9.17</v>
      </c>
      <c r="C66" s="112">
        <v>4.21</v>
      </c>
      <c r="D66" s="112">
        <v>14</v>
      </c>
      <c r="E66" s="112">
        <v>12.69</v>
      </c>
      <c r="F66" s="112">
        <v>3.96</v>
      </c>
      <c r="G66" s="112">
        <v>1.94</v>
      </c>
      <c r="H66" s="112">
        <v>0.77</v>
      </c>
      <c r="I66" s="112">
        <v>2.95</v>
      </c>
      <c r="J66" s="112">
        <v>0.71</v>
      </c>
      <c r="K66" s="112">
        <v>270.25</v>
      </c>
      <c r="L66" s="112">
        <v>26.32</v>
      </c>
      <c r="M66" s="112">
        <v>93.13</v>
      </c>
      <c r="N66" s="112">
        <v>122.6</v>
      </c>
      <c r="O66" s="112">
        <v>0</v>
      </c>
      <c r="P66" s="112">
        <v>0.3</v>
      </c>
      <c r="Q66" s="112">
        <v>4.7300000000000004</v>
      </c>
    </row>
    <row r="67" spans="1:17" customFormat="1">
      <c r="A67" s="80">
        <v>45498.614583333336</v>
      </c>
      <c r="B67" s="112">
        <v>9.17</v>
      </c>
      <c r="C67" s="112">
        <v>4.21</v>
      </c>
      <c r="D67" s="112">
        <v>14</v>
      </c>
      <c r="E67" s="112">
        <v>12.69</v>
      </c>
      <c r="F67" s="112">
        <v>4.21</v>
      </c>
      <c r="G67" s="112">
        <v>3.64</v>
      </c>
      <c r="H67" s="112">
        <v>0.76</v>
      </c>
      <c r="I67" s="112">
        <v>2.94</v>
      </c>
      <c r="J67" s="112">
        <v>0.64</v>
      </c>
      <c r="K67" s="112">
        <v>278.14999999999998</v>
      </c>
      <c r="L67" s="112">
        <v>26.3</v>
      </c>
      <c r="M67" s="112">
        <v>94.01</v>
      </c>
      <c r="N67" s="112">
        <v>73.8</v>
      </c>
      <c r="O67" s="112">
        <v>0</v>
      </c>
      <c r="P67" s="112">
        <v>0.3</v>
      </c>
      <c r="Q67" s="112">
        <v>4.72</v>
      </c>
    </row>
    <row r="68" spans="1:17" customFormat="1">
      <c r="A68" s="80">
        <v>45498.625</v>
      </c>
      <c r="B68" s="112">
        <v>9.15</v>
      </c>
      <c r="C68" s="112">
        <v>4.2300000000000004</v>
      </c>
      <c r="D68" s="112">
        <v>14</v>
      </c>
      <c r="E68" s="112">
        <v>12.9</v>
      </c>
      <c r="F68" s="112">
        <v>3.79</v>
      </c>
      <c r="G68" s="112">
        <v>3.64</v>
      </c>
      <c r="H68" s="112">
        <v>0.76</v>
      </c>
      <c r="I68" s="112">
        <v>2.91</v>
      </c>
      <c r="J68" s="112">
        <v>0.61</v>
      </c>
      <c r="K68" s="112">
        <v>277.75</v>
      </c>
      <c r="L68" s="112">
        <v>26.3</v>
      </c>
      <c r="M68" s="112">
        <v>94.24</v>
      </c>
      <c r="N68" s="112">
        <v>74.7</v>
      </c>
      <c r="O68" s="112">
        <v>0</v>
      </c>
      <c r="P68" s="112">
        <v>0.31</v>
      </c>
      <c r="Q68" s="112">
        <v>4.7300000000000004</v>
      </c>
    </row>
    <row r="69" spans="1:17" customFormat="1">
      <c r="A69" s="80">
        <v>45498.635416666664</v>
      </c>
      <c r="B69" s="112">
        <v>9.16</v>
      </c>
      <c r="C69" s="112">
        <v>4.22</v>
      </c>
      <c r="D69" s="112">
        <v>14</v>
      </c>
      <c r="E69" s="112">
        <v>12.86</v>
      </c>
      <c r="F69" s="112">
        <v>3.73</v>
      </c>
      <c r="G69" s="112">
        <v>3.64</v>
      </c>
      <c r="H69" s="112">
        <v>0.76</v>
      </c>
      <c r="I69" s="112">
        <v>2.95</v>
      </c>
      <c r="J69" s="112">
        <v>0.76</v>
      </c>
      <c r="K69" s="112">
        <v>273.83999999999997</v>
      </c>
      <c r="L69" s="112">
        <v>26.24</v>
      </c>
      <c r="M69" s="112">
        <v>94.89</v>
      </c>
      <c r="N69" s="112">
        <v>73.400000000000006</v>
      </c>
      <c r="O69" s="112">
        <v>0</v>
      </c>
      <c r="P69" s="112">
        <v>0.3</v>
      </c>
      <c r="Q69" s="112">
        <v>4.7300000000000004</v>
      </c>
    </row>
    <row r="70" spans="1:17" customFormat="1">
      <c r="A70" s="80">
        <v>45498.645833333336</v>
      </c>
      <c r="B70" s="112">
        <v>9.16</v>
      </c>
      <c r="C70" s="112">
        <v>4.22</v>
      </c>
      <c r="D70" s="112">
        <v>14</v>
      </c>
      <c r="E70" s="112">
        <v>13.08</v>
      </c>
      <c r="F70" s="112">
        <v>3.72</v>
      </c>
      <c r="G70" s="112">
        <v>3.63</v>
      </c>
      <c r="H70" s="112">
        <v>0.77</v>
      </c>
      <c r="I70" s="112">
        <v>2.94</v>
      </c>
      <c r="J70" s="112">
        <v>0.93</v>
      </c>
      <c r="K70" s="112">
        <v>276.56</v>
      </c>
      <c r="L70" s="112">
        <v>26.37</v>
      </c>
      <c r="M70" s="112">
        <v>94.35</v>
      </c>
      <c r="N70" s="112">
        <v>93.3</v>
      </c>
      <c r="O70" s="112">
        <v>0</v>
      </c>
      <c r="P70" s="112">
        <v>0.31</v>
      </c>
      <c r="Q70" s="112">
        <v>4.72</v>
      </c>
    </row>
    <row r="71" spans="1:17" customFormat="1">
      <c r="A71" s="80">
        <v>45498.65625</v>
      </c>
      <c r="B71" s="112">
        <v>9.16</v>
      </c>
      <c r="C71" s="112">
        <v>4.22</v>
      </c>
      <c r="D71" s="112">
        <v>14</v>
      </c>
      <c r="E71" s="112">
        <v>13.36</v>
      </c>
      <c r="F71" s="112">
        <v>3.53</v>
      </c>
      <c r="G71" s="112">
        <v>3.5</v>
      </c>
      <c r="H71" s="112">
        <v>0.84</v>
      </c>
      <c r="I71" s="112">
        <v>2.93</v>
      </c>
      <c r="J71" s="112">
        <v>0.85</v>
      </c>
      <c r="K71" s="112">
        <v>276.26</v>
      </c>
      <c r="L71" s="112">
        <v>26.47</v>
      </c>
      <c r="M71" s="112">
        <v>94.6</v>
      </c>
      <c r="N71" s="112">
        <v>107.9</v>
      </c>
      <c r="O71" s="112">
        <v>0</v>
      </c>
      <c r="P71" s="112">
        <v>0.31</v>
      </c>
      <c r="Q71" s="112">
        <v>4.7300000000000004</v>
      </c>
    </row>
    <row r="72" spans="1:17" customFormat="1">
      <c r="A72" s="80">
        <v>45498.666666666664</v>
      </c>
      <c r="B72" s="112">
        <v>9.14</v>
      </c>
      <c r="C72" s="112">
        <v>4.24</v>
      </c>
      <c r="D72" s="112">
        <v>14</v>
      </c>
      <c r="E72" s="112">
        <v>13</v>
      </c>
      <c r="F72" s="112">
        <v>3.56</v>
      </c>
      <c r="G72" s="112">
        <v>3.5</v>
      </c>
      <c r="H72" s="112">
        <v>0.84</v>
      </c>
      <c r="I72" s="112">
        <v>2.91</v>
      </c>
      <c r="J72" s="112">
        <v>0.91</v>
      </c>
      <c r="K72" s="112">
        <v>275.08</v>
      </c>
      <c r="L72" s="112">
        <v>26.58</v>
      </c>
      <c r="M72" s="112">
        <v>95.5</v>
      </c>
      <c r="N72" s="112">
        <v>119.7</v>
      </c>
      <c r="O72" s="112">
        <v>0</v>
      </c>
      <c r="P72" s="112">
        <v>0.34</v>
      </c>
      <c r="Q72" s="112">
        <v>4.72</v>
      </c>
    </row>
    <row r="73" spans="1:17" customFormat="1">
      <c r="A73" s="80">
        <v>45498.677083333336</v>
      </c>
      <c r="B73" s="112">
        <v>9.14</v>
      </c>
      <c r="C73" s="112">
        <v>4.24</v>
      </c>
      <c r="D73" s="112">
        <v>14</v>
      </c>
      <c r="E73" s="112">
        <v>13.38</v>
      </c>
      <c r="F73" s="112">
        <v>3.76</v>
      </c>
      <c r="G73" s="112">
        <v>3.5</v>
      </c>
      <c r="H73" s="112">
        <v>0.84</v>
      </c>
      <c r="I73" s="112">
        <v>2.95</v>
      </c>
      <c r="J73" s="112">
        <v>0.82</v>
      </c>
      <c r="K73" s="112">
        <v>276.58</v>
      </c>
      <c r="L73" s="112">
        <v>26.59</v>
      </c>
      <c r="M73" s="112">
        <v>97.74</v>
      </c>
      <c r="N73" s="112">
        <v>100.3</v>
      </c>
      <c r="O73" s="112">
        <v>0</v>
      </c>
      <c r="P73" s="112">
        <v>0.34</v>
      </c>
      <c r="Q73" s="112">
        <v>4.72</v>
      </c>
    </row>
    <row r="74" spans="1:17" customFormat="1">
      <c r="A74" s="80">
        <v>45498.6875</v>
      </c>
      <c r="B74" s="112">
        <v>9.19</v>
      </c>
      <c r="C74" s="112">
        <v>4.17</v>
      </c>
      <c r="D74" s="112">
        <v>14</v>
      </c>
      <c r="E74" s="112">
        <v>12.74</v>
      </c>
      <c r="F74" s="112">
        <v>4.8099999999999996</v>
      </c>
      <c r="G74" s="112">
        <v>3.58</v>
      </c>
      <c r="H74" s="112">
        <v>0.84</v>
      </c>
      <c r="I74" s="112">
        <v>3.01</v>
      </c>
      <c r="J74" s="112">
        <v>0.72</v>
      </c>
      <c r="K74" s="112">
        <v>274.18</v>
      </c>
      <c r="L74" s="112">
        <v>26.58</v>
      </c>
      <c r="M74" s="112">
        <v>97.89</v>
      </c>
      <c r="N74" s="112">
        <v>93.4</v>
      </c>
      <c r="O74" s="112">
        <v>0</v>
      </c>
      <c r="P74" s="112">
        <v>0.33</v>
      </c>
      <c r="Q74" s="112">
        <v>4.72</v>
      </c>
    </row>
    <row r="75" spans="1:17" customFormat="1">
      <c r="A75" s="80">
        <v>45498.697916666664</v>
      </c>
      <c r="B75" s="112">
        <v>9.1999999999999993</v>
      </c>
      <c r="C75" s="112">
        <v>4.1500000000000004</v>
      </c>
      <c r="D75" s="112">
        <v>14</v>
      </c>
      <c r="E75" s="112">
        <v>12.18</v>
      </c>
      <c r="F75" s="112">
        <v>5.0199999999999996</v>
      </c>
      <c r="G75" s="112">
        <v>4.8899999999999997</v>
      </c>
      <c r="H75" s="112">
        <v>0.94</v>
      </c>
      <c r="I75" s="112">
        <v>3</v>
      </c>
      <c r="J75" s="112">
        <v>0.66</v>
      </c>
      <c r="K75" s="112">
        <v>273.93</v>
      </c>
      <c r="L75" s="112">
        <v>26.65</v>
      </c>
      <c r="M75" s="112">
        <v>93.97</v>
      </c>
      <c r="N75" s="112">
        <v>94.4</v>
      </c>
      <c r="O75" s="112">
        <v>0</v>
      </c>
      <c r="P75" s="112">
        <v>0.33</v>
      </c>
      <c r="Q75" s="112">
        <v>4.72</v>
      </c>
    </row>
    <row r="76" spans="1:17" customFormat="1">
      <c r="A76" s="80">
        <v>45498.708333333336</v>
      </c>
      <c r="B76" s="112">
        <v>9.18</v>
      </c>
      <c r="C76" s="112">
        <v>4.18</v>
      </c>
      <c r="D76" s="112">
        <v>14</v>
      </c>
      <c r="E76" s="112">
        <v>11.7</v>
      </c>
      <c r="F76" s="112">
        <v>4.6900000000000004</v>
      </c>
      <c r="G76" s="112">
        <v>4.8899999999999997</v>
      </c>
      <c r="H76" s="112">
        <v>0.94</v>
      </c>
      <c r="I76" s="112">
        <v>2.94</v>
      </c>
      <c r="J76" s="112">
        <v>0.65</v>
      </c>
      <c r="K76" s="112">
        <v>270.52</v>
      </c>
      <c r="L76" s="112">
        <v>26.74</v>
      </c>
      <c r="M76" s="112">
        <v>91.58</v>
      </c>
      <c r="N76" s="112">
        <v>80.099999999999994</v>
      </c>
      <c r="O76" s="112">
        <v>0</v>
      </c>
      <c r="P76" s="112">
        <v>0.32</v>
      </c>
      <c r="Q76" s="112">
        <v>4.71</v>
      </c>
    </row>
    <row r="77" spans="1:17" customFormat="1">
      <c r="A77" s="80">
        <v>45498.71875</v>
      </c>
      <c r="B77" s="112">
        <v>9.18</v>
      </c>
      <c r="C77" s="112">
        <v>4.18</v>
      </c>
      <c r="D77" s="112">
        <v>14</v>
      </c>
      <c r="E77" s="112">
        <v>11.43</v>
      </c>
      <c r="F77" s="112">
        <v>4.78</v>
      </c>
      <c r="G77" s="112">
        <v>4.8899999999999997</v>
      </c>
      <c r="H77" s="112">
        <v>0.94</v>
      </c>
      <c r="I77" s="112">
        <v>2.96</v>
      </c>
      <c r="J77" s="112">
        <v>0.56999999999999995</v>
      </c>
      <c r="K77" s="112">
        <v>271.3</v>
      </c>
      <c r="L77" s="112">
        <v>26.63</v>
      </c>
      <c r="M77" s="112">
        <v>92.21</v>
      </c>
      <c r="N77" s="112">
        <v>59.4</v>
      </c>
      <c r="O77" s="112">
        <v>0</v>
      </c>
      <c r="P77" s="112">
        <v>0.33</v>
      </c>
      <c r="Q77" s="112">
        <v>4.72</v>
      </c>
    </row>
    <row r="78" spans="1:17" customFormat="1">
      <c r="A78" s="80">
        <v>45498.729166666664</v>
      </c>
      <c r="B78" s="112">
        <v>9.18</v>
      </c>
      <c r="C78" s="112">
        <v>4.2</v>
      </c>
      <c r="D78" s="112">
        <v>14</v>
      </c>
      <c r="E78" s="112">
        <v>11.62</v>
      </c>
      <c r="F78" s="112">
        <v>5.88</v>
      </c>
      <c r="G78" s="112">
        <v>5.03</v>
      </c>
      <c r="H78" s="112">
        <v>0.94</v>
      </c>
      <c r="I78" s="112">
        <v>2.99</v>
      </c>
      <c r="J78" s="112">
        <v>0.7</v>
      </c>
      <c r="K78" s="112">
        <v>271.2</v>
      </c>
      <c r="L78" s="112">
        <v>26.48</v>
      </c>
      <c r="M78" s="112">
        <v>91.71</v>
      </c>
      <c r="N78" s="112">
        <v>42</v>
      </c>
      <c r="O78" s="112">
        <v>0</v>
      </c>
      <c r="P78" s="112">
        <v>0.33</v>
      </c>
      <c r="Q78" s="112">
        <v>4.72</v>
      </c>
    </row>
    <row r="79" spans="1:17" customFormat="1">
      <c r="A79" s="80">
        <v>45498.739583333336</v>
      </c>
      <c r="B79" s="112">
        <v>9.16</v>
      </c>
      <c r="C79" s="112">
        <v>4.22</v>
      </c>
      <c r="D79" s="112">
        <v>14</v>
      </c>
      <c r="E79" s="112">
        <v>11.09</v>
      </c>
      <c r="F79" s="112">
        <v>6.7</v>
      </c>
      <c r="G79" s="112">
        <v>7.46</v>
      </c>
      <c r="H79" s="112">
        <v>0.94</v>
      </c>
      <c r="I79" s="112">
        <v>3.19</v>
      </c>
      <c r="J79" s="112">
        <v>0.81</v>
      </c>
      <c r="K79" s="112">
        <v>276.04000000000002</v>
      </c>
      <c r="L79" s="112">
        <v>26.34</v>
      </c>
      <c r="M79" s="112">
        <v>91.99</v>
      </c>
      <c r="N79" s="112">
        <v>23.2</v>
      </c>
      <c r="O79" s="112">
        <v>0</v>
      </c>
      <c r="P79" s="112">
        <v>0.32</v>
      </c>
      <c r="Q79" s="112">
        <v>4.72</v>
      </c>
    </row>
    <row r="80" spans="1:17" customFormat="1">
      <c r="A80" s="80">
        <v>45498.75</v>
      </c>
      <c r="B80" s="112">
        <v>9.18</v>
      </c>
      <c r="C80" s="112">
        <v>4.1900000000000004</v>
      </c>
      <c r="D80" s="112">
        <v>14</v>
      </c>
      <c r="E80" s="112">
        <v>11.26</v>
      </c>
      <c r="F80" s="112">
        <v>4.95</v>
      </c>
      <c r="G80" s="112">
        <v>7.46</v>
      </c>
      <c r="H80" s="112">
        <v>0.94</v>
      </c>
      <c r="I80" s="112">
        <v>2.91</v>
      </c>
      <c r="J80" s="112">
        <v>0.67</v>
      </c>
      <c r="K80" s="112">
        <v>275.83</v>
      </c>
      <c r="L80" s="112">
        <v>26.23</v>
      </c>
      <c r="M80" s="112">
        <v>93.11</v>
      </c>
      <c r="N80" s="112">
        <v>17.5</v>
      </c>
      <c r="O80" s="112">
        <v>0</v>
      </c>
      <c r="P80" s="112">
        <v>0.33</v>
      </c>
      <c r="Q80" s="112">
        <v>4.72</v>
      </c>
    </row>
    <row r="81" spans="1:17" customFormat="1">
      <c r="A81" s="80">
        <v>45498.760416666664</v>
      </c>
      <c r="B81" s="112">
        <v>9.18</v>
      </c>
      <c r="C81" s="112">
        <v>4.1900000000000004</v>
      </c>
      <c r="D81" s="112">
        <v>14</v>
      </c>
      <c r="E81" s="112">
        <v>8.3699999999999992</v>
      </c>
      <c r="F81" s="112">
        <v>4.7</v>
      </c>
      <c r="G81" s="112">
        <v>7.46</v>
      </c>
      <c r="H81" s="112">
        <v>0.94</v>
      </c>
      <c r="I81" s="112">
        <v>3.18</v>
      </c>
      <c r="J81" s="112">
        <v>0.83</v>
      </c>
      <c r="K81" s="112">
        <v>273.85000000000002</v>
      </c>
      <c r="L81" s="112">
        <v>26.15</v>
      </c>
      <c r="M81" s="112">
        <v>93.6</v>
      </c>
      <c r="N81" s="112">
        <v>11.1</v>
      </c>
      <c r="O81" s="112">
        <v>0</v>
      </c>
      <c r="P81" s="112">
        <v>0.32</v>
      </c>
      <c r="Q81" s="112">
        <v>4.71</v>
      </c>
    </row>
    <row r="82" spans="1:17" customFormat="1">
      <c r="A82" s="80">
        <v>45498.770833333336</v>
      </c>
      <c r="B82" s="112">
        <v>9.16</v>
      </c>
      <c r="C82" s="112">
        <v>4.21</v>
      </c>
      <c r="D82" s="112">
        <v>14</v>
      </c>
      <c r="E82" s="112">
        <v>9.69</v>
      </c>
      <c r="F82" s="112">
        <v>5.29</v>
      </c>
      <c r="G82" s="112">
        <v>7.36</v>
      </c>
      <c r="H82" s="112">
        <v>0.96</v>
      </c>
      <c r="I82" s="112">
        <v>3.02</v>
      </c>
      <c r="J82" s="112">
        <v>0.82</v>
      </c>
      <c r="K82" s="112">
        <v>276.11</v>
      </c>
      <c r="L82" s="112">
        <v>26.03</v>
      </c>
      <c r="M82" s="112">
        <v>94.38</v>
      </c>
      <c r="N82" s="112">
        <v>4.7</v>
      </c>
      <c r="O82" s="112">
        <v>0</v>
      </c>
      <c r="P82" s="112">
        <v>0.33</v>
      </c>
      <c r="Q82" s="112">
        <v>4.7300000000000004</v>
      </c>
    </row>
    <row r="83" spans="1:17" customFormat="1">
      <c r="A83" s="80">
        <v>45498.78125</v>
      </c>
      <c r="B83" s="112">
        <v>9.17</v>
      </c>
      <c r="C83" s="112">
        <v>4.21</v>
      </c>
      <c r="D83" s="112">
        <v>14</v>
      </c>
      <c r="E83" s="112">
        <v>9.85</v>
      </c>
      <c r="F83" s="112">
        <v>5.68</v>
      </c>
      <c r="G83" s="112">
        <v>5.61</v>
      </c>
      <c r="H83" s="112">
        <v>1.21</v>
      </c>
      <c r="I83" s="112">
        <v>3.01</v>
      </c>
      <c r="J83" s="112">
        <v>0.56000000000000005</v>
      </c>
      <c r="K83" s="112">
        <v>275.31</v>
      </c>
      <c r="L83" s="112">
        <v>25.93</v>
      </c>
      <c r="M83" s="112">
        <v>95.1</v>
      </c>
      <c r="N83" s="112">
        <v>2.7</v>
      </c>
      <c r="O83" s="112">
        <v>0</v>
      </c>
      <c r="P83" s="112">
        <v>0.33</v>
      </c>
      <c r="Q83" s="112">
        <v>4.7300000000000004</v>
      </c>
    </row>
    <row r="84" spans="1:17" customFormat="1">
      <c r="A84" s="80">
        <v>45498.791666666664</v>
      </c>
      <c r="B84" s="112">
        <v>9.17</v>
      </c>
      <c r="C84" s="112">
        <v>4.2</v>
      </c>
      <c r="D84" s="112">
        <v>14</v>
      </c>
      <c r="E84" s="112">
        <v>10.02</v>
      </c>
      <c r="F84" s="112">
        <v>4.8899999999999997</v>
      </c>
      <c r="G84" s="112">
        <v>5.61</v>
      </c>
      <c r="H84" s="112">
        <v>1.21</v>
      </c>
      <c r="I84" s="112">
        <v>2.98</v>
      </c>
      <c r="J84" s="112">
        <v>0.61</v>
      </c>
      <c r="K84" s="112">
        <v>271.25</v>
      </c>
      <c r="L84" s="112">
        <v>25.96</v>
      </c>
      <c r="M84" s="112">
        <v>94.09</v>
      </c>
      <c r="N84" s="112">
        <v>2.4</v>
      </c>
      <c r="O84" s="112">
        <v>0</v>
      </c>
      <c r="P84" s="112">
        <v>0.33</v>
      </c>
      <c r="Q84" s="112">
        <v>4.72</v>
      </c>
    </row>
    <row r="85" spans="1:17" customFormat="1">
      <c r="A85" s="80">
        <v>45498.802083333336</v>
      </c>
      <c r="B85" s="112">
        <v>9.18</v>
      </c>
      <c r="C85" s="112">
        <v>4.2</v>
      </c>
      <c r="D85" s="112">
        <v>14</v>
      </c>
      <c r="E85" s="112">
        <v>10.029999999999999</v>
      </c>
      <c r="F85" s="112">
        <v>4.9400000000000004</v>
      </c>
      <c r="G85" s="112">
        <v>5.61</v>
      </c>
      <c r="H85" s="112">
        <v>1.21</v>
      </c>
      <c r="I85" s="112">
        <v>2.99</v>
      </c>
      <c r="J85" s="112">
        <v>0.6</v>
      </c>
      <c r="K85" s="112">
        <v>275.45</v>
      </c>
      <c r="L85" s="112">
        <v>25.9</v>
      </c>
      <c r="M85" s="112">
        <v>94.3</v>
      </c>
      <c r="N85" s="112">
        <v>2.4</v>
      </c>
      <c r="O85" s="112">
        <v>0</v>
      </c>
      <c r="P85" s="112">
        <v>0.33</v>
      </c>
      <c r="Q85" s="112">
        <v>4.72</v>
      </c>
    </row>
    <row r="86" spans="1:17" customFormat="1">
      <c r="A86" s="80">
        <v>45498.8125</v>
      </c>
      <c r="B86" s="112">
        <v>9.17</v>
      </c>
      <c r="C86" s="112">
        <v>4.2</v>
      </c>
      <c r="D86" s="112">
        <v>14</v>
      </c>
      <c r="E86" s="112">
        <v>9.7799999999999994</v>
      </c>
      <c r="F86" s="112">
        <v>5.49</v>
      </c>
      <c r="G86" s="112">
        <v>5.56</v>
      </c>
      <c r="H86" s="112">
        <v>1.21</v>
      </c>
      <c r="I86" s="112">
        <v>3.05</v>
      </c>
      <c r="J86" s="112">
        <v>0.74</v>
      </c>
      <c r="K86" s="112">
        <v>273.27</v>
      </c>
      <c r="L86" s="112">
        <v>25.87</v>
      </c>
      <c r="M86" s="112">
        <v>94.23</v>
      </c>
      <c r="N86" s="112">
        <v>2.4</v>
      </c>
      <c r="O86" s="112">
        <v>0</v>
      </c>
      <c r="P86" s="112">
        <v>0.33</v>
      </c>
      <c r="Q86" s="112">
        <v>4.72</v>
      </c>
    </row>
    <row r="87" spans="1:17" customFormat="1">
      <c r="A87" s="80">
        <v>45498.822916666664</v>
      </c>
      <c r="B87" s="112">
        <v>9.18</v>
      </c>
      <c r="C87" s="112">
        <v>4.1900000000000004</v>
      </c>
      <c r="D87" s="112">
        <v>14</v>
      </c>
      <c r="E87" s="112">
        <v>9.6199999999999992</v>
      </c>
      <c r="F87" s="112">
        <v>6.38</v>
      </c>
      <c r="G87" s="112">
        <v>4.68</v>
      </c>
      <c r="H87" s="112">
        <v>1.23</v>
      </c>
      <c r="I87" s="112">
        <v>3.08</v>
      </c>
      <c r="J87" s="112">
        <v>0.53</v>
      </c>
      <c r="K87" s="112">
        <v>270</v>
      </c>
      <c r="L87" s="112">
        <v>25.88</v>
      </c>
      <c r="M87" s="112">
        <v>94.38</v>
      </c>
      <c r="N87" s="112">
        <v>2.2999999999999998</v>
      </c>
      <c r="O87" s="112">
        <v>0</v>
      </c>
      <c r="P87" s="112">
        <v>0.34</v>
      </c>
      <c r="Q87" s="112">
        <v>4.74</v>
      </c>
    </row>
    <row r="88" spans="1:17" customFormat="1">
      <c r="A88" s="80">
        <v>45498.833333333336</v>
      </c>
      <c r="B88" s="112">
        <v>9.19</v>
      </c>
      <c r="C88" s="112">
        <v>4.17</v>
      </c>
      <c r="D88" s="112">
        <v>14</v>
      </c>
      <c r="E88" s="112">
        <v>9.44</v>
      </c>
      <c r="F88" s="112">
        <v>5.37</v>
      </c>
      <c r="G88" s="112">
        <v>4.68</v>
      </c>
      <c r="H88" s="112">
        <v>1.23</v>
      </c>
      <c r="I88" s="112">
        <v>3.03</v>
      </c>
      <c r="J88" s="112">
        <v>0.69</v>
      </c>
      <c r="K88" s="112">
        <v>272.23</v>
      </c>
      <c r="L88" s="112">
        <v>25.85</v>
      </c>
      <c r="M88" s="112">
        <v>94.31</v>
      </c>
      <c r="N88" s="112">
        <v>2.4</v>
      </c>
      <c r="O88" s="112">
        <v>0</v>
      </c>
      <c r="P88" s="112">
        <v>0.33</v>
      </c>
      <c r="Q88" s="112">
        <v>4.74</v>
      </c>
    </row>
    <row r="89" spans="1:17" customFormat="1">
      <c r="A89" s="80">
        <v>45498.84375</v>
      </c>
      <c r="B89" s="112">
        <v>9.17</v>
      </c>
      <c r="C89" s="112">
        <v>4.2</v>
      </c>
      <c r="D89" s="112">
        <v>14</v>
      </c>
      <c r="E89" s="112">
        <v>9.5500000000000007</v>
      </c>
      <c r="F89" s="112">
        <v>5.01</v>
      </c>
      <c r="G89" s="112">
        <v>4.68</v>
      </c>
      <c r="H89" s="112">
        <v>1.23</v>
      </c>
      <c r="I89" s="112">
        <v>3.1</v>
      </c>
      <c r="J89" s="112">
        <v>0.68</v>
      </c>
      <c r="K89" s="112">
        <v>270.61</v>
      </c>
      <c r="L89" s="112">
        <v>25.88</v>
      </c>
      <c r="M89" s="112">
        <v>94.15</v>
      </c>
      <c r="N89" s="112">
        <v>2.2999999999999998</v>
      </c>
      <c r="O89" s="112">
        <v>0</v>
      </c>
      <c r="P89" s="112">
        <v>0.33</v>
      </c>
      <c r="Q89" s="112">
        <v>4.7300000000000004</v>
      </c>
    </row>
    <row r="90" spans="1:17" customFormat="1">
      <c r="A90" s="80">
        <v>45498.854166666664</v>
      </c>
      <c r="B90" s="112">
        <v>9.17</v>
      </c>
      <c r="C90" s="112">
        <v>4.21</v>
      </c>
      <c r="D90" s="112">
        <v>14</v>
      </c>
      <c r="E90" s="112">
        <v>9.31</v>
      </c>
      <c r="F90" s="112">
        <v>5.7</v>
      </c>
      <c r="G90" s="112">
        <v>4.7699999999999996</v>
      </c>
      <c r="H90" s="112">
        <v>1.22</v>
      </c>
      <c r="I90" s="112">
        <v>3.06</v>
      </c>
      <c r="J90" s="112">
        <v>0.67</v>
      </c>
      <c r="K90" s="112">
        <v>273.94</v>
      </c>
      <c r="L90" s="112">
        <v>25.84</v>
      </c>
      <c r="M90" s="112">
        <v>94.5</v>
      </c>
      <c r="N90" s="112">
        <v>2.2999999999999998</v>
      </c>
      <c r="O90" s="112">
        <v>0</v>
      </c>
      <c r="P90" s="112">
        <v>0.32</v>
      </c>
      <c r="Q90" s="112">
        <v>4.72</v>
      </c>
    </row>
    <row r="91" spans="1:17" customFormat="1">
      <c r="A91" s="80">
        <v>45498.864583333336</v>
      </c>
      <c r="B91" s="112">
        <v>9.18</v>
      </c>
      <c r="C91" s="112">
        <v>4.1900000000000004</v>
      </c>
      <c r="D91" s="112">
        <v>14</v>
      </c>
      <c r="E91" s="112">
        <v>10.029999999999999</v>
      </c>
      <c r="F91" s="112">
        <v>5.0599999999999996</v>
      </c>
      <c r="G91" s="112">
        <v>6.29</v>
      </c>
      <c r="H91" s="112">
        <v>1.1499999999999999</v>
      </c>
      <c r="I91" s="112">
        <v>3.06</v>
      </c>
      <c r="J91" s="112">
        <v>0.83</v>
      </c>
      <c r="K91" s="112">
        <v>275.2</v>
      </c>
      <c r="L91" s="112">
        <v>25.9</v>
      </c>
      <c r="M91" s="112">
        <v>93.91</v>
      </c>
      <c r="N91" s="112">
        <v>2.2000000000000002</v>
      </c>
      <c r="O91" s="112">
        <v>0</v>
      </c>
      <c r="P91" s="112">
        <v>0.31</v>
      </c>
      <c r="Q91" s="112">
        <v>4.74</v>
      </c>
    </row>
    <row r="92" spans="1:17" customFormat="1">
      <c r="A92" s="80">
        <v>45498.875</v>
      </c>
      <c r="B92" s="112">
        <v>9.18</v>
      </c>
      <c r="C92" s="112">
        <v>4.1900000000000004</v>
      </c>
      <c r="D92" s="112">
        <v>14</v>
      </c>
      <c r="E92" s="112">
        <v>9.73</v>
      </c>
      <c r="F92" s="112">
        <v>4.9000000000000004</v>
      </c>
      <c r="G92" s="112">
        <v>6.29</v>
      </c>
      <c r="H92" s="112">
        <v>1.1499999999999999</v>
      </c>
      <c r="I92" s="112">
        <v>3.07</v>
      </c>
      <c r="J92" s="112">
        <v>0.7</v>
      </c>
      <c r="K92" s="112">
        <v>272.74</v>
      </c>
      <c r="L92" s="112">
        <v>25.92</v>
      </c>
      <c r="M92" s="112">
        <v>93.85</v>
      </c>
      <c r="N92" s="112">
        <v>2.2000000000000002</v>
      </c>
      <c r="O92" s="112">
        <v>0</v>
      </c>
      <c r="P92" s="112">
        <v>0.31</v>
      </c>
      <c r="Q92" s="112">
        <v>4.7300000000000004</v>
      </c>
    </row>
    <row r="93" spans="1:17" customFormat="1">
      <c r="A93" s="80">
        <v>45498.885416666664</v>
      </c>
      <c r="B93" s="112">
        <v>9.18</v>
      </c>
      <c r="C93" s="112">
        <v>4.1900000000000004</v>
      </c>
      <c r="D93" s="112">
        <v>14</v>
      </c>
      <c r="E93" s="112">
        <v>10.17</v>
      </c>
      <c r="F93" s="112">
        <v>4.67</v>
      </c>
      <c r="G93" s="112">
        <v>6.29</v>
      </c>
      <c r="H93" s="112">
        <v>1.1499999999999999</v>
      </c>
      <c r="I93" s="112">
        <v>3.07</v>
      </c>
      <c r="J93" s="112">
        <v>0.68</v>
      </c>
      <c r="K93" s="112">
        <v>273.02</v>
      </c>
      <c r="L93" s="112">
        <v>25.91</v>
      </c>
      <c r="M93" s="112">
        <v>94.17</v>
      </c>
      <c r="N93" s="112">
        <v>2.4</v>
      </c>
      <c r="O93" s="112">
        <v>0</v>
      </c>
      <c r="P93" s="112">
        <v>0.31</v>
      </c>
      <c r="Q93" s="112">
        <v>4.74</v>
      </c>
    </row>
    <row r="94" spans="1:17" customFormat="1">
      <c r="A94" s="80">
        <v>45498.895833333336</v>
      </c>
      <c r="B94" s="112">
        <v>9.18</v>
      </c>
      <c r="C94" s="112">
        <v>4.18</v>
      </c>
      <c r="D94" s="112">
        <v>14</v>
      </c>
      <c r="E94" s="112">
        <v>10.45</v>
      </c>
      <c r="F94" s="112">
        <v>5.22</v>
      </c>
      <c r="G94" s="112">
        <v>6.33</v>
      </c>
      <c r="H94" s="112">
        <v>1.1399999999999999</v>
      </c>
      <c r="I94" s="112">
        <v>3.06</v>
      </c>
      <c r="J94" s="112">
        <v>0.74</v>
      </c>
      <c r="K94" s="112">
        <v>274.94</v>
      </c>
      <c r="L94" s="112">
        <v>25.91</v>
      </c>
      <c r="M94" s="112">
        <v>94.03</v>
      </c>
      <c r="N94" s="112">
        <v>2.2000000000000002</v>
      </c>
      <c r="O94" s="112">
        <v>0</v>
      </c>
      <c r="P94" s="112">
        <v>0.31</v>
      </c>
      <c r="Q94" s="112">
        <v>4.7300000000000004</v>
      </c>
    </row>
    <row r="95" spans="1:17" customFormat="1">
      <c r="A95" s="80">
        <v>45498.90625</v>
      </c>
      <c r="B95" s="112">
        <v>9.18</v>
      </c>
      <c r="C95" s="112">
        <v>4.1900000000000004</v>
      </c>
      <c r="D95" s="112">
        <v>14</v>
      </c>
      <c r="E95" s="112">
        <v>10.47</v>
      </c>
      <c r="F95" s="112">
        <v>5.97</v>
      </c>
      <c r="G95" s="112">
        <v>7.01</v>
      </c>
      <c r="H95" s="112">
        <v>0.94</v>
      </c>
      <c r="I95" s="112">
        <v>3.06</v>
      </c>
      <c r="J95" s="112">
        <v>0.94</v>
      </c>
      <c r="K95" s="112">
        <v>273.27999999999997</v>
      </c>
      <c r="L95" s="112">
        <v>25.93</v>
      </c>
      <c r="M95" s="112">
        <v>93.91</v>
      </c>
      <c r="N95" s="112">
        <v>2.2999999999999998</v>
      </c>
      <c r="O95" s="112">
        <v>0</v>
      </c>
      <c r="P95" s="112">
        <v>0.31</v>
      </c>
      <c r="Q95" s="112">
        <v>4.72</v>
      </c>
    </row>
    <row r="96" spans="1:17" customFormat="1">
      <c r="A96" s="80">
        <v>45498.916666666664</v>
      </c>
      <c r="B96" s="112">
        <v>9.18</v>
      </c>
      <c r="C96" s="112">
        <v>4.1900000000000004</v>
      </c>
      <c r="D96" s="112">
        <v>14</v>
      </c>
      <c r="E96" s="112">
        <v>10.36</v>
      </c>
      <c r="F96" s="112">
        <v>4.4000000000000004</v>
      </c>
      <c r="G96" s="112">
        <v>7.01</v>
      </c>
      <c r="H96" s="112">
        <v>0.94</v>
      </c>
      <c r="I96" s="112">
        <v>3.01</v>
      </c>
      <c r="J96" s="112">
        <v>0.69</v>
      </c>
      <c r="K96" s="112">
        <v>275.24</v>
      </c>
      <c r="L96" s="112">
        <v>25.95</v>
      </c>
      <c r="M96" s="112">
        <v>93.2</v>
      </c>
      <c r="N96" s="112">
        <v>2.2999999999999998</v>
      </c>
      <c r="O96" s="112">
        <v>0</v>
      </c>
      <c r="P96" s="112">
        <v>0.32</v>
      </c>
      <c r="Q96" s="112">
        <v>4.74</v>
      </c>
    </row>
    <row r="97" spans="1:22" customFormat="1">
      <c r="A97" s="80">
        <v>45498.927083333336</v>
      </c>
      <c r="B97" s="112">
        <v>9.18</v>
      </c>
      <c r="C97" s="112">
        <v>4.1900000000000004</v>
      </c>
      <c r="D97" s="112">
        <v>14</v>
      </c>
      <c r="E97" s="112">
        <v>10.34</v>
      </c>
      <c r="F97" s="112">
        <v>4.09</v>
      </c>
      <c r="G97" s="112">
        <v>7.01</v>
      </c>
      <c r="H97" s="112">
        <v>0.94</v>
      </c>
      <c r="I97" s="112">
        <v>3.03</v>
      </c>
      <c r="J97" s="112">
        <v>0.88</v>
      </c>
      <c r="K97" s="112">
        <v>277.47000000000003</v>
      </c>
      <c r="L97" s="112">
        <v>25.94</v>
      </c>
      <c r="M97" s="112">
        <v>93.09</v>
      </c>
      <c r="N97" s="112">
        <v>2.2999999999999998</v>
      </c>
      <c r="O97" s="112">
        <v>0</v>
      </c>
      <c r="P97" s="112">
        <v>0.31</v>
      </c>
      <c r="Q97" s="112">
        <v>4.74</v>
      </c>
    </row>
    <row r="98" spans="1:22" customFormat="1">
      <c r="A98" s="80">
        <v>45498.9375</v>
      </c>
      <c r="B98" s="112">
        <v>9.18</v>
      </c>
      <c r="C98" s="112">
        <v>4.1900000000000004</v>
      </c>
      <c r="D98" s="112">
        <v>14</v>
      </c>
      <c r="E98" s="112">
        <v>10.28</v>
      </c>
      <c r="F98" s="112">
        <v>4.3600000000000003</v>
      </c>
      <c r="G98" s="112">
        <v>6.91</v>
      </c>
      <c r="H98" s="112">
        <v>0.93</v>
      </c>
      <c r="I98" s="112">
        <v>3.02</v>
      </c>
      <c r="J98" s="112">
        <v>0.7</v>
      </c>
      <c r="K98" s="112">
        <v>275.39999999999998</v>
      </c>
      <c r="L98" s="112">
        <v>25.95</v>
      </c>
      <c r="M98" s="112">
        <v>93.04</v>
      </c>
      <c r="N98" s="112">
        <v>2.4</v>
      </c>
      <c r="O98" s="112">
        <v>0</v>
      </c>
      <c r="P98" s="112">
        <v>0.31</v>
      </c>
      <c r="Q98" s="112">
        <v>4.75</v>
      </c>
    </row>
    <row r="99" spans="1:22" customFormat="1">
      <c r="A99" s="80">
        <v>45498.947916666664</v>
      </c>
      <c r="B99" s="112">
        <v>9.18</v>
      </c>
      <c r="C99" s="112">
        <v>4.1900000000000004</v>
      </c>
      <c r="D99" s="112">
        <v>14</v>
      </c>
      <c r="E99" s="112">
        <v>10.86</v>
      </c>
      <c r="F99" s="112">
        <v>4.22</v>
      </c>
      <c r="G99" s="112">
        <v>5.53</v>
      </c>
      <c r="H99" s="112">
        <v>0.79</v>
      </c>
      <c r="I99" s="112">
        <v>3.01</v>
      </c>
      <c r="J99" s="112">
        <v>0.6</v>
      </c>
      <c r="K99" s="112">
        <v>274</v>
      </c>
      <c r="L99" s="112">
        <v>25.94</v>
      </c>
      <c r="M99" s="112">
        <v>93.28</v>
      </c>
      <c r="N99" s="112">
        <v>2.4</v>
      </c>
      <c r="O99" s="112">
        <v>0</v>
      </c>
      <c r="P99" s="112">
        <v>0.32</v>
      </c>
      <c r="Q99" s="112">
        <v>4.7300000000000004</v>
      </c>
    </row>
    <row r="100" spans="1:22" customFormat="1">
      <c r="A100" s="80">
        <v>45498.958333333336</v>
      </c>
      <c r="B100" s="112">
        <v>9.17</v>
      </c>
      <c r="C100" s="112">
        <v>4.2</v>
      </c>
      <c r="D100" s="112">
        <v>14</v>
      </c>
      <c r="E100" s="112">
        <v>11.15</v>
      </c>
      <c r="F100" s="112">
        <v>4.03</v>
      </c>
      <c r="G100" s="112">
        <v>5.53</v>
      </c>
      <c r="H100" s="112">
        <v>0.79</v>
      </c>
      <c r="I100" s="112">
        <v>2.97</v>
      </c>
      <c r="J100" s="112">
        <v>0.79</v>
      </c>
      <c r="K100" s="112">
        <v>277.14999999999998</v>
      </c>
      <c r="L100" s="112">
        <v>25.86</v>
      </c>
      <c r="M100" s="112">
        <v>92.62</v>
      </c>
      <c r="N100" s="112">
        <v>2.5</v>
      </c>
      <c r="O100" s="112">
        <v>0</v>
      </c>
      <c r="P100" s="112">
        <v>0.32</v>
      </c>
      <c r="Q100" s="112">
        <v>4.7300000000000004</v>
      </c>
    </row>
    <row r="101" spans="1:22" customFormat="1">
      <c r="A101" s="80">
        <v>45498.96875</v>
      </c>
      <c r="B101" s="112">
        <v>9.18</v>
      </c>
      <c r="C101" s="112">
        <v>4.1900000000000004</v>
      </c>
      <c r="D101" s="112">
        <v>14</v>
      </c>
      <c r="E101" s="112">
        <v>11.59</v>
      </c>
      <c r="F101" s="112">
        <v>3.67</v>
      </c>
      <c r="G101" s="112">
        <v>5.53</v>
      </c>
      <c r="H101" s="112">
        <v>0.79</v>
      </c>
      <c r="I101" s="112">
        <v>2.98</v>
      </c>
      <c r="J101" s="112">
        <v>0.7</v>
      </c>
      <c r="K101" s="112">
        <v>274.79000000000002</v>
      </c>
      <c r="L101" s="112">
        <v>25.85</v>
      </c>
      <c r="M101" s="112">
        <v>92.24</v>
      </c>
      <c r="N101" s="112">
        <v>2.4</v>
      </c>
      <c r="O101" s="112">
        <v>0</v>
      </c>
      <c r="P101" s="112">
        <v>0.31</v>
      </c>
      <c r="Q101" s="112">
        <v>4.7300000000000004</v>
      </c>
    </row>
    <row r="102" spans="1:22" customFormat="1">
      <c r="A102" s="80">
        <v>45498.979166666664</v>
      </c>
      <c r="B102" s="112">
        <v>9.19</v>
      </c>
      <c r="C102" s="112">
        <v>4.18</v>
      </c>
      <c r="D102" s="112">
        <v>14</v>
      </c>
      <c r="E102" s="112">
        <v>11.37</v>
      </c>
      <c r="F102" s="112">
        <v>4</v>
      </c>
      <c r="G102" s="112">
        <v>5.49</v>
      </c>
      <c r="H102" s="112">
        <v>0.8</v>
      </c>
      <c r="I102" s="112">
        <v>2.97</v>
      </c>
      <c r="J102" s="112">
        <v>0.76</v>
      </c>
      <c r="K102" s="112">
        <v>271.88</v>
      </c>
      <c r="L102" s="112">
        <v>25.77</v>
      </c>
      <c r="M102" s="112">
        <v>91.93</v>
      </c>
      <c r="N102" s="112">
        <v>2.4</v>
      </c>
      <c r="O102" s="112">
        <v>0</v>
      </c>
      <c r="P102" s="112">
        <v>0.3</v>
      </c>
      <c r="Q102" s="112">
        <v>4.7300000000000004</v>
      </c>
    </row>
    <row r="103" spans="1:22" customFormat="1">
      <c r="A103" s="80">
        <v>45498.989583333336</v>
      </c>
      <c r="B103" s="112">
        <v>9.18</v>
      </c>
      <c r="C103" s="112">
        <v>4.1900000000000004</v>
      </c>
      <c r="D103" s="112">
        <v>14</v>
      </c>
      <c r="E103" s="112">
        <v>11.78</v>
      </c>
      <c r="F103" s="112">
        <v>4.1900000000000004</v>
      </c>
      <c r="G103" s="112">
        <v>4.9000000000000004</v>
      </c>
      <c r="H103" s="112">
        <v>0.87</v>
      </c>
      <c r="I103" s="112">
        <v>2.95</v>
      </c>
      <c r="J103" s="112">
        <v>0.86</v>
      </c>
      <c r="K103" s="112">
        <v>272.83</v>
      </c>
      <c r="L103" s="112">
        <v>25.77</v>
      </c>
      <c r="M103" s="112">
        <v>91.96</v>
      </c>
      <c r="N103" s="112">
        <v>2.4</v>
      </c>
      <c r="O103" s="112">
        <v>0</v>
      </c>
      <c r="P103" s="112">
        <v>0.3</v>
      </c>
      <c r="Q103" s="112">
        <v>4.7300000000000004</v>
      </c>
    </row>
    <row r="104" spans="1:22" customFormat="1">
      <c r="A104" s="80">
        <v>45499</v>
      </c>
      <c r="B104" s="112">
        <v>9.18</v>
      </c>
      <c r="C104" s="112">
        <v>4.2</v>
      </c>
      <c r="D104" s="112">
        <v>14</v>
      </c>
      <c r="E104" s="112">
        <v>11.62</v>
      </c>
      <c r="F104" s="112">
        <v>3.91</v>
      </c>
      <c r="G104" s="112">
        <v>4.9000000000000004</v>
      </c>
      <c r="H104" s="112">
        <v>0.87</v>
      </c>
      <c r="I104" s="112">
        <v>3.06</v>
      </c>
      <c r="J104" s="112">
        <v>0.92</v>
      </c>
      <c r="K104" s="112">
        <v>277.12</v>
      </c>
      <c r="L104" s="112">
        <v>25.75</v>
      </c>
      <c r="M104" s="112">
        <v>94.56</v>
      </c>
      <c r="N104" s="112">
        <v>2.4</v>
      </c>
      <c r="O104" s="112">
        <v>0</v>
      </c>
      <c r="P104" s="112">
        <v>0.31</v>
      </c>
      <c r="Q104" s="112">
        <v>4.72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9.14</v>
      </c>
      <c r="C106" s="183">
        <f>MIN(C9:C104)</f>
        <v>4.13</v>
      </c>
      <c r="D106" s="183">
        <f t="shared" ref="D106:Q106" si="0">MIN(D9:D104)</f>
        <v>14</v>
      </c>
      <c r="E106" s="183">
        <f t="shared" si="0"/>
        <v>8.18</v>
      </c>
      <c r="F106" s="183">
        <f t="shared" si="0"/>
        <v>3.12</v>
      </c>
      <c r="G106" s="183">
        <f t="shared" si="0"/>
        <v>1.38</v>
      </c>
      <c r="H106" s="183">
        <f t="shared" si="0"/>
        <v>0.75</v>
      </c>
      <c r="I106" s="183">
        <f t="shared" si="0"/>
        <v>2.75</v>
      </c>
      <c r="J106" s="183">
        <f t="shared" si="0"/>
        <v>0.53</v>
      </c>
      <c r="K106" s="183">
        <f t="shared" si="0"/>
        <v>270</v>
      </c>
      <c r="L106" s="183">
        <f t="shared" si="0"/>
        <v>24.23</v>
      </c>
      <c r="M106" s="183">
        <f t="shared" si="0"/>
        <v>91.58</v>
      </c>
      <c r="N106" s="183">
        <f t="shared" si="0"/>
        <v>1.7</v>
      </c>
      <c r="O106" s="183">
        <f t="shared" si="0"/>
        <v>0</v>
      </c>
      <c r="P106" s="183">
        <f t="shared" si="0"/>
        <v>0.25</v>
      </c>
      <c r="Q106" s="183">
        <f t="shared" si="0"/>
        <v>4.71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9.2200000000000006</v>
      </c>
      <c r="C107" s="184">
        <f t="shared" ref="C107:Q107" si="1">MAX(C9:C104)</f>
        <v>4.24</v>
      </c>
      <c r="D107" s="184">
        <f t="shared" si="1"/>
        <v>14</v>
      </c>
      <c r="E107" s="184">
        <f t="shared" si="1"/>
        <v>13.38</v>
      </c>
      <c r="F107" s="184">
        <f t="shared" si="1"/>
        <v>6.7</v>
      </c>
      <c r="G107" s="184">
        <f t="shared" si="1"/>
        <v>7.46</v>
      </c>
      <c r="H107" s="184">
        <f t="shared" si="1"/>
        <v>1.23</v>
      </c>
      <c r="I107" s="184">
        <f t="shared" si="1"/>
        <v>3.23</v>
      </c>
      <c r="J107" s="184">
        <f t="shared" si="1"/>
        <v>1.01</v>
      </c>
      <c r="K107" s="184">
        <f t="shared" si="1"/>
        <v>283.85000000000002</v>
      </c>
      <c r="L107" s="184">
        <f t="shared" si="1"/>
        <v>26.74</v>
      </c>
      <c r="M107" s="184">
        <f t="shared" si="1"/>
        <v>103.99</v>
      </c>
      <c r="N107" s="184">
        <f t="shared" si="1"/>
        <v>131.5</v>
      </c>
      <c r="O107" s="184">
        <f t="shared" si="1"/>
        <v>0.2</v>
      </c>
      <c r="P107" s="184">
        <f t="shared" si="1"/>
        <v>0.34</v>
      </c>
      <c r="Q107" s="184">
        <f t="shared" si="1"/>
        <v>4.75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9.1777083333333227</v>
      </c>
      <c r="C108" s="183">
        <f t="shared" ref="C108:Q108" si="2">AVERAGE(C9:C104)</f>
        <v>4.1923958333333333</v>
      </c>
      <c r="D108" s="183">
        <f t="shared" si="2"/>
        <v>14</v>
      </c>
      <c r="E108" s="183">
        <f t="shared" si="2"/>
        <v>10.899895833333334</v>
      </c>
      <c r="F108" s="183">
        <f t="shared" si="2"/>
        <v>4.2007291666666671</v>
      </c>
      <c r="G108" s="183">
        <f t="shared" si="2"/>
        <v>3.0701041666666664</v>
      </c>
      <c r="H108" s="183">
        <f t="shared" si="2"/>
        <v>0.86010416666666734</v>
      </c>
      <c r="I108" s="183">
        <f t="shared" si="2"/>
        <v>3.0002083333333331</v>
      </c>
      <c r="J108" s="183">
        <f t="shared" si="2"/>
        <v>0.77291666666666681</v>
      </c>
      <c r="K108" s="183">
        <f t="shared" si="2"/>
        <v>274.58291666666679</v>
      </c>
      <c r="L108" s="183">
        <f t="shared" si="2"/>
        <v>25.483229166666664</v>
      </c>
      <c r="M108" s="183">
        <f t="shared" si="2"/>
        <v>95.746250000000046</v>
      </c>
      <c r="N108" s="183">
        <f t="shared" si="2"/>
        <v>35.281250000000014</v>
      </c>
      <c r="O108" s="183">
        <f t="shared" si="2"/>
        <v>2.0833333333333333E-3</v>
      </c>
      <c r="P108" s="183">
        <f t="shared" si="2"/>
        <v>0.29447916666666613</v>
      </c>
      <c r="Q108" s="183">
        <f t="shared" si="2"/>
        <v>4.727291666666674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1.5319692635824517E-2</v>
      </c>
      <c r="C109" s="183">
        <f t="shared" ref="C109:Q109" si="3">STDEV(C9:C104)</f>
        <v>2.2277899913623E-2</v>
      </c>
      <c r="D109" s="183">
        <f t="shared" si="3"/>
        <v>0</v>
      </c>
      <c r="E109" s="183">
        <f t="shared" si="3"/>
        <v>1.2864929846529987</v>
      </c>
      <c r="F109" s="183">
        <f t="shared" si="3"/>
        <v>0.75288671796474549</v>
      </c>
      <c r="G109" s="183">
        <f t="shared" si="3"/>
        <v>2.0418843179726065</v>
      </c>
      <c r="H109" s="183">
        <f t="shared" si="3"/>
        <v>0.13999620138956453</v>
      </c>
      <c r="I109" s="183">
        <f t="shared" si="3"/>
        <v>0.11621195849933033</v>
      </c>
      <c r="J109" s="183">
        <f t="shared" si="3"/>
        <v>0.11645569897845888</v>
      </c>
      <c r="K109" s="183">
        <f t="shared" si="3"/>
        <v>2.4987259560449733</v>
      </c>
      <c r="L109" s="183">
        <f t="shared" si="3"/>
        <v>0.6770221092429507</v>
      </c>
      <c r="M109" s="183">
        <f t="shared" si="3"/>
        <v>2.9671653138968597</v>
      </c>
      <c r="N109" s="183">
        <f t="shared" si="3"/>
        <v>40.993473967141846</v>
      </c>
      <c r="O109" s="183">
        <f t="shared" si="3"/>
        <v>2.0412414523193152E-2</v>
      </c>
      <c r="P109" s="183">
        <f t="shared" si="3"/>
        <v>2.5083850609581449E-2</v>
      </c>
      <c r="Q109" s="183">
        <f t="shared" si="3"/>
        <v>8.7634608240145708E-3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84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45499.010416666664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45499.010416666664</v>
      </c>
      <c r="B9" s="112">
        <v>9.25</v>
      </c>
      <c r="C9" s="112">
        <v>4.08</v>
      </c>
      <c r="D9" s="112">
        <v>14</v>
      </c>
      <c r="E9" s="112">
        <v>11.62</v>
      </c>
      <c r="F9" s="112">
        <v>3.9</v>
      </c>
      <c r="G9" s="112">
        <v>4.9000000000000004</v>
      </c>
      <c r="H9" s="112">
        <v>0.87</v>
      </c>
      <c r="I9" s="112">
        <v>2.95</v>
      </c>
      <c r="J9" s="112">
        <v>0.96</v>
      </c>
      <c r="K9" s="112">
        <v>277.55</v>
      </c>
      <c r="L9" s="112">
        <v>25.66</v>
      </c>
      <c r="M9" s="112">
        <v>93.76</v>
      </c>
      <c r="N9" s="112">
        <v>2.5</v>
      </c>
      <c r="O9" s="112">
        <v>0</v>
      </c>
      <c r="P9" s="112">
        <v>0.3</v>
      </c>
      <c r="Q9" s="112">
        <v>4.72</v>
      </c>
    </row>
    <row r="10" spans="1:21" customFormat="1">
      <c r="A10" s="80">
        <v>45499.020833333336</v>
      </c>
      <c r="B10" s="112">
        <v>9.2799999999999994</v>
      </c>
      <c r="C10" s="112">
        <v>4.0599999999999996</v>
      </c>
      <c r="D10" s="112">
        <v>14.01</v>
      </c>
      <c r="E10" s="112">
        <v>12.47</v>
      </c>
      <c r="F10" s="112">
        <v>3.81</v>
      </c>
      <c r="G10" s="112">
        <v>5.1100000000000003</v>
      </c>
      <c r="H10" s="112">
        <v>1.08</v>
      </c>
      <c r="I10" s="112">
        <v>3.06</v>
      </c>
      <c r="J10" s="112">
        <v>0.79</v>
      </c>
      <c r="K10" s="112">
        <v>275.58999999999997</v>
      </c>
      <c r="L10" s="112">
        <v>25.42</v>
      </c>
      <c r="M10" s="112">
        <v>97.06</v>
      </c>
      <c r="N10" s="112">
        <v>1.7</v>
      </c>
      <c r="O10" s="112">
        <v>0</v>
      </c>
      <c r="P10" s="112">
        <v>0.31</v>
      </c>
      <c r="Q10" s="112">
        <v>4.72</v>
      </c>
    </row>
    <row r="11" spans="1:21" customFormat="1">
      <c r="A11" s="80">
        <v>45499.03125</v>
      </c>
      <c r="B11" s="112">
        <v>9.25</v>
      </c>
      <c r="C11" s="112">
        <v>4.0999999999999996</v>
      </c>
      <c r="D11" s="112">
        <v>14.01</v>
      </c>
      <c r="E11" s="112">
        <v>12.21</v>
      </c>
      <c r="F11" s="112">
        <v>3.76</v>
      </c>
      <c r="G11" s="112">
        <v>8.73</v>
      </c>
      <c r="H11" s="112">
        <v>4.3499999999999996</v>
      </c>
      <c r="I11" s="112">
        <v>3.06</v>
      </c>
      <c r="J11" s="112">
        <v>0.89</v>
      </c>
      <c r="K11" s="112">
        <v>275.10000000000002</v>
      </c>
      <c r="L11" s="112">
        <v>25.48</v>
      </c>
      <c r="M11" s="112">
        <v>98.22</v>
      </c>
      <c r="N11" s="112">
        <v>2</v>
      </c>
      <c r="O11" s="112">
        <v>0</v>
      </c>
      <c r="P11" s="112">
        <v>0.31</v>
      </c>
      <c r="Q11" s="112">
        <v>4.7300000000000004</v>
      </c>
    </row>
    <row r="12" spans="1:21" customFormat="1">
      <c r="A12" s="80">
        <v>45499.041666666664</v>
      </c>
      <c r="B12" s="112">
        <v>9.26</v>
      </c>
      <c r="C12" s="112">
        <v>4.08</v>
      </c>
      <c r="D12" s="112">
        <v>14.01</v>
      </c>
      <c r="E12" s="112">
        <v>12.59</v>
      </c>
      <c r="F12" s="112">
        <v>3.78</v>
      </c>
      <c r="G12" s="112">
        <v>8.73</v>
      </c>
      <c r="H12" s="112">
        <v>4.3499999999999996</v>
      </c>
      <c r="I12" s="112">
        <v>3.06</v>
      </c>
      <c r="J12" s="112">
        <v>0.88</v>
      </c>
      <c r="K12" s="112">
        <v>272.92</v>
      </c>
      <c r="L12" s="112">
        <v>25.55</v>
      </c>
      <c r="M12" s="112">
        <v>97.69</v>
      </c>
      <c r="N12" s="112">
        <v>2.4</v>
      </c>
      <c r="O12" s="112">
        <v>0</v>
      </c>
      <c r="P12" s="112">
        <v>0.3</v>
      </c>
      <c r="Q12" s="112">
        <v>4.7300000000000004</v>
      </c>
    </row>
    <row r="13" spans="1:21" customFormat="1">
      <c r="A13" s="80">
        <v>45499.052083333336</v>
      </c>
      <c r="B13" s="112">
        <v>9.25</v>
      </c>
      <c r="C13" s="112">
        <v>4.08</v>
      </c>
      <c r="D13" s="112">
        <v>14</v>
      </c>
      <c r="E13" s="112">
        <v>11.83</v>
      </c>
      <c r="F13" s="112">
        <v>3.72</v>
      </c>
      <c r="G13" s="112">
        <v>8.73</v>
      </c>
      <c r="H13" s="112">
        <v>4.3499999999999996</v>
      </c>
      <c r="I13" s="112">
        <v>3.05</v>
      </c>
      <c r="J13" s="112">
        <v>0.82</v>
      </c>
      <c r="K13" s="112">
        <v>274.72000000000003</v>
      </c>
      <c r="L13" s="112">
        <v>25.36</v>
      </c>
      <c r="M13" s="112">
        <v>99.49</v>
      </c>
      <c r="N13" s="112">
        <v>1.7</v>
      </c>
      <c r="O13" s="112">
        <v>0</v>
      </c>
      <c r="P13" s="112">
        <v>0.3</v>
      </c>
      <c r="Q13" s="112">
        <v>4.74</v>
      </c>
    </row>
    <row r="14" spans="1:21" customFormat="1">
      <c r="A14" s="80">
        <v>45499.0625</v>
      </c>
      <c r="B14" s="112">
        <v>9.24</v>
      </c>
      <c r="C14" s="112">
        <v>4.0999999999999996</v>
      </c>
      <c r="D14" s="112">
        <v>14</v>
      </c>
      <c r="E14" s="112">
        <v>12.14</v>
      </c>
      <c r="F14" s="112">
        <v>3.5</v>
      </c>
      <c r="G14" s="112">
        <v>8.7200000000000006</v>
      </c>
      <c r="H14" s="112">
        <v>4.3</v>
      </c>
      <c r="I14" s="112">
        <v>2.89</v>
      </c>
      <c r="J14" s="112">
        <v>0.86</v>
      </c>
      <c r="K14" s="112">
        <v>274.18</v>
      </c>
      <c r="L14" s="112">
        <v>25.26</v>
      </c>
      <c r="M14" s="112">
        <v>101.12</v>
      </c>
      <c r="N14" s="112">
        <v>1.7</v>
      </c>
      <c r="O14" s="112">
        <v>0</v>
      </c>
      <c r="P14" s="112">
        <v>0.33</v>
      </c>
      <c r="Q14" s="112">
        <v>4.7300000000000004</v>
      </c>
    </row>
    <row r="15" spans="1:21" customFormat="1">
      <c r="A15" s="80">
        <v>45499.072916666664</v>
      </c>
      <c r="B15" s="112">
        <v>9.26</v>
      </c>
      <c r="C15" s="112">
        <v>4.08</v>
      </c>
      <c r="D15" s="112">
        <v>14.01</v>
      </c>
      <c r="E15" s="112">
        <v>12.38</v>
      </c>
      <c r="F15" s="112">
        <v>3.69</v>
      </c>
      <c r="G15" s="112">
        <v>8.48</v>
      </c>
      <c r="H15" s="112">
        <v>3.45</v>
      </c>
      <c r="I15" s="112">
        <v>3.01</v>
      </c>
      <c r="J15" s="112">
        <v>0.74</v>
      </c>
      <c r="K15" s="112">
        <v>276.08999999999997</v>
      </c>
      <c r="L15" s="112">
        <v>25.19</v>
      </c>
      <c r="M15" s="112">
        <v>97.01</v>
      </c>
      <c r="N15" s="112">
        <v>1.3</v>
      </c>
      <c r="O15" s="112">
        <v>0</v>
      </c>
      <c r="P15" s="112">
        <v>0.34</v>
      </c>
      <c r="Q15" s="112">
        <v>4.7</v>
      </c>
    </row>
    <row r="16" spans="1:21" customFormat="1">
      <c r="A16" s="80">
        <v>45499.083333333336</v>
      </c>
      <c r="B16" s="112">
        <v>9.32</v>
      </c>
      <c r="C16" s="112">
        <v>4.07</v>
      </c>
      <c r="D16" s="112">
        <v>14.05</v>
      </c>
      <c r="E16" s="112">
        <v>11.79</v>
      </c>
      <c r="F16" s="112">
        <v>3.81</v>
      </c>
      <c r="G16" s="112">
        <v>8.48</v>
      </c>
      <c r="H16" s="112">
        <v>3.45</v>
      </c>
      <c r="I16" s="112">
        <v>3.07</v>
      </c>
      <c r="J16" s="112">
        <v>0.8</v>
      </c>
      <c r="K16" s="112">
        <v>273.95</v>
      </c>
      <c r="L16" s="112">
        <v>25.23</v>
      </c>
      <c r="M16" s="112">
        <v>97.01</v>
      </c>
      <c r="N16" s="112">
        <v>1.3</v>
      </c>
      <c r="O16" s="112">
        <v>0</v>
      </c>
      <c r="P16" s="112">
        <v>0.33</v>
      </c>
      <c r="Q16" s="112">
        <v>4.7</v>
      </c>
    </row>
    <row r="17" spans="1:17" customFormat="1">
      <c r="A17" s="80">
        <v>45499.09375</v>
      </c>
      <c r="B17" s="112">
        <v>9.3000000000000007</v>
      </c>
      <c r="C17" s="112">
        <v>4.09</v>
      </c>
      <c r="D17" s="112">
        <v>14.04</v>
      </c>
      <c r="E17" s="112">
        <v>8.18</v>
      </c>
      <c r="F17" s="112">
        <v>3.8</v>
      </c>
      <c r="G17" s="112">
        <v>8.48</v>
      </c>
      <c r="H17" s="112">
        <v>3.45</v>
      </c>
      <c r="I17" s="112">
        <v>3.14</v>
      </c>
      <c r="J17" s="112">
        <v>0.74</v>
      </c>
      <c r="K17" s="112">
        <v>276.44</v>
      </c>
      <c r="L17" s="112">
        <v>25.37</v>
      </c>
      <c r="M17" s="112">
        <v>97.06</v>
      </c>
      <c r="N17" s="112">
        <v>1.6</v>
      </c>
      <c r="O17" s="112">
        <v>0</v>
      </c>
      <c r="P17" s="112">
        <v>0.33</v>
      </c>
      <c r="Q17" s="112">
        <v>4.71</v>
      </c>
    </row>
    <row r="18" spans="1:17" customFormat="1">
      <c r="A18" s="80">
        <v>45499.104166666664</v>
      </c>
      <c r="B18" s="112">
        <v>9.2899999999999991</v>
      </c>
      <c r="C18" s="112">
        <v>4.0599999999999996</v>
      </c>
      <c r="D18" s="112">
        <v>14.02</v>
      </c>
      <c r="E18" s="112">
        <v>9.5500000000000007</v>
      </c>
      <c r="F18" s="112">
        <v>4.03</v>
      </c>
      <c r="G18" s="112">
        <v>8.5299999999999994</v>
      </c>
      <c r="H18" s="112">
        <v>3.59</v>
      </c>
      <c r="I18" s="112">
        <v>3.13</v>
      </c>
      <c r="J18" s="112">
        <v>0.9</v>
      </c>
      <c r="K18" s="112">
        <v>271.45</v>
      </c>
      <c r="L18" s="112">
        <v>25.43</v>
      </c>
      <c r="M18" s="112">
        <v>95.8</v>
      </c>
      <c r="N18" s="112">
        <v>2.1</v>
      </c>
      <c r="O18" s="112">
        <v>0</v>
      </c>
      <c r="P18" s="112">
        <v>0.33</v>
      </c>
      <c r="Q18" s="112">
        <v>4.72</v>
      </c>
    </row>
    <row r="19" spans="1:17" customFormat="1">
      <c r="A19" s="80">
        <v>45499.114583333336</v>
      </c>
      <c r="B19" s="112">
        <v>9.2799999999999994</v>
      </c>
      <c r="C19" s="112">
        <v>4.07</v>
      </c>
      <c r="D19" s="112">
        <v>14.02</v>
      </c>
      <c r="E19" s="112">
        <v>10</v>
      </c>
      <c r="F19" s="112">
        <v>4.18</v>
      </c>
      <c r="G19" s="112">
        <v>9.31</v>
      </c>
      <c r="H19" s="112">
        <v>5.78</v>
      </c>
      <c r="I19" s="112">
        <v>3.13</v>
      </c>
      <c r="J19" s="112">
        <v>0.85</v>
      </c>
      <c r="K19" s="112">
        <v>275.55</v>
      </c>
      <c r="L19" s="112">
        <v>25.46</v>
      </c>
      <c r="M19" s="112">
        <v>95.54</v>
      </c>
      <c r="N19" s="112">
        <v>2.4</v>
      </c>
      <c r="O19" s="112">
        <v>0.2</v>
      </c>
      <c r="P19" s="112">
        <v>0.33</v>
      </c>
      <c r="Q19" s="112">
        <v>4.71</v>
      </c>
    </row>
    <row r="20" spans="1:17" customFormat="1">
      <c r="A20" s="80">
        <v>45499.125</v>
      </c>
      <c r="B20" s="112">
        <v>9.2899999999999991</v>
      </c>
      <c r="C20" s="112">
        <v>4.07</v>
      </c>
      <c r="D20" s="112">
        <v>14.02</v>
      </c>
      <c r="E20" s="112">
        <v>9.7799999999999994</v>
      </c>
      <c r="F20" s="112">
        <v>3.69</v>
      </c>
      <c r="G20" s="112">
        <v>9.31</v>
      </c>
      <c r="H20" s="112">
        <v>5.78</v>
      </c>
      <c r="I20" s="112">
        <v>3.11</v>
      </c>
      <c r="J20" s="112">
        <v>0.83</v>
      </c>
      <c r="K20" s="112">
        <v>273.2</v>
      </c>
      <c r="L20" s="112">
        <v>25.5</v>
      </c>
      <c r="M20" s="112">
        <v>94.75</v>
      </c>
      <c r="N20" s="112">
        <v>2.4</v>
      </c>
      <c r="O20" s="112">
        <v>0</v>
      </c>
      <c r="P20" s="112">
        <v>0.32</v>
      </c>
      <c r="Q20" s="112">
        <v>4.72</v>
      </c>
    </row>
    <row r="21" spans="1:17" customFormat="1">
      <c r="A21" s="80">
        <v>45499.135416666664</v>
      </c>
      <c r="B21" s="112">
        <v>9.3000000000000007</v>
      </c>
      <c r="C21" s="112">
        <v>4.05</v>
      </c>
      <c r="D21" s="112">
        <v>14.02</v>
      </c>
      <c r="E21" s="112">
        <v>9.74</v>
      </c>
      <c r="F21" s="112">
        <v>3.58</v>
      </c>
      <c r="G21" s="112">
        <v>9.31</v>
      </c>
      <c r="H21" s="112">
        <v>5.78</v>
      </c>
      <c r="I21" s="112">
        <v>3.14</v>
      </c>
      <c r="J21" s="112">
        <v>0.89</v>
      </c>
      <c r="K21" s="112">
        <v>274.27</v>
      </c>
      <c r="L21" s="112">
        <v>25.49</v>
      </c>
      <c r="M21" s="112">
        <v>96.46</v>
      </c>
      <c r="N21" s="112">
        <v>2.4</v>
      </c>
      <c r="O21" s="112">
        <v>0</v>
      </c>
      <c r="P21" s="112">
        <v>0.33</v>
      </c>
      <c r="Q21" s="112">
        <v>4.72</v>
      </c>
    </row>
    <row r="22" spans="1:17" customFormat="1">
      <c r="A22" s="80">
        <v>45499.145833333336</v>
      </c>
      <c r="B22" s="112">
        <v>9.31</v>
      </c>
      <c r="C22" s="112">
        <v>4.0199999999999996</v>
      </c>
      <c r="D22" s="112">
        <v>14.01</v>
      </c>
      <c r="E22" s="112">
        <v>9.42</v>
      </c>
      <c r="F22" s="112">
        <v>3.89</v>
      </c>
      <c r="G22" s="112">
        <v>9.3800000000000008</v>
      </c>
      <c r="H22" s="112">
        <v>5.7</v>
      </c>
      <c r="I22" s="112">
        <v>3.14</v>
      </c>
      <c r="J22" s="112">
        <v>0.92</v>
      </c>
      <c r="K22" s="112">
        <v>276.87</v>
      </c>
      <c r="L22" s="112">
        <v>25.54</v>
      </c>
      <c r="M22" s="112">
        <v>94.5</v>
      </c>
      <c r="N22" s="112">
        <v>2.4</v>
      </c>
      <c r="O22" s="112">
        <v>0</v>
      </c>
      <c r="P22" s="112">
        <v>0.32</v>
      </c>
      <c r="Q22" s="112">
        <v>4.72</v>
      </c>
    </row>
    <row r="23" spans="1:17" customFormat="1">
      <c r="A23" s="80">
        <v>45499.15625</v>
      </c>
      <c r="B23" s="112">
        <v>9.3000000000000007</v>
      </c>
      <c r="C23" s="112">
        <v>4.05</v>
      </c>
      <c r="D23" s="112">
        <v>14.03</v>
      </c>
      <c r="E23" s="112">
        <v>9.5500000000000007</v>
      </c>
      <c r="F23" s="112">
        <v>4.22</v>
      </c>
      <c r="G23" s="112">
        <v>10.71</v>
      </c>
      <c r="H23" s="112">
        <v>4.4800000000000004</v>
      </c>
      <c r="I23" s="112">
        <v>3.15</v>
      </c>
      <c r="J23" s="112">
        <v>1.1100000000000001</v>
      </c>
      <c r="K23" s="112">
        <v>275.87</v>
      </c>
      <c r="L23" s="112">
        <v>25.52</v>
      </c>
      <c r="M23" s="112">
        <v>93.77</v>
      </c>
      <c r="N23" s="112">
        <v>2.4</v>
      </c>
      <c r="O23" s="112">
        <v>0</v>
      </c>
      <c r="P23" s="112">
        <v>0.32</v>
      </c>
      <c r="Q23" s="112">
        <v>4.71</v>
      </c>
    </row>
    <row r="24" spans="1:17" customFormat="1">
      <c r="A24" s="80">
        <v>45499.166666666664</v>
      </c>
      <c r="B24" s="112">
        <v>9.2799999999999994</v>
      </c>
      <c r="C24" s="112">
        <v>4.07</v>
      </c>
      <c r="D24" s="112">
        <v>14.02</v>
      </c>
      <c r="E24" s="112">
        <v>9.69</v>
      </c>
      <c r="F24" s="112">
        <v>3.82</v>
      </c>
      <c r="G24" s="112">
        <v>10.71</v>
      </c>
      <c r="H24" s="112">
        <v>4.4800000000000004</v>
      </c>
      <c r="I24" s="112">
        <v>3.11</v>
      </c>
      <c r="J24" s="112">
        <v>0.87</v>
      </c>
      <c r="K24" s="112">
        <v>277.23</v>
      </c>
      <c r="L24" s="112">
        <v>25.48</v>
      </c>
      <c r="M24" s="112">
        <v>93.68</v>
      </c>
      <c r="N24" s="112">
        <v>2.5</v>
      </c>
      <c r="O24" s="112">
        <v>0</v>
      </c>
      <c r="P24" s="112">
        <v>0.31</v>
      </c>
      <c r="Q24" s="112">
        <v>4.72</v>
      </c>
    </row>
    <row r="25" spans="1:17" customFormat="1">
      <c r="A25" s="80">
        <v>45499.177083333336</v>
      </c>
      <c r="B25" s="112">
        <v>9.27</v>
      </c>
      <c r="C25" s="112">
        <v>4.08</v>
      </c>
      <c r="D25" s="112">
        <v>14.01</v>
      </c>
      <c r="E25" s="112">
        <v>9.09</v>
      </c>
      <c r="F25" s="112">
        <v>3.67</v>
      </c>
      <c r="G25" s="112">
        <v>10.71</v>
      </c>
      <c r="H25" s="112">
        <v>4.4800000000000004</v>
      </c>
      <c r="I25" s="112">
        <v>3.13</v>
      </c>
      <c r="J25" s="112">
        <v>1.03</v>
      </c>
      <c r="K25" s="112">
        <v>275.8</v>
      </c>
      <c r="L25" s="112">
        <v>25.41</v>
      </c>
      <c r="M25" s="112">
        <v>94.41</v>
      </c>
      <c r="N25" s="112">
        <v>2.4</v>
      </c>
      <c r="O25" s="112">
        <v>0</v>
      </c>
      <c r="P25" s="112">
        <v>0.32</v>
      </c>
      <c r="Q25" s="112">
        <v>4.71</v>
      </c>
    </row>
    <row r="26" spans="1:17" customFormat="1">
      <c r="A26" s="80">
        <v>45499.1875</v>
      </c>
      <c r="B26" s="112">
        <v>9.27</v>
      </c>
      <c r="C26" s="112">
        <v>4.07</v>
      </c>
      <c r="D26" s="112">
        <v>14.01</v>
      </c>
      <c r="E26" s="112">
        <v>8.7799999999999994</v>
      </c>
      <c r="F26" s="112">
        <v>3.68</v>
      </c>
      <c r="G26" s="112">
        <v>11.4</v>
      </c>
      <c r="H26" s="112">
        <v>4.67</v>
      </c>
      <c r="I26" s="112">
        <v>3.16</v>
      </c>
      <c r="J26" s="112">
        <v>0.98</v>
      </c>
      <c r="K26" s="112">
        <v>275.06</v>
      </c>
      <c r="L26" s="112">
        <v>25.36</v>
      </c>
      <c r="M26" s="112">
        <v>94.72</v>
      </c>
      <c r="N26" s="112">
        <v>2.5</v>
      </c>
      <c r="O26" s="112">
        <v>0</v>
      </c>
      <c r="P26" s="112">
        <v>0.32</v>
      </c>
      <c r="Q26" s="112">
        <v>4.72</v>
      </c>
    </row>
    <row r="27" spans="1:17" customFormat="1">
      <c r="A27" s="80">
        <v>45499.197916666664</v>
      </c>
      <c r="B27" s="112">
        <v>9.27</v>
      </c>
      <c r="C27" s="112">
        <v>4.0599999999999996</v>
      </c>
      <c r="D27" s="112">
        <v>14.01</v>
      </c>
      <c r="E27" s="112">
        <v>9.41</v>
      </c>
      <c r="F27" s="112">
        <v>3.98</v>
      </c>
      <c r="G27" s="112">
        <v>23.13</v>
      </c>
      <c r="H27" s="112">
        <v>7.54</v>
      </c>
      <c r="I27" s="112">
        <v>3.17</v>
      </c>
      <c r="J27" s="112">
        <v>0.78</v>
      </c>
      <c r="K27" s="112">
        <v>276.10000000000002</v>
      </c>
      <c r="L27" s="112">
        <v>25.31</v>
      </c>
      <c r="M27" s="112">
        <v>94.35</v>
      </c>
      <c r="N27" s="112">
        <v>2.4</v>
      </c>
      <c r="O27" s="112">
        <v>0</v>
      </c>
      <c r="P27" s="112">
        <v>0.32</v>
      </c>
      <c r="Q27" s="112">
        <v>4.72</v>
      </c>
    </row>
    <row r="28" spans="1:17" customFormat="1">
      <c r="A28" s="80">
        <v>45499.208333333336</v>
      </c>
      <c r="B28" s="112">
        <v>9.27</v>
      </c>
      <c r="C28" s="112">
        <v>4.09</v>
      </c>
      <c r="D28" s="112">
        <v>14.02</v>
      </c>
      <c r="E28" s="112">
        <v>9.6300000000000008</v>
      </c>
      <c r="F28" s="112">
        <v>3.56</v>
      </c>
      <c r="G28" s="112">
        <v>23.13</v>
      </c>
      <c r="H28" s="112">
        <v>7.54</v>
      </c>
      <c r="I28" s="112">
        <v>3.1</v>
      </c>
      <c r="J28" s="112">
        <v>0.91</v>
      </c>
      <c r="K28" s="112">
        <v>277.89999999999998</v>
      </c>
      <c r="L28" s="112">
        <v>25.23</v>
      </c>
      <c r="M28" s="112">
        <v>95.36</v>
      </c>
      <c r="N28" s="112">
        <v>2.5</v>
      </c>
      <c r="O28" s="112">
        <v>0</v>
      </c>
      <c r="P28" s="112">
        <v>0.31</v>
      </c>
      <c r="Q28" s="112">
        <v>4.7300000000000004</v>
      </c>
    </row>
    <row r="29" spans="1:17" customFormat="1">
      <c r="A29" s="80">
        <v>45499.21875</v>
      </c>
      <c r="B29" s="112">
        <v>9.2899999999999991</v>
      </c>
      <c r="C29" s="112">
        <v>4.04</v>
      </c>
      <c r="D29" s="112">
        <v>14.01</v>
      </c>
      <c r="E29" s="112">
        <v>9.2799999999999994</v>
      </c>
      <c r="F29" s="112">
        <v>3.54</v>
      </c>
      <c r="G29" s="112">
        <v>23.13</v>
      </c>
      <c r="H29" s="112">
        <v>7.54</v>
      </c>
      <c r="I29" s="112">
        <v>3.13</v>
      </c>
      <c r="J29" s="112">
        <v>0.99</v>
      </c>
      <c r="K29" s="112">
        <v>275.44</v>
      </c>
      <c r="L29" s="112">
        <v>25.18</v>
      </c>
      <c r="M29" s="112">
        <v>97.64</v>
      </c>
      <c r="N29" s="112">
        <v>2.4</v>
      </c>
      <c r="O29" s="112">
        <v>0</v>
      </c>
      <c r="P29" s="112">
        <v>0.32</v>
      </c>
      <c r="Q29" s="112">
        <v>4.72</v>
      </c>
    </row>
    <row r="30" spans="1:17" customFormat="1">
      <c r="A30" s="80">
        <v>45499.229166666664</v>
      </c>
      <c r="B30" s="112">
        <v>9.2899999999999991</v>
      </c>
      <c r="C30" s="112">
        <v>4.05</v>
      </c>
      <c r="D30" s="112">
        <v>14.01</v>
      </c>
      <c r="E30" s="112">
        <v>8.93</v>
      </c>
      <c r="F30" s="112">
        <v>3.61</v>
      </c>
      <c r="G30" s="112">
        <v>23.12</v>
      </c>
      <c r="H30" s="112">
        <v>7.44</v>
      </c>
      <c r="I30" s="112">
        <v>3.15</v>
      </c>
      <c r="J30" s="112">
        <v>0.93</v>
      </c>
      <c r="K30" s="112">
        <v>279.76</v>
      </c>
      <c r="L30" s="112">
        <v>25.09</v>
      </c>
      <c r="M30" s="112">
        <v>96.59</v>
      </c>
      <c r="N30" s="112">
        <v>2.4</v>
      </c>
      <c r="O30" s="112">
        <v>0</v>
      </c>
      <c r="P30" s="112">
        <v>0.32</v>
      </c>
      <c r="Q30" s="112">
        <v>4.7300000000000004</v>
      </c>
    </row>
    <row r="31" spans="1:17" customFormat="1">
      <c r="A31" s="80">
        <v>45499.239583333336</v>
      </c>
      <c r="B31" s="112">
        <v>9.2799999999999994</v>
      </c>
      <c r="C31" s="112">
        <v>4.07</v>
      </c>
      <c r="D31" s="112">
        <v>14.01</v>
      </c>
      <c r="E31" s="112">
        <v>9.0500000000000007</v>
      </c>
      <c r="F31" s="112">
        <v>3.93</v>
      </c>
      <c r="G31" s="112">
        <v>22.84</v>
      </c>
      <c r="H31" s="112">
        <v>5.95</v>
      </c>
      <c r="I31" s="112">
        <v>3.15</v>
      </c>
      <c r="J31" s="112">
        <v>0.82</v>
      </c>
      <c r="K31" s="112">
        <v>282.69</v>
      </c>
      <c r="L31" s="112">
        <v>24.98</v>
      </c>
      <c r="M31" s="112">
        <v>96.9</v>
      </c>
      <c r="N31" s="112">
        <v>2.7</v>
      </c>
      <c r="O31" s="112">
        <v>0</v>
      </c>
      <c r="P31" s="112">
        <v>0.31</v>
      </c>
      <c r="Q31" s="112">
        <v>4.72</v>
      </c>
    </row>
    <row r="32" spans="1:17" customFormat="1">
      <c r="A32" s="80">
        <v>45499.25</v>
      </c>
      <c r="B32" s="112">
        <v>9.2899999999999991</v>
      </c>
      <c r="C32" s="112">
        <v>4.08</v>
      </c>
      <c r="D32" s="112">
        <v>14.03</v>
      </c>
      <c r="E32" s="112">
        <v>9.0500000000000007</v>
      </c>
      <c r="F32" s="112">
        <v>3.45</v>
      </c>
      <c r="G32" s="112">
        <v>22.84</v>
      </c>
      <c r="H32" s="112">
        <v>5.95</v>
      </c>
      <c r="I32" s="112">
        <v>3.11</v>
      </c>
      <c r="J32" s="112">
        <v>0.59</v>
      </c>
      <c r="K32" s="112">
        <v>283.13</v>
      </c>
      <c r="L32" s="112">
        <v>24.77</v>
      </c>
      <c r="M32" s="112">
        <v>98.84</v>
      </c>
      <c r="N32" s="112">
        <v>2.9</v>
      </c>
      <c r="O32" s="112">
        <v>0.4</v>
      </c>
      <c r="P32" s="112">
        <v>0.3</v>
      </c>
      <c r="Q32" s="112">
        <v>4.74</v>
      </c>
    </row>
    <row r="33" spans="1:17" customFormat="1">
      <c r="A33" s="80">
        <v>45499.260416666664</v>
      </c>
      <c r="B33" s="112">
        <v>9.3000000000000007</v>
      </c>
      <c r="C33" s="112">
        <v>4.07</v>
      </c>
      <c r="D33" s="112">
        <v>14.03</v>
      </c>
      <c r="E33" s="112">
        <v>8.93</v>
      </c>
      <c r="F33" s="112">
        <v>3.7</v>
      </c>
      <c r="G33" s="112">
        <v>22.84</v>
      </c>
      <c r="H33" s="112">
        <v>5.95</v>
      </c>
      <c r="I33" s="112">
        <v>3.16</v>
      </c>
      <c r="J33" s="112">
        <v>0.65</v>
      </c>
      <c r="K33" s="112">
        <v>273.94</v>
      </c>
      <c r="L33" s="112">
        <v>24.53</v>
      </c>
      <c r="M33" s="112">
        <v>100.04</v>
      </c>
      <c r="N33" s="112">
        <v>3.4</v>
      </c>
      <c r="O33" s="112">
        <v>3.2</v>
      </c>
      <c r="P33" s="112">
        <v>0.28000000000000003</v>
      </c>
      <c r="Q33" s="112">
        <v>4.74</v>
      </c>
    </row>
    <row r="34" spans="1:17" customFormat="1">
      <c r="A34" s="80">
        <v>45499.270833333336</v>
      </c>
      <c r="B34" s="112">
        <v>9.32</v>
      </c>
      <c r="C34" s="112">
        <v>4.0599999999999996</v>
      </c>
      <c r="D34" s="112">
        <v>14.04</v>
      </c>
      <c r="E34" s="112">
        <v>8.9700000000000006</v>
      </c>
      <c r="F34" s="112">
        <v>3.39</v>
      </c>
      <c r="G34" s="112">
        <v>22.74</v>
      </c>
      <c r="H34" s="112">
        <v>6</v>
      </c>
      <c r="I34" s="112">
        <v>3.11</v>
      </c>
      <c r="J34" s="112">
        <v>0.55000000000000004</v>
      </c>
      <c r="K34" s="112">
        <v>274.12</v>
      </c>
      <c r="L34" s="112">
        <v>24.35</v>
      </c>
      <c r="M34" s="112">
        <v>102.12</v>
      </c>
      <c r="N34" s="112">
        <v>3.4</v>
      </c>
      <c r="O34" s="112">
        <v>3.4</v>
      </c>
      <c r="P34" s="112">
        <v>0.28999999999999998</v>
      </c>
      <c r="Q34" s="112">
        <v>4.74</v>
      </c>
    </row>
    <row r="35" spans="1:17" customFormat="1">
      <c r="A35" s="80">
        <v>45499.28125</v>
      </c>
      <c r="B35" s="112">
        <v>9.31</v>
      </c>
      <c r="C35" s="112">
        <v>4.08</v>
      </c>
      <c r="D35" s="112">
        <v>14.05</v>
      </c>
      <c r="E35" s="112">
        <v>9.35</v>
      </c>
      <c r="F35" s="112">
        <v>3.2</v>
      </c>
      <c r="G35" s="112">
        <v>20.99</v>
      </c>
      <c r="H35" s="112">
        <v>6.81</v>
      </c>
      <c r="I35" s="112">
        <v>2.89</v>
      </c>
      <c r="J35" s="112">
        <v>0.68</v>
      </c>
      <c r="K35" s="112">
        <v>277.25</v>
      </c>
      <c r="L35" s="112">
        <v>24.28</v>
      </c>
      <c r="M35" s="112">
        <v>103.14</v>
      </c>
      <c r="N35" s="112">
        <v>3.8</v>
      </c>
      <c r="O35" s="112">
        <v>2.4</v>
      </c>
      <c r="P35" s="112">
        <v>0.28999999999999998</v>
      </c>
      <c r="Q35" s="112">
        <v>4.74</v>
      </c>
    </row>
    <row r="36" spans="1:17" customFormat="1">
      <c r="A36" s="80">
        <v>45499.291666666664</v>
      </c>
      <c r="B36" s="112">
        <v>9.3000000000000007</v>
      </c>
      <c r="C36" s="112">
        <v>4.0599999999999996</v>
      </c>
      <c r="D36" s="112">
        <v>14.03</v>
      </c>
      <c r="E36" s="112">
        <v>9.5500000000000007</v>
      </c>
      <c r="F36" s="112">
        <v>3.24</v>
      </c>
      <c r="G36" s="112">
        <v>20.99</v>
      </c>
      <c r="H36" s="112">
        <v>6.81</v>
      </c>
      <c r="I36" s="112">
        <v>3.08</v>
      </c>
      <c r="J36" s="112">
        <v>0.84</v>
      </c>
      <c r="K36" s="112">
        <v>275.93</v>
      </c>
      <c r="L36" s="112">
        <v>24.27</v>
      </c>
      <c r="M36" s="112">
        <v>103.24</v>
      </c>
      <c r="N36" s="112">
        <v>4.3</v>
      </c>
      <c r="O36" s="112">
        <v>1.6</v>
      </c>
      <c r="P36" s="112">
        <v>0.3</v>
      </c>
      <c r="Q36" s="112">
        <v>4.7300000000000004</v>
      </c>
    </row>
    <row r="37" spans="1:17" customFormat="1">
      <c r="A37" s="80">
        <v>45499.302083333336</v>
      </c>
      <c r="B37" s="112">
        <v>9.2899999999999991</v>
      </c>
      <c r="C37" s="112">
        <v>4.08</v>
      </c>
      <c r="D37" s="112">
        <v>14.03</v>
      </c>
      <c r="E37" s="112">
        <v>9.4</v>
      </c>
      <c r="F37" s="112">
        <v>3.1</v>
      </c>
      <c r="G37" s="112">
        <v>20.99</v>
      </c>
      <c r="H37" s="112">
        <v>6.81</v>
      </c>
      <c r="I37" s="112">
        <v>3.18</v>
      </c>
      <c r="J37" s="112">
        <v>0.81</v>
      </c>
      <c r="K37" s="112">
        <v>274.97000000000003</v>
      </c>
      <c r="L37" s="112">
        <v>24.28</v>
      </c>
      <c r="M37" s="112">
        <v>102.42</v>
      </c>
      <c r="N37" s="112">
        <v>4.5</v>
      </c>
      <c r="O37" s="112">
        <v>2</v>
      </c>
      <c r="P37" s="112">
        <v>0.31</v>
      </c>
      <c r="Q37" s="112">
        <v>4.74</v>
      </c>
    </row>
    <row r="38" spans="1:17" customFormat="1">
      <c r="A38" s="80">
        <v>45499.3125</v>
      </c>
      <c r="B38" s="112">
        <v>9.2899999999999991</v>
      </c>
      <c r="C38" s="112">
        <v>4.0599999999999996</v>
      </c>
      <c r="D38" s="112">
        <v>14.02</v>
      </c>
      <c r="E38" s="112">
        <v>9.42</v>
      </c>
      <c r="F38" s="112">
        <v>3.48</v>
      </c>
      <c r="G38" s="112">
        <v>20.88</v>
      </c>
      <c r="H38" s="112">
        <v>6.75</v>
      </c>
      <c r="I38" s="112">
        <v>3.27</v>
      </c>
      <c r="J38" s="112">
        <v>0.93</v>
      </c>
      <c r="K38" s="112">
        <v>276.39999999999998</v>
      </c>
      <c r="L38" s="112">
        <v>24.23</v>
      </c>
      <c r="M38" s="112">
        <v>102.46</v>
      </c>
      <c r="N38" s="112">
        <v>5.3</v>
      </c>
      <c r="O38" s="112">
        <v>1</v>
      </c>
      <c r="P38" s="112">
        <v>0.31</v>
      </c>
      <c r="Q38" s="112">
        <v>4.7300000000000004</v>
      </c>
    </row>
    <row r="39" spans="1:17" customFormat="1">
      <c r="A39" s="80">
        <v>45499.322916666664</v>
      </c>
      <c r="B39" s="112">
        <v>9.2799999999999994</v>
      </c>
      <c r="C39" s="112">
        <v>4.0599999999999996</v>
      </c>
      <c r="D39" s="112">
        <v>14.01</v>
      </c>
      <c r="E39" s="112">
        <v>9.48</v>
      </c>
      <c r="F39" s="112">
        <v>3.72</v>
      </c>
      <c r="G39" s="112">
        <v>18.97</v>
      </c>
      <c r="H39" s="112">
        <v>5.86</v>
      </c>
      <c r="I39" s="112">
        <v>3.3</v>
      </c>
      <c r="J39" s="112">
        <v>0.79</v>
      </c>
      <c r="K39" s="112">
        <v>278.73</v>
      </c>
      <c r="L39" s="112">
        <v>24.22</v>
      </c>
      <c r="M39" s="112">
        <v>102.45</v>
      </c>
      <c r="N39" s="112">
        <v>5.3</v>
      </c>
      <c r="O39" s="112">
        <v>0.4</v>
      </c>
      <c r="P39" s="112">
        <v>0.31</v>
      </c>
      <c r="Q39" s="112">
        <v>4.7300000000000004</v>
      </c>
    </row>
    <row r="40" spans="1:17" customFormat="1">
      <c r="A40" s="80">
        <v>45499.333333333336</v>
      </c>
      <c r="B40" s="112">
        <v>9.2899999999999991</v>
      </c>
      <c r="C40" s="112">
        <v>4.04</v>
      </c>
      <c r="D40" s="112">
        <v>14.01</v>
      </c>
      <c r="E40" s="112">
        <v>9.64</v>
      </c>
      <c r="F40" s="112">
        <v>3.46</v>
      </c>
      <c r="G40" s="112">
        <v>18.97</v>
      </c>
      <c r="H40" s="112">
        <v>5.86</v>
      </c>
      <c r="I40" s="112">
        <v>3.38</v>
      </c>
      <c r="J40" s="112">
        <v>0.54</v>
      </c>
      <c r="K40" s="112">
        <v>277.55</v>
      </c>
      <c r="L40" s="112">
        <v>24.23</v>
      </c>
      <c r="M40" s="112">
        <v>102.53</v>
      </c>
      <c r="N40" s="112">
        <v>4.7</v>
      </c>
      <c r="O40" s="112">
        <v>0.8</v>
      </c>
      <c r="P40" s="112">
        <v>0.32</v>
      </c>
      <c r="Q40" s="112">
        <v>4.7300000000000004</v>
      </c>
    </row>
    <row r="41" spans="1:17" customFormat="1">
      <c r="A41" s="80">
        <v>45499.34375</v>
      </c>
      <c r="B41" s="112">
        <v>9.2899999999999991</v>
      </c>
      <c r="C41" s="112">
        <v>4.03</v>
      </c>
      <c r="D41" s="112">
        <v>14.01</v>
      </c>
      <c r="E41" s="112">
        <v>9.8800000000000008</v>
      </c>
      <c r="F41" s="112">
        <v>3.32</v>
      </c>
      <c r="G41" s="112">
        <v>18.97</v>
      </c>
      <c r="H41" s="112">
        <v>5.86</v>
      </c>
      <c r="I41" s="112">
        <v>3.39</v>
      </c>
      <c r="J41" s="112">
        <v>0.73</v>
      </c>
      <c r="K41" s="112">
        <v>276.86</v>
      </c>
      <c r="L41" s="112">
        <v>24.22</v>
      </c>
      <c r="M41" s="112">
        <v>102.81</v>
      </c>
      <c r="N41" s="112">
        <v>5.8</v>
      </c>
      <c r="O41" s="112">
        <v>0.8</v>
      </c>
      <c r="P41" s="112">
        <v>0.32</v>
      </c>
      <c r="Q41" s="112">
        <v>4.7300000000000004</v>
      </c>
    </row>
    <row r="42" spans="1:17" customFormat="1">
      <c r="A42" s="80">
        <v>45499.354166666664</v>
      </c>
      <c r="B42" s="112">
        <v>9.2799999999999994</v>
      </c>
      <c r="C42" s="112">
        <v>4.04</v>
      </c>
      <c r="D42" s="112">
        <v>14</v>
      </c>
      <c r="E42" s="112">
        <v>9.73</v>
      </c>
      <c r="F42" s="112">
        <v>3.24</v>
      </c>
      <c r="G42" s="112">
        <v>18.75</v>
      </c>
      <c r="H42" s="112">
        <v>5.78</v>
      </c>
      <c r="I42" s="112">
        <v>3.44</v>
      </c>
      <c r="J42" s="112">
        <v>0.8</v>
      </c>
      <c r="K42" s="112">
        <v>283.88</v>
      </c>
      <c r="L42" s="112">
        <v>24.15</v>
      </c>
      <c r="M42" s="112">
        <v>102.02</v>
      </c>
      <c r="N42" s="112">
        <v>6.2</v>
      </c>
      <c r="O42" s="112">
        <v>0.8</v>
      </c>
      <c r="P42" s="112">
        <v>0.32</v>
      </c>
      <c r="Q42" s="112">
        <v>4.7300000000000004</v>
      </c>
    </row>
    <row r="43" spans="1:17" customFormat="1">
      <c r="A43" s="80">
        <v>45499.364583333336</v>
      </c>
      <c r="B43" s="112">
        <v>9.2799999999999994</v>
      </c>
      <c r="C43" s="112">
        <v>4.05</v>
      </c>
      <c r="D43" s="112">
        <v>14.01</v>
      </c>
      <c r="E43" s="112">
        <v>10.15</v>
      </c>
      <c r="F43" s="112">
        <v>3.29</v>
      </c>
      <c r="G43" s="112">
        <v>15.11</v>
      </c>
      <c r="H43" s="112">
        <v>4.57</v>
      </c>
      <c r="I43" s="112">
        <v>3.39</v>
      </c>
      <c r="J43" s="112">
        <v>0.64</v>
      </c>
      <c r="K43" s="112">
        <v>290.31</v>
      </c>
      <c r="L43" s="112">
        <v>24.19</v>
      </c>
      <c r="M43" s="112">
        <v>103.56</v>
      </c>
      <c r="N43" s="112">
        <v>5.9</v>
      </c>
      <c r="O43" s="112">
        <v>1</v>
      </c>
      <c r="P43" s="112">
        <v>0.32</v>
      </c>
      <c r="Q43" s="112">
        <v>4.72</v>
      </c>
    </row>
    <row r="44" spans="1:17" customFormat="1">
      <c r="A44" s="80">
        <v>45499.375</v>
      </c>
      <c r="B44" s="112">
        <v>9.27</v>
      </c>
      <c r="C44" s="112">
        <v>4.0599999999999996</v>
      </c>
      <c r="D44" s="112">
        <v>14.01</v>
      </c>
      <c r="E44" s="112">
        <v>9.83</v>
      </c>
      <c r="F44" s="112">
        <v>3.26</v>
      </c>
      <c r="G44" s="112">
        <v>15.11</v>
      </c>
      <c r="H44" s="112">
        <v>4.57</v>
      </c>
      <c r="I44" s="112">
        <v>3.39</v>
      </c>
      <c r="J44" s="112">
        <v>0.71</v>
      </c>
      <c r="K44" s="112">
        <v>276.56</v>
      </c>
      <c r="L44" s="112">
        <v>24.17</v>
      </c>
      <c r="M44" s="112">
        <v>104.3</v>
      </c>
      <c r="N44" s="112">
        <v>7.9</v>
      </c>
      <c r="O44" s="112">
        <v>1</v>
      </c>
      <c r="P44" s="112">
        <v>0.33</v>
      </c>
      <c r="Q44" s="112">
        <v>4.7300000000000004</v>
      </c>
    </row>
    <row r="45" spans="1:17" customFormat="1">
      <c r="A45" s="80">
        <v>45499.385416666664</v>
      </c>
      <c r="B45" s="112">
        <v>9.2799999999999994</v>
      </c>
      <c r="C45" s="112">
        <v>4.05</v>
      </c>
      <c r="D45" s="112">
        <v>14</v>
      </c>
      <c r="E45" s="112">
        <v>10.24</v>
      </c>
      <c r="F45" s="112">
        <v>3.32</v>
      </c>
      <c r="G45" s="112">
        <v>15.11</v>
      </c>
      <c r="H45" s="112">
        <v>4.57</v>
      </c>
      <c r="I45" s="112">
        <v>3.38</v>
      </c>
      <c r="J45" s="112">
        <v>1</v>
      </c>
      <c r="K45" s="112">
        <v>276.94</v>
      </c>
      <c r="L45" s="112">
        <v>24.1</v>
      </c>
      <c r="M45" s="112">
        <v>102.91</v>
      </c>
      <c r="N45" s="112">
        <v>8.4</v>
      </c>
      <c r="O45" s="112">
        <v>1.2</v>
      </c>
      <c r="P45" s="112">
        <v>0.32</v>
      </c>
      <c r="Q45" s="112">
        <v>4.7300000000000004</v>
      </c>
    </row>
    <row r="46" spans="1:17" customFormat="1">
      <c r="A46" s="80">
        <v>45499.395833333336</v>
      </c>
      <c r="B46" s="112">
        <v>9.26</v>
      </c>
      <c r="C46" s="112">
        <v>4.09</v>
      </c>
      <c r="D46" s="112">
        <v>14.02</v>
      </c>
      <c r="E46" s="112">
        <v>10.58</v>
      </c>
      <c r="F46" s="112">
        <v>3.56</v>
      </c>
      <c r="G46" s="112">
        <v>14.89</v>
      </c>
      <c r="H46" s="112">
        <v>4.6500000000000004</v>
      </c>
      <c r="I46" s="112">
        <v>3.4</v>
      </c>
      <c r="J46" s="112">
        <v>0.79</v>
      </c>
      <c r="K46" s="112">
        <v>279.57</v>
      </c>
      <c r="L46" s="112">
        <v>24.11</v>
      </c>
      <c r="M46" s="112">
        <v>102.89</v>
      </c>
      <c r="N46" s="112">
        <v>10</v>
      </c>
      <c r="O46" s="112">
        <v>0.6</v>
      </c>
      <c r="P46" s="112">
        <v>0.32</v>
      </c>
      <c r="Q46" s="112">
        <v>4.74</v>
      </c>
    </row>
    <row r="47" spans="1:17" customFormat="1">
      <c r="A47" s="80">
        <v>45499.40625</v>
      </c>
      <c r="B47" s="112">
        <v>9.27</v>
      </c>
      <c r="C47" s="112">
        <v>4.0599999999999996</v>
      </c>
      <c r="D47" s="112">
        <v>14.01</v>
      </c>
      <c r="E47" s="112">
        <v>10.42</v>
      </c>
      <c r="F47" s="112">
        <v>3.33</v>
      </c>
      <c r="G47" s="112">
        <v>11.19</v>
      </c>
      <c r="H47" s="112">
        <v>5.91</v>
      </c>
      <c r="I47" s="112">
        <v>3.41</v>
      </c>
      <c r="J47" s="112">
        <v>1</v>
      </c>
      <c r="K47" s="112">
        <v>281.67</v>
      </c>
      <c r="L47" s="112">
        <v>24.09</v>
      </c>
      <c r="M47" s="112">
        <v>102.65</v>
      </c>
      <c r="N47" s="112">
        <v>9.6</v>
      </c>
      <c r="O47" s="112">
        <v>0.6</v>
      </c>
      <c r="P47" s="112">
        <v>0.33</v>
      </c>
      <c r="Q47" s="112">
        <v>4.74</v>
      </c>
    </row>
    <row r="48" spans="1:17" customFormat="1">
      <c r="A48" s="80">
        <v>45499.416666666664</v>
      </c>
      <c r="B48" s="112">
        <v>9.2799999999999994</v>
      </c>
      <c r="C48" s="112">
        <v>4.07</v>
      </c>
      <c r="D48" s="112">
        <v>14.01</v>
      </c>
      <c r="E48" s="112">
        <v>11.22</v>
      </c>
      <c r="F48" s="112">
        <v>3.31</v>
      </c>
      <c r="G48" s="112">
        <v>11.19</v>
      </c>
      <c r="H48" s="112">
        <v>5.91</v>
      </c>
      <c r="I48" s="112">
        <v>3.38</v>
      </c>
      <c r="J48" s="112">
        <v>0.67</v>
      </c>
      <c r="K48" s="112">
        <v>271.8</v>
      </c>
      <c r="L48" s="112">
        <v>24.13</v>
      </c>
      <c r="M48" s="112">
        <v>107.94</v>
      </c>
      <c r="N48" s="112">
        <v>7.7</v>
      </c>
      <c r="O48" s="112">
        <v>0.8</v>
      </c>
      <c r="P48" s="112">
        <v>0.33</v>
      </c>
      <c r="Q48" s="112">
        <v>4.74</v>
      </c>
    </row>
    <row r="49" spans="1:17" customFormat="1">
      <c r="A49" s="80">
        <v>45499.427083333336</v>
      </c>
      <c r="B49" s="112">
        <v>9.2799999999999994</v>
      </c>
      <c r="C49" s="112">
        <v>4.05</v>
      </c>
      <c r="D49" s="112">
        <v>14.01</v>
      </c>
      <c r="E49" s="112">
        <v>9.8000000000000007</v>
      </c>
      <c r="F49" s="112">
        <v>3.04</v>
      </c>
      <c r="G49" s="112">
        <v>11.19</v>
      </c>
      <c r="H49" s="112">
        <v>5.91</v>
      </c>
      <c r="I49" s="112">
        <v>3.37</v>
      </c>
      <c r="J49" s="112">
        <v>0.71</v>
      </c>
      <c r="K49" s="112">
        <v>275.56</v>
      </c>
      <c r="L49" s="112">
        <v>24.09</v>
      </c>
      <c r="M49" s="112">
        <v>108.03</v>
      </c>
      <c r="N49" s="112">
        <v>7.2</v>
      </c>
      <c r="O49" s="112">
        <v>1</v>
      </c>
      <c r="P49" s="112">
        <v>0.33</v>
      </c>
      <c r="Q49" s="112">
        <v>4.74</v>
      </c>
    </row>
    <row r="50" spans="1:17" customFormat="1">
      <c r="A50" s="80">
        <v>45499.4375</v>
      </c>
      <c r="B50" s="112">
        <v>9.27</v>
      </c>
      <c r="C50" s="112">
        <v>4.08</v>
      </c>
      <c r="D50" s="112">
        <v>14.01</v>
      </c>
      <c r="E50" s="112">
        <v>12.2</v>
      </c>
      <c r="F50" s="112">
        <v>3.1</v>
      </c>
      <c r="G50" s="112">
        <v>11.61</v>
      </c>
      <c r="H50" s="112">
        <v>5.99</v>
      </c>
      <c r="I50" s="112">
        <v>3.39</v>
      </c>
      <c r="J50" s="112">
        <v>0.74</v>
      </c>
      <c r="K50" s="112">
        <v>280.3</v>
      </c>
      <c r="L50" s="112">
        <v>24.06</v>
      </c>
      <c r="M50" s="112">
        <v>104.84</v>
      </c>
      <c r="N50" s="112">
        <v>8.1</v>
      </c>
      <c r="O50" s="112">
        <v>1</v>
      </c>
      <c r="P50" s="112">
        <v>0.34</v>
      </c>
      <c r="Q50" s="112">
        <v>4.72</v>
      </c>
    </row>
    <row r="51" spans="1:17" customFormat="1">
      <c r="A51" s="80">
        <v>45499.447916666664</v>
      </c>
      <c r="B51" s="112">
        <v>9.2899999999999991</v>
      </c>
      <c r="C51" s="112">
        <v>4.0599999999999996</v>
      </c>
      <c r="D51" s="112">
        <v>14.02</v>
      </c>
      <c r="E51" s="112">
        <v>12.17</v>
      </c>
      <c r="F51" s="112">
        <v>3.09</v>
      </c>
      <c r="G51" s="112">
        <v>18.72</v>
      </c>
      <c r="H51" s="112">
        <v>7.23</v>
      </c>
      <c r="I51" s="112">
        <v>3.25</v>
      </c>
      <c r="J51" s="112">
        <v>0.72</v>
      </c>
      <c r="K51" s="112">
        <v>280.77</v>
      </c>
      <c r="L51" s="112">
        <v>24.1</v>
      </c>
      <c r="M51" s="112">
        <v>108.17</v>
      </c>
      <c r="N51" s="112">
        <v>8.3000000000000007</v>
      </c>
      <c r="O51" s="112">
        <v>0.8</v>
      </c>
      <c r="P51" s="112">
        <v>0.35</v>
      </c>
      <c r="Q51" s="112">
        <v>4.7300000000000004</v>
      </c>
    </row>
    <row r="52" spans="1:17" customFormat="1">
      <c r="A52" s="80">
        <v>45499.458333333336</v>
      </c>
      <c r="B52" s="112">
        <v>9.27</v>
      </c>
      <c r="C52" s="112">
        <v>4.0599999999999996</v>
      </c>
      <c r="D52" s="112">
        <v>14.01</v>
      </c>
      <c r="E52" s="112">
        <v>13.11</v>
      </c>
      <c r="F52" s="112">
        <v>2.86</v>
      </c>
      <c r="G52" s="112">
        <v>18.72</v>
      </c>
      <c r="H52" s="112">
        <v>7.23</v>
      </c>
      <c r="I52" s="112">
        <v>3.39</v>
      </c>
      <c r="J52" s="112">
        <v>0.82</v>
      </c>
      <c r="K52" s="112">
        <v>286.39999999999998</v>
      </c>
      <c r="L52" s="112">
        <v>24.09</v>
      </c>
      <c r="M52" s="112">
        <v>108.21</v>
      </c>
      <c r="N52" s="112">
        <v>9.5</v>
      </c>
      <c r="O52" s="112">
        <v>1</v>
      </c>
      <c r="P52" s="112">
        <v>0.4</v>
      </c>
      <c r="Q52" s="112">
        <v>4.72</v>
      </c>
    </row>
    <row r="53" spans="1:17" customFormat="1">
      <c r="A53" s="80">
        <v>45499.46875</v>
      </c>
      <c r="B53" s="112">
        <v>9.2899999999999991</v>
      </c>
      <c r="C53" s="112">
        <v>4.07</v>
      </c>
      <c r="D53" s="112">
        <v>14.03</v>
      </c>
      <c r="E53" s="112">
        <v>12.83</v>
      </c>
      <c r="F53" s="112">
        <v>3.13</v>
      </c>
      <c r="G53" s="112">
        <v>18.72</v>
      </c>
      <c r="H53" s="112">
        <v>7.23</v>
      </c>
      <c r="I53" s="112">
        <v>3.36</v>
      </c>
      <c r="J53" s="112">
        <v>1.1200000000000001</v>
      </c>
      <c r="K53" s="112">
        <v>278.12</v>
      </c>
      <c r="L53" s="112">
        <v>24.08</v>
      </c>
      <c r="M53" s="112">
        <v>106.3</v>
      </c>
      <c r="N53" s="112">
        <v>16.600000000000001</v>
      </c>
      <c r="O53" s="112">
        <v>0.6</v>
      </c>
      <c r="P53" s="112">
        <v>0.41</v>
      </c>
      <c r="Q53" s="112">
        <v>4.72</v>
      </c>
    </row>
    <row r="54" spans="1:17" customFormat="1">
      <c r="A54" s="80">
        <v>45499.479166666664</v>
      </c>
      <c r="B54" s="112">
        <v>9.33</v>
      </c>
      <c r="C54" s="112">
        <v>4.08</v>
      </c>
      <c r="D54" s="112">
        <v>14.07</v>
      </c>
      <c r="E54" s="112">
        <v>11.63</v>
      </c>
      <c r="F54" s="112">
        <v>3.51</v>
      </c>
      <c r="G54" s="112">
        <v>18.48</v>
      </c>
      <c r="H54" s="112">
        <v>7.27</v>
      </c>
      <c r="I54" s="112">
        <v>3.58</v>
      </c>
      <c r="J54" s="112">
        <v>0.96</v>
      </c>
      <c r="K54" s="112">
        <v>282.70999999999998</v>
      </c>
      <c r="L54" s="112">
        <v>24.17</v>
      </c>
      <c r="M54" s="112">
        <v>107.81</v>
      </c>
      <c r="N54" s="112">
        <v>51.6</v>
      </c>
      <c r="O54" s="112">
        <v>0.4</v>
      </c>
      <c r="P54" s="112">
        <v>0.43</v>
      </c>
      <c r="Q54" s="112">
        <v>4.72</v>
      </c>
    </row>
    <row r="55" spans="1:17" customFormat="1">
      <c r="A55" s="80">
        <v>45499.489583333336</v>
      </c>
      <c r="B55" s="112">
        <v>9.31</v>
      </c>
      <c r="C55" s="112">
        <v>4.09</v>
      </c>
      <c r="D55" s="112">
        <v>14.05</v>
      </c>
      <c r="E55" s="112">
        <v>11.51</v>
      </c>
      <c r="F55" s="112">
        <v>3.59</v>
      </c>
      <c r="G55" s="112">
        <v>14.41</v>
      </c>
      <c r="H55" s="112">
        <v>7.98</v>
      </c>
      <c r="I55" s="112">
        <v>3.92</v>
      </c>
      <c r="J55" s="112">
        <v>0.95</v>
      </c>
      <c r="K55" s="112">
        <v>289.54000000000002</v>
      </c>
      <c r="L55" s="112">
        <v>24.33</v>
      </c>
      <c r="M55" s="112">
        <v>107.79</v>
      </c>
      <c r="N55" s="112">
        <v>69.599999999999994</v>
      </c>
      <c r="O55" s="112">
        <v>0.4</v>
      </c>
      <c r="P55" s="112">
        <v>0.45</v>
      </c>
      <c r="Q55" s="112">
        <v>4.7300000000000004</v>
      </c>
    </row>
    <row r="56" spans="1:17" customFormat="1">
      <c r="A56" s="80">
        <v>45499.5</v>
      </c>
      <c r="B56" s="112">
        <v>9.2899999999999991</v>
      </c>
      <c r="C56" s="112">
        <v>4.12</v>
      </c>
      <c r="D56" s="112">
        <v>14.05</v>
      </c>
      <c r="E56" s="112">
        <v>11.05</v>
      </c>
      <c r="F56" s="112">
        <v>3.43</v>
      </c>
      <c r="G56" s="112">
        <v>14.41</v>
      </c>
      <c r="H56" s="112">
        <v>7.98</v>
      </c>
      <c r="I56" s="112">
        <v>4.54</v>
      </c>
      <c r="J56" s="112">
        <v>1.04</v>
      </c>
      <c r="K56" s="112">
        <v>285.70999999999998</v>
      </c>
      <c r="L56" s="112">
        <v>24.41</v>
      </c>
      <c r="M56" s="112">
        <v>106.39</v>
      </c>
      <c r="N56" s="112">
        <v>83.1</v>
      </c>
      <c r="O56" s="112">
        <v>0.4</v>
      </c>
      <c r="P56" s="112">
        <v>0.48</v>
      </c>
      <c r="Q56" s="112">
        <v>4.7300000000000004</v>
      </c>
    </row>
    <row r="57" spans="1:17" customFormat="1">
      <c r="A57" s="80">
        <v>45499.510416666664</v>
      </c>
      <c r="B57" s="112">
        <v>9.3000000000000007</v>
      </c>
      <c r="C57" s="112">
        <v>4.08</v>
      </c>
      <c r="D57" s="112">
        <v>14.04</v>
      </c>
      <c r="E57" s="112">
        <v>10.84</v>
      </c>
      <c r="F57" s="112">
        <v>3.34</v>
      </c>
      <c r="G57" s="112">
        <v>14.41</v>
      </c>
      <c r="H57" s="112">
        <v>7.98</v>
      </c>
      <c r="I57" s="112">
        <v>4.75</v>
      </c>
      <c r="J57" s="112">
        <v>0.79</v>
      </c>
      <c r="K57" s="112">
        <v>277.33</v>
      </c>
      <c r="L57" s="112">
        <v>24.49</v>
      </c>
      <c r="M57" s="112">
        <v>106.09</v>
      </c>
      <c r="N57" s="112">
        <v>113.6</v>
      </c>
      <c r="O57" s="112">
        <v>0.6</v>
      </c>
      <c r="P57" s="112">
        <v>0.5</v>
      </c>
      <c r="Q57" s="112">
        <v>4.7300000000000004</v>
      </c>
    </row>
    <row r="58" spans="1:17" customFormat="1">
      <c r="A58" s="80">
        <v>45499.520833333336</v>
      </c>
      <c r="B58" s="112">
        <v>9.2899999999999991</v>
      </c>
      <c r="C58" s="112">
        <v>4.07</v>
      </c>
      <c r="D58" s="112">
        <v>14.03</v>
      </c>
      <c r="E58" s="112">
        <v>10.64</v>
      </c>
      <c r="F58" s="112">
        <v>3.25</v>
      </c>
      <c r="G58" s="112">
        <v>14.66</v>
      </c>
      <c r="H58" s="112">
        <v>8.14</v>
      </c>
      <c r="I58" s="112">
        <v>5</v>
      </c>
      <c r="J58" s="112">
        <v>0.69</v>
      </c>
      <c r="K58" s="112">
        <v>282.33999999999997</v>
      </c>
      <c r="L58" s="112">
        <v>24.82</v>
      </c>
      <c r="M58" s="112">
        <v>106.1</v>
      </c>
      <c r="N58" s="112">
        <v>152.5</v>
      </c>
      <c r="O58" s="112">
        <v>0.4</v>
      </c>
      <c r="P58" s="112">
        <v>0.53</v>
      </c>
      <c r="Q58" s="112">
        <v>4.72</v>
      </c>
    </row>
    <row r="59" spans="1:17" customFormat="1">
      <c r="A59" s="80">
        <v>45499.53125</v>
      </c>
      <c r="B59" s="112">
        <v>9.3000000000000007</v>
      </c>
      <c r="C59" s="112">
        <v>4.05</v>
      </c>
      <c r="D59" s="112">
        <v>14.02</v>
      </c>
      <c r="E59" s="112">
        <v>10.39</v>
      </c>
      <c r="F59" s="112">
        <v>3.25</v>
      </c>
      <c r="G59" s="112">
        <v>18.920000000000002</v>
      </c>
      <c r="H59" s="112">
        <v>10.62</v>
      </c>
      <c r="I59" s="112">
        <v>5.26</v>
      </c>
      <c r="J59" s="112">
        <v>0.95</v>
      </c>
      <c r="K59" s="112">
        <v>290.60000000000002</v>
      </c>
      <c r="L59" s="112">
        <v>24.92</v>
      </c>
      <c r="M59" s="112">
        <v>106.41</v>
      </c>
      <c r="N59" s="112">
        <v>121.4</v>
      </c>
      <c r="O59" s="112">
        <v>0.2</v>
      </c>
      <c r="P59" s="112">
        <v>0.55000000000000004</v>
      </c>
      <c r="Q59" s="112">
        <v>4.7300000000000004</v>
      </c>
    </row>
    <row r="60" spans="1:17" customFormat="1">
      <c r="A60" s="80">
        <v>45499.541666666664</v>
      </c>
      <c r="B60" s="112">
        <v>9.31</v>
      </c>
      <c r="C60" s="112">
        <v>4.03</v>
      </c>
      <c r="D60" s="112">
        <v>14.02</v>
      </c>
      <c r="E60" s="112">
        <v>10.37</v>
      </c>
      <c r="F60" s="112">
        <v>3.29</v>
      </c>
      <c r="G60" s="112">
        <v>18.920000000000002</v>
      </c>
      <c r="H60" s="112">
        <v>10.62</v>
      </c>
      <c r="I60" s="112">
        <v>5.42</v>
      </c>
      <c r="J60" s="112">
        <v>1.19</v>
      </c>
      <c r="K60" s="112">
        <v>301.32</v>
      </c>
      <c r="L60" s="112">
        <v>24.85</v>
      </c>
      <c r="M60" s="112">
        <v>105.2</v>
      </c>
      <c r="N60" s="112">
        <v>116.2</v>
      </c>
      <c r="O60" s="112">
        <v>0.2</v>
      </c>
      <c r="P60" s="112">
        <v>0.55000000000000004</v>
      </c>
      <c r="Q60" s="112">
        <v>4.7300000000000004</v>
      </c>
    </row>
    <row r="61" spans="1:17" customFormat="1">
      <c r="A61" s="80">
        <v>45499.552083333336</v>
      </c>
      <c r="B61" s="112">
        <v>9.31</v>
      </c>
      <c r="C61" s="112">
        <v>4.03</v>
      </c>
      <c r="D61" s="112">
        <v>14.02</v>
      </c>
      <c r="E61" s="112">
        <v>9.9499999999999993</v>
      </c>
      <c r="F61" s="112">
        <v>3.43</v>
      </c>
      <c r="G61" s="112">
        <v>18.920000000000002</v>
      </c>
      <c r="H61" s="112">
        <v>10.62</v>
      </c>
      <c r="I61" s="112">
        <v>5.54</v>
      </c>
      <c r="J61" s="112">
        <v>1.03</v>
      </c>
      <c r="K61" s="112">
        <v>296.81</v>
      </c>
      <c r="L61" s="112">
        <v>24.82</v>
      </c>
      <c r="M61" s="112">
        <v>104.49</v>
      </c>
      <c r="N61" s="112">
        <v>100.7</v>
      </c>
      <c r="O61" s="112">
        <v>0.4</v>
      </c>
      <c r="P61" s="112">
        <v>0.56000000000000005</v>
      </c>
      <c r="Q61" s="112">
        <v>4.74</v>
      </c>
    </row>
    <row r="62" spans="1:17" customFormat="1">
      <c r="A62" s="80">
        <v>45499.5625</v>
      </c>
      <c r="B62" s="112">
        <v>9.3000000000000007</v>
      </c>
      <c r="C62" s="112">
        <v>4.05</v>
      </c>
      <c r="D62" s="112">
        <v>14.02</v>
      </c>
      <c r="E62" s="112">
        <v>9.4600000000000009</v>
      </c>
      <c r="F62" s="112">
        <v>3.44</v>
      </c>
      <c r="G62" s="112">
        <v>19.239999999999998</v>
      </c>
      <c r="H62" s="112">
        <v>10.49</v>
      </c>
      <c r="I62" s="112">
        <v>5.8</v>
      </c>
      <c r="J62" s="112">
        <v>1.05</v>
      </c>
      <c r="K62" s="112">
        <v>290.70999999999998</v>
      </c>
      <c r="L62" s="112">
        <v>24.84</v>
      </c>
      <c r="M62" s="112">
        <v>104.6</v>
      </c>
      <c r="N62" s="112">
        <v>114.9</v>
      </c>
      <c r="O62" s="112">
        <v>0.2</v>
      </c>
      <c r="P62" s="112">
        <v>0.56000000000000005</v>
      </c>
      <c r="Q62" s="112">
        <v>4.72</v>
      </c>
    </row>
    <row r="63" spans="1:17" customFormat="1">
      <c r="A63" s="80">
        <v>45499.572916666664</v>
      </c>
      <c r="B63" s="112">
        <v>9.2899999999999991</v>
      </c>
      <c r="C63" s="112">
        <v>4.08</v>
      </c>
      <c r="D63" s="112">
        <v>14.03</v>
      </c>
      <c r="E63" s="112">
        <v>9.6199999999999992</v>
      </c>
      <c r="F63" s="112">
        <v>3.49</v>
      </c>
      <c r="G63" s="112">
        <v>24.73</v>
      </c>
      <c r="H63" s="112">
        <v>7.85</v>
      </c>
      <c r="I63" s="112">
        <v>5.61</v>
      </c>
      <c r="J63" s="112">
        <v>1.05</v>
      </c>
      <c r="K63" s="112">
        <v>291.89</v>
      </c>
      <c r="L63" s="112">
        <v>25.04</v>
      </c>
      <c r="M63" s="112">
        <v>105.99</v>
      </c>
      <c r="N63" s="112">
        <v>136.4</v>
      </c>
      <c r="O63" s="112">
        <v>0</v>
      </c>
      <c r="P63" s="112">
        <v>0.55000000000000004</v>
      </c>
      <c r="Q63" s="112">
        <v>4.7300000000000004</v>
      </c>
    </row>
    <row r="64" spans="1:17" customFormat="1">
      <c r="A64" s="80">
        <v>45499.583333333336</v>
      </c>
      <c r="B64" s="112">
        <v>9.3000000000000007</v>
      </c>
      <c r="C64" s="112">
        <v>4.07</v>
      </c>
      <c r="D64" s="112">
        <v>14.03</v>
      </c>
      <c r="E64" s="112">
        <v>10.01</v>
      </c>
      <c r="F64" s="112">
        <v>3.36</v>
      </c>
      <c r="G64" s="112">
        <v>24.73</v>
      </c>
      <c r="H64" s="112">
        <v>7.85</v>
      </c>
      <c r="I64" s="112">
        <v>5.51</v>
      </c>
      <c r="J64" s="112">
        <v>1.05</v>
      </c>
      <c r="K64" s="112">
        <v>284.43</v>
      </c>
      <c r="L64" s="112">
        <v>25.24</v>
      </c>
      <c r="M64" s="112">
        <v>103.79</v>
      </c>
      <c r="N64" s="112">
        <v>164</v>
      </c>
      <c r="O64" s="112">
        <v>0.2</v>
      </c>
      <c r="P64" s="112">
        <v>0.56000000000000005</v>
      </c>
      <c r="Q64" s="112">
        <v>4.74</v>
      </c>
    </row>
    <row r="65" spans="1:17" customFormat="1">
      <c r="A65" s="80">
        <v>45499.59375</v>
      </c>
      <c r="B65" s="112">
        <v>9.31</v>
      </c>
      <c r="C65" s="112">
        <v>4.0599999999999996</v>
      </c>
      <c r="D65" s="112">
        <v>14.03</v>
      </c>
      <c r="E65" s="112">
        <v>9.94</v>
      </c>
      <c r="F65" s="112">
        <v>3.21</v>
      </c>
      <c r="G65" s="112">
        <v>24.73</v>
      </c>
      <c r="H65" s="112">
        <v>7.85</v>
      </c>
      <c r="I65" s="112">
        <v>5.53</v>
      </c>
      <c r="J65" s="112">
        <v>0.99</v>
      </c>
      <c r="K65" s="112">
        <v>279.74</v>
      </c>
      <c r="L65" s="112">
        <v>25.48</v>
      </c>
      <c r="M65" s="112">
        <v>101.81</v>
      </c>
      <c r="N65" s="112">
        <v>179.6</v>
      </c>
      <c r="O65" s="112">
        <v>0</v>
      </c>
      <c r="P65" s="112">
        <v>0.43</v>
      </c>
      <c r="Q65" s="112">
        <v>4.7300000000000004</v>
      </c>
    </row>
    <row r="66" spans="1:17" customFormat="1">
      <c r="A66" s="80">
        <v>45499.604166666664</v>
      </c>
      <c r="B66" s="112">
        <v>9.3000000000000007</v>
      </c>
      <c r="C66" s="112">
        <v>4.0599999999999996</v>
      </c>
      <c r="D66" s="112">
        <v>14.03</v>
      </c>
      <c r="E66" s="112">
        <v>10.11</v>
      </c>
      <c r="F66" s="112">
        <v>3.32</v>
      </c>
      <c r="G66" s="112">
        <v>24.34</v>
      </c>
      <c r="H66" s="112">
        <v>8.02</v>
      </c>
      <c r="I66" s="112">
        <v>5.53</v>
      </c>
      <c r="J66" s="112">
        <v>1.1299999999999999</v>
      </c>
      <c r="K66" s="112">
        <v>281.52</v>
      </c>
      <c r="L66" s="112">
        <v>25.58</v>
      </c>
      <c r="M66" s="112">
        <v>99.89</v>
      </c>
      <c r="N66" s="112">
        <v>151.80000000000001</v>
      </c>
      <c r="O66" s="112">
        <v>0</v>
      </c>
      <c r="P66" s="112">
        <v>0.45</v>
      </c>
      <c r="Q66" s="112">
        <v>4.7300000000000004</v>
      </c>
    </row>
    <row r="67" spans="1:17" customFormat="1">
      <c r="A67" s="80">
        <v>45499.614583333336</v>
      </c>
      <c r="B67" s="112">
        <v>9.2899999999999991</v>
      </c>
      <c r="C67" s="112">
        <v>4.08</v>
      </c>
      <c r="D67" s="112">
        <v>14.03</v>
      </c>
      <c r="E67" s="112">
        <v>9.17</v>
      </c>
      <c r="F67" s="112">
        <v>3.5</v>
      </c>
      <c r="G67" s="112">
        <v>17.78</v>
      </c>
      <c r="H67" s="112">
        <v>10.74</v>
      </c>
      <c r="I67" s="112">
        <v>5.5</v>
      </c>
      <c r="J67" s="112">
        <v>1.1200000000000001</v>
      </c>
      <c r="K67" s="112">
        <v>279.20999999999998</v>
      </c>
      <c r="L67" s="112">
        <v>25.56</v>
      </c>
      <c r="M67" s="112">
        <v>98.33</v>
      </c>
      <c r="N67" s="112">
        <v>102.1</v>
      </c>
      <c r="O67" s="112">
        <v>0</v>
      </c>
      <c r="P67" s="112">
        <v>0.45</v>
      </c>
      <c r="Q67" s="112">
        <v>4.74</v>
      </c>
    </row>
    <row r="68" spans="1:17" customFormat="1">
      <c r="A68" s="80">
        <v>45499.625</v>
      </c>
      <c r="B68" s="112">
        <v>9.2899999999999991</v>
      </c>
      <c r="C68" s="112">
        <v>4.09</v>
      </c>
      <c r="D68" s="112">
        <v>14.04</v>
      </c>
      <c r="E68" s="112">
        <v>9.6</v>
      </c>
      <c r="F68" s="112">
        <v>3.35</v>
      </c>
      <c r="G68" s="112">
        <v>17.78</v>
      </c>
      <c r="H68" s="112">
        <v>10.74</v>
      </c>
      <c r="I68" s="112">
        <v>5.46</v>
      </c>
      <c r="J68" s="112">
        <v>0.93</v>
      </c>
      <c r="K68" s="112">
        <v>281.83999999999997</v>
      </c>
      <c r="L68" s="112">
        <v>25.57</v>
      </c>
      <c r="M68" s="112">
        <v>98.02</v>
      </c>
      <c r="N68" s="112">
        <v>81.5</v>
      </c>
      <c r="O68" s="112">
        <v>0</v>
      </c>
      <c r="P68" s="112">
        <v>0.45</v>
      </c>
      <c r="Q68" s="112">
        <v>4.7300000000000004</v>
      </c>
    </row>
    <row r="69" spans="1:17" customFormat="1">
      <c r="A69" s="80">
        <v>45499.635416666664</v>
      </c>
      <c r="B69" s="112">
        <v>9.3000000000000007</v>
      </c>
      <c r="C69" s="112">
        <v>4.09</v>
      </c>
      <c r="D69" s="112">
        <v>14.05</v>
      </c>
      <c r="E69" s="112">
        <v>9.59</v>
      </c>
      <c r="F69" s="112">
        <v>3.69</v>
      </c>
      <c r="G69" s="112">
        <v>17.78</v>
      </c>
      <c r="H69" s="112">
        <v>10.74</v>
      </c>
      <c r="I69" s="112">
        <v>5.42</v>
      </c>
      <c r="J69" s="112">
        <v>0.78</v>
      </c>
      <c r="K69" s="112">
        <v>276.42</v>
      </c>
      <c r="L69" s="112">
        <v>25.63</v>
      </c>
      <c r="M69" s="112">
        <v>97.8</v>
      </c>
      <c r="N69" s="112">
        <v>100.8</v>
      </c>
      <c r="O69" s="112">
        <v>0</v>
      </c>
      <c r="P69" s="112">
        <v>0.45</v>
      </c>
      <c r="Q69" s="112">
        <v>4.74</v>
      </c>
    </row>
    <row r="70" spans="1:17" customFormat="1">
      <c r="A70" s="80">
        <v>45499.645833333336</v>
      </c>
      <c r="B70" s="112">
        <v>9.3000000000000007</v>
      </c>
      <c r="C70" s="112">
        <v>4.08</v>
      </c>
      <c r="D70" s="112">
        <v>14.04</v>
      </c>
      <c r="E70" s="112">
        <v>9.2899999999999991</v>
      </c>
      <c r="F70" s="112">
        <v>3.65</v>
      </c>
      <c r="G70" s="112">
        <v>17.829999999999998</v>
      </c>
      <c r="H70" s="112">
        <v>10.68</v>
      </c>
      <c r="I70" s="112">
        <v>5.44</v>
      </c>
      <c r="J70" s="112">
        <v>0.9</v>
      </c>
      <c r="K70" s="112">
        <v>279.27</v>
      </c>
      <c r="L70" s="112">
        <v>25.89</v>
      </c>
      <c r="M70" s="112">
        <v>96.57</v>
      </c>
      <c r="N70" s="112">
        <v>133.30000000000001</v>
      </c>
      <c r="O70" s="112">
        <v>0</v>
      </c>
      <c r="P70" s="112">
        <v>0.43</v>
      </c>
      <c r="Q70" s="112">
        <v>4.72</v>
      </c>
    </row>
    <row r="71" spans="1:17" customFormat="1">
      <c r="A71" s="80">
        <v>45499.65625</v>
      </c>
      <c r="B71" s="112">
        <v>9.2899999999999991</v>
      </c>
      <c r="C71" s="112">
        <v>4.0999999999999996</v>
      </c>
      <c r="D71" s="112">
        <v>14.04</v>
      </c>
      <c r="E71" s="112">
        <v>9.56</v>
      </c>
      <c r="F71" s="112">
        <v>3.48</v>
      </c>
      <c r="G71" s="112">
        <v>18.649999999999999</v>
      </c>
      <c r="H71" s="112">
        <v>9.6300000000000008</v>
      </c>
      <c r="I71" s="112">
        <v>5.38</v>
      </c>
      <c r="J71" s="112">
        <v>0.77</v>
      </c>
      <c r="K71" s="112">
        <v>276.62</v>
      </c>
      <c r="L71" s="112">
        <v>26.04</v>
      </c>
      <c r="M71" s="112">
        <v>95.95</v>
      </c>
      <c r="N71" s="112">
        <v>90</v>
      </c>
      <c r="O71" s="112">
        <v>0</v>
      </c>
      <c r="P71" s="112">
        <v>0.42</v>
      </c>
      <c r="Q71" s="112">
        <v>4.7300000000000004</v>
      </c>
    </row>
    <row r="72" spans="1:17" customFormat="1">
      <c r="A72" s="80">
        <v>45499.666666666664</v>
      </c>
      <c r="B72" s="112">
        <v>9.3000000000000007</v>
      </c>
      <c r="C72" s="112">
        <v>4.09</v>
      </c>
      <c r="D72" s="112">
        <v>14.04</v>
      </c>
      <c r="E72" s="112">
        <v>9.8000000000000007</v>
      </c>
      <c r="F72" s="112">
        <v>3.17</v>
      </c>
      <c r="G72" s="112">
        <v>18.649999999999999</v>
      </c>
      <c r="H72" s="112">
        <v>9.6300000000000008</v>
      </c>
      <c r="I72" s="112">
        <v>5.31</v>
      </c>
      <c r="J72" s="112">
        <v>0.62</v>
      </c>
      <c r="K72" s="112">
        <v>281.22000000000003</v>
      </c>
      <c r="L72" s="112">
        <v>26.08</v>
      </c>
      <c r="M72" s="112">
        <v>96.14</v>
      </c>
      <c r="N72" s="112">
        <v>62.4</v>
      </c>
      <c r="O72" s="112">
        <v>0</v>
      </c>
      <c r="P72" s="112">
        <v>0.44</v>
      </c>
      <c r="Q72" s="112">
        <v>4.7300000000000004</v>
      </c>
    </row>
    <row r="73" spans="1:17" customFormat="1">
      <c r="A73" s="80">
        <v>45499.677083333336</v>
      </c>
      <c r="B73" s="112">
        <v>9.31</v>
      </c>
      <c r="C73" s="112">
        <v>4.09</v>
      </c>
      <c r="D73" s="112">
        <v>14.05</v>
      </c>
      <c r="E73" s="112">
        <v>10.1</v>
      </c>
      <c r="F73" s="112">
        <v>3.23</v>
      </c>
      <c r="G73" s="112">
        <v>18.649999999999999</v>
      </c>
      <c r="H73" s="112">
        <v>9.6300000000000008</v>
      </c>
      <c r="I73" s="112">
        <v>5.35</v>
      </c>
      <c r="J73" s="112">
        <v>0.69</v>
      </c>
      <c r="K73" s="112">
        <v>275.63</v>
      </c>
      <c r="L73" s="112">
        <v>25.91</v>
      </c>
      <c r="M73" s="112">
        <v>96.46</v>
      </c>
      <c r="N73" s="112">
        <v>53.7</v>
      </c>
      <c r="O73" s="112">
        <v>0</v>
      </c>
      <c r="P73" s="112">
        <v>0.44</v>
      </c>
      <c r="Q73" s="112">
        <v>4.7300000000000004</v>
      </c>
    </row>
    <row r="74" spans="1:17" customFormat="1">
      <c r="A74" s="80">
        <v>45499.6875</v>
      </c>
      <c r="B74" s="112">
        <v>9.31</v>
      </c>
      <c r="C74" s="112">
        <v>4.08</v>
      </c>
      <c r="D74" s="112">
        <v>14.05</v>
      </c>
      <c r="E74" s="112">
        <v>10.199999999999999</v>
      </c>
      <c r="F74" s="112">
        <v>3.58</v>
      </c>
      <c r="G74" s="112">
        <v>18.8</v>
      </c>
      <c r="H74" s="112">
        <v>9.5299999999999994</v>
      </c>
      <c r="I74" s="112">
        <v>5.45</v>
      </c>
      <c r="J74" s="112">
        <v>0.81</v>
      </c>
      <c r="K74" s="112">
        <v>278.32</v>
      </c>
      <c r="L74" s="112">
        <v>25.75</v>
      </c>
      <c r="M74" s="112">
        <v>98.27</v>
      </c>
      <c r="N74" s="112">
        <v>41.6</v>
      </c>
      <c r="O74" s="112">
        <v>0</v>
      </c>
      <c r="P74" s="112">
        <v>0.44</v>
      </c>
      <c r="Q74" s="112">
        <v>4.74</v>
      </c>
    </row>
    <row r="75" spans="1:17" customFormat="1">
      <c r="A75" s="80">
        <v>45499.697916666664</v>
      </c>
      <c r="B75" s="112">
        <v>9.31</v>
      </c>
      <c r="C75" s="112">
        <v>4.08</v>
      </c>
      <c r="D75" s="112">
        <v>14.05</v>
      </c>
      <c r="E75" s="112">
        <v>10.39</v>
      </c>
      <c r="F75" s="112">
        <v>3.36</v>
      </c>
      <c r="G75" s="112">
        <v>21.4</v>
      </c>
      <c r="H75" s="112">
        <v>8</v>
      </c>
      <c r="I75" s="112">
        <v>5.51</v>
      </c>
      <c r="J75" s="112">
        <v>0.75</v>
      </c>
      <c r="K75" s="112">
        <v>277.89</v>
      </c>
      <c r="L75" s="112">
        <v>25.75</v>
      </c>
      <c r="M75" s="112">
        <v>98.73</v>
      </c>
      <c r="N75" s="112">
        <v>27.8</v>
      </c>
      <c r="O75" s="112">
        <v>0</v>
      </c>
      <c r="P75" s="112">
        <v>0.43</v>
      </c>
      <c r="Q75" s="112">
        <v>4.7300000000000004</v>
      </c>
    </row>
    <row r="76" spans="1:17" customFormat="1">
      <c r="A76" s="80">
        <v>45499.708333333336</v>
      </c>
      <c r="B76" s="112">
        <v>9.3000000000000007</v>
      </c>
      <c r="C76" s="112">
        <v>4.07</v>
      </c>
      <c r="D76" s="112">
        <v>14.03</v>
      </c>
      <c r="E76" s="112">
        <v>9.9</v>
      </c>
      <c r="F76" s="112">
        <v>3.51</v>
      </c>
      <c r="G76" s="112">
        <v>21.4</v>
      </c>
      <c r="H76" s="112">
        <v>8</v>
      </c>
      <c r="I76" s="112">
        <v>5.42</v>
      </c>
      <c r="J76" s="112">
        <v>0.75</v>
      </c>
      <c r="K76" s="112">
        <v>278.10000000000002</v>
      </c>
      <c r="L76" s="112">
        <v>25.67</v>
      </c>
      <c r="M76" s="112">
        <v>97.02</v>
      </c>
      <c r="N76" s="112">
        <v>23.1</v>
      </c>
      <c r="O76" s="112">
        <v>0</v>
      </c>
      <c r="P76" s="112">
        <v>0.41</v>
      </c>
      <c r="Q76" s="112">
        <v>4.72</v>
      </c>
    </row>
    <row r="77" spans="1:17" customFormat="1">
      <c r="A77" s="80">
        <v>45499.71875</v>
      </c>
      <c r="B77" s="112">
        <v>9.3000000000000007</v>
      </c>
      <c r="C77" s="112">
        <v>4.07</v>
      </c>
      <c r="D77" s="112">
        <v>14.03</v>
      </c>
      <c r="E77" s="112">
        <v>10.68</v>
      </c>
      <c r="F77" s="112">
        <v>3.26</v>
      </c>
      <c r="G77" s="112">
        <v>21.4</v>
      </c>
      <c r="H77" s="112">
        <v>8</v>
      </c>
      <c r="I77" s="112">
        <v>5.32</v>
      </c>
      <c r="J77" s="112">
        <v>0.67</v>
      </c>
      <c r="K77" s="112">
        <v>275.18</v>
      </c>
      <c r="L77" s="112">
        <v>25.59</v>
      </c>
      <c r="M77" s="112">
        <v>96.38</v>
      </c>
      <c r="N77" s="112">
        <v>17.2</v>
      </c>
      <c r="O77" s="112">
        <v>0</v>
      </c>
      <c r="P77" s="112">
        <v>0.42</v>
      </c>
      <c r="Q77" s="112">
        <v>4.7300000000000004</v>
      </c>
    </row>
    <row r="78" spans="1:17" customFormat="1">
      <c r="A78" s="80">
        <v>45499.729166666664</v>
      </c>
      <c r="B78" s="112">
        <v>9.2899999999999991</v>
      </c>
      <c r="C78" s="112">
        <v>4.08</v>
      </c>
      <c r="D78" s="112">
        <v>14.03</v>
      </c>
      <c r="E78" s="112">
        <v>10.55</v>
      </c>
      <c r="F78" s="112">
        <v>3.39</v>
      </c>
      <c r="G78" s="112">
        <v>21.18</v>
      </c>
      <c r="H78" s="112">
        <v>7.92</v>
      </c>
      <c r="I78" s="112">
        <v>5.2</v>
      </c>
      <c r="J78" s="112">
        <v>0.62</v>
      </c>
      <c r="K78" s="112">
        <v>277.75</v>
      </c>
      <c r="L78" s="112">
        <v>25.58</v>
      </c>
      <c r="M78" s="112">
        <v>95.96</v>
      </c>
      <c r="N78" s="112">
        <v>8.8000000000000007</v>
      </c>
      <c r="O78" s="112">
        <v>0</v>
      </c>
      <c r="P78" s="112">
        <v>0.4</v>
      </c>
      <c r="Q78" s="112">
        <v>4.74</v>
      </c>
    </row>
    <row r="79" spans="1:17" customFormat="1">
      <c r="A79" s="80">
        <v>45499.739583333336</v>
      </c>
      <c r="B79" s="112">
        <v>9.3000000000000007</v>
      </c>
      <c r="C79" s="112">
        <v>4.07</v>
      </c>
      <c r="D79" s="112">
        <v>14.04</v>
      </c>
      <c r="E79" s="112">
        <v>10.78</v>
      </c>
      <c r="F79" s="112">
        <v>4.41</v>
      </c>
      <c r="G79" s="112">
        <v>17.47</v>
      </c>
      <c r="H79" s="112">
        <v>6.72</v>
      </c>
      <c r="I79" s="112">
        <v>5.0999999999999996</v>
      </c>
      <c r="J79" s="112">
        <v>0.69</v>
      </c>
      <c r="K79" s="112">
        <v>280.13</v>
      </c>
      <c r="L79" s="112">
        <v>25.48</v>
      </c>
      <c r="M79" s="112">
        <v>96.38</v>
      </c>
      <c r="N79" s="112">
        <v>7</v>
      </c>
      <c r="O79" s="112">
        <v>0</v>
      </c>
      <c r="P79" s="112">
        <v>0.39</v>
      </c>
      <c r="Q79" s="112">
        <v>4.74</v>
      </c>
    </row>
    <row r="80" spans="1:17" customFormat="1">
      <c r="A80" s="80">
        <v>45499.75</v>
      </c>
      <c r="B80" s="112">
        <v>9.31</v>
      </c>
      <c r="C80" s="112">
        <v>4.0599999999999996</v>
      </c>
      <c r="D80" s="112">
        <v>14.04</v>
      </c>
      <c r="E80" s="112">
        <v>10.52</v>
      </c>
      <c r="F80" s="112">
        <v>3.67</v>
      </c>
      <c r="G80" s="112">
        <v>17.47</v>
      </c>
      <c r="H80" s="112">
        <v>6.72</v>
      </c>
      <c r="I80" s="112">
        <v>5.01</v>
      </c>
      <c r="J80" s="112">
        <v>0.66</v>
      </c>
      <c r="K80" s="112">
        <v>276.38</v>
      </c>
      <c r="L80" s="112">
        <v>25.5</v>
      </c>
      <c r="M80" s="112">
        <v>96.37</v>
      </c>
      <c r="N80" s="112">
        <v>7.3</v>
      </c>
      <c r="O80" s="112">
        <v>0</v>
      </c>
      <c r="P80" s="112">
        <v>0.38</v>
      </c>
      <c r="Q80" s="112">
        <v>4.74</v>
      </c>
    </row>
    <row r="81" spans="1:17" customFormat="1">
      <c r="A81" s="80">
        <v>45499.760416666664</v>
      </c>
      <c r="B81" s="112">
        <v>9.2899999999999991</v>
      </c>
      <c r="C81" s="112">
        <v>4.0999999999999996</v>
      </c>
      <c r="D81" s="112">
        <v>14.04</v>
      </c>
      <c r="E81" s="112">
        <v>8.84</v>
      </c>
      <c r="F81" s="112">
        <v>3.67</v>
      </c>
      <c r="G81" s="112">
        <v>17.47</v>
      </c>
      <c r="H81" s="112">
        <v>6.72</v>
      </c>
      <c r="I81" s="112">
        <v>4.9000000000000004</v>
      </c>
      <c r="J81" s="112">
        <v>0.73</v>
      </c>
      <c r="K81" s="112">
        <v>272.77999999999997</v>
      </c>
      <c r="L81" s="112">
        <v>25.53</v>
      </c>
      <c r="M81" s="112">
        <v>96.65</v>
      </c>
      <c r="N81" s="112">
        <v>7.9</v>
      </c>
      <c r="O81" s="112">
        <v>0</v>
      </c>
      <c r="P81" s="112">
        <v>0.38</v>
      </c>
      <c r="Q81" s="112">
        <v>4.74</v>
      </c>
    </row>
    <row r="82" spans="1:17" customFormat="1">
      <c r="A82" s="80">
        <v>45499.770833333336</v>
      </c>
      <c r="B82" s="112">
        <v>9.3000000000000007</v>
      </c>
      <c r="C82" s="112">
        <v>4.08</v>
      </c>
      <c r="D82" s="112">
        <v>14.04</v>
      </c>
      <c r="E82" s="112">
        <v>10.73</v>
      </c>
      <c r="F82" s="112">
        <v>3.57</v>
      </c>
      <c r="G82" s="112">
        <v>17.45</v>
      </c>
      <c r="H82" s="112">
        <v>6.94</v>
      </c>
      <c r="I82" s="112">
        <v>4.84</v>
      </c>
      <c r="J82" s="112">
        <v>0.68</v>
      </c>
      <c r="K82" s="112">
        <v>274.63</v>
      </c>
      <c r="L82" s="112">
        <v>25.56</v>
      </c>
      <c r="M82" s="112">
        <v>97.23</v>
      </c>
      <c r="N82" s="112">
        <v>4.3</v>
      </c>
      <c r="O82" s="112">
        <v>0</v>
      </c>
      <c r="P82" s="112">
        <v>0.37</v>
      </c>
      <c r="Q82" s="112">
        <v>4.7300000000000004</v>
      </c>
    </row>
    <row r="83" spans="1:17" customFormat="1">
      <c r="A83" s="80">
        <v>45499.78125</v>
      </c>
      <c r="B83" s="112">
        <v>9.2899999999999991</v>
      </c>
      <c r="C83" s="112">
        <v>4.07</v>
      </c>
      <c r="D83" s="112">
        <v>14.02</v>
      </c>
      <c r="E83" s="112">
        <v>10.85</v>
      </c>
      <c r="F83" s="112">
        <v>3.4</v>
      </c>
      <c r="G83" s="112">
        <v>17.04</v>
      </c>
      <c r="H83" s="112">
        <v>10.34</v>
      </c>
      <c r="I83" s="112">
        <v>4.7699999999999996</v>
      </c>
      <c r="J83" s="112">
        <v>0.55000000000000004</v>
      </c>
      <c r="K83" s="112">
        <v>270.95</v>
      </c>
      <c r="L83" s="112">
        <v>25.49</v>
      </c>
      <c r="M83" s="112">
        <v>99.14</v>
      </c>
      <c r="N83" s="112">
        <v>2.7</v>
      </c>
      <c r="O83" s="112">
        <v>0</v>
      </c>
      <c r="P83" s="112">
        <v>0.37</v>
      </c>
      <c r="Q83" s="112">
        <v>4.7300000000000004</v>
      </c>
    </row>
    <row r="84" spans="1:17" customFormat="1">
      <c r="A84" s="80">
        <v>45499.791666666664</v>
      </c>
      <c r="B84" s="112">
        <v>9.2899999999999991</v>
      </c>
      <c r="C84" s="112">
        <v>4.07</v>
      </c>
      <c r="D84" s="112">
        <v>14.03</v>
      </c>
      <c r="E84" s="112">
        <v>10.69</v>
      </c>
      <c r="F84" s="112">
        <v>3.32</v>
      </c>
      <c r="G84" s="112">
        <v>17.04</v>
      </c>
      <c r="H84" s="112">
        <v>10.34</v>
      </c>
      <c r="I84" s="112">
        <v>4.6900000000000004</v>
      </c>
      <c r="J84" s="112">
        <v>0.68</v>
      </c>
      <c r="K84" s="112">
        <v>277.20999999999998</v>
      </c>
      <c r="L84" s="112">
        <v>25.5</v>
      </c>
      <c r="M84" s="112">
        <v>98.05</v>
      </c>
      <c r="N84" s="112">
        <v>2.2999999999999998</v>
      </c>
      <c r="O84" s="112">
        <v>0</v>
      </c>
      <c r="P84" s="112">
        <v>0.36</v>
      </c>
      <c r="Q84" s="112">
        <v>4.74</v>
      </c>
    </row>
    <row r="85" spans="1:17" customFormat="1">
      <c r="A85" s="80">
        <v>45499.802083333336</v>
      </c>
      <c r="B85" s="112">
        <v>9.2899999999999991</v>
      </c>
      <c r="C85" s="112">
        <v>4.07</v>
      </c>
      <c r="D85" s="112">
        <v>14.03</v>
      </c>
      <c r="E85" s="112">
        <v>10.74</v>
      </c>
      <c r="F85" s="112">
        <v>3.24</v>
      </c>
      <c r="G85" s="112">
        <v>17.04</v>
      </c>
      <c r="H85" s="112">
        <v>10.34</v>
      </c>
      <c r="I85" s="112">
        <v>4.6100000000000003</v>
      </c>
      <c r="J85" s="112">
        <v>0.83</v>
      </c>
      <c r="K85" s="112">
        <v>274.95</v>
      </c>
      <c r="L85" s="112">
        <v>25.55</v>
      </c>
      <c r="M85" s="112">
        <v>97.61</v>
      </c>
      <c r="N85" s="112">
        <v>2.2999999999999998</v>
      </c>
      <c r="O85" s="112">
        <v>0</v>
      </c>
      <c r="P85" s="112">
        <v>0.35</v>
      </c>
      <c r="Q85" s="112">
        <v>4.7300000000000004</v>
      </c>
    </row>
    <row r="86" spans="1:17" customFormat="1">
      <c r="A86" s="80">
        <v>45499.8125</v>
      </c>
      <c r="B86" s="112">
        <v>9.2899999999999991</v>
      </c>
      <c r="C86" s="112">
        <v>4.0599999999999996</v>
      </c>
      <c r="D86" s="112">
        <v>14.03</v>
      </c>
      <c r="E86" s="112">
        <v>11.05</v>
      </c>
      <c r="F86" s="112">
        <v>3.3</v>
      </c>
      <c r="G86" s="112">
        <v>16.82</v>
      </c>
      <c r="H86" s="112">
        <v>10.15</v>
      </c>
      <c r="I86" s="112">
        <v>4.57</v>
      </c>
      <c r="J86" s="112">
        <v>0.54</v>
      </c>
      <c r="K86" s="112">
        <v>282.68</v>
      </c>
      <c r="L86" s="112">
        <v>25.59</v>
      </c>
      <c r="M86" s="112">
        <v>97.1</v>
      </c>
      <c r="N86" s="112">
        <v>2.2999999999999998</v>
      </c>
      <c r="O86" s="112">
        <v>0</v>
      </c>
      <c r="P86" s="112">
        <v>0.34</v>
      </c>
      <c r="Q86" s="112">
        <v>4.7300000000000004</v>
      </c>
    </row>
    <row r="87" spans="1:17" customFormat="1">
      <c r="A87" s="80">
        <v>45499.822916666664</v>
      </c>
      <c r="B87" s="112">
        <v>9.2799999999999994</v>
      </c>
      <c r="C87" s="112">
        <v>4.07</v>
      </c>
      <c r="D87" s="112">
        <v>14.02</v>
      </c>
      <c r="E87" s="112">
        <v>11</v>
      </c>
      <c r="F87" s="112">
        <v>3.12</v>
      </c>
      <c r="G87" s="112">
        <v>13.14</v>
      </c>
      <c r="H87" s="112">
        <v>7.24</v>
      </c>
      <c r="I87" s="112">
        <v>4.51</v>
      </c>
      <c r="J87" s="112">
        <v>0.77</v>
      </c>
      <c r="K87" s="112">
        <v>280.75</v>
      </c>
      <c r="L87" s="112">
        <v>25.69</v>
      </c>
      <c r="M87" s="112">
        <v>95.96</v>
      </c>
      <c r="N87" s="112">
        <v>2.2000000000000002</v>
      </c>
      <c r="O87" s="112">
        <v>0</v>
      </c>
      <c r="P87" s="112">
        <v>0.35</v>
      </c>
      <c r="Q87" s="112">
        <v>4.72</v>
      </c>
    </row>
    <row r="88" spans="1:17" customFormat="1">
      <c r="A88" s="80">
        <v>45499.833333333336</v>
      </c>
      <c r="B88" s="112">
        <v>9.2799999999999994</v>
      </c>
      <c r="C88" s="112">
        <v>4.0599999999999996</v>
      </c>
      <c r="D88" s="112">
        <v>14.02</v>
      </c>
      <c r="E88" s="112">
        <v>11.03</v>
      </c>
      <c r="F88" s="112">
        <v>3.38</v>
      </c>
      <c r="G88" s="112">
        <v>13.14</v>
      </c>
      <c r="H88" s="112">
        <v>7.24</v>
      </c>
      <c r="I88" s="112">
        <v>4.42</v>
      </c>
      <c r="J88" s="112">
        <v>0.73</v>
      </c>
      <c r="K88" s="112">
        <v>274.3</v>
      </c>
      <c r="L88" s="112">
        <v>25.69</v>
      </c>
      <c r="M88" s="112">
        <v>95.65</v>
      </c>
      <c r="N88" s="112">
        <v>2.4</v>
      </c>
      <c r="O88" s="112">
        <v>0</v>
      </c>
      <c r="P88" s="112">
        <v>0.35</v>
      </c>
      <c r="Q88" s="112">
        <v>4.7300000000000004</v>
      </c>
    </row>
    <row r="89" spans="1:17" customFormat="1">
      <c r="A89" s="80">
        <v>45499.84375</v>
      </c>
      <c r="B89" s="112">
        <v>9.27</v>
      </c>
      <c r="C89" s="112">
        <v>4.0999999999999996</v>
      </c>
      <c r="D89" s="112">
        <v>14.03</v>
      </c>
      <c r="E89" s="112">
        <v>11.17</v>
      </c>
      <c r="F89" s="112">
        <v>3.28</v>
      </c>
      <c r="G89" s="112">
        <v>13.14</v>
      </c>
      <c r="H89" s="112">
        <v>7.24</v>
      </c>
      <c r="I89" s="112">
        <v>4.41</v>
      </c>
      <c r="J89" s="112">
        <v>0.74</v>
      </c>
      <c r="K89" s="112">
        <v>278.33</v>
      </c>
      <c r="L89" s="112">
        <v>25.64</v>
      </c>
      <c r="M89" s="112">
        <v>96.07</v>
      </c>
      <c r="N89" s="112">
        <v>2.4</v>
      </c>
      <c r="O89" s="112">
        <v>0</v>
      </c>
      <c r="P89" s="112">
        <v>0.34</v>
      </c>
      <c r="Q89" s="112">
        <v>4.72</v>
      </c>
    </row>
    <row r="90" spans="1:17" customFormat="1">
      <c r="A90" s="80">
        <v>45499.854166666664</v>
      </c>
      <c r="B90" s="112">
        <v>9.27</v>
      </c>
      <c r="C90" s="112">
        <v>4.07</v>
      </c>
      <c r="D90" s="112">
        <v>14.01</v>
      </c>
      <c r="E90" s="112">
        <v>11.58</v>
      </c>
      <c r="F90" s="112">
        <v>3.54</v>
      </c>
      <c r="G90" s="112">
        <v>13.14</v>
      </c>
      <c r="H90" s="112">
        <v>7.13</v>
      </c>
      <c r="I90" s="112">
        <v>4.3600000000000003</v>
      </c>
      <c r="J90" s="112">
        <v>0.63</v>
      </c>
      <c r="K90" s="112">
        <v>276.48</v>
      </c>
      <c r="L90" s="112">
        <v>25.66</v>
      </c>
      <c r="M90" s="112">
        <v>99.36</v>
      </c>
      <c r="N90" s="112">
        <v>2.2999999999999998</v>
      </c>
      <c r="O90" s="112">
        <v>0</v>
      </c>
      <c r="P90" s="112">
        <v>0.36</v>
      </c>
      <c r="Q90" s="112">
        <v>4.71</v>
      </c>
    </row>
    <row r="91" spans="1:17" customFormat="1">
      <c r="A91" s="80">
        <v>45499.864583333336</v>
      </c>
      <c r="B91" s="112">
        <v>9.2899999999999991</v>
      </c>
      <c r="C91" s="112">
        <v>4.04</v>
      </c>
      <c r="D91" s="112">
        <v>14.01</v>
      </c>
      <c r="E91" s="112">
        <v>11.04</v>
      </c>
      <c r="F91" s="112">
        <v>4.79</v>
      </c>
      <c r="G91" s="112">
        <v>13.11</v>
      </c>
      <c r="H91" s="112">
        <v>5.42</v>
      </c>
      <c r="I91" s="112">
        <v>4.34</v>
      </c>
      <c r="J91" s="112">
        <v>0.64</v>
      </c>
      <c r="K91" s="112">
        <v>273.39999999999998</v>
      </c>
      <c r="L91" s="112">
        <v>25.61</v>
      </c>
      <c r="M91" s="112">
        <v>101.64</v>
      </c>
      <c r="N91" s="112">
        <v>2.4</v>
      </c>
      <c r="O91" s="112">
        <v>0</v>
      </c>
      <c r="P91" s="112">
        <v>0.35</v>
      </c>
      <c r="Q91" s="112">
        <v>4.72</v>
      </c>
    </row>
    <row r="92" spans="1:17" customFormat="1">
      <c r="A92" s="80">
        <v>45499.875</v>
      </c>
      <c r="B92" s="112">
        <v>9.31</v>
      </c>
      <c r="C92" s="112">
        <v>4.03</v>
      </c>
      <c r="D92" s="112">
        <v>14.02</v>
      </c>
      <c r="E92" s="112">
        <v>10.42</v>
      </c>
      <c r="F92" s="112">
        <v>4.62</v>
      </c>
      <c r="G92" s="112">
        <v>13.11</v>
      </c>
      <c r="H92" s="112">
        <v>5.42</v>
      </c>
      <c r="I92" s="112">
        <v>4.2699999999999996</v>
      </c>
      <c r="J92" s="112">
        <v>0.73</v>
      </c>
      <c r="K92" s="112">
        <v>278.36</v>
      </c>
      <c r="L92" s="112">
        <v>25.63</v>
      </c>
      <c r="M92" s="112">
        <v>101.18</v>
      </c>
      <c r="N92" s="112">
        <v>2.4</v>
      </c>
      <c r="O92" s="112">
        <v>0</v>
      </c>
      <c r="P92" s="112">
        <v>0.33</v>
      </c>
      <c r="Q92" s="112">
        <v>4.71</v>
      </c>
    </row>
    <row r="93" spans="1:17" customFormat="1">
      <c r="A93" s="80">
        <v>45499.885416666664</v>
      </c>
      <c r="B93" s="112">
        <v>9.31</v>
      </c>
      <c r="C93" s="112">
        <v>4.0599999999999996</v>
      </c>
      <c r="D93" s="112">
        <v>14.04</v>
      </c>
      <c r="E93" s="112">
        <v>10.27</v>
      </c>
      <c r="F93" s="112">
        <v>4.54</v>
      </c>
      <c r="G93" s="112">
        <v>13.11</v>
      </c>
      <c r="H93" s="112">
        <v>5.42</v>
      </c>
      <c r="I93" s="112">
        <v>4.28</v>
      </c>
      <c r="J93" s="112">
        <v>0.67</v>
      </c>
      <c r="K93" s="112">
        <v>275.05</v>
      </c>
      <c r="L93" s="112">
        <v>25.62</v>
      </c>
      <c r="M93" s="112">
        <v>101.35</v>
      </c>
      <c r="N93" s="112">
        <v>2.4</v>
      </c>
      <c r="O93" s="112">
        <v>0</v>
      </c>
      <c r="P93" s="112">
        <v>0.32</v>
      </c>
      <c r="Q93" s="112">
        <v>4.7300000000000004</v>
      </c>
    </row>
    <row r="94" spans="1:17" customFormat="1">
      <c r="A94" s="80">
        <v>45499.895833333336</v>
      </c>
      <c r="B94" s="112">
        <v>9.31</v>
      </c>
      <c r="C94" s="112">
        <v>4.05</v>
      </c>
      <c r="D94" s="112">
        <v>14.03</v>
      </c>
      <c r="E94" s="112">
        <v>9.61</v>
      </c>
      <c r="F94" s="112">
        <v>5.28</v>
      </c>
      <c r="G94" s="112">
        <v>12.98</v>
      </c>
      <c r="H94" s="112">
        <v>5.53</v>
      </c>
      <c r="I94" s="112">
        <v>4.2</v>
      </c>
      <c r="J94" s="112">
        <v>0.74</v>
      </c>
      <c r="K94" s="112">
        <v>274.79000000000002</v>
      </c>
      <c r="L94" s="112">
        <v>25.64</v>
      </c>
      <c r="M94" s="112">
        <v>99.66</v>
      </c>
      <c r="N94" s="112">
        <v>2.4</v>
      </c>
      <c r="O94" s="112">
        <v>0</v>
      </c>
      <c r="P94" s="112">
        <v>0.31</v>
      </c>
      <c r="Q94" s="112">
        <v>4.74</v>
      </c>
    </row>
    <row r="95" spans="1:17" customFormat="1">
      <c r="A95" s="80">
        <v>45499.90625</v>
      </c>
      <c r="B95" s="112">
        <v>9.31</v>
      </c>
      <c r="C95" s="112">
        <v>4.08</v>
      </c>
      <c r="D95" s="112">
        <v>14.05</v>
      </c>
      <c r="E95" s="112">
        <v>9.67</v>
      </c>
      <c r="F95" s="112">
        <v>5.43</v>
      </c>
      <c r="G95" s="112">
        <v>10.71</v>
      </c>
      <c r="H95" s="112">
        <v>7.23</v>
      </c>
      <c r="I95" s="112">
        <v>4.1399999999999997</v>
      </c>
      <c r="J95" s="112">
        <v>0.73</v>
      </c>
      <c r="K95" s="112">
        <v>274.18</v>
      </c>
      <c r="L95" s="112">
        <v>25.64</v>
      </c>
      <c r="M95" s="112">
        <v>99.34</v>
      </c>
      <c r="N95" s="112">
        <v>2.1</v>
      </c>
      <c r="O95" s="112">
        <v>0</v>
      </c>
      <c r="P95" s="112">
        <v>0.31</v>
      </c>
      <c r="Q95" s="112">
        <v>4.74</v>
      </c>
    </row>
    <row r="96" spans="1:17" customFormat="1">
      <c r="A96" s="80">
        <v>45499.916666666664</v>
      </c>
      <c r="B96" s="112">
        <v>9.31</v>
      </c>
      <c r="C96" s="112">
        <v>4.08</v>
      </c>
      <c r="D96" s="112">
        <v>14.05</v>
      </c>
      <c r="E96" s="112">
        <v>9.2200000000000006</v>
      </c>
      <c r="F96" s="112">
        <v>4.71</v>
      </c>
      <c r="G96" s="112">
        <v>10.71</v>
      </c>
      <c r="H96" s="112">
        <v>7.23</v>
      </c>
      <c r="I96" s="112">
        <v>4.07</v>
      </c>
      <c r="J96" s="112">
        <v>0.74</v>
      </c>
      <c r="K96" s="112">
        <v>276.92</v>
      </c>
      <c r="L96" s="112">
        <v>25.63</v>
      </c>
      <c r="M96" s="112">
        <v>98.39</v>
      </c>
      <c r="N96" s="112">
        <v>1.8</v>
      </c>
      <c r="O96" s="112">
        <v>0</v>
      </c>
      <c r="P96" s="112">
        <v>0.31</v>
      </c>
      <c r="Q96" s="112">
        <v>4.74</v>
      </c>
    </row>
    <row r="97" spans="1:22" customFormat="1">
      <c r="A97" s="80">
        <v>45499.927083333336</v>
      </c>
      <c r="B97" s="112">
        <v>9.3000000000000007</v>
      </c>
      <c r="C97" s="112">
        <v>4.07</v>
      </c>
      <c r="D97" s="112">
        <v>14.03</v>
      </c>
      <c r="E97" s="112">
        <v>9.39</v>
      </c>
      <c r="F97" s="112">
        <v>3.93</v>
      </c>
      <c r="G97" s="112">
        <v>10.71</v>
      </c>
      <c r="H97" s="112">
        <v>7.23</v>
      </c>
      <c r="I97" s="112">
        <v>4.08</v>
      </c>
      <c r="J97" s="112">
        <v>0.85</v>
      </c>
      <c r="K97" s="112">
        <v>283.95999999999998</v>
      </c>
      <c r="L97" s="112">
        <v>25.65</v>
      </c>
      <c r="M97" s="112">
        <v>97.72</v>
      </c>
      <c r="N97" s="112">
        <v>2.2999999999999998</v>
      </c>
      <c r="O97" s="112">
        <v>0</v>
      </c>
      <c r="P97" s="112">
        <v>0.32</v>
      </c>
      <c r="Q97" s="112">
        <v>4.7300000000000004</v>
      </c>
    </row>
    <row r="98" spans="1:22" customFormat="1">
      <c r="A98" s="80">
        <v>45499.9375</v>
      </c>
      <c r="B98" s="112">
        <v>9.3000000000000007</v>
      </c>
      <c r="C98" s="112">
        <v>4.07</v>
      </c>
      <c r="D98" s="112">
        <v>14.03</v>
      </c>
      <c r="E98" s="112">
        <v>9.65</v>
      </c>
      <c r="F98" s="112">
        <v>3.65</v>
      </c>
      <c r="G98" s="112">
        <v>10.78</v>
      </c>
      <c r="H98" s="112">
        <v>7.11</v>
      </c>
      <c r="I98" s="112">
        <v>4.08</v>
      </c>
      <c r="J98" s="112">
        <v>0.78</v>
      </c>
      <c r="K98" s="112">
        <v>278.45999999999998</v>
      </c>
      <c r="L98" s="112">
        <v>25.69</v>
      </c>
      <c r="M98" s="112">
        <v>97.1</v>
      </c>
      <c r="N98" s="112">
        <v>2.2999999999999998</v>
      </c>
      <c r="O98" s="112">
        <v>0</v>
      </c>
      <c r="P98" s="112">
        <v>0.32</v>
      </c>
      <c r="Q98" s="112">
        <v>4.72</v>
      </c>
    </row>
    <row r="99" spans="1:22" customFormat="1">
      <c r="A99" s="80">
        <v>45499.947916666664</v>
      </c>
      <c r="B99" s="112">
        <v>9.3000000000000007</v>
      </c>
      <c r="C99" s="112">
        <v>4.0599999999999996</v>
      </c>
      <c r="D99" s="112">
        <v>14.03</v>
      </c>
      <c r="E99" s="112">
        <v>9.7799999999999994</v>
      </c>
      <c r="F99" s="112">
        <v>3.62</v>
      </c>
      <c r="G99" s="112">
        <v>11.97</v>
      </c>
      <c r="H99" s="112">
        <v>5.29</v>
      </c>
      <c r="I99" s="112">
        <v>4.0599999999999996</v>
      </c>
      <c r="J99" s="112">
        <v>0.75</v>
      </c>
      <c r="K99" s="112">
        <v>273.79000000000002</v>
      </c>
      <c r="L99" s="112">
        <v>25.64</v>
      </c>
      <c r="M99" s="112">
        <v>97.43</v>
      </c>
      <c r="N99" s="112">
        <v>2.4</v>
      </c>
      <c r="O99" s="112">
        <v>0</v>
      </c>
      <c r="P99" s="112">
        <v>0.32</v>
      </c>
      <c r="Q99" s="112">
        <v>4.72</v>
      </c>
    </row>
    <row r="100" spans="1:22" customFormat="1">
      <c r="A100" s="80">
        <v>45499.958333333336</v>
      </c>
      <c r="B100" s="112">
        <v>9.3000000000000007</v>
      </c>
      <c r="C100" s="112">
        <v>4.08</v>
      </c>
      <c r="D100" s="112">
        <v>14.04</v>
      </c>
      <c r="E100" s="112">
        <v>9.94</v>
      </c>
      <c r="F100" s="112">
        <v>3.82</v>
      </c>
      <c r="G100" s="112">
        <v>11.97</v>
      </c>
      <c r="H100" s="112">
        <v>5.29</v>
      </c>
      <c r="I100" s="112">
        <v>4.04</v>
      </c>
      <c r="J100" s="112">
        <v>0.66</v>
      </c>
      <c r="K100" s="112">
        <v>277.23</v>
      </c>
      <c r="L100" s="112">
        <v>25.63</v>
      </c>
      <c r="M100" s="112">
        <v>95.99</v>
      </c>
      <c r="N100" s="112">
        <v>2.4</v>
      </c>
      <c r="O100" s="112">
        <v>0</v>
      </c>
      <c r="P100" s="112">
        <v>0.31</v>
      </c>
      <c r="Q100" s="112">
        <v>4.72</v>
      </c>
    </row>
    <row r="101" spans="1:22" customFormat="1">
      <c r="A101" s="80">
        <v>45499.96875</v>
      </c>
      <c r="B101" s="112">
        <v>9.32</v>
      </c>
      <c r="C101" s="112">
        <v>4.08</v>
      </c>
      <c r="D101" s="112">
        <v>14.05</v>
      </c>
      <c r="E101" s="112">
        <v>9.7100000000000009</v>
      </c>
      <c r="F101" s="112">
        <v>4.5</v>
      </c>
      <c r="G101" s="112">
        <v>11.97</v>
      </c>
      <c r="H101" s="112">
        <v>5.29</v>
      </c>
      <c r="I101" s="112">
        <v>4.05</v>
      </c>
      <c r="J101" s="112">
        <v>0.64</v>
      </c>
      <c r="K101" s="112">
        <v>279.19</v>
      </c>
      <c r="L101" s="112">
        <v>25.56</v>
      </c>
      <c r="M101" s="112">
        <v>95.82</v>
      </c>
      <c r="N101" s="112">
        <v>2.4</v>
      </c>
      <c r="O101" s="112">
        <v>0</v>
      </c>
      <c r="P101" s="112">
        <v>0.31</v>
      </c>
      <c r="Q101" s="112">
        <v>4.72</v>
      </c>
    </row>
    <row r="102" spans="1:22" customFormat="1">
      <c r="A102" s="80">
        <v>45499.979166666664</v>
      </c>
      <c r="B102" s="112">
        <v>9.33</v>
      </c>
      <c r="C102" s="112">
        <v>4.08</v>
      </c>
      <c r="D102" s="112">
        <v>14.06</v>
      </c>
      <c r="E102" s="112">
        <v>9.52</v>
      </c>
      <c r="F102" s="112">
        <v>4.67</v>
      </c>
      <c r="G102" s="112">
        <v>12.14</v>
      </c>
      <c r="H102" s="112">
        <v>5.21</v>
      </c>
      <c r="I102" s="112">
        <v>4.04</v>
      </c>
      <c r="J102" s="112">
        <v>0.56999999999999995</v>
      </c>
      <c r="K102" s="112">
        <v>278.98</v>
      </c>
      <c r="L102" s="112">
        <v>25.53</v>
      </c>
      <c r="M102" s="112">
        <v>96.17</v>
      </c>
      <c r="N102" s="112">
        <v>2.4</v>
      </c>
      <c r="O102" s="112">
        <v>0</v>
      </c>
      <c r="P102" s="112">
        <v>0.31</v>
      </c>
      <c r="Q102" s="112">
        <v>4.7300000000000004</v>
      </c>
    </row>
    <row r="103" spans="1:22" customFormat="1">
      <c r="A103" s="80">
        <v>45499.989583333336</v>
      </c>
      <c r="B103" s="112">
        <v>9.32</v>
      </c>
      <c r="C103" s="112">
        <v>4.07</v>
      </c>
      <c r="D103" s="112">
        <v>14.05</v>
      </c>
      <c r="E103" s="112">
        <v>9.6199999999999992</v>
      </c>
      <c r="F103" s="112">
        <v>5.05</v>
      </c>
      <c r="G103" s="112">
        <v>15.03</v>
      </c>
      <c r="H103" s="112">
        <v>3.89</v>
      </c>
      <c r="I103" s="112">
        <v>3.98</v>
      </c>
      <c r="J103" s="112">
        <v>0.8</v>
      </c>
      <c r="K103" s="112">
        <v>276.04000000000002</v>
      </c>
      <c r="L103" s="112">
        <v>25.43</v>
      </c>
      <c r="M103" s="112">
        <v>96.49</v>
      </c>
      <c r="N103" s="112">
        <v>2.4</v>
      </c>
      <c r="O103" s="112">
        <v>0</v>
      </c>
      <c r="P103" s="112">
        <v>0.3</v>
      </c>
      <c r="Q103" s="112">
        <v>4.72</v>
      </c>
    </row>
    <row r="104" spans="1:22" customFormat="1">
      <c r="A104" s="80">
        <v>45500</v>
      </c>
      <c r="B104" s="112">
        <v>9.32</v>
      </c>
      <c r="C104" s="112">
        <v>4.08</v>
      </c>
      <c r="D104" s="112">
        <v>14.05</v>
      </c>
      <c r="E104" s="112">
        <v>9.77</v>
      </c>
      <c r="F104" s="112">
        <v>4.01</v>
      </c>
      <c r="G104" s="112">
        <v>15.03</v>
      </c>
      <c r="H104" s="112">
        <v>3.89</v>
      </c>
      <c r="I104" s="112">
        <v>3.9</v>
      </c>
      <c r="J104" s="112">
        <v>0.76</v>
      </c>
      <c r="K104" s="112">
        <v>275.86</v>
      </c>
      <c r="L104" s="112">
        <v>25.31</v>
      </c>
      <c r="M104" s="112">
        <v>97.09</v>
      </c>
      <c r="N104" s="112">
        <v>2.1</v>
      </c>
      <c r="O104" s="112">
        <v>0</v>
      </c>
      <c r="P104" s="112">
        <v>0.3</v>
      </c>
      <c r="Q104" s="112">
        <v>4.72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9.24</v>
      </c>
      <c r="C106" s="183">
        <f>MIN(C9:C104)</f>
        <v>4.0199999999999996</v>
      </c>
      <c r="D106" s="183">
        <f t="shared" ref="D106:Q106" si="0">MIN(D9:D104)</f>
        <v>14</v>
      </c>
      <c r="E106" s="183">
        <f t="shared" si="0"/>
        <v>8.18</v>
      </c>
      <c r="F106" s="183">
        <f t="shared" si="0"/>
        <v>2.86</v>
      </c>
      <c r="G106" s="183">
        <f t="shared" si="0"/>
        <v>4.9000000000000004</v>
      </c>
      <c r="H106" s="183">
        <f t="shared" si="0"/>
        <v>0.87</v>
      </c>
      <c r="I106" s="183">
        <f t="shared" si="0"/>
        <v>2.89</v>
      </c>
      <c r="J106" s="183">
        <f t="shared" si="0"/>
        <v>0.54</v>
      </c>
      <c r="K106" s="183">
        <f t="shared" si="0"/>
        <v>270.95</v>
      </c>
      <c r="L106" s="183">
        <f t="shared" si="0"/>
        <v>24.06</v>
      </c>
      <c r="M106" s="183">
        <f t="shared" si="0"/>
        <v>93.68</v>
      </c>
      <c r="N106" s="183">
        <f t="shared" si="0"/>
        <v>1.3</v>
      </c>
      <c r="O106" s="183">
        <f t="shared" si="0"/>
        <v>0</v>
      </c>
      <c r="P106" s="183">
        <f t="shared" si="0"/>
        <v>0.28000000000000003</v>
      </c>
      <c r="Q106" s="183">
        <f t="shared" si="0"/>
        <v>4.7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9.33</v>
      </c>
      <c r="C107" s="184">
        <f t="shared" ref="C107:Q107" si="1">MAX(C9:C104)</f>
        <v>4.12</v>
      </c>
      <c r="D107" s="184">
        <f t="shared" si="1"/>
        <v>14.07</v>
      </c>
      <c r="E107" s="184">
        <f t="shared" si="1"/>
        <v>13.11</v>
      </c>
      <c r="F107" s="184">
        <f t="shared" si="1"/>
        <v>5.43</v>
      </c>
      <c r="G107" s="184">
        <f t="shared" si="1"/>
        <v>24.73</v>
      </c>
      <c r="H107" s="184">
        <f t="shared" si="1"/>
        <v>10.74</v>
      </c>
      <c r="I107" s="184">
        <f t="shared" si="1"/>
        <v>5.8</v>
      </c>
      <c r="J107" s="184">
        <f t="shared" si="1"/>
        <v>1.19</v>
      </c>
      <c r="K107" s="184">
        <f t="shared" si="1"/>
        <v>301.32</v>
      </c>
      <c r="L107" s="184">
        <f t="shared" si="1"/>
        <v>26.08</v>
      </c>
      <c r="M107" s="184">
        <f t="shared" si="1"/>
        <v>108.21</v>
      </c>
      <c r="N107" s="184">
        <f t="shared" si="1"/>
        <v>179.6</v>
      </c>
      <c r="O107" s="184">
        <f t="shared" si="1"/>
        <v>3.4</v>
      </c>
      <c r="P107" s="184">
        <f t="shared" si="1"/>
        <v>0.56000000000000005</v>
      </c>
      <c r="Q107" s="184">
        <f t="shared" si="1"/>
        <v>4.74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9.2916666666666519</v>
      </c>
      <c r="C108" s="183">
        <f t="shared" ref="C108:Q108" si="2">AVERAGE(C9:C104)</f>
        <v>4.0690624999999994</v>
      </c>
      <c r="D108" s="183">
        <f t="shared" si="2"/>
        <v>14.02666666666665</v>
      </c>
      <c r="E108" s="183">
        <f t="shared" si="2"/>
        <v>10.25</v>
      </c>
      <c r="F108" s="183">
        <f t="shared" si="2"/>
        <v>3.6389583333333331</v>
      </c>
      <c r="G108" s="183">
        <f t="shared" si="2"/>
        <v>15.733958333333341</v>
      </c>
      <c r="H108" s="183">
        <f t="shared" si="2"/>
        <v>6.7259375000000006</v>
      </c>
      <c r="I108" s="183">
        <f t="shared" si="2"/>
        <v>4.0424999999999986</v>
      </c>
      <c r="J108" s="183">
        <f t="shared" si="2"/>
        <v>0.80927083333333305</v>
      </c>
      <c r="K108" s="183">
        <f t="shared" si="2"/>
        <v>278.5663541666666</v>
      </c>
      <c r="L108" s="183">
        <f t="shared" si="2"/>
        <v>25.138958333333331</v>
      </c>
      <c r="M108" s="183">
        <f t="shared" si="2"/>
        <v>99.663437500000001</v>
      </c>
      <c r="N108" s="183">
        <f t="shared" si="2"/>
        <v>26.814583333333356</v>
      </c>
      <c r="O108" s="183">
        <f t="shared" si="2"/>
        <v>0.31249999999999994</v>
      </c>
      <c r="P108" s="183">
        <f t="shared" si="2"/>
        <v>0.36458333333333348</v>
      </c>
      <c r="Q108" s="183">
        <f t="shared" si="2"/>
        <v>4.7275000000000054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1.798634959990035E-2</v>
      </c>
      <c r="C109" s="183">
        <f t="shared" ref="C109:Q109" si="3">STDEV(C9:C104)</f>
        <v>1.7893140408665301E-2</v>
      </c>
      <c r="D109" s="183">
        <f t="shared" si="3"/>
        <v>1.56720781993877E-2</v>
      </c>
      <c r="E109" s="183">
        <f t="shared" si="3"/>
        <v>1.0283630323557134</v>
      </c>
      <c r="F109" s="183">
        <f t="shared" si="3"/>
        <v>0.48512066684847499</v>
      </c>
      <c r="G109" s="183">
        <f t="shared" si="3"/>
        <v>4.9770131561148157</v>
      </c>
      <c r="H109" s="183">
        <f t="shared" si="3"/>
        <v>2.1598555400645036</v>
      </c>
      <c r="I109" s="183">
        <f t="shared" si="3"/>
        <v>0.92419182333312344</v>
      </c>
      <c r="J109" s="183">
        <f t="shared" si="3"/>
        <v>0.14953432833593022</v>
      </c>
      <c r="K109" s="183">
        <f t="shared" si="3"/>
        <v>5.2594558693572715</v>
      </c>
      <c r="L109" s="183">
        <f t="shared" si="3"/>
        <v>0.60364416002315779</v>
      </c>
      <c r="M109" s="183">
        <f t="shared" si="3"/>
        <v>4.0582785637897496</v>
      </c>
      <c r="N109" s="183">
        <f t="shared" si="3"/>
        <v>45.749484849942142</v>
      </c>
      <c r="O109" s="183">
        <f t="shared" si="3"/>
        <v>0.63366104171668425</v>
      </c>
      <c r="P109" s="183">
        <f t="shared" si="3"/>
        <v>7.2763736871526014E-2</v>
      </c>
      <c r="Q109" s="183">
        <f t="shared" si="3"/>
        <v>9.6245300637159102E-3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62" activePane="bottomRight" state="frozen"/>
      <selection activeCell="A9" sqref="A9"/>
      <selection pane="topRight" activeCell="A9" sqref="A9"/>
      <selection pane="bottomLeft" activeCell="A9" sqref="A9"/>
      <selection pane="bottomRight" activeCell="G110" sqref="G110:H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45500.010416666664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45500.010416666664</v>
      </c>
      <c r="B9" s="112">
        <v>9.25</v>
      </c>
      <c r="C9" s="112">
        <v>4.12</v>
      </c>
      <c r="D9" s="112">
        <v>14.02</v>
      </c>
      <c r="E9" s="112">
        <v>9.6</v>
      </c>
      <c r="F9" s="112">
        <v>3.31</v>
      </c>
      <c r="G9" s="112">
        <v>15.03</v>
      </c>
      <c r="H9" s="112">
        <v>3.89</v>
      </c>
      <c r="I9" s="112">
        <v>3.9</v>
      </c>
      <c r="J9" s="112">
        <v>0.73</v>
      </c>
      <c r="K9" s="112">
        <v>275.45</v>
      </c>
      <c r="L9" s="112">
        <v>25.17</v>
      </c>
      <c r="M9" s="112">
        <v>98.19</v>
      </c>
      <c r="N9" s="112">
        <v>2.1</v>
      </c>
      <c r="O9" s="112">
        <v>0</v>
      </c>
      <c r="P9" s="112">
        <v>0.31</v>
      </c>
      <c r="Q9" s="112">
        <v>4.72</v>
      </c>
    </row>
    <row r="10" spans="1:21" customFormat="1">
      <c r="A10" s="80">
        <v>45500.020833333336</v>
      </c>
      <c r="B10" s="112">
        <v>9.27</v>
      </c>
      <c r="C10" s="112">
        <v>4.12</v>
      </c>
      <c r="D10" s="112">
        <v>14.03</v>
      </c>
      <c r="E10" s="112">
        <v>9.2799999999999994</v>
      </c>
      <c r="F10" s="112">
        <v>4.1399999999999997</v>
      </c>
      <c r="G10" s="112">
        <v>14.87</v>
      </c>
      <c r="H10" s="112">
        <v>3.87</v>
      </c>
      <c r="I10" s="112">
        <v>4.16</v>
      </c>
      <c r="J10" s="112">
        <v>0.74</v>
      </c>
      <c r="K10" s="112">
        <v>281.22000000000003</v>
      </c>
      <c r="L10" s="112">
        <v>25.05</v>
      </c>
      <c r="M10" s="112">
        <v>99.05</v>
      </c>
      <c r="N10" s="112">
        <v>2.4</v>
      </c>
      <c r="O10" s="112">
        <v>0.2</v>
      </c>
      <c r="P10" s="112">
        <v>0.3</v>
      </c>
      <c r="Q10" s="112">
        <v>4.7300000000000004</v>
      </c>
    </row>
    <row r="11" spans="1:21" customFormat="1">
      <c r="A11" s="80">
        <v>45500.03125</v>
      </c>
      <c r="B11" s="112">
        <v>9.2799999999999994</v>
      </c>
      <c r="C11" s="112">
        <v>4.08</v>
      </c>
      <c r="D11" s="112">
        <v>14.02</v>
      </c>
      <c r="E11" s="112">
        <v>9.83</v>
      </c>
      <c r="F11" s="112">
        <v>4.57</v>
      </c>
      <c r="G11" s="112">
        <v>12.22</v>
      </c>
      <c r="H11" s="112">
        <v>3.67</v>
      </c>
      <c r="I11" s="112">
        <v>4.21</v>
      </c>
      <c r="J11" s="112">
        <v>0.75</v>
      </c>
      <c r="K11" s="112">
        <v>278.5</v>
      </c>
      <c r="L11" s="112">
        <v>24.99</v>
      </c>
      <c r="M11" s="112">
        <v>99.57</v>
      </c>
      <c r="N11" s="112">
        <v>2.4</v>
      </c>
      <c r="O11" s="112">
        <v>0</v>
      </c>
      <c r="P11" s="112">
        <v>0.3</v>
      </c>
      <c r="Q11" s="112">
        <v>4.7300000000000004</v>
      </c>
    </row>
    <row r="12" spans="1:21" customFormat="1">
      <c r="A12" s="80">
        <v>45500.041666666664</v>
      </c>
      <c r="B12" s="112">
        <v>9.2899999999999991</v>
      </c>
      <c r="C12" s="112">
        <v>4.0599999999999996</v>
      </c>
      <c r="D12" s="112">
        <v>14.02</v>
      </c>
      <c r="E12" s="112">
        <v>9.17</v>
      </c>
      <c r="F12" s="112">
        <v>3.74</v>
      </c>
      <c r="G12" s="112">
        <v>12.22</v>
      </c>
      <c r="H12" s="112">
        <v>3.67</v>
      </c>
      <c r="I12" s="112">
        <v>4.0999999999999996</v>
      </c>
      <c r="J12" s="112">
        <v>0.55000000000000004</v>
      </c>
      <c r="K12" s="112">
        <v>277.8</v>
      </c>
      <c r="L12" s="112">
        <v>24.93</v>
      </c>
      <c r="M12" s="112">
        <v>99.96</v>
      </c>
      <c r="N12" s="112">
        <v>2.2999999999999998</v>
      </c>
      <c r="O12" s="112">
        <v>0</v>
      </c>
      <c r="P12" s="112">
        <v>0.28000000000000003</v>
      </c>
      <c r="Q12" s="112">
        <v>4.7300000000000004</v>
      </c>
    </row>
    <row r="13" spans="1:21" customFormat="1">
      <c r="A13" s="80">
        <v>45500.052083333336</v>
      </c>
      <c r="B13" s="112">
        <v>9.27</v>
      </c>
      <c r="C13" s="112">
        <v>4.0999999999999996</v>
      </c>
      <c r="D13" s="112">
        <v>14.03</v>
      </c>
      <c r="E13" s="112">
        <v>9.1199999999999992</v>
      </c>
      <c r="F13" s="112">
        <v>3.66</v>
      </c>
      <c r="G13" s="112">
        <v>12.22</v>
      </c>
      <c r="H13" s="112">
        <v>3.67</v>
      </c>
      <c r="I13" s="112">
        <v>4.12</v>
      </c>
      <c r="J13" s="112">
        <v>0.53</v>
      </c>
      <c r="K13" s="112">
        <v>273.39999999999998</v>
      </c>
      <c r="L13" s="112">
        <v>24.95</v>
      </c>
      <c r="M13" s="112">
        <v>100.17</v>
      </c>
      <c r="N13" s="112">
        <v>2.2999999999999998</v>
      </c>
      <c r="O13" s="112">
        <v>0</v>
      </c>
      <c r="P13" s="112">
        <v>0.28000000000000003</v>
      </c>
      <c r="Q13" s="112">
        <v>4.74</v>
      </c>
    </row>
    <row r="14" spans="1:21" customFormat="1">
      <c r="A14" s="80">
        <v>45500.0625</v>
      </c>
      <c r="B14" s="112">
        <v>9.2799999999999994</v>
      </c>
      <c r="C14" s="112">
        <v>4.09</v>
      </c>
      <c r="D14" s="112">
        <v>14.03</v>
      </c>
      <c r="E14" s="112">
        <v>9.1</v>
      </c>
      <c r="F14" s="112">
        <v>4.0599999999999996</v>
      </c>
      <c r="G14" s="112">
        <v>12.06</v>
      </c>
      <c r="H14" s="112">
        <v>3.67</v>
      </c>
      <c r="I14" s="112">
        <v>3.9</v>
      </c>
      <c r="J14" s="112">
        <v>0.54</v>
      </c>
      <c r="K14" s="112">
        <v>273.64999999999998</v>
      </c>
      <c r="L14" s="112">
        <v>24.94</v>
      </c>
      <c r="M14" s="112">
        <v>100.62</v>
      </c>
      <c r="N14" s="112">
        <v>2.2999999999999998</v>
      </c>
      <c r="O14" s="112">
        <v>0.2</v>
      </c>
      <c r="P14" s="112">
        <v>0.27</v>
      </c>
      <c r="Q14" s="112">
        <v>4.7300000000000004</v>
      </c>
    </row>
    <row r="15" spans="1:21" customFormat="1">
      <c r="A15" s="80">
        <v>45500.072916666664</v>
      </c>
      <c r="B15" s="112">
        <v>9.2799999999999994</v>
      </c>
      <c r="C15" s="112">
        <v>4.09</v>
      </c>
      <c r="D15" s="112">
        <v>14.03</v>
      </c>
      <c r="E15" s="112">
        <v>9.58</v>
      </c>
      <c r="F15" s="112">
        <v>3.98</v>
      </c>
      <c r="G15" s="112">
        <v>9.2799999999999994</v>
      </c>
      <c r="H15" s="112">
        <v>3.69</v>
      </c>
      <c r="I15" s="112">
        <v>3.76</v>
      </c>
      <c r="J15" s="112">
        <v>0.54</v>
      </c>
      <c r="K15" s="112">
        <v>275.05</v>
      </c>
      <c r="L15" s="112">
        <v>24.91</v>
      </c>
      <c r="M15" s="112">
        <v>100.7</v>
      </c>
      <c r="N15" s="112">
        <v>2.4</v>
      </c>
      <c r="O15" s="112">
        <v>0</v>
      </c>
      <c r="P15" s="112">
        <v>0.27</v>
      </c>
      <c r="Q15" s="112">
        <v>4.7300000000000004</v>
      </c>
    </row>
    <row r="16" spans="1:21" customFormat="1">
      <c r="A16" s="80">
        <v>45500.083333333336</v>
      </c>
      <c r="B16" s="112">
        <v>9.2799999999999994</v>
      </c>
      <c r="C16" s="112">
        <v>4.05</v>
      </c>
      <c r="D16" s="112">
        <v>14.01</v>
      </c>
      <c r="E16" s="112">
        <v>9.85</v>
      </c>
      <c r="F16" s="112">
        <v>3.7</v>
      </c>
      <c r="G16" s="112">
        <v>9.2799999999999994</v>
      </c>
      <c r="H16" s="112">
        <v>3.69</v>
      </c>
      <c r="I16" s="112">
        <v>3.92</v>
      </c>
      <c r="J16" s="112">
        <v>0.52</v>
      </c>
      <c r="K16" s="112">
        <v>275.16000000000003</v>
      </c>
      <c r="L16" s="112">
        <v>24.94</v>
      </c>
      <c r="M16" s="112">
        <v>101.13</v>
      </c>
      <c r="N16" s="112">
        <v>2.2999999999999998</v>
      </c>
      <c r="O16" s="112">
        <v>0</v>
      </c>
      <c r="P16" s="112">
        <v>0.27</v>
      </c>
      <c r="Q16" s="112">
        <v>4.74</v>
      </c>
    </row>
    <row r="17" spans="1:17" customFormat="1">
      <c r="A17" s="80">
        <v>45500.09375</v>
      </c>
      <c r="B17" s="112">
        <v>9.26</v>
      </c>
      <c r="C17" s="112">
        <v>4.07</v>
      </c>
      <c r="D17" s="112">
        <v>14</v>
      </c>
      <c r="E17" s="112">
        <v>8.51</v>
      </c>
      <c r="F17" s="112">
        <v>3.46</v>
      </c>
      <c r="G17" s="112">
        <v>9.2799999999999994</v>
      </c>
      <c r="H17" s="112">
        <v>3.69</v>
      </c>
      <c r="I17" s="112">
        <v>3.91</v>
      </c>
      <c r="J17" s="112">
        <v>0.38</v>
      </c>
      <c r="K17" s="112">
        <v>275.58</v>
      </c>
      <c r="L17" s="112">
        <v>24.91</v>
      </c>
      <c r="M17" s="112">
        <v>101.74</v>
      </c>
      <c r="N17" s="112">
        <v>2.2999999999999998</v>
      </c>
      <c r="O17" s="112">
        <v>0</v>
      </c>
      <c r="P17" s="112">
        <v>0.27</v>
      </c>
      <c r="Q17" s="112">
        <v>4.74</v>
      </c>
    </row>
    <row r="18" spans="1:17" customFormat="1">
      <c r="A18" s="80">
        <v>45500.104166666664</v>
      </c>
      <c r="B18" s="112">
        <v>9.26</v>
      </c>
      <c r="C18" s="112">
        <v>4.08</v>
      </c>
      <c r="D18" s="112">
        <v>14</v>
      </c>
      <c r="E18" s="112">
        <v>10.39</v>
      </c>
      <c r="F18" s="112">
        <v>3.42</v>
      </c>
      <c r="G18" s="112">
        <v>9.3800000000000008</v>
      </c>
      <c r="H18" s="112">
        <v>3.83</v>
      </c>
      <c r="I18" s="112">
        <v>3.68</v>
      </c>
      <c r="J18" s="112">
        <v>0.54</v>
      </c>
      <c r="K18" s="112">
        <v>277.43</v>
      </c>
      <c r="L18" s="112">
        <v>24.89</v>
      </c>
      <c r="M18" s="112">
        <v>101.53</v>
      </c>
      <c r="N18" s="112">
        <v>2.4</v>
      </c>
      <c r="O18" s="112">
        <v>0</v>
      </c>
      <c r="P18" s="112">
        <v>0.26</v>
      </c>
      <c r="Q18" s="112">
        <v>4.74</v>
      </c>
    </row>
    <row r="19" spans="1:17" customFormat="1">
      <c r="A19" s="80">
        <v>45500.114583333336</v>
      </c>
      <c r="B19" s="112">
        <v>9.26</v>
      </c>
      <c r="C19" s="112">
        <v>4.08</v>
      </c>
      <c r="D19" s="112">
        <v>14</v>
      </c>
      <c r="E19" s="112">
        <v>10.45</v>
      </c>
      <c r="F19" s="112">
        <v>3.37</v>
      </c>
      <c r="G19" s="112">
        <v>11.05</v>
      </c>
      <c r="H19" s="112">
        <v>5.97</v>
      </c>
      <c r="I19" s="112">
        <v>3.77</v>
      </c>
      <c r="J19" s="112">
        <v>0.51</v>
      </c>
      <c r="K19" s="112">
        <v>278.32</v>
      </c>
      <c r="L19" s="112">
        <v>24.87</v>
      </c>
      <c r="M19" s="112">
        <v>100.31</v>
      </c>
      <c r="N19" s="112">
        <v>2.2999999999999998</v>
      </c>
      <c r="O19" s="112">
        <v>0.2</v>
      </c>
      <c r="P19" s="112">
        <v>0.26</v>
      </c>
      <c r="Q19" s="112">
        <v>4.74</v>
      </c>
    </row>
    <row r="20" spans="1:17" customFormat="1">
      <c r="A20" s="80">
        <v>45500.125</v>
      </c>
      <c r="B20" s="112">
        <v>9.25</v>
      </c>
      <c r="C20" s="112">
        <v>4.08</v>
      </c>
      <c r="D20" s="112">
        <v>14</v>
      </c>
      <c r="E20" s="112">
        <v>10.68</v>
      </c>
      <c r="F20" s="112">
        <v>3.19</v>
      </c>
      <c r="G20" s="112">
        <v>11.05</v>
      </c>
      <c r="H20" s="112">
        <v>5.97</v>
      </c>
      <c r="I20" s="112">
        <v>3.74</v>
      </c>
      <c r="J20" s="112">
        <v>0.46</v>
      </c>
      <c r="K20" s="112">
        <v>273.04000000000002</v>
      </c>
      <c r="L20" s="112">
        <v>24.88</v>
      </c>
      <c r="M20" s="112">
        <v>100.23</v>
      </c>
      <c r="N20" s="112">
        <v>2.2999999999999998</v>
      </c>
      <c r="O20" s="112">
        <v>0</v>
      </c>
      <c r="P20" s="112">
        <v>0.27</v>
      </c>
      <c r="Q20" s="112">
        <v>4.74</v>
      </c>
    </row>
    <row r="21" spans="1:17" customFormat="1">
      <c r="A21" s="80">
        <v>45500.135416666664</v>
      </c>
      <c r="B21" s="112">
        <v>9.26</v>
      </c>
      <c r="C21" s="112">
        <v>4.0599999999999996</v>
      </c>
      <c r="D21" s="112">
        <v>14</v>
      </c>
      <c r="E21" s="112">
        <v>10.87</v>
      </c>
      <c r="F21" s="112">
        <v>3.41</v>
      </c>
      <c r="G21" s="112">
        <v>11.05</v>
      </c>
      <c r="H21" s="112">
        <v>5.97</v>
      </c>
      <c r="I21" s="112">
        <v>3.73</v>
      </c>
      <c r="J21" s="112">
        <v>0.48</v>
      </c>
      <c r="K21" s="112">
        <v>278.08</v>
      </c>
      <c r="L21" s="112">
        <v>24.87</v>
      </c>
      <c r="M21" s="112">
        <v>100.23</v>
      </c>
      <c r="N21" s="112">
        <v>2.4</v>
      </c>
      <c r="O21" s="112">
        <v>0</v>
      </c>
      <c r="P21" s="112">
        <v>0.26</v>
      </c>
      <c r="Q21" s="112">
        <v>4.74</v>
      </c>
    </row>
    <row r="22" spans="1:17" customFormat="1">
      <c r="A22" s="80">
        <v>45500.145833333336</v>
      </c>
      <c r="B22" s="112">
        <v>9.25</v>
      </c>
      <c r="C22" s="112">
        <v>4.08</v>
      </c>
      <c r="D22" s="112">
        <v>14</v>
      </c>
      <c r="E22" s="112">
        <v>10.97</v>
      </c>
      <c r="F22" s="112">
        <v>3.07</v>
      </c>
      <c r="G22" s="112">
        <v>11.35</v>
      </c>
      <c r="H22" s="112">
        <v>6</v>
      </c>
      <c r="I22" s="112">
        <v>3.73</v>
      </c>
      <c r="J22" s="112">
        <v>0.53</v>
      </c>
      <c r="K22" s="112">
        <v>275.45999999999998</v>
      </c>
      <c r="L22" s="112">
        <v>24.84</v>
      </c>
      <c r="M22" s="112">
        <v>100.26</v>
      </c>
      <c r="N22" s="112">
        <v>2.4</v>
      </c>
      <c r="O22" s="112">
        <v>0.4</v>
      </c>
      <c r="P22" s="112">
        <v>0.27</v>
      </c>
      <c r="Q22" s="112">
        <v>4.74</v>
      </c>
    </row>
    <row r="23" spans="1:17" customFormat="1">
      <c r="A23" s="80">
        <v>45500.15625</v>
      </c>
      <c r="B23" s="112">
        <v>9.24</v>
      </c>
      <c r="C23" s="112">
        <v>4.0999999999999996</v>
      </c>
      <c r="D23" s="112">
        <v>14</v>
      </c>
      <c r="E23" s="112">
        <v>11.11</v>
      </c>
      <c r="F23" s="112">
        <v>2.62</v>
      </c>
      <c r="G23" s="112">
        <v>16.41</v>
      </c>
      <c r="H23" s="112">
        <v>6.44</v>
      </c>
      <c r="I23" s="112">
        <v>3.71</v>
      </c>
      <c r="J23" s="112">
        <v>0.46</v>
      </c>
      <c r="K23" s="112">
        <v>270.95999999999998</v>
      </c>
      <c r="L23" s="112">
        <v>24.85</v>
      </c>
      <c r="M23" s="112">
        <v>100.47</v>
      </c>
      <c r="N23" s="112">
        <v>2.2999999999999998</v>
      </c>
      <c r="O23" s="112">
        <v>0</v>
      </c>
      <c r="P23" s="112">
        <v>0.27</v>
      </c>
      <c r="Q23" s="112">
        <v>4.7300000000000004</v>
      </c>
    </row>
    <row r="24" spans="1:17" customFormat="1">
      <c r="A24" s="80">
        <v>45500.166666666664</v>
      </c>
      <c r="B24" s="112">
        <v>9.24</v>
      </c>
      <c r="C24" s="112">
        <v>4.09</v>
      </c>
      <c r="D24" s="112">
        <v>14</v>
      </c>
      <c r="E24" s="112">
        <v>11.28</v>
      </c>
      <c r="F24" s="112">
        <v>3.01</v>
      </c>
      <c r="G24" s="112">
        <v>16.41</v>
      </c>
      <c r="H24" s="112">
        <v>6.44</v>
      </c>
      <c r="I24" s="112">
        <v>3.71</v>
      </c>
      <c r="J24" s="112">
        <v>0.46</v>
      </c>
      <c r="K24" s="112">
        <v>274.8</v>
      </c>
      <c r="L24" s="112">
        <v>24.81</v>
      </c>
      <c r="M24" s="112">
        <v>100.62</v>
      </c>
      <c r="N24" s="112">
        <v>2.5</v>
      </c>
      <c r="O24" s="112">
        <v>0</v>
      </c>
      <c r="P24" s="112">
        <v>0.27</v>
      </c>
      <c r="Q24" s="112">
        <v>4.7300000000000004</v>
      </c>
    </row>
    <row r="25" spans="1:17" customFormat="1">
      <c r="A25" s="80">
        <v>45500.177083333336</v>
      </c>
      <c r="B25" s="112">
        <v>9.24</v>
      </c>
      <c r="C25" s="112">
        <v>4.0999999999999996</v>
      </c>
      <c r="D25" s="112">
        <v>14</v>
      </c>
      <c r="E25" s="112">
        <v>11.64</v>
      </c>
      <c r="F25" s="112">
        <v>3.15</v>
      </c>
      <c r="G25" s="112">
        <v>16.41</v>
      </c>
      <c r="H25" s="112">
        <v>6.44</v>
      </c>
      <c r="I25" s="112">
        <v>3.77</v>
      </c>
      <c r="J25" s="112">
        <v>0.51</v>
      </c>
      <c r="K25" s="112">
        <v>271.89999999999998</v>
      </c>
      <c r="L25" s="112">
        <v>24.82</v>
      </c>
      <c r="M25" s="112">
        <v>100.26</v>
      </c>
      <c r="N25" s="112">
        <v>2.5</v>
      </c>
      <c r="O25" s="112">
        <v>0</v>
      </c>
      <c r="P25" s="112">
        <v>0.27</v>
      </c>
      <c r="Q25" s="112">
        <v>4.7300000000000004</v>
      </c>
    </row>
    <row r="26" spans="1:17" customFormat="1">
      <c r="A26" s="80">
        <v>45500.1875</v>
      </c>
      <c r="B26" s="112">
        <v>9.23</v>
      </c>
      <c r="C26" s="112">
        <v>4.12</v>
      </c>
      <c r="D26" s="112">
        <v>14</v>
      </c>
      <c r="E26" s="112">
        <v>11.61</v>
      </c>
      <c r="F26" s="112">
        <v>3.07</v>
      </c>
      <c r="G26" s="112">
        <v>16.170000000000002</v>
      </c>
      <c r="H26" s="112">
        <v>6.37</v>
      </c>
      <c r="I26" s="112">
        <v>3.62</v>
      </c>
      <c r="J26" s="112">
        <v>0.39</v>
      </c>
      <c r="K26" s="112">
        <v>275.52999999999997</v>
      </c>
      <c r="L26" s="112">
        <v>24.77</v>
      </c>
      <c r="M26" s="112">
        <v>100.29</v>
      </c>
      <c r="N26" s="112">
        <v>2.6</v>
      </c>
      <c r="O26" s="112">
        <v>0</v>
      </c>
      <c r="P26" s="112">
        <v>0.28000000000000003</v>
      </c>
      <c r="Q26" s="112">
        <v>4.74</v>
      </c>
    </row>
    <row r="27" spans="1:17" customFormat="1">
      <c r="A27" s="80">
        <v>45500.197916666664</v>
      </c>
      <c r="B27" s="112">
        <v>9.23</v>
      </c>
      <c r="C27" s="112">
        <v>4.1100000000000003</v>
      </c>
      <c r="D27" s="112">
        <v>14</v>
      </c>
      <c r="E27" s="112">
        <v>11.36</v>
      </c>
      <c r="F27" s="112">
        <v>3.02</v>
      </c>
      <c r="G27" s="112">
        <v>12.24</v>
      </c>
      <c r="H27" s="112">
        <v>5.38</v>
      </c>
      <c r="I27" s="112">
        <v>3.55</v>
      </c>
      <c r="J27" s="112">
        <v>0.42</v>
      </c>
      <c r="K27" s="112">
        <v>275.73</v>
      </c>
      <c r="L27" s="112">
        <v>24.8</v>
      </c>
      <c r="M27" s="112">
        <v>100.55</v>
      </c>
      <c r="N27" s="112">
        <v>2.7</v>
      </c>
      <c r="O27" s="112">
        <v>0</v>
      </c>
      <c r="P27" s="112">
        <v>0.27</v>
      </c>
      <c r="Q27" s="112">
        <v>4.74</v>
      </c>
    </row>
    <row r="28" spans="1:17" customFormat="1">
      <c r="A28" s="80">
        <v>45500.208333333336</v>
      </c>
      <c r="B28" s="112">
        <v>9.2200000000000006</v>
      </c>
      <c r="C28" s="112">
        <v>4.13</v>
      </c>
      <c r="D28" s="112">
        <v>14</v>
      </c>
      <c r="E28" s="112">
        <v>11.75</v>
      </c>
      <c r="F28" s="112">
        <v>3.02</v>
      </c>
      <c r="G28" s="112">
        <v>12.24</v>
      </c>
      <c r="H28" s="112">
        <v>5.38</v>
      </c>
      <c r="I28" s="112">
        <v>3.67</v>
      </c>
      <c r="J28" s="112">
        <v>0.48</v>
      </c>
      <c r="K28" s="112">
        <v>277.02999999999997</v>
      </c>
      <c r="L28" s="112">
        <v>24.78</v>
      </c>
      <c r="M28" s="112">
        <v>100.18</v>
      </c>
      <c r="N28" s="112">
        <v>2.5</v>
      </c>
      <c r="O28" s="112">
        <v>0</v>
      </c>
      <c r="P28" s="112">
        <v>0.27</v>
      </c>
      <c r="Q28" s="112">
        <v>4.75</v>
      </c>
    </row>
    <row r="29" spans="1:17" customFormat="1">
      <c r="A29" s="80">
        <v>45500.21875</v>
      </c>
      <c r="B29" s="112">
        <v>9.2200000000000006</v>
      </c>
      <c r="C29" s="112">
        <v>4.12</v>
      </c>
      <c r="D29" s="112">
        <v>14</v>
      </c>
      <c r="E29" s="112">
        <v>12.03</v>
      </c>
      <c r="F29" s="112">
        <v>2.96</v>
      </c>
      <c r="G29" s="112">
        <v>12.24</v>
      </c>
      <c r="H29" s="112">
        <v>5.38</v>
      </c>
      <c r="I29" s="112">
        <v>3.68</v>
      </c>
      <c r="J29" s="112">
        <v>0.35</v>
      </c>
      <c r="K29" s="112">
        <v>273.39999999999998</v>
      </c>
      <c r="L29" s="112">
        <v>24.92</v>
      </c>
      <c r="M29" s="112">
        <v>100.32</v>
      </c>
      <c r="N29" s="112">
        <v>2.4</v>
      </c>
      <c r="O29" s="112">
        <v>0.6</v>
      </c>
      <c r="P29" s="112">
        <v>0.27</v>
      </c>
      <c r="Q29" s="112">
        <v>4.74</v>
      </c>
    </row>
    <row r="30" spans="1:17" customFormat="1">
      <c r="A30" s="80">
        <v>45500.229166666664</v>
      </c>
      <c r="B30" s="112">
        <v>9.2200000000000006</v>
      </c>
      <c r="C30" s="112">
        <v>4.13</v>
      </c>
      <c r="D30" s="112">
        <v>14</v>
      </c>
      <c r="E30" s="112">
        <v>12.39</v>
      </c>
      <c r="F30" s="112">
        <v>2.92</v>
      </c>
      <c r="G30" s="112">
        <v>12.15</v>
      </c>
      <c r="H30" s="112">
        <v>5.37</v>
      </c>
      <c r="I30" s="112">
        <v>3.62</v>
      </c>
      <c r="J30" s="112">
        <v>0.54</v>
      </c>
      <c r="K30" s="112">
        <v>278.63</v>
      </c>
      <c r="L30" s="112">
        <v>24.66</v>
      </c>
      <c r="M30" s="112">
        <v>103.5</v>
      </c>
      <c r="N30" s="112">
        <v>2.8</v>
      </c>
      <c r="O30" s="112">
        <v>1.2</v>
      </c>
      <c r="P30" s="112">
        <v>0.28000000000000003</v>
      </c>
      <c r="Q30" s="112">
        <v>4.74</v>
      </c>
    </row>
    <row r="31" spans="1:17" customFormat="1">
      <c r="A31" s="80">
        <v>45500.239583333336</v>
      </c>
      <c r="B31" s="112">
        <v>9.2200000000000006</v>
      </c>
      <c r="C31" s="112">
        <v>4.12</v>
      </c>
      <c r="D31" s="112">
        <v>14</v>
      </c>
      <c r="E31" s="112">
        <v>12.23</v>
      </c>
      <c r="F31" s="112">
        <v>2.5099999999999998</v>
      </c>
      <c r="G31" s="112">
        <v>10.65</v>
      </c>
      <c r="H31" s="112">
        <v>5.13</v>
      </c>
      <c r="I31" s="112">
        <v>3.65</v>
      </c>
      <c r="J31" s="112">
        <v>0.39</v>
      </c>
      <c r="K31" s="112">
        <v>277.2</v>
      </c>
      <c r="L31" s="112">
        <v>24.54</v>
      </c>
      <c r="M31" s="112">
        <v>104.26</v>
      </c>
      <c r="N31" s="112">
        <v>3.3</v>
      </c>
      <c r="O31" s="112">
        <v>1.6</v>
      </c>
      <c r="P31" s="112">
        <v>0.28000000000000003</v>
      </c>
      <c r="Q31" s="112">
        <v>4.7300000000000004</v>
      </c>
    </row>
    <row r="32" spans="1:17" customFormat="1">
      <c r="A32" s="80">
        <v>45500.25</v>
      </c>
      <c r="B32" s="112">
        <v>9.2100000000000009</v>
      </c>
      <c r="C32" s="112">
        <v>4.1399999999999997</v>
      </c>
      <c r="D32" s="112">
        <v>14</v>
      </c>
      <c r="E32" s="112">
        <v>12.69</v>
      </c>
      <c r="F32" s="112">
        <v>2.71</v>
      </c>
      <c r="G32" s="112">
        <v>10.65</v>
      </c>
      <c r="H32" s="112">
        <v>5.13</v>
      </c>
      <c r="I32" s="112">
        <v>3.63</v>
      </c>
      <c r="J32" s="112">
        <v>0.38</v>
      </c>
      <c r="K32" s="112">
        <v>273.83</v>
      </c>
      <c r="L32" s="112">
        <v>24.51</v>
      </c>
      <c r="M32" s="112">
        <v>106.08</v>
      </c>
      <c r="N32" s="112">
        <v>4.0999999999999996</v>
      </c>
      <c r="O32" s="112">
        <v>0.2</v>
      </c>
      <c r="P32" s="112">
        <v>0.31</v>
      </c>
      <c r="Q32" s="112">
        <v>4.74</v>
      </c>
    </row>
    <row r="33" spans="1:17" customFormat="1">
      <c r="A33" s="80">
        <v>45500.260416666664</v>
      </c>
      <c r="B33" s="112">
        <v>9.25</v>
      </c>
      <c r="C33" s="112">
        <v>4.09</v>
      </c>
      <c r="D33" s="112">
        <v>14</v>
      </c>
      <c r="E33" s="112">
        <v>12.09</v>
      </c>
      <c r="F33" s="112">
        <v>3.2</v>
      </c>
      <c r="G33" s="112">
        <v>10.65</v>
      </c>
      <c r="H33" s="112">
        <v>5.13</v>
      </c>
      <c r="I33" s="112">
        <v>3.67</v>
      </c>
      <c r="J33" s="112">
        <v>0.42</v>
      </c>
      <c r="K33" s="112">
        <v>274.02</v>
      </c>
      <c r="L33" s="112">
        <v>24.58</v>
      </c>
      <c r="M33" s="112">
        <v>106.18</v>
      </c>
      <c r="N33" s="112">
        <v>5.9</v>
      </c>
      <c r="O33" s="112">
        <v>0</v>
      </c>
      <c r="P33" s="112">
        <v>0.31</v>
      </c>
      <c r="Q33" s="112">
        <v>4.7300000000000004</v>
      </c>
    </row>
    <row r="34" spans="1:17" customFormat="1">
      <c r="A34" s="80">
        <v>45500.270833333336</v>
      </c>
      <c r="B34" s="112">
        <v>9.2799999999999994</v>
      </c>
      <c r="C34" s="112">
        <v>4.09</v>
      </c>
      <c r="D34" s="112">
        <v>14.03</v>
      </c>
      <c r="E34" s="112">
        <v>11.66</v>
      </c>
      <c r="F34" s="112">
        <v>3.39</v>
      </c>
      <c r="G34" s="112">
        <v>10.5</v>
      </c>
      <c r="H34" s="112">
        <v>5.05</v>
      </c>
      <c r="I34" s="112">
        <v>3.78</v>
      </c>
      <c r="J34" s="112">
        <v>0.49</v>
      </c>
      <c r="K34" s="112">
        <v>277.8</v>
      </c>
      <c r="L34" s="112">
        <v>24.64</v>
      </c>
      <c r="M34" s="112">
        <v>106.02</v>
      </c>
      <c r="N34" s="112">
        <v>6.7</v>
      </c>
      <c r="O34" s="112">
        <v>0</v>
      </c>
      <c r="P34" s="112">
        <v>0.31</v>
      </c>
      <c r="Q34" s="112">
        <v>4.72</v>
      </c>
    </row>
    <row r="35" spans="1:17" customFormat="1">
      <c r="A35" s="80">
        <v>45500.28125</v>
      </c>
      <c r="B35" s="112">
        <v>9.2799999999999994</v>
      </c>
      <c r="C35" s="112">
        <v>4.0599999999999996</v>
      </c>
      <c r="D35" s="112">
        <v>14.01</v>
      </c>
      <c r="E35" s="112">
        <v>11.13</v>
      </c>
      <c r="F35" s="112">
        <v>3.34</v>
      </c>
      <c r="G35" s="112">
        <v>7.94</v>
      </c>
      <c r="H35" s="112">
        <v>3.93</v>
      </c>
      <c r="I35" s="112">
        <v>3.87</v>
      </c>
      <c r="J35" s="112">
        <v>0.45</v>
      </c>
      <c r="K35" s="112">
        <v>276.77</v>
      </c>
      <c r="L35" s="112">
        <v>24.65</v>
      </c>
      <c r="M35" s="112">
        <v>105.54</v>
      </c>
      <c r="N35" s="112">
        <v>10.1</v>
      </c>
      <c r="O35" s="112">
        <v>0</v>
      </c>
      <c r="P35" s="112">
        <v>0.33</v>
      </c>
      <c r="Q35" s="112">
        <v>4.75</v>
      </c>
    </row>
    <row r="36" spans="1:17" customFormat="1">
      <c r="A36" s="80">
        <v>45500.291666666664</v>
      </c>
      <c r="B36" s="112">
        <v>9.26</v>
      </c>
      <c r="C36" s="112">
        <v>4.07</v>
      </c>
      <c r="D36" s="112">
        <v>14</v>
      </c>
      <c r="E36" s="112">
        <v>11.56</v>
      </c>
      <c r="F36" s="112">
        <v>3.32</v>
      </c>
      <c r="G36" s="112">
        <v>7.94</v>
      </c>
      <c r="H36" s="112">
        <v>3.93</v>
      </c>
      <c r="I36" s="112">
        <v>4.01</v>
      </c>
      <c r="J36" s="112">
        <v>0.6</v>
      </c>
      <c r="K36" s="112">
        <v>276.8</v>
      </c>
      <c r="L36" s="112">
        <v>24.67</v>
      </c>
      <c r="M36" s="112">
        <v>105.85</v>
      </c>
      <c r="N36" s="112">
        <v>18.899999999999999</v>
      </c>
      <c r="O36" s="112">
        <v>0</v>
      </c>
      <c r="P36" s="112">
        <v>0.34</v>
      </c>
      <c r="Q36" s="112">
        <v>4.7300000000000004</v>
      </c>
    </row>
    <row r="37" spans="1:17" customFormat="1">
      <c r="A37" s="80">
        <v>45500.302083333336</v>
      </c>
      <c r="B37" s="112">
        <v>9.24</v>
      </c>
      <c r="C37" s="112">
        <v>4.0999999999999996</v>
      </c>
      <c r="D37" s="112">
        <v>14</v>
      </c>
      <c r="E37" s="112">
        <v>10.99</v>
      </c>
      <c r="F37" s="112">
        <v>3.09</v>
      </c>
      <c r="G37" s="112">
        <v>7.94</v>
      </c>
      <c r="H37" s="112">
        <v>3.93</v>
      </c>
      <c r="I37" s="112">
        <v>4.09</v>
      </c>
      <c r="J37" s="112">
        <v>0.7</v>
      </c>
      <c r="K37" s="112">
        <v>278.24</v>
      </c>
      <c r="L37" s="112">
        <v>24.69</v>
      </c>
      <c r="M37" s="112">
        <v>105.76</v>
      </c>
      <c r="N37" s="112">
        <v>24.1</v>
      </c>
      <c r="O37" s="112">
        <v>0</v>
      </c>
      <c r="P37" s="112">
        <v>0.34</v>
      </c>
      <c r="Q37" s="112">
        <v>4.72</v>
      </c>
    </row>
    <row r="38" spans="1:17" customFormat="1">
      <c r="A38" s="80">
        <v>45500.3125</v>
      </c>
      <c r="B38" s="112">
        <v>9.25</v>
      </c>
      <c r="C38" s="112">
        <v>4.09</v>
      </c>
      <c r="D38" s="112">
        <v>14</v>
      </c>
      <c r="E38" s="112">
        <v>11.14</v>
      </c>
      <c r="F38" s="112">
        <v>3.15</v>
      </c>
      <c r="G38" s="112">
        <v>8.09</v>
      </c>
      <c r="H38" s="112">
        <v>4.1399999999999997</v>
      </c>
      <c r="I38" s="112">
        <v>4.1500000000000004</v>
      </c>
      <c r="J38" s="112">
        <v>0.56999999999999995</v>
      </c>
      <c r="K38" s="112">
        <v>275.14</v>
      </c>
      <c r="L38" s="112">
        <v>24.74</v>
      </c>
      <c r="M38" s="112">
        <v>104.18</v>
      </c>
      <c r="N38" s="112">
        <v>21.4</v>
      </c>
      <c r="O38" s="112">
        <v>0</v>
      </c>
      <c r="P38" s="112">
        <v>0.36</v>
      </c>
      <c r="Q38" s="112">
        <v>4.72</v>
      </c>
    </row>
    <row r="39" spans="1:17" customFormat="1">
      <c r="A39" s="80">
        <v>45500.322916666664</v>
      </c>
      <c r="B39" s="112">
        <v>9.23</v>
      </c>
      <c r="C39" s="112">
        <v>4.1100000000000003</v>
      </c>
      <c r="D39" s="112">
        <v>14</v>
      </c>
      <c r="E39" s="112">
        <v>10.77</v>
      </c>
      <c r="F39" s="112">
        <v>3.23</v>
      </c>
      <c r="G39" s="112">
        <v>10.71</v>
      </c>
      <c r="H39" s="112">
        <v>7.38</v>
      </c>
      <c r="I39" s="112">
        <v>4.26</v>
      </c>
      <c r="J39" s="112">
        <v>0.52</v>
      </c>
      <c r="K39" s="112">
        <v>274.73</v>
      </c>
      <c r="L39" s="112">
        <v>24.84</v>
      </c>
      <c r="M39" s="112">
        <v>103.73</v>
      </c>
      <c r="N39" s="112">
        <v>21.3</v>
      </c>
      <c r="O39" s="112">
        <v>0</v>
      </c>
      <c r="P39" s="112">
        <v>0.37</v>
      </c>
      <c r="Q39" s="112">
        <v>4.72</v>
      </c>
    </row>
    <row r="40" spans="1:17" customFormat="1">
      <c r="A40" s="80">
        <v>45500.333333333336</v>
      </c>
      <c r="B40" s="112">
        <v>9.2200000000000006</v>
      </c>
      <c r="C40" s="112">
        <v>4.12</v>
      </c>
      <c r="D40" s="112">
        <v>14</v>
      </c>
      <c r="E40" s="112">
        <v>10.75</v>
      </c>
      <c r="F40" s="112">
        <v>3.14</v>
      </c>
      <c r="G40" s="112">
        <v>10.71</v>
      </c>
      <c r="H40" s="112">
        <v>7.38</v>
      </c>
      <c r="I40" s="112">
        <v>4.42</v>
      </c>
      <c r="J40" s="112">
        <v>0.45</v>
      </c>
      <c r="K40" s="112">
        <v>279.58999999999997</v>
      </c>
      <c r="L40" s="112">
        <v>24.86</v>
      </c>
      <c r="M40" s="112">
        <v>103.04</v>
      </c>
      <c r="N40" s="112">
        <v>19.3</v>
      </c>
      <c r="O40" s="112">
        <v>0</v>
      </c>
      <c r="P40" s="112">
        <v>0.39</v>
      </c>
      <c r="Q40" s="112">
        <v>4.72</v>
      </c>
    </row>
    <row r="41" spans="1:17" customFormat="1">
      <c r="A41" s="80">
        <v>45500.34375</v>
      </c>
      <c r="B41" s="112">
        <v>9.24</v>
      </c>
      <c r="C41" s="112">
        <v>4.0999999999999996</v>
      </c>
      <c r="D41" s="112">
        <v>14</v>
      </c>
      <c r="E41" s="112">
        <v>10.9</v>
      </c>
      <c r="F41" s="112">
        <v>3</v>
      </c>
      <c r="G41" s="112">
        <v>10.71</v>
      </c>
      <c r="H41" s="112">
        <v>7.38</v>
      </c>
      <c r="I41" s="112">
        <v>4.54</v>
      </c>
      <c r="J41" s="112">
        <v>0.35</v>
      </c>
      <c r="K41" s="112">
        <v>278.58999999999997</v>
      </c>
      <c r="L41" s="112">
        <v>24.94</v>
      </c>
      <c r="M41" s="112">
        <v>102.55</v>
      </c>
      <c r="N41" s="112">
        <v>28.1</v>
      </c>
      <c r="O41" s="112">
        <v>0</v>
      </c>
      <c r="P41" s="112">
        <v>0.39</v>
      </c>
      <c r="Q41" s="112">
        <v>4.72</v>
      </c>
    </row>
    <row r="42" spans="1:17" customFormat="1">
      <c r="A42" s="80">
        <v>45500.354166666664</v>
      </c>
      <c r="B42" s="112">
        <v>9.23</v>
      </c>
      <c r="C42" s="112">
        <v>4.1100000000000003</v>
      </c>
      <c r="D42" s="112">
        <v>14</v>
      </c>
      <c r="E42" s="112">
        <v>10.35</v>
      </c>
      <c r="F42" s="112">
        <v>2.99</v>
      </c>
      <c r="G42" s="112">
        <v>11.07</v>
      </c>
      <c r="H42" s="112">
        <v>7.36</v>
      </c>
      <c r="I42" s="112">
        <v>4.66</v>
      </c>
      <c r="J42" s="112">
        <v>0.56999999999999995</v>
      </c>
      <c r="K42" s="112">
        <v>275.48</v>
      </c>
      <c r="L42" s="112">
        <v>24.97</v>
      </c>
      <c r="M42" s="112">
        <v>102.23</v>
      </c>
      <c r="N42" s="112">
        <v>35</v>
      </c>
      <c r="O42" s="112">
        <v>0.2</v>
      </c>
      <c r="P42" s="112">
        <v>0.42</v>
      </c>
      <c r="Q42" s="112">
        <v>4.72</v>
      </c>
    </row>
    <row r="43" spans="1:17" customFormat="1">
      <c r="A43" s="80">
        <v>45500.364583333336</v>
      </c>
      <c r="B43" s="112">
        <v>9.2200000000000006</v>
      </c>
      <c r="C43" s="112">
        <v>4.13</v>
      </c>
      <c r="D43" s="112">
        <v>14</v>
      </c>
      <c r="E43" s="112">
        <v>10.77</v>
      </c>
      <c r="F43" s="112">
        <v>3.08</v>
      </c>
      <c r="G43" s="112">
        <v>17.2</v>
      </c>
      <c r="H43" s="112">
        <v>6.98</v>
      </c>
      <c r="I43" s="112">
        <v>4.8099999999999996</v>
      </c>
      <c r="J43" s="112">
        <v>0.39</v>
      </c>
      <c r="K43" s="112">
        <v>273.19</v>
      </c>
      <c r="L43" s="112">
        <v>25.04</v>
      </c>
      <c r="M43" s="112">
        <v>102.21</v>
      </c>
      <c r="N43" s="112">
        <v>41</v>
      </c>
      <c r="O43" s="112">
        <v>0</v>
      </c>
      <c r="P43" s="112">
        <v>0.44</v>
      </c>
      <c r="Q43" s="112">
        <v>4.72</v>
      </c>
    </row>
    <row r="44" spans="1:17" customFormat="1">
      <c r="A44" s="80">
        <v>45500.375</v>
      </c>
      <c r="B44" s="112">
        <v>9.23</v>
      </c>
      <c r="C44" s="112">
        <v>4.1100000000000003</v>
      </c>
      <c r="D44" s="112">
        <v>14</v>
      </c>
      <c r="E44" s="112">
        <v>10.33</v>
      </c>
      <c r="F44" s="112">
        <v>2.92</v>
      </c>
      <c r="G44" s="112">
        <v>17.2</v>
      </c>
      <c r="H44" s="112">
        <v>6.98</v>
      </c>
      <c r="I44" s="112">
        <v>4.8899999999999997</v>
      </c>
      <c r="J44" s="112">
        <v>0.39</v>
      </c>
      <c r="K44" s="112">
        <v>278.08999999999997</v>
      </c>
      <c r="L44" s="112">
        <v>25.2</v>
      </c>
      <c r="M44" s="112">
        <v>101.44</v>
      </c>
      <c r="N44" s="112">
        <v>54.8</v>
      </c>
      <c r="O44" s="112">
        <v>0</v>
      </c>
      <c r="P44" s="112">
        <v>0.45</v>
      </c>
      <c r="Q44" s="112">
        <v>4.72</v>
      </c>
    </row>
    <row r="45" spans="1:17" customFormat="1">
      <c r="A45" s="80">
        <v>45500.385416666664</v>
      </c>
      <c r="B45" s="112">
        <v>9.23</v>
      </c>
      <c r="C45" s="112">
        <v>4.12</v>
      </c>
      <c r="D45" s="112">
        <v>14</v>
      </c>
      <c r="E45" s="112">
        <v>10.47</v>
      </c>
      <c r="F45" s="112">
        <v>3.04</v>
      </c>
      <c r="G45" s="112">
        <v>17.2</v>
      </c>
      <c r="H45" s="112">
        <v>6.98</v>
      </c>
      <c r="I45" s="112">
        <v>5.29</v>
      </c>
      <c r="J45" s="112">
        <v>0.56999999999999995</v>
      </c>
      <c r="K45" s="112">
        <v>275.49</v>
      </c>
      <c r="L45" s="112">
        <v>25.29</v>
      </c>
      <c r="M45" s="112">
        <v>100.7</v>
      </c>
      <c r="N45" s="112">
        <v>52.1</v>
      </c>
      <c r="O45" s="112">
        <v>0</v>
      </c>
      <c r="P45" s="112">
        <v>0.46</v>
      </c>
      <c r="Q45" s="112">
        <v>4.7300000000000004</v>
      </c>
    </row>
    <row r="46" spans="1:17" customFormat="1">
      <c r="A46" s="80">
        <v>45500.395833333336</v>
      </c>
      <c r="B46" s="112">
        <v>9.24</v>
      </c>
      <c r="C46" s="112">
        <v>4.0999999999999996</v>
      </c>
      <c r="D46" s="112">
        <v>14</v>
      </c>
      <c r="E46" s="112">
        <v>10.73</v>
      </c>
      <c r="F46" s="112">
        <v>3.23</v>
      </c>
      <c r="G46" s="112">
        <v>17.350000000000001</v>
      </c>
      <c r="H46" s="112">
        <v>6.94</v>
      </c>
      <c r="I46" s="112">
        <v>5.58</v>
      </c>
      <c r="J46" s="112">
        <v>0.54</v>
      </c>
      <c r="K46" s="112">
        <v>277.12</v>
      </c>
      <c r="L46" s="112">
        <v>25.36</v>
      </c>
      <c r="M46" s="112">
        <v>100.89</v>
      </c>
      <c r="N46" s="112">
        <v>60.4</v>
      </c>
      <c r="O46" s="112">
        <v>0</v>
      </c>
      <c r="P46" s="112">
        <v>0.47</v>
      </c>
      <c r="Q46" s="112">
        <v>4.72</v>
      </c>
    </row>
    <row r="47" spans="1:17" customFormat="1">
      <c r="A47" s="80">
        <v>45500.40625</v>
      </c>
      <c r="B47" s="112">
        <v>9.24</v>
      </c>
      <c r="C47" s="112">
        <v>4.0999999999999996</v>
      </c>
      <c r="D47" s="112">
        <v>14</v>
      </c>
      <c r="E47" s="112">
        <v>10.76</v>
      </c>
      <c r="F47" s="112">
        <v>3.28</v>
      </c>
      <c r="G47" s="112">
        <v>19.940000000000001</v>
      </c>
      <c r="H47" s="112">
        <v>6.41</v>
      </c>
      <c r="I47" s="112">
        <v>5.81</v>
      </c>
      <c r="J47" s="112">
        <v>0.55000000000000004</v>
      </c>
      <c r="K47" s="112">
        <v>281.73</v>
      </c>
      <c r="L47" s="112">
        <v>25.44</v>
      </c>
      <c r="M47" s="112">
        <v>99.74</v>
      </c>
      <c r="N47" s="112">
        <v>53</v>
      </c>
      <c r="O47" s="112">
        <v>0</v>
      </c>
      <c r="P47" s="112">
        <v>0.48</v>
      </c>
      <c r="Q47" s="112">
        <v>4.72</v>
      </c>
    </row>
    <row r="48" spans="1:17" customFormat="1">
      <c r="A48" s="80">
        <v>45500.416666666664</v>
      </c>
      <c r="B48" s="112">
        <v>9.24</v>
      </c>
      <c r="C48" s="112">
        <v>4.09</v>
      </c>
      <c r="D48" s="112">
        <v>14</v>
      </c>
      <c r="E48" s="112">
        <v>10.58</v>
      </c>
      <c r="F48" s="112">
        <v>3.22</v>
      </c>
      <c r="G48" s="112">
        <v>19.940000000000001</v>
      </c>
      <c r="H48" s="112">
        <v>6.41</v>
      </c>
      <c r="I48" s="112">
        <v>6.06</v>
      </c>
      <c r="J48" s="112">
        <v>0.7</v>
      </c>
      <c r="K48" s="112">
        <v>277.60000000000002</v>
      </c>
      <c r="L48" s="112">
        <v>25.66</v>
      </c>
      <c r="M48" s="112">
        <v>98.81</v>
      </c>
      <c r="N48" s="112">
        <v>73.900000000000006</v>
      </c>
      <c r="O48" s="112">
        <v>0</v>
      </c>
      <c r="P48" s="112">
        <v>0.48</v>
      </c>
      <c r="Q48" s="112">
        <v>4.7300000000000004</v>
      </c>
    </row>
    <row r="49" spans="1:17" customFormat="1">
      <c r="A49" s="80">
        <v>45500.427083333336</v>
      </c>
      <c r="B49" s="112">
        <v>9.23</v>
      </c>
      <c r="C49" s="112">
        <v>4.1100000000000003</v>
      </c>
      <c r="D49" s="112">
        <v>14</v>
      </c>
      <c r="E49" s="112">
        <v>9.02</v>
      </c>
      <c r="F49" s="112">
        <v>3.23</v>
      </c>
      <c r="G49" s="112">
        <v>19.940000000000001</v>
      </c>
      <c r="H49" s="112">
        <v>6.41</v>
      </c>
      <c r="I49" s="112">
        <v>6.05</v>
      </c>
      <c r="J49" s="112">
        <v>0.89</v>
      </c>
      <c r="K49" s="112">
        <v>285.69</v>
      </c>
      <c r="L49" s="112">
        <v>25.83</v>
      </c>
      <c r="M49" s="112">
        <v>97.2</v>
      </c>
      <c r="N49" s="112">
        <v>121.9</v>
      </c>
      <c r="O49" s="112">
        <v>0</v>
      </c>
      <c r="P49" s="112">
        <v>0.48</v>
      </c>
      <c r="Q49" s="112">
        <v>4.7300000000000004</v>
      </c>
    </row>
    <row r="50" spans="1:17" customFormat="1">
      <c r="A50" s="80">
        <v>45500.4375</v>
      </c>
      <c r="B50" s="112">
        <v>9.24</v>
      </c>
      <c r="C50" s="112">
        <v>4.09</v>
      </c>
      <c r="D50" s="112">
        <v>14</v>
      </c>
      <c r="E50" s="112">
        <v>10.46</v>
      </c>
      <c r="F50" s="112">
        <v>3.62</v>
      </c>
      <c r="G50" s="112">
        <v>20.37</v>
      </c>
      <c r="H50" s="112">
        <v>6.61</v>
      </c>
      <c r="I50" s="112">
        <v>5.85</v>
      </c>
      <c r="J50" s="112">
        <v>0.72</v>
      </c>
      <c r="K50" s="112">
        <v>279.77</v>
      </c>
      <c r="L50" s="112">
        <v>26.41</v>
      </c>
      <c r="M50" s="112">
        <v>95.97</v>
      </c>
      <c r="N50" s="112">
        <v>163.9</v>
      </c>
      <c r="O50" s="112">
        <v>0</v>
      </c>
      <c r="P50" s="112">
        <v>0.46</v>
      </c>
      <c r="Q50" s="112">
        <v>4.74</v>
      </c>
    </row>
    <row r="51" spans="1:17" customFormat="1">
      <c r="A51" s="80">
        <v>45500.447916666664</v>
      </c>
      <c r="B51" s="112">
        <v>9.26</v>
      </c>
      <c r="C51" s="112">
        <v>4.07</v>
      </c>
      <c r="D51" s="112">
        <v>14</v>
      </c>
      <c r="E51" s="112">
        <v>10.220000000000001</v>
      </c>
      <c r="F51" s="112">
        <v>3.61</v>
      </c>
      <c r="G51" s="112">
        <v>27.58</v>
      </c>
      <c r="H51" s="112">
        <v>9.7100000000000009</v>
      </c>
      <c r="I51" s="112">
        <v>6.04</v>
      </c>
      <c r="J51" s="112">
        <v>0.68</v>
      </c>
      <c r="K51" s="112">
        <v>277.31</v>
      </c>
      <c r="L51" s="112">
        <v>26.42</v>
      </c>
      <c r="M51" s="112">
        <v>94.86</v>
      </c>
      <c r="N51" s="112">
        <v>86.9</v>
      </c>
      <c r="O51" s="112">
        <v>0</v>
      </c>
      <c r="P51" s="112">
        <v>0.45</v>
      </c>
      <c r="Q51" s="112">
        <v>4.7300000000000004</v>
      </c>
    </row>
    <row r="52" spans="1:17" customFormat="1">
      <c r="A52" s="80">
        <v>45500.458333333336</v>
      </c>
      <c r="B52" s="112">
        <v>9.3000000000000007</v>
      </c>
      <c r="C52" s="112">
        <v>4.1100000000000003</v>
      </c>
      <c r="D52" s="112">
        <v>14.05</v>
      </c>
      <c r="E52" s="112">
        <v>10.4</v>
      </c>
      <c r="F52" s="112">
        <v>3.77</v>
      </c>
      <c r="G52" s="112">
        <v>27.58</v>
      </c>
      <c r="H52" s="112">
        <v>9.7100000000000009</v>
      </c>
      <c r="I52" s="112">
        <v>5.76</v>
      </c>
      <c r="J52" s="112">
        <v>0.68</v>
      </c>
      <c r="K52" s="112">
        <v>277.41000000000003</v>
      </c>
      <c r="L52" s="112">
        <v>26.41</v>
      </c>
      <c r="M52" s="112">
        <v>95.2</v>
      </c>
      <c r="N52" s="112">
        <v>93.6</v>
      </c>
      <c r="O52" s="112">
        <v>0</v>
      </c>
      <c r="P52" s="112">
        <v>0.44</v>
      </c>
      <c r="Q52" s="112">
        <v>4.72</v>
      </c>
    </row>
    <row r="53" spans="1:17" customFormat="1">
      <c r="A53" s="80">
        <v>45500.46875</v>
      </c>
      <c r="B53" s="112">
        <v>9.31</v>
      </c>
      <c r="C53" s="112">
        <v>4.1100000000000003</v>
      </c>
      <c r="D53" s="112">
        <v>14.06</v>
      </c>
      <c r="E53" s="112">
        <v>10.65</v>
      </c>
      <c r="F53" s="112">
        <v>3.52</v>
      </c>
      <c r="G53" s="112">
        <v>27.58</v>
      </c>
      <c r="H53" s="112">
        <v>9.7100000000000009</v>
      </c>
      <c r="I53" s="112">
        <v>5.9</v>
      </c>
      <c r="J53" s="112">
        <v>0.87</v>
      </c>
      <c r="K53" s="112">
        <v>282.68</v>
      </c>
      <c r="L53" s="112">
        <v>26.32</v>
      </c>
      <c r="M53" s="112">
        <v>94.59</v>
      </c>
      <c r="N53" s="112">
        <v>72</v>
      </c>
      <c r="O53" s="112">
        <v>0</v>
      </c>
      <c r="P53" s="112">
        <v>0.44</v>
      </c>
      <c r="Q53" s="112">
        <v>4.72</v>
      </c>
    </row>
    <row r="54" spans="1:17" customFormat="1">
      <c r="A54" s="80">
        <v>45500.479166666664</v>
      </c>
      <c r="B54" s="112">
        <v>9.3000000000000007</v>
      </c>
      <c r="C54" s="112">
        <v>4.0599999999999996</v>
      </c>
      <c r="D54" s="112">
        <v>14.03</v>
      </c>
      <c r="E54" s="112">
        <v>10.82</v>
      </c>
      <c r="F54" s="112">
        <v>3.89</v>
      </c>
      <c r="G54" s="112">
        <v>27.61</v>
      </c>
      <c r="H54" s="112">
        <v>9.69</v>
      </c>
      <c r="I54" s="112">
        <v>5.7</v>
      </c>
      <c r="J54" s="112">
        <v>0.78</v>
      </c>
      <c r="K54" s="112">
        <v>275.54000000000002</v>
      </c>
      <c r="L54" s="112">
        <v>26.17</v>
      </c>
      <c r="M54" s="112">
        <v>95.16</v>
      </c>
      <c r="N54" s="112">
        <v>40.6</v>
      </c>
      <c r="O54" s="112">
        <v>0.6</v>
      </c>
      <c r="P54" s="112">
        <v>0.45</v>
      </c>
      <c r="Q54" s="112">
        <v>4.7300000000000004</v>
      </c>
    </row>
    <row r="55" spans="1:17" customFormat="1">
      <c r="A55" s="80">
        <v>45500.489583333336</v>
      </c>
      <c r="B55" s="112">
        <v>9.26</v>
      </c>
      <c r="C55" s="112">
        <v>4.07</v>
      </c>
      <c r="D55" s="112">
        <v>14</v>
      </c>
      <c r="E55" s="112">
        <v>10.89</v>
      </c>
      <c r="F55" s="112">
        <v>4.01</v>
      </c>
      <c r="G55" s="112">
        <v>28</v>
      </c>
      <c r="H55" s="112">
        <v>9.35</v>
      </c>
      <c r="I55" s="112">
        <v>5.63</v>
      </c>
      <c r="J55" s="112">
        <v>0.51</v>
      </c>
      <c r="K55" s="112">
        <v>274.22000000000003</v>
      </c>
      <c r="L55" s="112">
        <v>25.48</v>
      </c>
      <c r="M55" s="112">
        <v>99.61</v>
      </c>
      <c r="N55" s="112">
        <v>22.1</v>
      </c>
      <c r="O55" s="112">
        <v>1.8</v>
      </c>
      <c r="P55" s="112">
        <v>0.46</v>
      </c>
      <c r="Q55" s="112">
        <v>4.72</v>
      </c>
    </row>
    <row r="56" spans="1:17" customFormat="1">
      <c r="A56" s="80">
        <v>45500.5</v>
      </c>
      <c r="B56" s="112">
        <v>9.26</v>
      </c>
      <c r="C56" s="112">
        <v>4.07</v>
      </c>
      <c r="D56" s="112">
        <v>14</v>
      </c>
      <c r="E56" s="112">
        <v>10.91</v>
      </c>
      <c r="F56" s="112">
        <v>3.39</v>
      </c>
      <c r="G56" s="112">
        <v>28</v>
      </c>
      <c r="H56" s="112">
        <v>9.35</v>
      </c>
      <c r="I56" s="112">
        <v>5.64</v>
      </c>
      <c r="J56" s="112">
        <v>0.62</v>
      </c>
      <c r="K56" s="112">
        <v>275.35000000000002</v>
      </c>
      <c r="L56" s="112">
        <v>25.46</v>
      </c>
      <c r="M56" s="112">
        <v>101.23</v>
      </c>
      <c r="N56" s="112">
        <v>52.5</v>
      </c>
      <c r="O56" s="112">
        <v>0</v>
      </c>
      <c r="P56" s="112">
        <v>0.47</v>
      </c>
      <c r="Q56" s="112">
        <v>4.72</v>
      </c>
    </row>
    <row r="57" spans="1:17" customFormat="1">
      <c r="A57" s="80">
        <v>45500.510416666664</v>
      </c>
      <c r="B57" s="112">
        <v>9.25</v>
      </c>
      <c r="C57" s="112">
        <v>4.08</v>
      </c>
      <c r="D57" s="112">
        <v>14</v>
      </c>
      <c r="E57" s="112">
        <v>10.98</v>
      </c>
      <c r="F57" s="112">
        <v>3.16</v>
      </c>
      <c r="G57" s="112">
        <v>28</v>
      </c>
      <c r="H57" s="112">
        <v>9.35</v>
      </c>
      <c r="I57" s="112">
        <v>5.83</v>
      </c>
      <c r="J57" s="112">
        <v>0.66</v>
      </c>
      <c r="K57" s="112">
        <v>278.91000000000003</v>
      </c>
      <c r="L57" s="112">
        <v>25.67</v>
      </c>
      <c r="M57" s="112">
        <v>101.32</v>
      </c>
      <c r="N57" s="112">
        <v>79.8</v>
      </c>
      <c r="O57" s="112">
        <v>0.2</v>
      </c>
      <c r="P57" s="112">
        <v>0.47</v>
      </c>
      <c r="Q57" s="112">
        <v>4.7300000000000004</v>
      </c>
    </row>
    <row r="58" spans="1:17" customFormat="1">
      <c r="A58" s="80">
        <v>45500.520833333336</v>
      </c>
      <c r="B58" s="112">
        <v>9.25</v>
      </c>
      <c r="C58" s="112">
        <v>4.09</v>
      </c>
      <c r="D58" s="112">
        <v>14.01</v>
      </c>
      <c r="E58" s="112">
        <v>11.29</v>
      </c>
      <c r="F58" s="112">
        <v>4.6900000000000004</v>
      </c>
      <c r="G58" s="112">
        <v>27.84</v>
      </c>
      <c r="H58" s="112">
        <v>9.1999999999999993</v>
      </c>
      <c r="I58" s="112">
        <v>6.03</v>
      </c>
      <c r="J58" s="112">
        <v>0.7</v>
      </c>
      <c r="K58" s="112">
        <v>284.61</v>
      </c>
      <c r="L58" s="112">
        <v>26.05</v>
      </c>
      <c r="M58" s="112">
        <v>101.38</v>
      </c>
      <c r="N58" s="112">
        <v>264</v>
      </c>
      <c r="O58" s="112">
        <v>0</v>
      </c>
      <c r="P58" s="112">
        <v>0.49</v>
      </c>
      <c r="Q58" s="112">
        <v>4.7300000000000004</v>
      </c>
    </row>
    <row r="59" spans="1:17" customFormat="1">
      <c r="A59" s="80">
        <v>45500.53125</v>
      </c>
      <c r="B59" s="112">
        <v>9.24</v>
      </c>
      <c r="C59" s="112">
        <v>4.09</v>
      </c>
      <c r="D59" s="112">
        <v>14</v>
      </c>
      <c r="E59" s="112">
        <v>11.31</v>
      </c>
      <c r="F59" s="112">
        <v>3.95</v>
      </c>
      <c r="G59" s="112">
        <v>25.02</v>
      </c>
      <c r="H59" s="112">
        <v>6.86</v>
      </c>
      <c r="I59" s="112">
        <v>6.18</v>
      </c>
      <c r="J59" s="112">
        <v>0.84</v>
      </c>
      <c r="K59" s="112">
        <v>280.7</v>
      </c>
      <c r="L59" s="112">
        <v>27.12</v>
      </c>
      <c r="M59" s="112">
        <v>100.23</v>
      </c>
      <c r="N59" s="112">
        <v>384</v>
      </c>
      <c r="O59" s="112">
        <v>0</v>
      </c>
      <c r="P59" s="112">
        <v>0.49</v>
      </c>
      <c r="Q59" s="112">
        <v>4.7300000000000004</v>
      </c>
    </row>
    <row r="60" spans="1:17" customFormat="1">
      <c r="A60" s="80">
        <v>45500.541666666664</v>
      </c>
      <c r="B60" s="112">
        <v>9.23</v>
      </c>
      <c r="C60" s="112">
        <v>4.1100000000000003</v>
      </c>
      <c r="D60" s="112">
        <v>14</v>
      </c>
      <c r="E60" s="112">
        <v>11.36</v>
      </c>
      <c r="F60" s="112">
        <v>3.55</v>
      </c>
      <c r="G60" s="112">
        <v>25.02</v>
      </c>
      <c r="H60" s="112">
        <v>6.86</v>
      </c>
      <c r="I60" s="112">
        <v>6.24</v>
      </c>
      <c r="J60" s="112">
        <v>1.02</v>
      </c>
      <c r="K60" s="112">
        <v>280.75</v>
      </c>
      <c r="L60" s="112">
        <v>27.19</v>
      </c>
      <c r="M60" s="112">
        <v>95.91</v>
      </c>
      <c r="N60" s="112">
        <v>253.6</v>
      </c>
      <c r="O60" s="112">
        <v>0</v>
      </c>
      <c r="P60" s="112">
        <v>0.48</v>
      </c>
      <c r="Q60" s="112">
        <v>4.7300000000000004</v>
      </c>
    </row>
    <row r="61" spans="1:17" customFormat="1">
      <c r="A61" s="80">
        <v>45500.552083333336</v>
      </c>
      <c r="B61" s="112">
        <v>9.24</v>
      </c>
      <c r="C61" s="112">
        <v>4.0999999999999996</v>
      </c>
      <c r="D61" s="112">
        <v>14</v>
      </c>
      <c r="E61" s="112">
        <v>11.26</v>
      </c>
      <c r="F61" s="112">
        <v>3.39</v>
      </c>
      <c r="G61" s="112">
        <v>25.02</v>
      </c>
      <c r="H61" s="112">
        <v>6.86</v>
      </c>
      <c r="I61" s="112">
        <v>6.23</v>
      </c>
      <c r="J61" s="112">
        <v>1.07</v>
      </c>
      <c r="K61" s="112">
        <v>281.06</v>
      </c>
      <c r="L61" s="112">
        <v>27.64</v>
      </c>
      <c r="M61" s="112">
        <v>93.37</v>
      </c>
      <c r="N61" s="112">
        <v>294.2</v>
      </c>
      <c r="O61" s="112">
        <v>0</v>
      </c>
      <c r="P61" s="112">
        <v>0.48</v>
      </c>
      <c r="Q61" s="112">
        <v>4.72</v>
      </c>
    </row>
    <row r="62" spans="1:17" customFormat="1">
      <c r="A62" s="80">
        <v>45500.5625</v>
      </c>
      <c r="B62" s="112">
        <v>9.25</v>
      </c>
      <c r="C62" s="112">
        <v>4.08</v>
      </c>
      <c r="D62" s="112">
        <v>14</v>
      </c>
      <c r="E62" s="112">
        <v>11.3</v>
      </c>
      <c r="F62" s="112">
        <v>3.56</v>
      </c>
      <c r="G62" s="112">
        <v>25.23</v>
      </c>
      <c r="H62" s="112">
        <v>6.97</v>
      </c>
      <c r="I62" s="112">
        <v>6.17</v>
      </c>
      <c r="J62" s="112">
        <v>0.87</v>
      </c>
      <c r="K62" s="112">
        <v>279.42</v>
      </c>
      <c r="L62" s="112">
        <v>27.43</v>
      </c>
      <c r="M62" s="112">
        <v>93.32</v>
      </c>
      <c r="N62" s="112">
        <v>152.4</v>
      </c>
      <c r="O62" s="112">
        <v>0</v>
      </c>
      <c r="P62" s="112">
        <v>0.49</v>
      </c>
      <c r="Q62" s="112">
        <v>4.7300000000000004</v>
      </c>
    </row>
    <row r="63" spans="1:17" customFormat="1">
      <c r="A63" s="80">
        <v>45500.572916666664</v>
      </c>
      <c r="B63" s="112">
        <v>9.25</v>
      </c>
      <c r="C63" s="112">
        <v>4.08</v>
      </c>
      <c r="D63" s="112">
        <v>14</v>
      </c>
      <c r="E63" s="112">
        <v>11.3</v>
      </c>
      <c r="F63" s="112">
        <v>3.56</v>
      </c>
      <c r="G63" s="112">
        <v>25.23</v>
      </c>
      <c r="H63" s="112">
        <v>6.97</v>
      </c>
      <c r="I63" s="112">
        <v>6.17</v>
      </c>
      <c r="J63" s="112">
        <v>-0.86</v>
      </c>
      <c r="K63" s="112">
        <v>0.14000000000000001</v>
      </c>
      <c r="L63" s="112">
        <v>27.43</v>
      </c>
      <c r="M63" s="112">
        <v>93.32</v>
      </c>
      <c r="N63" s="112">
        <v>152.4</v>
      </c>
      <c r="O63" s="112">
        <v>0</v>
      </c>
      <c r="P63" s="112">
        <v>0.49</v>
      </c>
      <c r="Q63" s="112">
        <v>4.7300000000000004</v>
      </c>
    </row>
    <row r="64" spans="1:17" customFormat="1">
      <c r="A64" s="80">
        <v>45500.583333333336</v>
      </c>
      <c r="B64" s="112">
        <v>9.24</v>
      </c>
      <c r="C64" s="112">
        <v>4.13</v>
      </c>
      <c r="D64" s="112">
        <v>14.02</v>
      </c>
      <c r="E64" s="112">
        <v>11.57</v>
      </c>
      <c r="F64" s="112">
        <v>6.12</v>
      </c>
      <c r="G64" s="151" t="s">
        <v>12</v>
      </c>
      <c r="H64" s="151" t="s">
        <v>12</v>
      </c>
      <c r="I64" s="112">
        <v>6.24</v>
      </c>
      <c r="J64" s="112">
        <v>0.75</v>
      </c>
      <c r="K64" s="112">
        <v>279.70999999999998</v>
      </c>
      <c r="L64" s="112">
        <v>27.3</v>
      </c>
      <c r="M64" s="112">
        <v>93.33</v>
      </c>
      <c r="N64" s="112">
        <v>105</v>
      </c>
      <c r="O64" s="112">
        <v>0</v>
      </c>
      <c r="P64" s="112">
        <v>0.52</v>
      </c>
      <c r="Q64" s="112">
        <v>4.58</v>
      </c>
    </row>
    <row r="65" spans="1:17" customFormat="1">
      <c r="A65" s="80">
        <v>45500.59375</v>
      </c>
      <c r="B65" s="112">
        <v>9.3000000000000007</v>
      </c>
      <c r="C65" s="112">
        <v>4.0999999999999996</v>
      </c>
      <c r="D65" s="112">
        <v>14.05</v>
      </c>
      <c r="E65" s="112">
        <v>10.69</v>
      </c>
      <c r="F65" s="112">
        <v>8.4600000000000009</v>
      </c>
      <c r="G65" s="151" t="s">
        <v>12</v>
      </c>
      <c r="H65" s="151" t="s">
        <v>12</v>
      </c>
      <c r="I65" s="112">
        <v>6.5</v>
      </c>
      <c r="J65" s="112">
        <v>0.74</v>
      </c>
      <c r="K65" s="112">
        <v>274.67</v>
      </c>
      <c r="L65" s="112">
        <v>27.46</v>
      </c>
      <c r="M65" s="112">
        <v>97</v>
      </c>
      <c r="N65" s="112">
        <v>144.5</v>
      </c>
      <c r="O65" s="112">
        <v>0</v>
      </c>
      <c r="P65" s="112">
        <v>0.63</v>
      </c>
      <c r="Q65" s="112">
        <v>4.63</v>
      </c>
    </row>
    <row r="66" spans="1:17" customFormat="1">
      <c r="A66" s="80">
        <v>45500.604166666664</v>
      </c>
      <c r="B66" s="112">
        <v>9.36</v>
      </c>
      <c r="C66" s="112">
        <v>4.07</v>
      </c>
      <c r="D66" s="112">
        <v>14.08</v>
      </c>
      <c r="E66" s="112">
        <v>11.11</v>
      </c>
      <c r="F66" s="112">
        <v>9.1199999999999992</v>
      </c>
      <c r="G66" s="151" t="s">
        <v>12</v>
      </c>
      <c r="H66" s="151" t="s">
        <v>12</v>
      </c>
      <c r="I66" s="112">
        <v>7.25</v>
      </c>
      <c r="J66" s="112">
        <v>0.83</v>
      </c>
      <c r="K66" s="112">
        <v>281.29000000000002</v>
      </c>
      <c r="L66" s="112">
        <v>27.28</v>
      </c>
      <c r="M66" s="112">
        <v>97.38</v>
      </c>
      <c r="N66" s="112">
        <v>91.9</v>
      </c>
      <c r="O66" s="112">
        <v>0</v>
      </c>
      <c r="P66" s="112">
        <v>0.65</v>
      </c>
      <c r="Q66" s="112">
        <v>4.6399999999999997</v>
      </c>
    </row>
    <row r="67" spans="1:17" customFormat="1">
      <c r="A67" s="80">
        <v>45500.614583333336</v>
      </c>
      <c r="B67" s="112">
        <v>9.4</v>
      </c>
      <c r="C67" s="112">
        <v>4.12</v>
      </c>
      <c r="D67" s="112">
        <v>14.14</v>
      </c>
      <c r="E67" s="112">
        <v>10.68</v>
      </c>
      <c r="F67" s="112">
        <v>6.03</v>
      </c>
      <c r="G67" s="151" t="s">
        <v>12</v>
      </c>
      <c r="H67" s="151" t="s">
        <v>12</v>
      </c>
      <c r="I67" s="112">
        <v>7.39</v>
      </c>
      <c r="J67" s="112">
        <v>0.9</v>
      </c>
      <c r="K67" s="112">
        <v>282.24</v>
      </c>
      <c r="L67" s="112">
        <v>27.16</v>
      </c>
      <c r="M67" s="112">
        <v>97.34</v>
      </c>
      <c r="N67" s="112">
        <v>66</v>
      </c>
      <c r="O67" s="112">
        <v>0</v>
      </c>
      <c r="P67" s="112">
        <v>0.6</v>
      </c>
      <c r="Q67" s="112">
        <v>4.6399999999999997</v>
      </c>
    </row>
    <row r="68" spans="1:17" customFormat="1">
      <c r="A68" s="80">
        <v>45500.625</v>
      </c>
      <c r="B68" s="112">
        <v>9.41</v>
      </c>
      <c r="C68" s="112">
        <v>4.1100000000000003</v>
      </c>
      <c r="D68" s="112">
        <v>14.14</v>
      </c>
      <c r="E68" s="112">
        <v>10.96</v>
      </c>
      <c r="F68" s="112">
        <v>8.15</v>
      </c>
      <c r="G68" s="151" t="s">
        <v>12</v>
      </c>
      <c r="H68" s="151" t="s">
        <v>12</v>
      </c>
      <c r="I68" s="112">
        <v>7.28</v>
      </c>
      <c r="J68" s="112">
        <v>0.77</v>
      </c>
      <c r="K68" s="112">
        <v>276.54000000000002</v>
      </c>
      <c r="L68" s="112">
        <v>27.03</v>
      </c>
      <c r="M68" s="112">
        <v>99.57</v>
      </c>
      <c r="N68" s="112">
        <v>68.099999999999994</v>
      </c>
      <c r="O68" s="112">
        <v>0</v>
      </c>
      <c r="P68" s="112">
        <v>0.56000000000000005</v>
      </c>
      <c r="Q68" s="112">
        <v>4.6399999999999997</v>
      </c>
    </row>
    <row r="69" spans="1:17" customFormat="1">
      <c r="A69" s="80">
        <v>45500.635416666664</v>
      </c>
      <c r="B69" s="112">
        <v>9.39</v>
      </c>
      <c r="C69" s="112">
        <v>4.08</v>
      </c>
      <c r="D69" s="112">
        <v>14.11</v>
      </c>
      <c r="E69" s="112">
        <v>10.83</v>
      </c>
      <c r="F69" s="112">
        <v>10.29</v>
      </c>
      <c r="G69" s="151" t="s">
        <v>12</v>
      </c>
      <c r="H69" s="151" t="s">
        <v>12</v>
      </c>
      <c r="I69" s="112">
        <v>6.6</v>
      </c>
      <c r="J69" s="112">
        <v>1.02</v>
      </c>
      <c r="K69" s="112">
        <v>279.06</v>
      </c>
      <c r="L69" s="112">
        <v>26.99</v>
      </c>
      <c r="M69" s="112">
        <v>97.81</v>
      </c>
      <c r="N69" s="112">
        <v>91.9</v>
      </c>
      <c r="O69" s="112">
        <v>0</v>
      </c>
      <c r="P69" s="112">
        <v>0.53</v>
      </c>
      <c r="Q69" s="112">
        <v>4.6500000000000004</v>
      </c>
    </row>
    <row r="70" spans="1:17" customFormat="1">
      <c r="A70" s="80">
        <v>45500.645833333336</v>
      </c>
      <c r="B70" s="112">
        <v>9.4</v>
      </c>
      <c r="C70" s="112">
        <v>4.08</v>
      </c>
      <c r="D70" s="112">
        <v>14.12</v>
      </c>
      <c r="E70" s="112">
        <v>10.7</v>
      </c>
      <c r="F70" s="112">
        <v>11.85</v>
      </c>
      <c r="G70" s="151" t="s">
        <v>12</v>
      </c>
      <c r="H70" s="151" t="s">
        <v>12</v>
      </c>
      <c r="I70" s="112">
        <v>6.19</v>
      </c>
      <c r="J70" s="112">
        <v>0.68</v>
      </c>
      <c r="K70" s="112">
        <v>277.81</v>
      </c>
      <c r="L70" s="112">
        <v>27.09</v>
      </c>
      <c r="M70" s="112">
        <v>98.72</v>
      </c>
      <c r="N70" s="112">
        <v>78</v>
      </c>
      <c r="O70" s="112">
        <v>0</v>
      </c>
      <c r="P70" s="112">
        <v>0.59</v>
      </c>
      <c r="Q70" s="112">
        <v>4.6399999999999997</v>
      </c>
    </row>
    <row r="71" spans="1:17" customFormat="1">
      <c r="A71" s="80">
        <v>45500.65625</v>
      </c>
      <c r="B71" s="112">
        <v>9.4600000000000009</v>
      </c>
      <c r="C71" s="112">
        <v>4.03</v>
      </c>
      <c r="D71" s="112">
        <v>14.15</v>
      </c>
      <c r="E71" s="112">
        <v>11</v>
      </c>
      <c r="F71" s="112">
        <v>10.119999999999999</v>
      </c>
      <c r="G71" s="112">
        <v>15.46</v>
      </c>
      <c r="H71" s="112">
        <v>18.11</v>
      </c>
      <c r="I71" s="112">
        <v>5.73</v>
      </c>
      <c r="J71" s="112">
        <v>0.73</v>
      </c>
      <c r="K71" s="112">
        <v>278.98</v>
      </c>
      <c r="L71" s="112">
        <v>27.03</v>
      </c>
      <c r="M71" s="112">
        <v>99.81</v>
      </c>
      <c r="N71" s="112">
        <v>97.7</v>
      </c>
      <c r="O71" s="112">
        <v>0</v>
      </c>
      <c r="P71" s="112">
        <v>0.67</v>
      </c>
      <c r="Q71" s="112">
        <v>4.6399999999999997</v>
      </c>
    </row>
    <row r="72" spans="1:17" customFormat="1">
      <c r="A72" s="80">
        <v>45500.666666666664</v>
      </c>
      <c r="B72" s="112">
        <v>9.44</v>
      </c>
      <c r="C72" s="112">
        <v>4.08</v>
      </c>
      <c r="D72" s="112">
        <v>14.15</v>
      </c>
      <c r="E72" s="112">
        <v>11.93</v>
      </c>
      <c r="F72" s="112">
        <v>10.8</v>
      </c>
      <c r="G72" s="112">
        <v>39.74</v>
      </c>
      <c r="H72" s="112">
        <v>35.159999999999997</v>
      </c>
      <c r="I72" s="112">
        <v>6.12</v>
      </c>
      <c r="J72" s="112">
        <v>0.78</v>
      </c>
      <c r="K72" s="112">
        <v>277.02</v>
      </c>
      <c r="L72" s="112">
        <v>27.03</v>
      </c>
      <c r="M72" s="112">
        <v>97.5</v>
      </c>
      <c r="N72" s="112">
        <v>96.5</v>
      </c>
      <c r="O72" s="112">
        <v>0</v>
      </c>
      <c r="P72" s="112">
        <v>0.67</v>
      </c>
      <c r="Q72" s="112">
        <v>4.6500000000000004</v>
      </c>
    </row>
    <row r="73" spans="1:17" customFormat="1">
      <c r="A73" s="80">
        <v>45500.677083333336</v>
      </c>
      <c r="B73" s="112">
        <v>9.43</v>
      </c>
      <c r="C73" s="112">
        <v>4.07</v>
      </c>
      <c r="D73" s="112">
        <v>14.13</v>
      </c>
      <c r="E73" s="112">
        <v>11.52</v>
      </c>
      <c r="F73" s="112">
        <v>10.76</v>
      </c>
      <c r="G73" s="112">
        <v>39.74</v>
      </c>
      <c r="H73" s="112">
        <v>35.159999999999997</v>
      </c>
      <c r="I73" s="112">
        <v>6.17</v>
      </c>
      <c r="J73" s="112">
        <v>0.98</v>
      </c>
      <c r="K73" s="112">
        <v>276.17</v>
      </c>
      <c r="L73" s="112">
        <v>26.78</v>
      </c>
      <c r="M73" s="112">
        <v>96.27</v>
      </c>
      <c r="N73" s="112">
        <v>49</v>
      </c>
      <c r="O73" s="112">
        <v>0</v>
      </c>
      <c r="P73" s="112">
        <v>0.61</v>
      </c>
      <c r="Q73" s="112">
        <v>4.66</v>
      </c>
    </row>
    <row r="74" spans="1:17" customFormat="1">
      <c r="A74" s="80">
        <v>45500.6875</v>
      </c>
      <c r="B74" s="112">
        <v>9.44</v>
      </c>
      <c r="C74" s="112">
        <v>4.07</v>
      </c>
      <c r="D74" s="112">
        <v>14.14</v>
      </c>
      <c r="E74" s="112">
        <v>10.56</v>
      </c>
      <c r="F74" s="112">
        <v>10.11</v>
      </c>
      <c r="G74" s="112">
        <v>39.74</v>
      </c>
      <c r="H74" s="112">
        <v>35.159999999999997</v>
      </c>
      <c r="I74" s="112">
        <v>6.13</v>
      </c>
      <c r="J74" s="112">
        <v>0.85</v>
      </c>
      <c r="K74" s="112">
        <v>278.45</v>
      </c>
      <c r="L74" s="112">
        <v>26.62</v>
      </c>
      <c r="M74" s="112">
        <v>98.96</v>
      </c>
      <c r="N74" s="112">
        <v>54.1</v>
      </c>
      <c r="O74" s="112">
        <v>0</v>
      </c>
      <c r="P74" s="112">
        <v>0.56999999999999995</v>
      </c>
      <c r="Q74" s="112">
        <v>4.6500000000000004</v>
      </c>
    </row>
    <row r="75" spans="1:17" customFormat="1">
      <c r="A75" s="80">
        <v>45500.697916666664</v>
      </c>
      <c r="B75" s="112">
        <v>9.44</v>
      </c>
      <c r="C75" s="112">
        <v>4.05</v>
      </c>
      <c r="D75" s="112">
        <v>14.14</v>
      </c>
      <c r="E75" s="112">
        <v>8.84</v>
      </c>
      <c r="F75" s="112">
        <v>6.27</v>
      </c>
      <c r="G75" s="112">
        <v>36.630000000000003</v>
      </c>
      <c r="H75" s="112">
        <v>28.21</v>
      </c>
      <c r="I75" s="112">
        <v>5.81</v>
      </c>
      <c r="J75" s="112">
        <v>0.9</v>
      </c>
      <c r="K75" s="112">
        <v>279.29000000000002</v>
      </c>
      <c r="L75" s="112">
        <v>26.71</v>
      </c>
      <c r="M75" s="112">
        <v>98.77</v>
      </c>
      <c r="N75" s="112">
        <v>66.8</v>
      </c>
      <c r="O75" s="112">
        <v>0</v>
      </c>
      <c r="P75" s="112">
        <v>0.56999999999999995</v>
      </c>
      <c r="Q75" s="112">
        <v>4.6500000000000004</v>
      </c>
    </row>
    <row r="76" spans="1:17" customFormat="1">
      <c r="A76" s="80">
        <v>45500.708333333336</v>
      </c>
      <c r="B76" s="112">
        <v>9.43</v>
      </c>
      <c r="C76" s="112">
        <v>4.0599999999999996</v>
      </c>
      <c r="D76" s="112">
        <v>14.14</v>
      </c>
      <c r="E76" s="112">
        <v>8.6</v>
      </c>
      <c r="F76" s="112">
        <v>5.81</v>
      </c>
      <c r="G76" s="112">
        <v>31.73</v>
      </c>
      <c r="H76" s="112">
        <v>21.67</v>
      </c>
      <c r="I76" s="112">
        <v>5.59</v>
      </c>
      <c r="J76" s="112">
        <v>0.83</v>
      </c>
      <c r="K76" s="112">
        <v>280.95999999999998</v>
      </c>
      <c r="L76" s="112">
        <v>26.58</v>
      </c>
      <c r="M76" s="112">
        <v>99.27</v>
      </c>
      <c r="N76" s="112">
        <v>28.4</v>
      </c>
      <c r="O76" s="112">
        <v>0</v>
      </c>
      <c r="P76" s="112">
        <v>0.55000000000000004</v>
      </c>
      <c r="Q76" s="112">
        <v>4.67</v>
      </c>
    </row>
    <row r="77" spans="1:17" customFormat="1">
      <c r="A77" s="80">
        <v>45500.71875</v>
      </c>
      <c r="B77" s="112">
        <v>9.4499999999999993</v>
      </c>
      <c r="C77" s="112">
        <v>4.05</v>
      </c>
      <c r="D77" s="112">
        <v>14.15</v>
      </c>
      <c r="E77" s="112">
        <v>8.15</v>
      </c>
      <c r="F77" s="112">
        <v>5.89</v>
      </c>
      <c r="G77" s="112">
        <v>31.73</v>
      </c>
      <c r="H77" s="112">
        <v>21.67</v>
      </c>
      <c r="I77" s="112">
        <v>5.49</v>
      </c>
      <c r="J77" s="112">
        <v>0.78</v>
      </c>
      <c r="K77" s="112">
        <v>279.56</v>
      </c>
      <c r="L77" s="112">
        <v>26.4</v>
      </c>
      <c r="M77" s="112">
        <v>98.72</v>
      </c>
      <c r="N77" s="112">
        <v>27.5</v>
      </c>
      <c r="O77" s="112">
        <v>0</v>
      </c>
      <c r="P77" s="112">
        <v>0.54</v>
      </c>
      <c r="Q77" s="112">
        <v>4.67</v>
      </c>
    </row>
    <row r="78" spans="1:17" customFormat="1">
      <c r="A78" s="80">
        <v>45500.729166666664</v>
      </c>
      <c r="B78" s="112">
        <v>9.43</v>
      </c>
      <c r="C78" s="112">
        <v>4.05</v>
      </c>
      <c r="D78" s="112">
        <v>14.13</v>
      </c>
      <c r="E78" s="112">
        <v>8.02</v>
      </c>
      <c r="F78" s="112">
        <v>5.56</v>
      </c>
      <c r="G78" s="112">
        <v>31.73</v>
      </c>
      <c r="H78" s="112">
        <v>21.67</v>
      </c>
      <c r="I78" s="112">
        <v>5.47</v>
      </c>
      <c r="J78" s="112">
        <v>0.84</v>
      </c>
      <c r="K78" s="112">
        <v>281.69</v>
      </c>
      <c r="L78" s="112">
        <v>26.35</v>
      </c>
      <c r="M78" s="112">
        <v>97.55</v>
      </c>
      <c r="N78" s="112">
        <v>15.3</v>
      </c>
      <c r="O78" s="112">
        <v>0</v>
      </c>
      <c r="P78" s="112">
        <v>0.53</v>
      </c>
      <c r="Q78" s="112">
        <v>4.68</v>
      </c>
    </row>
    <row r="79" spans="1:17" customFormat="1">
      <c r="A79" s="80">
        <v>45500.739583333336</v>
      </c>
      <c r="B79" s="112">
        <v>9.41</v>
      </c>
      <c r="C79" s="112">
        <v>4.08</v>
      </c>
      <c r="D79" s="112">
        <v>14.13</v>
      </c>
      <c r="E79" s="112">
        <v>8.2799999999999994</v>
      </c>
      <c r="F79" s="112">
        <v>6.69</v>
      </c>
      <c r="G79" s="112">
        <v>29.86</v>
      </c>
      <c r="H79" s="112">
        <v>20.77</v>
      </c>
      <c r="I79" s="112">
        <v>5.32</v>
      </c>
      <c r="J79" s="112">
        <v>0.94</v>
      </c>
      <c r="K79" s="112">
        <v>278.02999999999997</v>
      </c>
      <c r="L79" s="112">
        <v>26.21</v>
      </c>
      <c r="M79" s="112">
        <v>99.04</v>
      </c>
      <c r="N79" s="112">
        <v>8.4</v>
      </c>
      <c r="O79" s="112">
        <v>0</v>
      </c>
      <c r="P79" s="112">
        <v>0.52</v>
      </c>
      <c r="Q79" s="112">
        <v>4.66</v>
      </c>
    </row>
    <row r="80" spans="1:17" customFormat="1">
      <c r="A80" s="80">
        <v>45500.75</v>
      </c>
      <c r="B80" s="112">
        <v>9.41</v>
      </c>
      <c r="C80" s="112">
        <v>4.05</v>
      </c>
      <c r="D80" s="112">
        <v>14.11</v>
      </c>
      <c r="E80" s="112">
        <v>7.78</v>
      </c>
      <c r="F80" s="112">
        <v>5.68</v>
      </c>
      <c r="G80" s="112">
        <v>26.93</v>
      </c>
      <c r="H80" s="112">
        <v>19.93</v>
      </c>
      <c r="I80" s="112">
        <v>5.29</v>
      </c>
      <c r="J80" s="112">
        <v>0.92</v>
      </c>
      <c r="K80" s="112">
        <v>275.39</v>
      </c>
      <c r="L80" s="112">
        <v>26.14</v>
      </c>
      <c r="M80" s="112">
        <v>97.58</v>
      </c>
      <c r="N80" s="112">
        <v>9</v>
      </c>
      <c r="O80" s="112">
        <v>0</v>
      </c>
      <c r="P80" s="112">
        <v>0.52</v>
      </c>
      <c r="Q80" s="112">
        <v>4.67</v>
      </c>
    </row>
    <row r="81" spans="1:17" customFormat="1">
      <c r="A81" s="80">
        <v>45500.760416666664</v>
      </c>
      <c r="B81" s="112">
        <v>9.39</v>
      </c>
      <c r="C81" s="112">
        <v>4.04</v>
      </c>
      <c r="D81" s="112">
        <v>14.09</v>
      </c>
      <c r="E81" s="112">
        <v>6.84</v>
      </c>
      <c r="F81" s="112">
        <v>5.63</v>
      </c>
      <c r="G81" s="112">
        <v>26.93</v>
      </c>
      <c r="H81" s="112">
        <v>19.93</v>
      </c>
      <c r="I81" s="112">
        <v>5.2</v>
      </c>
      <c r="J81" s="112">
        <v>0.71</v>
      </c>
      <c r="K81" s="112">
        <v>276.52999999999997</v>
      </c>
      <c r="L81" s="112">
        <v>26.13</v>
      </c>
      <c r="M81" s="112">
        <v>97.02</v>
      </c>
      <c r="N81" s="112">
        <v>6.3</v>
      </c>
      <c r="O81" s="112">
        <v>0</v>
      </c>
      <c r="P81" s="112">
        <v>0.5</v>
      </c>
      <c r="Q81" s="112">
        <v>4.67</v>
      </c>
    </row>
    <row r="82" spans="1:17" customFormat="1">
      <c r="A82" s="80">
        <v>45500.770833333336</v>
      </c>
      <c r="B82" s="112">
        <v>9.3800000000000008</v>
      </c>
      <c r="C82" s="112">
        <v>4.07</v>
      </c>
      <c r="D82" s="112">
        <v>14.09</v>
      </c>
      <c r="E82" s="112">
        <v>7.06</v>
      </c>
      <c r="F82" s="112">
        <v>5.71</v>
      </c>
      <c r="G82" s="112">
        <v>26.93</v>
      </c>
      <c r="H82" s="112">
        <v>19.93</v>
      </c>
      <c r="I82" s="112">
        <v>5.12</v>
      </c>
      <c r="J82" s="112">
        <v>0.93</v>
      </c>
      <c r="K82" s="112">
        <v>278.33</v>
      </c>
      <c r="L82" s="112">
        <v>26.07</v>
      </c>
      <c r="M82" s="112">
        <v>98.36</v>
      </c>
      <c r="N82" s="112">
        <v>3.6</v>
      </c>
      <c r="O82" s="112">
        <v>0</v>
      </c>
      <c r="P82" s="112">
        <v>0.51</v>
      </c>
      <c r="Q82" s="112">
        <v>4.66</v>
      </c>
    </row>
    <row r="83" spans="1:17" customFormat="1">
      <c r="A83" s="80">
        <v>45500.78125</v>
      </c>
      <c r="B83" s="112">
        <v>9.3800000000000008</v>
      </c>
      <c r="C83" s="112">
        <v>4.08</v>
      </c>
      <c r="D83" s="112">
        <v>14.1</v>
      </c>
      <c r="E83" s="112">
        <v>7.08</v>
      </c>
      <c r="F83" s="112">
        <v>6.06</v>
      </c>
      <c r="G83" s="112">
        <v>28.66</v>
      </c>
      <c r="H83" s="112">
        <v>17.13</v>
      </c>
      <c r="I83" s="112">
        <v>5.05</v>
      </c>
      <c r="J83" s="112">
        <v>0.96</v>
      </c>
      <c r="K83" s="112">
        <v>276.38</v>
      </c>
      <c r="L83" s="112">
        <v>26.07</v>
      </c>
      <c r="M83" s="112">
        <v>98.72</v>
      </c>
      <c r="N83" s="112">
        <v>2.6</v>
      </c>
      <c r="O83" s="112">
        <v>0</v>
      </c>
      <c r="P83" s="112">
        <v>0.49</v>
      </c>
      <c r="Q83" s="112">
        <v>4.66</v>
      </c>
    </row>
    <row r="84" spans="1:17" customFormat="1">
      <c r="A84" s="80">
        <v>45500.791666666664</v>
      </c>
      <c r="B84" s="112">
        <v>9.39</v>
      </c>
      <c r="C84" s="112">
        <v>4.04</v>
      </c>
      <c r="D84" s="112">
        <v>14.09</v>
      </c>
      <c r="E84" s="112">
        <v>6.81</v>
      </c>
      <c r="F84" s="112">
        <v>6.01</v>
      </c>
      <c r="G84" s="112">
        <v>31.39</v>
      </c>
      <c r="H84" s="112">
        <v>14.49</v>
      </c>
      <c r="I84" s="112">
        <v>5.01</v>
      </c>
      <c r="J84" s="112">
        <v>0.7</v>
      </c>
      <c r="K84" s="112">
        <v>278.39999999999998</v>
      </c>
      <c r="L84" s="112">
        <v>26.06</v>
      </c>
      <c r="M84" s="112">
        <v>97.89</v>
      </c>
      <c r="N84" s="112">
        <v>2.2999999999999998</v>
      </c>
      <c r="O84" s="112">
        <v>0</v>
      </c>
      <c r="P84" s="112">
        <v>0.49</v>
      </c>
      <c r="Q84" s="112">
        <v>4.67</v>
      </c>
    </row>
    <row r="85" spans="1:17" customFormat="1">
      <c r="A85" s="80">
        <v>45500.802083333336</v>
      </c>
      <c r="B85" s="112">
        <v>9.39</v>
      </c>
      <c r="C85" s="112">
        <v>4.05</v>
      </c>
      <c r="D85" s="112">
        <v>14.09</v>
      </c>
      <c r="E85" s="112">
        <v>6.83</v>
      </c>
      <c r="F85" s="112">
        <v>5.55</v>
      </c>
      <c r="G85" s="112">
        <v>31.39</v>
      </c>
      <c r="H85" s="112">
        <v>14.49</v>
      </c>
      <c r="I85" s="112">
        <v>4.9800000000000004</v>
      </c>
      <c r="J85" s="112">
        <v>0.86</v>
      </c>
      <c r="K85" s="112">
        <v>276.57</v>
      </c>
      <c r="L85" s="112">
        <v>25.98</v>
      </c>
      <c r="M85" s="112">
        <v>98.23</v>
      </c>
      <c r="N85" s="112">
        <v>2.4</v>
      </c>
      <c r="O85" s="112">
        <v>0</v>
      </c>
      <c r="P85" s="112">
        <v>0.48</v>
      </c>
      <c r="Q85" s="112">
        <v>4.66</v>
      </c>
    </row>
    <row r="86" spans="1:17" customFormat="1">
      <c r="A86" s="80">
        <v>45500.8125</v>
      </c>
      <c r="B86" s="112">
        <v>9.41</v>
      </c>
      <c r="C86" s="112">
        <v>4.05</v>
      </c>
      <c r="D86" s="112">
        <v>14.11</v>
      </c>
      <c r="E86" s="112">
        <v>7.36</v>
      </c>
      <c r="F86" s="112">
        <v>5.94</v>
      </c>
      <c r="G86" s="112">
        <v>31.39</v>
      </c>
      <c r="H86" s="112">
        <v>14.49</v>
      </c>
      <c r="I86" s="112">
        <v>4.91</v>
      </c>
      <c r="J86" s="112">
        <v>0.74</v>
      </c>
      <c r="K86" s="112">
        <v>277.73</v>
      </c>
      <c r="L86" s="112">
        <v>25.96</v>
      </c>
      <c r="M86" s="112">
        <v>97.91</v>
      </c>
      <c r="N86" s="112">
        <v>2.4</v>
      </c>
      <c r="O86" s="112">
        <v>0</v>
      </c>
      <c r="P86" s="112">
        <v>0.47</v>
      </c>
      <c r="Q86" s="112">
        <v>4.6500000000000004</v>
      </c>
    </row>
    <row r="87" spans="1:17" customFormat="1">
      <c r="A87" s="80">
        <v>45500.822916666664</v>
      </c>
      <c r="B87" s="112">
        <v>9.39</v>
      </c>
      <c r="C87" s="112">
        <v>4.05</v>
      </c>
      <c r="D87" s="112">
        <v>14.1</v>
      </c>
      <c r="E87" s="112">
        <v>7.44</v>
      </c>
      <c r="F87" s="112">
        <v>6.56</v>
      </c>
      <c r="G87" s="112">
        <v>28.16</v>
      </c>
      <c r="H87" s="112">
        <v>12.66</v>
      </c>
      <c r="I87" s="112">
        <v>4.84</v>
      </c>
      <c r="J87" s="112">
        <v>0.63</v>
      </c>
      <c r="K87" s="112">
        <v>275.66000000000003</v>
      </c>
      <c r="L87" s="112">
        <v>25.9</v>
      </c>
      <c r="M87" s="112">
        <v>97.88</v>
      </c>
      <c r="N87" s="112">
        <v>2.4</v>
      </c>
      <c r="O87" s="112">
        <v>0</v>
      </c>
      <c r="P87" s="112">
        <v>0.46</v>
      </c>
      <c r="Q87" s="112">
        <v>4.6500000000000004</v>
      </c>
    </row>
    <row r="88" spans="1:17" customFormat="1">
      <c r="A88" s="80">
        <v>45500.833333333336</v>
      </c>
      <c r="B88" s="112">
        <v>9.39</v>
      </c>
      <c r="C88" s="112">
        <v>4.07</v>
      </c>
      <c r="D88" s="112">
        <v>14.11</v>
      </c>
      <c r="E88" s="112">
        <v>7.6</v>
      </c>
      <c r="F88" s="112">
        <v>4.54</v>
      </c>
      <c r="G88" s="112">
        <v>23.09</v>
      </c>
      <c r="H88" s="112">
        <v>10.93</v>
      </c>
      <c r="I88" s="112">
        <v>4.75</v>
      </c>
      <c r="J88" s="112">
        <v>0.66</v>
      </c>
      <c r="K88" s="112">
        <v>274.64999999999998</v>
      </c>
      <c r="L88" s="112">
        <v>25.96</v>
      </c>
      <c r="M88" s="112">
        <v>97.16</v>
      </c>
      <c r="N88" s="112">
        <v>2.2999999999999998</v>
      </c>
      <c r="O88" s="112">
        <v>0</v>
      </c>
      <c r="P88" s="112">
        <v>0.47</v>
      </c>
      <c r="Q88" s="112">
        <v>4.6399999999999997</v>
      </c>
    </row>
    <row r="89" spans="1:17" customFormat="1">
      <c r="A89" s="80">
        <v>45500.84375</v>
      </c>
      <c r="B89" s="112">
        <v>9.4</v>
      </c>
      <c r="C89" s="112">
        <v>4.08</v>
      </c>
      <c r="D89" s="112">
        <v>14.12</v>
      </c>
      <c r="E89" s="112">
        <v>8.15</v>
      </c>
      <c r="F89" s="112">
        <v>3.44</v>
      </c>
      <c r="G89" s="112">
        <v>23.09</v>
      </c>
      <c r="H89" s="112">
        <v>10.93</v>
      </c>
      <c r="I89" s="112">
        <v>4.68</v>
      </c>
      <c r="J89" s="112">
        <v>0.69</v>
      </c>
      <c r="K89" s="112">
        <v>274.24</v>
      </c>
      <c r="L89" s="112">
        <v>25.98</v>
      </c>
      <c r="M89" s="112">
        <v>98.41</v>
      </c>
      <c r="N89" s="112">
        <v>2.2999999999999998</v>
      </c>
      <c r="O89" s="112">
        <v>0</v>
      </c>
      <c r="P89" s="112">
        <v>0.44</v>
      </c>
      <c r="Q89" s="112">
        <v>4.6500000000000004</v>
      </c>
    </row>
    <row r="90" spans="1:17" customFormat="1">
      <c r="A90" s="80">
        <v>45500.854166666664</v>
      </c>
      <c r="B90" s="112">
        <v>9.41</v>
      </c>
      <c r="C90" s="112">
        <v>4.07</v>
      </c>
      <c r="D90" s="112">
        <v>14.12</v>
      </c>
      <c r="E90" s="112">
        <v>8.6</v>
      </c>
      <c r="F90" s="112">
        <v>3.54</v>
      </c>
      <c r="G90" s="112">
        <v>23.09</v>
      </c>
      <c r="H90" s="112">
        <v>10.93</v>
      </c>
      <c r="I90" s="112">
        <v>4.7699999999999996</v>
      </c>
      <c r="J90" s="112">
        <v>0.65</v>
      </c>
      <c r="K90" s="112">
        <v>277.19</v>
      </c>
      <c r="L90" s="112">
        <v>25.97</v>
      </c>
      <c r="M90" s="112">
        <v>97.62</v>
      </c>
      <c r="N90" s="112">
        <v>2.4</v>
      </c>
      <c r="O90" s="112">
        <v>0</v>
      </c>
      <c r="P90" s="112">
        <v>0.43</v>
      </c>
      <c r="Q90" s="112">
        <v>4.6500000000000004</v>
      </c>
    </row>
    <row r="91" spans="1:17" customFormat="1">
      <c r="A91" s="80">
        <v>45500.864583333336</v>
      </c>
      <c r="B91" s="112">
        <v>9.39</v>
      </c>
      <c r="C91" s="112">
        <v>4.09</v>
      </c>
      <c r="D91" s="112">
        <v>14.12</v>
      </c>
      <c r="E91" s="112">
        <v>8.98</v>
      </c>
      <c r="F91" s="112">
        <v>3.71</v>
      </c>
      <c r="G91" s="112">
        <v>23.33</v>
      </c>
      <c r="H91" s="112">
        <v>10.34</v>
      </c>
      <c r="I91" s="112">
        <v>4.7</v>
      </c>
      <c r="J91" s="112">
        <v>0.56000000000000005</v>
      </c>
      <c r="K91" s="112">
        <v>271.45</v>
      </c>
      <c r="L91" s="112">
        <v>25.79</v>
      </c>
      <c r="M91" s="112">
        <v>97.81</v>
      </c>
      <c r="N91" s="112">
        <v>3.3</v>
      </c>
      <c r="O91" s="112">
        <v>0.4</v>
      </c>
      <c r="P91" s="112">
        <v>0.43</v>
      </c>
      <c r="Q91" s="112">
        <v>4.63</v>
      </c>
    </row>
    <row r="92" spans="1:17" customFormat="1">
      <c r="A92" s="80">
        <v>45500.875</v>
      </c>
      <c r="B92" s="112">
        <v>9.32</v>
      </c>
      <c r="C92" s="112">
        <v>4.12</v>
      </c>
      <c r="D92" s="112">
        <v>14.08</v>
      </c>
      <c r="E92" s="112">
        <v>9.3699999999999992</v>
      </c>
      <c r="F92" s="112">
        <v>3.64</v>
      </c>
      <c r="G92" s="112">
        <v>23.7</v>
      </c>
      <c r="H92" s="112">
        <v>8.2100000000000009</v>
      </c>
      <c r="I92" s="112">
        <v>4.57</v>
      </c>
      <c r="J92" s="112">
        <v>0.63</v>
      </c>
      <c r="K92" s="112">
        <v>275.88</v>
      </c>
      <c r="L92" s="112">
        <v>25.44</v>
      </c>
      <c r="M92" s="112">
        <v>101.83</v>
      </c>
      <c r="N92" s="112">
        <v>2.8</v>
      </c>
      <c r="O92" s="112">
        <v>0.4</v>
      </c>
      <c r="P92" s="112">
        <v>0.42</v>
      </c>
      <c r="Q92" s="112">
        <v>4.6500000000000004</v>
      </c>
    </row>
    <row r="93" spans="1:17" customFormat="1">
      <c r="A93" s="80">
        <v>45500.885416666664</v>
      </c>
      <c r="B93" s="112">
        <v>9.31</v>
      </c>
      <c r="C93" s="112">
        <v>4.08</v>
      </c>
      <c r="D93" s="112">
        <v>14.05</v>
      </c>
      <c r="E93" s="112">
        <v>9.6</v>
      </c>
      <c r="F93" s="112">
        <v>3.07</v>
      </c>
      <c r="G93" s="112">
        <v>23.7</v>
      </c>
      <c r="H93" s="112">
        <v>8.2100000000000009</v>
      </c>
      <c r="I93" s="112">
        <v>4.34</v>
      </c>
      <c r="J93" s="112">
        <v>0.42</v>
      </c>
      <c r="K93" s="112">
        <v>271.12</v>
      </c>
      <c r="L93" s="112">
        <v>25.32</v>
      </c>
      <c r="M93" s="112">
        <v>102.73</v>
      </c>
      <c r="N93" s="112">
        <v>2.2999999999999998</v>
      </c>
      <c r="O93" s="112">
        <v>0.2</v>
      </c>
      <c r="P93" s="112">
        <v>0.41</v>
      </c>
      <c r="Q93" s="112">
        <v>4.66</v>
      </c>
    </row>
    <row r="94" spans="1:17" customFormat="1">
      <c r="A94" s="80">
        <v>45500.895833333336</v>
      </c>
      <c r="B94" s="112">
        <v>9.31</v>
      </c>
      <c r="C94" s="112">
        <v>4.07</v>
      </c>
      <c r="D94" s="112">
        <v>14.04</v>
      </c>
      <c r="E94" s="112">
        <v>10.029999999999999</v>
      </c>
      <c r="F94" s="112">
        <v>3.23</v>
      </c>
      <c r="G94" s="112">
        <v>23.7</v>
      </c>
      <c r="H94" s="112">
        <v>8.2100000000000009</v>
      </c>
      <c r="I94" s="112">
        <v>4.24</v>
      </c>
      <c r="J94" s="112">
        <v>0.46</v>
      </c>
      <c r="K94" s="112">
        <v>274.85000000000002</v>
      </c>
      <c r="L94" s="112">
        <v>25.25</v>
      </c>
      <c r="M94" s="112">
        <v>105.26</v>
      </c>
      <c r="N94" s="112">
        <v>2.4</v>
      </c>
      <c r="O94" s="112">
        <v>0</v>
      </c>
      <c r="P94" s="112">
        <v>0.41</v>
      </c>
      <c r="Q94" s="112">
        <v>4.66</v>
      </c>
    </row>
    <row r="95" spans="1:17" customFormat="1">
      <c r="A95" s="80">
        <v>45500.90625</v>
      </c>
      <c r="B95" s="112">
        <v>9.32</v>
      </c>
      <c r="C95" s="112">
        <v>4.0599999999999996</v>
      </c>
      <c r="D95" s="112">
        <v>14.04</v>
      </c>
      <c r="E95" s="112">
        <v>9.8000000000000007</v>
      </c>
      <c r="F95" s="112">
        <v>3.66</v>
      </c>
      <c r="G95" s="112">
        <v>21.2</v>
      </c>
      <c r="H95" s="112">
        <v>7.38</v>
      </c>
      <c r="I95" s="112">
        <v>4.21</v>
      </c>
      <c r="J95" s="112">
        <v>0.48</v>
      </c>
      <c r="K95" s="112">
        <v>276.18</v>
      </c>
      <c r="L95" s="112">
        <v>25.32</v>
      </c>
      <c r="M95" s="112">
        <v>104.5</v>
      </c>
      <c r="N95" s="112">
        <v>2.5</v>
      </c>
      <c r="O95" s="112">
        <v>0</v>
      </c>
      <c r="P95" s="112">
        <v>0.41</v>
      </c>
      <c r="Q95" s="112">
        <v>4.6399999999999997</v>
      </c>
    </row>
    <row r="96" spans="1:17" customFormat="1">
      <c r="A96" s="80">
        <v>45500.916666666664</v>
      </c>
      <c r="B96" s="112">
        <v>9.33</v>
      </c>
      <c r="C96" s="112">
        <v>4.0599999999999996</v>
      </c>
      <c r="D96" s="112">
        <v>14.06</v>
      </c>
      <c r="E96" s="112">
        <v>10.02</v>
      </c>
      <c r="F96" s="112">
        <v>3.82</v>
      </c>
      <c r="G96" s="112">
        <v>17.27</v>
      </c>
      <c r="H96" s="112">
        <v>6.61</v>
      </c>
      <c r="I96" s="112">
        <v>4.28</v>
      </c>
      <c r="J96" s="112">
        <v>0.5</v>
      </c>
      <c r="K96" s="112">
        <v>274.41000000000003</v>
      </c>
      <c r="L96" s="112">
        <v>25.37</v>
      </c>
      <c r="M96" s="112">
        <v>105.65</v>
      </c>
      <c r="N96" s="112">
        <v>2.7</v>
      </c>
      <c r="O96" s="112">
        <v>0</v>
      </c>
      <c r="P96" s="112">
        <v>0.4</v>
      </c>
      <c r="Q96" s="112">
        <v>4.6399999999999997</v>
      </c>
    </row>
    <row r="97" spans="1:22" customFormat="1">
      <c r="A97" s="80">
        <v>45500.927083333336</v>
      </c>
      <c r="B97" s="112">
        <v>9.33</v>
      </c>
      <c r="C97" s="112">
        <v>4.08</v>
      </c>
      <c r="D97" s="112">
        <v>14.06</v>
      </c>
      <c r="E97" s="112">
        <v>10.84</v>
      </c>
      <c r="F97" s="112">
        <v>3.21</v>
      </c>
      <c r="G97" s="112">
        <v>17.27</v>
      </c>
      <c r="H97" s="112">
        <v>6.61</v>
      </c>
      <c r="I97" s="112">
        <v>4.08</v>
      </c>
      <c r="J97" s="112">
        <v>0.39</v>
      </c>
      <c r="K97" s="112">
        <v>272.93</v>
      </c>
      <c r="L97" s="112">
        <v>25.47</v>
      </c>
      <c r="M97" s="112">
        <v>105.96</v>
      </c>
      <c r="N97" s="112">
        <v>2.7</v>
      </c>
      <c r="O97" s="112">
        <v>0</v>
      </c>
      <c r="P97" s="112">
        <v>0.39</v>
      </c>
      <c r="Q97" s="112">
        <v>4.6399999999999997</v>
      </c>
    </row>
    <row r="98" spans="1:22" customFormat="1">
      <c r="A98" s="80">
        <v>45500.9375</v>
      </c>
      <c r="B98" s="112">
        <v>9.34</v>
      </c>
      <c r="C98" s="112">
        <v>4.07</v>
      </c>
      <c r="D98" s="112">
        <v>14.07</v>
      </c>
      <c r="E98" s="112">
        <v>10.77</v>
      </c>
      <c r="F98" s="112">
        <v>3.08</v>
      </c>
      <c r="G98" s="112">
        <v>17.27</v>
      </c>
      <c r="H98" s="112">
        <v>6.61</v>
      </c>
      <c r="I98" s="112">
        <v>4.01</v>
      </c>
      <c r="J98" s="112">
        <v>0.43</v>
      </c>
      <c r="K98" s="112">
        <v>273.45999999999998</v>
      </c>
      <c r="L98" s="112">
        <v>25.42</v>
      </c>
      <c r="M98" s="112">
        <v>106.95</v>
      </c>
      <c r="N98" s="112">
        <v>2.8</v>
      </c>
      <c r="O98" s="112">
        <v>0</v>
      </c>
      <c r="P98" s="112">
        <v>0.39</v>
      </c>
      <c r="Q98" s="112">
        <v>4.6399999999999997</v>
      </c>
    </row>
    <row r="99" spans="1:22" customFormat="1">
      <c r="A99" s="80">
        <v>45500.947916666664</v>
      </c>
      <c r="B99" s="112">
        <v>9.35</v>
      </c>
      <c r="C99" s="112">
        <v>4.07</v>
      </c>
      <c r="D99" s="112">
        <v>14.07</v>
      </c>
      <c r="E99" s="112">
        <v>10.91</v>
      </c>
      <c r="F99" s="112">
        <v>3.27</v>
      </c>
      <c r="G99" s="112">
        <v>15.35</v>
      </c>
      <c r="H99" s="112">
        <v>5.77</v>
      </c>
      <c r="I99" s="112">
        <v>3.95</v>
      </c>
      <c r="J99" s="112">
        <v>0.54</v>
      </c>
      <c r="K99" s="112">
        <v>278.77999999999997</v>
      </c>
      <c r="L99" s="112">
        <v>25.42</v>
      </c>
      <c r="M99" s="112">
        <v>106.25</v>
      </c>
      <c r="N99" s="112">
        <v>3</v>
      </c>
      <c r="O99" s="112">
        <v>0</v>
      </c>
      <c r="P99" s="112">
        <v>0.4</v>
      </c>
      <c r="Q99" s="112">
        <v>4.6399999999999997</v>
      </c>
    </row>
    <row r="100" spans="1:22" customFormat="1">
      <c r="A100" s="80">
        <v>45500.958333333336</v>
      </c>
      <c r="B100" s="112">
        <v>9.35</v>
      </c>
      <c r="C100" s="112">
        <v>4.0599999999999996</v>
      </c>
      <c r="D100" s="112">
        <v>14.07</v>
      </c>
      <c r="E100" s="112">
        <v>11</v>
      </c>
      <c r="F100" s="112">
        <v>3.87</v>
      </c>
      <c r="G100" s="112">
        <v>12.45</v>
      </c>
      <c r="H100" s="112">
        <v>4.99</v>
      </c>
      <c r="I100" s="112">
        <v>3.91</v>
      </c>
      <c r="J100" s="112">
        <v>0.68</v>
      </c>
      <c r="K100" s="112">
        <v>280.3</v>
      </c>
      <c r="L100" s="112">
        <v>25.44</v>
      </c>
      <c r="M100" s="112">
        <v>105.47</v>
      </c>
      <c r="N100" s="112">
        <v>2.7</v>
      </c>
      <c r="O100" s="112">
        <v>0</v>
      </c>
      <c r="P100" s="112">
        <v>0.39</v>
      </c>
      <c r="Q100" s="112">
        <v>4.6500000000000004</v>
      </c>
    </row>
    <row r="101" spans="1:22" customFormat="1">
      <c r="A101" s="80">
        <v>45500.96875</v>
      </c>
      <c r="B101" s="112">
        <v>9.35</v>
      </c>
      <c r="C101" s="112">
        <v>4.0599999999999996</v>
      </c>
      <c r="D101" s="112">
        <v>14.07</v>
      </c>
      <c r="E101" s="112">
        <v>11.07</v>
      </c>
      <c r="F101" s="112">
        <v>2.4700000000000002</v>
      </c>
      <c r="G101" s="112">
        <v>12.45</v>
      </c>
      <c r="H101" s="112">
        <v>4.99</v>
      </c>
      <c r="I101" s="112">
        <v>3.92</v>
      </c>
      <c r="J101" s="112">
        <v>0.66</v>
      </c>
      <c r="K101" s="112">
        <v>277.52</v>
      </c>
      <c r="L101" s="112">
        <v>25.3</v>
      </c>
      <c r="M101" s="112">
        <v>103.47</v>
      </c>
      <c r="N101" s="112">
        <v>2.6</v>
      </c>
      <c r="O101" s="112">
        <v>0</v>
      </c>
      <c r="P101" s="112">
        <v>0.38</v>
      </c>
      <c r="Q101" s="112">
        <v>4.66</v>
      </c>
    </row>
    <row r="102" spans="1:22" customFormat="1">
      <c r="A102" s="80">
        <v>45500.979166666664</v>
      </c>
      <c r="B102" s="112">
        <v>9.35</v>
      </c>
      <c r="C102" s="112">
        <v>4.0599999999999996</v>
      </c>
      <c r="D102" s="112">
        <v>14.06</v>
      </c>
      <c r="E102" s="112">
        <v>11.05</v>
      </c>
      <c r="F102" s="112">
        <v>2.64</v>
      </c>
      <c r="G102" s="112">
        <v>12.45</v>
      </c>
      <c r="H102" s="112">
        <v>4.99</v>
      </c>
      <c r="I102" s="112">
        <v>3.84</v>
      </c>
      <c r="J102" s="112">
        <v>0.82</v>
      </c>
      <c r="K102" s="112">
        <v>276.16000000000003</v>
      </c>
      <c r="L102" s="112">
        <v>25.25</v>
      </c>
      <c r="M102" s="112">
        <v>103.77</v>
      </c>
      <c r="N102" s="112">
        <v>2.2999999999999998</v>
      </c>
      <c r="O102" s="112">
        <v>0</v>
      </c>
      <c r="P102" s="112">
        <v>0.38</v>
      </c>
      <c r="Q102" s="112">
        <v>4.6500000000000004</v>
      </c>
    </row>
    <row r="103" spans="1:22" customFormat="1">
      <c r="A103" s="80">
        <v>45500.989583333336</v>
      </c>
      <c r="B103" s="112">
        <v>9.35</v>
      </c>
      <c r="C103" s="112">
        <v>4.04</v>
      </c>
      <c r="D103" s="112">
        <v>14.06</v>
      </c>
      <c r="E103" s="112">
        <v>11.65</v>
      </c>
      <c r="F103" s="112">
        <v>3.35</v>
      </c>
      <c r="G103" s="112">
        <v>13.32</v>
      </c>
      <c r="H103" s="112">
        <v>4.5199999999999996</v>
      </c>
      <c r="I103" s="112">
        <v>3.8</v>
      </c>
      <c r="J103" s="112">
        <v>0.76</v>
      </c>
      <c r="K103" s="112">
        <v>278.05</v>
      </c>
      <c r="L103" s="112">
        <v>25.21</v>
      </c>
      <c r="M103" s="112">
        <v>106.53</v>
      </c>
      <c r="N103" s="112">
        <v>2.4</v>
      </c>
      <c r="O103" s="112">
        <v>0</v>
      </c>
      <c r="P103" s="112">
        <v>0.37</v>
      </c>
      <c r="Q103" s="112">
        <v>4.6399999999999997</v>
      </c>
    </row>
    <row r="104" spans="1:22" customFormat="1">
      <c r="A104" s="80">
        <v>45501</v>
      </c>
      <c r="B104" s="112">
        <v>9.34</v>
      </c>
      <c r="C104" s="112">
        <v>4.07</v>
      </c>
      <c r="D104" s="112">
        <v>14.07</v>
      </c>
      <c r="E104" s="112">
        <v>11.49</v>
      </c>
      <c r="F104" s="112">
        <v>2.84</v>
      </c>
      <c r="G104" s="112">
        <v>14.69</v>
      </c>
      <c r="H104" s="112">
        <v>4.08</v>
      </c>
      <c r="I104" s="112">
        <v>3.72</v>
      </c>
      <c r="J104" s="112">
        <v>0.75</v>
      </c>
      <c r="K104" s="112">
        <v>272.60000000000002</v>
      </c>
      <c r="L104" s="112">
        <v>25.28</v>
      </c>
      <c r="M104" s="112">
        <v>103.17</v>
      </c>
      <c r="N104" s="112">
        <v>2.6</v>
      </c>
      <c r="O104" s="112">
        <v>0</v>
      </c>
      <c r="P104" s="112">
        <v>0.37</v>
      </c>
      <c r="Q104" s="112">
        <v>4.67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9.2100000000000009</v>
      </c>
      <c r="C106" s="183">
        <f>MIN(C9:C104)</f>
        <v>4.03</v>
      </c>
      <c r="D106" s="183">
        <f t="shared" ref="D106:Q106" si="0">MIN(D9:D104)</f>
        <v>14</v>
      </c>
      <c r="E106" s="183">
        <f t="shared" si="0"/>
        <v>6.81</v>
      </c>
      <c r="F106" s="183">
        <f t="shared" si="0"/>
        <v>2.4700000000000002</v>
      </c>
      <c r="G106" s="183">
        <f t="shared" si="0"/>
        <v>7.94</v>
      </c>
      <c r="H106" s="183">
        <f t="shared" si="0"/>
        <v>3.67</v>
      </c>
      <c r="I106" s="183">
        <f t="shared" si="0"/>
        <v>3.55</v>
      </c>
      <c r="J106" s="183">
        <f t="shared" si="0"/>
        <v>-0.86</v>
      </c>
      <c r="K106" s="183">
        <f t="shared" si="0"/>
        <v>0.14000000000000001</v>
      </c>
      <c r="L106" s="183">
        <f t="shared" si="0"/>
        <v>24.51</v>
      </c>
      <c r="M106" s="183">
        <f t="shared" si="0"/>
        <v>93.32</v>
      </c>
      <c r="N106" s="183">
        <f t="shared" si="0"/>
        <v>2.1</v>
      </c>
      <c r="O106" s="183">
        <f t="shared" si="0"/>
        <v>0</v>
      </c>
      <c r="P106" s="183">
        <f t="shared" si="0"/>
        <v>0.26</v>
      </c>
      <c r="Q106" s="183">
        <f t="shared" si="0"/>
        <v>4.58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9.4600000000000009</v>
      </c>
      <c r="C107" s="184">
        <f t="shared" ref="C107:Q107" si="1">MAX(C9:C104)</f>
        <v>4.1399999999999997</v>
      </c>
      <c r="D107" s="184">
        <f t="shared" si="1"/>
        <v>14.15</v>
      </c>
      <c r="E107" s="184">
        <f t="shared" si="1"/>
        <v>12.69</v>
      </c>
      <c r="F107" s="184">
        <f t="shared" si="1"/>
        <v>11.85</v>
      </c>
      <c r="G107" s="184">
        <f t="shared" si="1"/>
        <v>39.74</v>
      </c>
      <c r="H107" s="184">
        <f t="shared" si="1"/>
        <v>35.159999999999997</v>
      </c>
      <c r="I107" s="184">
        <f t="shared" si="1"/>
        <v>7.39</v>
      </c>
      <c r="J107" s="184">
        <f t="shared" si="1"/>
        <v>1.07</v>
      </c>
      <c r="K107" s="184">
        <f t="shared" si="1"/>
        <v>285.69</v>
      </c>
      <c r="L107" s="184">
        <f t="shared" si="1"/>
        <v>27.64</v>
      </c>
      <c r="M107" s="184">
        <f t="shared" si="1"/>
        <v>106.95</v>
      </c>
      <c r="N107" s="184">
        <f t="shared" si="1"/>
        <v>384</v>
      </c>
      <c r="O107" s="184">
        <f t="shared" si="1"/>
        <v>1.8</v>
      </c>
      <c r="P107" s="184">
        <f t="shared" si="1"/>
        <v>0.67</v>
      </c>
      <c r="Q107" s="184">
        <f t="shared" si="1"/>
        <v>4.75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9.3048958333333349</v>
      </c>
      <c r="C108" s="183">
        <f t="shared" ref="C108:Q108" si="2">AVERAGE(C9:C104)</f>
        <v>4.0843750000000005</v>
      </c>
      <c r="D108" s="183">
        <f t="shared" si="2"/>
        <v>14.04531249999998</v>
      </c>
      <c r="E108" s="183">
        <f t="shared" si="2"/>
        <v>10.252187499999998</v>
      </c>
      <c r="F108" s="183">
        <f t="shared" si="2"/>
        <v>4.3972916666666659</v>
      </c>
      <c r="G108" s="183">
        <f t="shared" si="2"/>
        <v>19.489662921348323</v>
      </c>
      <c r="H108" s="183">
        <f t="shared" si="2"/>
        <v>9.3659550561797733</v>
      </c>
      <c r="I108" s="183">
        <f t="shared" si="2"/>
        <v>4.854166666666667</v>
      </c>
      <c r="J108" s="183">
        <f t="shared" si="2"/>
        <v>0.62854166666666667</v>
      </c>
      <c r="K108" s="183">
        <f t="shared" si="2"/>
        <v>274.13875000000002</v>
      </c>
      <c r="L108" s="183">
        <f t="shared" si="2"/>
        <v>25.674166666666675</v>
      </c>
      <c r="M108" s="183">
        <f t="shared" si="2"/>
        <v>100.25968749999998</v>
      </c>
      <c r="N108" s="183">
        <f t="shared" si="2"/>
        <v>41.504166666666684</v>
      </c>
      <c r="O108" s="183">
        <f t="shared" si="2"/>
        <v>8.7500000000000008E-2</v>
      </c>
      <c r="P108" s="183">
        <f t="shared" si="2"/>
        <v>0.4181249999999998</v>
      </c>
      <c r="Q108" s="183">
        <f t="shared" si="2"/>
        <v>4.6959374999999977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7.2981537559586904E-2</v>
      </c>
      <c r="C109" s="183">
        <f t="shared" ref="C109:Q109" si="3">STDEV(C9:C104)</f>
        <v>2.4913006537486466E-2</v>
      </c>
      <c r="D109" s="183">
        <f t="shared" si="3"/>
        <v>5.1379969986264894E-2</v>
      </c>
      <c r="E109" s="183">
        <f t="shared" si="3"/>
        <v>1.4006075396995197</v>
      </c>
      <c r="F109" s="183">
        <f t="shared" si="3"/>
        <v>2.0978226703275817</v>
      </c>
      <c r="G109" s="183">
        <f t="shared" si="3"/>
        <v>8.4449521567940966</v>
      </c>
      <c r="H109" s="183">
        <f t="shared" si="3"/>
        <v>7.0796078343977724</v>
      </c>
      <c r="I109" s="183">
        <f t="shared" si="3"/>
        <v>1.0286963304838259</v>
      </c>
      <c r="J109" s="183">
        <f t="shared" si="3"/>
        <v>0.23619340499134109</v>
      </c>
      <c r="K109" s="183">
        <f t="shared" si="3"/>
        <v>28.402892523196062</v>
      </c>
      <c r="L109" s="183">
        <f t="shared" si="3"/>
        <v>0.86413286827582514</v>
      </c>
      <c r="M109" s="183">
        <f t="shared" si="3"/>
        <v>3.3639627174629618</v>
      </c>
      <c r="N109" s="183">
        <f t="shared" si="3"/>
        <v>68.220989078708001</v>
      </c>
      <c r="O109" s="183">
        <f t="shared" si="3"/>
        <v>0.2899183188053962</v>
      </c>
      <c r="P109" s="183">
        <f t="shared" si="3"/>
        <v>0.10862114265454578</v>
      </c>
      <c r="Q109" s="183">
        <f t="shared" si="3"/>
        <v>4.1790911250628428E-2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45501.010416666664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45501.010416666664</v>
      </c>
      <c r="B9" s="112">
        <v>9.2200000000000006</v>
      </c>
      <c r="C9" s="112">
        <v>4.13</v>
      </c>
      <c r="D9" s="112">
        <v>14</v>
      </c>
      <c r="E9" s="112">
        <v>11.61</v>
      </c>
      <c r="F9" s="112">
        <v>2.2000000000000002</v>
      </c>
      <c r="G9" s="112">
        <v>14.69</v>
      </c>
      <c r="H9" s="112">
        <v>4.08</v>
      </c>
      <c r="I9" s="112">
        <v>3.77</v>
      </c>
      <c r="J9" s="112">
        <v>0.7</v>
      </c>
      <c r="K9" s="112">
        <v>275.51</v>
      </c>
      <c r="L9" s="112">
        <v>25.36</v>
      </c>
      <c r="M9" s="112">
        <v>102.12</v>
      </c>
      <c r="N9" s="112">
        <v>2.5</v>
      </c>
      <c r="O9" s="112">
        <v>0</v>
      </c>
      <c r="P9" s="112">
        <v>0.37</v>
      </c>
      <c r="Q9" s="112">
        <v>4.66</v>
      </c>
    </row>
    <row r="10" spans="1:21" customFormat="1">
      <c r="A10" s="80">
        <v>45501.020833333336</v>
      </c>
      <c r="B10" s="112">
        <v>9.26</v>
      </c>
      <c r="C10" s="112">
        <v>4.08</v>
      </c>
      <c r="D10" s="112">
        <v>14.01</v>
      </c>
      <c r="E10" s="112">
        <v>11.53</v>
      </c>
      <c r="F10" s="112">
        <v>2.79</v>
      </c>
      <c r="G10" s="112">
        <v>14.69</v>
      </c>
      <c r="H10" s="112">
        <v>4.08</v>
      </c>
      <c r="I10" s="112">
        <v>3.72</v>
      </c>
      <c r="J10" s="112">
        <v>0.64</v>
      </c>
      <c r="K10" s="112">
        <v>273.99</v>
      </c>
      <c r="L10" s="112">
        <v>25.35</v>
      </c>
      <c r="M10" s="112">
        <v>102.8</v>
      </c>
      <c r="N10" s="112">
        <v>2.6</v>
      </c>
      <c r="O10" s="112">
        <v>0</v>
      </c>
      <c r="P10" s="112">
        <v>0.37</v>
      </c>
      <c r="Q10" s="112">
        <v>4.6399999999999997</v>
      </c>
    </row>
    <row r="11" spans="1:21" customFormat="1">
      <c r="A11" s="80">
        <v>45501.03125</v>
      </c>
      <c r="B11" s="112">
        <v>9.27</v>
      </c>
      <c r="C11" s="112">
        <v>4.08</v>
      </c>
      <c r="D11" s="112">
        <v>14.02</v>
      </c>
      <c r="E11" s="112">
        <v>11.88</v>
      </c>
      <c r="F11" s="112">
        <v>3.59</v>
      </c>
      <c r="G11" s="112">
        <v>14.32</v>
      </c>
      <c r="H11" s="112">
        <v>5.22</v>
      </c>
      <c r="I11" s="112">
        <v>3.64</v>
      </c>
      <c r="J11" s="112">
        <v>0.62</v>
      </c>
      <c r="K11" s="112">
        <v>278.41000000000003</v>
      </c>
      <c r="L11" s="112">
        <v>25.4</v>
      </c>
      <c r="M11" s="112">
        <v>104.69</v>
      </c>
      <c r="N11" s="112">
        <v>2.8</v>
      </c>
      <c r="O11" s="112">
        <v>0</v>
      </c>
      <c r="P11" s="112">
        <v>0.38</v>
      </c>
      <c r="Q11" s="112">
        <v>4.6500000000000004</v>
      </c>
    </row>
    <row r="12" spans="1:21" customFormat="1">
      <c r="A12" s="80">
        <v>45501.041666666664</v>
      </c>
      <c r="B12" s="112">
        <v>9.2799999999999994</v>
      </c>
      <c r="C12" s="112">
        <v>4.0999999999999996</v>
      </c>
      <c r="D12" s="112">
        <v>14.03</v>
      </c>
      <c r="E12" s="112">
        <v>12.02</v>
      </c>
      <c r="F12" s="112">
        <v>3.15</v>
      </c>
      <c r="G12" s="112">
        <v>13.76</v>
      </c>
      <c r="H12" s="112">
        <v>6.29</v>
      </c>
      <c r="I12" s="112">
        <v>3.61</v>
      </c>
      <c r="J12" s="112">
        <v>0.75</v>
      </c>
      <c r="K12" s="112">
        <v>278.45</v>
      </c>
      <c r="L12" s="112">
        <v>25.36</v>
      </c>
      <c r="M12" s="112">
        <v>103.07</v>
      </c>
      <c r="N12" s="112">
        <v>2.9</v>
      </c>
      <c r="O12" s="112">
        <v>0</v>
      </c>
      <c r="P12" s="112">
        <v>0.4</v>
      </c>
      <c r="Q12" s="112">
        <v>4.66</v>
      </c>
    </row>
    <row r="13" spans="1:21" customFormat="1">
      <c r="A13" s="80">
        <v>45501.052083333336</v>
      </c>
      <c r="B13" s="112">
        <v>9.33</v>
      </c>
      <c r="C13" s="112">
        <v>4.09</v>
      </c>
      <c r="D13" s="112">
        <v>14.07</v>
      </c>
      <c r="E13" s="112">
        <v>11.64</v>
      </c>
      <c r="F13" s="112">
        <v>3.55</v>
      </c>
      <c r="G13" s="112">
        <v>13.76</v>
      </c>
      <c r="H13" s="112">
        <v>6.29</v>
      </c>
      <c r="I13" s="112">
        <v>3.65</v>
      </c>
      <c r="J13" s="112">
        <v>0.62</v>
      </c>
      <c r="K13" s="112">
        <v>276.7</v>
      </c>
      <c r="L13" s="112">
        <v>25.42</v>
      </c>
      <c r="M13" s="112">
        <v>100.99</v>
      </c>
      <c r="N13" s="112">
        <v>2.9</v>
      </c>
      <c r="O13" s="112">
        <v>0</v>
      </c>
      <c r="P13" s="112">
        <v>0.4</v>
      </c>
      <c r="Q13" s="112">
        <v>4.6500000000000004</v>
      </c>
    </row>
    <row r="14" spans="1:21" customFormat="1">
      <c r="A14" s="80">
        <v>45501.0625</v>
      </c>
      <c r="B14" s="112">
        <v>9.3800000000000008</v>
      </c>
      <c r="C14" s="112">
        <v>4.07</v>
      </c>
      <c r="D14" s="112">
        <v>14.09</v>
      </c>
      <c r="E14" s="112">
        <v>10.98</v>
      </c>
      <c r="F14" s="112">
        <v>3.73</v>
      </c>
      <c r="G14" s="112">
        <v>13.76</v>
      </c>
      <c r="H14" s="112">
        <v>6.29</v>
      </c>
      <c r="I14" s="112">
        <v>3.64</v>
      </c>
      <c r="J14" s="112">
        <v>0.71</v>
      </c>
      <c r="K14" s="112">
        <v>275.73</v>
      </c>
      <c r="L14" s="112">
        <v>25.4</v>
      </c>
      <c r="M14" s="112">
        <v>99.44</v>
      </c>
      <c r="N14" s="112">
        <v>2.8</v>
      </c>
      <c r="O14" s="112">
        <v>0</v>
      </c>
      <c r="P14" s="112">
        <v>0.4</v>
      </c>
      <c r="Q14" s="112">
        <v>4.6500000000000004</v>
      </c>
    </row>
    <row r="15" spans="1:21" customFormat="1">
      <c r="A15" s="80">
        <v>45501.072916666664</v>
      </c>
      <c r="B15" s="112">
        <v>9.3699999999999992</v>
      </c>
      <c r="C15" s="112">
        <v>4.08</v>
      </c>
      <c r="D15" s="112">
        <v>14.09</v>
      </c>
      <c r="E15" s="112">
        <v>10.59</v>
      </c>
      <c r="F15" s="112">
        <v>3.85</v>
      </c>
      <c r="G15" s="112">
        <v>13.71</v>
      </c>
      <c r="H15" s="112">
        <v>5.57</v>
      </c>
      <c r="I15" s="112">
        <v>3.63</v>
      </c>
      <c r="J15" s="112">
        <v>0.66</v>
      </c>
      <c r="K15" s="112">
        <v>279.55</v>
      </c>
      <c r="L15" s="112">
        <v>25.4</v>
      </c>
      <c r="M15" s="112">
        <v>101.77</v>
      </c>
      <c r="N15" s="112">
        <v>2.8</v>
      </c>
      <c r="O15" s="112">
        <v>0</v>
      </c>
      <c r="P15" s="112">
        <v>0.4</v>
      </c>
      <c r="Q15" s="112">
        <v>4.6500000000000004</v>
      </c>
    </row>
    <row r="16" spans="1:21" customFormat="1">
      <c r="A16" s="80">
        <v>45501.083333333336</v>
      </c>
      <c r="B16" s="112">
        <v>9.33</v>
      </c>
      <c r="C16" s="112">
        <v>4.08</v>
      </c>
      <c r="D16" s="112">
        <v>14.07</v>
      </c>
      <c r="E16" s="112">
        <v>10.37</v>
      </c>
      <c r="F16" s="112">
        <v>3.73</v>
      </c>
      <c r="G16" s="112">
        <v>13.64</v>
      </c>
      <c r="H16" s="112">
        <v>4.8899999999999997</v>
      </c>
      <c r="I16" s="112">
        <v>3.61</v>
      </c>
      <c r="J16" s="112">
        <v>0.76</v>
      </c>
      <c r="K16" s="112">
        <v>280.11</v>
      </c>
      <c r="L16" s="112">
        <v>25.4</v>
      </c>
      <c r="M16" s="112">
        <v>101.5</v>
      </c>
      <c r="N16" s="112">
        <v>2.7</v>
      </c>
      <c r="O16" s="112">
        <v>0</v>
      </c>
      <c r="P16" s="112">
        <v>0.39</v>
      </c>
      <c r="Q16" s="112">
        <v>4.6500000000000004</v>
      </c>
    </row>
    <row r="17" spans="1:17" customFormat="1">
      <c r="A17" s="80">
        <v>45501.09375</v>
      </c>
      <c r="B17" s="112">
        <v>9.32</v>
      </c>
      <c r="C17" s="112">
        <v>4.08</v>
      </c>
      <c r="D17" s="112">
        <v>14.06</v>
      </c>
      <c r="E17" s="112">
        <v>8.9</v>
      </c>
      <c r="F17" s="112">
        <v>3.73</v>
      </c>
      <c r="G17" s="112">
        <v>13.64</v>
      </c>
      <c r="H17" s="112">
        <v>4.8899999999999997</v>
      </c>
      <c r="I17" s="112">
        <v>3.58</v>
      </c>
      <c r="J17" s="112">
        <v>0.86</v>
      </c>
      <c r="K17" s="112">
        <v>278.16000000000003</v>
      </c>
      <c r="L17" s="112">
        <v>25.39</v>
      </c>
      <c r="M17" s="112">
        <v>99.89</v>
      </c>
      <c r="N17" s="112">
        <v>2.6</v>
      </c>
      <c r="O17" s="112">
        <v>0</v>
      </c>
      <c r="P17" s="112">
        <v>0.39</v>
      </c>
      <c r="Q17" s="112">
        <v>4.6399999999999997</v>
      </c>
    </row>
    <row r="18" spans="1:17" customFormat="1">
      <c r="A18" s="80">
        <v>45501.104166666664</v>
      </c>
      <c r="B18" s="112">
        <v>9.3000000000000007</v>
      </c>
      <c r="C18" s="112">
        <v>4.09</v>
      </c>
      <c r="D18" s="112">
        <v>14.04</v>
      </c>
      <c r="E18" s="112">
        <v>10.37</v>
      </c>
      <c r="F18" s="112">
        <v>3.85</v>
      </c>
      <c r="G18" s="112">
        <v>13.64</v>
      </c>
      <c r="H18" s="112">
        <v>4.8899999999999997</v>
      </c>
      <c r="I18" s="112">
        <v>3.58</v>
      </c>
      <c r="J18" s="112">
        <v>0.72</v>
      </c>
      <c r="K18" s="112">
        <v>276.52</v>
      </c>
      <c r="L18" s="112">
        <v>25.41</v>
      </c>
      <c r="M18" s="112">
        <v>98.8</v>
      </c>
      <c r="N18" s="112">
        <v>2.4</v>
      </c>
      <c r="O18" s="112">
        <v>0</v>
      </c>
      <c r="P18" s="112">
        <v>0.39</v>
      </c>
      <c r="Q18" s="112">
        <v>4.6500000000000004</v>
      </c>
    </row>
    <row r="19" spans="1:17" customFormat="1">
      <c r="A19" s="80">
        <v>45501.114583333336</v>
      </c>
      <c r="B19" s="112">
        <v>9.32</v>
      </c>
      <c r="C19" s="112">
        <v>4.07</v>
      </c>
      <c r="D19" s="112">
        <v>14.05</v>
      </c>
      <c r="E19" s="112">
        <v>10.37</v>
      </c>
      <c r="F19" s="112">
        <v>3.98</v>
      </c>
      <c r="G19" s="112">
        <v>13.36</v>
      </c>
      <c r="H19" s="112">
        <v>4.7699999999999996</v>
      </c>
      <c r="I19" s="112">
        <v>3.56</v>
      </c>
      <c r="J19" s="112">
        <v>0.86</v>
      </c>
      <c r="K19" s="112">
        <v>277.98</v>
      </c>
      <c r="L19" s="112">
        <v>25.36</v>
      </c>
      <c r="M19" s="112">
        <v>100.25</v>
      </c>
      <c r="N19" s="112">
        <v>2.5</v>
      </c>
      <c r="O19" s="112">
        <v>0</v>
      </c>
      <c r="P19" s="112">
        <v>0.39</v>
      </c>
      <c r="Q19" s="112">
        <v>4.6500000000000004</v>
      </c>
    </row>
    <row r="20" spans="1:17" customFormat="1">
      <c r="A20" s="80">
        <v>45501.125</v>
      </c>
      <c r="B20" s="112">
        <v>9.32</v>
      </c>
      <c r="C20" s="112">
        <v>4.0999999999999996</v>
      </c>
      <c r="D20" s="112">
        <v>14.06</v>
      </c>
      <c r="E20" s="112">
        <v>10.220000000000001</v>
      </c>
      <c r="F20" s="112">
        <v>4.01</v>
      </c>
      <c r="G20" s="112">
        <v>12.93</v>
      </c>
      <c r="H20" s="112">
        <v>4.37</v>
      </c>
      <c r="I20" s="112">
        <v>3.55</v>
      </c>
      <c r="J20" s="112">
        <v>0.69</v>
      </c>
      <c r="K20" s="112">
        <v>280.38</v>
      </c>
      <c r="L20" s="112">
        <v>25.34</v>
      </c>
      <c r="M20" s="112">
        <v>99.14</v>
      </c>
      <c r="N20" s="112">
        <v>2.5</v>
      </c>
      <c r="O20" s="112">
        <v>0</v>
      </c>
      <c r="P20" s="112">
        <v>0.37</v>
      </c>
      <c r="Q20" s="112">
        <v>4.6500000000000004</v>
      </c>
    </row>
    <row r="21" spans="1:17" customFormat="1">
      <c r="A21" s="80">
        <v>45501.135416666664</v>
      </c>
      <c r="B21" s="112">
        <v>9.32</v>
      </c>
      <c r="C21" s="112">
        <v>4.09</v>
      </c>
      <c r="D21" s="112">
        <v>14.06</v>
      </c>
      <c r="E21" s="112">
        <v>10.38</v>
      </c>
      <c r="F21" s="112">
        <v>3.86</v>
      </c>
      <c r="G21" s="112">
        <v>12.93</v>
      </c>
      <c r="H21" s="112">
        <v>4.37</v>
      </c>
      <c r="I21" s="112">
        <v>3.51</v>
      </c>
      <c r="J21" s="112">
        <v>0.84</v>
      </c>
      <c r="K21" s="112">
        <v>277.44</v>
      </c>
      <c r="L21" s="112">
        <v>25.29</v>
      </c>
      <c r="M21" s="112">
        <v>100.36</v>
      </c>
      <c r="N21" s="112">
        <v>2.4</v>
      </c>
      <c r="O21" s="112">
        <v>0</v>
      </c>
      <c r="P21" s="112">
        <v>0.37</v>
      </c>
      <c r="Q21" s="112">
        <v>4.6500000000000004</v>
      </c>
    </row>
    <row r="22" spans="1:17" customFormat="1">
      <c r="A22" s="80">
        <v>45501.145833333336</v>
      </c>
      <c r="B22" s="112">
        <v>9.33</v>
      </c>
      <c r="C22" s="112">
        <v>4.08</v>
      </c>
      <c r="D22" s="112">
        <v>14.06</v>
      </c>
      <c r="E22" s="112">
        <v>10.29</v>
      </c>
      <c r="F22" s="112">
        <v>3.55</v>
      </c>
      <c r="G22" s="112">
        <v>12.93</v>
      </c>
      <c r="H22" s="112">
        <v>4.37</v>
      </c>
      <c r="I22" s="112">
        <v>3.53</v>
      </c>
      <c r="J22" s="112">
        <v>0.85</v>
      </c>
      <c r="K22" s="112">
        <v>278.35000000000002</v>
      </c>
      <c r="L22" s="112">
        <v>25.26</v>
      </c>
      <c r="M22" s="112">
        <v>99.09</v>
      </c>
      <c r="N22" s="112">
        <v>2.5</v>
      </c>
      <c r="O22" s="112">
        <v>0</v>
      </c>
      <c r="P22" s="112">
        <v>0.37</v>
      </c>
      <c r="Q22" s="112">
        <v>4.6399999999999997</v>
      </c>
    </row>
    <row r="23" spans="1:17" customFormat="1">
      <c r="A23" s="80">
        <v>45501.15625</v>
      </c>
      <c r="B23" s="112">
        <v>9.33</v>
      </c>
      <c r="C23" s="112">
        <v>4.07</v>
      </c>
      <c r="D23" s="112">
        <v>14.06</v>
      </c>
      <c r="E23" s="112">
        <v>9.91</v>
      </c>
      <c r="F23" s="112">
        <v>3.61</v>
      </c>
      <c r="G23" s="112">
        <v>11.44</v>
      </c>
      <c r="H23" s="112">
        <v>4.04</v>
      </c>
      <c r="I23" s="112">
        <v>3.51</v>
      </c>
      <c r="J23" s="112">
        <v>0.73</v>
      </c>
      <c r="K23" s="112">
        <v>278.75</v>
      </c>
      <c r="L23" s="112">
        <v>25.25</v>
      </c>
      <c r="M23" s="112">
        <v>101.16</v>
      </c>
      <c r="N23" s="112">
        <v>2.4</v>
      </c>
      <c r="O23" s="112">
        <v>0</v>
      </c>
      <c r="P23" s="112">
        <v>0.37</v>
      </c>
      <c r="Q23" s="112">
        <v>4.6500000000000004</v>
      </c>
    </row>
    <row r="24" spans="1:17" customFormat="1">
      <c r="A24" s="80">
        <v>45501.166666666664</v>
      </c>
      <c r="B24" s="112">
        <v>9.35</v>
      </c>
      <c r="C24" s="112">
        <v>4.08</v>
      </c>
      <c r="D24" s="112">
        <v>14.08</v>
      </c>
      <c r="E24" s="112">
        <v>10.130000000000001</v>
      </c>
      <c r="F24" s="112">
        <v>3.77</v>
      </c>
      <c r="G24" s="112">
        <v>9.09</v>
      </c>
      <c r="H24" s="112">
        <v>3.73</v>
      </c>
      <c r="I24" s="112">
        <v>3.44</v>
      </c>
      <c r="J24" s="112">
        <v>0.78</v>
      </c>
      <c r="K24" s="112">
        <v>277.72000000000003</v>
      </c>
      <c r="L24" s="112">
        <v>25.19</v>
      </c>
      <c r="M24" s="112">
        <v>100.94</v>
      </c>
      <c r="N24" s="112">
        <v>2.5</v>
      </c>
      <c r="O24" s="112">
        <v>0</v>
      </c>
      <c r="P24" s="112">
        <v>0.36</v>
      </c>
      <c r="Q24" s="112">
        <v>4.6399999999999997</v>
      </c>
    </row>
    <row r="25" spans="1:17" customFormat="1">
      <c r="A25" s="80">
        <v>45501.177083333336</v>
      </c>
      <c r="B25" s="112">
        <v>9.3699999999999992</v>
      </c>
      <c r="C25" s="112">
        <v>4.08</v>
      </c>
      <c r="D25" s="112">
        <v>14.09</v>
      </c>
      <c r="E25" s="112">
        <v>10.02</v>
      </c>
      <c r="F25" s="112">
        <v>3.74</v>
      </c>
      <c r="G25" s="112">
        <v>9.09</v>
      </c>
      <c r="H25" s="112">
        <v>3.73</v>
      </c>
      <c r="I25" s="112">
        <v>3.44</v>
      </c>
      <c r="J25" s="112">
        <v>0.85</v>
      </c>
      <c r="K25" s="112">
        <v>278.44</v>
      </c>
      <c r="L25" s="112">
        <v>25.11</v>
      </c>
      <c r="M25" s="112">
        <v>101.74</v>
      </c>
      <c r="N25" s="112">
        <v>2.7</v>
      </c>
      <c r="O25" s="112">
        <v>0.2</v>
      </c>
      <c r="P25" s="112">
        <v>0.37</v>
      </c>
      <c r="Q25" s="112">
        <v>4.6500000000000004</v>
      </c>
    </row>
    <row r="26" spans="1:17" customFormat="1">
      <c r="A26" s="80">
        <v>45501.1875</v>
      </c>
      <c r="B26" s="112">
        <v>9.3699999999999992</v>
      </c>
      <c r="C26" s="112">
        <v>4.08</v>
      </c>
      <c r="D26" s="112">
        <v>14.1</v>
      </c>
      <c r="E26" s="112">
        <v>9.77</v>
      </c>
      <c r="F26" s="112">
        <v>3.63</v>
      </c>
      <c r="G26" s="112">
        <v>9.09</v>
      </c>
      <c r="H26" s="112">
        <v>3.73</v>
      </c>
      <c r="I26" s="112">
        <v>3.42</v>
      </c>
      <c r="J26" s="112">
        <v>0.61</v>
      </c>
      <c r="K26" s="112">
        <v>279.64999999999998</v>
      </c>
      <c r="L26" s="112">
        <v>24.83</v>
      </c>
      <c r="M26" s="112">
        <v>102.72</v>
      </c>
      <c r="N26" s="112">
        <v>2.6</v>
      </c>
      <c r="O26" s="112">
        <v>0</v>
      </c>
      <c r="P26" s="112">
        <v>0.36</v>
      </c>
      <c r="Q26" s="112">
        <v>4.6500000000000004</v>
      </c>
    </row>
    <row r="27" spans="1:17" customFormat="1">
      <c r="A27" s="80">
        <v>45501.197916666664</v>
      </c>
      <c r="B27" s="112">
        <v>9.3699999999999992</v>
      </c>
      <c r="C27" s="112">
        <v>4.07</v>
      </c>
      <c r="D27" s="112">
        <v>14.09</v>
      </c>
      <c r="E27" s="112">
        <v>9.81</v>
      </c>
      <c r="F27" s="112">
        <v>3.8</v>
      </c>
      <c r="G27" s="112">
        <v>11.02</v>
      </c>
      <c r="H27" s="112">
        <v>3.63</v>
      </c>
      <c r="I27" s="112">
        <v>3.44</v>
      </c>
      <c r="J27" s="112">
        <v>0.73</v>
      </c>
      <c r="K27" s="112">
        <v>278.64</v>
      </c>
      <c r="L27" s="112">
        <v>24.79</v>
      </c>
      <c r="M27" s="112">
        <v>103.07</v>
      </c>
      <c r="N27" s="112">
        <v>2.7</v>
      </c>
      <c r="O27" s="112">
        <v>0</v>
      </c>
      <c r="P27" s="112">
        <v>0.36</v>
      </c>
      <c r="Q27" s="112">
        <v>4.66</v>
      </c>
    </row>
    <row r="28" spans="1:17" customFormat="1">
      <c r="A28" s="80">
        <v>45501.208333333336</v>
      </c>
      <c r="B28" s="112">
        <v>9.3800000000000008</v>
      </c>
      <c r="C28" s="112">
        <v>4.08</v>
      </c>
      <c r="D28" s="112">
        <v>14.1</v>
      </c>
      <c r="E28" s="112">
        <v>9.6199999999999992</v>
      </c>
      <c r="F28" s="112">
        <v>3.66</v>
      </c>
      <c r="G28" s="112">
        <v>14.05</v>
      </c>
      <c r="H28" s="112">
        <v>3.54</v>
      </c>
      <c r="I28" s="112">
        <v>3.61</v>
      </c>
      <c r="J28" s="112">
        <v>0.72</v>
      </c>
      <c r="K28" s="112">
        <v>279.25</v>
      </c>
      <c r="L28" s="112">
        <v>24.78</v>
      </c>
      <c r="M28" s="112">
        <v>103.12</v>
      </c>
      <c r="N28" s="112">
        <v>2.5</v>
      </c>
      <c r="O28" s="112">
        <v>0</v>
      </c>
      <c r="P28" s="112">
        <v>0.36</v>
      </c>
      <c r="Q28" s="112">
        <v>4.67</v>
      </c>
    </row>
    <row r="29" spans="1:17" customFormat="1">
      <c r="A29" s="80">
        <v>45501.21875</v>
      </c>
      <c r="B29" s="112">
        <v>9.3699999999999992</v>
      </c>
      <c r="C29" s="112">
        <v>4.08</v>
      </c>
      <c r="D29" s="112">
        <v>14.09</v>
      </c>
      <c r="E29" s="112">
        <v>9.65</v>
      </c>
      <c r="F29" s="112">
        <v>3.4</v>
      </c>
      <c r="G29" s="112">
        <v>14.05</v>
      </c>
      <c r="H29" s="112">
        <v>3.54</v>
      </c>
      <c r="I29" s="112">
        <v>3.4</v>
      </c>
      <c r="J29" s="112">
        <v>0.6</v>
      </c>
      <c r="K29" s="112">
        <v>276.26</v>
      </c>
      <c r="L29" s="112">
        <v>24.75</v>
      </c>
      <c r="M29" s="112">
        <v>101.99</v>
      </c>
      <c r="N29" s="112">
        <v>2.5</v>
      </c>
      <c r="O29" s="112">
        <v>0</v>
      </c>
      <c r="P29" s="112">
        <v>0.36</v>
      </c>
      <c r="Q29" s="112">
        <v>4.66</v>
      </c>
    </row>
    <row r="30" spans="1:17" customFormat="1">
      <c r="A30" s="80">
        <v>45501.229166666664</v>
      </c>
      <c r="B30" s="112">
        <v>9.3699999999999992</v>
      </c>
      <c r="C30" s="112">
        <v>4.1100000000000003</v>
      </c>
      <c r="D30" s="112">
        <v>14.11</v>
      </c>
      <c r="E30" s="112">
        <v>9.41</v>
      </c>
      <c r="F30" s="112">
        <v>3.42</v>
      </c>
      <c r="G30" s="112">
        <v>14.05</v>
      </c>
      <c r="H30" s="112">
        <v>3.54</v>
      </c>
      <c r="I30" s="112">
        <v>3.36</v>
      </c>
      <c r="J30" s="112">
        <v>0.61</v>
      </c>
      <c r="K30" s="112">
        <v>278.83</v>
      </c>
      <c r="L30" s="112">
        <v>24.76</v>
      </c>
      <c r="M30" s="112">
        <v>107.1</v>
      </c>
      <c r="N30" s="112">
        <v>2.7</v>
      </c>
      <c r="O30" s="112">
        <v>0.2</v>
      </c>
      <c r="P30" s="112">
        <v>0.32</v>
      </c>
      <c r="Q30" s="112">
        <v>4.6500000000000004</v>
      </c>
    </row>
    <row r="31" spans="1:17" customFormat="1">
      <c r="A31" s="80">
        <v>45501.239583333336</v>
      </c>
      <c r="B31" s="112">
        <v>9.39</v>
      </c>
      <c r="C31" s="112">
        <v>4.09</v>
      </c>
      <c r="D31" s="112">
        <v>14.12</v>
      </c>
      <c r="E31" s="112">
        <v>9.56</v>
      </c>
      <c r="F31" s="112">
        <v>3.77</v>
      </c>
      <c r="G31" s="112">
        <v>13.11</v>
      </c>
      <c r="H31" s="112">
        <v>3.52</v>
      </c>
      <c r="I31" s="112">
        <v>3.54</v>
      </c>
      <c r="J31" s="112">
        <v>0.56999999999999995</v>
      </c>
      <c r="K31" s="112">
        <v>273.33999999999997</v>
      </c>
      <c r="L31" s="112">
        <v>24.68</v>
      </c>
      <c r="M31" s="112">
        <v>104.91</v>
      </c>
      <c r="N31" s="112">
        <v>3.7</v>
      </c>
      <c r="O31" s="112">
        <v>0</v>
      </c>
      <c r="P31" s="112">
        <v>0.31</v>
      </c>
      <c r="Q31" s="112">
        <v>4.6399999999999997</v>
      </c>
    </row>
    <row r="32" spans="1:17" customFormat="1">
      <c r="A32" s="80">
        <v>45501.25</v>
      </c>
      <c r="B32" s="112">
        <v>9.39</v>
      </c>
      <c r="C32" s="112">
        <v>4.07</v>
      </c>
      <c r="D32" s="112">
        <v>14.11</v>
      </c>
      <c r="E32" s="112">
        <v>9.6199999999999992</v>
      </c>
      <c r="F32" s="112">
        <v>3.53</v>
      </c>
      <c r="G32" s="112">
        <v>11.64</v>
      </c>
      <c r="H32" s="112">
        <v>3.49</v>
      </c>
      <c r="I32" s="112">
        <v>3.3</v>
      </c>
      <c r="J32" s="112">
        <v>0.69</v>
      </c>
      <c r="K32" s="112">
        <v>275.22000000000003</v>
      </c>
      <c r="L32" s="112">
        <v>24.66</v>
      </c>
      <c r="M32" s="112">
        <v>103.21</v>
      </c>
      <c r="N32" s="112">
        <v>5.7</v>
      </c>
      <c r="O32" s="112">
        <v>0</v>
      </c>
      <c r="P32" s="112">
        <v>0.31</v>
      </c>
      <c r="Q32" s="112">
        <v>4.66</v>
      </c>
    </row>
    <row r="33" spans="1:17" customFormat="1">
      <c r="A33" s="80">
        <v>45501.260416666664</v>
      </c>
      <c r="B33" s="112">
        <v>9.36</v>
      </c>
      <c r="C33" s="112">
        <v>4.07</v>
      </c>
      <c r="D33" s="112">
        <v>14.09</v>
      </c>
      <c r="E33" s="112">
        <v>10.35</v>
      </c>
      <c r="F33" s="112">
        <v>3.47</v>
      </c>
      <c r="G33" s="112">
        <v>11.64</v>
      </c>
      <c r="H33" s="112">
        <v>3.49</v>
      </c>
      <c r="I33" s="112">
        <v>3.41</v>
      </c>
      <c r="J33" s="112">
        <v>0.63</v>
      </c>
      <c r="K33" s="112">
        <v>276.13</v>
      </c>
      <c r="L33" s="112">
        <v>24.64</v>
      </c>
      <c r="M33" s="112">
        <v>101.4</v>
      </c>
      <c r="N33" s="112">
        <v>8.1999999999999993</v>
      </c>
      <c r="O33" s="112">
        <v>0</v>
      </c>
      <c r="P33" s="112">
        <v>0.3</v>
      </c>
      <c r="Q33" s="112">
        <v>4.6500000000000004</v>
      </c>
    </row>
    <row r="34" spans="1:17" customFormat="1">
      <c r="A34" s="80">
        <v>45501.270833333336</v>
      </c>
      <c r="B34" s="112">
        <v>9.3699999999999992</v>
      </c>
      <c r="C34" s="112">
        <v>4.04</v>
      </c>
      <c r="D34" s="112">
        <v>14.07</v>
      </c>
      <c r="E34" s="112">
        <v>10.3</v>
      </c>
      <c r="F34" s="112">
        <v>3.83</v>
      </c>
      <c r="G34" s="112">
        <v>11.64</v>
      </c>
      <c r="H34" s="112">
        <v>3.49</v>
      </c>
      <c r="I34" s="112">
        <v>3.43</v>
      </c>
      <c r="J34" s="112">
        <v>0.63</v>
      </c>
      <c r="K34" s="112">
        <v>276.43</v>
      </c>
      <c r="L34" s="112">
        <v>24.66</v>
      </c>
      <c r="M34" s="112">
        <v>101.64</v>
      </c>
      <c r="N34" s="112">
        <v>20.9</v>
      </c>
      <c r="O34" s="112">
        <v>0</v>
      </c>
      <c r="P34" s="112">
        <v>0.31</v>
      </c>
      <c r="Q34" s="112">
        <v>4.6500000000000004</v>
      </c>
    </row>
    <row r="35" spans="1:17" customFormat="1">
      <c r="A35" s="80">
        <v>45501.28125</v>
      </c>
      <c r="B35" s="112">
        <v>9.36</v>
      </c>
      <c r="C35" s="112">
        <v>4.05</v>
      </c>
      <c r="D35" s="112">
        <v>14.07</v>
      </c>
      <c r="E35" s="112">
        <v>10.64</v>
      </c>
      <c r="F35" s="112">
        <v>3.86</v>
      </c>
      <c r="G35" s="112">
        <v>10.28</v>
      </c>
      <c r="H35" s="112">
        <v>3.27</v>
      </c>
      <c r="I35" s="112">
        <v>3.21</v>
      </c>
      <c r="J35" s="112">
        <v>0.61</v>
      </c>
      <c r="K35" s="112">
        <v>274.13</v>
      </c>
      <c r="L35" s="112">
        <v>24.76</v>
      </c>
      <c r="M35" s="112">
        <v>103.09</v>
      </c>
      <c r="N35" s="112">
        <v>31</v>
      </c>
      <c r="O35" s="112">
        <v>0</v>
      </c>
      <c r="P35" s="112">
        <v>0.3</v>
      </c>
      <c r="Q35" s="112">
        <v>4.6500000000000004</v>
      </c>
    </row>
    <row r="36" spans="1:17" customFormat="1">
      <c r="A36" s="80">
        <v>45501.291666666664</v>
      </c>
      <c r="B36" s="112">
        <v>9.33</v>
      </c>
      <c r="C36" s="112">
        <v>4.0999999999999996</v>
      </c>
      <c r="D36" s="112">
        <v>14.07</v>
      </c>
      <c r="E36" s="112">
        <v>10.55</v>
      </c>
      <c r="F36" s="112">
        <v>3.69</v>
      </c>
      <c r="G36" s="112">
        <v>8.15</v>
      </c>
      <c r="H36" s="112">
        <v>3.06</v>
      </c>
      <c r="I36" s="112">
        <v>3.25</v>
      </c>
      <c r="J36" s="112">
        <v>0.64</v>
      </c>
      <c r="K36" s="112">
        <v>276.01</v>
      </c>
      <c r="L36" s="112">
        <v>24.8</v>
      </c>
      <c r="M36" s="112">
        <v>101.24</v>
      </c>
      <c r="N36" s="112">
        <v>27.2</v>
      </c>
      <c r="O36" s="112">
        <v>0</v>
      </c>
      <c r="P36" s="112">
        <v>0.31</v>
      </c>
      <c r="Q36" s="112">
        <v>4.66</v>
      </c>
    </row>
    <row r="37" spans="1:17" customFormat="1">
      <c r="A37" s="80">
        <v>45501.302083333336</v>
      </c>
      <c r="B37" s="112">
        <v>9.33</v>
      </c>
      <c r="C37" s="112">
        <v>4.08</v>
      </c>
      <c r="D37" s="112">
        <v>14.07</v>
      </c>
      <c r="E37" s="112">
        <v>10.36</v>
      </c>
      <c r="F37" s="112">
        <v>4.05</v>
      </c>
      <c r="G37" s="112">
        <v>8.15</v>
      </c>
      <c r="H37" s="112">
        <v>3.06</v>
      </c>
      <c r="I37" s="112">
        <v>3.28</v>
      </c>
      <c r="J37" s="112">
        <v>0.75</v>
      </c>
      <c r="K37" s="112">
        <v>275.25</v>
      </c>
      <c r="L37" s="112">
        <v>24.93</v>
      </c>
      <c r="M37" s="112">
        <v>99.62</v>
      </c>
      <c r="N37" s="112">
        <v>34</v>
      </c>
      <c r="O37" s="112">
        <v>0</v>
      </c>
      <c r="P37" s="112">
        <v>0.3</v>
      </c>
      <c r="Q37" s="112">
        <v>4.66</v>
      </c>
    </row>
    <row r="38" spans="1:17" customFormat="1">
      <c r="A38" s="80">
        <v>45501.3125</v>
      </c>
      <c r="B38" s="112">
        <v>9.33</v>
      </c>
      <c r="C38" s="112">
        <v>4.08</v>
      </c>
      <c r="D38" s="112">
        <v>14.06</v>
      </c>
      <c r="E38" s="112">
        <v>10.83</v>
      </c>
      <c r="F38" s="112">
        <v>3.73</v>
      </c>
      <c r="G38" s="112">
        <v>8.15</v>
      </c>
      <c r="H38" s="112">
        <v>3.06</v>
      </c>
      <c r="I38" s="112">
        <v>3.13</v>
      </c>
      <c r="J38" s="112">
        <v>0.62</v>
      </c>
      <c r="K38" s="112">
        <v>278.89999999999998</v>
      </c>
      <c r="L38" s="112">
        <v>24.91</v>
      </c>
      <c r="M38" s="112">
        <v>98.54</v>
      </c>
      <c r="N38" s="112">
        <v>26.8</v>
      </c>
      <c r="O38" s="112">
        <v>0</v>
      </c>
      <c r="P38" s="112">
        <v>0.3</v>
      </c>
      <c r="Q38" s="112">
        <v>4.6500000000000004</v>
      </c>
    </row>
    <row r="39" spans="1:17" customFormat="1">
      <c r="A39" s="80">
        <v>45501.322916666664</v>
      </c>
      <c r="B39" s="112">
        <v>9.33</v>
      </c>
      <c r="C39" s="112">
        <v>4.08</v>
      </c>
      <c r="D39" s="112">
        <v>14.07</v>
      </c>
      <c r="E39" s="112">
        <v>10.69</v>
      </c>
      <c r="F39" s="112">
        <v>3.42</v>
      </c>
      <c r="G39" s="112">
        <v>7.3</v>
      </c>
      <c r="H39" s="112">
        <v>2.98</v>
      </c>
      <c r="I39" s="112">
        <v>3.26</v>
      </c>
      <c r="J39" s="112">
        <v>0.78</v>
      </c>
      <c r="K39" s="112">
        <v>281.31</v>
      </c>
      <c r="L39" s="112">
        <v>24.91</v>
      </c>
      <c r="M39" s="112">
        <v>98.04</v>
      </c>
      <c r="N39" s="112">
        <v>29</v>
      </c>
      <c r="O39" s="112">
        <v>0</v>
      </c>
      <c r="P39" s="112">
        <v>0.31</v>
      </c>
      <c r="Q39" s="112">
        <v>4.67</v>
      </c>
    </row>
    <row r="40" spans="1:17" customFormat="1">
      <c r="A40" s="80">
        <v>45501.333333333336</v>
      </c>
      <c r="B40" s="112">
        <v>9.34</v>
      </c>
      <c r="C40" s="112">
        <v>4.07</v>
      </c>
      <c r="D40" s="112">
        <v>14.07</v>
      </c>
      <c r="E40" s="112">
        <v>11</v>
      </c>
      <c r="F40" s="112">
        <v>3.2</v>
      </c>
      <c r="G40" s="112">
        <v>5.97</v>
      </c>
      <c r="H40" s="112">
        <v>2.9</v>
      </c>
      <c r="I40" s="112">
        <v>3.26</v>
      </c>
      <c r="J40" s="112">
        <v>0.86</v>
      </c>
      <c r="K40" s="112">
        <v>280.16000000000003</v>
      </c>
      <c r="L40" s="112">
        <v>24.98</v>
      </c>
      <c r="M40" s="112">
        <v>97.47</v>
      </c>
      <c r="N40" s="112">
        <v>43.3</v>
      </c>
      <c r="O40" s="112">
        <v>0</v>
      </c>
      <c r="P40" s="112">
        <v>0.3</v>
      </c>
      <c r="Q40" s="112">
        <v>4.6399999999999997</v>
      </c>
    </row>
    <row r="41" spans="1:17" customFormat="1">
      <c r="A41" s="80">
        <v>45501.34375</v>
      </c>
      <c r="B41" s="112">
        <v>9.32</v>
      </c>
      <c r="C41" s="112">
        <v>4.0599999999999996</v>
      </c>
      <c r="D41" s="112">
        <v>14.04</v>
      </c>
      <c r="E41" s="112">
        <v>11.02</v>
      </c>
      <c r="F41" s="112">
        <v>3.32</v>
      </c>
      <c r="G41" s="112">
        <v>5.97</v>
      </c>
      <c r="H41" s="112">
        <v>2.9</v>
      </c>
      <c r="I41" s="112">
        <v>3.26</v>
      </c>
      <c r="J41" s="112">
        <v>0.76</v>
      </c>
      <c r="K41" s="112">
        <v>280.97000000000003</v>
      </c>
      <c r="L41" s="112">
        <v>25.15</v>
      </c>
      <c r="M41" s="112">
        <v>96.51</v>
      </c>
      <c r="N41" s="112">
        <v>55.8</v>
      </c>
      <c r="O41" s="112">
        <v>0</v>
      </c>
      <c r="P41" s="112">
        <v>0.28999999999999998</v>
      </c>
      <c r="Q41" s="112">
        <v>4.6399999999999997</v>
      </c>
    </row>
    <row r="42" spans="1:17" customFormat="1">
      <c r="A42" s="80">
        <v>45501.354166666664</v>
      </c>
      <c r="B42" s="112">
        <v>9.31</v>
      </c>
      <c r="C42" s="112">
        <v>4.04</v>
      </c>
      <c r="D42" s="112">
        <v>14.02</v>
      </c>
      <c r="E42" s="112">
        <v>10.93</v>
      </c>
      <c r="F42" s="112">
        <v>3.55</v>
      </c>
      <c r="G42" s="112">
        <v>5.97</v>
      </c>
      <c r="H42" s="112">
        <v>2.9</v>
      </c>
      <c r="I42" s="112">
        <v>3.26</v>
      </c>
      <c r="J42" s="112">
        <v>0.57999999999999996</v>
      </c>
      <c r="K42" s="112">
        <v>273.56</v>
      </c>
      <c r="L42" s="112">
        <v>25.32</v>
      </c>
      <c r="M42" s="112">
        <v>96.09</v>
      </c>
      <c r="N42" s="112">
        <v>39.5</v>
      </c>
      <c r="O42" s="112">
        <v>0</v>
      </c>
      <c r="P42" s="112">
        <v>0.3</v>
      </c>
      <c r="Q42" s="112">
        <v>4.6399999999999997</v>
      </c>
    </row>
    <row r="43" spans="1:17" customFormat="1">
      <c r="A43" s="80">
        <v>45501.364583333336</v>
      </c>
      <c r="B43" s="112">
        <v>9.3000000000000007</v>
      </c>
      <c r="C43" s="112">
        <v>4.0599999999999996</v>
      </c>
      <c r="D43" s="112">
        <v>14.03</v>
      </c>
      <c r="E43" s="112">
        <v>11.31</v>
      </c>
      <c r="F43" s="112">
        <v>3.51</v>
      </c>
      <c r="G43" s="112">
        <v>7.4</v>
      </c>
      <c r="H43" s="112">
        <v>2.9</v>
      </c>
      <c r="I43" s="112">
        <v>3.27</v>
      </c>
      <c r="J43" s="112">
        <v>0.56999999999999995</v>
      </c>
      <c r="K43" s="112">
        <v>273.24</v>
      </c>
      <c r="L43" s="112">
        <v>25.25</v>
      </c>
      <c r="M43" s="112">
        <v>96.27</v>
      </c>
      <c r="N43" s="112">
        <v>32.4</v>
      </c>
      <c r="O43" s="112">
        <v>0</v>
      </c>
      <c r="P43" s="112">
        <v>0.3</v>
      </c>
      <c r="Q43" s="112">
        <v>4.6500000000000004</v>
      </c>
    </row>
    <row r="44" spans="1:17" customFormat="1">
      <c r="A44" s="80">
        <v>45501.375</v>
      </c>
      <c r="B44" s="112">
        <v>9.3000000000000007</v>
      </c>
      <c r="C44" s="112">
        <v>4.08</v>
      </c>
      <c r="D44" s="112">
        <v>14.03</v>
      </c>
      <c r="E44" s="112">
        <v>11.24</v>
      </c>
      <c r="F44" s="112">
        <v>3.3</v>
      </c>
      <c r="G44" s="112">
        <v>9.65</v>
      </c>
      <c r="H44" s="112">
        <v>2.91</v>
      </c>
      <c r="I44" s="112">
        <v>3.28</v>
      </c>
      <c r="J44" s="112">
        <v>0.59</v>
      </c>
      <c r="K44" s="112">
        <v>275.04000000000002</v>
      </c>
      <c r="L44" s="112">
        <v>25.25</v>
      </c>
      <c r="M44" s="112">
        <v>97.07</v>
      </c>
      <c r="N44" s="112">
        <v>41.9</v>
      </c>
      <c r="O44" s="112">
        <v>0.4</v>
      </c>
      <c r="P44" s="112">
        <v>0.3</v>
      </c>
      <c r="Q44" s="112">
        <v>4.66</v>
      </c>
    </row>
    <row r="45" spans="1:17" customFormat="1">
      <c r="A45" s="80">
        <v>45501.385416666664</v>
      </c>
      <c r="B45" s="112">
        <v>9.31</v>
      </c>
      <c r="C45" s="112">
        <v>4.09</v>
      </c>
      <c r="D45" s="112">
        <v>14.05</v>
      </c>
      <c r="E45" s="112">
        <v>11.76</v>
      </c>
      <c r="F45" s="112">
        <v>3.54</v>
      </c>
      <c r="G45" s="112">
        <v>9.65</v>
      </c>
      <c r="H45" s="112">
        <v>2.91</v>
      </c>
      <c r="I45" s="112">
        <v>3.23</v>
      </c>
      <c r="J45" s="112">
        <v>0.59</v>
      </c>
      <c r="K45" s="112">
        <v>274.7</v>
      </c>
      <c r="L45" s="112">
        <v>25.05</v>
      </c>
      <c r="M45" s="112">
        <v>102.36</v>
      </c>
      <c r="N45" s="112">
        <v>61</v>
      </c>
      <c r="O45" s="112">
        <v>0.4</v>
      </c>
      <c r="P45" s="112">
        <v>0.3</v>
      </c>
      <c r="Q45" s="112">
        <v>4.66</v>
      </c>
    </row>
    <row r="46" spans="1:17" customFormat="1">
      <c r="A46" s="80">
        <v>45501.395833333336</v>
      </c>
      <c r="B46" s="112">
        <v>9.32</v>
      </c>
      <c r="C46" s="112">
        <v>4.0599999999999996</v>
      </c>
      <c r="D46" s="112">
        <v>14.04</v>
      </c>
      <c r="E46" s="112">
        <v>11.93</v>
      </c>
      <c r="F46" s="112">
        <v>3.52</v>
      </c>
      <c r="G46" s="112">
        <v>9.65</v>
      </c>
      <c r="H46" s="112">
        <v>2.91</v>
      </c>
      <c r="I46" s="112">
        <v>3.24</v>
      </c>
      <c r="J46" s="112">
        <v>0.55000000000000004</v>
      </c>
      <c r="K46" s="112">
        <v>274.41000000000003</v>
      </c>
      <c r="L46" s="112">
        <v>25.06</v>
      </c>
      <c r="M46" s="112">
        <v>105.65</v>
      </c>
      <c r="N46" s="112">
        <v>56.7</v>
      </c>
      <c r="O46" s="112">
        <v>0</v>
      </c>
      <c r="P46" s="112">
        <v>0.3</v>
      </c>
      <c r="Q46" s="112">
        <v>4.6500000000000004</v>
      </c>
    </row>
    <row r="47" spans="1:17" customFormat="1">
      <c r="A47" s="80">
        <v>45501.40625</v>
      </c>
      <c r="B47" s="112">
        <v>9.33</v>
      </c>
      <c r="C47" s="112">
        <v>4.0599999999999996</v>
      </c>
      <c r="D47" s="112">
        <v>14.05</v>
      </c>
      <c r="E47" s="112">
        <v>11.63</v>
      </c>
      <c r="F47" s="112">
        <v>3.21</v>
      </c>
      <c r="G47" s="112">
        <v>8.5399999999999991</v>
      </c>
      <c r="H47" s="112">
        <v>2.9</v>
      </c>
      <c r="I47" s="112">
        <v>3.22</v>
      </c>
      <c r="J47" s="112">
        <v>0.35</v>
      </c>
      <c r="K47" s="112">
        <v>263.27</v>
      </c>
      <c r="L47" s="112">
        <v>25.04</v>
      </c>
      <c r="M47" s="112">
        <v>110.92</v>
      </c>
      <c r="N47" s="112">
        <v>48.1</v>
      </c>
      <c r="O47" s="112">
        <v>0.2</v>
      </c>
      <c r="P47" s="112">
        <v>0.3</v>
      </c>
      <c r="Q47" s="112">
        <v>4.6500000000000004</v>
      </c>
    </row>
    <row r="48" spans="1:17" customFormat="1">
      <c r="A48" s="80">
        <v>45501.416666666664</v>
      </c>
      <c r="B48" s="112">
        <v>9.3000000000000007</v>
      </c>
      <c r="C48" s="112">
        <v>4.07</v>
      </c>
      <c r="D48" s="112">
        <v>14.04</v>
      </c>
      <c r="E48" s="112">
        <v>11.94</v>
      </c>
      <c r="F48" s="112">
        <v>2.71</v>
      </c>
      <c r="G48" s="112">
        <v>6.86</v>
      </c>
      <c r="H48" s="112">
        <v>2.89</v>
      </c>
      <c r="I48" s="112">
        <v>3.03</v>
      </c>
      <c r="J48" s="112">
        <v>0.32</v>
      </c>
      <c r="K48" s="112">
        <v>268.26</v>
      </c>
      <c r="L48" s="112">
        <v>25.15</v>
      </c>
      <c r="M48" s="112">
        <v>106.27</v>
      </c>
      <c r="N48" s="112">
        <v>75.400000000000006</v>
      </c>
      <c r="O48" s="112">
        <v>0.2</v>
      </c>
      <c r="P48" s="112">
        <v>0.31</v>
      </c>
      <c r="Q48" s="112">
        <v>4.6500000000000004</v>
      </c>
    </row>
    <row r="49" spans="1:17" customFormat="1">
      <c r="A49" s="80">
        <v>45501.427083333336</v>
      </c>
      <c r="B49" s="112">
        <v>9.31</v>
      </c>
      <c r="C49" s="112">
        <v>4.05</v>
      </c>
      <c r="D49" s="112">
        <v>14.03</v>
      </c>
      <c r="E49" s="112">
        <v>9.0500000000000007</v>
      </c>
      <c r="F49" s="112">
        <v>3.53</v>
      </c>
      <c r="G49" s="112">
        <v>6.86</v>
      </c>
      <c r="H49" s="112">
        <v>2.89</v>
      </c>
      <c r="I49" s="112">
        <v>3.14</v>
      </c>
      <c r="J49" s="112">
        <v>0.41</v>
      </c>
      <c r="K49" s="112">
        <v>274.06</v>
      </c>
      <c r="L49" s="112">
        <v>25.33</v>
      </c>
      <c r="M49" s="112">
        <v>107.53</v>
      </c>
      <c r="N49" s="112">
        <v>123.9</v>
      </c>
      <c r="O49" s="112">
        <v>0.2</v>
      </c>
      <c r="P49" s="112">
        <v>0.32</v>
      </c>
      <c r="Q49" s="112">
        <v>4.66</v>
      </c>
    </row>
    <row r="50" spans="1:17" customFormat="1">
      <c r="A50" s="80">
        <v>45501.4375</v>
      </c>
      <c r="B50" s="112">
        <v>9.3000000000000007</v>
      </c>
      <c r="C50" s="112">
        <v>4.0599999999999996</v>
      </c>
      <c r="D50" s="112">
        <v>14.03</v>
      </c>
      <c r="E50" s="112">
        <v>10.57</v>
      </c>
      <c r="F50" s="112">
        <v>3.19</v>
      </c>
      <c r="G50" s="112">
        <v>6.86</v>
      </c>
      <c r="H50" s="112">
        <v>2.89</v>
      </c>
      <c r="I50" s="112">
        <v>3.17</v>
      </c>
      <c r="J50" s="112">
        <v>0.45</v>
      </c>
      <c r="K50" s="112">
        <v>274.27999999999997</v>
      </c>
      <c r="L50" s="112">
        <v>25.39</v>
      </c>
      <c r="M50" s="112">
        <v>107.89</v>
      </c>
      <c r="N50" s="112">
        <v>112.6</v>
      </c>
      <c r="O50" s="112">
        <v>0</v>
      </c>
      <c r="P50" s="112">
        <v>0.35</v>
      </c>
      <c r="Q50" s="112">
        <v>4.66</v>
      </c>
    </row>
    <row r="51" spans="1:17" customFormat="1">
      <c r="A51" s="80">
        <v>45501.447916666664</v>
      </c>
      <c r="B51" s="112">
        <v>9.36</v>
      </c>
      <c r="C51" s="112">
        <v>4.08</v>
      </c>
      <c r="D51" s="112">
        <v>14.09</v>
      </c>
      <c r="E51" s="112">
        <v>10.07</v>
      </c>
      <c r="F51" s="112">
        <v>3.97</v>
      </c>
      <c r="G51" s="112">
        <v>6.3</v>
      </c>
      <c r="H51" s="112">
        <v>2.78</v>
      </c>
      <c r="I51" s="112">
        <v>3.21</v>
      </c>
      <c r="J51" s="112">
        <v>0.44</v>
      </c>
      <c r="K51" s="112">
        <v>269.5</v>
      </c>
      <c r="L51" s="112">
        <v>25.73</v>
      </c>
      <c r="M51" s="112">
        <v>105.19</v>
      </c>
      <c r="N51" s="112">
        <v>191.1</v>
      </c>
      <c r="O51" s="112">
        <v>0</v>
      </c>
      <c r="P51" s="112">
        <v>0.35</v>
      </c>
      <c r="Q51" s="112">
        <v>4.66</v>
      </c>
    </row>
    <row r="52" spans="1:17" customFormat="1">
      <c r="A52" s="80">
        <v>45501.458333333336</v>
      </c>
      <c r="B52" s="112">
        <v>9.3699999999999992</v>
      </c>
      <c r="C52" s="112">
        <v>4.09</v>
      </c>
      <c r="D52" s="112">
        <v>14.1</v>
      </c>
      <c r="E52" s="112">
        <v>9.9</v>
      </c>
      <c r="F52" s="112">
        <v>4</v>
      </c>
      <c r="G52" s="112">
        <v>5.46</v>
      </c>
      <c r="H52" s="112">
        <v>2.68</v>
      </c>
      <c r="I52" s="112">
        <v>3.23</v>
      </c>
      <c r="J52" s="112">
        <v>0.37</v>
      </c>
      <c r="K52" s="112">
        <v>267.11</v>
      </c>
      <c r="L52" s="112">
        <v>26.09</v>
      </c>
      <c r="M52" s="112">
        <v>104.61</v>
      </c>
      <c r="N52" s="112">
        <v>131.80000000000001</v>
      </c>
      <c r="O52" s="112">
        <v>0</v>
      </c>
      <c r="P52" s="112">
        <v>0.36</v>
      </c>
      <c r="Q52" s="112">
        <v>4.67</v>
      </c>
    </row>
    <row r="53" spans="1:17" customFormat="1">
      <c r="A53" s="80">
        <v>45501.46875</v>
      </c>
      <c r="B53" s="112">
        <v>9.35</v>
      </c>
      <c r="C53" s="112">
        <v>4.1100000000000003</v>
      </c>
      <c r="D53" s="112">
        <v>14.09</v>
      </c>
      <c r="E53" s="112">
        <v>10.01</v>
      </c>
      <c r="F53" s="112">
        <v>4.0599999999999996</v>
      </c>
      <c r="G53" s="112">
        <v>5.46</v>
      </c>
      <c r="H53" s="112">
        <v>2.68</v>
      </c>
      <c r="I53" s="112">
        <v>3.22</v>
      </c>
      <c r="J53" s="112">
        <v>0.44</v>
      </c>
      <c r="K53" s="112">
        <v>267.60000000000002</v>
      </c>
      <c r="L53" s="112">
        <v>25.97</v>
      </c>
      <c r="M53" s="112">
        <v>103.91</v>
      </c>
      <c r="N53" s="112">
        <v>77.2</v>
      </c>
      <c r="O53" s="112">
        <v>0</v>
      </c>
      <c r="P53" s="112">
        <v>0.35</v>
      </c>
      <c r="Q53" s="112">
        <v>4.66</v>
      </c>
    </row>
    <row r="54" spans="1:17" customFormat="1">
      <c r="A54" s="80">
        <v>45501.479166666664</v>
      </c>
      <c r="B54" s="112">
        <v>9.35</v>
      </c>
      <c r="C54" s="112">
        <v>4.08</v>
      </c>
      <c r="D54" s="112">
        <v>14.08</v>
      </c>
      <c r="E54" s="112">
        <v>9.5500000000000007</v>
      </c>
      <c r="F54" s="112">
        <v>3.81</v>
      </c>
      <c r="G54" s="112">
        <v>5.46</v>
      </c>
      <c r="H54" s="112">
        <v>2.68</v>
      </c>
      <c r="I54" s="112">
        <v>3.11</v>
      </c>
      <c r="J54" s="112">
        <v>0.39</v>
      </c>
      <c r="K54" s="112">
        <v>265.54000000000002</v>
      </c>
      <c r="L54" s="112">
        <v>25.7</v>
      </c>
      <c r="M54" s="112">
        <v>106.2</v>
      </c>
      <c r="N54" s="112">
        <v>70.8</v>
      </c>
      <c r="O54" s="112">
        <v>0</v>
      </c>
      <c r="P54" s="112">
        <v>0.35</v>
      </c>
      <c r="Q54" s="112">
        <v>4.6500000000000004</v>
      </c>
    </row>
    <row r="55" spans="1:17" customFormat="1">
      <c r="A55" s="80">
        <v>45501.489583333336</v>
      </c>
      <c r="B55" s="112">
        <v>9.35</v>
      </c>
      <c r="C55" s="112">
        <v>4.0599999999999996</v>
      </c>
      <c r="D55" s="112">
        <v>14.07</v>
      </c>
      <c r="E55" s="112">
        <v>8.8800000000000008</v>
      </c>
      <c r="F55" s="112">
        <v>4.8</v>
      </c>
      <c r="G55" s="112">
        <v>5.16</v>
      </c>
      <c r="H55" s="112">
        <v>2.64</v>
      </c>
      <c r="I55" s="112">
        <v>3.27</v>
      </c>
      <c r="J55" s="112">
        <v>0.35</v>
      </c>
      <c r="K55" s="112">
        <v>270.38</v>
      </c>
      <c r="L55" s="112">
        <v>25.92</v>
      </c>
      <c r="M55" s="112">
        <v>104.62</v>
      </c>
      <c r="N55" s="112">
        <v>130.80000000000001</v>
      </c>
      <c r="O55" s="112">
        <v>0</v>
      </c>
      <c r="P55" s="112">
        <v>0.35</v>
      </c>
      <c r="Q55" s="112">
        <v>4.6500000000000004</v>
      </c>
    </row>
    <row r="56" spans="1:17" customFormat="1">
      <c r="A56" s="80">
        <v>45501.5</v>
      </c>
      <c r="B56" s="112">
        <v>9.36</v>
      </c>
      <c r="C56" s="112">
        <v>4.07</v>
      </c>
      <c r="D56" s="112">
        <v>14.08</v>
      </c>
      <c r="E56" s="112">
        <v>9.23</v>
      </c>
      <c r="F56" s="112">
        <v>4.3600000000000003</v>
      </c>
      <c r="G56" s="112">
        <v>4.6900000000000004</v>
      </c>
      <c r="H56" s="112">
        <v>2.61</v>
      </c>
      <c r="I56" s="112">
        <v>3.33</v>
      </c>
      <c r="J56" s="112">
        <v>0.42</v>
      </c>
      <c r="K56" s="112">
        <v>269</v>
      </c>
      <c r="L56" s="112">
        <v>26.1</v>
      </c>
      <c r="M56" s="112">
        <v>104.98</v>
      </c>
      <c r="N56" s="112">
        <v>105.3</v>
      </c>
      <c r="O56" s="112">
        <v>0</v>
      </c>
      <c r="P56" s="112">
        <v>0.35</v>
      </c>
      <c r="Q56" s="112">
        <v>4.66</v>
      </c>
    </row>
    <row r="57" spans="1:17" customFormat="1">
      <c r="A57" s="80">
        <v>45501.510416666664</v>
      </c>
      <c r="B57" s="112">
        <v>9.35</v>
      </c>
      <c r="C57" s="112">
        <v>4.08</v>
      </c>
      <c r="D57" s="112">
        <v>14.08</v>
      </c>
      <c r="E57" s="112">
        <v>8.9700000000000006</v>
      </c>
      <c r="F57" s="112">
        <v>4.6900000000000004</v>
      </c>
      <c r="G57" s="112">
        <v>4.6900000000000004</v>
      </c>
      <c r="H57" s="112">
        <v>2.61</v>
      </c>
      <c r="I57" s="112">
        <v>3.29</v>
      </c>
      <c r="J57" s="112">
        <v>0.52</v>
      </c>
      <c r="K57" s="112">
        <v>270.85000000000002</v>
      </c>
      <c r="L57" s="112">
        <v>26.3</v>
      </c>
      <c r="M57" s="112">
        <v>103.16</v>
      </c>
      <c r="N57" s="112">
        <v>161.9</v>
      </c>
      <c r="O57" s="112">
        <v>0</v>
      </c>
      <c r="P57" s="112">
        <v>0.36</v>
      </c>
      <c r="Q57" s="112">
        <v>4.66</v>
      </c>
    </row>
    <row r="58" spans="1:17" customFormat="1">
      <c r="A58" s="80">
        <v>45501.520833333336</v>
      </c>
      <c r="B58" s="112">
        <v>9.35</v>
      </c>
      <c r="C58" s="112">
        <v>4.04</v>
      </c>
      <c r="D58" s="112">
        <v>14.06</v>
      </c>
      <c r="E58" s="112">
        <v>8.7899999999999991</v>
      </c>
      <c r="F58" s="112">
        <v>4.28</v>
      </c>
      <c r="G58" s="112">
        <v>4.6900000000000004</v>
      </c>
      <c r="H58" s="112">
        <v>2.61</v>
      </c>
      <c r="I58" s="112">
        <v>3.34</v>
      </c>
      <c r="J58" s="112">
        <v>0.51</v>
      </c>
      <c r="K58" s="112">
        <v>269.02</v>
      </c>
      <c r="L58" s="112">
        <v>26.4</v>
      </c>
      <c r="M58" s="112">
        <v>99.34</v>
      </c>
      <c r="N58" s="112">
        <v>146.5</v>
      </c>
      <c r="O58" s="112">
        <v>0</v>
      </c>
      <c r="P58" s="112">
        <v>0.35</v>
      </c>
      <c r="Q58" s="112">
        <v>4.6500000000000004</v>
      </c>
    </row>
    <row r="59" spans="1:17" customFormat="1">
      <c r="A59" s="80">
        <v>45501.53125</v>
      </c>
      <c r="B59" s="112">
        <v>9.34</v>
      </c>
      <c r="C59" s="112">
        <v>4.05</v>
      </c>
      <c r="D59" s="112">
        <v>14.05</v>
      </c>
      <c r="E59" s="112">
        <v>8.4700000000000006</v>
      </c>
      <c r="F59" s="112">
        <v>4.59</v>
      </c>
      <c r="G59" s="112">
        <v>4.37</v>
      </c>
      <c r="H59" s="112">
        <v>2.5499999999999998</v>
      </c>
      <c r="I59" s="112">
        <v>3.32</v>
      </c>
      <c r="J59" s="112">
        <v>0.56000000000000005</v>
      </c>
      <c r="K59" s="112">
        <v>271.48</v>
      </c>
      <c r="L59" s="112">
        <v>26.38</v>
      </c>
      <c r="M59" s="112">
        <v>98.74</v>
      </c>
      <c r="N59" s="112">
        <v>122.9</v>
      </c>
      <c r="O59" s="112">
        <v>0</v>
      </c>
      <c r="P59" s="112">
        <v>0.35</v>
      </c>
      <c r="Q59" s="112">
        <v>4.6399999999999997</v>
      </c>
    </row>
    <row r="60" spans="1:17" customFormat="1">
      <c r="A60" s="80">
        <v>45501.541666666664</v>
      </c>
      <c r="B60" s="112">
        <v>9.34</v>
      </c>
      <c r="C60" s="112">
        <v>4.07</v>
      </c>
      <c r="D60" s="112">
        <v>14.06</v>
      </c>
      <c r="E60" s="112">
        <v>8.69</v>
      </c>
      <c r="F60" s="112">
        <v>4.58</v>
      </c>
      <c r="G60" s="112">
        <v>3.89</v>
      </c>
      <c r="H60" s="112">
        <v>2.4900000000000002</v>
      </c>
      <c r="I60" s="112">
        <v>3.32</v>
      </c>
      <c r="J60" s="112">
        <v>0.42</v>
      </c>
      <c r="K60" s="112">
        <v>268.07</v>
      </c>
      <c r="L60" s="112">
        <v>26.46</v>
      </c>
      <c r="M60" s="112">
        <v>98.53</v>
      </c>
      <c r="N60" s="112">
        <v>185.7</v>
      </c>
      <c r="O60" s="112">
        <v>0</v>
      </c>
      <c r="P60" s="112">
        <v>0.35</v>
      </c>
      <c r="Q60" s="112">
        <v>4.6399999999999997</v>
      </c>
    </row>
    <row r="61" spans="1:17" customFormat="1">
      <c r="A61" s="80">
        <v>45501.552083333336</v>
      </c>
      <c r="B61" s="112">
        <v>9.34</v>
      </c>
      <c r="C61" s="112">
        <v>4.08</v>
      </c>
      <c r="D61" s="112">
        <v>14.07</v>
      </c>
      <c r="E61" s="112">
        <v>8.3699999999999992</v>
      </c>
      <c r="F61" s="112">
        <v>4.78</v>
      </c>
      <c r="G61" s="112">
        <v>3.89</v>
      </c>
      <c r="H61" s="112">
        <v>2.4900000000000002</v>
      </c>
      <c r="I61" s="112">
        <v>3.04</v>
      </c>
      <c r="J61" s="112">
        <v>0.46</v>
      </c>
      <c r="K61" s="112">
        <v>269.42</v>
      </c>
      <c r="L61" s="112">
        <v>26.99</v>
      </c>
      <c r="M61" s="112">
        <v>95.66</v>
      </c>
      <c r="N61" s="112">
        <v>187.6</v>
      </c>
      <c r="O61" s="112">
        <v>0</v>
      </c>
      <c r="P61" s="112">
        <v>0.35</v>
      </c>
      <c r="Q61" s="112">
        <v>4.6399999999999997</v>
      </c>
    </row>
    <row r="62" spans="1:17" customFormat="1">
      <c r="A62" s="80">
        <v>45501.5625</v>
      </c>
      <c r="B62" s="112">
        <v>9.34</v>
      </c>
      <c r="C62" s="112">
        <v>4.08</v>
      </c>
      <c r="D62" s="112">
        <v>14.07</v>
      </c>
      <c r="E62" s="112">
        <v>8.34</v>
      </c>
      <c r="F62" s="112">
        <v>4.2699999999999996</v>
      </c>
      <c r="G62" s="112">
        <v>3.89</v>
      </c>
      <c r="H62" s="112">
        <v>2.4900000000000002</v>
      </c>
      <c r="I62" s="112">
        <v>3.2</v>
      </c>
      <c r="J62" s="112">
        <v>0.67</v>
      </c>
      <c r="K62" s="112">
        <v>268.56</v>
      </c>
      <c r="L62" s="112">
        <v>26.89</v>
      </c>
      <c r="M62" s="112">
        <v>93.43</v>
      </c>
      <c r="N62" s="112">
        <v>153.5</v>
      </c>
      <c r="O62" s="112">
        <v>0</v>
      </c>
      <c r="P62" s="112">
        <v>0.35</v>
      </c>
      <c r="Q62" s="112">
        <v>4.66</v>
      </c>
    </row>
    <row r="63" spans="1:17" customFormat="1">
      <c r="A63" s="80">
        <v>45501.572916666664</v>
      </c>
      <c r="B63" s="112">
        <v>9.35</v>
      </c>
      <c r="C63" s="112">
        <v>4.1100000000000003</v>
      </c>
      <c r="D63" s="112">
        <v>14.09</v>
      </c>
      <c r="E63" s="112">
        <v>8.08</v>
      </c>
      <c r="F63" s="112">
        <v>4.21</v>
      </c>
      <c r="G63" s="112">
        <v>3.84</v>
      </c>
      <c r="H63" s="112">
        <v>2.4500000000000002</v>
      </c>
      <c r="I63" s="112">
        <v>3.1</v>
      </c>
      <c r="J63" s="112">
        <v>0.38</v>
      </c>
      <c r="K63" s="112">
        <v>266.52999999999997</v>
      </c>
      <c r="L63" s="112">
        <v>26.75</v>
      </c>
      <c r="M63" s="112">
        <v>95.11</v>
      </c>
      <c r="N63" s="112">
        <v>83.9</v>
      </c>
      <c r="O63" s="112">
        <v>0</v>
      </c>
      <c r="P63" s="112">
        <v>0.34</v>
      </c>
      <c r="Q63" s="112">
        <v>4.6500000000000004</v>
      </c>
    </row>
    <row r="64" spans="1:17" customFormat="1">
      <c r="A64" s="80">
        <v>45501.583333333336</v>
      </c>
      <c r="B64" s="112">
        <v>9.35</v>
      </c>
      <c r="C64" s="112">
        <v>4.13</v>
      </c>
      <c r="D64" s="112">
        <v>14.11</v>
      </c>
      <c r="E64" s="112">
        <v>8.82</v>
      </c>
      <c r="F64" s="112">
        <v>4.1500000000000004</v>
      </c>
      <c r="G64" s="112">
        <v>3.76</v>
      </c>
      <c r="H64" s="112">
        <v>2.41</v>
      </c>
      <c r="I64" s="112">
        <v>3.23</v>
      </c>
      <c r="J64" s="112">
        <v>0.42</v>
      </c>
      <c r="K64" s="112">
        <v>268.95999999999998</v>
      </c>
      <c r="L64" s="112">
        <v>26.64</v>
      </c>
      <c r="M64" s="112">
        <v>93.57</v>
      </c>
      <c r="N64" s="112">
        <v>78.3</v>
      </c>
      <c r="O64" s="112">
        <v>0</v>
      </c>
      <c r="P64" s="112">
        <v>0.34</v>
      </c>
      <c r="Q64" s="112">
        <v>4.6399999999999997</v>
      </c>
    </row>
    <row r="65" spans="1:17" customFormat="1">
      <c r="A65" s="80">
        <v>45501.59375</v>
      </c>
      <c r="B65" s="112">
        <v>9.3800000000000008</v>
      </c>
      <c r="C65" s="112">
        <v>4.07</v>
      </c>
      <c r="D65" s="112">
        <v>14.1</v>
      </c>
      <c r="E65" s="112">
        <v>8.1300000000000008</v>
      </c>
      <c r="F65" s="112">
        <v>4.16</v>
      </c>
      <c r="G65" s="112">
        <v>3.76</v>
      </c>
      <c r="H65" s="112">
        <v>2.41</v>
      </c>
      <c r="I65" s="112">
        <v>3.26</v>
      </c>
      <c r="J65" s="112">
        <v>0.47</v>
      </c>
      <c r="K65" s="112">
        <v>272.08999999999997</v>
      </c>
      <c r="L65" s="112">
        <v>26.55</v>
      </c>
      <c r="M65" s="112">
        <v>93.69</v>
      </c>
      <c r="N65" s="112">
        <v>92.5</v>
      </c>
      <c r="O65" s="112">
        <v>0</v>
      </c>
      <c r="P65" s="112">
        <v>0.25</v>
      </c>
      <c r="Q65" s="112">
        <v>4.63</v>
      </c>
    </row>
    <row r="66" spans="1:17" customFormat="1">
      <c r="A66" s="80">
        <v>45501.604166666664</v>
      </c>
      <c r="B66" s="112">
        <v>9.3800000000000008</v>
      </c>
      <c r="C66" s="112">
        <v>4.0999999999999996</v>
      </c>
      <c r="D66" s="112">
        <v>14.11</v>
      </c>
      <c r="E66" s="112">
        <v>8.06</v>
      </c>
      <c r="F66" s="112">
        <v>4.1500000000000004</v>
      </c>
      <c r="G66" s="112">
        <v>3.76</v>
      </c>
      <c r="H66" s="112">
        <v>2.41</v>
      </c>
      <c r="I66" s="112">
        <v>3.27</v>
      </c>
      <c r="J66" s="112">
        <v>0.52</v>
      </c>
      <c r="K66" s="112">
        <v>270.26</v>
      </c>
      <c r="L66" s="112">
        <v>26.82</v>
      </c>
      <c r="M66" s="112">
        <v>92.22</v>
      </c>
      <c r="N66" s="112">
        <v>117.6</v>
      </c>
      <c r="O66" s="112">
        <v>0</v>
      </c>
      <c r="P66" s="112">
        <v>0.26</v>
      </c>
      <c r="Q66" s="112">
        <v>4.66</v>
      </c>
    </row>
    <row r="67" spans="1:17" customFormat="1">
      <c r="A67" s="80">
        <v>45501.614583333336</v>
      </c>
      <c r="B67" s="112">
        <v>9.4</v>
      </c>
      <c r="C67" s="112">
        <v>4.0599999999999996</v>
      </c>
      <c r="D67" s="112">
        <v>14.11</v>
      </c>
      <c r="E67" s="112">
        <v>7.82</v>
      </c>
      <c r="F67" s="112">
        <v>4.8499999999999996</v>
      </c>
      <c r="G67" s="112">
        <v>3.89</v>
      </c>
      <c r="H67" s="112">
        <v>2.4</v>
      </c>
      <c r="I67" s="112">
        <v>3.29</v>
      </c>
      <c r="J67" s="112">
        <v>0.44</v>
      </c>
      <c r="K67" s="112">
        <v>281.92</v>
      </c>
      <c r="L67" s="112">
        <v>26.42</v>
      </c>
      <c r="M67" s="112">
        <v>95.11</v>
      </c>
      <c r="N67" s="112">
        <v>63.9</v>
      </c>
      <c r="O67" s="112">
        <v>0</v>
      </c>
      <c r="P67" s="112">
        <v>0.27</v>
      </c>
      <c r="Q67" s="112">
        <v>4.6500000000000004</v>
      </c>
    </row>
    <row r="68" spans="1:17" customFormat="1">
      <c r="A68" s="80">
        <v>45501.625</v>
      </c>
      <c r="B68" s="112">
        <v>9.4</v>
      </c>
      <c r="C68" s="112">
        <v>4.07</v>
      </c>
      <c r="D68" s="112">
        <v>14.11</v>
      </c>
      <c r="E68" s="112">
        <v>8.1999999999999993</v>
      </c>
      <c r="F68" s="112">
        <v>5.03</v>
      </c>
      <c r="G68" s="112">
        <v>4.09</v>
      </c>
      <c r="H68" s="112">
        <v>2.38</v>
      </c>
      <c r="I68" s="112">
        <v>3.1</v>
      </c>
      <c r="J68" s="112">
        <v>0.51</v>
      </c>
      <c r="K68" s="112">
        <v>270.27999999999997</v>
      </c>
      <c r="L68" s="112">
        <v>26.53</v>
      </c>
      <c r="M68" s="112">
        <v>94.41</v>
      </c>
      <c r="N68" s="112">
        <v>97.6</v>
      </c>
      <c r="O68" s="112">
        <v>0</v>
      </c>
      <c r="P68" s="112">
        <v>0.2</v>
      </c>
      <c r="Q68" s="112">
        <v>4.66</v>
      </c>
    </row>
    <row r="69" spans="1:17" customFormat="1">
      <c r="A69" s="80">
        <v>45501.635416666664</v>
      </c>
      <c r="B69" s="112">
        <v>9.4</v>
      </c>
      <c r="C69" s="112">
        <v>4.09</v>
      </c>
      <c r="D69" s="112">
        <v>14.13</v>
      </c>
      <c r="E69" s="112">
        <v>8.4700000000000006</v>
      </c>
      <c r="F69" s="112">
        <v>5.12</v>
      </c>
      <c r="G69" s="112">
        <v>4.09</v>
      </c>
      <c r="H69" s="112">
        <v>2.38</v>
      </c>
      <c r="I69" s="112">
        <v>3.19</v>
      </c>
      <c r="J69" s="112">
        <v>0.52</v>
      </c>
      <c r="K69" s="112">
        <v>273.5</v>
      </c>
      <c r="L69" s="112">
        <v>26.8</v>
      </c>
      <c r="M69" s="112">
        <v>93.15</v>
      </c>
      <c r="N69" s="112">
        <v>104.2</v>
      </c>
      <c r="O69" s="112">
        <v>0</v>
      </c>
      <c r="P69" s="112">
        <v>0.2</v>
      </c>
      <c r="Q69" s="112">
        <v>4.6399999999999997</v>
      </c>
    </row>
    <row r="70" spans="1:17" customFormat="1">
      <c r="A70" s="80">
        <v>45501.645833333336</v>
      </c>
      <c r="B70" s="112">
        <v>9.41</v>
      </c>
      <c r="C70" s="112">
        <v>4.0999999999999996</v>
      </c>
      <c r="D70" s="112">
        <v>14.14</v>
      </c>
      <c r="E70" s="112">
        <v>8.73</v>
      </c>
      <c r="F70" s="112">
        <v>5.4</v>
      </c>
      <c r="G70" s="112">
        <v>4.09</v>
      </c>
      <c r="H70" s="112">
        <v>2.38</v>
      </c>
      <c r="I70" s="112">
        <v>2.99</v>
      </c>
      <c r="J70" s="112">
        <v>0.57999999999999996</v>
      </c>
      <c r="K70" s="112">
        <v>273.58999999999997</v>
      </c>
      <c r="L70" s="112">
        <v>27.04</v>
      </c>
      <c r="M70" s="112">
        <v>93.04</v>
      </c>
      <c r="N70" s="112">
        <v>127.8</v>
      </c>
      <c r="O70" s="112">
        <v>0</v>
      </c>
      <c r="P70" s="112">
        <v>0.19</v>
      </c>
      <c r="Q70" s="112">
        <v>4.66</v>
      </c>
    </row>
    <row r="71" spans="1:17" customFormat="1">
      <c r="A71" s="80">
        <v>45501.65625</v>
      </c>
      <c r="B71" s="112">
        <v>9.42</v>
      </c>
      <c r="C71" s="112">
        <v>4.09</v>
      </c>
      <c r="D71" s="112">
        <v>14.14</v>
      </c>
      <c r="E71" s="112">
        <v>8.9499999999999993</v>
      </c>
      <c r="F71" s="112">
        <v>5.7</v>
      </c>
      <c r="G71" s="112">
        <v>4.01</v>
      </c>
      <c r="H71" s="112">
        <v>2.38</v>
      </c>
      <c r="I71" s="112">
        <v>3.06</v>
      </c>
      <c r="J71" s="112">
        <v>0.45</v>
      </c>
      <c r="K71" s="112">
        <v>263.29000000000002</v>
      </c>
      <c r="L71" s="112">
        <v>27.22</v>
      </c>
      <c r="M71" s="112">
        <v>92.25</v>
      </c>
      <c r="N71" s="112">
        <v>124.1</v>
      </c>
      <c r="O71" s="112">
        <v>0</v>
      </c>
      <c r="P71" s="112">
        <v>0.2</v>
      </c>
      <c r="Q71" s="112">
        <v>4.66</v>
      </c>
    </row>
    <row r="72" spans="1:17" customFormat="1">
      <c r="A72" s="80">
        <v>45501.666666666664</v>
      </c>
      <c r="B72" s="112">
        <v>9.42</v>
      </c>
      <c r="C72" s="112">
        <v>4.0599999999999996</v>
      </c>
      <c r="D72" s="112">
        <v>14.12</v>
      </c>
      <c r="E72" s="112">
        <v>9.58</v>
      </c>
      <c r="F72" s="112">
        <v>5.15</v>
      </c>
      <c r="G72" s="112">
        <v>3.88</v>
      </c>
      <c r="H72" s="112">
        <v>2.39</v>
      </c>
      <c r="I72" s="112">
        <v>2.92</v>
      </c>
      <c r="J72" s="112">
        <v>0.37</v>
      </c>
      <c r="K72" s="112">
        <v>263.99</v>
      </c>
      <c r="L72" s="112">
        <v>26.99</v>
      </c>
      <c r="M72" s="112">
        <v>93.77</v>
      </c>
      <c r="N72" s="112">
        <v>71.2</v>
      </c>
      <c r="O72" s="112">
        <v>0</v>
      </c>
      <c r="P72" s="112">
        <v>0.18</v>
      </c>
      <c r="Q72" s="112">
        <v>4.66</v>
      </c>
    </row>
    <row r="73" spans="1:17" customFormat="1">
      <c r="A73" s="80">
        <v>45501.677083333336</v>
      </c>
      <c r="B73" s="112">
        <v>9.35</v>
      </c>
      <c r="C73" s="112">
        <v>4.08</v>
      </c>
      <c r="D73" s="112">
        <v>14.08</v>
      </c>
      <c r="E73" s="112">
        <v>9.3000000000000007</v>
      </c>
      <c r="F73" s="112">
        <v>4.5999999999999996</v>
      </c>
      <c r="G73" s="112">
        <v>3.88</v>
      </c>
      <c r="H73" s="112">
        <v>2.39</v>
      </c>
      <c r="I73" s="112">
        <v>2.83</v>
      </c>
      <c r="J73" s="112">
        <v>0.28000000000000003</v>
      </c>
      <c r="K73" s="112">
        <v>284.06</v>
      </c>
      <c r="L73" s="112">
        <v>26.56</v>
      </c>
      <c r="M73" s="112">
        <v>96.37</v>
      </c>
      <c r="N73" s="112">
        <v>39.700000000000003</v>
      </c>
      <c r="O73" s="112">
        <v>0</v>
      </c>
      <c r="P73" s="112">
        <v>0.19</v>
      </c>
      <c r="Q73" s="112">
        <v>4.6500000000000004</v>
      </c>
    </row>
    <row r="74" spans="1:17" customFormat="1">
      <c r="A74" s="80">
        <v>45501.6875</v>
      </c>
      <c r="B74" s="112">
        <v>9.35</v>
      </c>
      <c r="C74" s="112">
        <v>4.07</v>
      </c>
      <c r="D74" s="112">
        <v>14.07</v>
      </c>
      <c r="E74" s="112">
        <v>9.2799999999999994</v>
      </c>
      <c r="F74" s="112">
        <v>4.6500000000000004</v>
      </c>
      <c r="G74" s="112">
        <v>3.88</v>
      </c>
      <c r="H74" s="112">
        <v>2.39</v>
      </c>
      <c r="I74" s="112">
        <v>2.96</v>
      </c>
      <c r="J74" s="112">
        <v>0.17</v>
      </c>
      <c r="K74" s="112">
        <v>277.29000000000002</v>
      </c>
      <c r="L74" s="112">
        <v>26.21</v>
      </c>
      <c r="M74" s="112">
        <v>100.46</v>
      </c>
      <c r="N74" s="112">
        <v>57.8</v>
      </c>
      <c r="O74" s="112">
        <v>0</v>
      </c>
      <c r="P74" s="112">
        <v>0.2</v>
      </c>
      <c r="Q74" s="112">
        <v>4.6500000000000004</v>
      </c>
    </row>
    <row r="75" spans="1:17" customFormat="1">
      <c r="A75" s="80">
        <v>45501.697916666664</v>
      </c>
      <c r="B75" s="112">
        <v>9.35</v>
      </c>
      <c r="C75" s="112">
        <v>4.0599999999999996</v>
      </c>
      <c r="D75" s="112">
        <v>14.07</v>
      </c>
      <c r="E75" s="112">
        <v>9.1999999999999993</v>
      </c>
      <c r="F75" s="112">
        <v>4.38</v>
      </c>
      <c r="G75" s="112">
        <v>3.99</v>
      </c>
      <c r="H75" s="112">
        <v>2.38</v>
      </c>
      <c r="I75" s="112">
        <v>2.81</v>
      </c>
      <c r="J75" s="112">
        <v>0.18</v>
      </c>
      <c r="K75" s="112">
        <v>269.29000000000002</v>
      </c>
      <c r="L75" s="112">
        <v>25.96</v>
      </c>
      <c r="M75" s="112">
        <v>100.58</v>
      </c>
      <c r="N75" s="112">
        <v>30.6</v>
      </c>
      <c r="O75" s="112">
        <v>0.2</v>
      </c>
      <c r="P75" s="112">
        <v>0.2</v>
      </c>
      <c r="Q75" s="112">
        <v>4.6500000000000004</v>
      </c>
    </row>
    <row r="76" spans="1:17" customFormat="1">
      <c r="A76" s="80">
        <v>45501.708333333336</v>
      </c>
      <c r="B76" s="112">
        <v>9.35</v>
      </c>
      <c r="C76" s="112">
        <v>4.07</v>
      </c>
      <c r="D76" s="112">
        <v>14.07</v>
      </c>
      <c r="E76" s="112">
        <v>9.14</v>
      </c>
      <c r="F76" s="112">
        <v>4.3600000000000003</v>
      </c>
      <c r="G76" s="112">
        <v>4.16</v>
      </c>
      <c r="H76" s="112">
        <v>2.38</v>
      </c>
      <c r="I76" s="112">
        <v>2.92</v>
      </c>
      <c r="J76" s="112">
        <v>0.28000000000000003</v>
      </c>
      <c r="K76" s="112">
        <v>280.11</v>
      </c>
      <c r="L76" s="112">
        <v>25.5</v>
      </c>
      <c r="M76" s="112">
        <v>103.91</v>
      </c>
      <c r="N76" s="112">
        <v>43.2</v>
      </c>
      <c r="O76" s="112">
        <v>0.2</v>
      </c>
      <c r="P76" s="112">
        <v>0.2</v>
      </c>
      <c r="Q76" s="112">
        <v>4.66</v>
      </c>
    </row>
    <row r="77" spans="1:17" customFormat="1">
      <c r="A77" s="80">
        <v>45501.71875</v>
      </c>
      <c r="B77" s="112">
        <v>9.36</v>
      </c>
      <c r="C77" s="112">
        <v>4.07</v>
      </c>
      <c r="D77" s="112">
        <v>14.08</v>
      </c>
      <c r="E77" s="112">
        <v>9.7899999999999991</v>
      </c>
      <c r="F77" s="112">
        <v>4.12</v>
      </c>
      <c r="G77" s="112">
        <v>4.16</v>
      </c>
      <c r="H77" s="112">
        <v>2.38</v>
      </c>
      <c r="I77" s="112">
        <v>2.78</v>
      </c>
      <c r="J77" s="112">
        <v>0.3</v>
      </c>
      <c r="K77" s="112">
        <v>270.14999999999998</v>
      </c>
      <c r="L77" s="112">
        <v>25.43</v>
      </c>
      <c r="M77" s="112">
        <v>104.66</v>
      </c>
      <c r="N77" s="112">
        <v>41.6</v>
      </c>
      <c r="O77" s="112">
        <v>0</v>
      </c>
      <c r="P77" s="112">
        <v>0.2</v>
      </c>
      <c r="Q77" s="112">
        <v>4.6399999999999997</v>
      </c>
    </row>
    <row r="78" spans="1:17" customFormat="1">
      <c r="A78" s="80">
        <v>45501.729166666664</v>
      </c>
      <c r="B78" s="112">
        <v>9.36</v>
      </c>
      <c r="C78" s="112">
        <v>4.0999999999999996</v>
      </c>
      <c r="D78" s="112">
        <v>14.1</v>
      </c>
      <c r="E78" s="112">
        <v>10.26</v>
      </c>
      <c r="F78" s="112">
        <v>4.72</v>
      </c>
      <c r="G78" s="112">
        <v>4.16</v>
      </c>
      <c r="H78" s="112">
        <v>2.38</v>
      </c>
      <c r="I78" s="112">
        <v>2.93</v>
      </c>
      <c r="J78" s="112">
        <v>0.38</v>
      </c>
      <c r="K78" s="112">
        <v>271.13</v>
      </c>
      <c r="L78" s="112">
        <v>25.26</v>
      </c>
      <c r="M78" s="112">
        <v>105.02</v>
      </c>
      <c r="N78" s="112">
        <v>34.799999999999997</v>
      </c>
      <c r="O78" s="112">
        <v>0</v>
      </c>
      <c r="P78" s="112">
        <v>0.2</v>
      </c>
      <c r="Q78" s="112">
        <v>4.6399999999999997</v>
      </c>
    </row>
    <row r="79" spans="1:17" customFormat="1">
      <c r="A79" s="80">
        <v>45501.739583333336</v>
      </c>
      <c r="B79" s="112">
        <v>9.36</v>
      </c>
      <c r="C79" s="112">
        <v>4.09</v>
      </c>
      <c r="D79" s="112">
        <v>14.09</v>
      </c>
      <c r="E79" s="112">
        <v>9.58</v>
      </c>
      <c r="F79" s="112">
        <v>5.67</v>
      </c>
      <c r="G79" s="112">
        <v>3.93</v>
      </c>
      <c r="H79" s="112">
        <v>2.34</v>
      </c>
      <c r="I79" s="112">
        <v>2.94</v>
      </c>
      <c r="J79" s="112">
        <v>0.37</v>
      </c>
      <c r="K79" s="112">
        <v>273.47000000000003</v>
      </c>
      <c r="L79" s="112">
        <v>25.04</v>
      </c>
      <c r="M79" s="112">
        <v>103.79</v>
      </c>
      <c r="N79" s="112">
        <v>22</v>
      </c>
      <c r="O79" s="112">
        <v>0.2</v>
      </c>
      <c r="P79" s="112">
        <v>0.21</v>
      </c>
      <c r="Q79" s="112">
        <v>4.6500000000000004</v>
      </c>
    </row>
    <row r="80" spans="1:17" customFormat="1">
      <c r="A80" s="80">
        <v>45501.75</v>
      </c>
      <c r="B80" s="112">
        <v>9.36</v>
      </c>
      <c r="C80" s="112">
        <v>4.09</v>
      </c>
      <c r="D80" s="112">
        <v>14.09</v>
      </c>
      <c r="E80" s="112">
        <v>10.92</v>
      </c>
      <c r="F80" s="112">
        <v>4.34</v>
      </c>
      <c r="G80" s="112">
        <v>3.59</v>
      </c>
      <c r="H80" s="112">
        <v>2.3199999999999998</v>
      </c>
      <c r="I80" s="112">
        <v>2.9</v>
      </c>
      <c r="J80" s="112">
        <v>0.27</v>
      </c>
      <c r="K80" s="112">
        <v>272.7</v>
      </c>
      <c r="L80" s="112">
        <v>24.96</v>
      </c>
      <c r="M80" s="112">
        <v>104.88</v>
      </c>
      <c r="N80" s="112">
        <v>14.3</v>
      </c>
      <c r="O80" s="112">
        <v>0</v>
      </c>
      <c r="P80" s="112">
        <v>0.21</v>
      </c>
      <c r="Q80" s="112">
        <v>4.6399999999999997</v>
      </c>
    </row>
    <row r="81" spans="1:17" customFormat="1">
      <c r="A81" s="80">
        <v>45501.760416666664</v>
      </c>
      <c r="B81" s="112">
        <v>9.39</v>
      </c>
      <c r="C81" s="112">
        <v>4.07</v>
      </c>
      <c r="D81" s="112">
        <v>14.11</v>
      </c>
      <c r="E81" s="112">
        <v>8.26</v>
      </c>
      <c r="F81" s="112">
        <v>4.22</v>
      </c>
      <c r="G81" s="112">
        <v>3.59</v>
      </c>
      <c r="H81" s="112">
        <v>2.3199999999999998</v>
      </c>
      <c r="I81" s="112">
        <v>2.72</v>
      </c>
      <c r="J81" s="112">
        <v>0.25</v>
      </c>
      <c r="K81" s="112">
        <v>302.16000000000003</v>
      </c>
      <c r="L81" s="112">
        <v>24.86</v>
      </c>
      <c r="M81" s="112">
        <v>106.72</v>
      </c>
      <c r="N81" s="112">
        <v>9.1999999999999993</v>
      </c>
      <c r="O81" s="112">
        <v>0</v>
      </c>
      <c r="P81" s="112">
        <v>0.21</v>
      </c>
      <c r="Q81" s="112">
        <v>4.66</v>
      </c>
    </row>
    <row r="82" spans="1:17" customFormat="1">
      <c r="A82" s="80">
        <v>45501.770833333336</v>
      </c>
      <c r="B82" s="112">
        <v>9.3800000000000008</v>
      </c>
      <c r="C82" s="112">
        <v>4.07</v>
      </c>
      <c r="D82" s="112">
        <v>14.1</v>
      </c>
      <c r="E82" s="112">
        <v>9.0299999999999994</v>
      </c>
      <c r="F82" s="112">
        <v>3.95</v>
      </c>
      <c r="G82" s="112">
        <v>3.59</v>
      </c>
      <c r="H82" s="112">
        <v>2.3199999999999998</v>
      </c>
      <c r="I82" s="112">
        <v>2.7</v>
      </c>
      <c r="J82" s="112">
        <v>0.26</v>
      </c>
      <c r="K82" s="112">
        <v>272.88</v>
      </c>
      <c r="L82" s="112">
        <v>24.84</v>
      </c>
      <c r="M82" s="112">
        <v>105.42</v>
      </c>
      <c r="N82" s="112">
        <v>4.0999999999999996</v>
      </c>
      <c r="O82" s="112">
        <v>0</v>
      </c>
      <c r="P82" s="112">
        <v>0.21</v>
      </c>
      <c r="Q82" s="112">
        <v>4.6399999999999997</v>
      </c>
    </row>
    <row r="83" spans="1:17" customFormat="1">
      <c r="A83" s="80">
        <v>45501.78125</v>
      </c>
      <c r="B83" s="112">
        <v>9.3800000000000008</v>
      </c>
      <c r="C83" s="112">
        <v>4.0999999999999996</v>
      </c>
      <c r="D83" s="112">
        <v>14.11</v>
      </c>
      <c r="E83" s="112">
        <v>9.3699999999999992</v>
      </c>
      <c r="F83" s="112">
        <v>3.83</v>
      </c>
      <c r="G83" s="112">
        <v>3.51</v>
      </c>
      <c r="H83" s="112">
        <v>2.29</v>
      </c>
      <c r="I83" s="112">
        <v>2.74</v>
      </c>
      <c r="J83" s="112">
        <v>0.19</v>
      </c>
      <c r="K83" s="112">
        <v>290.22000000000003</v>
      </c>
      <c r="L83" s="112">
        <v>24.76</v>
      </c>
      <c r="M83" s="112">
        <v>115.17</v>
      </c>
      <c r="N83" s="112">
        <v>2.6</v>
      </c>
      <c r="O83" s="112">
        <v>0.2</v>
      </c>
      <c r="P83" s="112">
        <v>0.21</v>
      </c>
      <c r="Q83" s="112">
        <v>4.6500000000000004</v>
      </c>
    </row>
    <row r="84" spans="1:17" customFormat="1">
      <c r="A84" s="80">
        <v>45501.791666666664</v>
      </c>
      <c r="B84" s="112">
        <v>9.39</v>
      </c>
      <c r="C84" s="112">
        <v>4.07</v>
      </c>
      <c r="D84" s="112">
        <v>14.1</v>
      </c>
      <c r="E84" s="112">
        <v>9.9499999999999993</v>
      </c>
      <c r="F84" s="112">
        <v>3.79</v>
      </c>
      <c r="G84" s="112">
        <v>3.4</v>
      </c>
      <c r="H84" s="112">
        <v>2.27</v>
      </c>
      <c r="I84" s="112">
        <v>2.74</v>
      </c>
      <c r="J84" s="112">
        <v>0.25</v>
      </c>
      <c r="K84" s="112">
        <v>276.33999999999997</v>
      </c>
      <c r="L84" s="112">
        <v>24.7</v>
      </c>
      <c r="M84" s="112">
        <v>116.26</v>
      </c>
      <c r="N84" s="112">
        <v>2.5</v>
      </c>
      <c r="O84" s="112">
        <v>0</v>
      </c>
      <c r="P84" s="112">
        <v>0.22</v>
      </c>
      <c r="Q84" s="112">
        <v>4.63</v>
      </c>
    </row>
    <row r="85" spans="1:17" customFormat="1">
      <c r="A85" s="80">
        <v>45501.802083333336</v>
      </c>
      <c r="B85" s="112">
        <v>9.41</v>
      </c>
      <c r="C85" s="112">
        <v>4.05</v>
      </c>
      <c r="D85" s="112">
        <v>14.11</v>
      </c>
      <c r="E85" s="112">
        <v>9.5399999999999991</v>
      </c>
      <c r="F85" s="112">
        <v>3.58</v>
      </c>
      <c r="G85" s="112">
        <v>3.4</v>
      </c>
      <c r="H85" s="112">
        <v>2.27</v>
      </c>
      <c r="I85" s="112">
        <v>2.73</v>
      </c>
      <c r="J85" s="112">
        <v>0.15</v>
      </c>
      <c r="K85" s="112">
        <v>287.20999999999998</v>
      </c>
      <c r="L85" s="112">
        <v>24.76</v>
      </c>
      <c r="M85" s="112">
        <v>117.36</v>
      </c>
      <c r="N85" s="112">
        <v>2.2999999999999998</v>
      </c>
      <c r="O85" s="112">
        <v>0.2</v>
      </c>
      <c r="P85" s="112">
        <v>0.21</v>
      </c>
      <c r="Q85" s="112">
        <v>4.66</v>
      </c>
    </row>
    <row r="86" spans="1:17" customFormat="1">
      <c r="A86" s="80">
        <v>45501.8125</v>
      </c>
      <c r="B86" s="112">
        <v>9.41</v>
      </c>
      <c r="C86" s="112">
        <v>4.0599999999999996</v>
      </c>
      <c r="D86" s="112">
        <v>14.11</v>
      </c>
      <c r="E86" s="112">
        <v>9.8000000000000007</v>
      </c>
      <c r="F86" s="112">
        <v>2.83</v>
      </c>
      <c r="G86" s="112">
        <v>3.4</v>
      </c>
      <c r="H86" s="112">
        <v>2.27</v>
      </c>
      <c r="I86" s="112">
        <v>2.75</v>
      </c>
      <c r="J86" s="112">
        <v>0.14000000000000001</v>
      </c>
      <c r="K86" s="112">
        <v>281.3</v>
      </c>
      <c r="L86" s="112">
        <v>24.75</v>
      </c>
      <c r="M86" s="112">
        <v>112.99</v>
      </c>
      <c r="N86" s="112">
        <v>2.2999999999999998</v>
      </c>
      <c r="O86" s="112">
        <v>0</v>
      </c>
      <c r="P86" s="112">
        <v>0.22</v>
      </c>
      <c r="Q86" s="112">
        <v>4.67</v>
      </c>
    </row>
    <row r="87" spans="1:17" customFormat="1">
      <c r="A87" s="80">
        <v>45501.822916666664</v>
      </c>
      <c r="B87" s="112">
        <v>9.3699999999999992</v>
      </c>
      <c r="C87" s="112">
        <v>4.08</v>
      </c>
      <c r="D87" s="112">
        <v>14.1</v>
      </c>
      <c r="E87" s="112">
        <v>9.7200000000000006</v>
      </c>
      <c r="F87" s="112">
        <v>3.28</v>
      </c>
      <c r="G87" s="112">
        <v>3.32</v>
      </c>
      <c r="H87" s="112">
        <v>2.2400000000000002</v>
      </c>
      <c r="I87" s="112">
        <v>2.92</v>
      </c>
      <c r="J87" s="112">
        <v>0.24</v>
      </c>
      <c r="K87" s="112">
        <v>263.49</v>
      </c>
      <c r="L87" s="112">
        <v>24.77</v>
      </c>
      <c r="M87" s="112">
        <v>106.35</v>
      </c>
      <c r="N87" s="112">
        <v>2.4</v>
      </c>
      <c r="O87" s="112">
        <v>0</v>
      </c>
      <c r="P87" s="112">
        <v>0.25</v>
      </c>
      <c r="Q87" s="112">
        <v>4.6500000000000004</v>
      </c>
    </row>
    <row r="88" spans="1:17" customFormat="1">
      <c r="A88" s="80">
        <v>45501.833333333336</v>
      </c>
      <c r="B88" s="112">
        <v>9.3800000000000008</v>
      </c>
      <c r="C88" s="112">
        <v>4.05</v>
      </c>
      <c r="D88" s="112">
        <v>14.09</v>
      </c>
      <c r="E88" s="112">
        <v>9.7200000000000006</v>
      </c>
      <c r="F88" s="112">
        <v>3.55</v>
      </c>
      <c r="G88" s="112">
        <v>3.2</v>
      </c>
      <c r="H88" s="112">
        <v>2.2200000000000002</v>
      </c>
      <c r="I88" s="112">
        <v>2.98</v>
      </c>
      <c r="J88" s="112">
        <v>0.27</v>
      </c>
      <c r="K88" s="112">
        <v>270.3</v>
      </c>
      <c r="L88" s="112">
        <v>24.59</v>
      </c>
      <c r="M88" s="112">
        <v>107.91</v>
      </c>
      <c r="N88" s="112">
        <v>2.6</v>
      </c>
      <c r="O88" s="112">
        <v>0.2</v>
      </c>
      <c r="P88" s="112">
        <v>0.27</v>
      </c>
      <c r="Q88" s="112">
        <v>4.66</v>
      </c>
    </row>
    <row r="89" spans="1:17" customFormat="1">
      <c r="A89" s="80">
        <v>45501.84375</v>
      </c>
      <c r="B89" s="112">
        <v>9.36</v>
      </c>
      <c r="C89" s="112">
        <v>4.0999999999999996</v>
      </c>
      <c r="D89" s="112">
        <v>14.1</v>
      </c>
      <c r="E89" s="112">
        <v>9.41</v>
      </c>
      <c r="F89" s="112">
        <v>3.97</v>
      </c>
      <c r="G89" s="112">
        <v>3.2</v>
      </c>
      <c r="H89" s="112">
        <v>2.2200000000000002</v>
      </c>
      <c r="I89" s="112">
        <v>2.91</v>
      </c>
      <c r="J89" s="112">
        <v>0.27</v>
      </c>
      <c r="K89" s="112">
        <v>303.2</v>
      </c>
      <c r="L89" s="112">
        <v>24.53</v>
      </c>
      <c r="M89" s="112">
        <v>109.79</v>
      </c>
      <c r="N89" s="112">
        <v>2.4</v>
      </c>
      <c r="O89" s="112">
        <v>0</v>
      </c>
      <c r="P89" s="112">
        <v>0.26</v>
      </c>
      <c r="Q89" s="112">
        <v>4.66</v>
      </c>
    </row>
    <row r="90" spans="1:17" customFormat="1">
      <c r="A90" s="80">
        <v>45501.854166666664</v>
      </c>
      <c r="B90" s="112">
        <v>9.3699999999999992</v>
      </c>
      <c r="C90" s="112">
        <v>4.09</v>
      </c>
      <c r="D90" s="112">
        <v>14.1</v>
      </c>
      <c r="E90" s="112">
        <v>9.06</v>
      </c>
      <c r="F90" s="112">
        <v>3.97</v>
      </c>
      <c r="G90" s="112">
        <v>3.2</v>
      </c>
      <c r="H90" s="112">
        <v>2.2200000000000002</v>
      </c>
      <c r="I90" s="112">
        <v>2.91</v>
      </c>
      <c r="J90" s="112">
        <v>0.19</v>
      </c>
      <c r="K90" s="112">
        <v>305.92</v>
      </c>
      <c r="L90" s="112">
        <v>24.51</v>
      </c>
      <c r="M90" s="112">
        <v>107</v>
      </c>
      <c r="N90" s="112">
        <v>2.2999999999999998</v>
      </c>
      <c r="O90" s="112">
        <v>0</v>
      </c>
      <c r="P90" s="112">
        <v>0.26</v>
      </c>
      <c r="Q90" s="112">
        <v>4.66</v>
      </c>
    </row>
    <row r="91" spans="1:17" customFormat="1">
      <c r="A91" s="80">
        <v>45501.864583333336</v>
      </c>
      <c r="B91" s="112">
        <v>9.33</v>
      </c>
      <c r="C91" s="112">
        <v>4.1100000000000003</v>
      </c>
      <c r="D91" s="112">
        <v>14.08</v>
      </c>
      <c r="E91" s="112">
        <v>8.81</v>
      </c>
      <c r="F91" s="112">
        <v>4.66</v>
      </c>
      <c r="G91" s="112">
        <v>3.38</v>
      </c>
      <c r="H91" s="112">
        <v>2.2200000000000002</v>
      </c>
      <c r="I91" s="112">
        <v>3.08</v>
      </c>
      <c r="J91" s="112">
        <v>0.18</v>
      </c>
      <c r="K91" s="112">
        <v>313.18</v>
      </c>
      <c r="L91" s="112">
        <v>24.56</v>
      </c>
      <c r="M91" s="112">
        <v>105.53</v>
      </c>
      <c r="N91" s="112">
        <v>2.4</v>
      </c>
      <c r="O91" s="112">
        <v>0.2</v>
      </c>
      <c r="P91" s="112">
        <v>0.27</v>
      </c>
      <c r="Q91" s="112">
        <v>4.67</v>
      </c>
    </row>
    <row r="92" spans="1:17" customFormat="1">
      <c r="A92" s="80">
        <v>45501.875</v>
      </c>
      <c r="B92" s="112">
        <v>9.32</v>
      </c>
      <c r="C92" s="112">
        <v>4.07</v>
      </c>
      <c r="D92" s="112">
        <v>14.05</v>
      </c>
      <c r="E92" s="112">
        <v>8.09</v>
      </c>
      <c r="F92" s="112">
        <v>4.74</v>
      </c>
      <c r="G92" s="112">
        <v>3.65</v>
      </c>
      <c r="H92" s="112">
        <v>2.23</v>
      </c>
      <c r="I92" s="112">
        <v>2.97</v>
      </c>
      <c r="J92" s="112">
        <v>0.24</v>
      </c>
      <c r="K92" s="112">
        <v>297.29000000000002</v>
      </c>
      <c r="L92" s="112">
        <v>24.56</v>
      </c>
      <c r="M92" s="112">
        <v>104.4</v>
      </c>
      <c r="N92" s="112">
        <v>2.4</v>
      </c>
      <c r="O92" s="112">
        <v>0</v>
      </c>
      <c r="P92" s="112">
        <v>0.27</v>
      </c>
      <c r="Q92" s="112">
        <v>4.66</v>
      </c>
    </row>
    <row r="93" spans="1:17" customFormat="1">
      <c r="A93" s="80">
        <v>45501.885416666664</v>
      </c>
      <c r="B93" s="112">
        <v>9.32</v>
      </c>
      <c r="C93" s="112">
        <v>4.07</v>
      </c>
      <c r="D93" s="112">
        <v>14.05</v>
      </c>
      <c r="E93" s="112">
        <v>8.3000000000000007</v>
      </c>
      <c r="F93" s="112">
        <v>4.3099999999999996</v>
      </c>
      <c r="G93" s="112">
        <v>3.65</v>
      </c>
      <c r="H93" s="112">
        <v>2.23</v>
      </c>
      <c r="I93" s="112">
        <v>3.05</v>
      </c>
      <c r="J93" s="112">
        <v>0.19</v>
      </c>
      <c r="K93" s="112">
        <v>305.56</v>
      </c>
      <c r="L93" s="112">
        <v>24.54</v>
      </c>
      <c r="M93" s="112">
        <v>103.76</v>
      </c>
      <c r="N93" s="112">
        <v>2.4</v>
      </c>
      <c r="O93" s="112">
        <v>0</v>
      </c>
      <c r="P93" s="112">
        <v>0.26</v>
      </c>
      <c r="Q93" s="112">
        <v>4.67</v>
      </c>
    </row>
    <row r="94" spans="1:17" customFormat="1">
      <c r="A94" s="80">
        <v>45501.895833333336</v>
      </c>
      <c r="B94" s="112">
        <v>9.31</v>
      </c>
      <c r="C94" s="112">
        <v>4.0999999999999996</v>
      </c>
      <c r="D94" s="112">
        <v>14.06</v>
      </c>
      <c r="E94" s="112">
        <v>8.31</v>
      </c>
      <c r="F94" s="112">
        <v>4.09</v>
      </c>
      <c r="G94" s="112">
        <v>3.65</v>
      </c>
      <c r="H94" s="112">
        <v>2.23</v>
      </c>
      <c r="I94" s="112">
        <v>3.17</v>
      </c>
      <c r="J94" s="112">
        <v>0.23</v>
      </c>
      <c r="K94" s="112">
        <v>303.70999999999998</v>
      </c>
      <c r="L94" s="112">
        <v>24.54</v>
      </c>
      <c r="M94" s="112">
        <v>104.03</v>
      </c>
      <c r="N94" s="112">
        <v>2.4</v>
      </c>
      <c r="O94" s="112">
        <v>0</v>
      </c>
      <c r="P94" s="112">
        <v>0.27</v>
      </c>
      <c r="Q94" s="112">
        <v>4.66</v>
      </c>
    </row>
    <row r="95" spans="1:17" customFormat="1">
      <c r="A95" s="80">
        <v>45501.90625</v>
      </c>
      <c r="B95" s="112">
        <v>9.32</v>
      </c>
      <c r="C95" s="112">
        <v>4.07</v>
      </c>
      <c r="D95" s="112">
        <v>14.05</v>
      </c>
      <c r="E95" s="112">
        <v>7.61</v>
      </c>
      <c r="F95" s="112">
        <v>4.45</v>
      </c>
      <c r="G95" s="112">
        <v>3.52</v>
      </c>
      <c r="H95" s="112">
        <v>2.21</v>
      </c>
      <c r="I95" s="112">
        <v>3.04</v>
      </c>
      <c r="J95" s="112">
        <v>0.27</v>
      </c>
      <c r="K95" s="112">
        <v>311.14999999999998</v>
      </c>
      <c r="L95" s="112">
        <v>24.46</v>
      </c>
      <c r="M95" s="112">
        <v>105.09</v>
      </c>
      <c r="N95" s="112">
        <v>2.4</v>
      </c>
      <c r="O95" s="112">
        <v>0.2</v>
      </c>
      <c r="P95" s="112">
        <v>0.26</v>
      </c>
      <c r="Q95" s="112">
        <v>4.67</v>
      </c>
    </row>
    <row r="96" spans="1:17" customFormat="1">
      <c r="A96" s="80">
        <v>45501.916666666664</v>
      </c>
      <c r="B96" s="112">
        <v>9.31</v>
      </c>
      <c r="C96" s="112">
        <v>4.09</v>
      </c>
      <c r="D96" s="112">
        <v>14.05</v>
      </c>
      <c r="E96" s="112">
        <v>7.55</v>
      </c>
      <c r="F96" s="112">
        <v>4.33</v>
      </c>
      <c r="G96" s="112">
        <v>3.33</v>
      </c>
      <c r="H96" s="112">
        <v>2.1800000000000002</v>
      </c>
      <c r="I96" s="112">
        <v>3.15</v>
      </c>
      <c r="J96" s="112">
        <v>0.27</v>
      </c>
      <c r="K96" s="112">
        <v>296.39</v>
      </c>
      <c r="L96" s="112">
        <v>24.41</v>
      </c>
      <c r="M96" s="112">
        <v>104.58</v>
      </c>
      <c r="N96" s="112">
        <v>2.5</v>
      </c>
      <c r="O96" s="112">
        <v>0</v>
      </c>
      <c r="P96" s="112">
        <v>0.25</v>
      </c>
      <c r="Q96" s="112">
        <v>4.67</v>
      </c>
    </row>
    <row r="97" spans="1:22" customFormat="1">
      <c r="A97" s="80">
        <v>45501.927083333336</v>
      </c>
      <c r="B97" s="112">
        <v>9.32</v>
      </c>
      <c r="C97" s="112">
        <v>4.09</v>
      </c>
      <c r="D97" s="112">
        <v>14.06</v>
      </c>
      <c r="E97" s="112">
        <v>7.44</v>
      </c>
      <c r="F97" s="112">
        <v>4.24</v>
      </c>
      <c r="G97" s="112">
        <v>3.33</v>
      </c>
      <c r="H97" s="112">
        <v>2.1800000000000002</v>
      </c>
      <c r="I97" s="112">
        <v>2.94</v>
      </c>
      <c r="J97" s="112">
        <v>0.32</v>
      </c>
      <c r="K97" s="112">
        <v>306.66000000000003</v>
      </c>
      <c r="L97" s="112">
        <v>24.37</v>
      </c>
      <c r="M97" s="112">
        <v>105.25</v>
      </c>
      <c r="N97" s="112">
        <v>2.5</v>
      </c>
      <c r="O97" s="112">
        <v>0</v>
      </c>
      <c r="P97" s="112">
        <v>0.25</v>
      </c>
      <c r="Q97" s="112">
        <v>4.67</v>
      </c>
    </row>
    <row r="98" spans="1:22" customFormat="1">
      <c r="A98" s="80">
        <v>45501.9375</v>
      </c>
      <c r="B98" s="112">
        <v>9.33</v>
      </c>
      <c r="C98" s="112">
        <v>4.09</v>
      </c>
      <c r="D98" s="112">
        <v>14.07</v>
      </c>
      <c r="E98" s="112">
        <v>7.31</v>
      </c>
      <c r="F98" s="112">
        <v>4.43</v>
      </c>
      <c r="G98" s="112">
        <v>3.33</v>
      </c>
      <c r="H98" s="112">
        <v>2.1800000000000002</v>
      </c>
      <c r="I98" s="112">
        <v>3.13</v>
      </c>
      <c r="J98" s="112">
        <v>0.41</v>
      </c>
      <c r="K98" s="112">
        <v>274.43</v>
      </c>
      <c r="L98" s="112">
        <v>24.33</v>
      </c>
      <c r="M98" s="112">
        <v>109.06</v>
      </c>
      <c r="N98" s="112">
        <v>2.5</v>
      </c>
      <c r="O98" s="112">
        <v>0</v>
      </c>
      <c r="P98" s="112">
        <v>0.26</v>
      </c>
      <c r="Q98" s="112">
        <v>4.66</v>
      </c>
    </row>
    <row r="99" spans="1:22" customFormat="1">
      <c r="A99" s="80">
        <v>45501.947916666664</v>
      </c>
      <c r="B99" s="112">
        <v>9.34</v>
      </c>
      <c r="C99" s="112">
        <v>4.08</v>
      </c>
      <c r="D99" s="112">
        <v>14.07</v>
      </c>
      <c r="E99" s="112">
        <v>7.42</v>
      </c>
      <c r="F99" s="112">
        <v>4.5199999999999996</v>
      </c>
      <c r="G99" s="112">
        <v>3.28</v>
      </c>
      <c r="H99" s="112">
        <v>2.16</v>
      </c>
      <c r="I99" s="112">
        <v>3.22</v>
      </c>
      <c r="J99" s="112">
        <v>0.2</v>
      </c>
      <c r="K99" s="112">
        <v>292.02999999999997</v>
      </c>
      <c r="L99" s="112">
        <v>24.32</v>
      </c>
      <c r="M99" s="112">
        <v>110.45</v>
      </c>
      <c r="N99" s="112">
        <v>2.4</v>
      </c>
      <c r="O99" s="112">
        <v>0</v>
      </c>
      <c r="P99" s="112">
        <v>0.25</v>
      </c>
      <c r="Q99" s="112">
        <v>4.6500000000000004</v>
      </c>
    </row>
    <row r="100" spans="1:22" customFormat="1">
      <c r="A100" s="80">
        <v>45501.958333333336</v>
      </c>
      <c r="B100" s="112">
        <v>9.35</v>
      </c>
      <c r="C100" s="112">
        <v>4.08</v>
      </c>
      <c r="D100" s="112">
        <v>14.08</v>
      </c>
      <c r="E100" s="112">
        <v>7.48</v>
      </c>
      <c r="F100" s="112">
        <v>4.3</v>
      </c>
      <c r="G100" s="112">
        <v>3.22</v>
      </c>
      <c r="H100" s="112">
        <v>2.14</v>
      </c>
      <c r="I100" s="112">
        <v>3.19</v>
      </c>
      <c r="J100" s="112">
        <v>0.28999999999999998</v>
      </c>
      <c r="K100" s="112">
        <v>277.23</v>
      </c>
      <c r="L100" s="112">
        <v>24.28</v>
      </c>
      <c r="M100" s="112">
        <v>109.45</v>
      </c>
      <c r="N100" s="112">
        <v>2.4</v>
      </c>
      <c r="O100" s="112">
        <v>0</v>
      </c>
      <c r="P100" s="112">
        <v>0.25</v>
      </c>
      <c r="Q100" s="112">
        <v>4.6500000000000004</v>
      </c>
    </row>
    <row r="101" spans="1:22" customFormat="1">
      <c r="A101" s="80">
        <v>45501.96875</v>
      </c>
      <c r="B101" s="112">
        <v>9.36</v>
      </c>
      <c r="C101" s="112">
        <v>4.08</v>
      </c>
      <c r="D101" s="112">
        <v>14.09</v>
      </c>
      <c r="E101" s="112">
        <v>7.58</v>
      </c>
      <c r="F101" s="112">
        <v>4.1500000000000004</v>
      </c>
      <c r="G101" s="112">
        <v>3.22</v>
      </c>
      <c r="H101" s="112">
        <v>2.14</v>
      </c>
      <c r="I101" s="112">
        <v>3.19</v>
      </c>
      <c r="J101" s="112">
        <v>0.27</v>
      </c>
      <c r="K101" s="112">
        <v>277.77</v>
      </c>
      <c r="L101" s="112">
        <v>24.28</v>
      </c>
      <c r="M101" s="112">
        <v>108.92</v>
      </c>
      <c r="N101" s="112">
        <v>2.5</v>
      </c>
      <c r="O101" s="112">
        <v>0.2</v>
      </c>
      <c r="P101" s="112">
        <v>0.25</v>
      </c>
      <c r="Q101" s="112">
        <v>4.6500000000000004</v>
      </c>
    </row>
    <row r="102" spans="1:22" customFormat="1">
      <c r="A102" s="80">
        <v>45501.979166666664</v>
      </c>
      <c r="B102" s="112">
        <v>9.36</v>
      </c>
      <c r="C102" s="112">
        <v>4.09</v>
      </c>
      <c r="D102" s="112">
        <v>14.09</v>
      </c>
      <c r="E102" s="112">
        <v>7.37</v>
      </c>
      <c r="F102" s="112">
        <v>4.1900000000000004</v>
      </c>
      <c r="G102" s="112">
        <v>3.22</v>
      </c>
      <c r="H102" s="112">
        <v>2.14</v>
      </c>
      <c r="I102" s="112">
        <v>3.2</v>
      </c>
      <c r="J102" s="112">
        <v>0.21</v>
      </c>
      <c r="K102" s="112">
        <v>291.98</v>
      </c>
      <c r="L102" s="112">
        <v>24.25</v>
      </c>
      <c r="M102" s="112">
        <v>107.9</v>
      </c>
      <c r="N102" s="112">
        <v>2.4</v>
      </c>
      <c r="O102" s="112">
        <v>0</v>
      </c>
      <c r="P102" s="112">
        <v>0.25</v>
      </c>
      <c r="Q102" s="112">
        <v>4.6399999999999997</v>
      </c>
    </row>
    <row r="103" spans="1:22" customFormat="1">
      <c r="A103" s="80">
        <v>45501.989583333336</v>
      </c>
      <c r="B103" s="112">
        <v>9.3800000000000008</v>
      </c>
      <c r="C103" s="112">
        <v>4.08</v>
      </c>
      <c r="D103" s="112">
        <v>14.1</v>
      </c>
      <c r="E103" s="112">
        <v>7.16</v>
      </c>
      <c r="F103" s="112">
        <v>5.52</v>
      </c>
      <c r="G103" s="112">
        <v>3.23</v>
      </c>
      <c r="H103" s="112">
        <v>2.12</v>
      </c>
      <c r="I103" s="112">
        <v>3.23</v>
      </c>
      <c r="J103" s="112">
        <v>0.22</v>
      </c>
      <c r="K103" s="112">
        <v>276.79000000000002</v>
      </c>
      <c r="L103" s="112">
        <v>24.26</v>
      </c>
      <c r="M103" s="112">
        <v>109.65</v>
      </c>
      <c r="N103" s="112">
        <v>2.4</v>
      </c>
      <c r="O103" s="112">
        <v>0</v>
      </c>
      <c r="P103" s="112">
        <v>0.24</v>
      </c>
      <c r="Q103" s="112">
        <v>4.6399999999999997</v>
      </c>
    </row>
    <row r="104" spans="1:22" customFormat="1">
      <c r="A104" s="80">
        <v>45502</v>
      </c>
      <c r="B104" s="112">
        <v>9.3800000000000008</v>
      </c>
      <c r="C104" s="112">
        <v>4.08</v>
      </c>
      <c r="D104" s="112">
        <v>14.1</v>
      </c>
      <c r="E104" s="112">
        <v>7.7</v>
      </c>
      <c r="F104" s="112">
        <v>4.6399999999999997</v>
      </c>
      <c r="G104" s="112">
        <v>3.25</v>
      </c>
      <c r="H104" s="112">
        <v>2.1</v>
      </c>
      <c r="I104" s="112">
        <v>3.23</v>
      </c>
      <c r="J104" s="112">
        <v>0.26</v>
      </c>
      <c r="K104" s="112">
        <v>270.14</v>
      </c>
      <c r="L104" s="112">
        <v>24.29</v>
      </c>
      <c r="M104" s="112">
        <v>107.56</v>
      </c>
      <c r="N104" s="112">
        <v>2.4</v>
      </c>
      <c r="O104" s="112">
        <v>0.2</v>
      </c>
      <c r="P104" s="112">
        <v>0.24</v>
      </c>
      <c r="Q104" s="112">
        <v>4.6500000000000004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9.2200000000000006</v>
      </c>
      <c r="C106" s="183">
        <f>MIN(C9:C104)</f>
        <v>4.04</v>
      </c>
      <c r="D106" s="183">
        <f t="shared" ref="D106:Q106" si="0">MIN(D9:D104)</f>
        <v>14</v>
      </c>
      <c r="E106" s="183">
        <f t="shared" si="0"/>
        <v>7.16</v>
      </c>
      <c r="F106" s="183">
        <f t="shared" si="0"/>
        <v>2.2000000000000002</v>
      </c>
      <c r="G106" s="183">
        <f t="shared" si="0"/>
        <v>3.2</v>
      </c>
      <c r="H106" s="183">
        <f t="shared" si="0"/>
        <v>2.1</v>
      </c>
      <c r="I106" s="183">
        <f t="shared" si="0"/>
        <v>2.7</v>
      </c>
      <c r="J106" s="183">
        <f t="shared" si="0"/>
        <v>0.14000000000000001</v>
      </c>
      <c r="K106" s="183">
        <f t="shared" si="0"/>
        <v>263.27</v>
      </c>
      <c r="L106" s="183">
        <f t="shared" si="0"/>
        <v>24.25</v>
      </c>
      <c r="M106" s="183">
        <f t="shared" si="0"/>
        <v>92.22</v>
      </c>
      <c r="N106" s="183">
        <f t="shared" si="0"/>
        <v>2.2999999999999998</v>
      </c>
      <c r="O106" s="183">
        <f t="shared" si="0"/>
        <v>0</v>
      </c>
      <c r="P106" s="183">
        <f t="shared" si="0"/>
        <v>0.18</v>
      </c>
      <c r="Q106" s="183">
        <f t="shared" si="0"/>
        <v>4.63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9.42</v>
      </c>
      <c r="C107" s="184">
        <f t="shared" ref="C107:Q107" si="1">MAX(C9:C104)</f>
        <v>4.13</v>
      </c>
      <c r="D107" s="184">
        <f t="shared" si="1"/>
        <v>14.14</v>
      </c>
      <c r="E107" s="184">
        <f t="shared" si="1"/>
        <v>12.02</v>
      </c>
      <c r="F107" s="184">
        <f t="shared" si="1"/>
        <v>5.7</v>
      </c>
      <c r="G107" s="184">
        <f t="shared" si="1"/>
        <v>14.69</v>
      </c>
      <c r="H107" s="184">
        <f t="shared" si="1"/>
        <v>6.29</v>
      </c>
      <c r="I107" s="184">
        <f t="shared" si="1"/>
        <v>3.77</v>
      </c>
      <c r="J107" s="184">
        <f t="shared" si="1"/>
        <v>0.86</v>
      </c>
      <c r="K107" s="184">
        <f t="shared" si="1"/>
        <v>313.18</v>
      </c>
      <c r="L107" s="184">
        <f t="shared" si="1"/>
        <v>27.22</v>
      </c>
      <c r="M107" s="184">
        <f t="shared" si="1"/>
        <v>117.36</v>
      </c>
      <c r="N107" s="184">
        <f t="shared" si="1"/>
        <v>191.1</v>
      </c>
      <c r="O107" s="184">
        <f t="shared" si="1"/>
        <v>0.4</v>
      </c>
      <c r="P107" s="184">
        <f t="shared" si="1"/>
        <v>0.4</v>
      </c>
      <c r="Q107" s="184">
        <f t="shared" si="1"/>
        <v>4.67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9.3480208333333348</v>
      </c>
      <c r="C108" s="183">
        <f t="shared" ref="C108:Q108" si="2">AVERAGE(C9:C104)</f>
        <v>4.078645833333332</v>
      </c>
      <c r="D108" s="183">
        <f t="shared" si="2"/>
        <v>14.076354166666652</v>
      </c>
      <c r="E108" s="183">
        <f t="shared" si="2"/>
        <v>9.5658333333333356</v>
      </c>
      <c r="F108" s="183">
        <f t="shared" si="2"/>
        <v>4.0106250000000001</v>
      </c>
      <c r="G108" s="183">
        <f t="shared" si="2"/>
        <v>6.9481250000000019</v>
      </c>
      <c r="H108" s="183">
        <f t="shared" si="2"/>
        <v>3.0055208333333341</v>
      </c>
      <c r="I108" s="183">
        <f t="shared" si="2"/>
        <v>3.214791666666668</v>
      </c>
      <c r="J108" s="183">
        <f t="shared" si="2"/>
        <v>0.47989583333333358</v>
      </c>
      <c r="K108" s="183">
        <f t="shared" si="2"/>
        <v>278.02041666666679</v>
      </c>
      <c r="L108" s="183">
        <f t="shared" si="2"/>
        <v>25.319270833333338</v>
      </c>
      <c r="M108" s="183">
        <f t="shared" si="2"/>
        <v>102.56697916666666</v>
      </c>
      <c r="N108" s="183">
        <f t="shared" si="2"/>
        <v>40.744791666666679</v>
      </c>
      <c r="O108" s="183">
        <f t="shared" si="2"/>
        <v>3.9583333333333352E-2</v>
      </c>
      <c r="P108" s="183">
        <f t="shared" si="2"/>
        <v>0.29708333333333353</v>
      </c>
      <c r="Q108" s="183">
        <f t="shared" si="2"/>
        <v>4.6526041666666673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3.5262020471312952E-2</v>
      </c>
      <c r="C109" s="183">
        <f t="shared" ref="C109:Q109" si="3">STDEV(C9:C104)</f>
        <v>1.7448860114581854E-2</v>
      </c>
      <c r="D109" s="183">
        <f t="shared" si="3"/>
        <v>2.8474172661763601E-2</v>
      </c>
      <c r="E109" s="183">
        <f t="shared" si="3"/>
        <v>1.251811038932378</v>
      </c>
      <c r="F109" s="183">
        <f t="shared" si="3"/>
        <v>0.63253011161940087</v>
      </c>
      <c r="G109" s="183">
        <f t="shared" si="3"/>
        <v>4.0012840866533397</v>
      </c>
      <c r="H109" s="183">
        <f t="shared" si="3"/>
        <v>0.99810860055845929</v>
      </c>
      <c r="I109" s="183">
        <f t="shared" si="3"/>
        <v>0.25590285643153493</v>
      </c>
      <c r="J109" s="183">
        <f t="shared" si="3"/>
        <v>0.20668050498378099</v>
      </c>
      <c r="K109" s="183">
        <f t="shared" si="3"/>
        <v>10.75875290333466</v>
      </c>
      <c r="L109" s="183">
        <f t="shared" si="3"/>
        <v>0.78052107398159409</v>
      </c>
      <c r="M109" s="183">
        <f t="shared" si="3"/>
        <v>5.3338318643785669</v>
      </c>
      <c r="N109" s="183">
        <f t="shared" si="3"/>
        <v>51.864978285811709</v>
      </c>
      <c r="O109" s="183">
        <f t="shared" si="3"/>
        <v>9.0004873162415275E-2</v>
      </c>
      <c r="P109" s="183">
        <f t="shared" si="3"/>
        <v>6.4153051642829612E-2</v>
      </c>
      <c r="Q109" s="183">
        <f t="shared" si="3"/>
        <v>9.5415756909783041E-3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17"/>
  <sheetViews>
    <sheetView workbookViewId="0">
      <selection activeCell="A9" sqref="A9:XFD104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45502.010416666664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R2" s="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L3" s="167" t="s">
        <v>14</v>
      </c>
      <c r="M3" s="147"/>
      <c r="N3" s="180" t="s">
        <v>15</v>
      </c>
      <c r="O3" s="147"/>
      <c r="P3" s="173" t="s">
        <v>15</v>
      </c>
      <c r="Q3" s="147"/>
      <c r="R3" s="2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N4" s="2"/>
      <c r="O4" s="147"/>
      <c r="P4" s="147"/>
      <c r="Q4" s="147"/>
      <c r="R4" s="147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>
      <c r="A9" s="80">
        <v>45502.010416666664</v>
      </c>
      <c r="B9" s="112">
        <v>9.33</v>
      </c>
      <c r="C9" s="112">
        <v>4</v>
      </c>
      <c r="D9" s="112">
        <v>14.02</v>
      </c>
      <c r="E9" s="112">
        <v>7.23</v>
      </c>
      <c r="F9" s="112">
        <v>4.16</v>
      </c>
      <c r="G9" s="112">
        <v>3.25</v>
      </c>
      <c r="H9" s="112">
        <v>2.1</v>
      </c>
      <c r="I9" s="112">
        <v>3.16</v>
      </c>
      <c r="J9" s="112">
        <v>0.36</v>
      </c>
      <c r="K9" s="112">
        <v>273.08</v>
      </c>
      <c r="L9" s="112">
        <v>24.28</v>
      </c>
      <c r="M9" s="112">
        <v>107.05</v>
      </c>
      <c r="N9" s="112">
        <v>2.4</v>
      </c>
      <c r="O9" s="112">
        <v>0</v>
      </c>
      <c r="P9" s="112">
        <v>0.24</v>
      </c>
      <c r="Q9" s="112">
        <v>4.66</v>
      </c>
    </row>
    <row r="10" spans="1:21">
      <c r="A10" s="80">
        <v>45502.020833333336</v>
      </c>
      <c r="B10" s="112">
        <v>9.33</v>
      </c>
      <c r="C10" s="112">
        <v>4.0599999999999996</v>
      </c>
      <c r="D10" s="112">
        <v>14.05</v>
      </c>
      <c r="E10" s="112">
        <v>7.05</v>
      </c>
      <c r="F10" s="112">
        <v>4.4800000000000004</v>
      </c>
      <c r="G10" s="112">
        <v>3.25</v>
      </c>
      <c r="H10" s="112">
        <v>2.1</v>
      </c>
      <c r="I10" s="112">
        <v>3.21</v>
      </c>
      <c r="J10" s="112">
        <v>0.35</v>
      </c>
      <c r="K10" s="112">
        <v>275.58</v>
      </c>
      <c r="L10" s="112">
        <v>24.3</v>
      </c>
      <c r="M10" s="112">
        <v>109.03</v>
      </c>
      <c r="N10" s="112">
        <v>2.4</v>
      </c>
      <c r="O10" s="112">
        <v>0.4</v>
      </c>
      <c r="P10" s="112">
        <v>0.21</v>
      </c>
      <c r="Q10" s="112">
        <v>4.66</v>
      </c>
    </row>
    <row r="11" spans="1:21">
      <c r="A11" s="80">
        <v>45502.03125</v>
      </c>
      <c r="B11" s="112">
        <v>9.34</v>
      </c>
      <c r="C11" s="112">
        <v>4.0599999999999996</v>
      </c>
      <c r="D11" s="112">
        <v>14.06</v>
      </c>
      <c r="E11" s="112">
        <v>7.49</v>
      </c>
      <c r="F11" s="112">
        <v>4.3</v>
      </c>
      <c r="G11" s="112">
        <v>3.24</v>
      </c>
      <c r="H11" s="112">
        <v>2.1</v>
      </c>
      <c r="I11" s="112">
        <v>3.23</v>
      </c>
      <c r="J11" s="112">
        <v>0.27</v>
      </c>
      <c r="K11" s="112">
        <v>284.95</v>
      </c>
      <c r="L11" s="112">
        <v>24.27</v>
      </c>
      <c r="M11" s="112">
        <v>104.34</v>
      </c>
      <c r="N11" s="112">
        <v>2.4</v>
      </c>
      <c r="O11" s="112">
        <v>0.2</v>
      </c>
      <c r="P11" s="112">
        <v>0.21</v>
      </c>
      <c r="Q11" s="112">
        <v>4.6500000000000004</v>
      </c>
    </row>
    <row r="12" spans="1:21">
      <c r="A12" s="80">
        <v>45502.041666666664</v>
      </c>
      <c r="B12" s="112">
        <v>9.34</v>
      </c>
      <c r="C12" s="112">
        <v>4.0599999999999996</v>
      </c>
      <c r="D12" s="112">
        <v>14.06</v>
      </c>
      <c r="E12" s="112">
        <v>7.77</v>
      </c>
      <c r="F12" s="112">
        <v>4.21</v>
      </c>
      <c r="G12" s="112">
        <v>3.24</v>
      </c>
      <c r="H12" s="112">
        <v>2.1</v>
      </c>
      <c r="I12" s="112">
        <v>3.15</v>
      </c>
      <c r="J12" s="112">
        <v>0.19</v>
      </c>
      <c r="K12" s="112">
        <v>270.76</v>
      </c>
      <c r="L12" s="112">
        <v>24.28</v>
      </c>
      <c r="M12" s="112">
        <v>107.34</v>
      </c>
      <c r="N12" s="112">
        <v>2.4</v>
      </c>
      <c r="O12" s="112">
        <v>0.2</v>
      </c>
      <c r="P12" s="112">
        <v>0.2</v>
      </c>
      <c r="Q12" s="112">
        <v>4.6399999999999997</v>
      </c>
    </row>
    <row r="13" spans="1:21">
      <c r="A13" s="80">
        <v>45502.052083333336</v>
      </c>
      <c r="B13" s="112">
        <v>9.33</v>
      </c>
      <c r="C13" s="112">
        <v>4.09</v>
      </c>
      <c r="D13" s="112">
        <v>14.07</v>
      </c>
      <c r="E13" s="112">
        <v>7.67</v>
      </c>
      <c r="F13" s="112">
        <v>4.29</v>
      </c>
      <c r="G13" s="112">
        <v>3.24</v>
      </c>
      <c r="H13" s="112">
        <v>2.1</v>
      </c>
      <c r="I13" s="112">
        <v>3.11</v>
      </c>
      <c r="J13" s="112">
        <v>0.14000000000000001</v>
      </c>
      <c r="K13" s="112">
        <v>272.75</v>
      </c>
      <c r="L13" s="112">
        <v>24.29</v>
      </c>
      <c r="M13" s="112">
        <v>108.83</v>
      </c>
      <c r="N13" s="112">
        <v>2.2999999999999998</v>
      </c>
      <c r="O13" s="112">
        <v>0.2</v>
      </c>
      <c r="P13" s="112">
        <v>0.2</v>
      </c>
      <c r="Q13" s="112">
        <v>4.67</v>
      </c>
    </row>
    <row r="14" spans="1:21">
      <c r="A14" s="80">
        <v>45502.0625</v>
      </c>
      <c r="B14" s="112">
        <v>9.32</v>
      </c>
      <c r="C14" s="112">
        <v>4.09</v>
      </c>
      <c r="D14" s="112">
        <v>14.06</v>
      </c>
      <c r="E14" s="112">
        <v>7.64</v>
      </c>
      <c r="F14" s="112">
        <v>3.75</v>
      </c>
      <c r="G14" s="112">
        <v>3.24</v>
      </c>
      <c r="H14" s="112">
        <v>2.1</v>
      </c>
      <c r="I14" s="112">
        <v>3.1</v>
      </c>
      <c r="J14" s="112">
        <v>0.17</v>
      </c>
      <c r="K14" s="112">
        <v>288.76</v>
      </c>
      <c r="L14" s="112">
        <v>24.27</v>
      </c>
      <c r="M14" s="112">
        <v>109.64</v>
      </c>
      <c r="N14" s="112">
        <v>2.4</v>
      </c>
      <c r="O14" s="112">
        <v>0</v>
      </c>
      <c r="P14" s="112">
        <v>0.2</v>
      </c>
      <c r="Q14" s="112">
        <v>4.66</v>
      </c>
    </row>
    <row r="15" spans="1:21">
      <c r="A15" s="80">
        <v>45502.072916666664</v>
      </c>
      <c r="B15" s="112">
        <v>9.31</v>
      </c>
      <c r="C15" s="112">
        <v>4.07</v>
      </c>
      <c r="D15" s="112">
        <v>14.04</v>
      </c>
      <c r="E15" s="112">
        <v>8.06</v>
      </c>
      <c r="F15" s="112">
        <v>3.89</v>
      </c>
      <c r="G15" s="112">
        <v>3.24</v>
      </c>
      <c r="H15" s="112">
        <v>2.0699999999999998</v>
      </c>
      <c r="I15" s="112">
        <v>3.04</v>
      </c>
      <c r="J15" s="112">
        <v>0.17</v>
      </c>
      <c r="K15" s="112">
        <v>295.72000000000003</v>
      </c>
      <c r="L15" s="112">
        <v>24.28</v>
      </c>
      <c r="M15" s="112">
        <v>108.73</v>
      </c>
      <c r="N15" s="112">
        <v>2.2999999999999998</v>
      </c>
      <c r="O15" s="112">
        <v>0.2</v>
      </c>
      <c r="P15" s="112">
        <v>0.2</v>
      </c>
      <c r="Q15" s="112">
        <v>4.66</v>
      </c>
    </row>
    <row r="16" spans="1:21">
      <c r="A16" s="80">
        <v>45502.083333333336</v>
      </c>
      <c r="B16" s="112">
        <v>9.2899999999999991</v>
      </c>
      <c r="C16" s="112">
        <v>4.08</v>
      </c>
      <c r="D16" s="112">
        <v>14.03</v>
      </c>
      <c r="E16" s="112">
        <v>8.17</v>
      </c>
      <c r="F16" s="112">
        <v>3.86</v>
      </c>
      <c r="G16" s="112">
        <v>3.24</v>
      </c>
      <c r="H16" s="112">
        <v>2.0499999999999998</v>
      </c>
      <c r="I16" s="112">
        <v>2.99</v>
      </c>
      <c r="J16" s="112">
        <v>0.16</v>
      </c>
      <c r="K16" s="112">
        <v>299.89</v>
      </c>
      <c r="L16" s="112">
        <v>24.3</v>
      </c>
      <c r="M16" s="112">
        <v>109.65</v>
      </c>
      <c r="N16" s="112">
        <v>2.4</v>
      </c>
      <c r="O16" s="112">
        <v>0</v>
      </c>
      <c r="P16" s="112">
        <v>0.21</v>
      </c>
      <c r="Q16" s="112">
        <v>4.6500000000000004</v>
      </c>
    </row>
    <row r="17" spans="1:17">
      <c r="A17" s="80">
        <v>45502.09375</v>
      </c>
      <c r="B17" s="112">
        <v>9.32</v>
      </c>
      <c r="C17" s="112">
        <v>4.08</v>
      </c>
      <c r="D17" s="112">
        <v>14.06</v>
      </c>
      <c r="E17" s="112">
        <v>8.14</v>
      </c>
      <c r="F17" s="112">
        <v>3.68</v>
      </c>
      <c r="G17" s="112">
        <v>3.24</v>
      </c>
      <c r="H17" s="112">
        <v>2.0499999999999998</v>
      </c>
      <c r="I17" s="112">
        <v>3.02</v>
      </c>
      <c r="J17" s="112">
        <v>0.15</v>
      </c>
      <c r="K17" s="112">
        <v>283.89</v>
      </c>
      <c r="L17" s="112">
        <v>24.33</v>
      </c>
      <c r="M17" s="112">
        <v>108.38</v>
      </c>
      <c r="N17" s="112">
        <v>2.4</v>
      </c>
      <c r="O17" s="112">
        <v>0</v>
      </c>
      <c r="P17" s="112">
        <v>0.21</v>
      </c>
      <c r="Q17" s="112">
        <v>4.67</v>
      </c>
    </row>
    <row r="18" spans="1:17">
      <c r="A18" s="80">
        <v>45502.104166666664</v>
      </c>
      <c r="B18" s="112">
        <v>9.34</v>
      </c>
      <c r="C18" s="112">
        <v>4.08</v>
      </c>
      <c r="D18" s="112">
        <v>14.07</v>
      </c>
      <c r="E18" s="112">
        <v>9.8699999999999992</v>
      </c>
      <c r="F18" s="112">
        <v>3.71</v>
      </c>
      <c r="G18" s="112">
        <v>3.24</v>
      </c>
      <c r="H18" s="112">
        <v>2.0499999999999998</v>
      </c>
      <c r="I18" s="112">
        <v>2.97</v>
      </c>
      <c r="J18" s="112">
        <v>0.28000000000000003</v>
      </c>
      <c r="K18" s="112">
        <v>279.49</v>
      </c>
      <c r="L18" s="112">
        <v>24.33</v>
      </c>
      <c r="M18" s="112">
        <v>107.5</v>
      </c>
      <c r="N18" s="112">
        <v>2.4</v>
      </c>
      <c r="O18" s="112">
        <v>0</v>
      </c>
      <c r="P18" s="112">
        <v>0.2</v>
      </c>
      <c r="Q18" s="112">
        <v>4.67</v>
      </c>
    </row>
    <row r="19" spans="1:17">
      <c r="A19" s="80">
        <v>45502.114583333336</v>
      </c>
      <c r="B19" s="112">
        <v>9.34</v>
      </c>
      <c r="C19" s="112">
        <v>4.05</v>
      </c>
      <c r="D19" s="112">
        <v>14.06</v>
      </c>
      <c r="E19" s="112">
        <v>9.77</v>
      </c>
      <c r="F19" s="112">
        <v>4.2699999999999996</v>
      </c>
      <c r="G19" s="112">
        <v>3.22</v>
      </c>
      <c r="H19" s="112">
        <v>2.0299999999999998</v>
      </c>
      <c r="I19" s="112">
        <v>2.97</v>
      </c>
      <c r="J19" s="112">
        <v>0.15</v>
      </c>
      <c r="K19" s="112">
        <v>297.68</v>
      </c>
      <c r="L19" s="112">
        <v>24.34</v>
      </c>
      <c r="M19" s="112">
        <v>109.58</v>
      </c>
      <c r="N19" s="112">
        <v>2.4</v>
      </c>
      <c r="O19" s="112">
        <v>0.2</v>
      </c>
      <c r="P19" s="112">
        <v>0.21</v>
      </c>
      <c r="Q19" s="112">
        <v>4.66</v>
      </c>
    </row>
    <row r="20" spans="1:17">
      <c r="A20" s="80">
        <v>45502.125</v>
      </c>
      <c r="B20" s="112">
        <v>9.33</v>
      </c>
      <c r="C20" s="112">
        <v>4.09</v>
      </c>
      <c r="D20" s="112">
        <v>14.07</v>
      </c>
      <c r="E20" s="112">
        <v>10.26</v>
      </c>
      <c r="F20" s="112">
        <v>3.95</v>
      </c>
      <c r="G20" s="112">
        <v>3.18</v>
      </c>
      <c r="H20" s="112">
        <v>1.99</v>
      </c>
      <c r="I20" s="112">
        <v>2.97</v>
      </c>
      <c r="J20" s="112">
        <v>0.2</v>
      </c>
      <c r="K20" s="112">
        <v>280.77999999999997</v>
      </c>
      <c r="L20" s="112">
        <v>24.34</v>
      </c>
      <c r="M20" s="112">
        <v>108.41</v>
      </c>
      <c r="N20" s="112">
        <v>2.4</v>
      </c>
      <c r="O20" s="112">
        <v>0</v>
      </c>
      <c r="P20" s="112">
        <v>0.21</v>
      </c>
      <c r="Q20" s="112">
        <v>4.6500000000000004</v>
      </c>
    </row>
    <row r="21" spans="1:17">
      <c r="A21" s="80">
        <v>45502.135416666664</v>
      </c>
      <c r="B21" s="112">
        <v>9.32</v>
      </c>
      <c r="C21" s="112">
        <v>4.09</v>
      </c>
      <c r="D21" s="112">
        <v>14.06</v>
      </c>
      <c r="E21" s="112">
        <v>10.3</v>
      </c>
      <c r="F21" s="112">
        <v>3.83</v>
      </c>
      <c r="G21" s="112">
        <v>3.18</v>
      </c>
      <c r="H21" s="112">
        <v>1.99</v>
      </c>
      <c r="I21" s="112">
        <v>2.93</v>
      </c>
      <c r="J21" s="112">
        <v>0.28000000000000003</v>
      </c>
      <c r="K21" s="112">
        <v>275.81</v>
      </c>
      <c r="L21" s="112">
        <v>24.31</v>
      </c>
      <c r="M21" s="112">
        <v>108.03</v>
      </c>
      <c r="N21" s="112">
        <v>2.4</v>
      </c>
      <c r="O21" s="112">
        <v>0</v>
      </c>
      <c r="P21" s="112">
        <v>0.2</v>
      </c>
      <c r="Q21" s="112">
        <v>4.6500000000000004</v>
      </c>
    </row>
    <row r="22" spans="1:17">
      <c r="A22" s="80">
        <v>45502.145833333336</v>
      </c>
      <c r="B22" s="112">
        <v>9.33</v>
      </c>
      <c r="C22" s="112">
        <v>4.1100000000000003</v>
      </c>
      <c r="D22" s="112">
        <v>14.08</v>
      </c>
      <c r="E22" s="112">
        <v>10.59</v>
      </c>
      <c r="F22" s="112">
        <v>3.74</v>
      </c>
      <c r="G22" s="112">
        <v>3.18</v>
      </c>
      <c r="H22" s="112">
        <v>1.99</v>
      </c>
      <c r="I22" s="112">
        <v>2.95</v>
      </c>
      <c r="J22" s="112">
        <v>0.23</v>
      </c>
      <c r="K22" s="112">
        <v>261.57</v>
      </c>
      <c r="L22" s="112">
        <v>24.35</v>
      </c>
      <c r="M22" s="112">
        <v>106.26</v>
      </c>
      <c r="N22" s="112">
        <v>2.4</v>
      </c>
      <c r="O22" s="112">
        <v>0</v>
      </c>
      <c r="P22" s="112">
        <v>0.21</v>
      </c>
      <c r="Q22" s="112">
        <v>4.66</v>
      </c>
    </row>
    <row r="23" spans="1:17">
      <c r="A23" s="80">
        <v>45502.15625</v>
      </c>
      <c r="B23" s="112">
        <v>9.35</v>
      </c>
      <c r="C23" s="112">
        <v>4.09</v>
      </c>
      <c r="D23" s="112">
        <v>14.08</v>
      </c>
      <c r="E23" s="112">
        <v>10.42</v>
      </c>
      <c r="F23" s="112">
        <v>3.88</v>
      </c>
      <c r="G23" s="112">
        <v>3.2</v>
      </c>
      <c r="H23" s="112">
        <v>2.04</v>
      </c>
      <c r="I23" s="112">
        <v>2.94</v>
      </c>
      <c r="J23" s="112">
        <v>0.28000000000000003</v>
      </c>
      <c r="K23" s="112">
        <v>268.64999999999998</v>
      </c>
      <c r="L23" s="112">
        <v>24.3</v>
      </c>
      <c r="M23" s="112">
        <v>105.8</v>
      </c>
      <c r="N23" s="112">
        <v>2.4</v>
      </c>
      <c r="O23" s="112">
        <v>0</v>
      </c>
      <c r="P23" s="112">
        <v>0.21</v>
      </c>
      <c r="Q23" s="112">
        <v>4.6500000000000004</v>
      </c>
    </row>
    <row r="24" spans="1:17">
      <c r="A24" s="80">
        <v>45502.166666666664</v>
      </c>
      <c r="B24" s="112">
        <v>9.33</v>
      </c>
      <c r="C24" s="112">
        <v>4.1100000000000003</v>
      </c>
      <c r="D24" s="112">
        <v>14.08</v>
      </c>
      <c r="E24" s="112">
        <v>10.48</v>
      </c>
      <c r="F24" s="112">
        <v>3.65</v>
      </c>
      <c r="G24" s="112">
        <v>3.22</v>
      </c>
      <c r="H24" s="112">
        <v>2.09</v>
      </c>
      <c r="I24" s="112">
        <v>2.95</v>
      </c>
      <c r="J24" s="112">
        <v>0.32</v>
      </c>
      <c r="K24" s="112">
        <v>268.54000000000002</v>
      </c>
      <c r="L24" s="112">
        <v>24.35</v>
      </c>
      <c r="M24" s="112">
        <v>105.92</v>
      </c>
      <c r="N24" s="112">
        <v>2.4</v>
      </c>
      <c r="O24" s="112">
        <v>0</v>
      </c>
      <c r="P24" s="112">
        <v>0.21</v>
      </c>
      <c r="Q24" s="112">
        <v>4.6399999999999997</v>
      </c>
    </row>
    <row r="25" spans="1:17">
      <c r="A25" s="80">
        <v>45502.177083333336</v>
      </c>
      <c r="B25" s="112">
        <v>9.33</v>
      </c>
      <c r="C25" s="112">
        <v>4.09</v>
      </c>
      <c r="D25" s="112">
        <v>14.07</v>
      </c>
      <c r="E25" s="112">
        <v>10.7</v>
      </c>
      <c r="F25" s="112">
        <v>3.41</v>
      </c>
      <c r="G25" s="112">
        <v>3.22</v>
      </c>
      <c r="H25" s="112">
        <v>2.09</v>
      </c>
      <c r="I25" s="112">
        <v>2.9</v>
      </c>
      <c r="J25" s="112">
        <v>0.24</v>
      </c>
      <c r="K25" s="112">
        <v>267.70999999999998</v>
      </c>
      <c r="L25" s="112">
        <v>24.33</v>
      </c>
      <c r="M25" s="112">
        <v>103.85</v>
      </c>
      <c r="N25" s="112">
        <v>2.4</v>
      </c>
      <c r="O25" s="112">
        <v>0</v>
      </c>
      <c r="P25" s="112">
        <v>0.21</v>
      </c>
      <c r="Q25" s="112">
        <v>4.6399999999999997</v>
      </c>
    </row>
    <row r="26" spans="1:17">
      <c r="A26" s="80">
        <v>45502.1875</v>
      </c>
      <c r="B26" s="112">
        <v>9.34</v>
      </c>
      <c r="C26" s="112">
        <v>4.07</v>
      </c>
      <c r="D26" s="112">
        <v>14.07</v>
      </c>
      <c r="E26" s="112">
        <v>10.81</v>
      </c>
      <c r="F26" s="112">
        <v>3.49</v>
      </c>
      <c r="G26" s="112">
        <v>3.22</v>
      </c>
      <c r="H26" s="112">
        <v>2.09</v>
      </c>
      <c r="I26" s="112">
        <v>2.88</v>
      </c>
      <c r="J26" s="112">
        <v>0.24</v>
      </c>
      <c r="K26" s="112">
        <v>269.69</v>
      </c>
      <c r="L26" s="112">
        <v>24.33</v>
      </c>
      <c r="M26" s="112">
        <v>105.06</v>
      </c>
      <c r="N26" s="112">
        <v>2.5</v>
      </c>
      <c r="O26" s="112">
        <v>0.2</v>
      </c>
      <c r="P26" s="112">
        <v>0.22</v>
      </c>
      <c r="Q26" s="112">
        <v>4.66</v>
      </c>
    </row>
    <row r="27" spans="1:17">
      <c r="A27" s="80">
        <v>45502.197916666664</v>
      </c>
      <c r="B27" s="112">
        <v>9.35</v>
      </c>
      <c r="C27" s="112">
        <v>4.07</v>
      </c>
      <c r="D27" s="112">
        <v>14.07</v>
      </c>
      <c r="E27" s="112">
        <v>10.97</v>
      </c>
      <c r="F27" s="112">
        <v>3.82</v>
      </c>
      <c r="G27" s="112">
        <v>3.22</v>
      </c>
      <c r="H27" s="112">
        <v>2.09</v>
      </c>
      <c r="I27" s="112">
        <v>2.87</v>
      </c>
      <c r="J27" s="112">
        <v>0.33</v>
      </c>
      <c r="K27" s="112">
        <v>264.79000000000002</v>
      </c>
      <c r="L27" s="112">
        <v>24.3</v>
      </c>
      <c r="M27" s="112">
        <v>109.81</v>
      </c>
      <c r="N27" s="112">
        <v>2.4</v>
      </c>
      <c r="O27" s="112">
        <v>0</v>
      </c>
      <c r="P27" s="112">
        <v>0.22</v>
      </c>
      <c r="Q27" s="112">
        <v>4.6500000000000004</v>
      </c>
    </row>
    <row r="28" spans="1:17">
      <c r="A28" s="80">
        <v>45502.208333333336</v>
      </c>
      <c r="B28" s="112">
        <v>9.34</v>
      </c>
      <c r="C28" s="112">
        <v>4.08</v>
      </c>
      <c r="D28" s="112">
        <v>14.07</v>
      </c>
      <c r="E28" s="112">
        <v>11.01</v>
      </c>
      <c r="F28" s="112">
        <v>3.45</v>
      </c>
      <c r="G28" s="112">
        <v>3.23</v>
      </c>
      <c r="H28" s="112">
        <v>2.08</v>
      </c>
      <c r="I28" s="112">
        <v>2.85</v>
      </c>
      <c r="J28" s="112">
        <v>0.27</v>
      </c>
      <c r="K28" s="112">
        <v>262.12</v>
      </c>
      <c r="L28" s="112">
        <v>24.34</v>
      </c>
      <c r="M28" s="112">
        <v>107.71</v>
      </c>
      <c r="N28" s="112">
        <v>2.4</v>
      </c>
      <c r="O28" s="112">
        <v>0</v>
      </c>
      <c r="P28" s="112">
        <v>0.21</v>
      </c>
      <c r="Q28" s="112">
        <v>4.6500000000000004</v>
      </c>
    </row>
    <row r="29" spans="1:17">
      <c r="A29" s="80">
        <v>45502.21875</v>
      </c>
      <c r="B29" s="112">
        <v>9.32</v>
      </c>
      <c r="C29" s="112">
        <v>4.09</v>
      </c>
      <c r="D29" s="112">
        <v>14.06</v>
      </c>
      <c r="E29" s="112">
        <v>11.25</v>
      </c>
      <c r="F29" s="112">
        <v>3.15</v>
      </c>
      <c r="G29" s="112">
        <v>3.23</v>
      </c>
      <c r="H29" s="112">
        <v>2.08</v>
      </c>
      <c r="I29" s="112">
        <v>2.81</v>
      </c>
      <c r="J29" s="112">
        <v>0.44</v>
      </c>
      <c r="K29" s="112">
        <v>267.95999999999998</v>
      </c>
      <c r="L29" s="112">
        <v>24.32</v>
      </c>
      <c r="M29" s="112">
        <v>106.64</v>
      </c>
      <c r="N29" s="112">
        <v>2.5</v>
      </c>
      <c r="O29" s="112">
        <v>0</v>
      </c>
      <c r="P29" s="112">
        <v>0.25</v>
      </c>
      <c r="Q29" s="112">
        <v>4.63</v>
      </c>
    </row>
    <row r="30" spans="1:17">
      <c r="A30" s="80">
        <v>45502.229166666664</v>
      </c>
      <c r="B30" s="112">
        <v>9.33</v>
      </c>
      <c r="C30" s="112">
        <v>4.0599999999999996</v>
      </c>
      <c r="D30" s="112">
        <v>14.05</v>
      </c>
      <c r="E30" s="112">
        <v>11.65</v>
      </c>
      <c r="F30" s="112">
        <v>3.12</v>
      </c>
      <c r="G30" s="112">
        <v>3.23</v>
      </c>
      <c r="H30" s="112">
        <v>2.08</v>
      </c>
      <c r="I30" s="112">
        <v>2.83</v>
      </c>
      <c r="J30" s="112">
        <v>0.36</v>
      </c>
      <c r="K30" s="112">
        <v>269.72000000000003</v>
      </c>
      <c r="L30" s="112">
        <v>24.31</v>
      </c>
      <c r="M30" s="112">
        <v>108.65</v>
      </c>
      <c r="N30" s="112">
        <v>4.9000000000000004</v>
      </c>
      <c r="O30" s="112">
        <v>0.6</v>
      </c>
      <c r="P30" s="112">
        <v>0.25</v>
      </c>
      <c r="Q30" s="112">
        <v>4.6500000000000004</v>
      </c>
    </row>
    <row r="31" spans="1:17">
      <c r="A31" s="80">
        <v>45502.239583333336</v>
      </c>
      <c r="B31" s="112">
        <v>9.34</v>
      </c>
      <c r="C31" s="112">
        <v>4.08</v>
      </c>
      <c r="D31" s="112">
        <v>14.07</v>
      </c>
      <c r="E31" s="112">
        <v>11.15</v>
      </c>
      <c r="F31" s="112">
        <v>3.58</v>
      </c>
      <c r="G31" s="112">
        <v>3.21</v>
      </c>
      <c r="H31" s="112">
        <v>2.08</v>
      </c>
      <c r="I31" s="112">
        <v>2.86</v>
      </c>
      <c r="J31" s="112">
        <v>0.36</v>
      </c>
      <c r="K31" s="112">
        <v>267.77999999999997</v>
      </c>
      <c r="L31" s="112">
        <v>24.31</v>
      </c>
      <c r="M31" s="112">
        <v>107.22</v>
      </c>
      <c r="N31" s="112">
        <v>11.4</v>
      </c>
      <c r="O31" s="112">
        <v>0.2</v>
      </c>
      <c r="P31" s="112">
        <v>0.26</v>
      </c>
      <c r="Q31" s="112">
        <v>4.6500000000000004</v>
      </c>
    </row>
    <row r="32" spans="1:17">
      <c r="A32" s="80">
        <v>45502.25</v>
      </c>
      <c r="B32" s="112">
        <v>9.35</v>
      </c>
      <c r="C32" s="112">
        <v>4.07</v>
      </c>
      <c r="D32" s="112">
        <v>14.08</v>
      </c>
      <c r="E32" s="112">
        <v>10.51</v>
      </c>
      <c r="F32" s="112">
        <v>3.81</v>
      </c>
      <c r="G32" s="112">
        <v>3.19</v>
      </c>
      <c r="H32" s="112">
        <v>2.08</v>
      </c>
      <c r="I32" s="112">
        <v>2.93</v>
      </c>
      <c r="J32" s="112">
        <v>0.11</v>
      </c>
      <c r="K32" s="112">
        <v>248.74</v>
      </c>
      <c r="L32" s="112">
        <v>24.34</v>
      </c>
      <c r="M32" s="112">
        <v>106.06</v>
      </c>
      <c r="N32" s="112">
        <v>15.8</v>
      </c>
      <c r="O32" s="112">
        <v>0</v>
      </c>
      <c r="P32" s="112">
        <v>0.24</v>
      </c>
      <c r="Q32" s="112">
        <v>4.66</v>
      </c>
    </row>
    <row r="33" spans="1:17">
      <c r="A33" s="80">
        <v>45502.260416666664</v>
      </c>
      <c r="B33" s="112">
        <v>9.34</v>
      </c>
      <c r="C33" s="112">
        <v>4.08</v>
      </c>
      <c r="D33" s="112">
        <v>14.07</v>
      </c>
      <c r="E33" s="112">
        <v>9.98</v>
      </c>
      <c r="F33" s="112">
        <v>3.9</v>
      </c>
      <c r="G33" s="112">
        <v>3.19</v>
      </c>
      <c r="H33" s="112">
        <v>2.08</v>
      </c>
      <c r="I33" s="112">
        <v>2.96</v>
      </c>
      <c r="J33" s="112">
        <v>0.21</v>
      </c>
      <c r="K33" s="112">
        <v>271.33999999999997</v>
      </c>
      <c r="L33" s="112">
        <v>24.43</v>
      </c>
      <c r="M33" s="112">
        <v>104.56</v>
      </c>
      <c r="N33" s="112">
        <v>24.4</v>
      </c>
      <c r="O33" s="112">
        <v>0</v>
      </c>
      <c r="P33" s="112">
        <v>0.25</v>
      </c>
      <c r="Q33" s="112">
        <v>4.66</v>
      </c>
    </row>
    <row r="34" spans="1:17">
      <c r="A34" s="80">
        <v>45502.270833333336</v>
      </c>
      <c r="B34" s="112">
        <v>9.33</v>
      </c>
      <c r="C34" s="112">
        <v>4.07</v>
      </c>
      <c r="D34" s="112">
        <v>14.05</v>
      </c>
      <c r="E34" s="112">
        <v>9.82</v>
      </c>
      <c r="F34" s="112">
        <v>4.1900000000000004</v>
      </c>
      <c r="G34" s="112">
        <v>3.19</v>
      </c>
      <c r="H34" s="112">
        <v>2.08</v>
      </c>
      <c r="I34" s="112">
        <v>3</v>
      </c>
      <c r="J34" s="112">
        <v>0.17</v>
      </c>
      <c r="K34" s="112">
        <v>270.74</v>
      </c>
      <c r="L34" s="112">
        <v>24.48</v>
      </c>
      <c r="M34" s="112">
        <v>103.26</v>
      </c>
      <c r="N34" s="112">
        <v>25.1</v>
      </c>
      <c r="O34" s="112">
        <v>0</v>
      </c>
      <c r="P34" s="112">
        <v>0.24</v>
      </c>
      <c r="Q34" s="112">
        <v>4.66</v>
      </c>
    </row>
    <row r="35" spans="1:17">
      <c r="A35" s="80">
        <v>45502.28125</v>
      </c>
      <c r="B35" s="112">
        <v>9.32</v>
      </c>
      <c r="C35" s="112">
        <v>4.07</v>
      </c>
      <c r="D35" s="112">
        <v>14.04</v>
      </c>
      <c r="E35" s="112">
        <v>9.51</v>
      </c>
      <c r="F35" s="112">
        <v>4.59</v>
      </c>
      <c r="G35" s="112">
        <v>3.26</v>
      </c>
      <c r="H35" s="112">
        <v>2.11</v>
      </c>
      <c r="I35" s="112">
        <v>3</v>
      </c>
      <c r="J35" s="112">
        <v>0.19</v>
      </c>
      <c r="K35" s="112">
        <v>267.31</v>
      </c>
      <c r="L35" s="112">
        <v>24.59</v>
      </c>
      <c r="M35" s="112">
        <v>102.48</v>
      </c>
      <c r="N35" s="112">
        <v>42.9</v>
      </c>
      <c r="O35" s="112">
        <v>0</v>
      </c>
      <c r="P35" s="112">
        <v>0.24</v>
      </c>
      <c r="Q35" s="112">
        <v>4.67</v>
      </c>
    </row>
    <row r="36" spans="1:17">
      <c r="A36" s="80">
        <v>45502.291666666664</v>
      </c>
      <c r="B36" s="112">
        <v>9.31</v>
      </c>
      <c r="C36" s="112">
        <v>4.0599999999999996</v>
      </c>
      <c r="D36" s="112">
        <v>14.04</v>
      </c>
      <c r="E36" s="112">
        <v>9</v>
      </c>
      <c r="F36" s="112">
        <v>4.1900000000000004</v>
      </c>
      <c r="G36" s="112">
        <v>3.36</v>
      </c>
      <c r="H36" s="112">
        <v>2.13</v>
      </c>
      <c r="I36" s="112">
        <v>3.06</v>
      </c>
      <c r="J36" s="112">
        <v>0.35</v>
      </c>
      <c r="K36" s="112">
        <v>273.86</v>
      </c>
      <c r="L36" s="112">
        <v>24.78</v>
      </c>
      <c r="M36" s="112">
        <v>102.94</v>
      </c>
      <c r="N36" s="112">
        <v>63.7</v>
      </c>
      <c r="O36" s="112">
        <v>0</v>
      </c>
      <c r="P36" s="112">
        <v>0.23</v>
      </c>
      <c r="Q36" s="112">
        <v>4.67</v>
      </c>
    </row>
    <row r="37" spans="1:17">
      <c r="A37" s="80">
        <v>45502.302083333336</v>
      </c>
      <c r="B37" s="112">
        <v>9.31</v>
      </c>
      <c r="C37" s="112">
        <v>4.07</v>
      </c>
      <c r="D37" s="112">
        <v>14.05</v>
      </c>
      <c r="E37" s="112">
        <v>9.08</v>
      </c>
      <c r="F37" s="112">
        <v>4</v>
      </c>
      <c r="G37" s="112">
        <v>3.36</v>
      </c>
      <c r="H37" s="112">
        <v>2.13</v>
      </c>
      <c r="I37" s="112">
        <v>3.01</v>
      </c>
      <c r="J37" s="112">
        <v>0.26</v>
      </c>
      <c r="K37" s="112">
        <v>267.33999999999997</v>
      </c>
      <c r="L37" s="112">
        <v>24.82</v>
      </c>
      <c r="M37" s="112">
        <v>102.14</v>
      </c>
      <c r="N37" s="112">
        <v>34.9</v>
      </c>
      <c r="O37" s="112">
        <v>0</v>
      </c>
      <c r="P37" s="112">
        <v>0.24</v>
      </c>
      <c r="Q37" s="112">
        <v>4.67</v>
      </c>
    </row>
    <row r="38" spans="1:17">
      <c r="A38" s="80">
        <v>45502.3125</v>
      </c>
      <c r="B38" s="112">
        <v>9.32</v>
      </c>
      <c r="C38" s="112">
        <v>4.0999999999999996</v>
      </c>
      <c r="D38" s="112">
        <v>14.07</v>
      </c>
      <c r="E38" s="112">
        <v>9.4499999999999993</v>
      </c>
      <c r="F38" s="112">
        <v>3.71</v>
      </c>
      <c r="G38" s="112">
        <v>3.36</v>
      </c>
      <c r="H38" s="112">
        <v>2.13</v>
      </c>
      <c r="I38" s="112">
        <v>3.03</v>
      </c>
      <c r="J38" s="112">
        <v>0.25</v>
      </c>
      <c r="K38" s="112">
        <v>274.7</v>
      </c>
      <c r="L38" s="112">
        <v>24.78</v>
      </c>
      <c r="M38" s="112">
        <v>102.76</v>
      </c>
      <c r="N38" s="112">
        <v>20.9</v>
      </c>
      <c r="O38" s="112">
        <v>0</v>
      </c>
      <c r="P38" s="112">
        <v>0.24</v>
      </c>
      <c r="Q38" s="112">
        <v>4.66</v>
      </c>
    </row>
    <row r="39" spans="1:17">
      <c r="A39" s="80">
        <v>45502.322916666664</v>
      </c>
      <c r="B39" s="112">
        <v>9.33</v>
      </c>
      <c r="C39" s="112">
        <v>4.0599999999999996</v>
      </c>
      <c r="D39" s="112">
        <v>14.05</v>
      </c>
      <c r="E39" s="112">
        <v>8.89</v>
      </c>
      <c r="F39" s="112">
        <v>3.96</v>
      </c>
      <c r="G39" s="112">
        <v>3.37</v>
      </c>
      <c r="H39" s="112">
        <v>2.12</v>
      </c>
      <c r="I39" s="112">
        <v>3.08</v>
      </c>
      <c r="J39" s="112">
        <v>0.34</v>
      </c>
      <c r="K39" s="112">
        <v>275.68</v>
      </c>
      <c r="L39" s="112">
        <v>24.72</v>
      </c>
      <c r="M39" s="112">
        <v>102.22</v>
      </c>
      <c r="N39" s="112">
        <v>23.3</v>
      </c>
      <c r="O39" s="112">
        <v>0</v>
      </c>
      <c r="P39" s="112">
        <v>0.25</v>
      </c>
      <c r="Q39" s="112">
        <v>4.67</v>
      </c>
    </row>
    <row r="40" spans="1:17">
      <c r="A40" s="80">
        <v>45502.333333333336</v>
      </c>
      <c r="B40" s="112">
        <v>9.34</v>
      </c>
      <c r="C40" s="112">
        <v>4.07</v>
      </c>
      <c r="D40" s="112">
        <v>14.06</v>
      </c>
      <c r="E40" s="112">
        <v>9.1199999999999992</v>
      </c>
      <c r="F40" s="112">
        <v>3.82</v>
      </c>
      <c r="G40" s="112">
        <v>3.37</v>
      </c>
      <c r="H40" s="112">
        <v>2.1</v>
      </c>
      <c r="I40" s="112">
        <v>3.13</v>
      </c>
      <c r="J40" s="112">
        <v>0.34</v>
      </c>
      <c r="K40" s="112">
        <v>271.44</v>
      </c>
      <c r="L40" s="112">
        <v>24.79</v>
      </c>
      <c r="M40" s="112">
        <v>101.64</v>
      </c>
      <c r="N40" s="112">
        <v>33.6</v>
      </c>
      <c r="O40" s="112">
        <v>0</v>
      </c>
      <c r="P40" s="112">
        <v>0.25</v>
      </c>
      <c r="Q40" s="112">
        <v>4.66</v>
      </c>
    </row>
    <row r="41" spans="1:17">
      <c r="A41" s="80">
        <v>45502.34375</v>
      </c>
      <c r="B41" s="112">
        <v>9.34</v>
      </c>
      <c r="C41" s="112">
        <v>4.07</v>
      </c>
      <c r="D41" s="112">
        <v>14.06</v>
      </c>
      <c r="E41" s="112">
        <v>8.67</v>
      </c>
      <c r="F41" s="112">
        <v>3.87</v>
      </c>
      <c r="G41" s="112">
        <v>3.37</v>
      </c>
      <c r="H41" s="112">
        <v>2.1</v>
      </c>
      <c r="I41" s="112">
        <v>3.16</v>
      </c>
      <c r="J41" s="112">
        <v>0.46</v>
      </c>
      <c r="K41" s="112">
        <v>273.93</v>
      </c>
      <c r="L41" s="112">
        <v>24.91</v>
      </c>
      <c r="M41" s="112">
        <v>101.33</v>
      </c>
      <c r="N41" s="112">
        <v>66.099999999999994</v>
      </c>
      <c r="O41" s="112">
        <v>0</v>
      </c>
      <c r="P41" s="112">
        <v>0.25</v>
      </c>
      <c r="Q41" s="112">
        <v>4.66</v>
      </c>
    </row>
    <row r="42" spans="1:17">
      <c r="A42" s="80">
        <v>45502.354166666664</v>
      </c>
      <c r="B42" s="112">
        <v>9.34</v>
      </c>
      <c r="C42" s="112">
        <v>4.07</v>
      </c>
      <c r="D42" s="112">
        <v>14.07</v>
      </c>
      <c r="E42" s="112">
        <v>8.6999999999999993</v>
      </c>
      <c r="F42" s="112">
        <v>4.21</v>
      </c>
      <c r="G42" s="112">
        <v>3.37</v>
      </c>
      <c r="H42" s="112">
        <v>2.1</v>
      </c>
      <c r="I42" s="112">
        <v>3.23</v>
      </c>
      <c r="J42" s="112">
        <v>0.42</v>
      </c>
      <c r="K42" s="112">
        <v>272.42</v>
      </c>
      <c r="L42" s="112">
        <v>25.14</v>
      </c>
      <c r="M42" s="112">
        <v>99.53</v>
      </c>
      <c r="N42" s="112">
        <v>66.7</v>
      </c>
      <c r="O42" s="112">
        <v>0</v>
      </c>
      <c r="P42" s="112">
        <v>0.25</v>
      </c>
      <c r="Q42" s="112">
        <v>4.66</v>
      </c>
    </row>
    <row r="43" spans="1:17">
      <c r="A43" s="80">
        <v>45502.364583333336</v>
      </c>
      <c r="B43" s="112">
        <v>9.34</v>
      </c>
      <c r="C43" s="112">
        <v>4.07</v>
      </c>
      <c r="D43" s="112">
        <v>14.07</v>
      </c>
      <c r="E43" s="112">
        <v>8.69</v>
      </c>
      <c r="F43" s="112">
        <v>4.43</v>
      </c>
      <c r="G43" s="112">
        <v>3.34</v>
      </c>
      <c r="H43" s="112">
        <v>2.16</v>
      </c>
      <c r="I43" s="112">
        <v>3.25</v>
      </c>
      <c r="J43" s="112">
        <v>0.28000000000000003</v>
      </c>
      <c r="K43" s="112">
        <v>268.93</v>
      </c>
      <c r="L43" s="112">
        <v>25.28</v>
      </c>
      <c r="M43" s="112">
        <v>99.1</v>
      </c>
      <c r="N43" s="112">
        <v>78.599999999999994</v>
      </c>
      <c r="O43" s="112">
        <v>0</v>
      </c>
      <c r="P43" s="112">
        <v>0.25</v>
      </c>
      <c r="Q43" s="112">
        <v>4.6399999999999997</v>
      </c>
    </row>
    <row r="44" spans="1:17">
      <c r="A44" s="80">
        <v>45502.375</v>
      </c>
      <c r="B44" s="112">
        <v>9.33</v>
      </c>
      <c r="C44" s="112">
        <v>4.1100000000000003</v>
      </c>
      <c r="D44" s="112">
        <v>14.08</v>
      </c>
      <c r="E44" s="112">
        <v>9.25</v>
      </c>
      <c r="F44" s="112">
        <v>4.5</v>
      </c>
      <c r="G44" s="112">
        <v>3.29</v>
      </c>
      <c r="H44" s="112">
        <v>2.33</v>
      </c>
      <c r="I44" s="112">
        <v>3.23</v>
      </c>
      <c r="J44" s="112">
        <v>0.68</v>
      </c>
      <c r="K44" s="112">
        <v>275.66000000000003</v>
      </c>
      <c r="L44" s="112">
        <v>25.42</v>
      </c>
      <c r="M44" s="112">
        <v>97.86</v>
      </c>
      <c r="N44" s="112">
        <v>109.8</v>
      </c>
      <c r="O44" s="112">
        <v>0</v>
      </c>
      <c r="P44" s="112">
        <v>0.26</v>
      </c>
      <c r="Q44" s="112">
        <v>4.66</v>
      </c>
    </row>
    <row r="45" spans="1:17">
      <c r="A45" s="80">
        <v>45502.385416666664</v>
      </c>
      <c r="B45" s="112">
        <v>9.34</v>
      </c>
      <c r="C45" s="112">
        <v>4.07</v>
      </c>
      <c r="D45" s="112">
        <v>14.07</v>
      </c>
      <c r="E45" s="112">
        <v>8.64</v>
      </c>
      <c r="F45" s="112">
        <v>4.32</v>
      </c>
      <c r="G45" s="112">
        <v>3.29</v>
      </c>
      <c r="H45" s="112">
        <v>2.33</v>
      </c>
      <c r="I45" s="112">
        <v>3.23</v>
      </c>
      <c r="J45" s="112">
        <v>0.44</v>
      </c>
      <c r="K45" s="112">
        <v>275.52999999999997</v>
      </c>
      <c r="L45" s="112">
        <v>25.73</v>
      </c>
      <c r="M45" s="112">
        <v>95.66</v>
      </c>
      <c r="N45" s="112">
        <v>130.5</v>
      </c>
      <c r="O45" s="112">
        <v>0</v>
      </c>
      <c r="P45" s="112">
        <v>0.24</v>
      </c>
      <c r="Q45" s="112">
        <v>4.6500000000000004</v>
      </c>
    </row>
    <row r="46" spans="1:17">
      <c r="A46" s="80">
        <v>45502.395833333336</v>
      </c>
      <c r="B46" s="112">
        <v>9.33</v>
      </c>
      <c r="C46" s="112">
        <v>4.08</v>
      </c>
      <c r="D46" s="112">
        <v>14.06</v>
      </c>
      <c r="E46" s="112">
        <v>8.9700000000000006</v>
      </c>
      <c r="F46" s="112">
        <v>4.87</v>
      </c>
      <c r="G46" s="112">
        <v>3.29</v>
      </c>
      <c r="H46" s="112">
        <v>2.33</v>
      </c>
      <c r="I46" s="112">
        <v>3.23</v>
      </c>
      <c r="J46" s="112">
        <v>0.59</v>
      </c>
      <c r="K46" s="112">
        <v>274.32</v>
      </c>
      <c r="L46" s="112">
        <v>25.88</v>
      </c>
      <c r="M46" s="112">
        <v>94.17</v>
      </c>
      <c r="N46" s="112">
        <v>94.2</v>
      </c>
      <c r="O46" s="112">
        <v>0</v>
      </c>
      <c r="P46" s="112">
        <v>0.25</v>
      </c>
      <c r="Q46" s="112">
        <v>4.66</v>
      </c>
    </row>
    <row r="47" spans="1:17">
      <c r="A47" s="80">
        <v>45502.40625</v>
      </c>
      <c r="B47" s="112">
        <v>9.32</v>
      </c>
      <c r="C47" s="112">
        <v>4.1100000000000003</v>
      </c>
      <c r="D47" s="112">
        <v>14.07</v>
      </c>
      <c r="E47" s="112">
        <v>9.07</v>
      </c>
      <c r="F47" s="112">
        <v>5.52</v>
      </c>
      <c r="G47" s="112">
        <v>3.29</v>
      </c>
      <c r="H47" s="112">
        <v>2.2999999999999998</v>
      </c>
      <c r="I47" s="112">
        <v>3.21</v>
      </c>
      <c r="J47" s="112">
        <v>0.52</v>
      </c>
      <c r="K47" s="112">
        <v>277.58999999999997</v>
      </c>
      <c r="L47" s="112">
        <v>25.89</v>
      </c>
      <c r="M47" s="112">
        <v>93.57</v>
      </c>
      <c r="N47" s="112">
        <v>86.6</v>
      </c>
      <c r="O47" s="112">
        <v>0</v>
      </c>
      <c r="P47" s="112">
        <v>0.25</v>
      </c>
      <c r="Q47" s="112">
        <v>4.67</v>
      </c>
    </row>
    <row r="48" spans="1:17">
      <c r="A48" s="80">
        <v>45502.416666666664</v>
      </c>
      <c r="B48" s="112">
        <v>9.33</v>
      </c>
      <c r="C48" s="112">
        <v>4.09</v>
      </c>
      <c r="D48" s="112">
        <v>14.07</v>
      </c>
      <c r="E48" s="112">
        <v>9.0500000000000007</v>
      </c>
      <c r="F48" s="112">
        <v>6.43</v>
      </c>
      <c r="G48" s="112">
        <v>3.29</v>
      </c>
      <c r="H48" s="112">
        <v>2.27</v>
      </c>
      <c r="I48" s="112">
        <v>3.23</v>
      </c>
      <c r="J48" s="112">
        <v>0.46</v>
      </c>
      <c r="K48" s="112">
        <v>274.88</v>
      </c>
      <c r="L48" s="112">
        <v>25.96</v>
      </c>
      <c r="M48" s="112">
        <v>93.45</v>
      </c>
      <c r="N48" s="112">
        <v>66.900000000000006</v>
      </c>
      <c r="O48" s="112">
        <v>0</v>
      </c>
      <c r="P48" s="112">
        <v>0.23</v>
      </c>
      <c r="Q48" s="112">
        <v>4.66</v>
      </c>
    </row>
    <row r="49" spans="1:17">
      <c r="A49" s="80">
        <v>45502.427083333336</v>
      </c>
      <c r="B49" s="112">
        <v>9.33</v>
      </c>
      <c r="C49" s="112">
        <v>4.09</v>
      </c>
      <c r="D49" s="112">
        <v>14.07</v>
      </c>
      <c r="E49" s="112">
        <v>8.98</v>
      </c>
      <c r="F49" s="112">
        <v>4.47</v>
      </c>
      <c r="G49" s="112">
        <v>3.29</v>
      </c>
      <c r="H49" s="112">
        <v>2.27</v>
      </c>
      <c r="I49" s="112">
        <v>3.16</v>
      </c>
      <c r="J49" s="112">
        <v>0.48</v>
      </c>
      <c r="K49" s="112">
        <v>275.26</v>
      </c>
      <c r="L49" s="112">
        <v>25.96</v>
      </c>
      <c r="M49" s="112">
        <v>93.31</v>
      </c>
      <c r="N49" s="112">
        <v>82</v>
      </c>
      <c r="O49" s="112">
        <v>0</v>
      </c>
      <c r="P49" s="112">
        <v>0.22</v>
      </c>
      <c r="Q49" s="112">
        <v>4.66</v>
      </c>
    </row>
    <row r="50" spans="1:17">
      <c r="A50" s="80">
        <v>45502.4375</v>
      </c>
      <c r="B50" s="112">
        <v>9.33</v>
      </c>
      <c r="C50" s="112">
        <v>4.05</v>
      </c>
      <c r="D50" s="112">
        <v>14.05</v>
      </c>
      <c r="E50" s="112">
        <v>10.97</v>
      </c>
      <c r="F50" s="112">
        <v>4.1900000000000004</v>
      </c>
      <c r="G50" s="112">
        <v>3.29</v>
      </c>
      <c r="H50" s="112">
        <v>2.27</v>
      </c>
      <c r="I50" s="112">
        <v>3.18</v>
      </c>
      <c r="J50" s="112">
        <v>0.38</v>
      </c>
      <c r="K50" s="112">
        <v>273.06</v>
      </c>
      <c r="L50" s="112">
        <v>26.18</v>
      </c>
      <c r="M50" s="112">
        <v>92.95</v>
      </c>
      <c r="N50" s="112">
        <v>110</v>
      </c>
      <c r="O50" s="112">
        <v>0</v>
      </c>
      <c r="P50" s="112">
        <v>0.22</v>
      </c>
      <c r="Q50" s="112">
        <v>4.6399999999999997</v>
      </c>
    </row>
    <row r="51" spans="1:17">
      <c r="A51" s="80">
        <v>45502.447916666664</v>
      </c>
      <c r="B51" s="112">
        <v>9.3000000000000007</v>
      </c>
      <c r="C51" s="112">
        <v>4.0599999999999996</v>
      </c>
      <c r="D51" s="112">
        <v>14.03</v>
      </c>
      <c r="E51" s="112">
        <v>11.31</v>
      </c>
      <c r="F51" s="112">
        <v>4.42</v>
      </c>
      <c r="G51" s="112">
        <v>4.38</v>
      </c>
      <c r="H51" s="112">
        <v>2.31</v>
      </c>
      <c r="I51" s="112">
        <v>3.17</v>
      </c>
      <c r="J51" s="112">
        <v>0.55000000000000004</v>
      </c>
      <c r="K51" s="112">
        <v>276.86</v>
      </c>
      <c r="L51" s="112">
        <v>26.22</v>
      </c>
      <c r="M51" s="112">
        <v>91.84</v>
      </c>
      <c r="N51" s="112">
        <v>69.3</v>
      </c>
      <c r="O51" s="112">
        <v>0</v>
      </c>
      <c r="P51" s="112">
        <v>0.22</v>
      </c>
      <c r="Q51" s="112">
        <v>4.6399999999999997</v>
      </c>
    </row>
    <row r="52" spans="1:17">
      <c r="A52" s="80">
        <v>45502.458333333336</v>
      </c>
      <c r="B52" s="112">
        <v>9.2799999999999994</v>
      </c>
      <c r="C52" s="112">
        <v>4.0599999999999996</v>
      </c>
      <c r="D52" s="112">
        <v>14.01</v>
      </c>
      <c r="E52" s="112">
        <v>11.01</v>
      </c>
      <c r="F52" s="112">
        <v>4.5199999999999996</v>
      </c>
      <c r="G52" s="112">
        <v>6.09</v>
      </c>
      <c r="H52" s="112">
        <v>2.36</v>
      </c>
      <c r="I52" s="112">
        <v>3.15</v>
      </c>
      <c r="J52" s="112">
        <v>0.4</v>
      </c>
      <c r="K52" s="112">
        <v>272.57</v>
      </c>
      <c r="L52" s="112">
        <v>26.08</v>
      </c>
      <c r="M52" s="112">
        <v>92.99</v>
      </c>
      <c r="N52" s="112">
        <v>46.2</v>
      </c>
      <c r="O52" s="112">
        <v>0</v>
      </c>
      <c r="P52" s="112">
        <v>0.23</v>
      </c>
      <c r="Q52" s="112">
        <v>4.6399999999999997</v>
      </c>
    </row>
    <row r="53" spans="1:17">
      <c r="A53" s="80">
        <v>45502.46875</v>
      </c>
      <c r="B53" s="112">
        <v>9.2799999999999994</v>
      </c>
      <c r="C53" s="112">
        <v>4.05</v>
      </c>
      <c r="D53" s="112">
        <v>14.01</v>
      </c>
      <c r="E53" s="112">
        <v>11.28</v>
      </c>
      <c r="F53" s="112">
        <v>4.09</v>
      </c>
      <c r="G53" s="112">
        <v>6.09</v>
      </c>
      <c r="H53" s="112">
        <v>2.36</v>
      </c>
      <c r="I53" s="112">
        <v>3.13</v>
      </c>
      <c r="J53" s="112">
        <v>0.44</v>
      </c>
      <c r="K53" s="112">
        <v>271.13</v>
      </c>
      <c r="L53" s="112">
        <v>26.02</v>
      </c>
      <c r="M53" s="112">
        <v>93.01</v>
      </c>
      <c r="N53" s="112">
        <v>60.2</v>
      </c>
      <c r="O53" s="112">
        <v>0</v>
      </c>
      <c r="P53" s="112">
        <v>0.22</v>
      </c>
      <c r="Q53" s="112">
        <v>4.6399999999999997</v>
      </c>
    </row>
    <row r="54" spans="1:17">
      <c r="A54" s="80">
        <v>45502.479166666664</v>
      </c>
      <c r="B54" s="112">
        <v>9.27</v>
      </c>
      <c r="C54" s="112">
        <v>4.07</v>
      </c>
      <c r="D54" s="112">
        <v>14.01</v>
      </c>
      <c r="E54" s="112">
        <v>11.56</v>
      </c>
      <c r="F54" s="112">
        <v>4.4400000000000004</v>
      </c>
      <c r="G54" s="112">
        <v>6.09</v>
      </c>
      <c r="H54" s="112">
        <v>2.36</v>
      </c>
      <c r="I54" s="112">
        <v>3.07</v>
      </c>
      <c r="J54" s="112">
        <v>0.51</v>
      </c>
      <c r="K54" s="112">
        <v>273.74</v>
      </c>
      <c r="L54" s="112">
        <v>26.2</v>
      </c>
      <c r="M54" s="112">
        <v>92.36</v>
      </c>
      <c r="N54" s="112">
        <v>109.4</v>
      </c>
      <c r="O54" s="112">
        <v>0</v>
      </c>
      <c r="P54" s="112">
        <v>0.22</v>
      </c>
      <c r="Q54" s="112">
        <v>4.66</v>
      </c>
    </row>
    <row r="55" spans="1:17">
      <c r="A55" s="80">
        <v>45502.489583333336</v>
      </c>
      <c r="B55" s="112">
        <v>9.27</v>
      </c>
      <c r="C55" s="112">
        <v>4.0599999999999996</v>
      </c>
      <c r="D55" s="112">
        <v>14</v>
      </c>
      <c r="E55" s="112">
        <v>11.9</v>
      </c>
      <c r="F55" s="112">
        <v>5.07</v>
      </c>
      <c r="G55" s="112">
        <v>7.6</v>
      </c>
      <c r="H55" s="112">
        <v>3.58</v>
      </c>
      <c r="I55" s="112">
        <v>3.08</v>
      </c>
      <c r="J55" s="112">
        <v>0.62</v>
      </c>
      <c r="K55" s="112">
        <v>274.70999999999998</v>
      </c>
      <c r="L55" s="112">
        <v>26.98</v>
      </c>
      <c r="M55" s="112">
        <v>89.74</v>
      </c>
      <c r="N55" s="112">
        <v>279</v>
      </c>
      <c r="O55" s="112">
        <v>0</v>
      </c>
      <c r="P55" s="112">
        <v>0.23</v>
      </c>
      <c r="Q55" s="112">
        <v>4.6500000000000004</v>
      </c>
    </row>
    <row r="56" spans="1:17">
      <c r="A56" s="80">
        <v>45502.5</v>
      </c>
      <c r="B56" s="112">
        <v>9.27</v>
      </c>
      <c r="C56" s="112">
        <v>4.07</v>
      </c>
      <c r="D56" s="112">
        <v>14.01</v>
      </c>
      <c r="E56" s="112">
        <v>12.22</v>
      </c>
      <c r="F56" s="112">
        <v>5.53</v>
      </c>
      <c r="G56" s="112">
        <v>9.8699999999999992</v>
      </c>
      <c r="H56" s="112">
        <v>4.7300000000000004</v>
      </c>
      <c r="I56" s="112">
        <v>3.08</v>
      </c>
      <c r="J56" s="112">
        <v>0.59</v>
      </c>
      <c r="K56" s="112">
        <v>273.2</v>
      </c>
      <c r="L56" s="112">
        <v>27.55</v>
      </c>
      <c r="M56" s="112">
        <v>87.25</v>
      </c>
      <c r="N56" s="112">
        <v>165.9</v>
      </c>
      <c r="O56" s="112">
        <v>0</v>
      </c>
      <c r="P56" s="112">
        <v>0.23</v>
      </c>
      <c r="Q56" s="112">
        <v>4.66</v>
      </c>
    </row>
    <row r="57" spans="1:17">
      <c r="A57" s="80">
        <v>45502.510416666664</v>
      </c>
      <c r="B57" s="112">
        <v>9.25</v>
      </c>
      <c r="C57" s="112">
        <v>4.0999999999999996</v>
      </c>
      <c r="D57" s="112">
        <v>14.01</v>
      </c>
      <c r="E57" s="112">
        <v>12.27</v>
      </c>
      <c r="F57" s="112">
        <v>3.78</v>
      </c>
      <c r="G57" s="112">
        <v>9.8699999999999992</v>
      </c>
      <c r="H57" s="112">
        <v>4.7300000000000004</v>
      </c>
      <c r="I57" s="112">
        <v>2.92</v>
      </c>
      <c r="J57" s="112">
        <v>0.5</v>
      </c>
      <c r="K57" s="112">
        <v>270.92</v>
      </c>
      <c r="L57" s="112">
        <v>26.93</v>
      </c>
      <c r="M57" s="112">
        <v>88.85</v>
      </c>
      <c r="N57" s="112">
        <v>88.2</v>
      </c>
      <c r="O57" s="112">
        <v>0</v>
      </c>
      <c r="P57" s="112">
        <v>0.23</v>
      </c>
      <c r="Q57" s="112">
        <v>4.66</v>
      </c>
    </row>
    <row r="58" spans="1:17">
      <c r="A58" s="80">
        <v>45502.520833333336</v>
      </c>
      <c r="B58" s="112">
        <v>9.27</v>
      </c>
      <c r="C58" s="112">
        <v>4.09</v>
      </c>
      <c r="D58" s="112">
        <v>14.02</v>
      </c>
      <c r="E58" s="112">
        <v>11.81</v>
      </c>
      <c r="F58" s="112">
        <v>4.3600000000000003</v>
      </c>
      <c r="G58" s="112">
        <v>9.8699999999999992</v>
      </c>
      <c r="H58" s="112">
        <v>4.7300000000000004</v>
      </c>
      <c r="I58" s="112">
        <v>3.09</v>
      </c>
      <c r="J58" s="112">
        <v>0.59</v>
      </c>
      <c r="K58" s="112">
        <v>273.39999999999998</v>
      </c>
      <c r="L58" s="112">
        <v>26.84</v>
      </c>
      <c r="M58" s="112">
        <v>88.67</v>
      </c>
      <c r="N58" s="112">
        <v>162.1</v>
      </c>
      <c r="O58" s="112">
        <v>0</v>
      </c>
      <c r="P58" s="112">
        <v>0.23</v>
      </c>
      <c r="Q58" s="112">
        <v>4.6500000000000004</v>
      </c>
    </row>
    <row r="59" spans="1:17">
      <c r="A59" s="80">
        <v>45502.53125</v>
      </c>
      <c r="B59" s="112">
        <v>9.27</v>
      </c>
      <c r="C59" s="112">
        <v>4.09</v>
      </c>
      <c r="D59" s="112">
        <v>14.02</v>
      </c>
      <c r="E59" s="112">
        <v>11.67</v>
      </c>
      <c r="F59" s="112">
        <v>5.42</v>
      </c>
      <c r="G59" s="112">
        <v>10.51</v>
      </c>
      <c r="H59" s="112">
        <v>5.68</v>
      </c>
      <c r="I59" s="112">
        <v>3.08</v>
      </c>
      <c r="J59" s="112">
        <v>0.65</v>
      </c>
      <c r="K59" s="112">
        <v>277.33999999999997</v>
      </c>
      <c r="L59" s="112">
        <v>27.5</v>
      </c>
      <c r="M59" s="112">
        <v>86.8</v>
      </c>
      <c r="N59" s="112">
        <v>247.6</v>
      </c>
      <c r="O59" s="112">
        <v>0</v>
      </c>
      <c r="P59" s="112">
        <v>0.23</v>
      </c>
      <c r="Q59" s="112">
        <v>4.66</v>
      </c>
    </row>
    <row r="60" spans="1:17">
      <c r="A60" s="80">
        <v>45502.541666666664</v>
      </c>
      <c r="B60" s="112">
        <v>9.27</v>
      </c>
      <c r="C60" s="112">
        <v>4.08</v>
      </c>
      <c r="D60" s="112">
        <v>14.02</v>
      </c>
      <c r="E60" s="112">
        <v>11.96</v>
      </c>
      <c r="F60" s="112">
        <v>4.42</v>
      </c>
      <c r="G60" s="112">
        <v>11.51</v>
      </c>
      <c r="H60" s="112">
        <v>6.58</v>
      </c>
      <c r="I60" s="112">
        <v>3.06</v>
      </c>
      <c r="J60" s="112">
        <v>0.75</v>
      </c>
      <c r="K60" s="112">
        <v>276.43</v>
      </c>
      <c r="L60" s="112">
        <v>27.46</v>
      </c>
      <c r="M60" s="112">
        <v>86.21</v>
      </c>
      <c r="N60" s="112">
        <v>132.19999999999999</v>
      </c>
      <c r="O60" s="112">
        <v>0</v>
      </c>
      <c r="P60" s="112">
        <v>0.22</v>
      </c>
      <c r="Q60" s="112">
        <v>4.68</v>
      </c>
    </row>
    <row r="61" spans="1:17">
      <c r="A61" s="80">
        <v>45502.552083333336</v>
      </c>
      <c r="B61" s="112">
        <v>9.27</v>
      </c>
      <c r="C61" s="112">
        <v>4.0599999999999996</v>
      </c>
      <c r="D61" s="112">
        <v>14.01</v>
      </c>
      <c r="E61" s="112">
        <v>12.4</v>
      </c>
      <c r="F61" s="112">
        <v>4.3600000000000003</v>
      </c>
      <c r="G61" s="112">
        <v>11.51</v>
      </c>
      <c r="H61" s="112">
        <v>6.58</v>
      </c>
      <c r="I61" s="112">
        <v>2.99</v>
      </c>
      <c r="J61" s="112">
        <v>0.85</v>
      </c>
      <c r="K61" s="112">
        <v>277.07</v>
      </c>
      <c r="L61" s="112">
        <v>27.24</v>
      </c>
      <c r="M61" s="112">
        <v>86.8</v>
      </c>
      <c r="N61" s="112">
        <v>128.1</v>
      </c>
      <c r="O61" s="112">
        <v>0</v>
      </c>
      <c r="P61" s="112">
        <v>0.23</v>
      </c>
      <c r="Q61" s="112">
        <v>4.66</v>
      </c>
    </row>
    <row r="62" spans="1:17">
      <c r="A62" s="80">
        <v>45502.5625</v>
      </c>
      <c r="B62" s="112">
        <v>9.27</v>
      </c>
      <c r="C62" s="112">
        <v>4.0599999999999996</v>
      </c>
      <c r="D62" s="112">
        <v>14.01</v>
      </c>
      <c r="E62" s="112">
        <v>12.4</v>
      </c>
      <c r="F62" s="112">
        <v>4.75</v>
      </c>
      <c r="G62" s="112">
        <v>11.51</v>
      </c>
      <c r="H62" s="112">
        <v>6.58</v>
      </c>
      <c r="I62" s="112">
        <v>2.86</v>
      </c>
      <c r="J62" s="112">
        <v>0.75</v>
      </c>
      <c r="K62" s="112">
        <v>278.36</v>
      </c>
      <c r="L62" s="112">
        <v>27.8</v>
      </c>
      <c r="M62" s="112">
        <v>85.87</v>
      </c>
      <c r="N62" s="112">
        <v>265</v>
      </c>
      <c r="O62" s="112">
        <v>0</v>
      </c>
      <c r="P62" s="112">
        <v>0.23</v>
      </c>
      <c r="Q62" s="112">
        <v>4.66</v>
      </c>
    </row>
    <row r="63" spans="1:17">
      <c r="A63" s="80">
        <v>45502.572916666664</v>
      </c>
      <c r="B63" s="112">
        <v>9.27</v>
      </c>
      <c r="C63" s="112">
        <v>4.09</v>
      </c>
      <c r="D63" s="112">
        <v>14.02</v>
      </c>
      <c r="E63" s="112">
        <v>12.56</v>
      </c>
      <c r="F63" s="112">
        <v>6.19</v>
      </c>
      <c r="G63" s="112">
        <v>16.36</v>
      </c>
      <c r="H63" s="112">
        <v>8.32</v>
      </c>
      <c r="I63" s="112">
        <v>2.85</v>
      </c>
      <c r="J63" s="112">
        <v>0.63</v>
      </c>
      <c r="K63" s="112">
        <v>271.56</v>
      </c>
      <c r="L63" s="112">
        <v>28.17</v>
      </c>
      <c r="M63" s="112">
        <v>84.91</v>
      </c>
      <c r="N63" s="112">
        <v>165.3</v>
      </c>
      <c r="O63" s="112">
        <v>0</v>
      </c>
      <c r="P63" s="112">
        <v>0.23</v>
      </c>
      <c r="Q63" s="112">
        <v>4.67</v>
      </c>
    </row>
    <row r="64" spans="1:17">
      <c r="A64" s="80">
        <v>45502.583333333336</v>
      </c>
      <c r="B64" s="112">
        <v>9.2799999999999994</v>
      </c>
      <c r="C64" s="112">
        <v>4.0999999999999996</v>
      </c>
      <c r="D64" s="112">
        <v>14.03</v>
      </c>
      <c r="E64" s="112">
        <v>12.91</v>
      </c>
      <c r="F64" s="112">
        <v>3.83</v>
      </c>
      <c r="G64" s="112">
        <v>23.99</v>
      </c>
      <c r="H64" s="112">
        <v>9.9600000000000009</v>
      </c>
      <c r="I64" s="112">
        <v>2.86</v>
      </c>
      <c r="J64" s="112">
        <v>0.5</v>
      </c>
      <c r="K64" s="112">
        <v>266.69</v>
      </c>
      <c r="L64" s="112">
        <v>28.12</v>
      </c>
      <c r="M64" s="112">
        <v>85.47</v>
      </c>
      <c r="N64" s="112">
        <v>228.9</v>
      </c>
      <c r="O64" s="112">
        <v>0</v>
      </c>
      <c r="P64" s="112">
        <v>0.22</v>
      </c>
      <c r="Q64" s="112">
        <v>4.66</v>
      </c>
    </row>
    <row r="65" spans="1:17">
      <c r="A65" s="80">
        <v>45502.59375</v>
      </c>
      <c r="B65" s="112">
        <v>9.2899999999999991</v>
      </c>
      <c r="C65" s="112">
        <v>4.09</v>
      </c>
      <c r="D65" s="112">
        <v>14.03</v>
      </c>
      <c r="E65" s="112">
        <v>12.98</v>
      </c>
      <c r="F65" s="112">
        <v>3.9</v>
      </c>
      <c r="G65" s="112">
        <v>23.99</v>
      </c>
      <c r="H65" s="112">
        <v>9.9600000000000009</v>
      </c>
      <c r="I65" s="112">
        <v>2.86</v>
      </c>
      <c r="J65" s="112">
        <v>0.63</v>
      </c>
      <c r="K65" s="112">
        <v>277.72000000000003</v>
      </c>
      <c r="L65" s="112">
        <v>28.13</v>
      </c>
      <c r="M65" s="112">
        <v>84.31</v>
      </c>
      <c r="N65" s="112">
        <v>119</v>
      </c>
      <c r="O65" s="112">
        <v>0</v>
      </c>
      <c r="P65" s="112">
        <v>0.33</v>
      </c>
      <c r="Q65" s="112">
        <v>4.66</v>
      </c>
    </row>
    <row r="66" spans="1:17">
      <c r="A66" s="80">
        <v>45502.604166666664</v>
      </c>
      <c r="B66" s="112">
        <v>9.2899999999999991</v>
      </c>
      <c r="C66" s="112">
        <v>4.07</v>
      </c>
      <c r="D66" s="112">
        <v>14.03</v>
      </c>
      <c r="E66" s="112">
        <v>12.67</v>
      </c>
      <c r="F66" s="112">
        <v>4.95</v>
      </c>
      <c r="G66" s="112">
        <v>23.99</v>
      </c>
      <c r="H66" s="112">
        <v>9.9600000000000009</v>
      </c>
      <c r="I66" s="112">
        <v>2.82</v>
      </c>
      <c r="J66" s="112">
        <v>0.79</v>
      </c>
      <c r="K66" s="112">
        <v>280.93</v>
      </c>
      <c r="L66" s="112">
        <v>27.4</v>
      </c>
      <c r="M66" s="112">
        <v>87.07</v>
      </c>
      <c r="N66" s="112">
        <v>89.1</v>
      </c>
      <c r="O66" s="112">
        <v>0</v>
      </c>
      <c r="P66" s="112">
        <v>0.36</v>
      </c>
      <c r="Q66" s="112">
        <v>4.67</v>
      </c>
    </row>
    <row r="67" spans="1:17">
      <c r="A67" s="80">
        <v>45502.614583333336</v>
      </c>
      <c r="B67" s="112">
        <v>9.2799999999999994</v>
      </c>
      <c r="C67" s="112">
        <v>4.0599999999999996</v>
      </c>
      <c r="D67" s="112">
        <v>14.01</v>
      </c>
      <c r="E67" s="112">
        <v>13.02</v>
      </c>
      <c r="F67" s="112">
        <v>5.28</v>
      </c>
      <c r="G67" s="112">
        <v>26.3</v>
      </c>
      <c r="H67" s="112">
        <v>10.35</v>
      </c>
      <c r="I67" s="112">
        <v>2.77</v>
      </c>
      <c r="J67" s="112">
        <v>0.64</v>
      </c>
      <c r="K67" s="112">
        <v>274.98</v>
      </c>
      <c r="L67" s="112">
        <v>27.73</v>
      </c>
      <c r="M67" s="112">
        <v>88.51</v>
      </c>
      <c r="N67" s="112">
        <v>205.2</v>
      </c>
      <c r="O67" s="112">
        <v>0</v>
      </c>
      <c r="P67" s="112">
        <v>0.39</v>
      </c>
      <c r="Q67" s="112">
        <v>4.66</v>
      </c>
    </row>
    <row r="68" spans="1:17">
      <c r="A68" s="80">
        <v>45502.625</v>
      </c>
      <c r="B68" s="112">
        <v>9.31</v>
      </c>
      <c r="C68" s="112">
        <v>4.09</v>
      </c>
      <c r="D68" s="112">
        <v>14.05</v>
      </c>
      <c r="E68" s="112">
        <v>12.66</v>
      </c>
      <c r="F68" s="112">
        <v>5.62</v>
      </c>
      <c r="G68" s="112">
        <v>29.75</v>
      </c>
      <c r="H68" s="112">
        <v>11.71</v>
      </c>
      <c r="I68" s="112">
        <v>2.82</v>
      </c>
      <c r="J68" s="112">
        <v>0.56999999999999995</v>
      </c>
      <c r="K68" s="112">
        <v>273.22000000000003</v>
      </c>
      <c r="L68" s="112">
        <v>27.73</v>
      </c>
      <c r="M68" s="112">
        <v>88.42</v>
      </c>
      <c r="N68" s="112">
        <v>88.2</v>
      </c>
      <c r="O68" s="112">
        <v>0</v>
      </c>
      <c r="P68" s="112">
        <v>0.4</v>
      </c>
      <c r="Q68" s="112">
        <v>4.6399999999999997</v>
      </c>
    </row>
    <row r="69" spans="1:17">
      <c r="A69" s="80">
        <v>45502.635416666664</v>
      </c>
      <c r="B69" s="112">
        <v>9.32</v>
      </c>
      <c r="C69" s="112">
        <v>4.0599999999999996</v>
      </c>
      <c r="D69" s="112">
        <v>14.05</v>
      </c>
      <c r="E69" s="112">
        <v>12.52</v>
      </c>
      <c r="F69" s="112">
        <v>5.57</v>
      </c>
      <c r="G69" s="112">
        <v>29.75</v>
      </c>
      <c r="H69" s="112">
        <v>11.71</v>
      </c>
      <c r="I69" s="112">
        <v>2.79</v>
      </c>
      <c r="J69" s="112">
        <v>0.4</v>
      </c>
      <c r="K69" s="112">
        <v>280.69</v>
      </c>
      <c r="L69" s="112">
        <v>27.32</v>
      </c>
      <c r="M69" s="112">
        <v>90.69</v>
      </c>
      <c r="N69" s="112">
        <v>59.6</v>
      </c>
      <c r="O69" s="112">
        <v>0</v>
      </c>
      <c r="P69" s="112">
        <v>0.39</v>
      </c>
      <c r="Q69" s="112">
        <v>4.66</v>
      </c>
    </row>
    <row r="70" spans="1:17">
      <c r="A70" s="80">
        <v>45502.645833333336</v>
      </c>
      <c r="B70" s="112">
        <v>9.33</v>
      </c>
      <c r="C70" s="112">
        <v>4.04</v>
      </c>
      <c r="D70" s="112">
        <v>14.05</v>
      </c>
      <c r="E70" s="112">
        <v>11.65</v>
      </c>
      <c r="F70" s="112">
        <v>5.65</v>
      </c>
      <c r="G70" s="112">
        <v>29.75</v>
      </c>
      <c r="H70" s="112">
        <v>11.71</v>
      </c>
      <c r="I70" s="112">
        <v>2.82</v>
      </c>
      <c r="J70" s="112">
        <v>0.52</v>
      </c>
      <c r="K70" s="112">
        <v>278.72000000000003</v>
      </c>
      <c r="L70" s="112">
        <v>27.26</v>
      </c>
      <c r="M70" s="112">
        <v>90.2</v>
      </c>
      <c r="N70" s="112">
        <v>64.5</v>
      </c>
      <c r="O70" s="112">
        <v>0</v>
      </c>
      <c r="P70" s="112">
        <v>0.4</v>
      </c>
      <c r="Q70" s="112">
        <v>4.66</v>
      </c>
    </row>
    <row r="71" spans="1:17">
      <c r="A71" s="80">
        <v>45502.65625</v>
      </c>
      <c r="B71" s="112">
        <v>9.34</v>
      </c>
      <c r="C71" s="112">
        <v>4.08</v>
      </c>
      <c r="D71" s="112">
        <v>14.07</v>
      </c>
      <c r="E71" s="112">
        <v>11.46</v>
      </c>
      <c r="F71" s="112">
        <v>7.81</v>
      </c>
      <c r="G71" s="112">
        <v>28.62</v>
      </c>
      <c r="H71" s="112">
        <v>13.59</v>
      </c>
      <c r="I71" s="112">
        <v>2.81</v>
      </c>
      <c r="J71" s="112">
        <v>0.56999999999999995</v>
      </c>
      <c r="K71" s="112">
        <v>283.91000000000003</v>
      </c>
      <c r="L71" s="112">
        <v>27.32</v>
      </c>
      <c r="M71" s="112">
        <v>89.44</v>
      </c>
      <c r="N71" s="112">
        <v>76.099999999999994</v>
      </c>
      <c r="O71" s="112">
        <v>0</v>
      </c>
      <c r="P71" s="112">
        <v>0.4</v>
      </c>
      <c r="Q71" s="112">
        <v>4.66</v>
      </c>
    </row>
    <row r="72" spans="1:17">
      <c r="A72" s="80">
        <v>45502.666666666664</v>
      </c>
      <c r="B72" s="112">
        <v>9.35</v>
      </c>
      <c r="C72" s="112">
        <v>4.08</v>
      </c>
      <c r="D72" s="112">
        <v>14.08</v>
      </c>
      <c r="E72" s="112">
        <v>11.4</v>
      </c>
      <c r="F72" s="112">
        <v>6.46</v>
      </c>
      <c r="G72" s="112">
        <v>26.93</v>
      </c>
      <c r="H72" s="112">
        <v>15.35</v>
      </c>
      <c r="I72" s="112">
        <v>2.83</v>
      </c>
      <c r="J72" s="112">
        <v>0.59</v>
      </c>
      <c r="K72" s="112">
        <v>286.57</v>
      </c>
      <c r="L72" s="112">
        <v>27.13</v>
      </c>
      <c r="M72" s="112">
        <v>89.22</v>
      </c>
      <c r="N72" s="112">
        <v>60.5</v>
      </c>
      <c r="O72" s="112">
        <v>0</v>
      </c>
      <c r="P72" s="112">
        <v>0.4</v>
      </c>
      <c r="Q72" s="112">
        <v>4.66</v>
      </c>
    </row>
    <row r="73" spans="1:17">
      <c r="A73" s="80">
        <v>45502.677083333336</v>
      </c>
      <c r="B73" s="112">
        <v>9.34</v>
      </c>
      <c r="C73" s="112">
        <v>4.0599999999999996</v>
      </c>
      <c r="D73" s="112">
        <v>14.06</v>
      </c>
      <c r="E73" s="112">
        <v>11.37</v>
      </c>
      <c r="F73" s="112">
        <v>6</v>
      </c>
      <c r="G73" s="112">
        <v>26.93</v>
      </c>
      <c r="H73" s="112">
        <v>15.35</v>
      </c>
      <c r="I73" s="112">
        <v>2.81</v>
      </c>
      <c r="J73" s="112">
        <v>0.44</v>
      </c>
      <c r="K73" s="112">
        <v>278.86</v>
      </c>
      <c r="L73" s="112">
        <v>27.27</v>
      </c>
      <c r="M73" s="112">
        <v>89.62</v>
      </c>
      <c r="N73" s="112">
        <v>113.2</v>
      </c>
      <c r="O73" s="112">
        <v>0</v>
      </c>
      <c r="P73" s="112">
        <v>0.4</v>
      </c>
      <c r="Q73" s="112">
        <v>4.66</v>
      </c>
    </row>
    <row r="74" spans="1:17">
      <c r="A74" s="80">
        <v>45502.6875</v>
      </c>
      <c r="B74" s="112">
        <v>9.35</v>
      </c>
      <c r="C74" s="112">
        <v>4.05</v>
      </c>
      <c r="D74" s="112">
        <v>14.06</v>
      </c>
      <c r="E74" s="112">
        <v>10.9</v>
      </c>
      <c r="F74" s="112">
        <v>6.03</v>
      </c>
      <c r="G74" s="112">
        <v>26.93</v>
      </c>
      <c r="H74" s="112">
        <v>15.35</v>
      </c>
      <c r="I74" s="112">
        <v>2.86</v>
      </c>
      <c r="J74" s="112">
        <v>0.59</v>
      </c>
      <c r="K74" s="112">
        <v>277.27</v>
      </c>
      <c r="L74" s="112">
        <v>27.75</v>
      </c>
      <c r="M74" s="112">
        <v>87.15</v>
      </c>
      <c r="N74" s="112">
        <v>123.6</v>
      </c>
      <c r="O74" s="112">
        <v>0</v>
      </c>
      <c r="P74" s="112">
        <v>0.4</v>
      </c>
      <c r="Q74" s="112">
        <v>4.6500000000000004</v>
      </c>
    </row>
    <row r="75" spans="1:17">
      <c r="A75" s="80">
        <v>45502.697916666664</v>
      </c>
      <c r="B75" s="112">
        <v>9.36</v>
      </c>
      <c r="C75" s="112">
        <v>4.03</v>
      </c>
      <c r="D75" s="112">
        <v>14.07</v>
      </c>
      <c r="E75" s="112">
        <v>10.62</v>
      </c>
      <c r="F75" s="112">
        <v>6.78</v>
      </c>
      <c r="G75" s="112">
        <v>29.32</v>
      </c>
      <c r="H75" s="112">
        <v>14.76</v>
      </c>
      <c r="I75" s="112">
        <v>2.87</v>
      </c>
      <c r="J75" s="112">
        <v>0.49</v>
      </c>
      <c r="K75" s="112">
        <v>276.25</v>
      </c>
      <c r="L75" s="112">
        <v>27.45</v>
      </c>
      <c r="M75" s="112">
        <v>87.93</v>
      </c>
      <c r="N75" s="112">
        <v>58.5</v>
      </c>
      <c r="O75" s="112">
        <v>0</v>
      </c>
      <c r="P75" s="112">
        <v>0.4</v>
      </c>
      <c r="Q75" s="112">
        <v>4.66</v>
      </c>
    </row>
    <row r="76" spans="1:17">
      <c r="A76" s="80">
        <v>45502.708333333336</v>
      </c>
      <c r="B76" s="112">
        <v>9.3699999999999992</v>
      </c>
      <c r="C76" s="112">
        <v>4.04</v>
      </c>
      <c r="D76" s="112">
        <v>14.08</v>
      </c>
      <c r="E76" s="112">
        <v>10.24</v>
      </c>
      <c r="F76" s="112">
        <v>6.83</v>
      </c>
      <c r="G76" s="112">
        <v>32.909999999999997</v>
      </c>
      <c r="H76" s="112">
        <v>14.19</v>
      </c>
      <c r="I76" s="112">
        <v>2.86</v>
      </c>
      <c r="J76" s="112">
        <v>0.55000000000000004</v>
      </c>
      <c r="K76" s="112">
        <v>281.04000000000002</v>
      </c>
      <c r="L76" s="112">
        <v>27.27</v>
      </c>
      <c r="M76" s="112">
        <v>88.52</v>
      </c>
      <c r="N76" s="112">
        <v>47.2</v>
      </c>
      <c r="O76" s="112">
        <v>0</v>
      </c>
      <c r="P76" s="112">
        <v>0.39</v>
      </c>
      <c r="Q76" s="112">
        <v>4.67</v>
      </c>
    </row>
    <row r="77" spans="1:17">
      <c r="A77" s="80">
        <v>45502.71875</v>
      </c>
      <c r="B77" s="112">
        <v>9.39</v>
      </c>
      <c r="C77" s="112">
        <v>4.05</v>
      </c>
      <c r="D77" s="112">
        <v>14.09</v>
      </c>
      <c r="E77" s="112">
        <v>10.54</v>
      </c>
      <c r="F77" s="112">
        <v>6.11</v>
      </c>
      <c r="G77" s="112">
        <v>32.909999999999997</v>
      </c>
      <c r="H77" s="112">
        <v>14.19</v>
      </c>
      <c r="I77" s="112">
        <v>2.82</v>
      </c>
      <c r="J77" s="112">
        <v>0.49</v>
      </c>
      <c r="K77" s="112">
        <v>276.12</v>
      </c>
      <c r="L77" s="112">
        <v>27.09</v>
      </c>
      <c r="M77" s="112">
        <v>88.78</v>
      </c>
      <c r="N77" s="112">
        <v>18.899999999999999</v>
      </c>
      <c r="O77" s="112">
        <v>0</v>
      </c>
      <c r="P77" s="112">
        <v>0.4</v>
      </c>
      <c r="Q77" s="112">
        <v>4.66</v>
      </c>
    </row>
    <row r="78" spans="1:17">
      <c r="A78" s="80">
        <v>45502.729166666664</v>
      </c>
      <c r="B78" s="112">
        <v>9.39</v>
      </c>
      <c r="C78" s="112">
        <v>4.09</v>
      </c>
      <c r="D78" s="112">
        <v>14.11</v>
      </c>
      <c r="E78" s="112">
        <v>10.029999999999999</v>
      </c>
      <c r="F78" s="112">
        <v>6.36</v>
      </c>
      <c r="G78" s="112">
        <v>32.909999999999997</v>
      </c>
      <c r="H78" s="112">
        <v>14.19</v>
      </c>
      <c r="I78" s="112">
        <v>2.89</v>
      </c>
      <c r="J78" s="112">
        <v>0.37</v>
      </c>
      <c r="K78" s="112">
        <v>269.83</v>
      </c>
      <c r="L78" s="112">
        <v>26.87</v>
      </c>
      <c r="M78" s="112">
        <v>90.6</v>
      </c>
      <c r="N78" s="112">
        <v>11.9</v>
      </c>
      <c r="O78" s="112">
        <v>0</v>
      </c>
      <c r="P78" s="112">
        <v>0.4</v>
      </c>
      <c r="Q78" s="112">
        <v>4.6500000000000004</v>
      </c>
    </row>
    <row r="79" spans="1:17">
      <c r="A79" s="80">
        <v>45502.739583333336</v>
      </c>
      <c r="B79" s="112">
        <v>9.39</v>
      </c>
      <c r="C79" s="112">
        <v>4.0599999999999996</v>
      </c>
      <c r="D79" s="112">
        <v>14.1</v>
      </c>
      <c r="E79" s="112">
        <v>10.18</v>
      </c>
      <c r="F79" s="112">
        <v>8.2100000000000009</v>
      </c>
      <c r="G79" s="112">
        <v>34.61</v>
      </c>
      <c r="H79" s="112">
        <v>16.989999999999998</v>
      </c>
      <c r="I79" s="112">
        <v>2.92</v>
      </c>
      <c r="J79" s="112">
        <v>0.35</v>
      </c>
      <c r="K79" s="112">
        <v>278.16000000000003</v>
      </c>
      <c r="L79" s="112">
        <v>26.7</v>
      </c>
      <c r="M79" s="112">
        <v>92.02</v>
      </c>
      <c r="N79" s="112">
        <v>19.899999999999999</v>
      </c>
      <c r="O79" s="112">
        <v>0</v>
      </c>
      <c r="P79" s="112">
        <v>0.4</v>
      </c>
      <c r="Q79" s="112">
        <v>4.66</v>
      </c>
    </row>
    <row r="80" spans="1:17">
      <c r="A80" s="80">
        <v>45502.75</v>
      </c>
      <c r="B80" s="112">
        <v>9.4</v>
      </c>
      <c r="C80" s="112">
        <v>4.07</v>
      </c>
      <c r="D80" s="112">
        <v>14.11</v>
      </c>
      <c r="E80" s="112">
        <v>10.050000000000001</v>
      </c>
      <c r="F80" s="112">
        <v>8.01</v>
      </c>
      <c r="G80" s="112">
        <v>37.17</v>
      </c>
      <c r="H80" s="112">
        <v>19.62</v>
      </c>
      <c r="I80" s="112">
        <v>2.96</v>
      </c>
      <c r="J80" s="112">
        <v>0.18</v>
      </c>
      <c r="K80" s="112">
        <v>253.1</v>
      </c>
      <c r="L80" s="112">
        <v>26.67</v>
      </c>
      <c r="M80" s="112">
        <v>92.32</v>
      </c>
      <c r="N80" s="112">
        <v>6.4</v>
      </c>
      <c r="O80" s="112">
        <v>0</v>
      </c>
      <c r="P80" s="112">
        <v>0.39</v>
      </c>
      <c r="Q80" s="112">
        <v>4.67</v>
      </c>
    </row>
    <row r="81" spans="1:17">
      <c r="A81" s="80">
        <v>45502.760416666664</v>
      </c>
      <c r="B81" s="112">
        <v>9.41</v>
      </c>
      <c r="C81" s="112">
        <v>4.0599999999999996</v>
      </c>
      <c r="D81" s="112">
        <v>14.11</v>
      </c>
      <c r="E81" s="112">
        <v>8.61</v>
      </c>
      <c r="F81" s="112">
        <v>7.64</v>
      </c>
      <c r="G81" s="112">
        <v>37.17</v>
      </c>
      <c r="H81" s="112">
        <v>19.62</v>
      </c>
      <c r="I81" s="112">
        <v>2.86</v>
      </c>
      <c r="J81" s="112">
        <v>0.26</v>
      </c>
      <c r="K81" s="112">
        <v>276.32</v>
      </c>
      <c r="L81" s="112">
        <v>26.49</v>
      </c>
      <c r="M81" s="112">
        <v>92.56</v>
      </c>
      <c r="N81" s="112">
        <v>4.9000000000000004</v>
      </c>
      <c r="O81" s="112">
        <v>0</v>
      </c>
      <c r="P81" s="112">
        <v>0.4</v>
      </c>
      <c r="Q81" s="112">
        <v>4.66</v>
      </c>
    </row>
    <row r="82" spans="1:17">
      <c r="A82" s="80">
        <v>45502.770833333336</v>
      </c>
      <c r="B82" s="112">
        <v>9.3800000000000008</v>
      </c>
      <c r="C82" s="112">
        <v>4.09</v>
      </c>
      <c r="D82" s="112">
        <v>14.11</v>
      </c>
      <c r="E82" s="112">
        <v>9.56</v>
      </c>
      <c r="F82" s="112">
        <v>7.82</v>
      </c>
      <c r="G82" s="112">
        <v>37.17</v>
      </c>
      <c r="H82" s="112">
        <v>19.62</v>
      </c>
      <c r="I82" s="112">
        <v>2.93</v>
      </c>
      <c r="J82" s="112">
        <v>0.08</v>
      </c>
      <c r="K82" s="112">
        <v>230.28</v>
      </c>
      <c r="L82" s="112">
        <v>26.41</v>
      </c>
      <c r="M82" s="112">
        <v>93.1</v>
      </c>
      <c r="N82" s="112">
        <v>5</v>
      </c>
      <c r="O82" s="112">
        <v>0</v>
      </c>
      <c r="P82" s="112">
        <v>0.41</v>
      </c>
      <c r="Q82" s="112">
        <v>4.66</v>
      </c>
    </row>
    <row r="83" spans="1:17">
      <c r="A83" s="80">
        <v>45502.78125</v>
      </c>
      <c r="B83" s="112">
        <v>9.3699999999999992</v>
      </c>
      <c r="C83" s="112">
        <v>4.09</v>
      </c>
      <c r="D83" s="112">
        <v>14.1</v>
      </c>
      <c r="E83" s="112">
        <v>9.83</v>
      </c>
      <c r="F83" s="112">
        <v>8.77</v>
      </c>
      <c r="G83" s="112">
        <v>37.729999999999997</v>
      </c>
      <c r="H83" s="112">
        <v>18.149999999999999</v>
      </c>
      <c r="I83" s="112">
        <v>3.11</v>
      </c>
      <c r="J83" s="112">
        <v>0.06</v>
      </c>
      <c r="K83" s="112">
        <v>199.89</v>
      </c>
      <c r="L83" s="112">
        <v>26.24</v>
      </c>
      <c r="M83" s="112">
        <v>93.35</v>
      </c>
      <c r="N83" s="112">
        <v>2.9</v>
      </c>
      <c r="O83" s="112">
        <v>0</v>
      </c>
      <c r="P83" s="112">
        <v>0.42</v>
      </c>
      <c r="Q83" s="112">
        <v>4.6500000000000004</v>
      </c>
    </row>
    <row r="84" spans="1:17">
      <c r="A84" s="80">
        <v>45502.791666666664</v>
      </c>
      <c r="B84" s="112">
        <v>9.3699999999999992</v>
      </c>
      <c r="C84" s="112">
        <v>4.0999999999999996</v>
      </c>
      <c r="D84" s="112">
        <v>14.11</v>
      </c>
      <c r="E84" s="112">
        <v>9.56</v>
      </c>
      <c r="F84" s="112">
        <v>8.24</v>
      </c>
      <c r="G84" s="112">
        <v>38.58</v>
      </c>
      <c r="H84" s="112">
        <v>16.809999999999999</v>
      </c>
      <c r="I84" s="112">
        <v>3.01</v>
      </c>
      <c r="J84" s="112">
        <v>0.09</v>
      </c>
      <c r="K84" s="112">
        <v>192.61</v>
      </c>
      <c r="L84" s="112">
        <v>26.27</v>
      </c>
      <c r="M84" s="112">
        <v>94.24</v>
      </c>
      <c r="N84" s="112">
        <v>2.2000000000000002</v>
      </c>
      <c r="O84" s="112">
        <v>0</v>
      </c>
      <c r="P84" s="112">
        <v>0.41</v>
      </c>
      <c r="Q84" s="112">
        <v>4.66</v>
      </c>
    </row>
    <row r="85" spans="1:17">
      <c r="A85" s="80">
        <v>45502.802083333336</v>
      </c>
      <c r="B85" s="112">
        <v>9.3699999999999992</v>
      </c>
      <c r="C85" s="112">
        <v>4.12</v>
      </c>
      <c r="D85" s="112">
        <v>14.11</v>
      </c>
      <c r="E85" s="112">
        <v>9.67</v>
      </c>
      <c r="F85" s="112">
        <v>7.13</v>
      </c>
      <c r="G85" s="112">
        <v>38.58</v>
      </c>
      <c r="H85" s="112">
        <v>16.809999999999999</v>
      </c>
      <c r="I85" s="112">
        <v>3.28</v>
      </c>
      <c r="J85" s="112">
        <v>0.12</v>
      </c>
      <c r="K85" s="112">
        <v>248.13</v>
      </c>
      <c r="L85" s="112">
        <v>26.2</v>
      </c>
      <c r="M85" s="112">
        <v>94.44</v>
      </c>
      <c r="N85" s="112">
        <v>2.2999999999999998</v>
      </c>
      <c r="O85" s="112">
        <v>0</v>
      </c>
      <c r="P85" s="112">
        <v>0.41</v>
      </c>
      <c r="Q85" s="112">
        <v>4.67</v>
      </c>
    </row>
    <row r="86" spans="1:17">
      <c r="A86" s="80">
        <v>45502.8125</v>
      </c>
      <c r="B86" s="112">
        <v>9.36</v>
      </c>
      <c r="C86" s="112">
        <v>4.07</v>
      </c>
      <c r="D86" s="112">
        <v>14.08</v>
      </c>
      <c r="E86" s="112">
        <v>10.35</v>
      </c>
      <c r="F86" s="112">
        <v>6.86</v>
      </c>
      <c r="G86" s="112">
        <v>38.58</v>
      </c>
      <c r="H86" s="112">
        <v>16.809999999999999</v>
      </c>
      <c r="I86" s="112">
        <v>3.16</v>
      </c>
      <c r="J86" s="112">
        <v>0.06</v>
      </c>
      <c r="K86" s="112">
        <v>198.25</v>
      </c>
      <c r="L86" s="112">
        <v>26.27</v>
      </c>
      <c r="M86" s="112">
        <v>94.57</v>
      </c>
      <c r="N86" s="112">
        <v>2.2999999999999998</v>
      </c>
      <c r="O86" s="112">
        <v>0</v>
      </c>
      <c r="P86" s="112">
        <v>0.38</v>
      </c>
      <c r="Q86" s="112">
        <v>4.67</v>
      </c>
    </row>
    <row r="87" spans="1:17">
      <c r="A87" s="80">
        <v>45502.822916666664</v>
      </c>
      <c r="B87" s="112">
        <v>9.36</v>
      </c>
      <c r="C87" s="112">
        <v>4.04</v>
      </c>
      <c r="D87" s="112">
        <v>14.06</v>
      </c>
      <c r="E87" s="112">
        <v>10.07</v>
      </c>
      <c r="F87" s="112">
        <v>6.61</v>
      </c>
      <c r="G87" s="112">
        <v>38.04</v>
      </c>
      <c r="H87" s="112">
        <v>20.39</v>
      </c>
      <c r="I87" s="112">
        <v>3.17</v>
      </c>
      <c r="J87" s="112">
        <v>7.0000000000000007E-2</v>
      </c>
      <c r="K87" s="112">
        <v>226.02</v>
      </c>
      <c r="L87" s="112">
        <v>26.2</v>
      </c>
      <c r="M87" s="112">
        <v>94.59</v>
      </c>
      <c r="N87" s="112">
        <v>2.2999999999999998</v>
      </c>
      <c r="O87" s="112">
        <v>0</v>
      </c>
      <c r="P87" s="112">
        <v>0.38</v>
      </c>
      <c r="Q87" s="112">
        <v>4.6500000000000004</v>
      </c>
    </row>
    <row r="88" spans="1:17">
      <c r="A88" s="80">
        <v>45502.833333333336</v>
      </c>
      <c r="B88" s="112">
        <v>9.34</v>
      </c>
      <c r="C88" s="112">
        <v>4.03</v>
      </c>
      <c r="D88" s="112">
        <v>14.05</v>
      </c>
      <c r="E88" s="112">
        <v>10.68</v>
      </c>
      <c r="F88" s="112">
        <v>6.03</v>
      </c>
      <c r="G88" s="112">
        <v>37.200000000000003</v>
      </c>
      <c r="H88" s="112">
        <v>23.65</v>
      </c>
      <c r="I88" s="112">
        <v>3.46</v>
      </c>
      <c r="J88" s="112">
        <v>7.0000000000000007E-2</v>
      </c>
      <c r="K88" s="112">
        <v>214.96</v>
      </c>
      <c r="L88" s="112">
        <v>26.25</v>
      </c>
      <c r="M88" s="112">
        <v>94.8</v>
      </c>
      <c r="N88" s="112">
        <v>2.4</v>
      </c>
      <c r="O88" s="112">
        <v>0</v>
      </c>
      <c r="P88" s="112">
        <v>0.39</v>
      </c>
      <c r="Q88" s="112">
        <v>4.6500000000000004</v>
      </c>
    </row>
    <row r="89" spans="1:17">
      <c r="A89" s="80">
        <v>45502.84375</v>
      </c>
      <c r="B89" s="112">
        <v>9.31</v>
      </c>
      <c r="C89" s="112">
        <v>4.0599999999999996</v>
      </c>
      <c r="D89" s="112">
        <v>14.03</v>
      </c>
      <c r="E89" s="112">
        <v>10.88</v>
      </c>
      <c r="F89" s="112">
        <v>5.25</v>
      </c>
      <c r="G89" s="112">
        <v>37.200000000000003</v>
      </c>
      <c r="H89" s="112">
        <v>23.65</v>
      </c>
      <c r="I89" s="112">
        <v>3.34</v>
      </c>
      <c r="J89" s="112">
        <v>0.11</v>
      </c>
      <c r="K89" s="112">
        <v>209.08</v>
      </c>
      <c r="L89" s="112">
        <v>26.23</v>
      </c>
      <c r="M89" s="112">
        <v>95.34</v>
      </c>
      <c r="N89" s="112">
        <v>2.2999999999999998</v>
      </c>
      <c r="O89" s="112">
        <v>0</v>
      </c>
      <c r="P89" s="112">
        <v>0.39</v>
      </c>
      <c r="Q89" s="112">
        <v>4.66</v>
      </c>
    </row>
    <row r="90" spans="1:17">
      <c r="A90" s="80">
        <v>45502.854166666664</v>
      </c>
      <c r="B90" s="112">
        <v>9.3000000000000007</v>
      </c>
      <c r="C90" s="112">
        <v>4.05</v>
      </c>
      <c r="D90" s="112">
        <v>14.02</v>
      </c>
      <c r="E90" s="112">
        <v>11</v>
      </c>
      <c r="F90" s="112">
        <v>5.29</v>
      </c>
      <c r="G90" s="112">
        <v>37.200000000000003</v>
      </c>
      <c r="H90" s="112">
        <v>23.65</v>
      </c>
      <c r="I90" s="112">
        <v>3.54</v>
      </c>
      <c r="J90" s="112">
        <v>0.09</v>
      </c>
      <c r="K90" s="112">
        <v>258.51</v>
      </c>
      <c r="L90" s="112">
        <v>26.19</v>
      </c>
      <c r="M90" s="112">
        <v>95.68</v>
      </c>
      <c r="N90" s="112">
        <v>2.2999999999999998</v>
      </c>
      <c r="O90" s="112">
        <v>0</v>
      </c>
      <c r="P90" s="112">
        <v>0.4</v>
      </c>
      <c r="Q90" s="112">
        <v>4.66</v>
      </c>
    </row>
    <row r="91" spans="1:17">
      <c r="A91" s="80">
        <v>45502.864583333336</v>
      </c>
      <c r="B91" s="112">
        <v>9.2899999999999991</v>
      </c>
      <c r="C91" s="112">
        <v>4.0599999999999996</v>
      </c>
      <c r="D91" s="112">
        <v>14.02</v>
      </c>
      <c r="E91" s="112">
        <v>11.47</v>
      </c>
      <c r="F91" s="112">
        <v>5.61</v>
      </c>
      <c r="G91" s="112">
        <v>39.74</v>
      </c>
      <c r="H91" s="112">
        <v>22.11</v>
      </c>
      <c r="I91" s="112">
        <v>3.43</v>
      </c>
      <c r="J91" s="112">
        <v>0.19</v>
      </c>
      <c r="K91" s="112">
        <v>265.33999999999997</v>
      </c>
      <c r="L91" s="112">
        <v>26.18</v>
      </c>
      <c r="M91" s="112">
        <v>95.16</v>
      </c>
      <c r="N91" s="112">
        <v>2.2999999999999998</v>
      </c>
      <c r="O91" s="112">
        <v>0</v>
      </c>
      <c r="P91" s="112">
        <v>0.4</v>
      </c>
      <c r="Q91" s="112">
        <v>4.66</v>
      </c>
    </row>
    <row r="92" spans="1:17">
      <c r="A92" s="80">
        <v>45502.875</v>
      </c>
      <c r="B92" s="112">
        <v>9.2799999999999994</v>
      </c>
      <c r="C92" s="112">
        <v>4.0599999999999996</v>
      </c>
      <c r="D92" s="112">
        <v>14.01</v>
      </c>
      <c r="E92" s="112">
        <v>11.35</v>
      </c>
      <c r="F92" s="112">
        <v>5.85</v>
      </c>
      <c r="G92" s="112">
        <v>43.74</v>
      </c>
      <c r="H92" s="112">
        <v>17.32</v>
      </c>
      <c r="I92" s="112">
        <v>3.57</v>
      </c>
      <c r="J92" s="112">
        <v>0.18</v>
      </c>
      <c r="K92" s="112">
        <v>255.89</v>
      </c>
      <c r="L92" s="112">
        <v>26.21</v>
      </c>
      <c r="M92" s="112">
        <v>95.47</v>
      </c>
      <c r="N92" s="112">
        <v>2.4</v>
      </c>
      <c r="O92" s="112">
        <v>0</v>
      </c>
      <c r="P92" s="112">
        <v>0.4</v>
      </c>
      <c r="Q92" s="112">
        <v>4.6500000000000004</v>
      </c>
    </row>
    <row r="93" spans="1:17">
      <c r="A93" s="80">
        <v>45502.885416666664</v>
      </c>
      <c r="B93" s="112">
        <v>9.27</v>
      </c>
      <c r="C93" s="112">
        <v>4.07</v>
      </c>
      <c r="D93" s="112">
        <v>14.01</v>
      </c>
      <c r="E93" s="112">
        <v>11.87</v>
      </c>
      <c r="F93" s="112">
        <v>4.6500000000000004</v>
      </c>
      <c r="G93" s="112">
        <v>43.74</v>
      </c>
      <c r="H93" s="112">
        <v>17.32</v>
      </c>
      <c r="I93" s="112">
        <v>3.59</v>
      </c>
      <c r="J93" s="112">
        <v>0.22</v>
      </c>
      <c r="K93" s="112">
        <v>267.35000000000002</v>
      </c>
      <c r="L93" s="112">
        <v>25.99</v>
      </c>
      <c r="M93" s="112">
        <v>96.18</v>
      </c>
      <c r="N93" s="112">
        <v>2.2999999999999998</v>
      </c>
      <c r="O93" s="112">
        <v>0</v>
      </c>
      <c r="P93" s="112">
        <v>0.4</v>
      </c>
      <c r="Q93" s="112">
        <v>4.66</v>
      </c>
    </row>
    <row r="94" spans="1:17">
      <c r="A94" s="80">
        <v>45502.895833333336</v>
      </c>
      <c r="B94" s="112">
        <v>9.2899999999999991</v>
      </c>
      <c r="C94" s="112">
        <v>4.05</v>
      </c>
      <c r="D94" s="112">
        <v>14.01</v>
      </c>
      <c r="E94" s="112">
        <v>11.94</v>
      </c>
      <c r="F94" s="112">
        <v>4.76</v>
      </c>
      <c r="G94" s="112">
        <v>43.74</v>
      </c>
      <c r="H94" s="112">
        <v>17.32</v>
      </c>
      <c r="I94" s="112">
        <v>3.41</v>
      </c>
      <c r="J94" s="112">
        <v>0.14000000000000001</v>
      </c>
      <c r="K94" s="112">
        <v>246.89</v>
      </c>
      <c r="L94" s="112">
        <v>25.87</v>
      </c>
      <c r="M94" s="112">
        <v>97.67</v>
      </c>
      <c r="N94" s="112">
        <v>2.1</v>
      </c>
      <c r="O94" s="112">
        <v>0</v>
      </c>
      <c r="P94" s="112">
        <v>0.39</v>
      </c>
      <c r="Q94" s="112">
        <v>4.6500000000000004</v>
      </c>
    </row>
    <row r="95" spans="1:17">
      <c r="A95" s="80">
        <v>45502.90625</v>
      </c>
      <c r="B95" s="112">
        <v>9.2799999999999994</v>
      </c>
      <c r="C95" s="112">
        <v>4.0599999999999996</v>
      </c>
      <c r="D95" s="112">
        <v>14.01</v>
      </c>
      <c r="E95" s="112">
        <v>11.87</v>
      </c>
      <c r="F95" s="112">
        <v>4.58</v>
      </c>
      <c r="G95" s="112">
        <v>40.15</v>
      </c>
      <c r="H95" s="112">
        <v>14.99</v>
      </c>
      <c r="I95" s="112">
        <v>3.36</v>
      </c>
      <c r="J95" s="112">
        <v>0.1</v>
      </c>
      <c r="K95" s="112">
        <v>201.91</v>
      </c>
      <c r="L95" s="112">
        <v>25.6</v>
      </c>
      <c r="M95" s="112">
        <v>99.09</v>
      </c>
      <c r="N95" s="112">
        <v>2.2000000000000002</v>
      </c>
      <c r="O95" s="112">
        <v>0</v>
      </c>
      <c r="P95" s="112">
        <v>0.39</v>
      </c>
      <c r="Q95" s="112">
        <v>4.6399999999999997</v>
      </c>
    </row>
    <row r="96" spans="1:17">
      <c r="A96" s="80">
        <v>45502.916666666664</v>
      </c>
      <c r="B96" s="112">
        <v>9.2899999999999991</v>
      </c>
      <c r="C96" s="112">
        <v>4.07</v>
      </c>
      <c r="D96" s="112">
        <v>14.02</v>
      </c>
      <c r="E96" s="112">
        <v>12</v>
      </c>
      <c r="F96" s="112">
        <v>4.4400000000000004</v>
      </c>
      <c r="G96" s="112">
        <v>34.78</v>
      </c>
      <c r="H96" s="112">
        <v>12.93</v>
      </c>
      <c r="I96" s="112">
        <v>3.37</v>
      </c>
      <c r="J96" s="112">
        <v>0.11</v>
      </c>
      <c r="K96" s="112">
        <v>161.53</v>
      </c>
      <c r="L96" s="112">
        <v>25.55</v>
      </c>
      <c r="M96" s="112">
        <v>99.19</v>
      </c>
      <c r="N96" s="112">
        <v>2.1</v>
      </c>
      <c r="O96" s="112">
        <v>0</v>
      </c>
      <c r="P96" s="112">
        <v>0.39</v>
      </c>
      <c r="Q96" s="112">
        <v>4.6500000000000004</v>
      </c>
    </row>
    <row r="97" spans="1:21">
      <c r="A97" s="80">
        <v>45502.927083333336</v>
      </c>
      <c r="B97" s="112">
        <v>9.2799999999999994</v>
      </c>
      <c r="C97" s="112">
        <v>4.0599999999999996</v>
      </c>
      <c r="D97" s="112">
        <v>14.02</v>
      </c>
      <c r="E97" s="112">
        <v>12.17</v>
      </c>
      <c r="F97" s="112">
        <v>4.26</v>
      </c>
      <c r="G97" s="112">
        <v>34.78</v>
      </c>
      <c r="H97" s="112">
        <v>12.93</v>
      </c>
      <c r="I97" s="112">
        <v>3.52</v>
      </c>
      <c r="J97" s="112">
        <v>7.0000000000000007E-2</v>
      </c>
      <c r="K97" s="112">
        <v>213.96</v>
      </c>
      <c r="L97" s="112">
        <v>25.35</v>
      </c>
      <c r="M97" s="112">
        <v>101.02</v>
      </c>
      <c r="N97" s="112">
        <v>2.1</v>
      </c>
      <c r="O97" s="112">
        <v>0</v>
      </c>
      <c r="P97" s="112">
        <v>0.39</v>
      </c>
      <c r="Q97" s="112">
        <v>4.6500000000000004</v>
      </c>
    </row>
    <row r="98" spans="1:21">
      <c r="A98" s="80">
        <v>45502.9375</v>
      </c>
      <c r="B98" s="112">
        <v>9.2799999999999994</v>
      </c>
      <c r="C98" s="112">
        <v>4.0999999999999996</v>
      </c>
      <c r="D98" s="112">
        <v>14.04</v>
      </c>
      <c r="E98" s="112">
        <v>11.77</v>
      </c>
      <c r="F98" s="112">
        <v>3.67</v>
      </c>
      <c r="G98" s="112">
        <v>34.78</v>
      </c>
      <c r="H98" s="112">
        <v>12.93</v>
      </c>
      <c r="I98" s="112">
        <v>3.35</v>
      </c>
      <c r="J98" s="112">
        <v>0.08</v>
      </c>
      <c r="K98" s="112">
        <v>227.99</v>
      </c>
      <c r="L98" s="112">
        <v>25.25</v>
      </c>
      <c r="M98" s="112">
        <v>102.07</v>
      </c>
      <c r="N98" s="112">
        <v>2.1</v>
      </c>
      <c r="O98" s="112">
        <v>0</v>
      </c>
      <c r="P98" s="112">
        <v>0.39</v>
      </c>
      <c r="Q98" s="112">
        <v>4.6500000000000004</v>
      </c>
    </row>
    <row r="99" spans="1:21">
      <c r="A99" s="80">
        <v>45502.947916666664</v>
      </c>
      <c r="B99" s="112">
        <v>9.3000000000000007</v>
      </c>
      <c r="C99" s="112">
        <v>4.08</v>
      </c>
      <c r="D99" s="112">
        <v>14.04</v>
      </c>
      <c r="E99" s="112">
        <v>12.56</v>
      </c>
      <c r="F99" s="112">
        <v>3.94</v>
      </c>
      <c r="G99" s="112">
        <v>35.340000000000003</v>
      </c>
      <c r="H99" s="112">
        <v>10.89</v>
      </c>
      <c r="I99" s="112">
        <v>3.26</v>
      </c>
      <c r="J99" s="112">
        <v>0.09</v>
      </c>
      <c r="K99" s="112">
        <v>243.06</v>
      </c>
      <c r="L99" s="112">
        <v>25.18</v>
      </c>
      <c r="M99" s="112">
        <v>101.68</v>
      </c>
      <c r="N99" s="112">
        <v>2.1</v>
      </c>
      <c r="O99" s="112">
        <v>0</v>
      </c>
      <c r="P99" s="112">
        <v>0.39</v>
      </c>
      <c r="Q99" s="112">
        <v>4.66</v>
      </c>
    </row>
    <row r="100" spans="1:21">
      <c r="A100" s="80">
        <v>45502.958333333336</v>
      </c>
      <c r="B100" s="112">
        <v>9.32</v>
      </c>
      <c r="C100" s="112">
        <v>4.0599999999999996</v>
      </c>
      <c r="D100" s="112">
        <v>14.04</v>
      </c>
      <c r="E100" s="112">
        <v>13.29</v>
      </c>
      <c r="F100" s="112">
        <v>3.7</v>
      </c>
      <c r="G100" s="112">
        <v>36.17</v>
      </c>
      <c r="H100" s="112">
        <v>9.09</v>
      </c>
      <c r="I100" s="112">
        <v>3.25</v>
      </c>
      <c r="J100" s="112">
        <v>0.05</v>
      </c>
      <c r="K100" s="112">
        <v>189.79</v>
      </c>
      <c r="L100" s="112">
        <v>25.28</v>
      </c>
      <c r="M100" s="112">
        <v>101.49</v>
      </c>
      <c r="N100" s="112">
        <v>2.1</v>
      </c>
      <c r="O100" s="112">
        <v>0</v>
      </c>
      <c r="P100" s="112">
        <v>0.4</v>
      </c>
      <c r="Q100" s="112">
        <v>4.66</v>
      </c>
    </row>
    <row r="101" spans="1:21">
      <c r="A101" s="80">
        <v>45502.96875</v>
      </c>
      <c r="B101" s="112">
        <v>9.31</v>
      </c>
      <c r="C101" s="112">
        <v>4.08</v>
      </c>
      <c r="D101" s="112">
        <v>14.05</v>
      </c>
      <c r="E101" s="112">
        <v>12.7</v>
      </c>
      <c r="F101" s="112">
        <v>3.79</v>
      </c>
      <c r="G101" s="112">
        <v>36.17</v>
      </c>
      <c r="H101" s="112">
        <v>9.09</v>
      </c>
      <c r="I101" s="112">
        <v>3.26</v>
      </c>
      <c r="J101" s="112">
        <v>0.08</v>
      </c>
      <c r="K101" s="112">
        <v>241.91</v>
      </c>
      <c r="L101" s="112">
        <v>25.27</v>
      </c>
      <c r="M101" s="112">
        <v>102.78</v>
      </c>
      <c r="N101" s="112">
        <v>2.1</v>
      </c>
      <c r="O101" s="112">
        <v>0</v>
      </c>
      <c r="P101" s="112">
        <v>0.39</v>
      </c>
      <c r="Q101" s="112">
        <v>4.66</v>
      </c>
    </row>
    <row r="102" spans="1:21">
      <c r="A102" s="80">
        <v>45502.979166666664</v>
      </c>
      <c r="B102" s="112">
        <v>9.31</v>
      </c>
      <c r="C102" s="112">
        <v>4.08</v>
      </c>
      <c r="D102" s="112">
        <v>14.05</v>
      </c>
      <c r="E102" s="112">
        <v>12.55</v>
      </c>
      <c r="F102" s="112">
        <v>3.67</v>
      </c>
      <c r="G102" s="112">
        <v>36.17</v>
      </c>
      <c r="H102" s="112">
        <v>9.09</v>
      </c>
      <c r="I102" s="112">
        <v>3.24</v>
      </c>
      <c r="J102" s="112">
        <v>0.1</v>
      </c>
      <c r="K102" s="112">
        <v>246.04</v>
      </c>
      <c r="L102" s="112">
        <v>25.42</v>
      </c>
      <c r="M102" s="112">
        <v>102.4</v>
      </c>
      <c r="N102" s="112">
        <v>2.1</v>
      </c>
      <c r="O102" s="112">
        <v>0</v>
      </c>
      <c r="P102" s="112">
        <v>0.4</v>
      </c>
      <c r="Q102" s="112">
        <v>4.6399999999999997</v>
      </c>
    </row>
    <row r="103" spans="1:21">
      <c r="A103" s="80">
        <v>45502.989583333336</v>
      </c>
      <c r="B103" s="112">
        <v>9.32</v>
      </c>
      <c r="C103" s="112">
        <v>4.08</v>
      </c>
      <c r="D103" s="112">
        <v>14.06</v>
      </c>
      <c r="E103" s="112">
        <v>13</v>
      </c>
      <c r="F103" s="112">
        <v>3.5</v>
      </c>
      <c r="G103" s="112">
        <v>35</v>
      </c>
      <c r="H103" s="112">
        <v>8.6999999999999993</v>
      </c>
      <c r="I103" s="112">
        <v>3.22</v>
      </c>
      <c r="J103" s="112">
        <v>0.14000000000000001</v>
      </c>
      <c r="K103" s="112">
        <v>235.66</v>
      </c>
      <c r="L103" s="112">
        <v>25.57</v>
      </c>
      <c r="M103" s="112">
        <v>100.38</v>
      </c>
      <c r="N103" s="112">
        <v>2.1</v>
      </c>
      <c r="O103" s="112">
        <v>0</v>
      </c>
      <c r="P103" s="112">
        <v>0.39</v>
      </c>
      <c r="Q103" s="112">
        <v>4.66</v>
      </c>
    </row>
    <row r="104" spans="1:21">
      <c r="A104" s="80">
        <v>45503</v>
      </c>
      <c r="B104" s="112">
        <v>9.32</v>
      </c>
      <c r="C104" s="112">
        <v>4.08</v>
      </c>
      <c r="D104" s="112">
        <v>14.06</v>
      </c>
      <c r="E104" s="112">
        <v>13.39</v>
      </c>
      <c r="F104" s="112">
        <v>3.28</v>
      </c>
      <c r="G104" s="112">
        <v>33.25</v>
      </c>
      <c r="H104" s="112">
        <v>8.36</v>
      </c>
      <c r="I104" s="112">
        <v>3.22</v>
      </c>
      <c r="J104" s="112">
        <v>0.18</v>
      </c>
      <c r="K104" s="112">
        <v>259.14999999999998</v>
      </c>
      <c r="L104" s="112">
        <v>25.59</v>
      </c>
      <c r="M104" s="112">
        <v>104.06</v>
      </c>
      <c r="N104" s="112">
        <v>2.1</v>
      </c>
      <c r="O104" s="112">
        <v>0</v>
      </c>
      <c r="P104" s="112">
        <v>0.39</v>
      </c>
      <c r="Q104" s="112">
        <v>4.6500000000000004</v>
      </c>
    </row>
    <row r="105" spans="1:21">
      <c r="A105" s="32"/>
      <c r="B105" s="2"/>
      <c r="C105" s="2"/>
      <c r="D105" s="2"/>
      <c r="E105" s="2"/>
      <c r="F105" s="2"/>
      <c r="G105" s="32"/>
      <c r="H105" s="32"/>
      <c r="I105" s="32"/>
      <c r="J105" s="2"/>
      <c r="K105" s="2"/>
      <c r="L105" s="32"/>
      <c r="M105" s="32"/>
      <c r="N105" s="32"/>
      <c r="O105" s="32"/>
      <c r="P105" s="32"/>
      <c r="Q105" s="2"/>
      <c r="R105" s="11"/>
      <c r="S105" s="11"/>
      <c r="T105" s="11"/>
      <c r="U105" s="11"/>
    </row>
    <row r="106" spans="1:21">
      <c r="A106" s="182" t="s">
        <v>48</v>
      </c>
      <c r="B106" s="183">
        <f>MIN(B9:B104)</f>
        <v>9.25</v>
      </c>
      <c r="C106" s="183">
        <f>MIN(C9:C104)</f>
        <v>4</v>
      </c>
      <c r="D106" s="183">
        <f t="shared" ref="D106:Q106" si="0">MIN(D9:D104)</f>
        <v>14</v>
      </c>
      <c r="E106" s="183">
        <f t="shared" si="0"/>
        <v>7.05</v>
      </c>
      <c r="F106" s="183">
        <f t="shared" si="0"/>
        <v>3.12</v>
      </c>
      <c r="G106" s="183">
        <f t="shared" si="0"/>
        <v>3.18</v>
      </c>
      <c r="H106" s="183">
        <f t="shared" si="0"/>
        <v>1.99</v>
      </c>
      <c r="I106" s="183">
        <f t="shared" si="0"/>
        <v>2.77</v>
      </c>
      <c r="J106" s="183">
        <f t="shared" si="0"/>
        <v>0.05</v>
      </c>
      <c r="K106" s="183">
        <f t="shared" si="0"/>
        <v>161.53</v>
      </c>
      <c r="L106" s="183">
        <f t="shared" si="0"/>
        <v>24.27</v>
      </c>
      <c r="M106" s="183">
        <f t="shared" si="0"/>
        <v>84.31</v>
      </c>
      <c r="N106" s="183">
        <f t="shared" si="0"/>
        <v>2.1</v>
      </c>
      <c r="O106" s="183">
        <f t="shared" si="0"/>
        <v>0</v>
      </c>
      <c r="P106" s="183">
        <f t="shared" si="0"/>
        <v>0.2</v>
      </c>
      <c r="Q106" s="183">
        <f t="shared" si="0"/>
        <v>4.63</v>
      </c>
      <c r="R106" s="187"/>
      <c r="S106" s="187"/>
      <c r="T106" s="187"/>
      <c r="U106" s="187"/>
    </row>
    <row r="107" spans="1:21">
      <c r="A107" s="182" t="s">
        <v>49</v>
      </c>
      <c r="B107" s="184">
        <f>MAX(B9:B104)</f>
        <v>9.41</v>
      </c>
      <c r="C107" s="184">
        <f t="shared" ref="C107:Q107" si="1">MAX(C9:C104)</f>
        <v>4.12</v>
      </c>
      <c r="D107" s="184">
        <f t="shared" si="1"/>
        <v>14.11</v>
      </c>
      <c r="E107" s="184">
        <f t="shared" si="1"/>
        <v>13.39</v>
      </c>
      <c r="F107" s="184">
        <f t="shared" si="1"/>
        <v>8.77</v>
      </c>
      <c r="G107" s="184">
        <f t="shared" si="1"/>
        <v>43.74</v>
      </c>
      <c r="H107" s="184">
        <f t="shared" si="1"/>
        <v>23.65</v>
      </c>
      <c r="I107" s="184">
        <f t="shared" si="1"/>
        <v>3.59</v>
      </c>
      <c r="J107" s="184">
        <f t="shared" si="1"/>
        <v>0.85</v>
      </c>
      <c r="K107" s="184">
        <f t="shared" si="1"/>
        <v>299.89</v>
      </c>
      <c r="L107" s="184">
        <f t="shared" si="1"/>
        <v>28.17</v>
      </c>
      <c r="M107" s="184">
        <f t="shared" si="1"/>
        <v>109.81</v>
      </c>
      <c r="N107" s="184">
        <f t="shared" si="1"/>
        <v>279</v>
      </c>
      <c r="O107" s="184">
        <f t="shared" si="1"/>
        <v>0.6</v>
      </c>
      <c r="P107" s="184">
        <f t="shared" si="1"/>
        <v>0.42</v>
      </c>
      <c r="Q107" s="184">
        <f t="shared" si="1"/>
        <v>4.68</v>
      </c>
      <c r="R107" s="188"/>
      <c r="S107" s="188"/>
      <c r="T107" s="188"/>
      <c r="U107" s="188"/>
    </row>
    <row r="108" spans="1:21">
      <c r="A108" s="182" t="s">
        <v>50</v>
      </c>
      <c r="B108" s="183">
        <f>AVERAGE(B9:B104)</f>
        <v>9.3219791666666598</v>
      </c>
      <c r="C108" s="183">
        <f t="shared" ref="C108:Q108" si="2">AVERAGE(C9:C104)</f>
        <v>4.0726041666666655</v>
      </c>
      <c r="D108" s="183">
        <f t="shared" si="2"/>
        <v>14.052812499999987</v>
      </c>
      <c r="E108" s="183">
        <f t="shared" si="2"/>
        <v>10.588437499999994</v>
      </c>
      <c r="F108" s="183">
        <f t="shared" si="2"/>
        <v>4.8410416666666656</v>
      </c>
      <c r="G108" s="183">
        <f t="shared" si="2"/>
        <v>17.291041666666668</v>
      </c>
      <c r="H108" s="183">
        <f t="shared" si="2"/>
        <v>7.9273958333333354</v>
      </c>
      <c r="I108" s="183">
        <f t="shared" si="2"/>
        <v>3.0709375000000017</v>
      </c>
      <c r="J108" s="183">
        <f t="shared" si="2"/>
        <v>0.33447916666666666</v>
      </c>
      <c r="K108" s="183">
        <f t="shared" si="2"/>
        <v>263.35697916666669</v>
      </c>
      <c r="L108" s="183">
        <f t="shared" si="2"/>
        <v>25.776041666666668</v>
      </c>
      <c r="M108" s="183">
        <f t="shared" si="2"/>
        <v>97.596875000000011</v>
      </c>
      <c r="N108" s="183">
        <f t="shared" si="2"/>
        <v>48.031250000000007</v>
      </c>
      <c r="O108" s="183">
        <f t="shared" si="2"/>
        <v>2.4999999999999998E-2</v>
      </c>
      <c r="P108" s="183">
        <f t="shared" si="2"/>
        <v>0.29656250000000001</v>
      </c>
      <c r="Q108" s="183">
        <f t="shared" si="2"/>
        <v>4.656666666666669</v>
      </c>
      <c r="R108" s="187"/>
      <c r="S108" s="187"/>
      <c r="T108" s="187"/>
      <c r="U108" s="187"/>
    </row>
    <row r="109" spans="1:21">
      <c r="A109" s="182" t="s">
        <v>51</v>
      </c>
      <c r="B109" s="183">
        <f>STDEV(B9:B104)</f>
        <v>3.3985129617050566E-2</v>
      </c>
      <c r="C109" s="183">
        <f t="shared" ref="C109:Q109" si="3">STDEV(C9:C104)</f>
        <v>1.9694765089480652E-2</v>
      </c>
      <c r="D109" s="183">
        <f t="shared" si="3"/>
        <v>2.8310426756901791E-2</v>
      </c>
      <c r="E109" s="183">
        <f t="shared" si="3"/>
        <v>1.5613768068262359</v>
      </c>
      <c r="F109" s="183">
        <f t="shared" si="3"/>
        <v>1.3229468535028117</v>
      </c>
      <c r="G109" s="183">
        <f t="shared" si="3"/>
        <v>15.242472204452548</v>
      </c>
      <c r="H109" s="183">
        <f t="shared" si="3"/>
        <v>6.7747079556075285</v>
      </c>
      <c r="I109" s="183">
        <f t="shared" si="3"/>
        <v>0.19898732107187417</v>
      </c>
      <c r="J109" s="183">
        <f t="shared" si="3"/>
        <v>0.20269172751621822</v>
      </c>
      <c r="K109" s="183">
        <f t="shared" si="3"/>
        <v>25.303166563632253</v>
      </c>
      <c r="L109" s="183">
        <f t="shared" si="3"/>
        <v>1.2091375605574641</v>
      </c>
      <c r="M109" s="183">
        <f t="shared" si="3"/>
        <v>7.6096147371184708</v>
      </c>
      <c r="N109" s="183">
        <f t="shared" si="3"/>
        <v>65.238824915197483</v>
      </c>
      <c r="O109" s="183">
        <f t="shared" si="3"/>
        <v>8.8257995015808791E-2</v>
      </c>
      <c r="P109" s="183">
        <f t="shared" si="3"/>
        <v>8.4128074355335813E-2</v>
      </c>
      <c r="Q109" s="183">
        <f t="shared" si="3"/>
        <v>9.3658581158169545E-3</v>
      </c>
      <c r="R109" s="187"/>
      <c r="S109" s="187"/>
      <c r="T109" s="187"/>
      <c r="U109" s="187"/>
    </row>
    <row r="110" spans="1:21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</row>
    <row r="111" spans="1:21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1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2"/>
      <c r="M113" s="2"/>
      <c r="N113" s="186"/>
      <c r="O113" s="186"/>
      <c r="P113" s="186"/>
      <c r="Q113" s="186"/>
      <c r="R113" s="186"/>
      <c r="S113" s="186"/>
      <c r="T113" s="186"/>
      <c r="U113" s="186"/>
    </row>
    <row r="114" spans="1:21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53" t="s">
        <v>55</v>
      </c>
      <c r="B115" s="191" t="s">
        <v>56</v>
      </c>
      <c r="C115" s="191"/>
      <c r="D115" s="19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32"/>
      <c r="B116" s="2"/>
      <c r="C116" s="2"/>
      <c r="D116" s="163"/>
      <c r="E116" s="163"/>
      <c r="F116" s="163"/>
      <c r="G116" s="163"/>
      <c r="H116" s="163"/>
      <c r="I116" s="16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ySplit="1" topLeftCell="A104" activePane="bottomLeft" state="frozen"/>
      <selection activeCell="A9" sqref="A9"/>
      <selection pane="bottomLef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45503.010416666664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45503.010416666664</v>
      </c>
      <c r="B9" s="112">
        <v>9.14</v>
      </c>
      <c r="C9" s="112">
        <v>4.26</v>
      </c>
      <c r="D9" s="112">
        <v>14</v>
      </c>
      <c r="E9" s="112">
        <v>12.74</v>
      </c>
      <c r="F9" s="112">
        <v>3.41</v>
      </c>
      <c r="G9" s="112">
        <v>33.25</v>
      </c>
      <c r="H9" s="112">
        <v>8.36</v>
      </c>
      <c r="I9" s="112">
        <v>3.2</v>
      </c>
      <c r="J9" s="112">
        <v>0.14000000000000001</v>
      </c>
      <c r="K9" s="112">
        <v>259.67</v>
      </c>
      <c r="L9" s="112">
        <v>25.7</v>
      </c>
      <c r="M9" s="112">
        <v>101.18</v>
      </c>
      <c r="N9" s="112">
        <v>2.1</v>
      </c>
      <c r="O9" s="112">
        <v>0</v>
      </c>
      <c r="P9" s="112">
        <v>0.42</v>
      </c>
      <c r="Q9" s="112">
        <v>4.66</v>
      </c>
    </row>
    <row r="10" spans="1:21" customFormat="1">
      <c r="A10" s="80">
        <v>45503.020833333336</v>
      </c>
      <c r="B10" s="112">
        <v>9.14</v>
      </c>
      <c r="C10" s="112">
        <v>4.24</v>
      </c>
      <c r="D10" s="112">
        <v>14</v>
      </c>
      <c r="E10" s="112">
        <v>12.47</v>
      </c>
      <c r="F10" s="112">
        <v>3.97</v>
      </c>
      <c r="G10" s="112">
        <v>33.25</v>
      </c>
      <c r="H10" s="112">
        <v>8.36</v>
      </c>
      <c r="I10" s="112">
        <v>3.15</v>
      </c>
      <c r="J10" s="112">
        <v>0.18</v>
      </c>
      <c r="K10" s="112">
        <v>266.45</v>
      </c>
      <c r="L10" s="112">
        <v>25.67</v>
      </c>
      <c r="M10" s="112">
        <v>100.62</v>
      </c>
      <c r="N10" s="112">
        <v>2.1</v>
      </c>
      <c r="O10" s="112">
        <v>0</v>
      </c>
      <c r="P10" s="112">
        <v>0.43</v>
      </c>
      <c r="Q10" s="112">
        <v>4.66</v>
      </c>
    </row>
    <row r="11" spans="1:21" customFormat="1">
      <c r="A11" s="80">
        <v>45503.03125</v>
      </c>
      <c r="B11" s="112">
        <v>9.17</v>
      </c>
      <c r="C11" s="112">
        <v>4.21</v>
      </c>
      <c r="D11" s="112">
        <v>14</v>
      </c>
      <c r="E11" s="112">
        <v>12.65</v>
      </c>
      <c r="F11" s="112">
        <v>4.9400000000000004</v>
      </c>
      <c r="G11" s="112">
        <v>33.78</v>
      </c>
      <c r="H11" s="112">
        <v>9.06</v>
      </c>
      <c r="I11" s="112">
        <v>3.21</v>
      </c>
      <c r="J11" s="112">
        <v>0.12</v>
      </c>
      <c r="K11" s="112">
        <v>246.73</v>
      </c>
      <c r="L11" s="112">
        <v>25.71</v>
      </c>
      <c r="M11" s="112">
        <v>99.81</v>
      </c>
      <c r="N11" s="112">
        <v>2.2999999999999998</v>
      </c>
      <c r="O11" s="112">
        <v>0</v>
      </c>
      <c r="P11" s="112">
        <v>0.44</v>
      </c>
      <c r="Q11" s="112">
        <v>4.66</v>
      </c>
    </row>
    <row r="12" spans="1:21" customFormat="1">
      <c r="A12" s="80">
        <v>45503.041666666664</v>
      </c>
      <c r="B12" s="112">
        <v>9.1999999999999993</v>
      </c>
      <c r="C12" s="112">
        <v>4.16</v>
      </c>
      <c r="D12" s="112">
        <v>14</v>
      </c>
      <c r="E12" s="112">
        <v>12.24</v>
      </c>
      <c r="F12" s="112">
        <v>4.9000000000000004</v>
      </c>
      <c r="G12" s="112">
        <v>34.58</v>
      </c>
      <c r="H12" s="112">
        <v>9.67</v>
      </c>
      <c r="I12" s="112">
        <v>3.22</v>
      </c>
      <c r="J12" s="112">
        <v>0.13</v>
      </c>
      <c r="K12" s="112">
        <v>263.87</v>
      </c>
      <c r="L12" s="112">
        <v>25.66</v>
      </c>
      <c r="M12" s="112">
        <v>100.25</v>
      </c>
      <c r="N12" s="112">
        <v>2.1</v>
      </c>
      <c r="O12" s="112">
        <v>0</v>
      </c>
      <c r="P12" s="112">
        <v>0.44</v>
      </c>
      <c r="Q12" s="112">
        <v>4.6500000000000004</v>
      </c>
    </row>
    <row r="13" spans="1:21" customFormat="1">
      <c r="A13" s="80">
        <v>45503.052083333336</v>
      </c>
      <c r="B13" s="112">
        <v>9.2200000000000006</v>
      </c>
      <c r="C13" s="112">
        <v>4.12</v>
      </c>
      <c r="D13" s="112">
        <v>14</v>
      </c>
      <c r="E13" s="112">
        <v>11.92</v>
      </c>
      <c r="F13" s="112">
        <v>4.72</v>
      </c>
      <c r="G13" s="112">
        <v>34.58</v>
      </c>
      <c r="H13" s="112">
        <v>9.67</v>
      </c>
      <c r="I13" s="112">
        <v>3.17</v>
      </c>
      <c r="J13" s="112">
        <v>0.2</v>
      </c>
      <c r="K13" s="112">
        <v>268.13</v>
      </c>
      <c r="L13" s="112">
        <v>25.61</v>
      </c>
      <c r="M13" s="112">
        <v>100.34</v>
      </c>
      <c r="N13" s="112">
        <v>2.4</v>
      </c>
      <c r="O13" s="112">
        <v>0</v>
      </c>
      <c r="P13" s="112">
        <v>0.43</v>
      </c>
      <c r="Q13" s="112">
        <v>4.66</v>
      </c>
    </row>
    <row r="14" spans="1:21" customFormat="1">
      <c r="A14" s="80">
        <v>45503.0625</v>
      </c>
      <c r="B14" s="112">
        <v>9.24</v>
      </c>
      <c r="C14" s="112">
        <v>4.09</v>
      </c>
      <c r="D14" s="112">
        <v>14</v>
      </c>
      <c r="E14" s="112">
        <v>11.59</v>
      </c>
      <c r="F14" s="112">
        <v>4.55</v>
      </c>
      <c r="G14" s="112">
        <v>34.58</v>
      </c>
      <c r="H14" s="112">
        <v>9.67</v>
      </c>
      <c r="I14" s="112">
        <v>3.23</v>
      </c>
      <c r="J14" s="112">
        <v>0.15</v>
      </c>
      <c r="K14" s="112">
        <v>257.29000000000002</v>
      </c>
      <c r="L14" s="112">
        <v>25.6</v>
      </c>
      <c r="M14" s="112">
        <v>101.23</v>
      </c>
      <c r="N14" s="112">
        <v>2.1</v>
      </c>
      <c r="O14" s="112">
        <v>0</v>
      </c>
      <c r="P14" s="112">
        <v>0.44</v>
      </c>
      <c r="Q14" s="112">
        <v>4.66</v>
      </c>
    </row>
    <row r="15" spans="1:21" customFormat="1">
      <c r="A15" s="80">
        <v>45503.072916666664</v>
      </c>
      <c r="B15" s="112">
        <v>9.23</v>
      </c>
      <c r="C15" s="112">
        <v>4.1100000000000003</v>
      </c>
      <c r="D15" s="112">
        <v>14</v>
      </c>
      <c r="E15" s="112">
        <v>11.01</v>
      </c>
      <c r="F15" s="112">
        <v>6.51</v>
      </c>
      <c r="G15" s="112">
        <v>30.56</v>
      </c>
      <c r="H15" s="112">
        <v>12.76</v>
      </c>
      <c r="I15" s="112">
        <v>3.21</v>
      </c>
      <c r="J15" s="112">
        <v>0.14000000000000001</v>
      </c>
      <c r="K15" s="112">
        <v>276.08</v>
      </c>
      <c r="L15" s="112">
        <v>25.55</v>
      </c>
      <c r="M15" s="112">
        <v>103.38</v>
      </c>
      <c r="N15" s="112">
        <v>2.2000000000000002</v>
      </c>
      <c r="O15" s="112">
        <v>0</v>
      </c>
      <c r="P15" s="112">
        <v>0.44</v>
      </c>
      <c r="Q15" s="112">
        <v>4.66</v>
      </c>
    </row>
    <row r="16" spans="1:21" customFormat="1">
      <c r="A16" s="80">
        <v>45503.083333333336</v>
      </c>
      <c r="B16" s="112">
        <v>9.25</v>
      </c>
      <c r="C16" s="112">
        <v>4.0999999999999996</v>
      </c>
      <c r="D16" s="112">
        <v>14.01</v>
      </c>
      <c r="E16" s="112">
        <v>11.18</v>
      </c>
      <c r="F16" s="112">
        <v>5.5</v>
      </c>
      <c r="G16" s="112">
        <v>24.24</v>
      </c>
      <c r="H16" s="112">
        <v>15.68</v>
      </c>
      <c r="I16" s="112">
        <v>3.27</v>
      </c>
      <c r="J16" s="112">
        <v>0.05</v>
      </c>
      <c r="K16" s="112">
        <v>248.22</v>
      </c>
      <c r="L16" s="112">
        <v>25.62</v>
      </c>
      <c r="M16" s="112">
        <v>101.39</v>
      </c>
      <c r="N16" s="112">
        <v>2.1</v>
      </c>
      <c r="O16" s="112">
        <v>0</v>
      </c>
      <c r="P16" s="112">
        <v>0.43</v>
      </c>
      <c r="Q16" s="112">
        <v>4.66</v>
      </c>
    </row>
    <row r="17" spans="1:17" customFormat="1">
      <c r="A17" s="80">
        <v>45503.09375</v>
      </c>
      <c r="B17" s="112">
        <v>9.25</v>
      </c>
      <c r="C17" s="112">
        <v>4.0999999999999996</v>
      </c>
      <c r="D17" s="112">
        <v>14.01</v>
      </c>
      <c r="E17" s="112">
        <v>6.98</v>
      </c>
      <c r="F17" s="112">
        <v>5.05</v>
      </c>
      <c r="G17" s="112">
        <v>24.24</v>
      </c>
      <c r="H17" s="112">
        <v>15.68</v>
      </c>
      <c r="I17" s="112">
        <v>3.32</v>
      </c>
      <c r="J17" s="112">
        <v>0.11</v>
      </c>
      <c r="K17" s="112">
        <v>261.43</v>
      </c>
      <c r="L17" s="112">
        <v>25.5</v>
      </c>
      <c r="M17" s="112">
        <v>100.8</v>
      </c>
      <c r="N17" s="112">
        <v>2.2000000000000002</v>
      </c>
      <c r="O17" s="112">
        <v>0</v>
      </c>
      <c r="P17" s="112">
        <v>0.43</v>
      </c>
      <c r="Q17" s="112">
        <v>4.6500000000000004</v>
      </c>
    </row>
    <row r="18" spans="1:17" customFormat="1">
      <c r="A18" s="80">
        <v>45503.104166666664</v>
      </c>
      <c r="B18" s="112">
        <v>9.27</v>
      </c>
      <c r="C18" s="112">
        <v>4.07</v>
      </c>
      <c r="D18" s="112">
        <v>14</v>
      </c>
      <c r="E18" s="112">
        <v>8.52</v>
      </c>
      <c r="F18" s="112">
        <v>4.43</v>
      </c>
      <c r="G18" s="112">
        <v>24.24</v>
      </c>
      <c r="H18" s="112">
        <v>15.68</v>
      </c>
      <c r="I18" s="112">
        <v>3.27</v>
      </c>
      <c r="J18" s="112">
        <v>0.09</v>
      </c>
      <c r="K18" s="112">
        <v>246.02</v>
      </c>
      <c r="L18" s="112">
        <v>25.52</v>
      </c>
      <c r="M18" s="112">
        <v>100.33</v>
      </c>
      <c r="N18" s="112">
        <v>2.2000000000000002</v>
      </c>
      <c r="O18" s="112">
        <v>0</v>
      </c>
      <c r="P18" s="112">
        <v>0.43</v>
      </c>
      <c r="Q18" s="112">
        <v>4.6500000000000004</v>
      </c>
    </row>
    <row r="19" spans="1:17" customFormat="1">
      <c r="A19" s="80">
        <v>45503.114583333336</v>
      </c>
      <c r="B19" s="112">
        <v>9.24</v>
      </c>
      <c r="C19" s="112">
        <v>4.09</v>
      </c>
      <c r="D19" s="112">
        <v>14</v>
      </c>
      <c r="E19" s="112">
        <v>8.4600000000000009</v>
      </c>
      <c r="F19" s="112">
        <v>5.08</v>
      </c>
      <c r="G19" s="112">
        <v>25.21</v>
      </c>
      <c r="H19" s="112">
        <v>16.100000000000001</v>
      </c>
      <c r="I19" s="112">
        <v>3.28</v>
      </c>
      <c r="J19" s="112">
        <v>0.15</v>
      </c>
      <c r="K19" s="112">
        <v>257.92</v>
      </c>
      <c r="L19" s="112">
        <v>25.46</v>
      </c>
      <c r="M19" s="112">
        <v>100.93</v>
      </c>
      <c r="N19" s="112">
        <v>2.2000000000000002</v>
      </c>
      <c r="O19" s="112">
        <v>0</v>
      </c>
      <c r="P19" s="112">
        <v>0.43</v>
      </c>
      <c r="Q19" s="112">
        <v>4.67</v>
      </c>
    </row>
    <row r="20" spans="1:17" customFormat="1">
      <c r="A20" s="80">
        <v>45503.125</v>
      </c>
      <c r="B20" s="112">
        <v>9.24</v>
      </c>
      <c r="C20" s="112">
        <v>4.0999999999999996</v>
      </c>
      <c r="D20" s="112">
        <v>14</v>
      </c>
      <c r="E20" s="112">
        <v>7.88</v>
      </c>
      <c r="F20" s="112">
        <v>5.4</v>
      </c>
      <c r="G20" s="112">
        <v>26.73</v>
      </c>
      <c r="H20" s="112">
        <v>17.47</v>
      </c>
      <c r="I20" s="112">
        <v>3.25</v>
      </c>
      <c r="J20" s="112">
        <v>0.04</v>
      </c>
      <c r="K20" s="112">
        <v>177.15</v>
      </c>
      <c r="L20" s="112">
        <v>25.4</v>
      </c>
      <c r="M20" s="112">
        <v>100.92</v>
      </c>
      <c r="N20" s="112">
        <v>2.1</v>
      </c>
      <c r="O20" s="112">
        <v>0</v>
      </c>
      <c r="P20" s="112">
        <v>0.42</v>
      </c>
      <c r="Q20" s="112">
        <v>4.66</v>
      </c>
    </row>
    <row r="21" spans="1:17" customFormat="1">
      <c r="A21" s="80">
        <v>45503.135416666664</v>
      </c>
      <c r="B21" s="112">
        <v>9.25</v>
      </c>
      <c r="C21" s="112">
        <v>4.08</v>
      </c>
      <c r="D21" s="112">
        <v>14</v>
      </c>
      <c r="E21" s="112">
        <v>8.14</v>
      </c>
      <c r="F21" s="112">
        <v>4.79</v>
      </c>
      <c r="G21" s="112">
        <v>26.73</v>
      </c>
      <c r="H21" s="112">
        <v>17.47</v>
      </c>
      <c r="I21" s="112">
        <v>3.13</v>
      </c>
      <c r="J21" s="112">
        <v>0.17</v>
      </c>
      <c r="K21" s="112">
        <v>269.3</v>
      </c>
      <c r="L21" s="112">
        <v>25.26</v>
      </c>
      <c r="M21" s="112">
        <v>101.1</v>
      </c>
      <c r="N21" s="112">
        <v>2.1</v>
      </c>
      <c r="O21" s="112">
        <v>0</v>
      </c>
      <c r="P21" s="112">
        <v>0.42</v>
      </c>
      <c r="Q21" s="112">
        <v>4.66</v>
      </c>
    </row>
    <row r="22" spans="1:17" customFormat="1">
      <c r="A22" s="80">
        <v>45503.145833333336</v>
      </c>
      <c r="B22" s="112">
        <v>9.24</v>
      </c>
      <c r="C22" s="112">
        <v>4.0999999999999996</v>
      </c>
      <c r="D22" s="112">
        <v>14</v>
      </c>
      <c r="E22" s="112">
        <v>7.87</v>
      </c>
      <c r="F22" s="112">
        <v>4.8600000000000003</v>
      </c>
      <c r="G22" s="112">
        <v>26.73</v>
      </c>
      <c r="H22" s="112">
        <v>17.47</v>
      </c>
      <c r="I22" s="112">
        <v>3.16</v>
      </c>
      <c r="J22" s="112">
        <v>0.09</v>
      </c>
      <c r="K22" s="112">
        <v>206.52</v>
      </c>
      <c r="L22" s="112">
        <v>25.26</v>
      </c>
      <c r="M22" s="112">
        <v>101.12</v>
      </c>
      <c r="N22" s="112">
        <v>2.1</v>
      </c>
      <c r="O22" s="112">
        <v>0</v>
      </c>
      <c r="P22" s="112">
        <v>0.42</v>
      </c>
      <c r="Q22" s="112">
        <v>4.67</v>
      </c>
    </row>
    <row r="23" spans="1:17" customFormat="1">
      <c r="A23" s="80">
        <v>45503.15625</v>
      </c>
      <c r="B23" s="112">
        <v>9.2200000000000006</v>
      </c>
      <c r="C23" s="112">
        <v>4.13</v>
      </c>
      <c r="D23" s="112">
        <v>14</v>
      </c>
      <c r="E23" s="112">
        <v>8.23</v>
      </c>
      <c r="F23" s="112">
        <v>4.95</v>
      </c>
      <c r="G23" s="112">
        <v>24.6</v>
      </c>
      <c r="H23" s="112">
        <v>14.98</v>
      </c>
      <c r="I23" s="112">
        <v>3.25</v>
      </c>
      <c r="J23" s="112">
        <v>0.11</v>
      </c>
      <c r="K23" s="112">
        <v>241.36</v>
      </c>
      <c r="L23" s="112">
        <v>25.4</v>
      </c>
      <c r="M23" s="112">
        <v>100.52</v>
      </c>
      <c r="N23" s="112">
        <v>2.1</v>
      </c>
      <c r="O23" s="112">
        <v>0</v>
      </c>
      <c r="P23" s="112">
        <v>0.42</v>
      </c>
      <c r="Q23" s="112">
        <v>4.68</v>
      </c>
    </row>
    <row r="24" spans="1:17" customFormat="1">
      <c r="A24" s="80">
        <v>45503.166666666664</v>
      </c>
      <c r="B24" s="112">
        <v>9.2200000000000006</v>
      </c>
      <c r="C24" s="112">
        <v>4.13</v>
      </c>
      <c r="D24" s="112">
        <v>14</v>
      </c>
      <c r="E24" s="112">
        <v>7.68</v>
      </c>
      <c r="F24" s="112">
        <v>5.17</v>
      </c>
      <c r="G24" s="112">
        <v>21.27</v>
      </c>
      <c r="H24" s="112">
        <v>12.65</v>
      </c>
      <c r="I24" s="112">
        <v>3.21</v>
      </c>
      <c r="J24" s="112">
        <v>0.14000000000000001</v>
      </c>
      <c r="K24" s="112">
        <v>264.19</v>
      </c>
      <c r="L24" s="112">
        <v>25.32</v>
      </c>
      <c r="M24" s="112">
        <v>99.99</v>
      </c>
      <c r="N24" s="112">
        <v>2.2000000000000002</v>
      </c>
      <c r="O24" s="112">
        <v>0</v>
      </c>
      <c r="P24" s="112">
        <v>0.41</v>
      </c>
      <c r="Q24" s="112">
        <v>4.68</v>
      </c>
    </row>
    <row r="25" spans="1:17" customFormat="1">
      <c r="A25" s="80">
        <v>45503.177083333336</v>
      </c>
      <c r="B25" s="112">
        <v>9.1999999999999993</v>
      </c>
      <c r="C25" s="112">
        <v>4.1500000000000004</v>
      </c>
      <c r="D25" s="112">
        <v>14</v>
      </c>
      <c r="E25" s="112">
        <v>8.15</v>
      </c>
      <c r="F25" s="112">
        <v>4.79</v>
      </c>
      <c r="G25" s="112">
        <v>21.27</v>
      </c>
      <c r="H25" s="112">
        <v>12.65</v>
      </c>
      <c r="I25" s="112">
        <v>3.11</v>
      </c>
      <c r="J25" s="112">
        <v>0.17</v>
      </c>
      <c r="K25" s="112">
        <v>251.48</v>
      </c>
      <c r="L25" s="112">
        <v>25.32</v>
      </c>
      <c r="M25" s="112">
        <v>99.75</v>
      </c>
      <c r="N25" s="112">
        <v>2.1</v>
      </c>
      <c r="O25" s="112">
        <v>0</v>
      </c>
      <c r="P25" s="112">
        <v>0.42</v>
      </c>
      <c r="Q25" s="112">
        <v>4.67</v>
      </c>
    </row>
    <row r="26" spans="1:17" customFormat="1">
      <c r="A26" s="80">
        <v>45503.1875</v>
      </c>
      <c r="B26" s="112">
        <v>9.2100000000000009</v>
      </c>
      <c r="C26" s="112">
        <v>4.1399999999999997</v>
      </c>
      <c r="D26" s="112">
        <v>14</v>
      </c>
      <c r="E26" s="112">
        <v>8.11</v>
      </c>
      <c r="F26" s="112">
        <v>4.91</v>
      </c>
      <c r="G26" s="112">
        <v>21.27</v>
      </c>
      <c r="H26" s="112">
        <v>12.65</v>
      </c>
      <c r="I26" s="112">
        <v>3.19</v>
      </c>
      <c r="J26" s="112">
        <v>7.0000000000000007E-2</v>
      </c>
      <c r="K26" s="112">
        <v>219.6</v>
      </c>
      <c r="L26" s="112">
        <v>25.33</v>
      </c>
      <c r="M26" s="112">
        <v>99.94</v>
      </c>
      <c r="N26" s="112">
        <v>2.2000000000000002</v>
      </c>
      <c r="O26" s="112">
        <v>0</v>
      </c>
      <c r="P26" s="112">
        <v>0.41</v>
      </c>
      <c r="Q26" s="112">
        <v>4.67</v>
      </c>
    </row>
    <row r="27" spans="1:17" customFormat="1">
      <c r="A27" s="80">
        <v>45503.197916666664</v>
      </c>
      <c r="B27" s="112">
        <v>9.2100000000000009</v>
      </c>
      <c r="C27" s="112">
        <v>4.1399999999999997</v>
      </c>
      <c r="D27" s="112">
        <v>14</v>
      </c>
      <c r="E27" s="112">
        <v>8.09</v>
      </c>
      <c r="F27" s="112">
        <v>5.26</v>
      </c>
      <c r="G27" s="112">
        <v>22.27</v>
      </c>
      <c r="H27" s="112">
        <v>11.08</v>
      </c>
      <c r="I27" s="112">
        <v>3.22</v>
      </c>
      <c r="J27" s="112">
        <v>0.08</v>
      </c>
      <c r="K27" s="112">
        <v>223.32</v>
      </c>
      <c r="L27" s="112">
        <v>25.33</v>
      </c>
      <c r="M27" s="112">
        <v>100.96</v>
      </c>
      <c r="N27" s="112">
        <v>2.2000000000000002</v>
      </c>
      <c r="O27" s="112">
        <v>0</v>
      </c>
      <c r="P27" s="112">
        <v>0.4</v>
      </c>
      <c r="Q27" s="112">
        <v>4.67</v>
      </c>
    </row>
    <row r="28" spans="1:17" customFormat="1">
      <c r="A28" s="80">
        <v>45503.208333333336</v>
      </c>
      <c r="B28" s="112">
        <v>9.23</v>
      </c>
      <c r="C28" s="112">
        <v>4.12</v>
      </c>
      <c r="D28" s="112">
        <v>14</v>
      </c>
      <c r="E28" s="112">
        <v>8.3000000000000007</v>
      </c>
      <c r="F28" s="112">
        <v>4.5</v>
      </c>
      <c r="G28" s="112">
        <v>23.85</v>
      </c>
      <c r="H28" s="112">
        <v>9.6</v>
      </c>
      <c r="I28" s="112">
        <v>3.24</v>
      </c>
      <c r="J28" s="112">
        <v>0.18</v>
      </c>
      <c r="K28" s="112">
        <v>258.86</v>
      </c>
      <c r="L28" s="112">
        <v>25.32</v>
      </c>
      <c r="M28" s="112">
        <v>101.61</v>
      </c>
      <c r="N28" s="112">
        <v>2.1</v>
      </c>
      <c r="O28" s="112">
        <v>0</v>
      </c>
      <c r="P28" s="112">
        <v>0.37</v>
      </c>
      <c r="Q28" s="112">
        <v>4.66</v>
      </c>
    </row>
    <row r="29" spans="1:17" customFormat="1">
      <c r="A29" s="80">
        <v>45503.21875</v>
      </c>
      <c r="B29" s="112">
        <v>9.23</v>
      </c>
      <c r="C29" s="112">
        <v>4.12</v>
      </c>
      <c r="D29" s="112">
        <v>14</v>
      </c>
      <c r="E29" s="112">
        <v>8.25</v>
      </c>
      <c r="F29" s="112">
        <v>4.83</v>
      </c>
      <c r="G29" s="112">
        <v>23.85</v>
      </c>
      <c r="H29" s="112">
        <v>9.6</v>
      </c>
      <c r="I29" s="112">
        <v>3.25</v>
      </c>
      <c r="J29" s="112">
        <v>0.14000000000000001</v>
      </c>
      <c r="K29" s="112">
        <v>261.11</v>
      </c>
      <c r="L29" s="112">
        <v>25.27</v>
      </c>
      <c r="M29" s="112">
        <v>102.31</v>
      </c>
      <c r="N29" s="112">
        <v>2.2999999999999998</v>
      </c>
      <c r="O29" s="112">
        <v>0</v>
      </c>
      <c r="P29" s="112">
        <v>0.37</v>
      </c>
      <c r="Q29" s="112">
        <v>4.67</v>
      </c>
    </row>
    <row r="30" spans="1:17" customFormat="1">
      <c r="A30" s="80">
        <v>45503.229166666664</v>
      </c>
      <c r="B30" s="112">
        <v>9.2200000000000006</v>
      </c>
      <c r="C30" s="112">
        <v>4.12</v>
      </c>
      <c r="D30" s="112">
        <v>14</v>
      </c>
      <c r="E30" s="112">
        <v>8.6300000000000008</v>
      </c>
      <c r="F30" s="112">
        <v>4.2</v>
      </c>
      <c r="G30" s="112">
        <v>23.85</v>
      </c>
      <c r="H30" s="112">
        <v>9.6</v>
      </c>
      <c r="I30" s="112">
        <v>3.24</v>
      </c>
      <c r="J30" s="112">
        <v>0.19</v>
      </c>
      <c r="K30" s="112">
        <v>268.47000000000003</v>
      </c>
      <c r="L30" s="112">
        <v>25.28</v>
      </c>
      <c r="M30" s="112">
        <v>101.93</v>
      </c>
      <c r="N30" s="112">
        <v>3.4</v>
      </c>
      <c r="O30" s="112">
        <v>0</v>
      </c>
      <c r="P30" s="112">
        <v>0.37</v>
      </c>
      <c r="Q30" s="112">
        <v>4.66</v>
      </c>
    </row>
    <row r="31" spans="1:17" customFormat="1">
      <c r="A31" s="80">
        <v>45503.239583333336</v>
      </c>
      <c r="B31" s="112">
        <v>9.2100000000000009</v>
      </c>
      <c r="C31" s="112">
        <v>4.1399999999999997</v>
      </c>
      <c r="D31" s="112">
        <v>14</v>
      </c>
      <c r="E31" s="112">
        <v>8.77</v>
      </c>
      <c r="F31" s="112">
        <v>4.5199999999999996</v>
      </c>
      <c r="G31" s="112">
        <v>24.93</v>
      </c>
      <c r="H31" s="112">
        <v>10.24</v>
      </c>
      <c r="I31" s="112">
        <v>3.25</v>
      </c>
      <c r="J31" s="112">
        <v>0.13</v>
      </c>
      <c r="K31" s="112">
        <v>276.77999999999997</v>
      </c>
      <c r="L31" s="112">
        <v>25.36</v>
      </c>
      <c r="M31" s="112">
        <v>101.11</v>
      </c>
      <c r="N31" s="112">
        <v>8.6</v>
      </c>
      <c r="O31" s="112">
        <v>0</v>
      </c>
      <c r="P31" s="112">
        <v>0.37</v>
      </c>
      <c r="Q31" s="112">
        <v>4.66</v>
      </c>
    </row>
    <row r="32" spans="1:17" customFormat="1">
      <c r="A32" s="80">
        <v>45503.25</v>
      </c>
      <c r="B32" s="112">
        <v>9.19</v>
      </c>
      <c r="C32" s="112">
        <v>4.18</v>
      </c>
      <c r="D32" s="112">
        <v>14</v>
      </c>
      <c r="E32" s="112">
        <v>8.67</v>
      </c>
      <c r="F32" s="112">
        <v>4.51</v>
      </c>
      <c r="G32" s="112">
        <v>26.64</v>
      </c>
      <c r="H32" s="112">
        <v>10.84</v>
      </c>
      <c r="I32" s="112">
        <v>3.21</v>
      </c>
      <c r="J32" s="112">
        <v>0.22</v>
      </c>
      <c r="K32" s="112">
        <v>265.44</v>
      </c>
      <c r="L32" s="112">
        <v>25.45</v>
      </c>
      <c r="M32" s="112">
        <v>100.68</v>
      </c>
      <c r="N32" s="112">
        <v>19.600000000000001</v>
      </c>
      <c r="O32" s="112">
        <v>0</v>
      </c>
      <c r="P32" s="112">
        <v>0.37</v>
      </c>
      <c r="Q32" s="112">
        <v>4.6500000000000004</v>
      </c>
    </row>
    <row r="33" spans="1:17" customFormat="1">
      <c r="A33" s="80">
        <v>45503.260416666664</v>
      </c>
      <c r="B33" s="112">
        <v>9.16</v>
      </c>
      <c r="C33" s="112">
        <v>4.22</v>
      </c>
      <c r="D33" s="112">
        <v>14</v>
      </c>
      <c r="E33" s="112">
        <v>8.6999999999999993</v>
      </c>
      <c r="F33" s="112">
        <v>4.7699999999999996</v>
      </c>
      <c r="G33" s="112">
        <v>26.64</v>
      </c>
      <c r="H33" s="112">
        <v>10.84</v>
      </c>
      <c r="I33" s="112">
        <v>3.19</v>
      </c>
      <c r="J33" s="112">
        <v>0.4</v>
      </c>
      <c r="K33" s="112">
        <v>277.87</v>
      </c>
      <c r="L33" s="112">
        <v>25.64</v>
      </c>
      <c r="M33" s="112">
        <v>99.97</v>
      </c>
      <c r="N33" s="112">
        <v>43.2</v>
      </c>
      <c r="O33" s="112">
        <v>0</v>
      </c>
      <c r="P33" s="112">
        <v>0.37</v>
      </c>
      <c r="Q33" s="112">
        <v>4.67</v>
      </c>
    </row>
    <row r="34" spans="1:17" customFormat="1">
      <c r="A34" s="80">
        <v>45503.270833333336</v>
      </c>
      <c r="B34" s="112">
        <v>9.15</v>
      </c>
      <c r="C34" s="112">
        <v>4.24</v>
      </c>
      <c r="D34" s="112">
        <v>14</v>
      </c>
      <c r="E34" s="112">
        <v>8.8699999999999992</v>
      </c>
      <c r="F34" s="112">
        <v>4.29</v>
      </c>
      <c r="G34" s="112">
        <v>26.64</v>
      </c>
      <c r="H34" s="112">
        <v>10.84</v>
      </c>
      <c r="I34" s="112">
        <v>3.16</v>
      </c>
      <c r="J34" s="112">
        <v>0.43</v>
      </c>
      <c r="K34" s="112">
        <v>282.17</v>
      </c>
      <c r="L34" s="112">
        <v>25.81</v>
      </c>
      <c r="M34" s="112">
        <v>99.02</v>
      </c>
      <c r="N34" s="112">
        <v>48.6</v>
      </c>
      <c r="O34" s="112">
        <v>0</v>
      </c>
      <c r="P34" s="112">
        <v>0.37</v>
      </c>
      <c r="Q34" s="112">
        <v>4.67</v>
      </c>
    </row>
    <row r="35" spans="1:17" customFormat="1">
      <c r="A35" s="80">
        <v>45503.28125</v>
      </c>
      <c r="B35" s="112">
        <v>9.16</v>
      </c>
      <c r="C35" s="112">
        <v>4.22</v>
      </c>
      <c r="D35" s="112">
        <v>14</v>
      </c>
      <c r="E35" s="112">
        <v>9.49</v>
      </c>
      <c r="F35" s="112">
        <v>4.2</v>
      </c>
      <c r="G35" s="112">
        <v>25.94</v>
      </c>
      <c r="H35" s="112">
        <v>11.38</v>
      </c>
      <c r="I35" s="112">
        <v>3.18</v>
      </c>
      <c r="J35" s="112">
        <v>0.28999999999999998</v>
      </c>
      <c r="K35" s="112">
        <v>271.91000000000003</v>
      </c>
      <c r="L35" s="112">
        <v>26</v>
      </c>
      <c r="M35" s="112">
        <v>97.58</v>
      </c>
      <c r="N35" s="112">
        <v>56.4</v>
      </c>
      <c r="O35" s="112">
        <v>0</v>
      </c>
      <c r="P35" s="112">
        <v>0.38</v>
      </c>
      <c r="Q35" s="112">
        <v>4.6500000000000004</v>
      </c>
    </row>
    <row r="36" spans="1:17" customFormat="1">
      <c r="A36" s="80">
        <v>45503.291666666664</v>
      </c>
      <c r="B36" s="112">
        <v>9.15</v>
      </c>
      <c r="C36" s="112">
        <v>4.24</v>
      </c>
      <c r="D36" s="112">
        <v>14</v>
      </c>
      <c r="E36" s="112">
        <v>9.2899999999999991</v>
      </c>
      <c r="F36" s="112">
        <v>3.99</v>
      </c>
      <c r="G36" s="112">
        <v>24.85</v>
      </c>
      <c r="H36" s="112">
        <v>11.89</v>
      </c>
      <c r="I36" s="112">
        <v>3.18</v>
      </c>
      <c r="J36" s="112">
        <v>0.38</v>
      </c>
      <c r="K36" s="112">
        <v>273.5</v>
      </c>
      <c r="L36" s="112">
        <v>26.17</v>
      </c>
      <c r="M36" s="112">
        <v>96.56</v>
      </c>
      <c r="N36" s="112">
        <v>69</v>
      </c>
      <c r="O36" s="112">
        <v>0</v>
      </c>
      <c r="P36" s="112">
        <v>0.37</v>
      </c>
      <c r="Q36" s="112">
        <v>4.66</v>
      </c>
    </row>
    <row r="37" spans="1:17" customFormat="1">
      <c r="A37" s="80">
        <v>45503.302083333336</v>
      </c>
      <c r="B37" s="112">
        <v>9.14</v>
      </c>
      <c r="C37" s="112">
        <v>4.24</v>
      </c>
      <c r="D37" s="112">
        <v>14</v>
      </c>
      <c r="E37" s="112">
        <v>9.65</v>
      </c>
      <c r="F37" s="112">
        <v>3.94</v>
      </c>
      <c r="G37" s="112">
        <v>24.85</v>
      </c>
      <c r="H37" s="112">
        <v>11.89</v>
      </c>
      <c r="I37" s="112">
        <v>3.15</v>
      </c>
      <c r="J37" s="112">
        <v>0.34</v>
      </c>
      <c r="K37" s="112">
        <v>277.7</v>
      </c>
      <c r="L37" s="112">
        <v>26.55</v>
      </c>
      <c r="M37" s="112">
        <v>95.04</v>
      </c>
      <c r="N37" s="112">
        <v>82.5</v>
      </c>
      <c r="O37" s="112">
        <v>0</v>
      </c>
      <c r="P37" s="112">
        <v>0.38</v>
      </c>
      <c r="Q37" s="112">
        <v>4.67</v>
      </c>
    </row>
    <row r="38" spans="1:17" customFormat="1">
      <c r="A38" s="80">
        <v>45503.3125</v>
      </c>
      <c r="B38" s="112">
        <v>9.1300000000000008</v>
      </c>
      <c r="C38" s="112">
        <v>4.26</v>
      </c>
      <c r="D38" s="112">
        <v>14</v>
      </c>
      <c r="E38" s="112">
        <v>9.94</v>
      </c>
      <c r="F38" s="112">
        <v>3.9</v>
      </c>
      <c r="G38" s="112">
        <v>24.85</v>
      </c>
      <c r="H38" s="112">
        <v>11.89</v>
      </c>
      <c r="I38" s="112">
        <v>3.16</v>
      </c>
      <c r="J38" s="112">
        <v>0.4</v>
      </c>
      <c r="K38" s="112">
        <v>278.7</v>
      </c>
      <c r="L38" s="112">
        <v>26.62</v>
      </c>
      <c r="M38" s="112">
        <v>94.16</v>
      </c>
      <c r="N38" s="112">
        <v>111.9</v>
      </c>
      <c r="O38" s="112">
        <v>0</v>
      </c>
      <c r="P38" s="112">
        <v>0.37</v>
      </c>
      <c r="Q38" s="112">
        <v>4.67</v>
      </c>
    </row>
    <row r="39" spans="1:17" customFormat="1">
      <c r="A39" s="80">
        <v>45503.322916666664</v>
      </c>
      <c r="B39" s="112">
        <v>9.1300000000000008</v>
      </c>
      <c r="C39" s="112">
        <v>4.26</v>
      </c>
      <c r="D39" s="112">
        <v>14</v>
      </c>
      <c r="E39" s="112">
        <v>9.41</v>
      </c>
      <c r="F39" s="112">
        <v>4.62</v>
      </c>
      <c r="G39" s="112">
        <v>25.58</v>
      </c>
      <c r="H39" s="112">
        <v>10.4</v>
      </c>
      <c r="I39" s="112">
        <v>3.19</v>
      </c>
      <c r="J39" s="112">
        <v>0.45</v>
      </c>
      <c r="K39" s="112">
        <v>270.55</v>
      </c>
      <c r="L39" s="112">
        <v>26.97</v>
      </c>
      <c r="M39" s="112">
        <v>92.34</v>
      </c>
      <c r="N39" s="112">
        <v>121.3</v>
      </c>
      <c r="O39" s="112">
        <v>0</v>
      </c>
      <c r="P39" s="112">
        <v>0.38</v>
      </c>
      <c r="Q39" s="112">
        <v>4.67</v>
      </c>
    </row>
    <row r="40" spans="1:17" customFormat="1">
      <c r="A40" s="80">
        <v>45503.333333333336</v>
      </c>
      <c r="B40" s="112">
        <v>9.1300000000000008</v>
      </c>
      <c r="C40" s="112">
        <v>4.26</v>
      </c>
      <c r="D40" s="112">
        <v>14</v>
      </c>
      <c r="E40" s="112">
        <v>10.4</v>
      </c>
      <c r="F40" s="112">
        <v>3.95</v>
      </c>
      <c r="G40" s="112">
        <v>26.73</v>
      </c>
      <c r="H40" s="112">
        <v>8.99</v>
      </c>
      <c r="I40" s="112">
        <v>3.2</v>
      </c>
      <c r="J40" s="112">
        <v>0.48</v>
      </c>
      <c r="K40" s="112">
        <v>272.11</v>
      </c>
      <c r="L40" s="112">
        <v>27.09</v>
      </c>
      <c r="M40" s="112">
        <v>92.32</v>
      </c>
      <c r="N40" s="112">
        <v>126.7</v>
      </c>
      <c r="O40" s="112">
        <v>0</v>
      </c>
      <c r="P40" s="112">
        <v>0.39</v>
      </c>
      <c r="Q40" s="112">
        <v>4.66</v>
      </c>
    </row>
    <row r="41" spans="1:17" customFormat="1">
      <c r="A41" s="80">
        <v>45503.34375</v>
      </c>
      <c r="B41" s="112">
        <v>9.14</v>
      </c>
      <c r="C41" s="112">
        <v>4.25</v>
      </c>
      <c r="D41" s="112">
        <v>14</v>
      </c>
      <c r="E41" s="112">
        <v>10.029999999999999</v>
      </c>
      <c r="F41" s="112">
        <v>4.03</v>
      </c>
      <c r="G41" s="112">
        <v>26.73</v>
      </c>
      <c r="H41" s="112">
        <v>8.99</v>
      </c>
      <c r="I41" s="112">
        <v>3.3</v>
      </c>
      <c r="J41" s="112">
        <v>0.5</v>
      </c>
      <c r="K41" s="112">
        <v>271.99</v>
      </c>
      <c r="L41" s="112">
        <v>27.16</v>
      </c>
      <c r="M41" s="112">
        <v>91.93</v>
      </c>
      <c r="N41" s="112">
        <v>121.5</v>
      </c>
      <c r="O41" s="112">
        <v>0</v>
      </c>
      <c r="P41" s="112">
        <v>0.4</v>
      </c>
      <c r="Q41" s="112">
        <v>4.66</v>
      </c>
    </row>
    <row r="42" spans="1:17" customFormat="1">
      <c r="A42" s="80">
        <v>45503.354166666664</v>
      </c>
      <c r="B42" s="112">
        <v>9.14</v>
      </c>
      <c r="C42" s="112">
        <v>4.25</v>
      </c>
      <c r="D42" s="112">
        <v>14</v>
      </c>
      <c r="E42" s="112">
        <v>10.25</v>
      </c>
      <c r="F42" s="112">
        <v>4.1399999999999997</v>
      </c>
      <c r="G42" s="112">
        <v>26.73</v>
      </c>
      <c r="H42" s="112">
        <v>8.99</v>
      </c>
      <c r="I42" s="112">
        <v>3.41</v>
      </c>
      <c r="J42" s="112">
        <v>0.68</v>
      </c>
      <c r="K42" s="112">
        <v>276.29000000000002</v>
      </c>
      <c r="L42" s="112">
        <v>27.17</v>
      </c>
      <c r="M42" s="112">
        <v>90.99</v>
      </c>
      <c r="N42" s="112">
        <v>148</v>
      </c>
      <c r="O42" s="112">
        <v>0</v>
      </c>
      <c r="P42" s="112">
        <v>0.4</v>
      </c>
      <c r="Q42" s="112">
        <v>4.66</v>
      </c>
    </row>
    <row r="43" spans="1:17" customFormat="1">
      <c r="A43" s="80">
        <v>45503.364583333336</v>
      </c>
      <c r="B43" s="112">
        <v>9.14</v>
      </c>
      <c r="C43" s="112">
        <v>4.26</v>
      </c>
      <c r="D43" s="112">
        <v>14</v>
      </c>
      <c r="E43" s="112">
        <v>10.199999999999999</v>
      </c>
      <c r="F43" s="112">
        <v>4.66</v>
      </c>
      <c r="G43" s="112">
        <v>25.05</v>
      </c>
      <c r="H43" s="112">
        <v>10.84</v>
      </c>
      <c r="I43" s="112">
        <v>3.47</v>
      </c>
      <c r="J43" s="112">
        <v>0.61</v>
      </c>
      <c r="K43" s="112">
        <v>282.49</v>
      </c>
      <c r="L43" s="112">
        <v>27.27</v>
      </c>
      <c r="M43" s="112">
        <v>90.35</v>
      </c>
      <c r="N43" s="112">
        <v>143.1</v>
      </c>
      <c r="O43" s="112">
        <v>0</v>
      </c>
      <c r="P43" s="112">
        <v>0.4</v>
      </c>
      <c r="Q43" s="112">
        <v>4.66</v>
      </c>
    </row>
    <row r="44" spans="1:17" customFormat="1">
      <c r="A44" s="80">
        <v>45503.375</v>
      </c>
      <c r="B44" s="112">
        <v>9.14</v>
      </c>
      <c r="C44" s="112">
        <v>4.25</v>
      </c>
      <c r="D44" s="112">
        <v>14</v>
      </c>
      <c r="E44" s="112">
        <v>10.6</v>
      </c>
      <c r="F44" s="112">
        <v>3.59</v>
      </c>
      <c r="G44" s="112">
        <v>22.41</v>
      </c>
      <c r="H44" s="112">
        <v>17.420000000000002</v>
      </c>
      <c r="I44" s="112">
        <v>3.49</v>
      </c>
      <c r="J44" s="112">
        <v>0.6</v>
      </c>
      <c r="K44" s="112">
        <v>276.61</v>
      </c>
      <c r="L44" s="112">
        <v>27.58</v>
      </c>
      <c r="M44" s="112">
        <v>89.42</v>
      </c>
      <c r="N44" s="112">
        <v>161.4</v>
      </c>
      <c r="O44" s="112">
        <v>0</v>
      </c>
      <c r="P44" s="112">
        <v>0.4</v>
      </c>
      <c r="Q44" s="112">
        <v>4.66</v>
      </c>
    </row>
    <row r="45" spans="1:17" customFormat="1">
      <c r="A45" s="80">
        <v>45503.385416666664</v>
      </c>
      <c r="B45" s="112">
        <v>9.15</v>
      </c>
      <c r="C45" s="112">
        <v>4.2300000000000004</v>
      </c>
      <c r="D45" s="112">
        <v>14</v>
      </c>
      <c r="E45" s="112">
        <v>10.62</v>
      </c>
      <c r="F45" s="112">
        <v>3.47</v>
      </c>
      <c r="G45" s="112">
        <v>22.41</v>
      </c>
      <c r="H45" s="112">
        <v>17.420000000000002</v>
      </c>
      <c r="I45" s="112">
        <v>3.46</v>
      </c>
      <c r="J45" s="112">
        <v>0.79</v>
      </c>
      <c r="K45" s="112">
        <v>285.44</v>
      </c>
      <c r="L45" s="112">
        <v>27.68</v>
      </c>
      <c r="M45" s="112">
        <v>88.8</v>
      </c>
      <c r="N45" s="112">
        <v>180.3</v>
      </c>
      <c r="O45" s="112">
        <v>0</v>
      </c>
      <c r="P45" s="112">
        <v>0.4</v>
      </c>
      <c r="Q45" s="112">
        <v>4.66</v>
      </c>
    </row>
    <row r="46" spans="1:17" customFormat="1">
      <c r="A46" s="80">
        <v>45503.395833333336</v>
      </c>
      <c r="B46" s="112">
        <v>9.17</v>
      </c>
      <c r="C46" s="112">
        <v>4.21</v>
      </c>
      <c r="D46" s="112">
        <v>14</v>
      </c>
      <c r="E46" s="112">
        <v>9.92</v>
      </c>
      <c r="F46" s="112">
        <v>4.0999999999999996</v>
      </c>
      <c r="G46" s="112">
        <v>22.41</v>
      </c>
      <c r="H46" s="112">
        <v>17.420000000000002</v>
      </c>
      <c r="I46" s="112">
        <v>3.48</v>
      </c>
      <c r="J46" s="112">
        <v>0.81</v>
      </c>
      <c r="K46" s="112">
        <v>291.27999999999997</v>
      </c>
      <c r="L46" s="112">
        <v>27.91</v>
      </c>
      <c r="M46" s="112">
        <v>87.24</v>
      </c>
      <c r="N46" s="112">
        <v>210.8</v>
      </c>
      <c r="O46" s="112">
        <v>0</v>
      </c>
      <c r="P46" s="112">
        <v>0.4</v>
      </c>
      <c r="Q46" s="112">
        <v>4.6500000000000004</v>
      </c>
    </row>
    <row r="47" spans="1:17" customFormat="1">
      <c r="A47" s="80">
        <v>45503.40625</v>
      </c>
      <c r="B47" s="112">
        <v>9.17</v>
      </c>
      <c r="C47" s="112">
        <v>4.21</v>
      </c>
      <c r="D47" s="112">
        <v>14</v>
      </c>
      <c r="E47" s="112">
        <v>10.64</v>
      </c>
      <c r="F47" s="112">
        <v>4.4400000000000004</v>
      </c>
      <c r="G47" s="112">
        <v>19.850000000000001</v>
      </c>
      <c r="H47" s="112">
        <v>15.29</v>
      </c>
      <c r="I47" s="112">
        <v>3.5</v>
      </c>
      <c r="J47" s="112">
        <v>0.75</v>
      </c>
      <c r="K47" s="112">
        <v>281.29000000000002</v>
      </c>
      <c r="L47" s="112">
        <v>27.83</v>
      </c>
      <c r="M47" s="112">
        <v>89.13</v>
      </c>
      <c r="N47" s="112">
        <v>169.9</v>
      </c>
      <c r="O47" s="112">
        <v>0</v>
      </c>
      <c r="P47" s="112">
        <v>0.43</v>
      </c>
      <c r="Q47" s="112">
        <v>4.6500000000000004</v>
      </c>
    </row>
    <row r="48" spans="1:17" customFormat="1">
      <c r="A48" s="80">
        <v>45503.416666666664</v>
      </c>
      <c r="B48" s="112">
        <v>9.17</v>
      </c>
      <c r="C48" s="112">
        <v>4.21</v>
      </c>
      <c r="D48" s="112">
        <v>14</v>
      </c>
      <c r="E48" s="112">
        <v>10.86</v>
      </c>
      <c r="F48" s="112">
        <v>4.42</v>
      </c>
      <c r="G48" s="112">
        <v>15.82</v>
      </c>
      <c r="H48" s="112">
        <v>13.29</v>
      </c>
      <c r="I48" s="112">
        <v>3.51</v>
      </c>
      <c r="J48" s="112">
        <v>0.71</v>
      </c>
      <c r="K48" s="112">
        <v>279.64</v>
      </c>
      <c r="L48" s="112">
        <v>27.91</v>
      </c>
      <c r="M48" s="112">
        <v>89.22</v>
      </c>
      <c r="N48" s="112">
        <v>204.3</v>
      </c>
      <c r="O48" s="112">
        <v>0</v>
      </c>
      <c r="P48" s="112">
        <v>0.45</v>
      </c>
      <c r="Q48" s="112">
        <v>4.66</v>
      </c>
    </row>
    <row r="49" spans="1:17" customFormat="1">
      <c r="A49" s="80">
        <v>45503.427083333336</v>
      </c>
      <c r="B49" s="112">
        <v>9.1999999999999993</v>
      </c>
      <c r="C49" s="112">
        <v>4.16</v>
      </c>
      <c r="D49" s="112">
        <v>14</v>
      </c>
      <c r="E49" s="112">
        <v>8</v>
      </c>
      <c r="F49" s="112">
        <v>4.66</v>
      </c>
      <c r="G49" s="112">
        <v>15.82</v>
      </c>
      <c r="H49" s="112">
        <v>13.29</v>
      </c>
      <c r="I49" s="112">
        <v>3.46</v>
      </c>
      <c r="J49" s="112">
        <v>0.76</v>
      </c>
      <c r="K49" s="112">
        <v>283.62</v>
      </c>
      <c r="L49" s="112">
        <v>28.7</v>
      </c>
      <c r="M49" s="112">
        <v>86.8</v>
      </c>
      <c r="N49" s="112">
        <v>337.1</v>
      </c>
      <c r="O49" s="112">
        <v>0</v>
      </c>
      <c r="P49" s="112">
        <v>0.46</v>
      </c>
      <c r="Q49" s="112">
        <v>4.66</v>
      </c>
    </row>
    <row r="50" spans="1:17" customFormat="1">
      <c r="A50" s="80">
        <v>45503.4375</v>
      </c>
      <c r="B50" s="112">
        <v>9.23</v>
      </c>
      <c r="C50" s="112">
        <v>4.1100000000000003</v>
      </c>
      <c r="D50" s="112">
        <v>14</v>
      </c>
      <c r="E50" s="112">
        <v>9.66</v>
      </c>
      <c r="F50" s="112">
        <v>4.87</v>
      </c>
      <c r="G50" s="112">
        <v>15.82</v>
      </c>
      <c r="H50" s="112">
        <v>13.29</v>
      </c>
      <c r="I50" s="112">
        <v>3.47</v>
      </c>
      <c r="J50" s="112">
        <v>0.77</v>
      </c>
      <c r="K50" s="112">
        <v>285.79000000000002</v>
      </c>
      <c r="L50" s="112">
        <v>29.01</v>
      </c>
      <c r="M50" s="112">
        <v>85.3</v>
      </c>
      <c r="N50" s="112">
        <v>265.5</v>
      </c>
      <c r="O50" s="112">
        <v>0</v>
      </c>
      <c r="P50" s="112">
        <v>0.46</v>
      </c>
      <c r="Q50" s="112">
        <v>4.6500000000000004</v>
      </c>
    </row>
    <row r="51" spans="1:17" customFormat="1">
      <c r="A51" s="80">
        <v>45503.447916666664</v>
      </c>
      <c r="B51" s="112">
        <v>9.25</v>
      </c>
      <c r="C51" s="112">
        <v>4.08</v>
      </c>
      <c r="D51" s="112">
        <v>14</v>
      </c>
      <c r="E51" s="112">
        <v>9.34</v>
      </c>
      <c r="F51" s="112">
        <v>6.31</v>
      </c>
      <c r="G51" s="112">
        <v>16.55</v>
      </c>
      <c r="H51" s="112">
        <v>14.22</v>
      </c>
      <c r="I51" s="112">
        <v>3.5</v>
      </c>
      <c r="J51" s="112">
        <v>0.73</v>
      </c>
      <c r="K51" s="112">
        <v>274.74</v>
      </c>
      <c r="L51" s="112">
        <v>28.99</v>
      </c>
      <c r="M51" s="112">
        <v>85.33</v>
      </c>
      <c r="N51" s="112">
        <v>313.3</v>
      </c>
      <c r="O51" s="112">
        <v>0</v>
      </c>
      <c r="P51" s="112">
        <v>0.45</v>
      </c>
      <c r="Q51" s="112">
        <v>4.6399999999999997</v>
      </c>
    </row>
    <row r="52" spans="1:17" customFormat="1">
      <c r="A52" s="80">
        <v>45503.458333333336</v>
      </c>
      <c r="B52" s="112">
        <v>9.24</v>
      </c>
      <c r="C52" s="112">
        <v>4.0999999999999996</v>
      </c>
      <c r="D52" s="112">
        <v>14</v>
      </c>
      <c r="E52" s="112">
        <v>9.2799999999999994</v>
      </c>
      <c r="F52" s="112">
        <v>5.7</v>
      </c>
      <c r="G52" s="112">
        <v>17.690000000000001</v>
      </c>
      <c r="H52" s="112">
        <v>15.1</v>
      </c>
      <c r="I52" s="112">
        <v>3.57</v>
      </c>
      <c r="J52" s="112">
        <v>0.66</v>
      </c>
      <c r="K52" s="112">
        <v>275.60000000000002</v>
      </c>
      <c r="L52" s="112">
        <v>28.98</v>
      </c>
      <c r="M52" s="112">
        <v>85.24</v>
      </c>
      <c r="N52" s="112">
        <v>281.2</v>
      </c>
      <c r="O52" s="112">
        <v>0</v>
      </c>
      <c r="P52" s="112">
        <v>0.46</v>
      </c>
      <c r="Q52" s="112">
        <v>4.6500000000000004</v>
      </c>
    </row>
    <row r="53" spans="1:17" customFormat="1">
      <c r="A53" s="80">
        <v>45503.46875</v>
      </c>
      <c r="B53" s="112">
        <v>9.25</v>
      </c>
      <c r="C53" s="112">
        <v>4.08</v>
      </c>
      <c r="D53" s="112">
        <v>14</v>
      </c>
      <c r="E53" s="112">
        <v>9.02</v>
      </c>
      <c r="F53" s="112">
        <v>5.73</v>
      </c>
      <c r="G53" s="112">
        <v>17.690000000000001</v>
      </c>
      <c r="H53" s="112">
        <v>15.1</v>
      </c>
      <c r="I53" s="112">
        <v>3.56</v>
      </c>
      <c r="J53" s="112">
        <v>0.54</v>
      </c>
      <c r="K53" s="112">
        <v>268.83999999999997</v>
      </c>
      <c r="L53" s="112">
        <v>29.28</v>
      </c>
      <c r="M53" s="112">
        <v>84.72</v>
      </c>
      <c r="N53" s="112">
        <v>292.60000000000002</v>
      </c>
      <c r="O53" s="112">
        <v>0</v>
      </c>
      <c r="P53" s="112">
        <v>0.45</v>
      </c>
      <c r="Q53" s="112">
        <v>4.6500000000000004</v>
      </c>
    </row>
    <row r="54" spans="1:17" customFormat="1">
      <c r="A54" s="80">
        <v>45503.479166666664</v>
      </c>
      <c r="B54" s="112">
        <v>9.26</v>
      </c>
      <c r="C54" s="112">
        <v>4.07</v>
      </c>
      <c r="D54" s="112">
        <v>14</v>
      </c>
      <c r="E54" s="112">
        <v>8.5500000000000007</v>
      </c>
      <c r="F54" s="112">
        <v>5.6</v>
      </c>
      <c r="G54" s="112">
        <v>17.690000000000001</v>
      </c>
      <c r="H54" s="112">
        <v>15.1</v>
      </c>
      <c r="I54" s="112">
        <v>3.73</v>
      </c>
      <c r="J54" s="112">
        <v>0.56999999999999995</v>
      </c>
      <c r="K54" s="112">
        <v>276.39999999999998</v>
      </c>
      <c r="L54" s="112">
        <v>29.46</v>
      </c>
      <c r="M54" s="112">
        <v>83.95</v>
      </c>
      <c r="N54" s="112">
        <v>315.2</v>
      </c>
      <c r="O54" s="112">
        <v>0</v>
      </c>
      <c r="P54" s="112">
        <v>0.45</v>
      </c>
      <c r="Q54" s="112">
        <v>4.6399999999999997</v>
      </c>
    </row>
    <row r="55" spans="1:17" customFormat="1">
      <c r="A55" s="80">
        <v>45503.489583333336</v>
      </c>
      <c r="B55" s="112">
        <v>9.24</v>
      </c>
      <c r="C55" s="112">
        <v>4.09</v>
      </c>
      <c r="D55" s="112">
        <v>14</v>
      </c>
      <c r="E55" s="112">
        <v>8.6999999999999993</v>
      </c>
      <c r="F55" s="112">
        <v>5.75</v>
      </c>
      <c r="G55" s="112">
        <v>19.399999999999999</v>
      </c>
      <c r="H55" s="112">
        <v>16.059999999999999</v>
      </c>
      <c r="I55" s="112">
        <v>3.72</v>
      </c>
      <c r="J55" s="112">
        <v>0.43</v>
      </c>
      <c r="K55" s="112">
        <v>269.89999999999998</v>
      </c>
      <c r="L55" s="112">
        <v>29.13</v>
      </c>
      <c r="M55" s="112">
        <v>84.26</v>
      </c>
      <c r="N55" s="112">
        <v>110.2</v>
      </c>
      <c r="O55" s="112">
        <v>0</v>
      </c>
      <c r="P55" s="112">
        <v>0.45</v>
      </c>
      <c r="Q55" s="112">
        <v>4.6500000000000004</v>
      </c>
    </row>
    <row r="56" spans="1:17" customFormat="1">
      <c r="A56" s="80">
        <v>45503.5</v>
      </c>
      <c r="B56" s="112">
        <v>9.24</v>
      </c>
      <c r="C56" s="112">
        <v>4.0999999999999996</v>
      </c>
      <c r="D56" s="112">
        <v>14</v>
      </c>
      <c r="E56" s="112">
        <v>8.7799999999999994</v>
      </c>
      <c r="F56" s="112">
        <v>5.89</v>
      </c>
      <c r="G56" s="112">
        <v>22.09</v>
      </c>
      <c r="H56" s="112">
        <v>16.96</v>
      </c>
      <c r="I56" s="112">
        <v>3.72</v>
      </c>
      <c r="J56" s="112">
        <v>0.74</v>
      </c>
      <c r="K56" s="112">
        <v>281.18</v>
      </c>
      <c r="L56" s="112">
        <v>28.42</v>
      </c>
      <c r="M56" s="112">
        <v>84.71</v>
      </c>
      <c r="N56" s="112">
        <v>108.6</v>
      </c>
      <c r="O56" s="112">
        <v>0</v>
      </c>
      <c r="P56" s="112">
        <v>0.46</v>
      </c>
      <c r="Q56" s="112">
        <v>4.6500000000000004</v>
      </c>
    </row>
    <row r="57" spans="1:17" customFormat="1">
      <c r="A57" s="80">
        <v>45503.510416666664</v>
      </c>
      <c r="B57" s="112">
        <v>9.23</v>
      </c>
      <c r="C57" s="112">
        <v>4.12</v>
      </c>
      <c r="D57" s="112">
        <v>14</v>
      </c>
      <c r="E57" s="112">
        <v>8.02</v>
      </c>
      <c r="F57" s="112">
        <v>6.17</v>
      </c>
      <c r="G57" s="112">
        <v>22.09</v>
      </c>
      <c r="H57" s="112">
        <v>16.96</v>
      </c>
      <c r="I57" s="112">
        <v>3.74</v>
      </c>
      <c r="J57" s="112">
        <v>0.49</v>
      </c>
      <c r="K57" s="112">
        <v>277.14999999999998</v>
      </c>
      <c r="L57" s="112">
        <v>28.37</v>
      </c>
      <c r="M57" s="112">
        <v>86.78</v>
      </c>
      <c r="N57" s="112">
        <v>144.9</v>
      </c>
      <c r="O57" s="112">
        <v>0</v>
      </c>
      <c r="P57" s="112">
        <v>0.45</v>
      </c>
      <c r="Q57" s="112">
        <v>4.6500000000000004</v>
      </c>
    </row>
    <row r="58" spans="1:17" customFormat="1">
      <c r="A58" s="80">
        <v>45503.520833333336</v>
      </c>
      <c r="B58" s="112">
        <v>9.2200000000000006</v>
      </c>
      <c r="C58" s="112">
        <v>4.13</v>
      </c>
      <c r="D58" s="112">
        <v>14</v>
      </c>
      <c r="E58" s="112">
        <v>8.3699999999999992</v>
      </c>
      <c r="F58" s="112">
        <v>7.64</v>
      </c>
      <c r="G58" s="112">
        <v>22.09</v>
      </c>
      <c r="H58" s="112">
        <v>16.96</v>
      </c>
      <c r="I58" s="112">
        <v>3.74</v>
      </c>
      <c r="J58" s="112">
        <v>0.52</v>
      </c>
      <c r="K58" s="112">
        <v>276.51</v>
      </c>
      <c r="L58" s="112">
        <v>28.98</v>
      </c>
      <c r="M58" s="112">
        <v>84.94</v>
      </c>
      <c r="N58" s="112">
        <v>223.9</v>
      </c>
      <c r="O58" s="112">
        <v>0</v>
      </c>
      <c r="P58" s="112">
        <v>0.45</v>
      </c>
      <c r="Q58" s="112">
        <v>4.66</v>
      </c>
    </row>
    <row r="59" spans="1:17" customFormat="1">
      <c r="A59" s="80">
        <v>45503.53125</v>
      </c>
      <c r="B59" s="112">
        <v>9.2100000000000009</v>
      </c>
      <c r="C59" s="112">
        <v>4.1399999999999997</v>
      </c>
      <c r="D59" s="112">
        <v>14</v>
      </c>
      <c r="E59" s="112">
        <v>8.64</v>
      </c>
      <c r="F59" s="112">
        <v>7.62</v>
      </c>
      <c r="G59" s="112">
        <v>25.83</v>
      </c>
      <c r="H59" s="112">
        <v>15.86</v>
      </c>
      <c r="I59" s="112">
        <v>3.85</v>
      </c>
      <c r="J59" s="112">
        <v>0.7</v>
      </c>
      <c r="K59" s="112">
        <v>278.37</v>
      </c>
      <c r="L59" s="112">
        <v>29.29</v>
      </c>
      <c r="M59" s="112">
        <v>82.04</v>
      </c>
      <c r="N59" s="112">
        <v>231.1</v>
      </c>
      <c r="O59" s="112">
        <v>0</v>
      </c>
      <c r="P59" s="112">
        <v>0.45</v>
      </c>
      <c r="Q59" s="112">
        <v>4.6500000000000004</v>
      </c>
    </row>
    <row r="60" spans="1:17" customFormat="1">
      <c r="A60" s="80">
        <v>45503.541666666664</v>
      </c>
      <c r="B60" s="112">
        <v>9.23</v>
      </c>
      <c r="C60" s="112">
        <v>4.1100000000000003</v>
      </c>
      <c r="D60" s="112">
        <v>14</v>
      </c>
      <c r="E60" s="112">
        <v>8.17</v>
      </c>
      <c r="F60" s="112">
        <v>6.88</v>
      </c>
      <c r="G60" s="112">
        <v>31.44</v>
      </c>
      <c r="H60" s="112">
        <v>14.83</v>
      </c>
      <c r="I60" s="112">
        <v>3.85</v>
      </c>
      <c r="J60" s="112">
        <v>0.64</v>
      </c>
      <c r="K60" s="112">
        <v>277.75</v>
      </c>
      <c r="L60" s="112">
        <v>29.33</v>
      </c>
      <c r="M60" s="112">
        <v>81.400000000000006</v>
      </c>
      <c r="N60" s="112">
        <v>224.6</v>
      </c>
      <c r="O60" s="112">
        <v>0</v>
      </c>
      <c r="P60" s="112">
        <v>0.45</v>
      </c>
      <c r="Q60" s="112">
        <v>4.66</v>
      </c>
    </row>
    <row r="61" spans="1:17" customFormat="1">
      <c r="A61" s="80">
        <v>45503.552083333336</v>
      </c>
      <c r="B61" s="112">
        <v>9.24</v>
      </c>
      <c r="C61" s="112">
        <v>4.0999999999999996</v>
      </c>
      <c r="D61" s="112">
        <v>14</v>
      </c>
      <c r="E61" s="112">
        <v>7.91</v>
      </c>
      <c r="F61" s="112">
        <v>6.12</v>
      </c>
      <c r="G61" s="112">
        <v>31.44</v>
      </c>
      <c r="H61" s="112">
        <v>14.83</v>
      </c>
      <c r="I61" s="112">
        <v>4</v>
      </c>
      <c r="J61" s="112">
        <v>0.81</v>
      </c>
      <c r="K61" s="112">
        <v>277.58</v>
      </c>
      <c r="L61" s="112">
        <v>29.38</v>
      </c>
      <c r="M61" s="112">
        <v>80.87</v>
      </c>
      <c r="N61" s="112">
        <v>260</v>
      </c>
      <c r="O61" s="112">
        <v>0</v>
      </c>
      <c r="P61" s="112">
        <v>0.45</v>
      </c>
      <c r="Q61" s="112">
        <v>4.66</v>
      </c>
    </row>
    <row r="62" spans="1:17" customFormat="1">
      <c r="A62" s="80">
        <v>45503.5625</v>
      </c>
      <c r="B62" s="112">
        <v>9.24</v>
      </c>
      <c r="C62" s="112">
        <v>4.0999999999999996</v>
      </c>
      <c r="D62" s="112">
        <v>14</v>
      </c>
      <c r="E62" s="112">
        <v>7.95</v>
      </c>
      <c r="F62" s="112">
        <v>7.33</v>
      </c>
      <c r="G62" s="112">
        <v>31.44</v>
      </c>
      <c r="H62" s="112">
        <v>14.83</v>
      </c>
      <c r="I62" s="112">
        <v>4.0599999999999996</v>
      </c>
      <c r="J62" s="112">
        <v>0.83</v>
      </c>
      <c r="K62" s="112">
        <v>284.45</v>
      </c>
      <c r="L62" s="112">
        <v>29.74</v>
      </c>
      <c r="M62" s="112">
        <v>79.709999999999994</v>
      </c>
      <c r="N62" s="112">
        <v>303.8</v>
      </c>
      <c r="O62" s="112">
        <v>0</v>
      </c>
      <c r="P62" s="112">
        <v>0.45</v>
      </c>
      <c r="Q62" s="112">
        <v>4.66</v>
      </c>
    </row>
    <row r="63" spans="1:17" customFormat="1">
      <c r="A63" s="80">
        <v>45503.572916666664</v>
      </c>
      <c r="B63" s="112">
        <v>9.2200000000000006</v>
      </c>
      <c r="C63" s="112">
        <v>4.12</v>
      </c>
      <c r="D63" s="112">
        <v>14</v>
      </c>
      <c r="E63" s="112">
        <v>8.6999999999999993</v>
      </c>
      <c r="F63" s="112">
        <v>8.86</v>
      </c>
      <c r="G63" s="112">
        <v>30.96</v>
      </c>
      <c r="H63" s="112">
        <v>18.37</v>
      </c>
      <c r="I63" s="112">
        <v>4.05</v>
      </c>
      <c r="J63" s="112">
        <v>0.63</v>
      </c>
      <c r="K63" s="112">
        <v>268.42</v>
      </c>
      <c r="L63" s="112">
        <v>30.14</v>
      </c>
      <c r="M63" s="112">
        <v>79.62</v>
      </c>
      <c r="N63" s="112">
        <v>297.8</v>
      </c>
      <c r="O63" s="112">
        <v>0</v>
      </c>
      <c r="P63" s="112">
        <v>0.47</v>
      </c>
      <c r="Q63" s="112">
        <v>4.66</v>
      </c>
    </row>
    <row r="64" spans="1:17" customFormat="1">
      <c r="A64" s="80">
        <v>45503.583333333336</v>
      </c>
      <c r="B64" s="112">
        <v>9.2100000000000009</v>
      </c>
      <c r="C64" s="112">
        <v>4.1399999999999997</v>
      </c>
      <c r="D64" s="112">
        <v>14</v>
      </c>
      <c r="E64" s="112">
        <v>8.1</v>
      </c>
      <c r="F64" s="112">
        <v>7.47</v>
      </c>
      <c r="G64" s="112">
        <v>30.2</v>
      </c>
      <c r="H64" s="112">
        <v>21.7</v>
      </c>
      <c r="I64" s="112">
        <v>3.97</v>
      </c>
      <c r="J64" s="112">
        <v>0.66</v>
      </c>
      <c r="K64" s="112">
        <v>280.70999999999998</v>
      </c>
      <c r="L64" s="112">
        <v>30.46</v>
      </c>
      <c r="M64" s="112">
        <v>78.44</v>
      </c>
      <c r="N64" s="112">
        <v>292.39999999999998</v>
      </c>
      <c r="O64" s="112">
        <v>0</v>
      </c>
      <c r="P64" s="112">
        <v>0.47</v>
      </c>
      <c r="Q64" s="112">
        <v>4.66</v>
      </c>
    </row>
    <row r="65" spans="1:17" customFormat="1">
      <c r="A65" s="80">
        <v>45503.59375</v>
      </c>
      <c r="B65" s="112">
        <v>9.1999999999999993</v>
      </c>
      <c r="C65" s="112">
        <v>4.16</v>
      </c>
      <c r="D65" s="112">
        <v>14</v>
      </c>
      <c r="E65" s="112">
        <v>8.59</v>
      </c>
      <c r="F65" s="112">
        <v>6.43</v>
      </c>
      <c r="G65" s="112">
        <v>30.2</v>
      </c>
      <c r="H65" s="112">
        <v>21.7</v>
      </c>
      <c r="I65" s="112">
        <v>4.03</v>
      </c>
      <c r="J65" s="112">
        <v>0.67</v>
      </c>
      <c r="K65" s="112">
        <v>277.08999999999997</v>
      </c>
      <c r="L65" s="112">
        <v>30.73</v>
      </c>
      <c r="M65" s="112">
        <v>77.989999999999995</v>
      </c>
      <c r="N65" s="112">
        <v>317.2</v>
      </c>
      <c r="O65" s="112">
        <v>0</v>
      </c>
      <c r="P65" s="112">
        <v>0.28000000000000003</v>
      </c>
      <c r="Q65" s="112">
        <v>4.66</v>
      </c>
    </row>
    <row r="66" spans="1:17" customFormat="1">
      <c r="A66" s="80">
        <v>45503.604166666664</v>
      </c>
      <c r="B66" s="112">
        <v>9.23</v>
      </c>
      <c r="C66" s="112">
        <v>4.1100000000000003</v>
      </c>
      <c r="D66" s="112">
        <v>14</v>
      </c>
      <c r="E66" s="112">
        <v>8.4</v>
      </c>
      <c r="F66" s="112">
        <v>6.35</v>
      </c>
      <c r="G66" s="112">
        <v>30.2</v>
      </c>
      <c r="H66" s="112">
        <v>21.7</v>
      </c>
      <c r="I66" s="112">
        <v>4.12</v>
      </c>
      <c r="J66" s="112">
        <v>0.66</v>
      </c>
      <c r="K66" s="112">
        <v>278.74</v>
      </c>
      <c r="L66" s="112">
        <v>30.54</v>
      </c>
      <c r="M66" s="112">
        <v>77.92</v>
      </c>
      <c r="N66" s="112">
        <v>280.7</v>
      </c>
      <c r="O66" s="112">
        <v>0</v>
      </c>
      <c r="P66" s="112">
        <v>0.26</v>
      </c>
      <c r="Q66" s="112">
        <v>4.67</v>
      </c>
    </row>
    <row r="67" spans="1:17" customFormat="1">
      <c r="A67" s="80">
        <v>45503.614583333336</v>
      </c>
      <c r="B67" s="112">
        <v>9.26</v>
      </c>
      <c r="C67" s="112">
        <v>4.07</v>
      </c>
      <c r="D67" s="112">
        <v>14</v>
      </c>
      <c r="E67" s="112">
        <v>8.82</v>
      </c>
      <c r="F67" s="112">
        <v>7.62</v>
      </c>
      <c r="G67" s="112">
        <v>35.74</v>
      </c>
      <c r="H67" s="112">
        <v>21.07</v>
      </c>
      <c r="I67" s="112">
        <v>4.12</v>
      </c>
      <c r="J67" s="112">
        <v>0.82</v>
      </c>
      <c r="K67" s="112">
        <v>289.32</v>
      </c>
      <c r="L67" s="112">
        <v>30.48</v>
      </c>
      <c r="M67" s="112">
        <v>77.52</v>
      </c>
      <c r="N67" s="112">
        <v>304.10000000000002</v>
      </c>
      <c r="O67" s="112">
        <v>0</v>
      </c>
      <c r="P67" s="112">
        <v>0.27</v>
      </c>
      <c r="Q67" s="112">
        <v>4.66</v>
      </c>
    </row>
    <row r="68" spans="1:17" customFormat="1">
      <c r="A68" s="80">
        <v>45503.625</v>
      </c>
      <c r="B68" s="112">
        <v>9.2100000000000009</v>
      </c>
      <c r="C68" s="112">
        <v>4.1500000000000004</v>
      </c>
      <c r="D68" s="112">
        <v>14</v>
      </c>
      <c r="E68" s="112">
        <v>9.9499999999999993</v>
      </c>
      <c r="F68" s="112">
        <v>7.24</v>
      </c>
      <c r="G68" s="112">
        <v>44.04</v>
      </c>
      <c r="H68" s="112">
        <v>19.05</v>
      </c>
      <c r="I68" s="112">
        <v>4.1399999999999997</v>
      </c>
      <c r="J68" s="112">
        <v>0.52</v>
      </c>
      <c r="K68" s="112">
        <v>276.68</v>
      </c>
      <c r="L68" s="112">
        <v>30.7</v>
      </c>
      <c r="M68" s="112">
        <v>77.8</v>
      </c>
      <c r="N68" s="112">
        <v>241</v>
      </c>
      <c r="O68" s="112">
        <v>0</v>
      </c>
      <c r="P68" s="112">
        <v>0.28999999999999998</v>
      </c>
      <c r="Q68" s="112">
        <v>4.6500000000000004</v>
      </c>
    </row>
    <row r="69" spans="1:17" customFormat="1">
      <c r="A69" s="80">
        <v>45503.635416666664</v>
      </c>
      <c r="B69" s="112">
        <v>9.17</v>
      </c>
      <c r="C69" s="112">
        <v>4.2</v>
      </c>
      <c r="D69" s="112">
        <v>14</v>
      </c>
      <c r="E69" s="112">
        <v>10.039999999999999</v>
      </c>
      <c r="F69" s="112">
        <v>6.87</v>
      </c>
      <c r="G69" s="112">
        <v>44.04</v>
      </c>
      <c r="H69" s="112">
        <v>19.05</v>
      </c>
      <c r="I69" s="112">
        <v>4.2</v>
      </c>
      <c r="J69" s="112">
        <v>0.83</v>
      </c>
      <c r="K69" s="112">
        <v>278</v>
      </c>
      <c r="L69" s="112">
        <v>30.33</v>
      </c>
      <c r="M69" s="112">
        <v>76.63</v>
      </c>
      <c r="N69" s="112">
        <v>194.2</v>
      </c>
      <c r="O69" s="112">
        <v>0</v>
      </c>
      <c r="P69" s="112">
        <v>0.28000000000000003</v>
      </c>
      <c r="Q69" s="112">
        <v>4.66</v>
      </c>
    </row>
    <row r="70" spans="1:17" customFormat="1">
      <c r="A70" s="80">
        <v>45503.645833333336</v>
      </c>
      <c r="B70" s="112">
        <v>9.16</v>
      </c>
      <c r="C70" s="112">
        <v>4.2300000000000004</v>
      </c>
      <c r="D70" s="112">
        <v>14</v>
      </c>
      <c r="E70" s="112">
        <v>9.83</v>
      </c>
      <c r="F70" s="112">
        <v>8.76</v>
      </c>
      <c r="G70" s="112">
        <v>44.04</v>
      </c>
      <c r="H70" s="112">
        <v>19.05</v>
      </c>
      <c r="I70" s="112">
        <v>4.22</v>
      </c>
      <c r="J70" s="112">
        <v>0.69</v>
      </c>
      <c r="K70" s="112">
        <v>273.95999999999998</v>
      </c>
      <c r="L70" s="112">
        <v>30.1</v>
      </c>
      <c r="M70" s="112">
        <v>79.17</v>
      </c>
      <c r="N70" s="112">
        <v>153</v>
      </c>
      <c r="O70" s="112">
        <v>0</v>
      </c>
      <c r="P70" s="112">
        <v>0.28999999999999998</v>
      </c>
      <c r="Q70" s="112">
        <v>4.66</v>
      </c>
    </row>
    <row r="71" spans="1:17" customFormat="1">
      <c r="A71" s="80">
        <v>45503.65625</v>
      </c>
      <c r="B71" s="112">
        <v>9.15</v>
      </c>
      <c r="C71" s="112">
        <v>4.2300000000000004</v>
      </c>
      <c r="D71" s="112">
        <v>14</v>
      </c>
      <c r="E71" s="112">
        <v>10.4</v>
      </c>
      <c r="F71" s="112">
        <v>8.82</v>
      </c>
      <c r="G71" s="112">
        <v>44.28</v>
      </c>
      <c r="H71" s="112">
        <v>19.61</v>
      </c>
      <c r="I71" s="112">
        <v>4.2699999999999996</v>
      </c>
      <c r="J71" s="112">
        <v>0.51</v>
      </c>
      <c r="K71" s="112">
        <v>269.45999999999998</v>
      </c>
      <c r="L71" s="112">
        <v>30.17</v>
      </c>
      <c r="M71" s="112">
        <v>78.95</v>
      </c>
      <c r="N71" s="112">
        <v>174.2</v>
      </c>
      <c r="O71" s="112">
        <v>0</v>
      </c>
      <c r="P71" s="112">
        <v>0.31</v>
      </c>
      <c r="Q71" s="112">
        <v>4.66</v>
      </c>
    </row>
    <row r="72" spans="1:17" customFormat="1">
      <c r="A72" s="80">
        <v>45503.666666666664</v>
      </c>
      <c r="B72" s="112">
        <v>9.1300000000000008</v>
      </c>
      <c r="C72" s="112">
        <v>4.26</v>
      </c>
      <c r="D72" s="112">
        <v>14</v>
      </c>
      <c r="E72" s="112">
        <v>10.53</v>
      </c>
      <c r="F72" s="112">
        <v>7.99</v>
      </c>
      <c r="G72" s="112">
        <v>44.67</v>
      </c>
      <c r="H72" s="112">
        <v>20.13</v>
      </c>
      <c r="I72" s="112">
        <v>4.47</v>
      </c>
      <c r="J72" s="112">
        <v>0.63</v>
      </c>
      <c r="K72" s="112">
        <v>283.67</v>
      </c>
      <c r="L72" s="112">
        <v>30.38</v>
      </c>
      <c r="M72" s="112">
        <v>76.87</v>
      </c>
      <c r="N72" s="112">
        <v>173.6</v>
      </c>
      <c r="O72" s="112">
        <v>0</v>
      </c>
      <c r="P72" s="112">
        <v>0.31</v>
      </c>
      <c r="Q72" s="112">
        <v>4.66</v>
      </c>
    </row>
    <row r="73" spans="1:17" customFormat="1">
      <c r="A73" s="80">
        <v>45503.677083333336</v>
      </c>
      <c r="B73" s="112">
        <v>9.1300000000000008</v>
      </c>
      <c r="C73" s="112">
        <v>4.2699999999999996</v>
      </c>
      <c r="D73" s="112">
        <v>14</v>
      </c>
      <c r="E73" s="112">
        <v>10.74</v>
      </c>
      <c r="F73" s="112">
        <v>9</v>
      </c>
      <c r="G73" s="112">
        <v>44.67</v>
      </c>
      <c r="H73" s="112">
        <v>20.13</v>
      </c>
      <c r="I73" s="112">
        <v>4.63</v>
      </c>
      <c r="J73" s="112">
        <v>0.53</v>
      </c>
      <c r="K73" s="112">
        <v>272.32</v>
      </c>
      <c r="L73" s="112">
        <v>30.44</v>
      </c>
      <c r="M73" s="112">
        <v>77.66</v>
      </c>
      <c r="N73" s="112">
        <v>141.6</v>
      </c>
      <c r="O73" s="112">
        <v>0</v>
      </c>
      <c r="P73" s="112">
        <v>0.3</v>
      </c>
      <c r="Q73" s="112">
        <v>4.66</v>
      </c>
    </row>
    <row r="74" spans="1:17" customFormat="1">
      <c r="A74" s="80">
        <v>45503.6875</v>
      </c>
      <c r="B74" s="112">
        <v>9.1199999999999992</v>
      </c>
      <c r="C74" s="112">
        <v>4.28</v>
      </c>
      <c r="D74" s="112">
        <v>14</v>
      </c>
      <c r="E74" s="112">
        <v>10.050000000000001</v>
      </c>
      <c r="F74" s="112">
        <v>7.36</v>
      </c>
      <c r="G74" s="112">
        <v>44.67</v>
      </c>
      <c r="H74" s="112">
        <v>20.13</v>
      </c>
      <c r="I74" s="112">
        <v>4.57</v>
      </c>
      <c r="J74" s="112">
        <v>0.61</v>
      </c>
      <c r="K74" s="112">
        <v>282.97000000000003</v>
      </c>
      <c r="L74" s="112">
        <v>30.48</v>
      </c>
      <c r="M74" s="112">
        <v>77.73</v>
      </c>
      <c r="N74" s="112">
        <v>133.5</v>
      </c>
      <c r="O74" s="112">
        <v>0</v>
      </c>
      <c r="P74" s="112">
        <v>0.31</v>
      </c>
      <c r="Q74" s="112">
        <v>4.66</v>
      </c>
    </row>
    <row r="75" spans="1:17" customFormat="1">
      <c r="A75" s="80">
        <v>45503.697916666664</v>
      </c>
      <c r="B75" s="112">
        <v>9.1199999999999992</v>
      </c>
      <c r="C75" s="112">
        <v>4.28</v>
      </c>
      <c r="D75" s="112">
        <v>14</v>
      </c>
      <c r="E75" s="112">
        <v>9.92</v>
      </c>
      <c r="F75" s="112">
        <v>8.2200000000000006</v>
      </c>
      <c r="G75" s="112">
        <v>45.38</v>
      </c>
      <c r="H75" s="112">
        <v>18.89</v>
      </c>
      <c r="I75" s="112">
        <v>4.5599999999999996</v>
      </c>
      <c r="J75" s="112">
        <v>0.52</v>
      </c>
      <c r="K75" s="112">
        <v>278.77999999999997</v>
      </c>
      <c r="L75" s="112">
        <v>30.41</v>
      </c>
      <c r="M75" s="112">
        <v>77.430000000000007</v>
      </c>
      <c r="N75" s="112">
        <v>108.3</v>
      </c>
      <c r="O75" s="112">
        <v>0</v>
      </c>
      <c r="P75" s="112">
        <v>0.31</v>
      </c>
      <c r="Q75" s="112">
        <v>4.66</v>
      </c>
    </row>
    <row r="76" spans="1:17" customFormat="1">
      <c r="A76" s="80">
        <v>45503.708333333336</v>
      </c>
      <c r="B76" s="112">
        <v>9.1300000000000008</v>
      </c>
      <c r="C76" s="112">
        <v>4.2699999999999996</v>
      </c>
      <c r="D76" s="112">
        <v>14</v>
      </c>
      <c r="E76" s="112">
        <v>9.9</v>
      </c>
      <c r="F76" s="112">
        <v>8.19</v>
      </c>
      <c r="G76" s="112">
        <v>46.44</v>
      </c>
      <c r="H76" s="112">
        <v>17.77</v>
      </c>
      <c r="I76" s="112">
        <v>4.66</v>
      </c>
      <c r="J76" s="112">
        <v>0.48</v>
      </c>
      <c r="K76" s="112">
        <v>271.86</v>
      </c>
      <c r="L76" s="112">
        <v>30.21</v>
      </c>
      <c r="M76" s="112">
        <v>78.44</v>
      </c>
      <c r="N76" s="112">
        <v>94.8</v>
      </c>
      <c r="O76" s="112">
        <v>0</v>
      </c>
      <c r="P76" s="112">
        <v>0.31</v>
      </c>
      <c r="Q76" s="112">
        <v>4.66</v>
      </c>
    </row>
    <row r="77" spans="1:17" customFormat="1">
      <c r="A77" s="80">
        <v>45503.71875</v>
      </c>
      <c r="B77" s="112">
        <v>9.1199999999999992</v>
      </c>
      <c r="C77" s="112">
        <v>4.2699999999999996</v>
      </c>
      <c r="D77" s="112">
        <v>14</v>
      </c>
      <c r="E77" s="112">
        <v>9.92</v>
      </c>
      <c r="F77" s="112">
        <v>7.27</v>
      </c>
      <c r="G77" s="112">
        <v>46.44</v>
      </c>
      <c r="H77" s="112">
        <v>17.77</v>
      </c>
      <c r="I77" s="112">
        <v>4.6500000000000004</v>
      </c>
      <c r="J77" s="112">
        <v>0.64</v>
      </c>
      <c r="K77" s="112">
        <v>281.87</v>
      </c>
      <c r="L77" s="112">
        <v>29.91</v>
      </c>
      <c r="M77" s="112">
        <v>79.03</v>
      </c>
      <c r="N77" s="112">
        <v>67.599999999999994</v>
      </c>
      <c r="O77" s="112">
        <v>0</v>
      </c>
      <c r="P77" s="112">
        <v>0.32</v>
      </c>
      <c r="Q77" s="112">
        <v>4.6500000000000004</v>
      </c>
    </row>
    <row r="78" spans="1:17" customFormat="1">
      <c r="A78" s="80">
        <v>45503.729166666664</v>
      </c>
      <c r="B78" s="112">
        <v>9.1300000000000008</v>
      </c>
      <c r="C78" s="112">
        <v>4.2699999999999996</v>
      </c>
      <c r="D78" s="112">
        <v>14</v>
      </c>
      <c r="E78" s="112">
        <v>9.91</v>
      </c>
      <c r="F78" s="112">
        <v>7.64</v>
      </c>
      <c r="G78" s="112">
        <v>46.44</v>
      </c>
      <c r="H78" s="112">
        <v>17.77</v>
      </c>
      <c r="I78" s="112">
        <v>4.5</v>
      </c>
      <c r="J78" s="112">
        <v>0.56999999999999995</v>
      </c>
      <c r="K78" s="112">
        <v>277.27</v>
      </c>
      <c r="L78" s="112">
        <v>29.68</v>
      </c>
      <c r="M78" s="112">
        <v>79.98</v>
      </c>
      <c r="N78" s="112">
        <v>63.2</v>
      </c>
      <c r="O78" s="112">
        <v>0</v>
      </c>
      <c r="P78" s="112">
        <v>0.31</v>
      </c>
      <c r="Q78" s="112">
        <v>4.66</v>
      </c>
    </row>
    <row r="79" spans="1:17" customFormat="1">
      <c r="A79" s="80">
        <v>45503.739583333336</v>
      </c>
      <c r="B79" s="112">
        <v>9.14</v>
      </c>
      <c r="C79" s="112">
        <v>4.26</v>
      </c>
      <c r="D79" s="112">
        <v>14</v>
      </c>
      <c r="E79" s="112">
        <v>9.76</v>
      </c>
      <c r="F79" s="112">
        <v>7.66</v>
      </c>
      <c r="G79" s="112">
        <v>44.39</v>
      </c>
      <c r="H79" s="112">
        <v>17.829999999999998</v>
      </c>
      <c r="I79" s="112">
        <v>4.37</v>
      </c>
      <c r="J79" s="112">
        <v>0.48</v>
      </c>
      <c r="K79" s="112">
        <v>276.61</v>
      </c>
      <c r="L79" s="112">
        <v>29.57</v>
      </c>
      <c r="M79" s="112">
        <v>80.97</v>
      </c>
      <c r="N79" s="112">
        <v>45.2</v>
      </c>
      <c r="O79" s="112">
        <v>0</v>
      </c>
      <c r="P79" s="112">
        <v>0.3</v>
      </c>
      <c r="Q79" s="112">
        <v>4.66</v>
      </c>
    </row>
    <row r="80" spans="1:17" customFormat="1">
      <c r="A80" s="80">
        <v>45503.75</v>
      </c>
      <c r="B80" s="112">
        <v>9.16</v>
      </c>
      <c r="C80" s="112">
        <v>4.22</v>
      </c>
      <c r="D80" s="112">
        <v>14</v>
      </c>
      <c r="E80" s="112">
        <v>9.69</v>
      </c>
      <c r="F80" s="112">
        <v>7.72</v>
      </c>
      <c r="G80" s="112">
        <v>41.32</v>
      </c>
      <c r="H80" s="112">
        <v>17.89</v>
      </c>
      <c r="I80" s="112">
        <v>4.45</v>
      </c>
      <c r="J80" s="112">
        <v>0.46</v>
      </c>
      <c r="K80" s="112">
        <v>281.43</v>
      </c>
      <c r="L80" s="112">
        <v>29.23</v>
      </c>
      <c r="M80" s="112">
        <v>82.33</v>
      </c>
      <c r="N80" s="112">
        <v>29.2</v>
      </c>
      <c r="O80" s="112">
        <v>0</v>
      </c>
      <c r="P80" s="112">
        <v>0.3</v>
      </c>
      <c r="Q80" s="112">
        <v>4.67</v>
      </c>
    </row>
    <row r="81" spans="1:17" customFormat="1">
      <c r="A81" s="80">
        <v>45503.760416666664</v>
      </c>
      <c r="B81" s="112">
        <v>9.16</v>
      </c>
      <c r="C81" s="112">
        <v>4.2300000000000004</v>
      </c>
      <c r="D81" s="112">
        <v>14</v>
      </c>
      <c r="E81" s="112">
        <v>7.64</v>
      </c>
      <c r="F81" s="112">
        <v>8.23</v>
      </c>
      <c r="G81" s="112">
        <v>41.32</v>
      </c>
      <c r="H81" s="112">
        <v>17.89</v>
      </c>
      <c r="I81" s="112">
        <v>4.3899999999999997</v>
      </c>
      <c r="J81" s="112">
        <v>0.37</v>
      </c>
      <c r="K81" s="112">
        <v>279.47000000000003</v>
      </c>
      <c r="L81" s="112">
        <v>28.99</v>
      </c>
      <c r="M81" s="112">
        <v>83.82</v>
      </c>
      <c r="N81" s="112">
        <v>13.2</v>
      </c>
      <c r="O81" s="112">
        <v>0</v>
      </c>
      <c r="P81" s="112">
        <v>0.31</v>
      </c>
      <c r="Q81" s="112">
        <v>4.66</v>
      </c>
    </row>
    <row r="82" spans="1:17" customFormat="1">
      <c r="A82" s="80">
        <v>45503.770833333336</v>
      </c>
      <c r="B82" s="112">
        <v>9.17</v>
      </c>
      <c r="C82" s="112">
        <v>4.21</v>
      </c>
      <c r="D82" s="112">
        <v>14</v>
      </c>
      <c r="E82" s="112">
        <v>9.4600000000000009</v>
      </c>
      <c r="F82" s="112">
        <v>8.5</v>
      </c>
      <c r="G82" s="112">
        <v>41.32</v>
      </c>
      <c r="H82" s="112">
        <v>17.89</v>
      </c>
      <c r="I82" s="112">
        <v>4.1900000000000004</v>
      </c>
      <c r="J82" s="112">
        <v>0.25</v>
      </c>
      <c r="K82" s="112">
        <v>260.14</v>
      </c>
      <c r="L82" s="112">
        <v>28.95</v>
      </c>
      <c r="M82" s="112">
        <v>84.44</v>
      </c>
      <c r="N82" s="112">
        <v>5.6</v>
      </c>
      <c r="O82" s="112">
        <v>0</v>
      </c>
      <c r="P82" s="112">
        <v>0.28999999999999998</v>
      </c>
      <c r="Q82" s="112">
        <v>4.67</v>
      </c>
    </row>
    <row r="83" spans="1:17" customFormat="1">
      <c r="A83" s="80">
        <v>45503.78125</v>
      </c>
      <c r="B83" s="112">
        <v>9.16</v>
      </c>
      <c r="C83" s="112">
        <v>4.21</v>
      </c>
      <c r="D83" s="112">
        <v>14</v>
      </c>
      <c r="E83" s="112">
        <v>9.26</v>
      </c>
      <c r="F83" s="112">
        <v>7.55</v>
      </c>
      <c r="G83" s="112">
        <v>38.9</v>
      </c>
      <c r="H83" s="112">
        <v>19.07</v>
      </c>
      <c r="I83" s="112">
        <v>4.2</v>
      </c>
      <c r="J83" s="112">
        <v>0.25</v>
      </c>
      <c r="K83" s="112">
        <v>258.05</v>
      </c>
      <c r="L83" s="112">
        <v>28.64</v>
      </c>
      <c r="M83" s="112">
        <v>86.91</v>
      </c>
      <c r="N83" s="112">
        <v>3.1</v>
      </c>
      <c r="O83" s="112">
        <v>0</v>
      </c>
      <c r="P83" s="112">
        <v>0.28999999999999998</v>
      </c>
      <c r="Q83" s="112">
        <v>4.66</v>
      </c>
    </row>
    <row r="84" spans="1:17" customFormat="1">
      <c r="A84" s="80">
        <v>45503.791666666664</v>
      </c>
      <c r="B84" s="112">
        <v>9.16</v>
      </c>
      <c r="C84" s="112">
        <v>4.22</v>
      </c>
      <c r="D84" s="112">
        <v>14</v>
      </c>
      <c r="E84" s="112">
        <v>10.18</v>
      </c>
      <c r="F84" s="112">
        <v>5.29</v>
      </c>
      <c r="G84" s="112">
        <v>35.1</v>
      </c>
      <c r="H84" s="112">
        <v>20.12</v>
      </c>
      <c r="I84" s="112">
        <v>4.22</v>
      </c>
      <c r="J84" s="112">
        <v>0.32</v>
      </c>
      <c r="K84" s="112">
        <v>267.11</v>
      </c>
      <c r="L84" s="112">
        <v>28.51</v>
      </c>
      <c r="M84" s="112">
        <v>87.26</v>
      </c>
      <c r="N84" s="112">
        <v>2.5</v>
      </c>
      <c r="O84" s="112">
        <v>0</v>
      </c>
      <c r="P84" s="112">
        <v>0.32</v>
      </c>
      <c r="Q84" s="112">
        <v>4.6500000000000004</v>
      </c>
    </row>
    <row r="85" spans="1:17" customFormat="1">
      <c r="A85" s="80">
        <v>45503.802083333336</v>
      </c>
      <c r="B85" s="112">
        <v>9.1300000000000008</v>
      </c>
      <c r="C85" s="112">
        <v>4.26</v>
      </c>
      <c r="D85" s="112">
        <v>14</v>
      </c>
      <c r="E85" s="112">
        <v>9.61</v>
      </c>
      <c r="F85" s="112">
        <v>10.46</v>
      </c>
      <c r="G85" s="112">
        <v>35.1</v>
      </c>
      <c r="H85" s="112">
        <v>20.12</v>
      </c>
      <c r="I85" s="112">
        <v>3.95</v>
      </c>
      <c r="J85" s="112">
        <v>0.27</v>
      </c>
      <c r="K85" s="112">
        <v>271.57</v>
      </c>
      <c r="L85" s="112">
        <v>28.33</v>
      </c>
      <c r="M85" s="112">
        <v>88.68</v>
      </c>
      <c r="N85" s="112">
        <v>2.2999999999999998</v>
      </c>
      <c r="O85" s="112">
        <v>0</v>
      </c>
      <c r="P85" s="112">
        <v>0.33</v>
      </c>
      <c r="Q85" s="112">
        <v>4.6500000000000004</v>
      </c>
    </row>
    <row r="86" spans="1:17" customFormat="1">
      <c r="A86" s="80">
        <v>45503.8125</v>
      </c>
      <c r="B86" s="112">
        <v>9.19</v>
      </c>
      <c r="C86" s="112">
        <v>4.18</v>
      </c>
      <c r="D86" s="112">
        <v>14</v>
      </c>
      <c r="E86" s="112">
        <v>9.14</v>
      </c>
      <c r="F86" s="112">
        <v>11.74</v>
      </c>
      <c r="G86" s="112">
        <v>35.1</v>
      </c>
      <c r="H86" s="112">
        <v>20.12</v>
      </c>
      <c r="I86" s="112">
        <v>4.0199999999999996</v>
      </c>
      <c r="J86" s="112">
        <v>0.34</v>
      </c>
      <c r="K86" s="112">
        <v>271.83</v>
      </c>
      <c r="L86" s="112">
        <v>28.31</v>
      </c>
      <c r="M86" s="112">
        <v>88.52</v>
      </c>
      <c r="N86" s="112">
        <v>2.4</v>
      </c>
      <c r="O86" s="112">
        <v>0</v>
      </c>
      <c r="P86" s="112">
        <v>0.33</v>
      </c>
      <c r="Q86" s="112">
        <v>4.67</v>
      </c>
    </row>
    <row r="87" spans="1:17" customFormat="1">
      <c r="A87" s="80">
        <v>45503.822916666664</v>
      </c>
      <c r="B87" s="112">
        <v>9.17</v>
      </c>
      <c r="C87" s="112">
        <v>4.21</v>
      </c>
      <c r="D87" s="112">
        <v>14</v>
      </c>
      <c r="E87" s="112">
        <v>7.8</v>
      </c>
      <c r="F87" s="112">
        <v>15.32</v>
      </c>
      <c r="G87" s="112">
        <v>34.65</v>
      </c>
      <c r="H87" s="112">
        <v>19.829999999999998</v>
      </c>
      <c r="I87" s="112">
        <v>3.86</v>
      </c>
      <c r="J87" s="112">
        <v>0.16</v>
      </c>
      <c r="K87" s="112">
        <v>267.02999999999997</v>
      </c>
      <c r="L87" s="112">
        <v>28.22</v>
      </c>
      <c r="M87" s="112">
        <v>88.82</v>
      </c>
      <c r="N87" s="112">
        <v>2.4</v>
      </c>
      <c r="O87" s="112">
        <v>0</v>
      </c>
      <c r="P87" s="112">
        <v>0.31</v>
      </c>
      <c r="Q87" s="112">
        <v>4.67</v>
      </c>
    </row>
    <row r="88" spans="1:17" customFormat="1">
      <c r="A88" s="80">
        <v>45503.833333333336</v>
      </c>
      <c r="B88" s="112">
        <v>9.15</v>
      </c>
      <c r="C88" s="112">
        <v>4.2300000000000004</v>
      </c>
      <c r="D88" s="112">
        <v>14</v>
      </c>
      <c r="E88" s="112">
        <v>7.34</v>
      </c>
      <c r="F88" s="112">
        <v>14.9</v>
      </c>
      <c r="G88" s="112">
        <v>33.94</v>
      </c>
      <c r="H88" s="112">
        <v>19.579999999999998</v>
      </c>
      <c r="I88" s="112">
        <v>3.66</v>
      </c>
      <c r="J88" s="112">
        <v>0.25</v>
      </c>
      <c r="K88" s="112">
        <v>261.48</v>
      </c>
      <c r="L88" s="112">
        <v>28.01</v>
      </c>
      <c r="M88" s="112">
        <v>89.33</v>
      </c>
      <c r="N88" s="112">
        <v>2.4</v>
      </c>
      <c r="O88" s="112">
        <v>0</v>
      </c>
      <c r="P88" s="112">
        <v>0.3</v>
      </c>
      <c r="Q88" s="112">
        <v>4.68</v>
      </c>
    </row>
    <row r="89" spans="1:17" customFormat="1">
      <c r="A89" s="80">
        <v>45503.84375</v>
      </c>
      <c r="B89" s="112">
        <v>9.16</v>
      </c>
      <c r="C89" s="112">
        <v>4.2300000000000004</v>
      </c>
      <c r="D89" s="112">
        <v>14</v>
      </c>
      <c r="E89" s="112">
        <v>7.28</v>
      </c>
      <c r="F89" s="112">
        <v>14.04</v>
      </c>
      <c r="G89" s="112">
        <v>33.94</v>
      </c>
      <c r="H89" s="112">
        <v>19.579999999999998</v>
      </c>
      <c r="I89" s="112">
        <v>3.42</v>
      </c>
      <c r="J89" s="112">
        <v>0.31</v>
      </c>
      <c r="K89" s="112">
        <v>269.43</v>
      </c>
      <c r="L89" s="112">
        <v>28</v>
      </c>
      <c r="M89" s="112">
        <v>89.29</v>
      </c>
      <c r="N89" s="112">
        <v>2.1</v>
      </c>
      <c r="O89" s="112">
        <v>0</v>
      </c>
      <c r="P89" s="112">
        <v>0.3</v>
      </c>
      <c r="Q89" s="112">
        <v>4.68</v>
      </c>
    </row>
    <row r="90" spans="1:17" customFormat="1">
      <c r="A90" s="80">
        <v>45503.854166666664</v>
      </c>
      <c r="B90" s="112">
        <v>9.15</v>
      </c>
      <c r="C90" s="112">
        <v>4.24</v>
      </c>
      <c r="D90" s="112">
        <v>14</v>
      </c>
      <c r="E90" s="112">
        <v>7.12</v>
      </c>
      <c r="F90" s="112">
        <v>14.56</v>
      </c>
      <c r="G90" s="112">
        <v>33.94</v>
      </c>
      <c r="H90" s="112">
        <v>19.579999999999998</v>
      </c>
      <c r="I90" s="112">
        <v>3.39</v>
      </c>
      <c r="J90" s="112">
        <v>0.23</v>
      </c>
      <c r="K90" s="112">
        <v>262.95</v>
      </c>
      <c r="L90" s="112">
        <v>27.99</v>
      </c>
      <c r="M90" s="112">
        <v>89.69</v>
      </c>
      <c r="N90" s="112">
        <v>2.2000000000000002</v>
      </c>
      <c r="O90" s="112">
        <v>0</v>
      </c>
      <c r="P90" s="112">
        <v>0.28999999999999998</v>
      </c>
      <c r="Q90" s="112">
        <v>4.67</v>
      </c>
    </row>
    <row r="91" spans="1:17" customFormat="1">
      <c r="A91" s="80">
        <v>45503.864583333336</v>
      </c>
      <c r="B91" s="112">
        <v>9.16</v>
      </c>
      <c r="C91" s="112">
        <v>4.22</v>
      </c>
      <c r="D91" s="112">
        <v>14</v>
      </c>
      <c r="E91" s="112">
        <v>7.03</v>
      </c>
      <c r="F91" s="112">
        <v>14.39</v>
      </c>
      <c r="G91" s="112">
        <v>35.520000000000003</v>
      </c>
      <c r="H91" s="112">
        <v>18.45</v>
      </c>
      <c r="I91" s="112">
        <v>3.37</v>
      </c>
      <c r="J91" s="112">
        <v>0.28000000000000003</v>
      </c>
      <c r="K91" s="112">
        <v>270.19</v>
      </c>
      <c r="L91" s="112">
        <v>28</v>
      </c>
      <c r="M91" s="112">
        <v>89.96</v>
      </c>
      <c r="N91" s="112">
        <v>2.2999999999999998</v>
      </c>
      <c r="O91" s="112">
        <v>0</v>
      </c>
      <c r="P91" s="112">
        <v>0.28999999999999998</v>
      </c>
      <c r="Q91" s="112">
        <v>4.66</v>
      </c>
    </row>
    <row r="92" spans="1:17" customFormat="1">
      <c r="A92" s="80">
        <v>45503.875</v>
      </c>
      <c r="B92" s="112">
        <v>9.16</v>
      </c>
      <c r="C92" s="112">
        <v>4.22</v>
      </c>
      <c r="D92" s="112">
        <v>14</v>
      </c>
      <c r="E92" s="112">
        <v>7.52</v>
      </c>
      <c r="F92" s="112">
        <v>13.39</v>
      </c>
      <c r="G92" s="112">
        <v>37.880000000000003</v>
      </c>
      <c r="H92" s="112">
        <v>15.26</v>
      </c>
      <c r="I92" s="112">
        <v>3.38</v>
      </c>
      <c r="J92" s="112">
        <v>0.33</v>
      </c>
      <c r="K92" s="112">
        <v>271.91000000000003</v>
      </c>
      <c r="L92" s="112">
        <v>27.9</v>
      </c>
      <c r="M92" s="112">
        <v>91.01</v>
      </c>
      <c r="N92" s="112">
        <v>2.2000000000000002</v>
      </c>
      <c r="O92" s="112">
        <v>0</v>
      </c>
      <c r="P92" s="112">
        <v>0.28999999999999998</v>
      </c>
      <c r="Q92" s="112">
        <v>4.66</v>
      </c>
    </row>
    <row r="93" spans="1:17" customFormat="1">
      <c r="A93" s="80">
        <v>45503.885416666664</v>
      </c>
      <c r="B93" s="112">
        <v>9.16</v>
      </c>
      <c r="C93" s="112">
        <v>4.22</v>
      </c>
      <c r="D93" s="112">
        <v>14</v>
      </c>
      <c r="E93" s="112">
        <v>7.41</v>
      </c>
      <c r="F93" s="112">
        <v>12.41</v>
      </c>
      <c r="G93" s="112">
        <v>37.880000000000003</v>
      </c>
      <c r="H93" s="112">
        <v>15.26</v>
      </c>
      <c r="I93" s="112">
        <v>3.33</v>
      </c>
      <c r="J93" s="112">
        <v>0.34</v>
      </c>
      <c r="K93" s="112">
        <v>275.49</v>
      </c>
      <c r="L93" s="112">
        <v>27.85</v>
      </c>
      <c r="M93" s="112">
        <v>91.11</v>
      </c>
      <c r="N93" s="112">
        <v>2.4</v>
      </c>
      <c r="O93" s="112">
        <v>0</v>
      </c>
      <c r="P93" s="112">
        <v>0.28999999999999998</v>
      </c>
      <c r="Q93" s="112">
        <v>4.6500000000000004</v>
      </c>
    </row>
    <row r="94" spans="1:17" customFormat="1">
      <c r="A94" s="80">
        <v>45503.895833333336</v>
      </c>
      <c r="B94" s="112">
        <v>9.16</v>
      </c>
      <c r="C94" s="112">
        <v>4.22</v>
      </c>
      <c r="D94" s="112">
        <v>14</v>
      </c>
      <c r="E94" s="112">
        <v>6.82</v>
      </c>
      <c r="F94" s="112">
        <v>12.58</v>
      </c>
      <c r="G94" s="112">
        <v>37.880000000000003</v>
      </c>
      <c r="H94" s="112">
        <v>15.26</v>
      </c>
      <c r="I94" s="112">
        <v>3.39</v>
      </c>
      <c r="J94" s="112">
        <v>0.13</v>
      </c>
      <c r="K94" s="112">
        <v>245.14</v>
      </c>
      <c r="L94" s="112">
        <v>27.79</v>
      </c>
      <c r="M94" s="112">
        <v>91.94</v>
      </c>
      <c r="N94" s="112">
        <v>2.2999999999999998</v>
      </c>
      <c r="O94" s="112">
        <v>0</v>
      </c>
      <c r="P94" s="112">
        <v>0.28999999999999998</v>
      </c>
      <c r="Q94" s="112">
        <v>4.66</v>
      </c>
    </row>
    <row r="95" spans="1:17" customFormat="1">
      <c r="A95" s="80">
        <v>45503.90625</v>
      </c>
      <c r="B95" s="112">
        <v>9.17</v>
      </c>
      <c r="C95" s="112">
        <v>4.21</v>
      </c>
      <c r="D95" s="112">
        <v>14</v>
      </c>
      <c r="E95" s="112">
        <v>6.56</v>
      </c>
      <c r="F95" s="112">
        <v>13.45</v>
      </c>
      <c r="G95" s="112">
        <v>33.630000000000003</v>
      </c>
      <c r="H95" s="112">
        <v>12.83</v>
      </c>
      <c r="I95" s="112">
        <v>3.3</v>
      </c>
      <c r="J95" s="112">
        <v>0.09</v>
      </c>
      <c r="K95" s="112">
        <v>214.86</v>
      </c>
      <c r="L95" s="112">
        <v>27.61</v>
      </c>
      <c r="M95" s="112">
        <v>93.02</v>
      </c>
      <c r="N95" s="112">
        <v>2.4</v>
      </c>
      <c r="O95" s="112">
        <v>0</v>
      </c>
      <c r="P95" s="112">
        <v>0.28000000000000003</v>
      </c>
      <c r="Q95" s="112">
        <v>4.67</v>
      </c>
    </row>
    <row r="96" spans="1:17" customFormat="1">
      <c r="A96" s="80">
        <v>45503.916666666664</v>
      </c>
      <c r="B96" s="112">
        <v>9.18</v>
      </c>
      <c r="C96" s="112">
        <v>4.1900000000000004</v>
      </c>
      <c r="D96" s="112">
        <v>14</v>
      </c>
      <c r="E96" s="112">
        <v>7.09</v>
      </c>
      <c r="F96" s="112">
        <v>12.19</v>
      </c>
      <c r="G96" s="112">
        <v>27.26</v>
      </c>
      <c r="H96" s="112">
        <v>10.68</v>
      </c>
      <c r="I96" s="112">
        <v>3.24</v>
      </c>
      <c r="J96" s="112">
        <v>0.09</v>
      </c>
      <c r="K96" s="112">
        <v>170.68</v>
      </c>
      <c r="L96" s="112">
        <v>27.61</v>
      </c>
      <c r="M96" s="112">
        <v>92.9</v>
      </c>
      <c r="N96" s="112">
        <v>2.2000000000000002</v>
      </c>
      <c r="O96" s="112">
        <v>0</v>
      </c>
      <c r="P96" s="112">
        <v>0.27</v>
      </c>
      <c r="Q96" s="112">
        <v>4.68</v>
      </c>
    </row>
    <row r="97" spans="1:22" customFormat="1">
      <c r="A97" s="80">
        <v>45503.927083333336</v>
      </c>
      <c r="B97" s="112">
        <v>9.19</v>
      </c>
      <c r="C97" s="112">
        <v>4.18</v>
      </c>
      <c r="D97" s="112">
        <v>14</v>
      </c>
      <c r="E97" s="112">
        <v>7.03</v>
      </c>
      <c r="F97" s="112">
        <v>12.71</v>
      </c>
      <c r="G97" s="112">
        <v>27.26</v>
      </c>
      <c r="H97" s="112">
        <v>10.68</v>
      </c>
      <c r="I97" s="112">
        <v>3.12</v>
      </c>
      <c r="J97" s="112">
        <v>0.18</v>
      </c>
      <c r="K97" s="112">
        <v>260.17</v>
      </c>
      <c r="L97" s="112">
        <v>27.41</v>
      </c>
      <c r="M97" s="112">
        <v>93.45</v>
      </c>
      <c r="N97" s="112">
        <v>2.2000000000000002</v>
      </c>
      <c r="O97" s="112">
        <v>0</v>
      </c>
      <c r="P97" s="112">
        <v>0.28000000000000003</v>
      </c>
      <c r="Q97" s="112">
        <v>4.67</v>
      </c>
    </row>
    <row r="98" spans="1:22" customFormat="1">
      <c r="A98" s="80">
        <v>45503.9375</v>
      </c>
      <c r="B98" s="112">
        <v>9.2100000000000009</v>
      </c>
      <c r="C98" s="112">
        <v>4.1399999999999997</v>
      </c>
      <c r="D98" s="112">
        <v>14</v>
      </c>
      <c r="E98" s="112">
        <v>6.97</v>
      </c>
      <c r="F98" s="112">
        <v>12.44</v>
      </c>
      <c r="G98" s="112">
        <v>27.26</v>
      </c>
      <c r="H98" s="112">
        <v>10.68</v>
      </c>
      <c r="I98" s="112">
        <v>3.16</v>
      </c>
      <c r="J98" s="112">
        <v>0.3</v>
      </c>
      <c r="K98" s="112">
        <v>272.92</v>
      </c>
      <c r="L98" s="112">
        <v>27.47</v>
      </c>
      <c r="M98" s="112">
        <v>91.97</v>
      </c>
      <c r="N98" s="112">
        <v>2.1</v>
      </c>
      <c r="O98" s="112">
        <v>0</v>
      </c>
      <c r="P98" s="112">
        <v>0.27</v>
      </c>
      <c r="Q98" s="112">
        <v>4.66</v>
      </c>
    </row>
    <row r="99" spans="1:22" customFormat="1">
      <c r="A99" s="80">
        <v>45503.947916666664</v>
      </c>
      <c r="B99" s="112">
        <v>9.2200000000000006</v>
      </c>
      <c r="C99" s="112">
        <v>4.13</v>
      </c>
      <c r="D99" s="112">
        <v>14</v>
      </c>
      <c r="E99" s="112">
        <v>6.76</v>
      </c>
      <c r="F99" s="112">
        <v>13.9</v>
      </c>
      <c r="G99" s="112">
        <v>24.03</v>
      </c>
      <c r="H99" s="112">
        <v>9.17</v>
      </c>
      <c r="I99" s="112">
        <v>3.15</v>
      </c>
      <c r="J99" s="112">
        <v>0.14000000000000001</v>
      </c>
      <c r="K99" s="112">
        <v>260.26</v>
      </c>
      <c r="L99" s="112">
        <v>27.42</v>
      </c>
      <c r="M99" s="112">
        <v>92.34</v>
      </c>
      <c r="N99" s="112">
        <v>2.2000000000000002</v>
      </c>
      <c r="O99" s="112">
        <v>0</v>
      </c>
      <c r="P99" s="112">
        <v>0.28000000000000003</v>
      </c>
      <c r="Q99" s="112">
        <v>4.68</v>
      </c>
    </row>
    <row r="100" spans="1:22" customFormat="1">
      <c r="A100" s="80">
        <v>45503.958333333336</v>
      </c>
      <c r="B100" s="112">
        <v>9.2200000000000006</v>
      </c>
      <c r="C100" s="112">
        <v>4.13</v>
      </c>
      <c r="D100" s="112">
        <v>14</v>
      </c>
      <c r="E100" s="112">
        <v>7.27</v>
      </c>
      <c r="F100" s="112">
        <v>13.62</v>
      </c>
      <c r="G100" s="112">
        <v>19.190000000000001</v>
      </c>
      <c r="H100" s="112">
        <v>7.74</v>
      </c>
      <c r="I100" s="112">
        <v>3.14</v>
      </c>
      <c r="J100" s="112">
        <v>0.12</v>
      </c>
      <c r="K100" s="112">
        <v>241.41</v>
      </c>
      <c r="L100" s="112">
        <v>27.34</v>
      </c>
      <c r="M100" s="112">
        <v>92.86</v>
      </c>
      <c r="N100" s="112">
        <v>2.2999999999999998</v>
      </c>
      <c r="O100" s="112">
        <v>0</v>
      </c>
      <c r="P100" s="112">
        <v>0.27</v>
      </c>
      <c r="Q100" s="112">
        <v>4.67</v>
      </c>
    </row>
    <row r="101" spans="1:22" customFormat="1">
      <c r="A101" s="80">
        <v>45503.96875</v>
      </c>
      <c r="B101" s="112">
        <v>9.23</v>
      </c>
      <c r="C101" s="112">
        <v>4.1100000000000003</v>
      </c>
      <c r="D101" s="112">
        <v>14</v>
      </c>
      <c r="E101" s="112">
        <v>6.97</v>
      </c>
      <c r="F101" s="112">
        <v>13.09</v>
      </c>
      <c r="G101" s="112">
        <v>19.190000000000001</v>
      </c>
      <c r="H101" s="112">
        <v>7.74</v>
      </c>
      <c r="I101" s="112">
        <v>3.07</v>
      </c>
      <c r="J101" s="112">
        <v>0.17</v>
      </c>
      <c r="K101" s="112">
        <v>267.74</v>
      </c>
      <c r="L101" s="112">
        <v>27.33</v>
      </c>
      <c r="M101" s="112">
        <v>92.76</v>
      </c>
      <c r="N101" s="112">
        <v>2.2000000000000002</v>
      </c>
      <c r="O101" s="112">
        <v>0</v>
      </c>
      <c r="P101" s="112">
        <v>0.26</v>
      </c>
      <c r="Q101" s="112">
        <v>4.66</v>
      </c>
    </row>
    <row r="102" spans="1:22" customFormat="1">
      <c r="A102" s="80">
        <v>45503.979166666664</v>
      </c>
      <c r="B102" s="112">
        <v>9.23</v>
      </c>
      <c r="C102" s="112">
        <v>4.12</v>
      </c>
      <c r="D102" s="112">
        <v>14</v>
      </c>
      <c r="E102" s="112">
        <v>7.12</v>
      </c>
      <c r="F102" s="112">
        <v>12.32</v>
      </c>
      <c r="G102" s="112">
        <v>19.190000000000001</v>
      </c>
      <c r="H102" s="112">
        <v>7.74</v>
      </c>
      <c r="I102" s="112">
        <v>2.99</v>
      </c>
      <c r="J102" s="112">
        <v>0.28000000000000003</v>
      </c>
      <c r="K102" s="112">
        <v>268.08999999999997</v>
      </c>
      <c r="L102" s="112">
        <v>27.29</v>
      </c>
      <c r="M102" s="112">
        <v>92.91</v>
      </c>
      <c r="N102" s="112">
        <v>2.2999999999999998</v>
      </c>
      <c r="O102" s="112">
        <v>0</v>
      </c>
      <c r="P102" s="112">
        <v>0.27</v>
      </c>
      <c r="Q102" s="112">
        <v>4.68</v>
      </c>
    </row>
    <row r="103" spans="1:22" customFormat="1">
      <c r="A103" s="80">
        <v>45503.989583333336</v>
      </c>
      <c r="B103" s="112">
        <v>9.23</v>
      </c>
      <c r="C103" s="112">
        <v>4.1100000000000003</v>
      </c>
      <c r="D103" s="112">
        <v>14</v>
      </c>
      <c r="E103" s="112">
        <v>7.6</v>
      </c>
      <c r="F103" s="112">
        <v>7.67</v>
      </c>
      <c r="G103" s="112">
        <v>26.64</v>
      </c>
      <c r="H103" s="112">
        <v>6.81</v>
      </c>
      <c r="I103" s="112">
        <v>3.01</v>
      </c>
      <c r="J103" s="112">
        <v>0.25</v>
      </c>
      <c r="K103" s="112">
        <v>264.83999999999997</v>
      </c>
      <c r="L103" s="112">
        <v>27.32</v>
      </c>
      <c r="M103" s="112">
        <v>92.68</v>
      </c>
      <c r="N103" s="112">
        <v>2.2999999999999998</v>
      </c>
      <c r="O103" s="112">
        <v>0</v>
      </c>
      <c r="P103" s="112">
        <v>0.26</v>
      </c>
      <c r="Q103" s="112">
        <v>4.6500000000000004</v>
      </c>
    </row>
    <row r="104" spans="1:22" customFormat="1">
      <c r="A104" s="80">
        <v>45504</v>
      </c>
      <c r="B104" s="112">
        <v>9.23</v>
      </c>
      <c r="C104" s="112">
        <v>4.1100000000000003</v>
      </c>
      <c r="D104" s="112">
        <v>14</v>
      </c>
      <c r="E104" s="112">
        <v>8.0399999999999991</v>
      </c>
      <c r="F104" s="112">
        <v>8.3699999999999992</v>
      </c>
      <c r="G104" s="112">
        <v>37.81</v>
      </c>
      <c r="H104" s="112">
        <v>5.98</v>
      </c>
      <c r="I104" s="112">
        <v>3.22</v>
      </c>
      <c r="J104" s="112">
        <v>0.28999999999999998</v>
      </c>
      <c r="K104" s="112">
        <v>272.57</v>
      </c>
      <c r="L104" s="112">
        <v>27.17</v>
      </c>
      <c r="M104" s="112">
        <v>93.23</v>
      </c>
      <c r="N104" s="112">
        <v>2.2999999999999998</v>
      </c>
      <c r="O104" s="112">
        <v>0</v>
      </c>
      <c r="P104" s="112">
        <v>0.24</v>
      </c>
      <c r="Q104" s="112">
        <v>4.6500000000000004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9.1199999999999992</v>
      </c>
      <c r="C106" s="183">
        <f>MIN(C9:C104)</f>
        <v>4.07</v>
      </c>
      <c r="D106" s="183">
        <f t="shared" ref="D106:Q106" si="0">MIN(D9:D104)</f>
        <v>14</v>
      </c>
      <c r="E106" s="183">
        <f t="shared" si="0"/>
        <v>6.56</v>
      </c>
      <c r="F106" s="183">
        <f t="shared" si="0"/>
        <v>3.41</v>
      </c>
      <c r="G106" s="183">
        <f t="shared" si="0"/>
        <v>15.82</v>
      </c>
      <c r="H106" s="183">
        <f t="shared" si="0"/>
        <v>5.98</v>
      </c>
      <c r="I106" s="183">
        <f t="shared" si="0"/>
        <v>2.99</v>
      </c>
      <c r="J106" s="183">
        <f t="shared" si="0"/>
        <v>0.04</v>
      </c>
      <c r="K106" s="183">
        <f t="shared" si="0"/>
        <v>170.68</v>
      </c>
      <c r="L106" s="183">
        <f t="shared" si="0"/>
        <v>25.26</v>
      </c>
      <c r="M106" s="183">
        <f t="shared" si="0"/>
        <v>76.63</v>
      </c>
      <c r="N106" s="183">
        <f t="shared" si="0"/>
        <v>2.1</v>
      </c>
      <c r="O106" s="183">
        <f t="shared" si="0"/>
        <v>0</v>
      </c>
      <c r="P106" s="183">
        <f t="shared" si="0"/>
        <v>0.24</v>
      </c>
      <c r="Q106" s="183">
        <f t="shared" si="0"/>
        <v>4.6399999999999997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9.27</v>
      </c>
      <c r="C107" s="184">
        <f t="shared" ref="C107:Q107" si="1">MAX(C9:C104)</f>
        <v>4.28</v>
      </c>
      <c r="D107" s="184">
        <f t="shared" si="1"/>
        <v>14.01</v>
      </c>
      <c r="E107" s="184">
        <f t="shared" si="1"/>
        <v>12.74</v>
      </c>
      <c r="F107" s="184">
        <f t="shared" si="1"/>
        <v>15.32</v>
      </c>
      <c r="G107" s="184">
        <f t="shared" si="1"/>
        <v>46.44</v>
      </c>
      <c r="H107" s="184">
        <f t="shared" si="1"/>
        <v>21.7</v>
      </c>
      <c r="I107" s="184">
        <f t="shared" si="1"/>
        <v>4.66</v>
      </c>
      <c r="J107" s="184">
        <f t="shared" si="1"/>
        <v>0.83</v>
      </c>
      <c r="K107" s="184">
        <f t="shared" si="1"/>
        <v>291.27999999999997</v>
      </c>
      <c r="L107" s="184">
        <f t="shared" si="1"/>
        <v>30.73</v>
      </c>
      <c r="M107" s="184">
        <f t="shared" si="1"/>
        <v>103.38</v>
      </c>
      <c r="N107" s="184">
        <f t="shared" si="1"/>
        <v>337.1</v>
      </c>
      <c r="O107" s="184">
        <f t="shared" si="1"/>
        <v>0</v>
      </c>
      <c r="P107" s="184">
        <f t="shared" si="1"/>
        <v>0.47</v>
      </c>
      <c r="Q107" s="184">
        <f t="shared" si="1"/>
        <v>4.68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9.189687499999998</v>
      </c>
      <c r="C108" s="183">
        <f t="shared" ref="C108:Q108" si="2">AVERAGE(C9:C104)</f>
        <v>4.1752083333333339</v>
      </c>
      <c r="D108" s="183">
        <f t="shared" si="2"/>
        <v>14.000208333333333</v>
      </c>
      <c r="E108" s="183">
        <f t="shared" si="2"/>
        <v>9.0006249999999977</v>
      </c>
      <c r="F108" s="183">
        <f t="shared" si="2"/>
        <v>7.1991666666666694</v>
      </c>
      <c r="G108" s="183">
        <f t="shared" si="2"/>
        <v>29.720000000000024</v>
      </c>
      <c r="H108" s="183">
        <f t="shared" si="2"/>
        <v>14.644062500000002</v>
      </c>
      <c r="I108" s="183">
        <f t="shared" si="2"/>
        <v>3.5873958333333333</v>
      </c>
      <c r="J108" s="183">
        <f t="shared" si="2"/>
        <v>0.39218750000000008</v>
      </c>
      <c r="K108" s="183">
        <f t="shared" si="2"/>
        <v>266.63854166666664</v>
      </c>
      <c r="L108" s="183">
        <f t="shared" si="2"/>
        <v>27.736875000000001</v>
      </c>
      <c r="M108" s="183">
        <f t="shared" si="2"/>
        <v>90.267708333333303</v>
      </c>
      <c r="N108" s="183">
        <f t="shared" si="2"/>
        <v>90.307291666666686</v>
      </c>
      <c r="O108" s="183">
        <f t="shared" si="2"/>
        <v>0</v>
      </c>
      <c r="P108" s="183">
        <f t="shared" si="2"/>
        <v>0.36624999999999996</v>
      </c>
      <c r="Q108" s="183">
        <f t="shared" si="2"/>
        <v>4.6609375000000055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4.2536748817933859E-2</v>
      </c>
      <c r="C109" s="183">
        <f t="shared" ref="C109:Q109" si="3">STDEV(C9:C104)</f>
        <v>6.456297075710235E-2</v>
      </c>
      <c r="D109" s="183">
        <f t="shared" si="3"/>
        <v>1.4357588616379325E-3</v>
      </c>
      <c r="E109" s="183">
        <f t="shared" si="3"/>
        <v>1.434085670567252</v>
      </c>
      <c r="F109" s="183">
        <f t="shared" si="3"/>
        <v>3.2706550660996774</v>
      </c>
      <c r="G109" s="183">
        <f t="shared" si="3"/>
        <v>8.4584686930659814</v>
      </c>
      <c r="H109" s="183">
        <f t="shared" si="3"/>
        <v>4.1602536810619384</v>
      </c>
      <c r="I109" s="183">
        <f t="shared" si="3"/>
        <v>0.469934474249036</v>
      </c>
      <c r="J109" s="183">
        <f t="shared" si="3"/>
        <v>0.23782436298995704</v>
      </c>
      <c r="K109" s="183">
        <f t="shared" si="3"/>
        <v>20.321826377679518</v>
      </c>
      <c r="L109" s="183">
        <f t="shared" si="3"/>
        <v>1.7518996080946363</v>
      </c>
      <c r="M109" s="183">
        <f t="shared" si="3"/>
        <v>8.1757917986635853</v>
      </c>
      <c r="N109" s="183">
        <f t="shared" si="3"/>
        <v>108.18694175973626</v>
      </c>
      <c r="O109" s="183">
        <f t="shared" si="3"/>
        <v>0</v>
      </c>
      <c r="P109" s="183">
        <f t="shared" si="3"/>
        <v>6.9148962012227339E-2</v>
      </c>
      <c r="Q109" s="183">
        <f t="shared" si="3"/>
        <v>8.9534615475919625E-3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ySplit="8" topLeftCell="A66" activePane="bottomLeft" state="frozen"/>
      <selection activeCell="A9" sqref="A9"/>
      <selection pane="bottomLef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45504.010416666664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45504.010416666664</v>
      </c>
      <c r="B9" s="112">
        <v>9.3000000000000007</v>
      </c>
      <c r="C9" s="112">
        <v>4.07</v>
      </c>
      <c r="D9" s="112">
        <v>14.04</v>
      </c>
      <c r="E9" s="112">
        <v>8.27</v>
      </c>
      <c r="F9" s="112">
        <v>7.92</v>
      </c>
      <c r="G9" s="112">
        <v>37.81</v>
      </c>
      <c r="H9" s="112">
        <v>5.98</v>
      </c>
      <c r="I9" s="112">
        <v>3.45</v>
      </c>
      <c r="J9" s="112">
        <v>0.37</v>
      </c>
      <c r="K9" s="112">
        <v>270.3</v>
      </c>
      <c r="L9" s="112">
        <v>27.17</v>
      </c>
      <c r="M9" s="112">
        <v>93.13</v>
      </c>
      <c r="N9" s="112">
        <v>2.1</v>
      </c>
      <c r="O9" s="112">
        <v>0</v>
      </c>
      <c r="P9" s="112">
        <v>0.24</v>
      </c>
      <c r="Q9" s="112">
        <v>4.66</v>
      </c>
    </row>
    <row r="10" spans="1:21" customFormat="1">
      <c r="A10" s="80">
        <v>45504.020833333336</v>
      </c>
      <c r="B10" s="112">
        <v>9.32</v>
      </c>
      <c r="C10" s="112">
        <v>4.0599999999999996</v>
      </c>
      <c r="D10" s="112">
        <v>14.04</v>
      </c>
      <c r="E10" s="112">
        <v>8</v>
      </c>
      <c r="F10" s="112">
        <v>7.97</v>
      </c>
      <c r="G10" s="112">
        <v>37.81</v>
      </c>
      <c r="H10" s="112">
        <v>5.98</v>
      </c>
      <c r="I10" s="112">
        <v>3.46</v>
      </c>
      <c r="J10" s="112">
        <v>0.31</v>
      </c>
      <c r="K10" s="112">
        <v>265.61</v>
      </c>
      <c r="L10" s="112">
        <v>27.2</v>
      </c>
      <c r="M10" s="112">
        <v>92.94</v>
      </c>
      <c r="N10" s="112">
        <v>2.1</v>
      </c>
      <c r="O10" s="112">
        <v>0</v>
      </c>
      <c r="P10" s="112">
        <v>0.24</v>
      </c>
      <c r="Q10" s="112">
        <v>4.66</v>
      </c>
    </row>
    <row r="11" spans="1:21" customFormat="1">
      <c r="A11" s="80">
        <v>45504.03125</v>
      </c>
      <c r="B11" s="112">
        <v>9.3000000000000007</v>
      </c>
      <c r="C11" s="112">
        <v>4.0599999999999996</v>
      </c>
      <c r="D11" s="112">
        <v>14.03</v>
      </c>
      <c r="E11" s="112">
        <v>8.48</v>
      </c>
      <c r="F11" s="112">
        <v>6.95</v>
      </c>
      <c r="G11" s="112">
        <v>34.869999999999997</v>
      </c>
      <c r="H11" s="112">
        <v>9.51</v>
      </c>
      <c r="I11" s="112">
        <v>3.41</v>
      </c>
      <c r="J11" s="112">
        <v>0.41</v>
      </c>
      <c r="K11" s="112">
        <v>270.62</v>
      </c>
      <c r="L11" s="112">
        <v>27.25</v>
      </c>
      <c r="M11" s="112">
        <v>92.43</v>
      </c>
      <c r="N11" s="112">
        <v>2.2000000000000002</v>
      </c>
      <c r="O11" s="112">
        <v>0</v>
      </c>
      <c r="P11" s="112">
        <v>0.24</v>
      </c>
      <c r="Q11" s="112">
        <v>4.67</v>
      </c>
    </row>
    <row r="12" spans="1:21" customFormat="1">
      <c r="A12" s="80">
        <v>45504.041666666664</v>
      </c>
      <c r="B12" s="112">
        <v>9.2899999999999991</v>
      </c>
      <c r="C12" s="112">
        <v>4.08</v>
      </c>
      <c r="D12" s="112">
        <v>14.03</v>
      </c>
      <c r="E12" s="112">
        <v>8.52</v>
      </c>
      <c r="F12" s="112">
        <v>6.82</v>
      </c>
      <c r="G12" s="112">
        <v>30.45</v>
      </c>
      <c r="H12" s="112">
        <v>12.65</v>
      </c>
      <c r="I12" s="112">
        <v>3.37</v>
      </c>
      <c r="J12" s="112">
        <v>0.2</v>
      </c>
      <c r="K12" s="112">
        <v>267.36</v>
      </c>
      <c r="L12" s="112">
        <v>27.24</v>
      </c>
      <c r="M12" s="112">
        <v>92.83</v>
      </c>
      <c r="N12" s="112">
        <v>2.2000000000000002</v>
      </c>
      <c r="O12" s="112">
        <v>0</v>
      </c>
      <c r="P12" s="112">
        <v>0.24</v>
      </c>
      <c r="Q12" s="112">
        <v>4.66</v>
      </c>
    </row>
    <row r="13" spans="1:21" customFormat="1">
      <c r="A13" s="80">
        <v>45504.052083333336</v>
      </c>
      <c r="B13" s="112">
        <v>9.3000000000000007</v>
      </c>
      <c r="C13" s="112">
        <v>4.05</v>
      </c>
      <c r="D13" s="112">
        <v>14.02</v>
      </c>
      <c r="E13" s="112">
        <v>8.61</v>
      </c>
      <c r="F13" s="112">
        <v>6.49</v>
      </c>
      <c r="G13" s="112">
        <v>30.45</v>
      </c>
      <c r="H13" s="112">
        <v>12.65</v>
      </c>
      <c r="I13" s="112">
        <v>3.21</v>
      </c>
      <c r="J13" s="112">
        <v>0.28000000000000003</v>
      </c>
      <c r="K13" s="112">
        <v>267.3</v>
      </c>
      <c r="L13" s="112">
        <v>27.13</v>
      </c>
      <c r="M13" s="112">
        <v>93.23</v>
      </c>
      <c r="N13" s="112">
        <v>2.2999999999999998</v>
      </c>
      <c r="O13" s="112">
        <v>0</v>
      </c>
      <c r="P13" s="112">
        <v>0.24</v>
      </c>
      <c r="Q13" s="112">
        <v>4.68</v>
      </c>
    </row>
    <row r="14" spans="1:21" customFormat="1">
      <c r="A14" s="80">
        <v>45504.0625</v>
      </c>
      <c r="B14" s="112">
        <v>9.27</v>
      </c>
      <c r="C14" s="112">
        <v>4.0599999999999996</v>
      </c>
      <c r="D14" s="112">
        <v>14</v>
      </c>
      <c r="E14" s="112">
        <v>8.9600000000000009</v>
      </c>
      <c r="F14" s="112">
        <v>6.51</v>
      </c>
      <c r="G14" s="112">
        <v>30.45</v>
      </c>
      <c r="H14" s="112">
        <v>12.65</v>
      </c>
      <c r="I14" s="112">
        <v>3.35</v>
      </c>
      <c r="J14" s="112">
        <v>0.25</v>
      </c>
      <c r="K14" s="112">
        <v>265.99</v>
      </c>
      <c r="L14" s="112">
        <v>27.07</v>
      </c>
      <c r="M14" s="112">
        <v>93.66</v>
      </c>
      <c r="N14" s="112">
        <v>2.2000000000000002</v>
      </c>
      <c r="O14" s="112">
        <v>0</v>
      </c>
      <c r="P14" s="112">
        <v>0.24</v>
      </c>
      <c r="Q14" s="112">
        <v>4.68</v>
      </c>
    </row>
    <row r="15" spans="1:21" customFormat="1">
      <c r="A15" s="80">
        <v>45504.072916666664</v>
      </c>
      <c r="B15" s="112">
        <v>9.24</v>
      </c>
      <c r="C15" s="112">
        <v>4.09</v>
      </c>
      <c r="D15" s="112">
        <v>14</v>
      </c>
      <c r="E15" s="112">
        <v>8.9</v>
      </c>
      <c r="F15" s="112">
        <v>5.38</v>
      </c>
      <c r="G15" s="112">
        <v>30.32</v>
      </c>
      <c r="H15" s="112">
        <v>12.07</v>
      </c>
      <c r="I15" s="112">
        <v>3.3</v>
      </c>
      <c r="J15" s="112">
        <v>0.4</v>
      </c>
      <c r="K15" s="112">
        <v>275.83</v>
      </c>
      <c r="L15" s="112">
        <v>26.96</v>
      </c>
      <c r="M15" s="112">
        <v>94.14</v>
      </c>
      <c r="N15" s="112">
        <v>2.2999999999999998</v>
      </c>
      <c r="O15" s="112">
        <v>0</v>
      </c>
      <c r="P15" s="112">
        <v>0.24</v>
      </c>
      <c r="Q15" s="112">
        <v>4.67</v>
      </c>
    </row>
    <row r="16" spans="1:21" customFormat="1">
      <c r="A16" s="80">
        <v>45504.083333333336</v>
      </c>
      <c r="B16" s="112">
        <v>9.2200000000000006</v>
      </c>
      <c r="C16" s="112">
        <v>4.12</v>
      </c>
      <c r="D16" s="112">
        <v>14</v>
      </c>
      <c r="E16" s="112">
        <v>9.25</v>
      </c>
      <c r="F16" s="112">
        <v>4.8499999999999996</v>
      </c>
      <c r="G16" s="112">
        <v>30.13</v>
      </c>
      <c r="H16" s="112">
        <v>11.53</v>
      </c>
      <c r="I16" s="112">
        <v>3.3</v>
      </c>
      <c r="J16" s="112">
        <v>0.36</v>
      </c>
      <c r="K16" s="112">
        <v>274.31</v>
      </c>
      <c r="L16" s="112">
        <v>26.98</v>
      </c>
      <c r="M16" s="112">
        <v>94.37</v>
      </c>
      <c r="N16" s="112">
        <v>2.1</v>
      </c>
      <c r="O16" s="112">
        <v>0</v>
      </c>
      <c r="P16" s="112">
        <v>0.24</v>
      </c>
      <c r="Q16" s="112">
        <v>4.66</v>
      </c>
    </row>
    <row r="17" spans="1:17" customFormat="1">
      <c r="A17" s="80">
        <v>45504.09375</v>
      </c>
      <c r="B17" s="112">
        <v>9.2200000000000006</v>
      </c>
      <c r="C17" s="112">
        <v>4.13</v>
      </c>
      <c r="D17" s="112">
        <v>14</v>
      </c>
      <c r="E17" s="112">
        <v>6.81</v>
      </c>
      <c r="F17" s="112">
        <v>4.95</v>
      </c>
      <c r="G17" s="112">
        <v>30.13</v>
      </c>
      <c r="H17" s="112">
        <v>11.53</v>
      </c>
      <c r="I17" s="112">
        <v>3.13</v>
      </c>
      <c r="J17" s="112">
        <v>0.33</v>
      </c>
      <c r="K17" s="112">
        <v>277.27999999999997</v>
      </c>
      <c r="L17" s="112">
        <v>26.92</v>
      </c>
      <c r="M17" s="112">
        <v>94.84</v>
      </c>
      <c r="N17" s="112">
        <v>2.2000000000000002</v>
      </c>
      <c r="O17" s="112">
        <v>0</v>
      </c>
      <c r="P17" s="112">
        <v>0.23</v>
      </c>
      <c r="Q17" s="112">
        <v>4.66</v>
      </c>
    </row>
    <row r="18" spans="1:17" customFormat="1">
      <c r="A18" s="80">
        <v>45504.104166666664</v>
      </c>
      <c r="B18" s="112">
        <v>9.23</v>
      </c>
      <c r="C18" s="112">
        <v>4.1100000000000003</v>
      </c>
      <c r="D18" s="112">
        <v>14</v>
      </c>
      <c r="E18" s="112">
        <v>7.83</v>
      </c>
      <c r="F18" s="112">
        <v>5.4</v>
      </c>
      <c r="G18" s="112">
        <v>30.13</v>
      </c>
      <c r="H18" s="112">
        <v>11.53</v>
      </c>
      <c r="I18" s="112">
        <v>3.08</v>
      </c>
      <c r="J18" s="112">
        <v>0.5</v>
      </c>
      <c r="K18" s="112">
        <v>278.88</v>
      </c>
      <c r="L18" s="112">
        <v>26.89</v>
      </c>
      <c r="M18" s="112">
        <v>95.24</v>
      </c>
      <c r="N18" s="112">
        <v>2.2999999999999998</v>
      </c>
      <c r="O18" s="112">
        <v>0</v>
      </c>
      <c r="P18" s="112">
        <v>0.24</v>
      </c>
      <c r="Q18" s="112">
        <v>4.66</v>
      </c>
    </row>
    <row r="19" spans="1:17" customFormat="1">
      <c r="A19" s="80">
        <v>45504.114583333336</v>
      </c>
      <c r="B19" s="112">
        <v>9.25</v>
      </c>
      <c r="C19" s="112">
        <v>4.08</v>
      </c>
      <c r="D19" s="112">
        <v>14</v>
      </c>
      <c r="E19" s="112">
        <v>8.69</v>
      </c>
      <c r="F19" s="112">
        <v>5.3</v>
      </c>
      <c r="G19" s="112">
        <v>29.79</v>
      </c>
      <c r="H19" s="112">
        <v>11.98</v>
      </c>
      <c r="I19" s="112">
        <v>3.16</v>
      </c>
      <c r="J19" s="112">
        <v>0.64</v>
      </c>
      <c r="K19" s="112">
        <v>278.86</v>
      </c>
      <c r="L19" s="112">
        <v>26.91</v>
      </c>
      <c r="M19" s="112">
        <v>95.2</v>
      </c>
      <c r="N19" s="112">
        <v>2.2999999999999998</v>
      </c>
      <c r="O19" s="112">
        <v>0</v>
      </c>
      <c r="P19" s="112">
        <v>0.24</v>
      </c>
      <c r="Q19" s="112">
        <v>4.67</v>
      </c>
    </row>
    <row r="20" spans="1:17" customFormat="1">
      <c r="A20" s="80">
        <v>45504.125</v>
      </c>
      <c r="B20" s="112">
        <v>9.25</v>
      </c>
      <c r="C20" s="112">
        <v>4.08</v>
      </c>
      <c r="D20" s="112">
        <v>14</v>
      </c>
      <c r="E20" s="112">
        <v>8.89</v>
      </c>
      <c r="F20" s="112">
        <v>3.97</v>
      </c>
      <c r="G20" s="112">
        <v>29.26</v>
      </c>
      <c r="H20" s="112">
        <v>13.57</v>
      </c>
      <c r="I20" s="112">
        <v>3.02</v>
      </c>
      <c r="J20" s="112">
        <v>0.69</v>
      </c>
      <c r="K20" s="112">
        <v>279.67</v>
      </c>
      <c r="L20" s="112">
        <v>26.88</v>
      </c>
      <c r="M20" s="112">
        <v>94.73</v>
      </c>
      <c r="N20" s="112">
        <v>2.4</v>
      </c>
      <c r="O20" s="112">
        <v>0</v>
      </c>
      <c r="P20" s="112">
        <v>0.23</v>
      </c>
      <c r="Q20" s="112">
        <v>4.66</v>
      </c>
    </row>
    <row r="21" spans="1:17" customFormat="1">
      <c r="A21" s="80">
        <v>45504.135416666664</v>
      </c>
      <c r="B21" s="112">
        <v>9.26</v>
      </c>
      <c r="C21" s="112">
        <v>4.07</v>
      </c>
      <c r="D21" s="112">
        <v>14</v>
      </c>
      <c r="E21" s="112">
        <v>8.74</v>
      </c>
      <c r="F21" s="112">
        <v>4.28</v>
      </c>
      <c r="G21" s="112">
        <v>29.26</v>
      </c>
      <c r="H21" s="112">
        <v>13.57</v>
      </c>
      <c r="I21" s="112">
        <v>2.98</v>
      </c>
      <c r="J21" s="112">
        <v>0.91</v>
      </c>
      <c r="K21" s="112">
        <v>279.42</v>
      </c>
      <c r="L21" s="112">
        <v>26.9</v>
      </c>
      <c r="M21" s="112">
        <v>93.49</v>
      </c>
      <c r="N21" s="112">
        <v>2.2000000000000002</v>
      </c>
      <c r="O21" s="112">
        <v>0</v>
      </c>
      <c r="P21" s="112">
        <v>0.23</v>
      </c>
      <c r="Q21" s="112">
        <v>4.66</v>
      </c>
    </row>
    <row r="22" spans="1:17" customFormat="1">
      <c r="A22" s="80">
        <v>45504.145833333336</v>
      </c>
      <c r="B22" s="112">
        <v>9.27</v>
      </c>
      <c r="C22" s="112">
        <v>4.07</v>
      </c>
      <c r="D22" s="112">
        <v>14.01</v>
      </c>
      <c r="E22" s="112">
        <v>8.6199999999999992</v>
      </c>
      <c r="F22" s="112">
        <v>5.05</v>
      </c>
      <c r="G22" s="112">
        <v>29.26</v>
      </c>
      <c r="H22" s="112">
        <v>13.57</v>
      </c>
      <c r="I22" s="112">
        <v>2.97</v>
      </c>
      <c r="J22" s="112">
        <v>1.02</v>
      </c>
      <c r="K22" s="112">
        <v>278.69</v>
      </c>
      <c r="L22" s="112">
        <v>26.87</v>
      </c>
      <c r="M22" s="112">
        <v>92.01</v>
      </c>
      <c r="N22" s="112">
        <v>2.2999999999999998</v>
      </c>
      <c r="O22" s="112">
        <v>0</v>
      </c>
      <c r="P22" s="112">
        <v>0.22</v>
      </c>
      <c r="Q22" s="112">
        <v>4.6500000000000004</v>
      </c>
    </row>
    <row r="23" spans="1:17" customFormat="1">
      <c r="A23" s="80">
        <v>45504.15625</v>
      </c>
      <c r="B23" s="112">
        <v>9.26</v>
      </c>
      <c r="C23" s="112">
        <v>4.09</v>
      </c>
      <c r="D23" s="112">
        <v>14.01</v>
      </c>
      <c r="E23" s="112">
        <v>8.92</v>
      </c>
      <c r="F23" s="112">
        <v>6.31</v>
      </c>
      <c r="G23" s="112">
        <v>29.02</v>
      </c>
      <c r="H23" s="112">
        <v>12.83</v>
      </c>
      <c r="I23" s="112">
        <v>2.94</v>
      </c>
      <c r="J23" s="112">
        <v>0.67</v>
      </c>
      <c r="K23" s="112">
        <v>279.23</v>
      </c>
      <c r="L23" s="112">
        <v>26.8</v>
      </c>
      <c r="M23" s="112">
        <v>92.65</v>
      </c>
      <c r="N23" s="112">
        <v>2.5</v>
      </c>
      <c r="O23" s="112">
        <v>0</v>
      </c>
      <c r="P23" s="112">
        <v>0.23</v>
      </c>
      <c r="Q23" s="112">
        <v>4.66</v>
      </c>
    </row>
    <row r="24" spans="1:17" customFormat="1">
      <c r="A24" s="80">
        <v>45504.166666666664</v>
      </c>
      <c r="B24" s="112">
        <v>9.2799999999999994</v>
      </c>
      <c r="C24" s="112">
        <v>4.0599999999999996</v>
      </c>
      <c r="D24" s="112">
        <v>14.01</v>
      </c>
      <c r="E24" s="112">
        <v>9.11</v>
      </c>
      <c r="F24" s="112">
        <v>5.13</v>
      </c>
      <c r="G24" s="112">
        <v>28.65</v>
      </c>
      <c r="H24" s="112">
        <v>12.14</v>
      </c>
      <c r="I24" s="112">
        <v>2.91</v>
      </c>
      <c r="J24" s="112">
        <v>0.64</v>
      </c>
      <c r="K24" s="112">
        <v>278.3</v>
      </c>
      <c r="L24" s="112">
        <v>26.7</v>
      </c>
      <c r="M24" s="112">
        <v>93.13</v>
      </c>
      <c r="N24" s="112">
        <v>2.2000000000000002</v>
      </c>
      <c r="O24" s="112">
        <v>0</v>
      </c>
      <c r="P24" s="112">
        <v>0.22</v>
      </c>
      <c r="Q24" s="112">
        <v>4.6500000000000004</v>
      </c>
    </row>
    <row r="25" spans="1:17" customFormat="1">
      <c r="A25" s="80">
        <v>45504.177083333336</v>
      </c>
      <c r="B25" s="112">
        <v>9.3000000000000007</v>
      </c>
      <c r="C25" s="112">
        <v>4.0599999999999996</v>
      </c>
      <c r="D25" s="112">
        <v>14.03</v>
      </c>
      <c r="E25" s="112">
        <v>9.36</v>
      </c>
      <c r="F25" s="112">
        <v>4.8099999999999996</v>
      </c>
      <c r="G25" s="112">
        <v>28.65</v>
      </c>
      <c r="H25" s="112">
        <v>12.14</v>
      </c>
      <c r="I25" s="112">
        <v>2.85</v>
      </c>
      <c r="J25" s="112">
        <v>0.64</v>
      </c>
      <c r="K25" s="112">
        <v>282.36</v>
      </c>
      <c r="L25" s="112">
        <v>26.63</v>
      </c>
      <c r="M25" s="112">
        <v>93.29</v>
      </c>
      <c r="N25" s="112">
        <v>2.4</v>
      </c>
      <c r="O25" s="112">
        <v>0</v>
      </c>
      <c r="P25" s="112">
        <v>0.23</v>
      </c>
      <c r="Q25" s="112">
        <v>4.66</v>
      </c>
    </row>
    <row r="26" spans="1:17" customFormat="1">
      <c r="A26" s="80">
        <v>45504.1875</v>
      </c>
      <c r="B26" s="112">
        <v>9.31</v>
      </c>
      <c r="C26" s="112">
        <v>4.0599999999999996</v>
      </c>
      <c r="D26" s="112">
        <v>14.04</v>
      </c>
      <c r="E26" s="112">
        <v>9.32</v>
      </c>
      <c r="F26" s="112">
        <v>4.82</v>
      </c>
      <c r="G26" s="112">
        <v>28.65</v>
      </c>
      <c r="H26" s="112">
        <v>12.14</v>
      </c>
      <c r="I26" s="112">
        <v>2.86</v>
      </c>
      <c r="J26" s="112">
        <v>0.52</v>
      </c>
      <c r="K26" s="112">
        <v>276.75</v>
      </c>
      <c r="L26" s="112">
        <v>26.56</v>
      </c>
      <c r="M26" s="112">
        <v>93.1</v>
      </c>
      <c r="N26" s="112">
        <v>2.4</v>
      </c>
      <c r="O26" s="112">
        <v>0</v>
      </c>
      <c r="P26" s="112">
        <v>0.23</v>
      </c>
      <c r="Q26" s="112">
        <v>4.6500000000000004</v>
      </c>
    </row>
    <row r="27" spans="1:17" customFormat="1">
      <c r="A27" s="80">
        <v>45504.197916666664</v>
      </c>
      <c r="B27" s="112">
        <v>9.3000000000000007</v>
      </c>
      <c r="C27" s="112">
        <v>4.07</v>
      </c>
      <c r="D27" s="112">
        <v>14.03</v>
      </c>
      <c r="E27" s="112">
        <v>9.7899999999999991</v>
      </c>
      <c r="F27" s="112">
        <v>4.41</v>
      </c>
      <c r="G27" s="112">
        <v>26.01</v>
      </c>
      <c r="H27" s="112">
        <v>11.97</v>
      </c>
      <c r="I27" s="112">
        <v>2.95</v>
      </c>
      <c r="J27" s="112">
        <v>0.65</v>
      </c>
      <c r="K27" s="112">
        <v>281.57</v>
      </c>
      <c r="L27" s="112">
        <v>26.47</v>
      </c>
      <c r="M27" s="112">
        <v>93.22</v>
      </c>
      <c r="N27" s="112">
        <v>2.4</v>
      </c>
      <c r="O27" s="112">
        <v>0</v>
      </c>
      <c r="P27" s="112">
        <v>0.27</v>
      </c>
      <c r="Q27" s="112">
        <v>4.6399999999999997</v>
      </c>
    </row>
    <row r="28" spans="1:17" customFormat="1">
      <c r="A28" s="80">
        <v>45504.208333333336</v>
      </c>
      <c r="B28" s="112">
        <v>9.3000000000000007</v>
      </c>
      <c r="C28" s="112">
        <v>4.04</v>
      </c>
      <c r="D28" s="112">
        <v>14.02</v>
      </c>
      <c r="E28" s="112">
        <v>9.74</v>
      </c>
      <c r="F28" s="112">
        <v>5.09</v>
      </c>
      <c r="G28" s="112">
        <v>21.88</v>
      </c>
      <c r="H28" s="112">
        <v>11.81</v>
      </c>
      <c r="I28" s="112">
        <v>2.94</v>
      </c>
      <c r="J28" s="112">
        <v>0.61</v>
      </c>
      <c r="K28" s="112">
        <v>278.88</v>
      </c>
      <c r="L28" s="112">
        <v>26.45</v>
      </c>
      <c r="M28" s="112">
        <v>93.45</v>
      </c>
      <c r="N28" s="112">
        <v>2.4</v>
      </c>
      <c r="O28" s="112">
        <v>0</v>
      </c>
      <c r="P28" s="112">
        <v>0.27</v>
      </c>
      <c r="Q28" s="112">
        <v>4.66</v>
      </c>
    </row>
    <row r="29" spans="1:17" customFormat="1">
      <c r="A29" s="80">
        <v>45504.21875</v>
      </c>
      <c r="B29" s="112">
        <v>9.26</v>
      </c>
      <c r="C29" s="112">
        <v>4.08</v>
      </c>
      <c r="D29" s="112">
        <v>14.01</v>
      </c>
      <c r="E29" s="112">
        <v>8.7799999999999994</v>
      </c>
      <c r="F29" s="112">
        <v>5.08</v>
      </c>
      <c r="G29" s="112">
        <v>21.88</v>
      </c>
      <c r="H29" s="112">
        <v>11.81</v>
      </c>
      <c r="I29" s="112">
        <v>2.85</v>
      </c>
      <c r="J29" s="112">
        <v>0.74</v>
      </c>
      <c r="K29" s="112">
        <v>279.82</v>
      </c>
      <c r="L29" s="112">
        <v>26.34</v>
      </c>
      <c r="M29" s="112">
        <v>93.92</v>
      </c>
      <c r="N29" s="112">
        <v>2.4</v>
      </c>
      <c r="O29" s="112">
        <v>0</v>
      </c>
      <c r="P29" s="112">
        <v>0.27</v>
      </c>
      <c r="Q29" s="112">
        <v>4.6500000000000004</v>
      </c>
    </row>
    <row r="30" spans="1:17" customFormat="1">
      <c r="A30" s="80">
        <v>45504.229166666664</v>
      </c>
      <c r="B30" s="112">
        <v>9.24</v>
      </c>
      <c r="C30" s="112">
        <v>4.09</v>
      </c>
      <c r="D30" s="112">
        <v>14</v>
      </c>
      <c r="E30" s="112">
        <v>9.26</v>
      </c>
      <c r="F30" s="112">
        <v>4.58</v>
      </c>
      <c r="G30" s="112">
        <v>21.88</v>
      </c>
      <c r="H30" s="112">
        <v>11.81</v>
      </c>
      <c r="I30" s="112">
        <v>2.88</v>
      </c>
      <c r="J30" s="112">
        <v>0.66</v>
      </c>
      <c r="K30" s="112">
        <v>281.02999999999997</v>
      </c>
      <c r="L30" s="112">
        <v>26.31</v>
      </c>
      <c r="M30" s="112">
        <v>94.56</v>
      </c>
      <c r="N30" s="112">
        <v>2.6</v>
      </c>
      <c r="O30" s="112">
        <v>0</v>
      </c>
      <c r="P30" s="112">
        <v>0.27</v>
      </c>
      <c r="Q30" s="112">
        <v>4.67</v>
      </c>
    </row>
    <row r="31" spans="1:17" customFormat="1">
      <c r="A31" s="80">
        <v>45504.239583333336</v>
      </c>
      <c r="B31" s="112">
        <v>9.24</v>
      </c>
      <c r="C31" s="112">
        <v>4.0999999999999996</v>
      </c>
      <c r="D31" s="112">
        <v>14</v>
      </c>
      <c r="E31" s="112">
        <v>8.06</v>
      </c>
      <c r="F31" s="112">
        <v>4.68</v>
      </c>
      <c r="G31" s="112">
        <v>21.42</v>
      </c>
      <c r="H31" s="112">
        <v>12.19</v>
      </c>
      <c r="I31" s="112">
        <v>2.9</v>
      </c>
      <c r="J31" s="112">
        <v>0.77</v>
      </c>
      <c r="K31" s="112">
        <v>278.73</v>
      </c>
      <c r="L31" s="112">
        <v>26.27</v>
      </c>
      <c r="M31" s="112">
        <v>94.4</v>
      </c>
      <c r="N31" s="112">
        <v>3.4</v>
      </c>
      <c r="O31" s="112">
        <v>0</v>
      </c>
      <c r="P31" s="112">
        <v>0.27</v>
      </c>
      <c r="Q31" s="112">
        <v>4.66</v>
      </c>
    </row>
    <row r="32" spans="1:17" customFormat="1">
      <c r="A32" s="80">
        <v>45504.25</v>
      </c>
      <c r="B32" s="112">
        <v>9.23</v>
      </c>
      <c r="C32" s="112">
        <v>4.1100000000000003</v>
      </c>
      <c r="D32" s="112">
        <v>14</v>
      </c>
      <c r="E32" s="112">
        <v>7.83</v>
      </c>
      <c r="F32" s="112">
        <v>4.55</v>
      </c>
      <c r="G32" s="112">
        <v>20.69</v>
      </c>
      <c r="H32" s="112">
        <v>12.55</v>
      </c>
      <c r="I32" s="112">
        <v>2.92</v>
      </c>
      <c r="J32" s="112">
        <v>0.66</v>
      </c>
      <c r="K32" s="112">
        <v>282.27999999999997</v>
      </c>
      <c r="L32" s="112">
        <v>26.21</v>
      </c>
      <c r="M32" s="112">
        <v>94.08</v>
      </c>
      <c r="N32" s="112">
        <v>5.6</v>
      </c>
      <c r="O32" s="112">
        <v>0</v>
      </c>
      <c r="P32" s="112">
        <v>0.26</v>
      </c>
      <c r="Q32" s="112">
        <v>4.6500000000000004</v>
      </c>
    </row>
    <row r="33" spans="1:17" customFormat="1">
      <c r="A33" s="80">
        <v>45504.260416666664</v>
      </c>
      <c r="B33" s="112">
        <v>9.23</v>
      </c>
      <c r="C33" s="112">
        <v>4.12</v>
      </c>
      <c r="D33" s="112">
        <v>14</v>
      </c>
      <c r="E33" s="112">
        <v>7.97</v>
      </c>
      <c r="F33" s="112">
        <v>4.58</v>
      </c>
      <c r="G33" s="112">
        <v>20.69</v>
      </c>
      <c r="H33" s="112">
        <v>12.55</v>
      </c>
      <c r="I33" s="112">
        <v>2.91</v>
      </c>
      <c r="J33" s="112">
        <v>0.62</v>
      </c>
      <c r="K33" s="112">
        <v>277.86</v>
      </c>
      <c r="L33" s="112">
        <v>26.2</v>
      </c>
      <c r="M33" s="112">
        <v>94.82</v>
      </c>
      <c r="N33" s="112">
        <v>9.4</v>
      </c>
      <c r="O33" s="112">
        <v>0</v>
      </c>
      <c r="P33" s="112">
        <v>0.25</v>
      </c>
      <c r="Q33" s="112">
        <v>4.6500000000000004</v>
      </c>
    </row>
    <row r="34" spans="1:17" customFormat="1">
      <c r="A34" s="80">
        <v>45504.270833333336</v>
      </c>
      <c r="B34" s="112">
        <v>9.23</v>
      </c>
      <c r="C34" s="112">
        <v>4.12</v>
      </c>
      <c r="D34" s="112">
        <v>14</v>
      </c>
      <c r="E34" s="112">
        <v>7.63</v>
      </c>
      <c r="F34" s="112">
        <v>4.49</v>
      </c>
      <c r="G34" s="112">
        <v>20.69</v>
      </c>
      <c r="H34" s="112">
        <v>12.55</v>
      </c>
      <c r="I34" s="112">
        <v>2.9</v>
      </c>
      <c r="J34" s="112">
        <v>0.57999999999999996</v>
      </c>
      <c r="K34" s="112">
        <v>280.99</v>
      </c>
      <c r="L34" s="112">
        <v>26.2</v>
      </c>
      <c r="M34" s="112">
        <v>95.41</v>
      </c>
      <c r="N34" s="112">
        <v>13.5</v>
      </c>
      <c r="O34" s="112">
        <v>0</v>
      </c>
      <c r="P34" s="112">
        <v>0.26</v>
      </c>
      <c r="Q34" s="112">
        <v>4.6500000000000004</v>
      </c>
    </row>
    <row r="35" spans="1:17" customFormat="1">
      <c r="A35" s="80">
        <v>45504.28125</v>
      </c>
      <c r="B35" s="112">
        <v>9.23</v>
      </c>
      <c r="C35" s="112">
        <v>4.12</v>
      </c>
      <c r="D35" s="112">
        <v>14</v>
      </c>
      <c r="E35" s="112">
        <v>7.53</v>
      </c>
      <c r="F35" s="112">
        <v>4.59</v>
      </c>
      <c r="G35" s="112">
        <v>18.399999999999999</v>
      </c>
      <c r="H35" s="112">
        <v>12.58</v>
      </c>
      <c r="I35" s="112">
        <v>2.93</v>
      </c>
      <c r="J35" s="112">
        <v>0.75</v>
      </c>
      <c r="K35" s="112">
        <v>279.58999999999997</v>
      </c>
      <c r="L35" s="112">
        <v>26.27</v>
      </c>
      <c r="M35" s="112">
        <v>94.95</v>
      </c>
      <c r="N35" s="112">
        <v>18.5</v>
      </c>
      <c r="O35" s="112">
        <v>0</v>
      </c>
      <c r="P35" s="112">
        <v>0.27</v>
      </c>
      <c r="Q35" s="112">
        <v>4.66</v>
      </c>
    </row>
    <row r="36" spans="1:17" customFormat="1">
      <c r="A36" s="80">
        <v>45504.291666666664</v>
      </c>
      <c r="B36" s="112">
        <v>9.23</v>
      </c>
      <c r="C36" s="112">
        <v>4.1100000000000003</v>
      </c>
      <c r="D36" s="112">
        <v>14</v>
      </c>
      <c r="E36" s="112">
        <v>7.85</v>
      </c>
      <c r="F36" s="112">
        <v>4.71</v>
      </c>
      <c r="G36" s="112">
        <v>14.79</v>
      </c>
      <c r="H36" s="112">
        <v>12.61</v>
      </c>
      <c r="I36" s="112">
        <v>2.91</v>
      </c>
      <c r="J36" s="112">
        <v>0.74</v>
      </c>
      <c r="K36" s="112">
        <v>280.55</v>
      </c>
      <c r="L36" s="112">
        <v>26.34</v>
      </c>
      <c r="M36" s="112">
        <v>94.6</v>
      </c>
      <c r="N36" s="112">
        <v>38</v>
      </c>
      <c r="O36" s="112">
        <v>0</v>
      </c>
      <c r="P36" s="112">
        <v>0.26</v>
      </c>
      <c r="Q36" s="112">
        <v>4.66</v>
      </c>
    </row>
    <row r="37" spans="1:17" customFormat="1">
      <c r="A37" s="80">
        <v>45504.302083333336</v>
      </c>
      <c r="B37" s="112">
        <v>9.24</v>
      </c>
      <c r="C37" s="112">
        <v>4.0999999999999996</v>
      </c>
      <c r="D37" s="112">
        <v>14</v>
      </c>
      <c r="E37" s="112">
        <v>7.65</v>
      </c>
      <c r="F37" s="112">
        <v>4.37</v>
      </c>
      <c r="G37" s="112">
        <v>14.79</v>
      </c>
      <c r="H37" s="112">
        <v>12.61</v>
      </c>
      <c r="I37" s="112">
        <v>2.91</v>
      </c>
      <c r="J37" s="112">
        <v>0.66</v>
      </c>
      <c r="K37" s="112">
        <v>277.13</v>
      </c>
      <c r="L37" s="112">
        <v>26.4</v>
      </c>
      <c r="M37" s="112">
        <v>94.3</v>
      </c>
      <c r="N37" s="112">
        <v>29.9</v>
      </c>
      <c r="O37" s="112">
        <v>0</v>
      </c>
      <c r="P37" s="112">
        <v>0.26</v>
      </c>
      <c r="Q37" s="112">
        <v>4.66</v>
      </c>
    </row>
    <row r="38" spans="1:17" customFormat="1">
      <c r="A38" s="80">
        <v>45504.3125</v>
      </c>
      <c r="B38" s="112">
        <v>9.24</v>
      </c>
      <c r="C38" s="112">
        <v>4.09</v>
      </c>
      <c r="D38" s="112">
        <v>14</v>
      </c>
      <c r="E38" s="112">
        <v>7.41</v>
      </c>
      <c r="F38" s="112">
        <v>4.42</v>
      </c>
      <c r="G38" s="112">
        <v>14.79</v>
      </c>
      <c r="H38" s="112">
        <v>12.61</v>
      </c>
      <c r="I38" s="112">
        <v>2.96</v>
      </c>
      <c r="J38" s="112">
        <v>0.67</v>
      </c>
      <c r="K38" s="112">
        <v>276.88</v>
      </c>
      <c r="L38" s="112">
        <v>26.37</v>
      </c>
      <c r="M38" s="112">
        <v>94.73</v>
      </c>
      <c r="N38" s="112">
        <v>30.7</v>
      </c>
      <c r="O38" s="112">
        <v>0</v>
      </c>
      <c r="P38" s="112">
        <v>0.26</v>
      </c>
      <c r="Q38" s="112">
        <v>4.6500000000000004</v>
      </c>
    </row>
    <row r="39" spans="1:17" customFormat="1">
      <c r="A39" s="80">
        <v>45504.322916666664</v>
      </c>
      <c r="B39" s="112">
        <v>9.24</v>
      </c>
      <c r="C39" s="112">
        <v>4.0999999999999996</v>
      </c>
      <c r="D39" s="112">
        <v>14</v>
      </c>
      <c r="E39" s="112">
        <v>6.65</v>
      </c>
      <c r="F39" s="112">
        <v>4.71</v>
      </c>
      <c r="G39" s="112">
        <v>17.72</v>
      </c>
      <c r="H39" s="112">
        <v>11.43</v>
      </c>
      <c r="I39" s="112">
        <v>2.98</v>
      </c>
      <c r="J39" s="112">
        <v>0.52</v>
      </c>
      <c r="K39" s="112">
        <v>280.22000000000003</v>
      </c>
      <c r="L39" s="112">
        <v>26.43</v>
      </c>
      <c r="M39" s="112">
        <v>95.05</v>
      </c>
      <c r="N39" s="112">
        <v>41.1</v>
      </c>
      <c r="O39" s="112">
        <v>0</v>
      </c>
      <c r="P39" s="112">
        <v>0.27</v>
      </c>
      <c r="Q39" s="112">
        <v>4.66</v>
      </c>
    </row>
    <row r="40" spans="1:17" customFormat="1">
      <c r="A40" s="80">
        <v>45504.333333333336</v>
      </c>
      <c r="B40" s="112">
        <v>9.24</v>
      </c>
      <c r="C40" s="112">
        <v>4.0999999999999996</v>
      </c>
      <c r="D40" s="112">
        <v>14</v>
      </c>
      <c r="E40" s="112">
        <v>7.14</v>
      </c>
      <c r="F40" s="112">
        <v>4.7</v>
      </c>
      <c r="G40" s="112">
        <v>22.31</v>
      </c>
      <c r="H40" s="112">
        <v>10.33</v>
      </c>
      <c r="I40" s="112">
        <v>3.02</v>
      </c>
      <c r="J40" s="112">
        <v>0.55000000000000004</v>
      </c>
      <c r="K40" s="112">
        <v>283.47000000000003</v>
      </c>
      <c r="L40" s="112">
        <v>26.48</v>
      </c>
      <c r="M40" s="112">
        <v>95.07</v>
      </c>
      <c r="N40" s="112">
        <v>33</v>
      </c>
      <c r="O40" s="112">
        <v>0</v>
      </c>
      <c r="P40" s="112">
        <v>0.27</v>
      </c>
      <c r="Q40" s="112">
        <v>4.67</v>
      </c>
    </row>
    <row r="41" spans="1:17" customFormat="1">
      <c r="A41" s="80">
        <v>45504.34375</v>
      </c>
      <c r="B41" s="112">
        <v>9.23</v>
      </c>
      <c r="C41" s="112">
        <v>4.1100000000000003</v>
      </c>
      <c r="D41" s="112">
        <v>14</v>
      </c>
      <c r="E41" s="112">
        <v>7.01</v>
      </c>
      <c r="F41" s="112">
        <v>4.42</v>
      </c>
      <c r="G41" s="112">
        <v>22.31</v>
      </c>
      <c r="H41" s="112">
        <v>10.33</v>
      </c>
      <c r="I41" s="112">
        <v>3</v>
      </c>
      <c r="J41" s="112">
        <v>0.53</v>
      </c>
      <c r="K41" s="112">
        <v>276.06</v>
      </c>
      <c r="L41" s="112">
        <v>26.44</v>
      </c>
      <c r="M41" s="112">
        <v>94.8</v>
      </c>
      <c r="N41" s="112">
        <v>34.200000000000003</v>
      </c>
      <c r="O41" s="112">
        <v>0</v>
      </c>
      <c r="P41" s="112">
        <v>0.27</v>
      </c>
      <c r="Q41" s="112">
        <v>4.67</v>
      </c>
    </row>
    <row r="42" spans="1:17" customFormat="1">
      <c r="A42" s="80">
        <v>45504.354166666664</v>
      </c>
      <c r="B42" s="112">
        <v>9.23</v>
      </c>
      <c r="C42" s="112">
        <v>4.12</v>
      </c>
      <c r="D42" s="112">
        <v>14</v>
      </c>
      <c r="E42" s="112">
        <v>6.65</v>
      </c>
      <c r="F42" s="112">
        <v>4.45</v>
      </c>
      <c r="G42" s="112">
        <v>22.31</v>
      </c>
      <c r="H42" s="112">
        <v>10.33</v>
      </c>
      <c r="I42" s="112">
        <v>3.03</v>
      </c>
      <c r="J42" s="112">
        <v>0.56999999999999995</v>
      </c>
      <c r="K42" s="112">
        <v>277.12</v>
      </c>
      <c r="L42" s="112">
        <v>26.56</v>
      </c>
      <c r="M42" s="112">
        <v>94.74</v>
      </c>
      <c r="N42" s="112">
        <v>48.8</v>
      </c>
      <c r="O42" s="112">
        <v>0</v>
      </c>
      <c r="P42" s="112">
        <v>0.28000000000000003</v>
      </c>
      <c r="Q42" s="112">
        <v>4.66</v>
      </c>
    </row>
    <row r="43" spans="1:17" customFormat="1">
      <c r="A43" s="80">
        <v>45504.364583333336</v>
      </c>
      <c r="B43" s="112">
        <v>9.2200000000000006</v>
      </c>
      <c r="C43" s="112">
        <v>4.13</v>
      </c>
      <c r="D43" s="112">
        <v>14</v>
      </c>
      <c r="E43" s="112">
        <v>6.58</v>
      </c>
      <c r="F43" s="112">
        <v>5.0199999999999996</v>
      </c>
      <c r="G43" s="112">
        <v>26.65</v>
      </c>
      <c r="H43" s="112">
        <v>10.69</v>
      </c>
      <c r="I43" s="112">
        <v>3.05</v>
      </c>
      <c r="J43" s="112">
        <v>0.51</v>
      </c>
      <c r="K43" s="112">
        <v>279.39</v>
      </c>
      <c r="L43" s="112">
        <v>26.63</v>
      </c>
      <c r="M43" s="112">
        <v>94.33</v>
      </c>
      <c r="N43" s="112">
        <v>47</v>
      </c>
      <c r="O43" s="112">
        <v>0</v>
      </c>
      <c r="P43" s="112">
        <v>0.27</v>
      </c>
      <c r="Q43" s="112">
        <v>4.67</v>
      </c>
    </row>
    <row r="44" spans="1:17" customFormat="1">
      <c r="A44" s="80">
        <v>45504.375</v>
      </c>
      <c r="B44" s="112">
        <v>9.2200000000000006</v>
      </c>
      <c r="C44" s="112">
        <v>4.13</v>
      </c>
      <c r="D44" s="112">
        <v>14</v>
      </c>
      <c r="E44" s="112">
        <v>7.03</v>
      </c>
      <c r="F44" s="112">
        <v>4.7300000000000004</v>
      </c>
      <c r="G44" s="112">
        <v>33.47</v>
      </c>
      <c r="H44" s="112">
        <v>12</v>
      </c>
      <c r="I44" s="112">
        <v>3.07</v>
      </c>
      <c r="J44" s="112">
        <v>0.66</v>
      </c>
      <c r="K44" s="112">
        <v>279.05</v>
      </c>
      <c r="L44" s="112">
        <v>26.63</v>
      </c>
      <c r="M44" s="112">
        <v>93.78</v>
      </c>
      <c r="N44" s="112">
        <v>49.9</v>
      </c>
      <c r="O44" s="112">
        <v>0</v>
      </c>
      <c r="P44" s="112">
        <v>0.27</v>
      </c>
      <c r="Q44" s="112">
        <v>4.66</v>
      </c>
    </row>
    <row r="45" spans="1:17" customFormat="1">
      <c r="A45" s="80">
        <v>45504.385416666664</v>
      </c>
      <c r="B45" s="112">
        <v>9.23</v>
      </c>
      <c r="C45" s="112">
        <v>4.1100000000000003</v>
      </c>
      <c r="D45" s="112">
        <v>14</v>
      </c>
      <c r="E45" s="112">
        <v>6.66</v>
      </c>
      <c r="F45" s="112">
        <v>4.58</v>
      </c>
      <c r="G45" s="112">
        <v>33.47</v>
      </c>
      <c r="H45" s="112">
        <v>12</v>
      </c>
      <c r="I45" s="112">
        <v>3.04</v>
      </c>
      <c r="J45" s="112">
        <v>0.57999999999999996</v>
      </c>
      <c r="K45" s="112">
        <v>280.24</v>
      </c>
      <c r="L45" s="112">
        <v>26.77</v>
      </c>
      <c r="M45" s="112">
        <v>93.07</v>
      </c>
      <c r="N45" s="112">
        <v>48</v>
      </c>
      <c r="O45" s="112">
        <v>0</v>
      </c>
      <c r="P45" s="112">
        <v>0.24</v>
      </c>
      <c r="Q45" s="112">
        <v>4.6500000000000004</v>
      </c>
    </row>
    <row r="46" spans="1:17" customFormat="1">
      <c r="A46" s="80">
        <v>45504.395833333336</v>
      </c>
      <c r="B46" s="112">
        <v>9.25</v>
      </c>
      <c r="C46" s="112">
        <v>4.08</v>
      </c>
      <c r="D46" s="112">
        <v>14</v>
      </c>
      <c r="E46" s="112">
        <v>6.56</v>
      </c>
      <c r="F46" s="112">
        <v>4.95</v>
      </c>
      <c r="G46" s="112">
        <v>33.47</v>
      </c>
      <c r="H46" s="112">
        <v>12</v>
      </c>
      <c r="I46" s="112">
        <v>3.05</v>
      </c>
      <c r="J46" s="112">
        <v>0.49</v>
      </c>
      <c r="K46" s="112">
        <v>280.76</v>
      </c>
      <c r="L46" s="112">
        <v>26.77</v>
      </c>
      <c r="M46" s="112">
        <v>93.75</v>
      </c>
      <c r="N46" s="112">
        <v>29.6</v>
      </c>
      <c r="O46" s="112">
        <v>0</v>
      </c>
      <c r="P46" s="112">
        <v>0.22</v>
      </c>
      <c r="Q46" s="112">
        <v>4.66</v>
      </c>
    </row>
    <row r="47" spans="1:17" customFormat="1">
      <c r="A47" s="80">
        <v>45504.40625</v>
      </c>
      <c r="B47" s="112">
        <v>9.33</v>
      </c>
      <c r="C47" s="112">
        <v>4.08</v>
      </c>
      <c r="D47" s="112">
        <v>14.07</v>
      </c>
      <c r="E47" s="112">
        <v>7.12</v>
      </c>
      <c r="F47" s="112">
        <v>5.07</v>
      </c>
      <c r="G47" s="112">
        <v>30.93</v>
      </c>
      <c r="H47" s="112">
        <v>10.24</v>
      </c>
      <c r="I47" s="112">
        <v>3.06</v>
      </c>
      <c r="J47" s="112">
        <v>0.36</v>
      </c>
      <c r="K47" s="112">
        <v>274.95</v>
      </c>
      <c r="L47" s="112">
        <v>26.76</v>
      </c>
      <c r="M47" s="112">
        <v>94.48</v>
      </c>
      <c r="N47" s="112">
        <v>24.9</v>
      </c>
      <c r="O47" s="112">
        <v>0</v>
      </c>
      <c r="P47" s="112">
        <v>0.22</v>
      </c>
      <c r="Q47" s="112">
        <v>4.66</v>
      </c>
    </row>
    <row r="48" spans="1:17" customFormat="1">
      <c r="A48" s="80">
        <v>45504.416666666664</v>
      </c>
      <c r="B48" s="112">
        <v>9.32</v>
      </c>
      <c r="C48" s="112">
        <v>4.08</v>
      </c>
      <c r="D48" s="112">
        <v>14.06</v>
      </c>
      <c r="E48" s="112">
        <v>7.27</v>
      </c>
      <c r="F48" s="112">
        <v>6</v>
      </c>
      <c r="G48" s="112">
        <v>27.11</v>
      </c>
      <c r="H48" s="112">
        <v>8.58</v>
      </c>
      <c r="I48" s="112">
        <v>3.09</v>
      </c>
      <c r="J48" s="112">
        <v>0.39</v>
      </c>
      <c r="K48" s="112">
        <v>280.97000000000003</v>
      </c>
      <c r="L48" s="112">
        <v>26.76</v>
      </c>
      <c r="M48" s="112">
        <v>95.65</v>
      </c>
      <c r="N48" s="112">
        <v>38.700000000000003</v>
      </c>
      <c r="O48" s="112">
        <v>0</v>
      </c>
      <c r="P48" s="112">
        <v>0.22</v>
      </c>
      <c r="Q48" s="112">
        <v>4.66</v>
      </c>
    </row>
    <row r="49" spans="1:17" customFormat="1">
      <c r="A49" s="80">
        <v>45504.427083333336</v>
      </c>
      <c r="B49" s="112">
        <v>9.2799999999999994</v>
      </c>
      <c r="C49" s="112">
        <v>4.0999999999999996</v>
      </c>
      <c r="D49" s="112">
        <v>14.04</v>
      </c>
      <c r="E49" s="112">
        <v>7.99</v>
      </c>
      <c r="F49" s="112">
        <v>5.15</v>
      </c>
      <c r="G49" s="112">
        <v>27.11</v>
      </c>
      <c r="H49" s="112">
        <v>8.58</v>
      </c>
      <c r="I49" s="112">
        <v>3.08</v>
      </c>
      <c r="J49" s="112">
        <v>0.34</v>
      </c>
      <c r="K49" s="112">
        <v>277.05</v>
      </c>
      <c r="L49" s="112">
        <v>26.75</v>
      </c>
      <c r="M49" s="112">
        <v>96.19</v>
      </c>
      <c r="N49" s="112">
        <v>37.799999999999997</v>
      </c>
      <c r="O49" s="112">
        <v>0</v>
      </c>
      <c r="P49" s="112">
        <v>0.23</v>
      </c>
      <c r="Q49" s="112">
        <v>4.67</v>
      </c>
    </row>
    <row r="50" spans="1:17" customFormat="1">
      <c r="A50" s="80">
        <v>45504.4375</v>
      </c>
      <c r="B50" s="112">
        <v>9.27</v>
      </c>
      <c r="C50" s="112">
        <v>4.09</v>
      </c>
      <c r="D50" s="112">
        <v>14.02</v>
      </c>
      <c r="E50" s="112">
        <v>9.7899999999999991</v>
      </c>
      <c r="F50" s="112">
        <v>4.7</v>
      </c>
      <c r="G50" s="112">
        <v>27.11</v>
      </c>
      <c r="H50" s="112">
        <v>8.58</v>
      </c>
      <c r="I50" s="112">
        <v>3.08</v>
      </c>
      <c r="J50" s="112">
        <v>0.43</v>
      </c>
      <c r="K50" s="112">
        <v>289.39</v>
      </c>
      <c r="L50" s="112">
        <v>26.64</v>
      </c>
      <c r="M50" s="112">
        <v>97.44</v>
      </c>
      <c r="N50" s="112">
        <v>43.4</v>
      </c>
      <c r="O50" s="112">
        <v>0</v>
      </c>
      <c r="P50" s="112">
        <v>0.23</v>
      </c>
      <c r="Q50" s="112">
        <v>4.68</v>
      </c>
    </row>
    <row r="51" spans="1:17" customFormat="1">
      <c r="A51" s="80">
        <v>45504.447916666664</v>
      </c>
      <c r="B51" s="112">
        <v>9.2899999999999991</v>
      </c>
      <c r="C51" s="112">
        <v>4.05</v>
      </c>
      <c r="D51" s="112">
        <v>14.02</v>
      </c>
      <c r="E51" s="112">
        <v>10.42</v>
      </c>
      <c r="F51" s="112">
        <v>4.92</v>
      </c>
      <c r="G51" s="112">
        <v>25.86</v>
      </c>
      <c r="H51" s="112">
        <v>7.67</v>
      </c>
      <c r="I51" s="112">
        <v>3.14</v>
      </c>
      <c r="J51" s="112">
        <v>0.47</v>
      </c>
      <c r="K51" s="112">
        <v>289.26</v>
      </c>
      <c r="L51" s="112">
        <v>26.53</v>
      </c>
      <c r="M51" s="112">
        <v>99.23</v>
      </c>
      <c r="N51" s="112">
        <v>47.5</v>
      </c>
      <c r="O51" s="112">
        <v>0.2</v>
      </c>
      <c r="P51" s="112">
        <v>0.24</v>
      </c>
      <c r="Q51" s="112">
        <v>4.66</v>
      </c>
    </row>
    <row r="52" spans="1:17" customFormat="1">
      <c r="A52" s="80">
        <v>45504.458333333336</v>
      </c>
      <c r="B52" s="112">
        <v>9.2899999999999991</v>
      </c>
      <c r="C52" s="112">
        <v>4.07</v>
      </c>
      <c r="D52" s="112">
        <v>14.03</v>
      </c>
      <c r="E52" s="112">
        <v>10.23</v>
      </c>
      <c r="F52" s="112">
        <v>4.78</v>
      </c>
      <c r="G52" s="112">
        <v>23.98</v>
      </c>
      <c r="H52" s="112">
        <v>6.81</v>
      </c>
      <c r="I52" s="112">
        <v>3.18</v>
      </c>
      <c r="J52" s="112">
        <v>0.56999999999999995</v>
      </c>
      <c r="K52" s="112">
        <v>280.61</v>
      </c>
      <c r="L52" s="112">
        <v>26.54</v>
      </c>
      <c r="M52" s="112">
        <v>100.29</v>
      </c>
      <c r="N52" s="112">
        <v>65.7</v>
      </c>
      <c r="O52" s="112">
        <v>0</v>
      </c>
      <c r="P52" s="112">
        <v>0.24</v>
      </c>
      <c r="Q52" s="112">
        <v>4.66</v>
      </c>
    </row>
    <row r="53" spans="1:17" customFormat="1">
      <c r="A53" s="80">
        <v>45504.46875</v>
      </c>
      <c r="B53" s="112">
        <v>9.3000000000000007</v>
      </c>
      <c r="C53" s="112">
        <v>4.0599999999999996</v>
      </c>
      <c r="D53" s="112">
        <v>14.03</v>
      </c>
      <c r="E53" s="112">
        <v>10.3</v>
      </c>
      <c r="F53" s="112">
        <v>4.1100000000000003</v>
      </c>
      <c r="G53" s="112">
        <v>23.98</v>
      </c>
      <c r="H53" s="112">
        <v>6.81</v>
      </c>
      <c r="I53" s="112">
        <v>3.19</v>
      </c>
      <c r="J53" s="112">
        <v>0.73</v>
      </c>
      <c r="K53" s="112">
        <v>306.67</v>
      </c>
      <c r="L53" s="112">
        <v>26.31</v>
      </c>
      <c r="M53" s="112">
        <v>99.3</v>
      </c>
      <c r="N53" s="112">
        <v>64.900000000000006</v>
      </c>
      <c r="O53" s="112">
        <v>0</v>
      </c>
      <c r="P53" s="112">
        <v>0.25</v>
      </c>
      <c r="Q53" s="112">
        <v>4.6500000000000004</v>
      </c>
    </row>
    <row r="54" spans="1:17" customFormat="1">
      <c r="A54" s="80">
        <v>45504.479166666664</v>
      </c>
      <c r="B54" s="112">
        <v>9.2799999999999994</v>
      </c>
      <c r="C54" s="112">
        <v>4.09</v>
      </c>
      <c r="D54" s="112">
        <v>14.03</v>
      </c>
      <c r="E54" s="112">
        <v>10.24</v>
      </c>
      <c r="F54" s="112">
        <v>3.6</v>
      </c>
      <c r="G54" s="112">
        <v>23.98</v>
      </c>
      <c r="H54" s="112">
        <v>6.81</v>
      </c>
      <c r="I54" s="112">
        <v>3.29</v>
      </c>
      <c r="J54" s="112">
        <v>0.73</v>
      </c>
      <c r="K54" s="112">
        <v>307.81</v>
      </c>
      <c r="L54" s="112">
        <v>26.32</v>
      </c>
      <c r="M54" s="112">
        <v>101.48</v>
      </c>
      <c r="N54" s="112">
        <v>61</v>
      </c>
      <c r="O54" s="112">
        <v>0.2</v>
      </c>
      <c r="P54" s="112">
        <v>0.28000000000000003</v>
      </c>
      <c r="Q54" s="112">
        <v>4.66</v>
      </c>
    </row>
    <row r="55" spans="1:17" customFormat="1">
      <c r="A55" s="80">
        <v>45504.489583333336</v>
      </c>
      <c r="B55" s="112">
        <v>9.2899999999999991</v>
      </c>
      <c r="C55" s="112">
        <v>4.08</v>
      </c>
      <c r="D55" s="112">
        <v>14.03</v>
      </c>
      <c r="E55" s="112">
        <v>10.02</v>
      </c>
      <c r="F55" s="112">
        <v>4.22</v>
      </c>
      <c r="G55" s="112">
        <v>24.67</v>
      </c>
      <c r="H55" s="112">
        <v>9.09</v>
      </c>
      <c r="I55" s="112">
        <v>3.39</v>
      </c>
      <c r="J55" s="112">
        <v>0.75</v>
      </c>
      <c r="K55" s="112">
        <v>300.16000000000003</v>
      </c>
      <c r="L55" s="112">
        <v>26.2</v>
      </c>
      <c r="M55" s="112">
        <v>100.84</v>
      </c>
      <c r="N55" s="112">
        <v>55.3</v>
      </c>
      <c r="O55" s="112">
        <v>1.4</v>
      </c>
      <c r="P55" s="112">
        <v>0.31</v>
      </c>
      <c r="Q55" s="112">
        <v>4.6500000000000004</v>
      </c>
    </row>
    <row r="56" spans="1:17" customFormat="1">
      <c r="A56" s="80">
        <v>45504.5</v>
      </c>
      <c r="B56" s="112">
        <v>9.2899999999999991</v>
      </c>
      <c r="C56" s="112">
        <v>4.08</v>
      </c>
      <c r="D56" s="112">
        <v>14.03</v>
      </c>
      <c r="E56" s="112">
        <v>10.9</v>
      </c>
      <c r="F56" s="112">
        <v>3.39</v>
      </c>
      <c r="G56" s="112">
        <v>25.75</v>
      </c>
      <c r="H56" s="112">
        <v>11.24</v>
      </c>
      <c r="I56" s="112">
        <v>3.75</v>
      </c>
      <c r="J56" s="112">
        <v>0.67</v>
      </c>
      <c r="K56" s="112">
        <v>307.89999999999998</v>
      </c>
      <c r="L56" s="112">
        <v>25.6</v>
      </c>
      <c r="M56" s="112">
        <v>102.9</v>
      </c>
      <c r="N56" s="112">
        <v>58.2</v>
      </c>
      <c r="O56" s="112">
        <v>3.4</v>
      </c>
      <c r="P56" s="112">
        <v>0.3</v>
      </c>
      <c r="Q56" s="112">
        <v>4.67</v>
      </c>
    </row>
    <row r="57" spans="1:17" customFormat="1">
      <c r="A57" s="80">
        <v>45504.510416666664</v>
      </c>
      <c r="B57" s="112">
        <v>9.3000000000000007</v>
      </c>
      <c r="C57" s="112">
        <v>4.07</v>
      </c>
      <c r="D57" s="112">
        <v>14.03</v>
      </c>
      <c r="E57" s="112">
        <v>10.95</v>
      </c>
      <c r="F57" s="112">
        <v>3.44</v>
      </c>
      <c r="G57" s="112">
        <v>25.75</v>
      </c>
      <c r="H57" s="112">
        <v>11.24</v>
      </c>
      <c r="I57" s="112">
        <v>3.93</v>
      </c>
      <c r="J57" s="112">
        <v>0.35</v>
      </c>
      <c r="K57" s="112">
        <v>311.13</v>
      </c>
      <c r="L57" s="112">
        <v>25.85</v>
      </c>
      <c r="M57" s="112">
        <v>104.34</v>
      </c>
      <c r="N57" s="112">
        <v>100.3</v>
      </c>
      <c r="O57" s="112">
        <v>0</v>
      </c>
      <c r="P57" s="112">
        <v>0.32</v>
      </c>
      <c r="Q57" s="112">
        <v>4.66</v>
      </c>
    </row>
    <row r="58" spans="1:17" customFormat="1">
      <c r="A58" s="80">
        <v>45504.520833333336</v>
      </c>
      <c r="B58" s="112">
        <v>9.32</v>
      </c>
      <c r="C58" s="112">
        <v>4.0599999999999996</v>
      </c>
      <c r="D58" s="112">
        <v>14.04</v>
      </c>
      <c r="E58" s="112">
        <v>10.77</v>
      </c>
      <c r="F58" s="112">
        <v>3.56</v>
      </c>
      <c r="G58" s="112">
        <v>25.75</v>
      </c>
      <c r="H58" s="112">
        <v>11.24</v>
      </c>
      <c r="I58" s="112">
        <v>3.94</v>
      </c>
      <c r="J58" s="112">
        <v>0.35</v>
      </c>
      <c r="K58" s="112">
        <v>292.45</v>
      </c>
      <c r="L58" s="112">
        <v>26.22</v>
      </c>
      <c r="M58" s="112">
        <v>104.99</v>
      </c>
      <c r="N58" s="112">
        <v>107.5</v>
      </c>
      <c r="O58" s="112">
        <v>0</v>
      </c>
      <c r="P58" s="112">
        <v>0.33</v>
      </c>
      <c r="Q58" s="112">
        <v>4.66</v>
      </c>
    </row>
    <row r="59" spans="1:17" customFormat="1">
      <c r="A59" s="80">
        <v>45504.53125</v>
      </c>
      <c r="B59" s="112">
        <v>9.31</v>
      </c>
      <c r="C59" s="112">
        <v>4.05</v>
      </c>
      <c r="D59" s="112">
        <v>14.03</v>
      </c>
      <c r="E59" s="112">
        <v>10.6</v>
      </c>
      <c r="F59" s="112">
        <v>3.93</v>
      </c>
      <c r="G59" s="112">
        <v>29.76</v>
      </c>
      <c r="H59" s="112">
        <v>13.63</v>
      </c>
      <c r="I59" s="112">
        <v>4.0199999999999996</v>
      </c>
      <c r="J59" s="112">
        <v>0.57999999999999996</v>
      </c>
      <c r="K59" s="112">
        <v>283.04000000000002</v>
      </c>
      <c r="L59" s="112">
        <v>26.37</v>
      </c>
      <c r="M59" s="112">
        <v>103.66</v>
      </c>
      <c r="N59" s="112">
        <v>103.4</v>
      </c>
      <c r="O59" s="112">
        <v>0</v>
      </c>
      <c r="P59" s="112">
        <v>0.34</v>
      </c>
      <c r="Q59" s="112">
        <v>4.66</v>
      </c>
    </row>
    <row r="60" spans="1:17" customFormat="1">
      <c r="A60" s="80">
        <v>45504.541666666664</v>
      </c>
      <c r="B60" s="112">
        <v>9.3000000000000007</v>
      </c>
      <c r="C60" s="112">
        <v>4.08</v>
      </c>
      <c r="D60" s="112">
        <v>14.04</v>
      </c>
      <c r="E60" s="112">
        <v>10.7</v>
      </c>
      <c r="F60" s="112">
        <v>3.76</v>
      </c>
      <c r="G60" s="112">
        <v>36.06</v>
      </c>
      <c r="H60" s="112">
        <v>15.88</v>
      </c>
      <c r="I60" s="112">
        <v>4.08</v>
      </c>
      <c r="J60" s="112">
        <v>0.36</v>
      </c>
      <c r="K60" s="112">
        <v>272.44</v>
      </c>
      <c r="L60" s="112">
        <v>26.55</v>
      </c>
      <c r="M60" s="112">
        <v>101.19</v>
      </c>
      <c r="N60" s="112">
        <v>116.9</v>
      </c>
      <c r="O60" s="112">
        <v>0</v>
      </c>
      <c r="P60" s="112">
        <v>0.33</v>
      </c>
      <c r="Q60" s="112">
        <v>4.6500000000000004</v>
      </c>
    </row>
    <row r="61" spans="1:17" customFormat="1">
      <c r="A61" s="80">
        <v>45504.552083333336</v>
      </c>
      <c r="B61" s="112">
        <v>9.2899999999999991</v>
      </c>
      <c r="C61" s="112">
        <v>4.08</v>
      </c>
      <c r="D61" s="112">
        <v>14.03</v>
      </c>
      <c r="E61" s="112">
        <v>11.23</v>
      </c>
      <c r="F61" s="112">
        <v>4.29</v>
      </c>
      <c r="G61" s="112">
        <v>36.06</v>
      </c>
      <c r="H61" s="112">
        <v>15.88</v>
      </c>
      <c r="I61" s="112">
        <v>4.1399999999999997</v>
      </c>
      <c r="J61" s="112">
        <v>0.42</v>
      </c>
      <c r="K61" s="112">
        <v>273.25</v>
      </c>
      <c r="L61" s="112">
        <v>26.86</v>
      </c>
      <c r="M61" s="112">
        <v>98.88</v>
      </c>
      <c r="N61" s="112">
        <v>112.4</v>
      </c>
      <c r="O61" s="112">
        <v>0</v>
      </c>
      <c r="P61" s="112">
        <v>0.34</v>
      </c>
      <c r="Q61" s="112">
        <v>4.6500000000000004</v>
      </c>
    </row>
    <row r="62" spans="1:17" customFormat="1">
      <c r="A62" s="80">
        <v>45504.5625</v>
      </c>
      <c r="B62" s="112">
        <v>9.3000000000000007</v>
      </c>
      <c r="C62" s="112">
        <v>4.08</v>
      </c>
      <c r="D62" s="112">
        <v>14.04</v>
      </c>
      <c r="E62" s="112">
        <v>11.09</v>
      </c>
      <c r="F62" s="112">
        <v>4.7300000000000004</v>
      </c>
      <c r="G62" s="112">
        <v>36.06</v>
      </c>
      <c r="H62" s="112">
        <v>15.88</v>
      </c>
      <c r="I62" s="112">
        <v>4.1900000000000004</v>
      </c>
      <c r="J62" s="112">
        <v>0.42</v>
      </c>
      <c r="K62" s="112">
        <v>280.79000000000002</v>
      </c>
      <c r="L62" s="112">
        <v>27.05</v>
      </c>
      <c r="M62" s="112">
        <v>96.75</v>
      </c>
      <c r="N62" s="112">
        <v>100.8</v>
      </c>
      <c r="O62" s="112">
        <v>0</v>
      </c>
      <c r="P62" s="112">
        <v>0.33</v>
      </c>
      <c r="Q62" s="112">
        <v>4.67</v>
      </c>
    </row>
    <row r="63" spans="1:17" customFormat="1">
      <c r="A63" s="80">
        <v>45504.572916666664</v>
      </c>
      <c r="B63" s="112">
        <v>9.2899999999999991</v>
      </c>
      <c r="C63" s="112">
        <v>4.09</v>
      </c>
      <c r="D63" s="112">
        <v>14.04</v>
      </c>
      <c r="E63" s="112">
        <v>11.25</v>
      </c>
      <c r="F63" s="112">
        <v>5.04</v>
      </c>
      <c r="G63" s="112">
        <v>33.78</v>
      </c>
      <c r="H63" s="112">
        <v>15.37</v>
      </c>
      <c r="I63" s="112">
        <v>4.21</v>
      </c>
      <c r="J63" s="112">
        <v>0.43</v>
      </c>
      <c r="K63" s="112">
        <v>276.8</v>
      </c>
      <c r="L63" s="112">
        <v>27.18</v>
      </c>
      <c r="M63" s="112">
        <v>96.46</v>
      </c>
      <c r="N63" s="112">
        <v>117.3</v>
      </c>
      <c r="O63" s="112">
        <v>0</v>
      </c>
      <c r="P63" s="112">
        <v>0.34</v>
      </c>
      <c r="Q63" s="112">
        <v>4.67</v>
      </c>
    </row>
    <row r="64" spans="1:17" customFormat="1">
      <c r="A64" s="80">
        <v>45504.583333333336</v>
      </c>
      <c r="B64" s="112">
        <v>9.2799999999999994</v>
      </c>
      <c r="C64" s="112">
        <v>4.09</v>
      </c>
      <c r="D64" s="112">
        <v>14.03</v>
      </c>
      <c r="E64" s="112">
        <v>11.79</v>
      </c>
      <c r="F64" s="112">
        <v>4.16</v>
      </c>
      <c r="G64" s="112">
        <v>30.19</v>
      </c>
      <c r="H64" s="112">
        <v>14.89</v>
      </c>
      <c r="I64" s="112">
        <v>4.2300000000000004</v>
      </c>
      <c r="J64" s="112">
        <v>0.57999999999999996</v>
      </c>
      <c r="K64" s="112">
        <v>280.23</v>
      </c>
      <c r="L64" s="112">
        <v>27.38</v>
      </c>
      <c r="M64" s="112">
        <v>93.71</v>
      </c>
      <c r="N64" s="112">
        <v>134.19999999999999</v>
      </c>
      <c r="O64" s="112">
        <v>0</v>
      </c>
      <c r="P64" s="112">
        <v>0.37</v>
      </c>
      <c r="Q64" s="112">
        <v>4.66</v>
      </c>
    </row>
    <row r="65" spans="1:17" customFormat="1">
      <c r="A65" s="80">
        <v>45504.59375</v>
      </c>
      <c r="B65" s="112">
        <v>9.2799999999999994</v>
      </c>
      <c r="C65" s="112">
        <v>4.08</v>
      </c>
      <c r="D65" s="112">
        <v>14.02</v>
      </c>
      <c r="E65" s="112">
        <v>12.33</v>
      </c>
      <c r="F65" s="112">
        <v>4.0199999999999996</v>
      </c>
      <c r="G65" s="112">
        <v>30.19</v>
      </c>
      <c r="H65" s="112">
        <v>14.89</v>
      </c>
      <c r="I65" s="112">
        <v>4.1500000000000004</v>
      </c>
      <c r="J65" s="112">
        <v>0.6</v>
      </c>
      <c r="K65" s="112">
        <v>284.32</v>
      </c>
      <c r="L65" s="112">
        <v>27.67</v>
      </c>
      <c r="M65" s="112">
        <v>92.77</v>
      </c>
      <c r="N65" s="112">
        <v>153.80000000000001</v>
      </c>
      <c r="O65" s="112">
        <v>0</v>
      </c>
      <c r="P65" s="112">
        <v>0.43</v>
      </c>
      <c r="Q65" s="112">
        <v>4.6500000000000004</v>
      </c>
    </row>
    <row r="66" spans="1:17" customFormat="1">
      <c r="A66" s="80">
        <v>45504.604166666664</v>
      </c>
      <c r="B66" s="112">
        <v>9.27</v>
      </c>
      <c r="C66" s="112">
        <v>4.0599999999999996</v>
      </c>
      <c r="D66" s="112">
        <v>14.01</v>
      </c>
      <c r="E66" s="112">
        <v>12.17</v>
      </c>
      <c r="F66" s="112">
        <v>5.86</v>
      </c>
      <c r="G66" s="112">
        <v>30.19</v>
      </c>
      <c r="H66" s="112">
        <v>14.89</v>
      </c>
      <c r="I66" s="112">
        <v>4.25</v>
      </c>
      <c r="J66" s="112">
        <v>0.44</v>
      </c>
      <c r="K66" s="112">
        <v>271.35000000000002</v>
      </c>
      <c r="L66" s="112">
        <v>28.14</v>
      </c>
      <c r="M66" s="112">
        <v>92.98</v>
      </c>
      <c r="N66" s="112">
        <v>183.3</v>
      </c>
      <c r="O66" s="112">
        <v>0</v>
      </c>
      <c r="P66" s="112">
        <v>0.47</v>
      </c>
      <c r="Q66" s="112">
        <v>4.66</v>
      </c>
    </row>
    <row r="67" spans="1:17" customFormat="1">
      <c r="A67" s="80">
        <v>45504.614583333336</v>
      </c>
      <c r="B67" s="112">
        <v>9.27</v>
      </c>
      <c r="C67" s="112">
        <v>4.08</v>
      </c>
      <c r="D67" s="112">
        <v>14.01</v>
      </c>
      <c r="E67" s="112">
        <v>13.38</v>
      </c>
      <c r="F67" s="112">
        <v>6.65</v>
      </c>
      <c r="G67" s="112">
        <v>33.92</v>
      </c>
      <c r="H67" s="112">
        <v>15.25</v>
      </c>
      <c r="I67" s="112">
        <v>4.96</v>
      </c>
      <c r="J67" s="112">
        <v>0.82</v>
      </c>
      <c r="K67" s="112">
        <v>283.95999999999998</v>
      </c>
      <c r="L67" s="112">
        <v>28.21</v>
      </c>
      <c r="M67" s="112">
        <v>89.37</v>
      </c>
      <c r="N67" s="112">
        <v>186.5</v>
      </c>
      <c r="O67" s="112">
        <v>0</v>
      </c>
      <c r="P67" s="112">
        <v>0.52</v>
      </c>
      <c r="Q67" s="112">
        <v>4.6500000000000004</v>
      </c>
    </row>
    <row r="68" spans="1:17" customFormat="1">
      <c r="A68" s="80">
        <v>45504.625</v>
      </c>
      <c r="B68" s="112">
        <v>9.27</v>
      </c>
      <c r="C68" s="112">
        <v>4.07</v>
      </c>
      <c r="D68" s="112">
        <v>14.01</v>
      </c>
      <c r="E68" s="112">
        <v>12.74</v>
      </c>
      <c r="F68" s="112">
        <v>7.43</v>
      </c>
      <c r="G68" s="112">
        <v>39.520000000000003</v>
      </c>
      <c r="H68" s="112">
        <v>16.350000000000001</v>
      </c>
      <c r="I68" s="112">
        <v>5.54</v>
      </c>
      <c r="J68" s="112">
        <v>0.76</v>
      </c>
      <c r="K68" s="112">
        <v>281.45</v>
      </c>
      <c r="L68" s="112">
        <v>28.24</v>
      </c>
      <c r="M68" s="112">
        <v>87.75</v>
      </c>
      <c r="N68" s="112">
        <v>177.6</v>
      </c>
      <c r="O68" s="112">
        <v>0</v>
      </c>
      <c r="P68" s="112">
        <v>0.56000000000000005</v>
      </c>
      <c r="Q68" s="112">
        <v>4.67</v>
      </c>
    </row>
    <row r="69" spans="1:17" customFormat="1">
      <c r="A69" s="80">
        <v>45504.635416666664</v>
      </c>
      <c r="B69" s="112">
        <v>9.3000000000000007</v>
      </c>
      <c r="C69" s="112">
        <v>4.05</v>
      </c>
      <c r="D69" s="112">
        <v>14.02</v>
      </c>
      <c r="E69" s="112">
        <v>11.96</v>
      </c>
      <c r="F69" s="112">
        <v>8.0500000000000007</v>
      </c>
      <c r="G69" s="112">
        <v>39.520000000000003</v>
      </c>
      <c r="H69" s="112">
        <v>16.350000000000001</v>
      </c>
      <c r="I69" s="112">
        <v>6.12</v>
      </c>
      <c r="J69" s="112">
        <v>0.75</v>
      </c>
      <c r="K69" s="112">
        <v>284.02</v>
      </c>
      <c r="L69" s="112">
        <v>28.24</v>
      </c>
      <c r="M69" s="112">
        <v>88.45</v>
      </c>
      <c r="N69" s="112">
        <v>147.4</v>
      </c>
      <c r="O69" s="112">
        <v>0</v>
      </c>
      <c r="P69" s="112">
        <v>0.47</v>
      </c>
      <c r="Q69" s="112">
        <v>4.68</v>
      </c>
    </row>
    <row r="70" spans="1:17" customFormat="1">
      <c r="A70" s="80">
        <v>45504.645833333336</v>
      </c>
      <c r="B70" s="112">
        <v>9.31</v>
      </c>
      <c r="C70" s="112">
        <v>4.0599999999999996</v>
      </c>
      <c r="D70" s="112">
        <v>14.04</v>
      </c>
      <c r="E70" s="112">
        <v>10.82</v>
      </c>
      <c r="F70" s="112">
        <v>9.84</v>
      </c>
      <c r="G70" s="112">
        <v>39.520000000000003</v>
      </c>
      <c r="H70" s="112">
        <v>16.350000000000001</v>
      </c>
      <c r="I70" s="112">
        <v>5.96</v>
      </c>
      <c r="J70" s="112">
        <v>0.52</v>
      </c>
      <c r="K70" s="112">
        <v>272.02</v>
      </c>
      <c r="L70" s="112">
        <v>28.19</v>
      </c>
      <c r="M70" s="112">
        <v>90.55</v>
      </c>
      <c r="N70" s="112">
        <v>125.1</v>
      </c>
      <c r="O70" s="112">
        <v>0</v>
      </c>
      <c r="P70" s="112">
        <v>0.44</v>
      </c>
      <c r="Q70" s="112">
        <v>4.67</v>
      </c>
    </row>
    <row r="71" spans="1:17" customFormat="1">
      <c r="A71" s="80">
        <v>45504.65625</v>
      </c>
      <c r="B71" s="112">
        <v>9.2899999999999991</v>
      </c>
      <c r="C71" s="112">
        <v>4.0599999999999996</v>
      </c>
      <c r="D71" s="112">
        <v>14.02</v>
      </c>
      <c r="E71" s="112">
        <v>10.119999999999999</v>
      </c>
      <c r="F71" s="112">
        <v>8.82</v>
      </c>
      <c r="G71" s="112">
        <v>36.51</v>
      </c>
      <c r="H71" s="112">
        <v>14.13</v>
      </c>
      <c r="I71" s="112">
        <v>5.26</v>
      </c>
      <c r="J71" s="112">
        <v>0.55000000000000004</v>
      </c>
      <c r="K71" s="112">
        <v>278.01</v>
      </c>
      <c r="L71" s="112">
        <v>28.2</v>
      </c>
      <c r="M71" s="112">
        <v>89.62</v>
      </c>
      <c r="N71" s="112">
        <v>120.5</v>
      </c>
      <c r="O71" s="112">
        <v>0</v>
      </c>
      <c r="P71" s="112">
        <v>0.44</v>
      </c>
      <c r="Q71" s="112">
        <v>4.67</v>
      </c>
    </row>
    <row r="72" spans="1:17" customFormat="1">
      <c r="A72" s="80">
        <v>45504.666666666664</v>
      </c>
      <c r="B72" s="112">
        <v>9.2799999999999994</v>
      </c>
      <c r="C72" s="112">
        <v>4.0599999999999996</v>
      </c>
      <c r="D72" s="112">
        <v>14.02</v>
      </c>
      <c r="E72" s="112">
        <v>9.9600000000000009</v>
      </c>
      <c r="F72" s="112">
        <v>7.53</v>
      </c>
      <c r="G72" s="112">
        <v>32.01</v>
      </c>
      <c r="H72" s="112">
        <v>12.04</v>
      </c>
      <c r="I72" s="112">
        <v>5.07</v>
      </c>
      <c r="J72" s="112">
        <v>0.43</v>
      </c>
      <c r="K72" s="112">
        <v>270.12</v>
      </c>
      <c r="L72" s="112">
        <v>28.03</v>
      </c>
      <c r="M72" s="112">
        <v>89.22</v>
      </c>
      <c r="N72" s="112">
        <v>102.8</v>
      </c>
      <c r="O72" s="112">
        <v>0</v>
      </c>
      <c r="P72" s="112">
        <v>0.47</v>
      </c>
      <c r="Q72" s="112">
        <v>4.67</v>
      </c>
    </row>
    <row r="73" spans="1:17" customFormat="1">
      <c r="A73" s="80">
        <v>45504.677083333336</v>
      </c>
      <c r="B73" s="112">
        <v>9.3000000000000007</v>
      </c>
      <c r="C73" s="112">
        <v>4.0599999999999996</v>
      </c>
      <c r="D73" s="112">
        <v>14.02</v>
      </c>
      <c r="E73" s="112">
        <v>9.6999999999999993</v>
      </c>
      <c r="F73" s="112">
        <v>6.58</v>
      </c>
      <c r="G73" s="112">
        <v>32.01</v>
      </c>
      <c r="H73" s="112">
        <v>12.04</v>
      </c>
      <c r="I73" s="112">
        <v>5.13</v>
      </c>
      <c r="J73" s="112">
        <v>0.56000000000000005</v>
      </c>
      <c r="K73" s="112">
        <v>279.91000000000003</v>
      </c>
      <c r="L73" s="112">
        <v>27.73</v>
      </c>
      <c r="M73" s="112">
        <v>89.58</v>
      </c>
      <c r="N73" s="112">
        <v>90.7</v>
      </c>
      <c r="O73" s="112">
        <v>0</v>
      </c>
      <c r="P73" s="112">
        <v>0.49</v>
      </c>
      <c r="Q73" s="112">
        <v>4.67</v>
      </c>
    </row>
    <row r="74" spans="1:17" customFormat="1">
      <c r="A74" s="80">
        <v>45504.6875</v>
      </c>
      <c r="B74" s="112">
        <v>9.3000000000000007</v>
      </c>
      <c r="C74" s="112">
        <v>4.05</v>
      </c>
      <c r="D74" s="112">
        <v>14.03</v>
      </c>
      <c r="E74" s="112">
        <v>9.69</v>
      </c>
      <c r="F74" s="112">
        <v>5.81</v>
      </c>
      <c r="G74" s="112">
        <v>32.01</v>
      </c>
      <c r="H74" s="112">
        <v>12.04</v>
      </c>
      <c r="I74" s="112">
        <v>5.51</v>
      </c>
      <c r="J74" s="112">
        <v>0.88</v>
      </c>
      <c r="K74" s="112">
        <v>282.52999999999997</v>
      </c>
      <c r="L74" s="112">
        <v>27.48</v>
      </c>
      <c r="M74" s="112">
        <v>89.44</v>
      </c>
      <c r="N74" s="112">
        <v>84</v>
      </c>
      <c r="O74" s="112">
        <v>0</v>
      </c>
      <c r="P74" s="112">
        <v>0.48</v>
      </c>
      <c r="Q74" s="112">
        <v>4.67</v>
      </c>
    </row>
    <row r="75" spans="1:17" customFormat="1">
      <c r="A75" s="80">
        <v>45504.697916666664</v>
      </c>
      <c r="B75" s="112">
        <v>9.31</v>
      </c>
      <c r="C75" s="112">
        <v>4.04</v>
      </c>
      <c r="D75" s="112">
        <v>14.03</v>
      </c>
      <c r="E75" s="112">
        <v>8.98</v>
      </c>
      <c r="F75" s="112">
        <v>8.32</v>
      </c>
      <c r="G75" s="112">
        <v>34.49</v>
      </c>
      <c r="H75" s="112">
        <v>12.55</v>
      </c>
      <c r="I75" s="112">
        <v>5.79</v>
      </c>
      <c r="J75" s="112">
        <v>0.56000000000000005</v>
      </c>
      <c r="K75" s="112">
        <v>279.02</v>
      </c>
      <c r="L75" s="112">
        <v>27.29</v>
      </c>
      <c r="M75" s="112">
        <v>91.36</v>
      </c>
      <c r="N75" s="112">
        <v>74</v>
      </c>
      <c r="O75" s="112">
        <v>0</v>
      </c>
      <c r="P75" s="112">
        <v>0.45</v>
      </c>
      <c r="Q75" s="112">
        <v>4.67</v>
      </c>
    </row>
    <row r="76" spans="1:17" customFormat="1">
      <c r="A76" s="80">
        <v>45504.708333333336</v>
      </c>
      <c r="B76" s="112">
        <v>9.3000000000000007</v>
      </c>
      <c r="C76" s="112">
        <v>4.07</v>
      </c>
      <c r="D76" s="112">
        <v>14.03</v>
      </c>
      <c r="E76" s="112">
        <v>8.5299999999999994</v>
      </c>
      <c r="F76" s="112">
        <v>6.62</v>
      </c>
      <c r="G76" s="112">
        <v>38.4</v>
      </c>
      <c r="H76" s="112">
        <v>13.02</v>
      </c>
      <c r="I76" s="112">
        <v>5.63</v>
      </c>
      <c r="J76" s="112">
        <v>0.62</v>
      </c>
      <c r="K76" s="112">
        <v>280.55</v>
      </c>
      <c r="L76" s="112">
        <v>27.18</v>
      </c>
      <c r="M76" s="112">
        <v>91.31</v>
      </c>
      <c r="N76" s="112">
        <v>50.5</v>
      </c>
      <c r="O76" s="112">
        <v>0</v>
      </c>
      <c r="P76" s="112">
        <v>0.45</v>
      </c>
      <c r="Q76" s="112">
        <v>4.68</v>
      </c>
    </row>
    <row r="77" spans="1:17" customFormat="1">
      <c r="A77" s="80">
        <v>45504.71875</v>
      </c>
      <c r="B77" s="112">
        <v>9.2899999999999991</v>
      </c>
      <c r="C77" s="112">
        <v>4.07</v>
      </c>
      <c r="D77" s="112">
        <v>14.03</v>
      </c>
      <c r="E77" s="112">
        <v>8.7899999999999991</v>
      </c>
      <c r="F77" s="112">
        <v>7.34</v>
      </c>
      <c r="G77" s="112">
        <v>38.4</v>
      </c>
      <c r="H77" s="112">
        <v>13.02</v>
      </c>
      <c r="I77" s="112">
        <v>5.25</v>
      </c>
      <c r="J77" s="112">
        <v>0.61</v>
      </c>
      <c r="K77" s="112">
        <v>278.19</v>
      </c>
      <c r="L77" s="112">
        <v>27.06</v>
      </c>
      <c r="M77" s="112">
        <v>91.9</v>
      </c>
      <c r="N77" s="112">
        <v>35.700000000000003</v>
      </c>
      <c r="O77" s="112">
        <v>0</v>
      </c>
      <c r="P77" s="112">
        <v>0.44</v>
      </c>
      <c r="Q77" s="112">
        <v>4.68</v>
      </c>
    </row>
    <row r="78" spans="1:17" customFormat="1">
      <c r="A78" s="80">
        <v>45504.729166666664</v>
      </c>
      <c r="B78" s="112">
        <v>9.2899999999999991</v>
      </c>
      <c r="C78" s="112">
        <v>4.08</v>
      </c>
      <c r="D78" s="112">
        <v>14.03</v>
      </c>
      <c r="E78" s="112">
        <v>8.27</v>
      </c>
      <c r="F78" s="112">
        <v>7.01</v>
      </c>
      <c r="G78" s="112">
        <v>38.4</v>
      </c>
      <c r="H78" s="112">
        <v>13.02</v>
      </c>
      <c r="I78" s="112">
        <v>5.22</v>
      </c>
      <c r="J78" s="112">
        <v>0.54</v>
      </c>
      <c r="K78" s="112">
        <v>273.89999999999998</v>
      </c>
      <c r="L78" s="112">
        <v>26.91</v>
      </c>
      <c r="M78" s="112">
        <v>92.7</v>
      </c>
      <c r="N78" s="112">
        <v>22.4</v>
      </c>
      <c r="O78" s="112">
        <v>0</v>
      </c>
      <c r="P78" s="112">
        <v>0.44</v>
      </c>
      <c r="Q78" s="112">
        <v>4.67</v>
      </c>
    </row>
    <row r="79" spans="1:17" customFormat="1">
      <c r="A79" s="80">
        <v>45504.739583333336</v>
      </c>
      <c r="B79" s="112">
        <v>9.3000000000000007</v>
      </c>
      <c r="C79" s="112">
        <v>4.0999999999999996</v>
      </c>
      <c r="D79" s="112">
        <v>14.05</v>
      </c>
      <c r="E79" s="112">
        <v>8.39</v>
      </c>
      <c r="F79" s="112">
        <v>8.3800000000000008</v>
      </c>
      <c r="G79" s="112">
        <v>34.229999999999997</v>
      </c>
      <c r="H79" s="112">
        <v>11.42</v>
      </c>
      <c r="I79" s="112">
        <v>5.18</v>
      </c>
      <c r="J79" s="112">
        <v>0.43</v>
      </c>
      <c r="K79" s="112">
        <v>277.58</v>
      </c>
      <c r="L79" s="112">
        <v>26.92</v>
      </c>
      <c r="M79" s="112">
        <v>92.51</v>
      </c>
      <c r="N79" s="112">
        <v>19.7</v>
      </c>
      <c r="O79" s="112">
        <v>0</v>
      </c>
      <c r="P79" s="112">
        <v>0.43</v>
      </c>
      <c r="Q79" s="112">
        <v>4.67</v>
      </c>
    </row>
    <row r="80" spans="1:17" customFormat="1">
      <c r="A80" s="80">
        <v>45504.75</v>
      </c>
      <c r="B80" s="112">
        <v>9.3000000000000007</v>
      </c>
      <c r="C80" s="112">
        <v>4.09</v>
      </c>
      <c r="D80" s="112">
        <v>14.05</v>
      </c>
      <c r="E80" s="112">
        <v>8.06</v>
      </c>
      <c r="F80" s="112">
        <v>7.22</v>
      </c>
      <c r="G80" s="112">
        <v>27.67</v>
      </c>
      <c r="H80" s="112">
        <v>9.99</v>
      </c>
      <c r="I80" s="112">
        <v>5.05</v>
      </c>
      <c r="J80" s="112">
        <v>0.43</v>
      </c>
      <c r="K80" s="112">
        <v>276.92</v>
      </c>
      <c r="L80" s="112">
        <v>26.81</v>
      </c>
      <c r="M80" s="112">
        <v>93.34</v>
      </c>
      <c r="N80" s="112">
        <v>14.7</v>
      </c>
      <c r="O80" s="112">
        <v>0</v>
      </c>
      <c r="P80" s="112">
        <v>0.42</v>
      </c>
      <c r="Q80" s="112">
        <v>4.66</v>
      </c>
    </row>
    <row r="81" spans="1:17" customFormat="1">
      <c r="A81" s="80">
        <v>45504.760416666664</v>
      </c>
      <c r="B81" s="112">
        <v>9.31</v>
      </c>
      <c r="C81" s="112">
        <v>4.0599999999999996</v>
      </c>
      <c r="D81" s="112">
        <v>14.04</v>
      </c>
      <c r="E81" s="112">
        <v>8.49</v>
      </c>
      <c r="F81" s="112">
        <v>8.23</v>
      </c>
      <c r="G81" s="112">
        <v>27.67</v>
      </c>
      <c r="H81" s="112">
        <v>9.99</v>
      </c>
      <c r="I81" s="112">
        <v>4.87</v>
      </c>
      <c r="J81" s="112">
        <v>0.37</v>
      </c>
      <c r="K81" s="112">
        <v>277.11</v>
      </c>
      <c r="L81" s="112">
        <v>26.73</v>
      </c>
      <c r="M81" s="112">
        <v>93.81</v>
      </c>
      <c r="N81" s="112">
        <v>9.5</v>
      </c>
      <c r="O81" s="112">
        <v>0</v>
      </c>
      <c r="P81" s="112">
        <v>0.41</v>
      </c>
      <c r="Q81" s="112">
        <v>4.67</v>
      </c>
    </row>
    <row r="82" spans="1:17" customFormat="1">
      <c r="A82" s="80">
        <v>45504.770833333336</v>
      </c>
      <c r="B82" s="112">
        <v>9.32</v>
      </c>
      <c r="C82" s="112">
        <v>4.0599999999999996</v>
      </c>
      <c r="D82" s="112">
        <v>14.05</v>
      </c>
      <c r="E82" s="112">
        <v>10.16</v>
      </c>
      <c r="F82" s="112">
        <v>7.65</v>
      </c>
      <c r="G82" s="112">
        <v>27.67</v>
      </c>
      <c r="H82" s="112">
        <v>9.99</v>
      </c>
      <c r="I82" s="112">
        <v>4.8499999999999996</v>
      </c>
      <c r="J82" s="112">
        <v>0.43</v>
      </c>
      <c r="K82" s="112">
        <v>275.75</v>
      </c>
      <c r="L82" s="112">
        <v>26.7</v>
      </c>
      <c r="M82" s="112">
        <v>94.29</v>
      </c>
      <c r="N82" s="112">
        <v>4.0999999999999996</v>
      </c>
      <c r="O82" s="112">
        <v>0</v>
      </c>
      <c r="P82" s="112">
        <v>0.41</v>
      </c>
      <c r="Q82" s="112">
        <v>4.67</v>
      </c>
    </row>
    <row r="83" spans="1:17" customFormat="1">
      <c r="A83" s="80">
        <v>45504.78125</v>
      </c>
      <c r="B83" s="112">
        <v>9.33</v>
      </c>
      <c r="C83" s="112">
        <v>4.07</v>
      </c>
      <c r="D83" s="112">
        <v>14.06</v>
      </c>
      <c r="E83" s="112">
        <v>10.19</v>
      </c>
      <c r="F83" s="112">
        <v>8.36</v>
      </c>
      <c r="G83" s="112">
        <v>28.31</v>
      </c>
      <c r="H83" s="112">
        <v>10.37</v>
      </c>
      <c r="I83" s="112">
        <v>4.66</v>
      </c>
      <c r="J83" s="112">
        <v>0.26</v>
      </c>
      <c r="K83" s="112">
        <v>267.64999999999998</v>
      </c>
      <c r="L83" s="112">
        <v>26.61</v>
      </c>
      <c r="M83" s="112">
        <v>95.71</v>
      </c>
      <c r="N83" s="112">
        <v>2.5</v>
      </c>
      <c r="O83" s="112">
        <v>0</v>
      </c>
      <c r="P83" s="112">
        <v>0.37</v>
      </c>
      <c r="Q83" s="112">
        <v>4.67</v>
      </c>
    </row>
    <row r="84" spans="1:17" customFormat="1">
      <c r="A84" s="80">
        <v>45504.791666666664</v>
      </c>
      <c r="B84" s="112">
        <v>9.32</v>
      </c>
      <c r="C84" s="112">
        <v>4.08</v>
      </c>
      <c r="D84" s="112">
        <v>14.06</v>
      </c>
      <c r="E84" s="112">
        <v>10.28</v>
      </c>
      <c r="F84" s="112">
        <v>7.07</v>
      </c>
      <c r="G84" s="112">
        <v>29.27</v>
      </c>
      <c r="H84" s="112">
        <v>10.71</v>
      </c>
      <c r="I84" s="112">
        <v>4.6399999999999997</v>
      </c>
      <c r="J84" s="112">
        <v>0.28999999999999998</v>
      </c>
      <c r="K84" s="112">
        <v>269.81</v>
      </c>
      <c r="L84" s="112">
        <v>26.7</v>
      </c>
      <c r="M84" s="112">
        <v>95.28</v>
      </c>
      <c r="N84" s="112">
        <v>2.1</v>
      </c>
      <c r="O84" s="112">
        <v>0</v>
      </c>
      <c r="P84" s="112">
        <v>0.36</v>
      </c>
      <c r="Q84" s="112">
        <v>4.68</v>
      </c>
    </row>
    <row r="85" spans="1:17" customFormat="1">
      <c r="A85" s="80">
        <v>45504.802083333336</v>
      </c>
      <c r="B85" s="112">
        <v>9.3000000000000007</v>
      </c>
      <c r="C85" s="112">
        <v>4.1100000000000003</v>
      </c>
      <c r="D85" s="112">
        <v>14.06</v>
      </c>
      <c r="E85" s="112">
        <v>10.67</v>
      </c>
      <c r="F85" s="112">
        <v>7.27</v>
      </c>
      <c r="G85" s="112">
        <v>29.27</v>
      </c>
      <c r="H85" s="112">
        <v>10.71</v>
      </c>
      <c r="I85" s="112">
        <v>4.63</v>
      </c>
      <c r="J85" s="112">
        <v>0.26</v>
      </c>
      <c r="K85" s="112">
        <v>269.39999999999998</v>
      </c>
      <c r="L85" s="112">
        <v>26.7</v>
      </c>
      <c r="M85" s="112">
        <v>95.28</v>
      </c>
      <c r="N85" s="112">
        <v>2.1</v>
      </c>
      <c r="O85" s="112">
        <v>0</v>
      </c>
      <c r="P85" s="112">
        <v>0.34</v>
      </c>
      <c r="Q85" s="112">
        <v>4.66</v>
      </c>
    </row>
    <row r="86" spans="1:17" customFormat="1">
      <c r="A86" s="80">
        <v>45504.8125</v>
      </c>
      <c r="B86" s="112">
        <v>9.3000000000000007</v>
      </c>
      <c r="C86" s="112">
        <v>4.09</v>
      </c>
      <c r="D86" s="112">
        <v>14.05</v>
      </c>
      <c r="E86" s="112">
        <v>10.6</v>
      </c>
      <c r="F86" s="112">
        <v>7.46</v>
      </c>
      <c r="G86" s="112">
        <v>29.27</v>
      </c>
      <c r="H86" s="112">
        <v>10.71</v>
      </c>
      <c r="I86" s="112">
        <v>4.67</v>
      </c>
      <c r="J86" s="112">
        <v>0.23</v>
      </c>
      <c r="K86" s="112">
        <v>284.07</v>
      </c>
      <c r="L86" s="112">
        <v>26.72</v>
      </c>
      <c r="M86" s="112">
        <v>95.27</v>
      </c>
      <c r="N86" s="112">
        <v>2.1</v>
      </c>
      <c r="O86" s="112">
        <v>0</v>
      </c>
      <c r="P86" s="112">
        <v>0.34</v>
      </c>
      <c r="Q86" s="112">
        <v>4.67</v>
      </c>
    </row>
    <row r="87" spans="1:17" customFormat="1">
      <c r="A87" s="80">
        <v>45504.822916666664</v>
      </c>
      <c r="B87" s="112">
        <v>9.3000000000000007</v>
      </c>
      <c r="C87" s="112">
        <v>4.09</v>
      </c>
      <c r="D87" s="112">
        <v>14.04</v>
      </c>
      <c r="E87" s="112">
        <v>10.61</v>
      </c>
      <c r="F87" s="112">
        <v>6.19</v>
      </c>
      <c r="G87" s="112">
        <v>29.48</v>
      </c>
      <c r="H87" s="112">
        <v>12.58</v>
      </c>
      <c r="I87" s="112">
        <v>4.6100000000000003</v>
      </c>
      <c r="J87" s="112">
        <v>0.37</v>
      </c>
      <c r="K87" s="112">
        <v>279.95999999999998</v>
      </c>
      <c r="L87" s="112">
        <v>26.76</v>
      </c>
      <c r="M87" s="112">
        <v>94.84</v>
      </c>
      <c r="N87" s="112">
        <v>2.2000000000000002</v>
      </c>
      <c r="O87" s="112">
        <v>0</v>
      </c>
      <c r="P87" s="112">
        <v>0.35</v>
      </c>
      <c r="Q87" s="112">
        <v>4.67</v>
      </c>
    </row>
    <row r="88" spans="1:17" customFormat="1">
      <c r="A88" s="80">
        <v>45504.833333333336</v>
      </c>
      <c r="B88" s="112">
        <v>9.31</v>
      </c>
      <c r="C88" s="112">
        <v>4.0599999999999996</v>
      </c>
      <c r="D88" s="112">
        <v>14.04</v>
      </c>
      <c r="E88" s="112">
        <v>11.13</v>
      </c>
      <c r="F88" s="112">
        <v>5.09</v>
      </c>
      <c r="G88" s="112">
        <v>29.8</v>
      </c>
      <c r="H88" s="112">
        <v>14.28</v>
      </c>
      <c r="I88" s="112">
        <v>4.46</v>
      </c>
      <c r="J88" s="112">
        <v>0.75</v>
      </c>
      <c r="K88" s="112">
        <v>309.01</v>
      </c>
      <c r="L88" s="112">
        <v>26.41</v>
      </c>
      <c r="M88" s="112">
        <v>96.98</v>
      </c>
      <c r="N88" s="112">
        <v>3.6</v>
      </c>
      <c r="O88" s="112">
        <v>3.2</v>
      </c>
      <c r="P88" s="112">
        <v>0.37</v>
      </c>
      <c r="Q88" s="112">
        <v>4.67</v>
      </c>
    </row>
    <row r="89" spans="1:17" customFormat="1">
      <c r="A89" s="80">
        <v>45504.84375</v>
      </c>
      <c r="B89" s="112">
        <v>9.3000000000000007</v>
      </c>
      <c r="C89" s="112">
        <v>4.07</v>
      </c>
      <c r="D89" s="112">
        <v>14.03</v>
      </c>
      <c r="E89" s="112">
        <v>10.89</v>
      </c>
      <c r="F89" s="112">
        <v>4.0999999999999996</v>
      </c>
      <c r="G89" s="112">
        <v>29.8</v>
      </c>
      <c r="H89" s="112">
        <v>14.28</v>
      </c>
      <c r="I89" s="112">
        <v>4.54</v>
      </c>
      <c r="J89" s="112">
        <v>1.29</v>
      </c>
      <c r="K89" s="112">
        <v>311.64</v>
      </c>
      <c r="L89" s="112">
        <v>25.29</v>
      </c>
      <c r="M89" s="112">
        <v>101.49</v>
      </c>
      <c r="N89" s="112">
        <v>3.5</v>
      </c>
      <c r="O89" s="112">
        <v>8.4</v>
      </c>
      <c r="P89" s="112">
        <v>0.36</v>
      </c>
      <c r="Q89" s="112">
        <v>4.6500000000000004</v>
      </c>
    </row>
    <row r="90" spans="1:17" customFormat="1">
      <c r="A90" s="80">
        <v>45504.854166666664</v>
      </c>
      <c r="B90" s="112">
        <v>9.3000000000000007</v>
      </c>
      <c r="C90" s="112">
        <v>4.07</v>
      </c>
      <c r="D90" s="112">
        <v>14.04</v>
      </c>
      <c r="E90" s="112">
        <v>11.62</v>
      </c>
      <c r="F90" s="112">
        <v>3.2</v>
      </c>
      <c r="G90" s="112">
        <v>29.8</v>
      </c>
      <c r="H90" s="112">
        <v>14.28</v>
      </c>
      <c r="I90" s="112">
        <v>4.67</v>
      </c>
      <c r="J90" s="112">
        <v>0.79</v>
      </c>
      <c r="K90" s="112">
        <v>308.44</v>
      </c>
      <c r="L90" s="112">
        <v>25.16</v>
      </c>
      <c r="M90" s="112">
        <v>102.69</v>
      </c>
      <c r="N90" s="112">
        <v>2.6</v>
      </c>
      <c r="O90" s="112">
        <v>1.8</v>
      </c>
      <c r="P90" s="112">
        <v>0.37</v>
      </c>
      <c r="Q90" s="112">
        <v>4.67</v>
      </c>
    </row>
    <row r="91" spans="1:17" customFormat="1">
      <c r="A91" s="80">
        <v>45504.864583333336</v>
      </c>
      <c r="B91" s="112">
        <v>9.32</v>
      </c>
      <c r="C91" s="112">
        <v>4.04</v>
      </c>
      <c r="D91" s="112">
        <v>14.04</v>
      </c>
      <c r="E91" s="112">
        <v>11.76</v>
      </c>
      <c r="F91" s="112">
        <v>3.68</v>
      </c>
      <c r="G91" s="112">
        <v>30.82</v>
      </c>
      <c r="H91" s="112">
        <v>14.18</v>
      </c>
      <c r="I91" s="112">
        <v>4.6900000000000004</v>
      </c>
      <c r="J91" s="112">
        <v>0.78</v>
      </c>
      <c r="K91" s="112">
        <v>300.16000000000003</v>
      </c>
      <c r="L91" s="112">
        <v>24.97</v>
      </c>
      <c r="M91" s="112">
        <v>103.13</v>
      </c>
      <c r="N91" s="112">
        <v>2.6</v>
      </c>
      <c r="O91" s="112">
        <v>1</v>
      </c>
      <c r="P91" s="112">
        <v>0.38</v>
      </c>
      <c r="Q91" s="112">
        <v>4.68</v>
      </c>
    </row>
    <row r="92" spans="1:17" customFormat="1">
      <c r="A92" s="80">
        <v>45504.875</v>
      </c>
      <c r="B92" s="112">
        <v>9.32</v>
      </c>
      <c r="C92" s="112">
        <v>4.08</v>
      </c>
      <c r="D92" s="112">
        <v>14.06</v>
      </c>
      <c r="E92" s="112">
        <v>11.37</v>
      </c>
      <c r="F92" s="112">
        <v>4.01</v>
      </c>
      <c r="G92" s="112">
        <v>32.35</v>
      </c>
      <c r="H92" s="112">
        <v>13.88</v>
      </c>
      <c r="I92" s="112">
        <v>4.75</v>
      </c>
      <c r="J92" s="112">
        <v>0.81</v>
      </c>
      <c r="K92" s="112">
        <v>288.63</v>
      </c>
      <c r="L92" s="112">
        <v>24.9</v>
      </c>
      <c r="M92" s="112">
        <v>103.3</v>
      </c>
      <c r="N92" s="112">
        <v>3</v>
      </c>
      <c r="O92" s="112">
        <v>1.2</v>
      </c>
      <c r="P92" s="112">
        <v>0.39</v>
      </c>
      <c r="Q92" s="112">
        <v>4.6500000000000004</v>
      </c>
    </row>
    <row r="93" spans="1:17" customFormat="1">
      <c r="A93" s="80">
        <v>45504.885416666664</v>
      </c>
      <c r="B93" s="112">
        <v>9.36</v>
      </c>
      <c r="C93" s="112">
        <v>4.05</v>
      </c>
      <c r="D93" s="112">
        <v>14.08</v>
      </c>
      <c r="E93" s="112">
        <v>11.86</v>
      </c>
      <c r="F93" s="112">
        <v>3.72</v>
      </c>
      <c r="G93" s="112">
        <v>32.35</v>
      </c>
      <c r="H93" s="112">
        <v>13.88</v>
      </c>
      <c r="I93" s="112">
        <v>4.79</v>
      </c>
      <c r="J93" s="112">
        <v>0.53</v>
      </c>
      <c r="K93" s="112">
        <v>288.93</v>
      </c>
      <c r="L93" s="112">
        <v>24.54</v>
      </c>
      <c r="M93" s="112">
        <v>103.34</v>
      </c>
      <c r="N93" s="112">
        <v>2.7</v>
      </c>
      <c r="O93" s="112">
        <v>2</v>
      </c>
      <c r="P93" s="112">
        <v>0.38</v>
      </c>
      <c r="Q93" s="112">
        <v>4.66</v>
      </c>
    </row>
    <row r="94" spans="1:17" customFormat="1">
      <c r="A94" s="80">
        <v>45504.895833333336</v>
      </c>
      <c r="B94" s="112">
        <v>9.3699999999999992</v>
      </c>
      <c r="C94" s="112">
        <v>4.0599999999999996</v>
      </c>
      <c r="D94" s="112">
        <v>14.08</v>
      </c>
      <c r="E94" s="112">
        <v>12.19</v>
      </c>
      <c r="F94" s="112">
        <v>3.71</v>
      </c>
      <c r="G94" s="112">
        <v>32.35</v>
      </c>
      <c r="H94" s="112">
        <v>13.88</v>
      </c>
      <c r="I94" s="112">
        <v>4.82</v>
      </c>
      <c r="J94" s="112">
        <v>0.27</v>
      </c>
      <c r="K94" s="112">
        <v>270.85000000000002</v>
      </c>
      <c r="L94" s="112">
        <v>24.69</v>
      </c>
      <c r="M94" s="112">
        <v>103.32</v>
      </c>
      <c r="N94" s="112">
        <v>2.2999999999999998</v>
      </c>
      <c r="O94" s="112">
        <v>2.8</v>
      </c>
      <c r="P94" s="112">
        <v>0.39</v>
      </c>
      <c r="Q94" s="112">
        <v>4.67</v>
      </c>
    </row>
    <row r="95" spans="1:17" customFormat="1">
      <c r="A95" s="80">
        <v>45504.90625</v>
      </c>
      <c r="B95" s="112">
        <v>9.35</v>
      </c>
      <c r="C95" s="112">
        <v>4.08</v>
      </c>
      <c r="D95" s="112">
        <v>14.08</v>
      </c>
      <c r="E95" s="112">
        <v>12.34</v>
      </c>
      <c r="F95" s="112">
        <v>4.03</v>
      </c>
      <c r="G95" s="112">
        <v>28.92</v>
      </c>
      <c r="H95" s="112">
        <v>14.95</v>
      </c>
      <c r="I95" s="112">
        <v>4.78</v>
      </c>
      <c r="J95" s="112">
        <v>0.28000000000000003</v>
      </c>
      <c r="K95" s="112">
        <v>271.72000000000003</v>
      </c>
      <c r="L95" s="112">
        <v>24.62</v>
      </c>
      <c r="M95" s="112">
        <v>103.33</v>
      </c>
      <c r="N95" s="112">
        <v>2.4</v>
      </c>
      <c r="O95" s="112">
        <v>2</v>
      </c>
      <c r="P95" s="112">
        <v>0.39</v>
      </c>
      <c r="Q95" s="112">
        <v>4.66</v>
      </c>
    </row>
    <row r="96" spans="1:17" customFormat="1">
      <c r="A96" s="80">
        <v>45504.916666666664</v>
      </c>
      <c r="B96" s="112">
        <v>9.3699999999999992</v>
      </c>
      <c r="C96" s="112">
        <v>4.08</v>
      </c>
      <c r="D96" s="112">
        <v>14.1</v>
      </c>
      <c r="E96" s="112">
        <v>12.31</v>
      </c>
      <c r="F96" s="112">
        <v>3.69</v>
      </c>
      <c r="G96" s="112">
        <v>23.76</v>
      </c>
      <c r="H96" s="112">
        <v>15.93</v>
      </c>
      <c r="I96" s="112">
        <v>4.72</v>
      </c>
      <c r="J96" s="112">
        <v>0.2</v>
      </c>
      <c r="K96" s="112">
        <v>259.97000000000003</v>
      </c>
      <c r="L96" s="112">
        <v>24.71</v>
      </c>
      <c r="M96" s="112">
        <v>103.51</v>
      </c>
      <c r="N96" s="112">
        <v>2.2000000000000002</v>
      </c>
      <c r="O96" s="112">
        <v>0.8</v>
      </c>
      <c r="P96" s="112">
        <v>0.38</v>
      </c>
      <c r="Q96" s="112">
        <v>4.68</v>
      </c>
    </row>
    <row r="97" spans="1:22" customFormat="1">
      <c r="A97" s="80">
        <v>45504.927083333336</v>
      </c>
      <c r="B97" s="112">
        <v>9.3699999999999992</v>
      </c>
      <c r="C97" s="112">
        <v>4.07</v>
      </c>
      <c r="D97" s="112">
        <v>14.09</v>
      </c>
      <c r="E97" s="112">
        <v>12.38</v>
      </c>
      <c r="F97" s="112">
        <v>3.76</v>
      </c>
      <c r="G97" s="112">
        <v>23.76</v>
      </c>
      <c r="H97" s="112">
        <v>15.93</v>
      </c>
      <c r="I97" s="112">
        <v>4.6500000000000004</v>
      </c>
      <c r="J97" s="112">
        <v>0.28000000000000003</v>
      </c>
      <c r="K97" s="112">
        <v>260.3</v>
      </c>
      <c r="L97" s="112">
        <v>24.75</v>
      </c>
      <c r="M97" s="112">
        <v>103.59</v>
      </c>
      <c r="N97" s="112">
        <v>2.2000000000000002</v>
      </c>
      <c r="O97" s="112">
        <v>1.6</v>
      </c>
      <c r="P97" s="112">
        <v>0.37</v>
      </c>
      <c r="Q97" s="112">
        <v>4.67</v>
      </c>
    </row>
    <row r="98" spans="1:22" customFormat="1">
      <c r="A98" s="80">
        <v>45504.9375</v>
      </c>
      <c r="B98" s="112">
        <v>9.3699999999999992</v>
      </c>
      <c r="C98" s="112">
        <v>4.09</v>
      </c>
      <c r="D98" s="112">
        <v>14.1</v>
      </c>
      <c r="E98" s="112">
        <v>12.55</v>
      </c>
      <c r="F98" s="112">
        <v>3.61</v>
      </c>
      <c r="G98" s="112">
        <v>23.76</v>
      </c>
      <c r="H98" s="112">
        <v>15.93</v>
      </c>
      <c r="I98" s="112">
        <v>4.6500000000000004</v>
      </c>
      <c r="J98" s="112">
        <v>0.5</v>
      </c>
      <c r="K98" s="112">
        <v>275.69</v>
      </c>
      <c r="L98" s="112">
        <v>24.84</v>
      </c>
      <c r="M98" s="112">
        <v>103.46</v>
      </c>
      <c r="N98" s="112">
        <v>2.4</v>
      </c>
      <c r="O98" s="112">
        <v>1</v>
      </c>
      <c r="P98" s="112">
        <v>0.37</v>
      </c>
      <c r="Q98" s="112">
        <v>4.67</v>
      </c>
    </row>
    <row r="99" spans="1:22" customFormat="1">
      <c r="A99" s="80">
        <v>45504.947916666664</v>
      </c>
      <c r="B99" s="112">
        <v>9.3699999999999992</v>
      </c>
      <c r="C99" s="112">
        <v>4.07</v>
      </c>
      <c r="D99" s="112">
        <v>14.09</v>
      </c>
      <c r="E99" s="112">
        <v>12.5</v>
      </c>
      <c r="F99" s="112">
        <v>3.55</v>
      </c>
      <c r="G99" s="112">
        <v>21.66</v>
      </c>
      <c r="H99" s="112">
        <v>13.7</v>
      </c>
      <c r="I99" s="112">
        <v>4.63</v>
      </c>
      <c r="J99" s="112">
        <v>0.12</v>
      </c>
      <c r="K99" s="112">
        <v>288.81</v>
      </c>
      <c r="L99" s="112">
        <v>24.92</v>
      </c>
      <c r="M99" s="112">
        <v>103.2</v>
      </c>
      <c r="N99" s="112">
        <v>2.2000000000000002</v>
      </c>
      <c r="O99" s="112">
        <v>0.2</v>
      </c>
      <c r="P99" s="112">
        <v>0.38</v>
      </c>
      <c r="Q99" s="112">
        <v>4.67</v>
      </c>
    </row>
    <row r="100" spans="1:22" customFormat="1">
      <c r="A100" s="80">
        <v>45504.958333333336</v>
      </c>
      <c r="B100" s="112">
        <v>9.3699999999999992</v>
      </c>
      <c r="C100" s="112">
        <v>4.07</v>
      </c>
      <c r="D100" s="112">
        <v>14.09</v>
      </c>
      <c r="E100" s="112">
        <v>12.57</v>
      </c>
      <c r="F100" s="112">
        <v>3.28</v>
      </c>
      <c r="G100" s="112">
        <v>18.5</v>
      </c>
      <c r="H100" s="112">
        <v>11.66</v>
      </c>
      <c r="I100" s="112">
        <v>4.58</v>
      </c>
      <c r="J100" s="112">
        <v>0.19</v>
      </c>
      <c r="K100" s="112">
        <v>263.14</v>
      </c>
      <c r="L100" s="112">
        <v>25.03</v>
      </c>
      <c r="M100" s="112">
        <v>103.34</v>
      </c>
      <c r="N100" s="112">
        <v>2.2000000000000002</v>
      </c>
      <c r="O100" s="112">
        <v>0.2</v>
      </c>
      <c r="P100" s="112">
        <v>0.38</v>
      </c>
      <c r="Q100" s="112">
        <v>4.67</v>
      </c>
    </row>
    <row r="101" spans="1:22" customFormat="1">
      <c r="A101" s="80">
        <v>45504.96875</v>
      </c>
      <c r="B101" s="112">
        <v>9.3699999999999992</v>
      </c>
      <c r="C101" s="112">
        <v>4.0599999999999996</v>
      </c>
      <c r="D101" s="112">
        <v>14.08</v>
      </c>
      <c r="E101" s="112">
        <v>12.84</v>
      </c>
      <c r="F101" s="112">
        <v>3.16</v>
      </c>
      <c r="G101" s="112">
        <v>18.5</v>
      </c>
      <c r="H101" s="112">
        <v>11.66</v>
      </c>
      <c r="I101" s="112">
        <v>4.59</v>
      </c>
      <c r="J101" s="112">
        <v>0.47</v>
      </c>
      <c r="K101" s="112">
        <v>278.24</v>
      </c>
      <c r="L101" s="112">
        <v>25.03</v>
      </c>
      <c r="M101" s="112">
        <v>103.24</v>
      </c>
      <c r="N101" s="112">
        <v>2.4</v>
      </c>
      <c r="O101" s="112">
        <v>0</v>
      </c>
      <c r="P101" s="112">
        <v>0.37</v>
      </c>
      <c r="Q101" s="112">
        <v>4.67</v>
      </c>
    </row>
    <row r="102" spans="1:22" customFormat="1">
      <c r="A102" s="80">
        <v>45504.979166666664</v>
      </c>
      <c r="B102" s="112">
        <v>9.3699999999999992</v>
      </c>
      <c r="C102" s="112">
        <v>4.07</v>
      </c>
      <c r="D102" s="112">
        <v>14.09</v>
      </c>
      <c r="E102" s="112">
        <v>13.23</v>
      </c>
      <c r="F102" s="112">
        <v>2.9</v>
      </c>
      <c r="G102" s="112">
        <v>18.5</v>
      </c>
      <c r="H102" s="112">
        <v>11.66</v>
      </c>
      <c r="I102" s="112">
        <v>4.5999999999999996</v>
      </c>
      <c r="J102" s="112">
        <v>0.43</v>
      </c>
      <c r="K102" s="112">
        <v>277.72000000000003</v>
      </c>
      <c r="L102" s="112">
        <v>25.07</v>
      </c>
      <c r="M102" s="112">
        <v>103.16</v>
      </c>
      <c r="N102" s="112">
        <v>2.4</v>
      </c>
      <c r="O102" s="112">
        <v>0</v>
      </c>
      <c r="P102" s="112">
        <v>0.38</v>
      </c>
      <c r="Q102" s="112">
        <v>4.6500000000000004</v>
      </c>
    </row>
    <row r="103" spans="1:22" customFormat="1">
      <c r="A103" s="80">
        <v>45504.989583333336</v>
      </c>
      <c r="B103" s="112">
        <v>9.3699999999999992</v>
      </c>
      <c r="C103" s="112">
        <v>4.07</v>
      </c>
      <c r="D103" s="112">
        <v>14.09</v>
      </c>
      <c r="E103" s="112">
        <v>12.92</v>
      </c>
      <c r="F103" s="112">
        <v>4.6399999999999997</v>
      </c>
      <c r="G103" s="112">
        <v>19.010000000000002</v>
      </c>
      <c r="H103" s="112">
        <v>10.96</v>
      </c>
      <c r="I103" s="112">
        <v>4.5599999999999996</v>
      </c>
      <c r="J103" s="112">
        <v>0.09</v>
      </c>
      <c r="K103" s="112">
        <v>254.48</v>
      </c>
      <c r="L103" s="112">
        <v>25.17</v>
      </c>
      <c r="M103" s="112">
        <v>103.28</v>
      </c>
      <c r="N103" s="112">
        <v>2.1</v>
      </c>
      <c r="O103" s="112">
        <v>0</v>
      </c>
      <c r="P103" s="112">
        <v>0.4</v>
      </c>
      <c r="Q103" s="112">
        <v>4.6500000000000004</v>
      </c>
    </row>
    <row r="104" spans="1:22" customFormat="1">
      <c r="A104" s="80">
        <v>45505</v>
      </c>
      <c r="B104" s="112">
        <v>9.3699999999999992</v>
      </c>
      <c r="C104" s="112">
        <v>4.0599999999999996</v>
      </c>
      <c r="D104" s="112">
        <v>14.08</v>
      </c>
      <c r="E104" s="112">
        <v>12.24</v>
      </c>
      <c r="F104" s="112">
        <v>4.55</v>
      </c>
      <c r="G104" s="112">
        <v>19.79</v>
      </c>
      <c r="H104" s="112">
        <v>10.31</v>
      </c>
      <c r="I104" s="112">
        <v>4.34</v>
      </c>
      <c r="J104" s="112">
        <v>0.5</v>
      </c>
      <c r="K104" s="112">
        <v>278.62</v>
      </c>
      <c r="L104" s="112">
        <v>25.18</v>
      </c>
      <c r="M104" s="112">
        <v>103.63</v>
      </c>
      <c r="N104" s="112">
        <v>2.4</v>
      </c>
      <c r="O104" s="112">
        <v>0</v>
      </c>
      <c r="P104" s="112">
        <v>0.39</v>
      </c>
      <c r="Q104" s="112">
        <v>4.66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9.2200000000000006</v>
      </c>
      <c r="C106" s="183">
        <f>MIN(C9:C104)</f>
        <v>4.04</v>
      </c>
      <c r="D106" s="183">
        <f t="shared" ref="D106:Q106" si="0">MIN(D9:D104)</f>
        <v>14</v>
      </c>
      <c r="E106" s="183">
        <f t="shared" si="0"/>
        <v>6.56</v>
      </c>
      <c r="F106" s="183">
        <f t="shared" si="0"/>
        <v>2.9</v>
      </c>
      <c r="G106" s="183">
        <f t="shared" si="0"/>
        <v>14.79</v>
      </c>
      <c r="H106" s="183">
        <f t="shared" si="0"/>
        <v>5.98</v>
      </c>
      <c r="I106" s="183">
        <f t="shared" si="0"/>
        <v>2.85</v>
      </c>
      <c r="J106" s="183">
        <f t="shared" si="0"/>
        <v>0.09</v>
      </c>
      <c r="K106" s="183">
        <f t="shared" si="0"/>
        <v>254.48</v>
      </c>
      <c r="L106" s="183">
        <f t="shared" si="0"/>
        <v>24.54</v>
      </c>
      <c r="M106" s="183">
        <f t="shared" si="0"/>
        <v>87.75</v>
      </c>
      <c r="N106" s="183">
        <f t="shared" si="0"/>
        <v>2.1</v>
      </c>
      <c r="O106" s="183">
        <f t="shared" si="0"/>
        <v>0</v>
      </c>
      <c r="P106" s="183">
        <f t="shared" si="0"/>
        <v>0.22</v>
      </c>
      <c r="Q106" s="183">
        <f t="shared" si="0"/>
        <v>4.6399999999999997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9.3699999999999992</v>
      </c>
      <c r="C107" s="184">
        <f t="shared" ref="C107:Q107" si="1">MAX(C9:C104)</f>
        <v>4.13</v>
      </c>
      <c r="D107" s="184">
        <f t="shared" si="1"/>
        <v>14.1</v>
      </c>
      <c r="E107" s="184">
        <f t="shared" si="1"/>
        <v>13.38</v>
      </c>
      <c r="F107" s="184">
        <f t="shared" si="1"/>
        <v>9.84</v>
      </c>
      <c r="G107" s="184">
        <f t="shared" si="1"/>
        <v>39.520000000000003</v>
      </c>
      <c r="H107" s="184">
        <f t="shared" si="1"/>
        <v>16.350000000000001</v>
      </c>
      <c r="I107" s="184">
        <f t="shared" si="1"/>
        <v>6.12</v>
      </c>
      <c r="J107" s="184">
        <f t="shared" si="1"/>
        <v>1.29</v>
      </c>
      <c r="K107" s="184">
        <f t="shared" si="1"/>
        <v>311.64</v>
      </c>
      <c r="L107" s="184">
        <f t="shared" si="1"/>
        <v>28.24</v>
      </c>
      <c r="M107" s="184">
        <f t="shared" si="1"/>
        <v>104.99</v>
      </c>
      <c r="N107" s="184">
        <f t="shared" si="1"/>
        <v>186.5</v>
      </c>
      <c r="O107" s="184">
        <f t="shared" si="1"/>
        <v>8.4</v>
      </c>
      <c r="P107" s="184">
        <f t="shared" si="1"/>
        <v>0.56000000000000005</v>
      </c>
      <c r="Q107" s="184">
        <f t="shared" si="1"/>
        <v>4.68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9.289895833333329</v>
      </c>
      <c r="C108" s="183">
        <f t="shared" ref="C108:Q108" si="2">AVERAGE(C9:C104)</f>
        <v>4.0791666666666666</v>
      </c>
      <c r="D108" s="183">
        <f t="shared" si="2"/>
        <v>14.031249999999977</v>
      </c>
      <c r="E108" s="183">
        <f t="shared" si="2"/>
        <v>9.7219791666666673</v>
      </c>
      <c r="F108" s="183">
        <f t="shared" si="2"/>
        <v>5.2839583333333318</v>
      </c>
      <c r="G108" s="183">
        <f t="shared" si="2"/>
        <v>28.228750000000009</v>
      </c>
      <c r="H108" s="183">
        <f t="shared" si="2"/>
        <v>12.155833333333339</v>
      </c>
      <c r="I108" s="183">
        <f t="shared" si="2"/>
        <v>3.9245833333333326</v>
      </c>
      <c r="J108" s="183">
        <f t="shared" si="2"/>
        <v>0.52687499999999998</v>
      </c>
      <c r="K108" s="183">
        <f t="shared" si="2"/>
        <v>280.07531249999994</v>
      </c>
      <c r="L108" s="183">
        <f t="shared" si="2"/>
        <v>26.520520833333336</v>
      </c>
      <c r="M108" s="183">
        <f t="shared" si="2"/>
        <v>96.088958333333323</v>
      </c>
      <c r="N108" s="183">
        <f t="shared" si="2"/>
        <v>37.26874999999999</v>
      </c>
      <c r="O108" s="183">
        <f t="shared" si="2"/>
        <v>0.32708333333333334</v>
      </c>
      <c r="P108" s="183">
        <f t="shared" si="2"/>
        <v>0.32427083333333334</v>
      </c>
      <c r="Q108" s="183">
        <f t="shared" si="2"/>
        <v>4.6631250000000035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4.1864311937915205E-2</v>
      </c>
      <c r="C109" s="183">
        <f t="shared" ref="C109:Q109" si="3">STDEV(C9:C104)</f>
        <v>2.1504793427300811E-2</v>
      </c>
      <c r="D109" s="183">
        <f t="shared" si="3"/>
        <v>2.818174100930939E-2</v>
      </c>
      <c r="E109" s="183">
        <f t="shared" si="3"/>
        <v>1.8565132115944001</v>
      </c>
      <c r="F109" s="183">
        <f t="shared" si="3"/>
        <v>1.5414268708717955</v>
      </c>
      <c r="G109" s="183">
        <f t="shared" si="3"/>
        <v>5.9851470983989037</v>
      </c>
      <c r="H109" s="183">
        <f t="shared" si="3"/>
        <v>2.3405333025511035</v>
      </c>
      <c r="I109" s="183">
        <f t="shared" si="3"/>
        <v>0.92622256807639636</v>
      </c>
      <c r="J109" s="183">
        <f t="shared" si="3"/>
        <v>0.20368351353069886</v>
      </c>
      <c r="K109" s="183">
        <f t="shared" si="3"/>
        <v>10.833826359395166</v>
      </c>
      <c r="L109" s="183">
        <f t="shared" si="3"/>
        <v>0.88421879858552366</v>
      </c>
      <c r="M109" s="183">
        <f t="shared" si="3"/>
        <v>4.4725286570039779</v>
      </c>
      <c r="N109" s="183">
        <f t="shared" si="3"/>
        <v>48.538053031670579</v>
      </c>
      <c r="O109" s="183">
        <f t="shared" si="3"/>
        <v>1.0757106993852623</v>
      </c>
      <c r="P109" s="183">
        <f t="shared" si="3"/>
        <v>8.5109771739877702E-2</v>
      </c>
      <c r="Q109" s="183">
        <f t="shared" si="3"/>
        <v>9.325968272009242E-3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55"/>
  <sheetViews>
    <sheetView tabSelected="1" zoomScale="80" zoomScaleNormal="80" workbookViewId="0">
      <pane xSplit="1" ySplit="8" topLeftCell="B18" activePane="bottomRight" state="frozen"/>
      <selection pane="topRight"/>
      <selection pane="bottomLeft"/>
      <selection pane="bottomRight" activeCell="E36" sqref="E36"/>
    </sheetView>
  </sheetViews>
  <sheetFormatPr defaultColWidth="8.85546875" defaultRowHeight="15"/>
  <cols>
    <col min="1" max="1" width="15.85546875" style="143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44" t="s">
        <v>0</v>
      </c>
      <c r="B1" s="145" t="s">
        <v>58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 s="2" customFormat="1">
      <c r="A2" s="144" t="s">
        <v>2</v>
      </c>
      <c r="B2" s="148">
        <f>$A$9</f>
        <v>45474.010416666664</v>
      </c>
      <c r="C2"/>
      <c r="D2" s="48" t="s">
        <v>3</v>
      </c>
      <c r="E2" s="48"/>
      <c r="F2" s="48"/>
      <c r="G2" s="149" t="s">
        <v>4</v>
      </c>
      <c r="H2" s="150"/>
      <c r="I2" s="150"/>
      <c r="J2" s="150"/>
      <c r="K2" s="147"/>
      <c r="L2" s="48" t="s">
        <v>5</v>
      </c>
      <c r="M2" s="147"/>
      <c r="N2" s="165" t="s">
        <v>6</v>
      </c>
      <c r="P2" s="166" t="s">
        <v>7</v>
      </c>
      <c r="Q2" s="147"/>
      <c r="R2" s="172" t="s">
        <v>8</v>
      </c>
      <c r="S2"/>
      <c r="T2"/>
      <c r="U2"/>
    </row>
    <row r="3" spans="1:21" s="2" customFormat="1">
      <c r="A3" s="144" t="s">
        <v>9</v>
      </c>
      <c r="B3" s="147" t="s">
        <v>10</v>
      </c>
      <c r="C3"/>
      <c r="D3" s="48" t="s">
        <v>11</v>
      </c>
      <c r="E3" s="48"/>
      <c r="F3" s="48"/>
      <c r="G3" s="151" t="s">
        <v>12</v>
      </c>
      <c r="H3" s="150"/>
      <c r="I3" s="144"/>
      <c r="J3" s="150"/>
      <c r="K3"/>
      <c r="L3" s="48" t="s">
        <v>13</v>
      </c>
      <c r="M3" s="147"/>
      <c r="N3" s="167" t="s">
        <v>14</v>
      </c>
      <c r="O3" s="147"/>
      <c r="P3" s="168" t="s">
        <v>15</v>
      </c>
      <c r="Q3" s="147"/>
      <c r="R3" s="173" t="s">
        <v>15</v>
      </c>
      <c r="S3"/>
      <c r="T3"/>
      <c r="U3"/>
    </row>
    <row r="4" spans="1:21" s="2" customFormat="1">
      <c r="A4" s="144" t="s">
        <v>16</v>
      </c>
      <c r="B4" s="147" t="s">
        <v>59</v>
      </c>
      <c r="C4"/>
      <c r="D4" s="48" t="s">
        <v>18</v>
      </c>
      <c r="E4" s="48"/>
      <c r="F4" s="48"/>
      <c r="G4" s="152" t="s">
        <v>19</v>
      </c>
      <c r="H4" s="150"/>
      <c r="I4" s="144"/>
      <c r="J4" s="150"/>
      <c r="K4" s="169"/>
      <c r="L4" s="48" t="s">
        <v>20</v>
      </c>
      <c r="M4" s="147"/>
      <c r="N4" s="170" t="s">
        <v>21</v>
      </c>
      <c r="O4" s="147"/>
      <c r="P4" s="147"/>
      <c r="Q4" s="147"/>
      <c r="R4" s="147"/>
      <c r="S4"/>
      <c r="T4"/>
      <c r="U4"/>
    </row>
    <row r="5" spans="1:21" s="2" customFormat="1">
      <c r="A5" s="144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 s="2" customFormat="1">
      <c r="A6" s="144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 s="2" customFormat="1">
      <c r="A7" s="154" t="s">
        <v>22</v>
      </c>
      <c r="B7" s="155" t="s">
        <v>23</v>
      </c>
      <c r="C7" s="155" t="s">
        <v>24</v>
      </c>
      <c r="D7" s="155" t="s">
        <v>25</v>
      </c>
      <c r="E7" s="155" t="s">
        <v>26</v>
      </c>
      <c r="F7" s="155" t="s">
        <v>27</v>
      </c>
      <c r="G7" s="155" t="s">
        <v>28</v>
      </c>
      <c r="H7" s="155" t="s">
        <v>29</v>
      </c>
      <c r="I7" s="155" t="s">
        <v>30</v>
      </c>
      <c r="J7" s="155" t="s">
        <v>31</v>
      </c>
      <c r="K7" s="155" t="s">
        <v>32</v>
      </c>
      <c r="L7" s="155" t="s">
        <v>33</v>
      </c>
      <c r="M7" s="155" t="s">
        <v>34</v>
      </c>
      <c r="N7" s="155" t="s">
        <v>35</v>
      </c>
      <c r="O7" s="155" t="s">
        <v>36</v>
      </c>
      <c r="P7" s="155" t="s">
        <v>37</v>
      </c>
      <c r="Q7" s="155" t="s">
        <v>38</v>
      </c>
      <c r="R7" s="174"/>
      <c r="S7" s="175"/>
      <c r="T7" s="174"/>
      <c r="U7" s="174"/>
    </row>
    <row r="8" spans="1:21" s="2" customFormat="1">
      <c r="A8" s="154"/>
      <c r="B8" s="156" t="s">
        <v>39</v>
      </c>
      <c r="C8" s="156" t="s">
        <v>39</v>
      </c>
      <c r="D8" s="156" t="s">
        <v>40</v>
      </c>
      <c r="E8" s="156" t="s">
        <v>39</v>
      </c>
      <c r="F8" s="156" t="s">
        <v>39</v>
      </c>
      <c r="G8" s="156" t="s">
        <v>39</v>
      </c>
      <c r="H8" s="156" t="s">
        <v>39</v>
      </c>
      <c r="I8" s="156" t="s">
        <v>39</v>
      </c>
      <c r="J8" s="156" t="s">
        <v>41</v>
      </c>
      <c r="K8" s="156" t="s">
        <v>42</v>
      </c>
      <c r="L8" s="171" t="s">
        <v>43</v>
      </c>
      <c r="M8" s="156" t="s">
        <v>44</v>
      </c>
      <c r="N8" s="156" t="s">
        <v>45</v>
      </c>
      <c r="O8" s="171" t="s">
        <v>46</v>
      </c>
      <c r="P8" s="156" t="s">
        <v>47</v>
      </c>
      <c r="Q8" s="114" t="s">
        <v>39</v>
      </c>
      <c r="R8" s="174"/>
      <c r="S8" s="175"/>
      <c r="T8" s="174"/>
      <c r="U8" s="174"/>
    </row>
    <row r="9" spans="1:21">
      <c r="A9" s="157">
        <f>'01'!$B$2</f>
        <v>45474.010416666664</v>
      </c>
      <c r="B9" s="95">
        <f>'01'!B108</f>
        <v>9.2105208333333426</v>
      </c>
      <c r="C9" s="95">
        <f>'01'!C108</f>
        <v>4.0697916666666671</v>
      </c>
      <c r="D9" s="95">
        <f>'01'!D108</f>
        <v>13.96218750000002</v>
      </c>
      <c r="E9" s="95">
        <f>'01'!E108</f>
        <v>8.6421875000000039</v>
      </c>
      <c r="F9" s="95">
        <f>'01'!F108</f>
        <v>6.2196875</v>
      </c>
      <c r="G9" s="95">
        <f>'01'!G108</f>
        <v>12.108020833333336</v>
      </c>
      <c r="H9" s="95">
        <f>'01'!H108</f>
        <v>4.8102083333333345</v>
      </c>
      <c r="I9" s="95">
        <f>'01'!I108</f>
        <v>3.4618750000000005</v>
      </c>
      <c r="J9" s="95">
        <f>'01'!J108</f>
        <v>0.6284375000000002</v>
      </c>
      <c r="K9" s="95">
        <f>'01'!K108</f>
        <v>257.56572916666676</v>
      </c>
      <c r="L9" s="95">
        <f>'01'!L108</f>
        <v>27.146562499999998</v>
      </c>
      <c r="M9" s="95">
        <f>'01'!M108</f>
        <v>89.696979166666679</v>
      </c>
      <c r="N9" s="95">
        <f>'01'!N108</f>
        <v>73.030208333333377</v>
      </c>
      <c r="O9" s="95">
        <f>'01'!O108</f>
        <v>1.4583333333333332E-2</v>
      </c>
      <c r="P9" s="95">
        <f>'01'!P108</f>
        <v>0.30687499999999984</v>
      </c>
      <c r="Q9" s="95">
        <f>'01'!Q108</f>
        <v>4.6335416666666616</v>
      </c>
      <c r="R9" s="160"/>
      <c r="S9" s="160"/>
      <c r="T9" s="160"/>
      <c r="U9" s="160"/>
    </row>
    <row r="10" spans="1:21">
      <c r="A10" s="157">
        <f>'02'!$B$2</f>
        <v>45475.010416666664</v>
      </c>
      <c r="B10" s="95">
        <f>'02'!B108</f>
        <v>9.3445833333333308</v>
      </c>
      <c r="C10" s="95">
        <f>'02'!C108</f>
        <v>4.0775000000000006</v>
      </c>
      <c r="D10" s="95">
        <f>'02'!D108</f>
        <v>14.074270833333324</v>
      </c>
      <c r="E10" s="95">
        <f>'02'!E108</f>
        <v>7.6019791666666698</v>
      </c>
      <c r="F10" s="95">
        <f>'02'!F108</f>
        <v>7.6985416666666664</v>
      </c>
      <c r="G10" s="95">
        <f>'02'!G108</f>
        <v>16.29816091954023</v>
      </c>
      <c r="H10" s="95">
        <f>'02'!H108</f>
        <v>4.4811392405063302</v>
      </c>
      <c r="I10" s="95">
        <f>'02'!I108</f>
        <v>3.0105208333333331</v>
      </c>
      <c r="J10" s="95">
        <f>'02'!J108</f>
        <v>0.62562499999999999</v>
      </c>
      <c r="K10" s="95">
        <f>'02'!K108</f>
        <v>254.15760416666674</v>
      </c>
      <c r="L10" s="95">
        <f>'02'!L108</f>
        <v>27.544479166666665</v>
      </c>
      <c r="M10" s="95">
        <f>'02'!M108</f>
        <v>85.267916666666665</v>
      </c>
      <c r="N10" s="95">
        <f>'02'!N108</f>
        <v>92.671874999999957</v>
      </c>
      <c r="O10" s="95">
        <f>'02'!O108</f>
        <v>8.3333333333333332E-3</v>
      </c>
      <c r="P10" s="95">
        <f>'02'!P108</f>
        <v>0.30645833333333333</v>
      </c>
      <c r="Q10" s="95">
        <f>'02'!Q108</f>
        <v>4.638541666666665</v>
      </c>
      <c r="R10" s="160"/>
      <c r="S10" s="160"/>
      <c r="T10" s="160"/>
      <c r="U10" s="160"/>
    </row>
    <row r="11" spans="1:21">
      <c r="A11" s="157">
        <f>'03'!$B$2</f>
        <v>45476.010416666664</v>
      </c>
      <c r="B11" s="95">
        <f>'03'!B108</f>
        <v>9.1577083333333427</v>
      </c>
      <c r="C11" s="95">
        <f>'03'!C108</f>
        <v>4.0645833333333323</v>
      </c>
      <c r="D11" s="95">
        <f>'03'!D108</f>
        <v>13.916458333333345</v>
      </c>
      <c r="E11" s="95">
        <f>'03'!E108</f>
        <v>9.0827083333333309</v>
      </c>
      <c r="F11" s="95">
        <f>'03'!F108</f>
        <v>6.0028124999999983</v>
      </c>
      <c r="G11" s="95">
        <f>'03'!G108</f>
        <v>17.731562499999999</v>
      </c>
      <c r="H11" s="95">
        <f>'03'!H108</f>
        <v>6.6530208333333318</v>
      </c>
      <c r="I11" s="95">
        <f>'03'!I108</f>
        <v>3.7551041666666656</v>
      </c>
      <c r="J11" s="95">
        <f>'03'!J108</f>
        <v>0.78156250000000027</v>
      </c>
      <c r="K11" s="95">
        <f>'03'!K108</f>
        <v>264.85218749999996</v>
      </c>
      <c r="L11" s="95">
        <f>'03'!L108</f>
        <v>28.096562499999994</v>
      </c>
      <c r="M11" s="95">
        <f>'03'!M108</f>
        <v>81.131666666666646</v>
      </c>
      <c r="N11" s="95">
        <f>'03'!N108</f>
        <v>109.6822916666667</v>
      </c>
      <c r="O11" s="95">
        <f>'03'!O108</f>
        <v>2.0833333333333333E-3</v>
      </c>
      <c r="P11" s="95">
        <f>'03'!P108</f>
        <v>0.33520833333333316</v>
      </c>
      <c r="Q11" s="95">
        <f>'03'!Q108</f>
        <v>4.6410416666666627</v>
      </c>
      <c r="R11" s="160"/>
      <c r="S11" s="160"/>
      <c r="T11" s="160"/>
      <c r="U11" s="160"/>
    </row>
    <row r="12" spans="1:21">
      <c r="A12" s="157">
        <f>'04'!$B$2</f>
        <v>45477.010416666664</v>
      </c>
      <c r="B12" s="95">
        <f>'04'!B108</f>
        <v>9.3610416666666598</v>
      </c>
      <c r="C12" s="95">
        <f>'04'!C108</f>
        <v>4.0742708333333324</v>
      </c>
      <c r="D12" s="95">
        <f>'04'!D108</f>
        <v>14.085937499999991</v>
      </c>
      <c r="E12" s="95">
        <f>'04'!E108</f>
        <v>9.6691666666666674</v>
      </c>
      <c r="F12" s="95">
        <f>'04'!F108</f>
        <v>6.3870833333333303</v>
      </c>
      <c r="G12" s="95">
        <f>'04'!G108</f>
        <v>13.000104166666668</v>
      </c>
      <c r="H12" s="95">
        <f>'04'!H108</f>
        <v>5.0514583333333336</v>
      </c>
      <c r="I12" s="95">
        <f>'04'!I108</f>
        <v>3.1295833333333327</v>
      </c>
      <c r="J12" s="95">
        <f>'04'!J108</f>
        <v>0.56645833333333317</v>
      </c>
      <c r="K12" s="95">
        <f>'04'!K108</f>
        <v>259.76041666666669</v>
      </c>
      <c r="L12" s="95">
        <f>'04'!L108</f>
        <v>27.338125000000005</v>
      </c>
      <c r="M12" s="95">
        <f>'04'!M108</f>
        <v>88.374166666666653</v>
      </c>
      <c r="N12" s="95">
        <f>'04'!N108</f>
        <v>91.97812500000002</v>
      </c>
      <c r="O12" s="95">
        <f>'04'!O108</f>
        <v>0.14583333333333334</v>
      </c>
      <c r="P12" s="95">
        <f>'04'!P108</f>
        <v>0.29281250000000009</v>
      </c>
      <c r="Q12" s="95">
        <f>'04'!Q108</f>
        <v>4.63645833333333</v>
      </c>
      <c r="R12" s="160"/>
      <c r="S12" s="160"/>
      <c r="T12" s="160"/>
      <c r="U12" s="160"/>
    </row>
    <row r="13" spans="1:21">
      <c r="A13" s="157">
        <f>'05'!$B$2</f>
        <v>45478.010416666664</v>
      </c>
      <c r="B13" s="95">
        <f>'05'!B108</f>
        <v>9.1665624999999888</v>
      </c>
      <c r="C13" s="95">
        <f>'05'!C108</f>
        <v>4.0655208333333324</v>
      </c>
      <c r="D13" s="95">
        <f>'05'!D108</f>
        <v>13.92447916666668</v>
      </c>
      <c r="E13" s="95">
        <f>'05'!E108</f>
        <v>9.3531250000000021</v>
      </c>
      <c r="F13" s="95">
        <f>'05'!F108</f>
        <v>7.1174999999999988</v>
      </c>
      <c r="G13" s="95">
        <f>'05'!G108</f>
        <v>14.994062499999993</v>
      </c>
      <c r="H13" s="95">
        <f>'05'!H108</f>
        <v>5.845312500000003</v>
      </c>
      <c r="I13" s="95">
        <f>'05'!I108</f>
        <v>3.1078125000000001</v>
      </c>
      <c r="J13" s="95">
        <f>'05'!J108</f>
        <v>0.54552083333333334</v>
      </c>
      <c r="K13" s="95">
        <f>'05'!K108</f>
        <v>248.6010416666667</v>
      </c>
      <c r="L13" s="95">
        <f>'05'!L108</f>
        <v>28.24604166666667</v>
      </c>
      <c r="M13" s="95">
        <f>'05'!M108</f>
        <v>81.409791666666692</v>
      </c>
      <c r="N13" s="95">
        <f>'05'!N108</f>
        <v>90.544791666666711</v>
      </c>
      <c r="O13" s="95">
        <f>'05'!O108</f>
        <v>8.3333333333333332E-3</v>
      </c>
      <c r="P13" s="95">
        <f>'05'!P108</f>
        <v>0.31177083333333311</v>
      </c>
      <c r="Q13" s="95">
        <f>'05'!Q108</f>
        <v>4.6406249999999956</v>
      </c>
      <c r="R13" s="160"/>
      <c r="S13" s="160"/>
      <c r="T13" s="160"/>
      <c r="U13" s="160"/>
    </row>
    <row r="14" spans="1:21">
      <c r="A14" s="157">
        <f>'06'!$B$2</f>
        <v>45479.010416666664</v>
      </c>
      <c r="B14" s="95">
        <f>'06'!B108</f>
        <v>9.3259374999999984</v>
      </c>
      <c r="C14" s="95">
        <f>'06'!C108</f>
        <v>4.0739583333333336</v>
      </c>
      <c r="D14" s="95">
        <f>'06'!D108</f>
        <v>14.057187499999984</v>
      </c>
      <c r="E14" s="95">
        <f>'06'!E108</f>
        <v>9.8262499999999999</v>
      </c>
      <c r="F14" s="95">
        <f>'06'!F108</f>
        <v>7.5789583333333352</v>
      </c>
      <c r="G14" s="95">
        <f>'06'!G108</f>
        <v>13.906458333333326</v>
      </c>
      <c r="H14" s="95">
        <f>'06'!H108</f>
        <v>3.9854166666666675</v>
      </c>
      <c r="I14" s="95">
        <f>'06'!I108</f>
        <v>2.9365624999999995</v>
      </c>
      <c r="J14" s="95">
        <f>'06'!J108</f>
        <v>0.40604166666666686</v>
      </c>
      <c r="K14" s="95">
        <f>'06'!K108</f>
        <v>251.30479166666672</v>
      </c>
      <c r="L14" s="95">
        <f>'06'!L108</f>
        <v>28.890104166666664</v>
      </c>
      <c r="M14" s="95">
        <f>'06'!M108</f>
        <v>80.524375000000006</v>
      </c>
      <c r="N14" s="95">
        <f>'06'!N108</f>
        <v>125.12500000000006</v>
      </c>
      <c r="O14" s="95">
        <f>'06'!O108</f>
        <v>8.3333333333333332E-3</v>
      </c>
      <c r="P14" s="95">
        <f>'06'!P108</f>
        <v>0.28729166666666667</v>
      </c>
      <c r="Q14" s="95">
        <f>'06'!Q108</f>
        <v>4.6296874999999984</v>
      </c>
      <c r="R14" s="160"/>
      <c r="S14" s="160"/>
      <c r="T14" s="160"/>
      <c r="U14" s="160"/>
    </row>
    <row r="15" spans="1:21">
      <c r="A15" s="157">
        <f>'07'!$B$2</f>
        <v>45480.010416666664</v>
      </c>
      <c r="B15" s="95">
        <f>'07'!B108</f>
        <v>9.216041666666678</v>
      </c>
      <c r="C15" s="95">
        <f>'07'!C108</f>
        <v>4.0639583333333329</v>
      </c>
      <c r="D15" s="95">
        <f>'07'!D108</f>
        <v>13.963541666666673</v>
      </c>
      <c r="E15" s="95">
        <f>'07'!E108</f>
        <v>8.3879166666666674</v>
      </c>
      <c r="F15" s="95">
        <f>'07'!F108</f>
        <v>6.281979166666666</v>
      </c>
      <c r="G15" s="95">
        <f>'07'!G108</f>
        <v>14.578645833333338</v>
      </c>
      <c r="H15" s="95">
        <f>'07'!H108</f>
        <v>32.828437499999986</v>
      </c>
      <c r="I15" s="95">
        <f>'07'!I108</f>
        <v>3.5556249999999991</v>
      </c>
      <c r="J15" s="95">
        <f>'07'!J108</f>
        <v>0.43666666666666659</v>
      </c>
      <c r="K15" s="95">
        <f>'07'!K108</f>
        <v>245.44791666666652</v>
      </c>
      <c r="L15" s="95">
        <f>'07'!L108</f>
        <v>27.954374999999995</v>
      </c>
      <c r="M15" s="95">
        <f>'07'!M108</f>
        <v>85.479687499999997</v>
      </c>
      <c r="N15" s="95">
        <f>'07'!N108</f>
        <v>78.545833333333377</v>
      </c>
      <c r="O15" s="95">
        <f>'07'!O108</f>
        <v>0</v>
      </c>
      <c r="P15" s="95">
        <f>'07'!P108</f>
        <v>0.34906249999999983</v>
      </c>
      <c r="Q15" s="95">
        <f>'07'!Q108</f>
        <v>4.5939583333333296</v>
      </c>
      <c r="R15" s="160"/>
      <c r="S15" s="160"/>
      <c r="T15" s="160"/>
      <c r="U15" s="160"/>
    </row>
    <row r="16" spans="1:21">
      <c r="A16" s="157">
        <f>'08'!$B$2</f>
        <v>45481.010416666664</v>
      </c>
      <c r="B16" s="95">
        <f>'08'!B108</f>
        <v>9.2626041666666641</v>
      </c>
      <c r="C16" s="95">
        <f>'08'!C108</f>
        <v>4.0699999999999967</v>
      </c>
      <c r="D16" s="95">
        <f>'08'!D108</f>
        <v>14.005104166666664</v>
      </c>
      <c r="E16" s="95">
        <f>'08'!E108</f>
        <v>10.366770833333335</v>
      </c>
      <c r="F16" s="95">
        <f>'08'!F108</f>
        <v>7.7141666666666664</v>
      </c>
      <c r="G16" s="95">
        <f>'08'!G108</f>
        <v>25.574375000000014</v>
      </c>
      <c r="H16" s="95">
        <f>'08'!H108</f>
        <v>27.83979166666667</v>
      </c>
      <c r="I16" s="95">
        <f>'08'!I108</f>
        <v>4.3471875000000022</v>
      </c>
      <c r="J16" s="95">
        <f>'08'!J108</f>
        <v>0.26895833333333335</v>
      </c>
      <c r="K16" s="95">
        <f>'08'!K108</f>
        <v>199.42468749999998</v>
      </c>
      <c r="L16" s="95">
        <f>'08'!L108</f>
        <v>28.715937499999992</v>
      </c>
      <c r="M16" s="95">
        <f>'08'!M108</f>
        <v>88.629479166666627</v>
      </c>
      <c r="N16" s="95">
        <f>'08'!N108</f>
        <v>105.83750000000005</v>
      </c>
      <c r="O16" s="95">
        <f>'08'!O108</f>
        <v>5.4166666666666669E-2</v>
      </c>
      <c r="P16" s="95">
        <f>'08'!P108</f>
        <v>0.37833333333333335</v>
      </c>
      <c r="Q16" s="95">
        <f>'08'!Q108</f>
        <v>4.5571875000000022</v>
      </c>
      <c r="R16" s="160"/>
      <c r="S16" s="160"/>
      <c r="T16" s="160"/>
      <c r="U16" s="160"/>
    </row>
    <row r="17" spans="1:21">
      <c r="A17" s="157">
        <f>'09'!$B$2</f>
        <v>45482.010416666664</v>
      </c>
      <c r="B17" s="95">
        <f>'09'!B108</f>
        <v>9.3016666666666605</v>
      </c>
      <c r="C17" s="95">
        <f>'09'!C108</f>
        <v>4.0742708333333324</v>
      </c>
      <c r="D17" s="95">
        <f>'09'!D108</f>
        <v>14.037604166666647</v>
      </c>
      <c r="E17" s="95">
        <f>'09'!E108</f>
        <v>9.0109375000000007</v>
      </c>
      <c r="F17" s="95">
        <f>'09'!F108</f>
        <v>7.9360416666666671</v>
      </c>
      <c r="G17" s="95">
        <f>'09'!G108</f>
        <v>26.216145833333339</v>
      </c>
      <c r="H17" s="95">
        <f>'09'!H108</f>
        <v>29.287083333333342</v>
      </c>
      <c r="I17" s="95">
        <f>'09'!I108</f>
        <v>4.4093749999999998</v>
      </c>
      <c r="J17" s="95">
        <f>'09'!J108</f>
        <v>0.28156249999999999</v>
      </c>
      <c r="K17" s="95">
        <f>'09'!K108</f>
        <v>206.10656250000002</v>
      </c>
      <c r="L17" s="95">
        <f>'09'!L108</f>
        <v>28.758854166666662</v>
      </c>
      <c r="M17" s="95">
        <f>'09'!M108</f>
        <v>85.568854166666654</v>
      </c>
      <c r="N17" s="95">
        <f>'09'!N108</f>
        <v>129.45312500000003</v>
      </c>
      <c r="O17" s="95">
        <f>'09'!O108</f>
        <v>0.40416666666666662</v>
      </c>
      <c r="P17" s="95">
        <f>'09'!P108</f>
        <v>0.38322916666666657</v>
      </c>
      <c r="Q17" s="95">
        <f>'09'!Q108</f>
        <v>4.5253125000000027</v>
      </c>
      <c r="R17" s="160"/>
      <c r="S17" s="160"/>
      <c r="T17" s="160"/>
      <c r="U17" s="160"/>
    </row>
    <row r="18" spans="1:21">
      <c r="A18" s="157">
        <f>'10'!$B$2</f>
        <v>45483.010416666664</v>
      </c>
      <c r="B18" s="95">
        <f>'10'!B108</f>
        <v>9.2835416666666557</v>
      </c>
      <c r="C18" s="95">
        <f>'10'!C108</f>
        <v>4.0703125000000009</v>
      </c>
      <c r="D18" s="95">
        <f>'10'!D108</f>
        <v>14.021041666666664</v>
      </c>
      <c r="E18" s="95">
        <f>'10'!E108</f>
        <v>10.592395833333336</v>
      </c>
      <c r="F18" s="95">
        <f>'10'!F108</f>
        <v>8.1019791666666663</v>
      </c>
      <c r="G18" s="95">
        <f>'10'!G108</f>
        <v>22.560625000000005</v>
      </c>
      <c r="H18" s="95">
        <f>'10'!H108</f>
        <v>9.183541666666672</v>
      </c>
      <c r="I18" s="95">
        <f>'10'!I108</f>
        <v>4.3642708333333333</v>
      </c>
      <c r="J18" s="95">
        <f>'10'!J108</f>
        <v>0.3272916666666667</v>
      </c>
      <c r="K18" s="95">
        <f>'10'!K108</f>
        <v>245.51406250000005</v>
      </c>
      <c r="L18" s="95">
        <f>'10'!L108</f>
        <v>28.254583333333333</v>
      </c>
      <c r="M18" s="95">
        <f>'10'!M108</f>
        <v>86.710833333333326</v>
      </c>
      <c r="N18" s="95">
        <f>'10'!N108</f>
        <v>103.69791666666664</v>
      </c>
      <c r="O18" s="95">
        <f>'10'!O108</f>
        <v>1.6666666666666666E-2</v>
      </c>
      <c r="P18" s="95">
        <f>'10'!P108</f>
        <v>0.37864583333333335</v>
      </c>
      <c r="Q18" s="95">
        <f>'10'!Q108</f>
        <v>4.5571875000000022</v>
      </c>
      <c r="R18" s="160"/>
      <c r="S18" s="160"/>
      <c r="T18" s="160"/>
      <c r="U18" s="160"/>
    </row>
    <row r="19" spans="1:21">
      <c r="A19" s="157">
        <f>'11'!$B$2</f>
        <v>45484.010416666664</v>
      </c>
      <c r="B19" s="95">
        <f>'11'!B108</f>
        <v>9.3838541666666764</v>
      </c>
      <c r="C19" s="95">
        <f>'11'!C108</f>
        <v>4.0788541666666669</v>
      </c>
      <c r="D19" s="95">
        <f>'11'!D108</f>
        <v>14.105729166666672</v>
      </c>
      <c r="E19" s="95">
        <f>'11'!E108</f>
        <v>8.5048958333333307</v>
      </c>
      <c r="F19" s="95">
        <f>'11'!F108</f>
        <v>8.1891666666666669</v>
      </c>
      <c r="G19" s="95">
        <f>'11'!G108</f>
        <v>22.000104166666656</v>
      </c>
      <c r="H19" s="95">
        <f>'11'!H108</f>
        <v>11.918333333333335</v>
      </c>
      <c r="I19" s="95">
        <f>'11'!I108</f>
        <v>3.5966666666666689</v>
      </c>
      <c r="J19" s="95">
        <f>'11'!J108</f>
        <v>0.57333333333333336</v>
      </c>
      <c r="K19" s="95">
        <f>'11'!K108</f>
        <v>259.34656249999995</v>
      </c>
      <c r="L19" s="95">
        <f>'11'!L108</f>
        <v>28.880416666666665</v>
      </c>
      <c r="M19" s="95">
        <f>'11'!M108</f>
        <v>83.606458333333322</v>
      </c>
      <c r="N19" s="95">
        <f>'11'!N108</f>
        <v>126.12812500000008</v>
      </c>
      <c r="O19" s="95">
        <f>'11'!O108</f>
        <v>0</v>
      </c>
      <c r="P19" s="95">
        <f>'11'!P108</f>
        <v>0.32041666666666668</v>
      </c>
      <c r="Q19" s="95">
        <f>'11'!Q108</f>
        <v>4.63645833333333</v>
      </c>
      <c r="R19" s="160"/>
      <c r="S19" s="160"/>
      <c r="T19" s="160"/>
      <c r="U19" s="160"/>
    </row>
    <row r="20" spans="1:21">
      <c r="A20" s="157">
        <f>'12'!$B$2</f>
        <v>45485.010416666664</v>
      </c>
      <c r="B20" s="95">
        <f>'12'!B108</f>
        <v>9.3045833333333281</v>
      </c>
      <c r="C20" s="95">
        <f>'12'!C108</f>
        <v>4.0720833333333344</v>
      </c>
      <c r="D20" s="95">
        <f>'12'!D108</f>
        <v>14.038854166666646</v>
      </c>
      <c r="E20" s="95">
        <f>'12'!E108</f>
        <v>11.899999999999999</v>
      </c>
      <c r="F20" s="95">
        <f>'12'!F108</f>
        <v>6.7885416666666663</v>
      </c>
      <c r="G20" s="95">
        <f>'12'!G108</f>
        <v>31.597187500000015</v>
      </c>
      <c r="H20" s="95">
        <f>'12'!H108</f>
        <v>14.361562499999989</v>
      </c>
      <c r="I20" s="95">
        <f>'12'!I108</f>
        <v>4.0909374999999981</v>
      </c>
      <c r="J20" s="95">
        <f>'12'!J108</f>
        <v>0.54062500000000002</v>
      </c>
      <c r="K20" s="95">
        <f>'12'!K108</f>
        <v>231.84249999999994</v>
      </c>
      <c r="L20" s="95">
        <f>'12'!L108</f>
        <v>27.971666666666668</v>
      </c>
      <c r="M20" s="95">
        <f>'12'!M108</f>
        <v>85.911562500000016</v>
      </c>
      <c r="N20" s="95">
        <f>'12'!N108</f>
        <v>91.900000000000034</v>
      </c>
      <c r="O20" s="95">
        <f>'12'!O108</f>
        <v>1.6666666666666666E-2</v>
      </c>
      <c r="P20" s="95">
        <f>'12'!P108</f>
        <v>0.41927083333333343</v>
      </c>
      <c r="Q20" s="95">
        <f>'12'!Q108</f>
        <v>4.5571875000000022</v>
      </c>
      <c r="R20" s="160"/>
      <c r="S20" s="160"/>
      <c r="T20" s="160"/>
      <c r="U20" s="160"/>
    </row>
    <row r="21" spans="1:21" s="142" customFormat="1">
      <c r="A21" s="157">
        <f>'13'!$B$2</f>
        <v>45486.010416666664</v>
      </c>
      <c r="B21" s="158">
        <f>'13'!B108</f>
        <v>9.2552083333333233</v>
      </c>
      <c r="C21" s="158">
        <f>'13'!C108</f>
        <v>4.0653124999999983</v>
      </c>
      <c r="D21" s="158">
        <f>'13'!D108</f>
        <v>13.995104166666666</v>
      </c>
      <c r="E21" s="158">
        <f>'13'!E108</f>
        <v>9.4810416666666715</v>
      </c>
      <c r="F21" s="158">
        <f>'13'!F108</f>
        <v>6.4875000000000007</v>
      </c>
      <c r="G21" s="158">
        <f>'13'!G108</f>
        <v>20.569687500000001</v>
      </c>
      <c r="H21" s="158">
        <f>'13'!H108</f>
        <v>7.1720833333333331</v>
      </c>
      <c r="I21" s="158">
        <f>'13'!I108</f>
        <v>4.2784375000000008</v>
      </c>
      <c r="J21" s="158">
        <f>'13'!J108</f>
        <v>0.45895833333333358</v>
      </c>
      <c r="K21" s="158">
        <f>'13'!K108</f>
        <v>259.55812500000013</v>
      </c>
      <c r="L21" s="158">
        <f>'13'!L108</f>
        <v>27.033749999999994</v>
      </c>
      <c r="M21" s="158">
        <f>'13'!M108</f>
        <v>92.563645833333354</v>
      </c>
      <c r="N21" s="158">
        <f>'13'!N108</f>
        <v>66.867708333333368</v>
      </c>
      <c r="O21" s="158">
        <f>'13'!O108</f>
        <v>7.9166666666666677E-2</v>
      </c>
      <c r="P21" s="158">
        <f>'13'!P108</f>
        <v>0.46177083333333352</v>
      </c>
      <c r="Q21" s="158">
        <f>'13'!Q108</f>
        <v>4.6335416666666616</v>
      </c>
      <c r="R21" s="176"/>
      <c r="S21" s="176"/>
      <c r="T21" s="176"/>
      <c r="U21" s="176"/>
    </row>
    <row r="22" spans="1:21" s="142" customFormat="1">
      <c r="A22" s="157">
        <f>'14'!$B$2</f>
        <v>45487.010416666664</v>
      </c>
      <c r="B22" s="159">
        <f>'14'!B108</f>
        <v>9.2343750000000071</v>
      </c>
      <c r="C22" s="159">
        <f>'14'!C108</f>
        <v>4.0709375000000003</v>
      </c>
      <c r="D22" s="159">
        <f>'14'!D108</f>
        <v>13.982187500000009</v>
      </c>
      <c r="E22" s="159">
        <f>'14'!E108</f>
        <v>9.9290625000000023</v>
      </c>
      <c r="F22" s="159">
        <f>'14'!F108</f>
        <v>6.8322916666666664</v>
      </c>
      <c r="G22" s="159">
        <f>'14'!G108</f>
        <v>22.697500000000002</v>
      </c>
      <c r="H22" s="159">
        <f>'14'!H108</f>
        <v>9.3092708333333238</v>
      </c>
      <c r="I22" s="159">
        <f>'14'!I108</f>
        <v>4.8862499999999995</v>
      </c>
      <c r="J22" s="159">
        <f>'14'!J108</f>
        <v>0.39624999999999982</v>
      </c>
      <c r="K22" s="159">
        <f>'14'!K108</f>
        <v>238.56020833333332</v>
      </c>
      <c r="L22" s="159">
        <f>'14'!L108</f>
        <v>27.837395833333332</v>
      </c>
      <c r="M22" s="159">
        <f>'14'!M108</f>
        <v>91.556979166666636</v>
      </c>
      <c r="N22" s="159">
        <f>'14'!N108</f>
        <v>90.203125000000057</v>
      </c>
      <c r="O22" s="159">
        <f>'14'!O108</f>
        <v>0.17499999999999996</v>
      </c>
      <c r="P22" s="159">
        <f>'14'!P108</f>
        <v>0.46635416666666668</v>
      </c>
      <c r="Q22" s="159">
        <f>'14'!Q108</f>
        <v>4.7105208333333355</v>
      </c>
      <c r="R22" s="177"/>
      <c r="S22" s="177"/>
      <c r="T22" s="177"/>
      <c r="U22" s="177"/>
    </row>
    <row r="23" spans="1:21">
      <c r="A23" s="157">
        <f>'15'!$B$2</f>
        <v>45488.010416666664</v>
      </c>
      <c r="B23" s="95">
        <f>'15'!B108</f>
        <v>9.1878124999999926</v>
      </c>
      <c r="C23" s="95">
        <f>'15'!C108</f>
        <v>4.0671875000000002</v>
      </c>
      <c r="D23" s="95">
        <f>'15'!D108</f>
        <v>13.942812500000009</v>
      </c>
      <c r="E23" s="95">
        <f>'15'!E108</f>
        <v>9.9085416666666628</v>
      </c>
      <c r="F23" s="95">
        <f>'15'!F108</f>
        <v>7.6581250000000018</v>
      </c>
      <c r="G23" s="95">
        <f>'15'!G108</f>
        <v>44.532916666666672</v>
      </c>
      <c r="H23" s="95">
        <f>'15'!H108</f>
        <v>15.420416666666668</v>
      </c>
      <c r="I23" s="95">
        <f>'15'!I108</f>
        <v>5.8882291666666662</v>
      </c>
      <c r="J23" s="95">
        <f>'15'!J108</f>
        <v>0.33156249999999993</v>
      </c>
      <c r="K23" s="95">
        <f>'15'!K108</f>
        <v>183.39427083333342</v>
      </c>
      <c r="L23" s="95">
        <f>'15'!L108</f>
        <v>27.58468749999999</v>
      </c>
      <c r="M23" s="95">
        <f>'15'!M108</f>
        <v>95.69916666666667</v>
      </c>
      <c r="N23" s="95">
        <f>'15'!N108</f>
        <v>73.660416666666677</v>
      </c>
      <c r="O23" s="95">
        <f>'15'!O108</f>
        <v>0.10208333333333335</v>
      </c>
      <c r="P23" s="95">
        <f>'15'!P108</f>
        <v>0.58062500000000017</v>
      </c>
      <c r="Q23" s="95">
        <f>'15'!Q108</f>
        <v>4.6971874999999956</v>
      </c>
      <c r="R23" s="160"/>
      <c r="S23" s="160"/>
      <c r="T23" s="160"/>
      <c r="U23" s="160"/>
    </row>
    <row r="24" spans="1:21">
      <c r="A24" s="157">
        <f>'16'!$B$2</f>
        <v>45489.010416666664</v>
      </c>
      <c r="B24" s="95">
        <f>'16'!B108</f>
        <v>8.9768749999999962</v>
      </c>
      <c r="C24" s="95">
        <f>'16'!C108</f>
        <v>4.0485416666666634</v>
      </c>
      <c r="D24" s="95">
        <f>'16'!D108</f>
        <v>13.762604166666662</v>
      </c>
      <c r="E24" s="95">
        <f>'16'!E108</f>
        <v>9.8663541666666692</v>
      </c>
      <c r="F24" s="95">
        <f>'16'!F108</f>
        <v>8.3407291666666659</v>
      </c>
      <c r="G24" s="95">
        <f>'16'!G108</f>
        <v>32.906853932584262</v>
      </c>
      <c r="H24" s="95">
        <f>'16'!H108</f>
        <v>9.333820224719096</v>
      </c>
      <c r="I24" s="95">
        <f>'16'!I108</f>
        <v>4.3108333333333348</v>
      </c>
      <c r="J24" s="95">
        <f>'16'!J108</f>
        <v>0.38708333333333328</v>
      </c>
      <c r="K24" s="95">
        <f>'16'!K108</f>
        <v>111.54395833333336</v>
      </c>
      <c r="L24" s="95">
        <f>'16'!L108</f>
        <v>29.124375000000004</v>
      </c>
      <c r="M24" s="95">
        <f>'16'!M108</f>
        <v>88.220625000000041</v>
      </c>
      <c r="N24" s="95">
        <f>'16'!N108</f>
        <v>130.8260416666667</v>
      </c>
      <c r="O24" s="95">
        <f>'16'!O108</f>
        <v>4.7916666666666684E-2</v>
      </c>
      <c r="P24" s="95">
        <f>'16'!P108</f>
        <v>0.46416666666666667</v>
      </c>
      <c r="Q24" s="95">
        <f>'16'!Q108</f>
        <v>4.6387234042553196</v>
      </c>
      <c r="R24" s="160"/>
      <c r="S24" s="160"/>
      <c r="T24" s="160"/>
      <c r="U24" s="160"/>
    </row>
    <row r="25" spans="1:21">
      <c r="A25" s="157">
        <f>'17'!$B$2</f>
        <v>45490.010416666664</v>
      </c>
      <c r="B25" s="95">
        <f>'17'!B108</f>
        <v>9.2344791666666755</v>
      </c>
      <c r="C25" s="95">
        <f>'17'!C108</f>
        <v>4.0692708333333334</v>
      </c>
      <c r="D25" s="95">
        <f>'17'!D108</f>
        <v>13.981041666666675</v>
      </c>
      <c r="E25" s="95">
        <f>'17'!E108</f>
        <v>9.0678125000000058</v>
      </c>
      <c r="F25" s="95">
        <f>'17'!F108</f>
        <v>6.7674999999999992</v>
      </c>
      <c r="G25" s="95">
        <f>'17'!G108</f>
        <v>15.587083333333332</v>
      </c>
      <c r="H25" s="95">
        <f>'17'!H108</f>
        <v>5.7683333333333335</v>
      </c>
      <c r="I25" s="95">
        <f>'17'!I108</f>
        <v>3.7637499999999982</v>
      </c>
      <c r="J25" s="95">
        <f>'17'!J108</f>
        <v>0.32677083333333329</v>
      </c>
      <c r="K25" s="95">
        <f>'17'!K108</f>
        <v>206.86708333333343</v>
      </c>
      <c r="L25" s="95">
        <f>'17'!L108</f>
        <v>27.96479166666666</v>
      </c>
      <c r="M25" s="95">
        <f>'17'!M108</f>
        <v>94.261458333333351</v>
      </c>
      <c r="N25" s="95">
        <f>'17'!N108</f>
        <v>72.68333333333338</v>
      </c>
      <c r="O25" s="95">
        <f>'17'!O108</f>
        <v>0.25416666666666665</v>
      </c>
      <c r="P25" s="95">
        <f>'17'!P108</f>
        <v>0.37979166666666681</v>
      </c>
      <c r="Q25" s="95">
        <f>'17'!Q108</f>
        <v>4.6905208333333306</v>
      </c>
      <c r="R25" s="160"/>
      <c r="S25" s="160"/>
      <c r="T25" s="160"/>
      <c r="U25" s="160"/>
    </row>
    <row r="26" spans="1:21">
      <c r="A26" s="157">
        <f>'18'!$B$2</f>
        <v>45491.010416666664</v>
      </c>
      <c r="B26" s="95">
        <f>'18'!B108</f>
        <v>9.3156249999999989</v>
      </c>
      <c r="C26" s="95">
        <f>'18'!C108</f>
        <v>4.0852083333333331</v>
      </c>
      <c r="D26" s="95">
        <f>'18'!D108</f>
        <v>14.054479166666662</v>
      </c>
      <c r="E26" s="95">
        <f>'18'!E108</f>
        <v>9.6482105263157898</v>
      </c>
      <c r="F26" s="95">
        <f>'18'!F108</f>
        <v>10.851145833333335</v>
      </c>
      <c r="G26" s="95">
        <f>'18'!G108</f>
        <v>34.246250000000011</v>
      </c>
      <c r="H26" s="95">
        <f>'18'!H108</f>
        <v>9.1646874999999977</v>
      </c>
      <c r="I26" s="95">
        <f>'18'!I108</f>
        <v>4.1966666666666672</v>
      </c>
      <c r="J26" s="95">
        <f>'18'!J108</f>
        <v>0.4093750000000001</v>
      </c>
      <c r="K26" s="95">
        <f>'18'!K108</f>
        <v>165.98010416666662</v>
      </c>
      <c r="L26" s="95">
        <f>'18'!L108</f>
        <v>29.297395833333336</v>
      </c>
      <c r="M26" s="95">
        <f>'18'!M108</f>
        <v>86.326250000000016</v>
      </c>
      <c r="N26" s="95">
        <f>'18'!N108</f>
        <v>108.28020833333333</v>
      </c>
      <c r="O26" s="95">
        <f>'18'!O108</f>
        <v>0</v>
      </c>
      <c r="P26" s="95">
        <f>'18'!P108</f>
        <v>0.38760416666666658</v>
      </c>
      <c r="Q26" s="95">
        <f>'18'!Q108</f>
        <v>4.6971874999999956</v>
      </c>
      <c r="R26" s="160"/>
      <c r="S26" s="160"/>
      <c r="T26" s="160"/>
      <c r="U26" s="160"/>
    </row>
    <row r="27" spans="1:21">
      <c r="A27" s="157">
        <f>'19'!$B$2</f>
        <v>45492.010416666664</v>
      </c>
      <c r="B27" s="95">
        <f>'19'!B108</f>
        <v>9.1691666666666656</v>
      </c>
      <c r="C27" s="95">
        <f>'19'!C108</f>
        <v>4.2082291666666656</v>
      </c>
      <c r="D27" s="95">
        <f>'19'!D108</f>
        <v>14.001666666666665</v>
      </c>
      <c r="E27" s="95">
        <f>'19'!E108</f>
        <v>11.604895833333336</v>
      </c>
      <c r="F27" s="95">
        <f>'19'!F108</f>
        <v>11.029374999999996</v>
      </c>
      <c r="G27" s="95">
        <f>'19'!G108</f>
        <v>62.45760416666667</v>
      </c>
      <c r="H27" s="95">
        <f>'19'!H108</f>
        <v>23.392604166666683</v>
      </c>
      <c r="I27" s="95">
        <f>'19'!I108</f>
        <v>5.8831250000000033</v>
      </c>
      <c r="J27" s="95">
        <f>'19'!J108</f>
        <v>0.64145833333333346</v>
      </c>
      <c r="K27" s="95">
        <f>'19'!K108</f>
        <v>121.43458333333331</v>
      </c>
      <c r="L27" s="95">
        <f>'19'!L108</f>
        <v>30.335416666666671</v>
      </c>
      <c r="M27" s="95">
        <f>'19'!M108</f>
        <v>81.469895833333283</v>
      </c>
      <c r="N27" s="95">
        <f>'19'!N108</f>
        <v>103.71562499999993</v>
      </c>
      <c r="O27" s="95">
        <f>'19'!O108</f>
        <v>1.6666666666666666E-2</v>
      </c>
      <c r="P27" s="95">
        <f>'19'!P108</f>
        <v>0.55802083333333352</v>
      </c>
      <c r="Q27" s="95">
        <f>'19'!Q108</f>
        <v>4.7105208333333355</v>
      </c>
      <c r="R27" s="160"/>
      <c r="S27" s="160"/>
      <c r="T27" s="160"/>
      <c r="U27" s="160"/>
    </row>
    <row r="28" spans="1:21">
      <c r="A28" s="157">
        <f>'20'!$B$2</f>
        <v>45493.010416666664</v>
      </c>
      <c r="B28" s="95">
        <f>'20'!B108</f>
        <v>9.2814583333333349</v>
      </c>
      <c r="C28" s="95">
        <f>'20'!C108</f>
        <v>4.0815625000000013</v>
      </c>
      <c r="D28" s="95">
        <f>'20'!D108</f>
        <v>14.025208333333319</v>
      </c>
      <c r="E28" s="95">
        <f>'20'!E108</f>
        <v>9.8439583333333349</v>
      </c>
      <c r="F28" s="95">
        <f>'20'!F108</f>
        <v>7.2129166666666675</v>
      </c>
      <c r="G28" s="95">
        <f>'20'!G108</f>
        <v>29.801458333333333</v>
      </c>
      <c r="H28" s="95">
        <f>'20'!H108</f>
        <v>9.0689583333333328</v>
      </c>
      <c r="I28" s="95">
        <f>'20'!I108</f>
        <v>5.0151041666666671</v>
      </c>
      <c r="J28" s="95">
        <f>'20'!J108</f>
        <v>0.59145833333333342</v>
      </c>
      <c r="K28" s="95">
        <f>'20'!K108</f>
        <v>127.65499999999997</v>
      </c>
      <c r="L28" s="95">
        <f>'20'!L108</f>
        <v>28.629791666666652</v>
      </c>
      <c r="M28" s="95">
        <f>'20'!M108</f>
        <v>89.572395833333346</v>
      </c>
      <c r="N28" s="95">
        <f>'20'!N108</f>
        <v>112.3385416666667</v>
      </c>
      <c r="O28" s="95">
        <f>'20'!O108</f>
        <v>0.35000000000000003</v>
      </c>
      <c r="P28" s="95">
        <f>'20'!P108</f>
        <v>0.46354166666666674</v>
      </c>
      <c r="Q28" s="95">
        <f>'20'!Q108</f>
        <v>4.7366666666666672</v>
      </c>
      <c r="R28" s="160"/>
      <c r="S28" s="160"/>
      <c r="T28" s="160"/>
      <c r="U28" s="160"/>
    </row>
    <row r="29" spans="1:21">
      <c r="A29" s="157">
        <f>'21'!$B$2</f>
        <v>45494.010416666664</v>
      </c>
      <c r="B29" s="95">
        <f>'21'!B108</f>
        <v>9.2825000000000042</v>
      </c>
      <c r="C29" s="95">
        <f>'21'!C108</f>
        <v>4.0895833333333336</v>
      </c>
      <c r="D29" s="95">
        <f>'21'!D108</f>
        <v>14.030104166666653</v>
      </c>
      <c r="E29" s="95">
        <f>'21'!E108</f>
        <v>10.985312499999997</v>
      </c>
      <c r="F29" s="95">
        <f>'21'!F108</f>
        <v>7.2869791666666641</v>
      </c>
      <c r="G29" s="95">
        <f>'21'!G108</f>
        <v>32.039687499999992</v>
      </c>
      <c r="H29" s="95">
        <f>'21'!H108</f>
        <v>10.191562500000005</v>
      </c>
      <c r="I29" s="95">
        <f>'21'!I108</f>
        <v>4.3654166666666674</v>
      </c>
      <c r="J29" s="95">
        <f>'21'!J108</f>
        <v>0.40239583333333334</v>
      </c>
      <c r="K29" s="95">
        <f>'21'!K108</f>
        <v>230.78520833333337</v>
      </c>
      <c r="L29" s="95">
        <f>'21'!L108</f>
        <v>27.63520833333332</v>
      </c>
      <c r="M29" s="95">
        <f>'21'!M108</f>
        <v>96.072395833333346</v>
      </c>
      <c r="N29" s="95">
        <f>'21'!N108</f>
        <v>70.197916666666671</v>
      </c>
      <c r="O29" s="95">
        <f>'21'!O108</f>
        <v>0.14166666666666669</v>
      </c>
      <c r="P29" s="95">
        <f>'21'!P108</f>
        <v>0.42593750000000014</v>
      </c>
      <c r="Q29" s="95">
        <f>'21'!Q108</f>
        <v>4.8344791666666636</v>
      </c>
      <c r="R29" s="160"/>
      <c r="S29" s="160"/>
      <c r="T29" s="160"/>
      <c r="U29" s="160"/>
    </row>
    <row r="30" spans="1:21">
      <c r="A30" s="157">
        <f>'22'!$B$2</f>
        <v>45495.010416666664</v>
      </c>
      <c r="B30" s="95">
        <f>'22'!B108</f>
        <v>9.3718750000000064</v>
      </c>
      <c r="C30" s="95">
        <f>'22'!C108</f>
        <v>4.076979166666665</v>
      </c>
      <c r="D30" s="95">
        <f>'22'!D108</f>
        <v>14.094895833333313</v>
      </c>
      <c r="E30" s="95">
        <f>'22'!E108</f>
        <v>9.0376041666666662</v>
      </c>
      <c r="F30" s="95">
        <f>'22'!F108</f>
        <v>4.4398958333333338</v>
      </c>
      <c r="G30" s="95">
        <f>'22'!G108</f>
        <v>9.8645833333333286</v>
      </c>
      <c r="H30" s="95">
        <f>'22'!H108</f>
        <v>2.5487500000000014</v>
      </c>
      <c r="I30" s="95">
        <f>'22'!I108</f>
        <v>3.8352083333333327</v>
      </c>
      <c r="J30" s="95">
        <f>'22'!J108</f>
        <v>0.80458333333333332</v>
      </c>
      <c r="K30" s="95">
        <f>'22'!K108</f>
        <v>277.33052083333331</v>
      </c>
      <c r="L30" s="95">
        <f>'22'!L108</f>
        <v>26.056041666666676</v>
      </c>
      <c r="M30" s="95">
        <f>'22'!M108</f>
        <v>98.39135416666663</v>
      </c>
      <c r="N30" s="95">
        <f>'22'!N108</f>
        <v>33.344791666666673</v>
      </c>
      <c r="O30" s="95">
        <f>'22'!O108</f>
        <v>5.4166666666666669E-2</v>
      </c>
      <c r="P30" s="95">
        <f>'22'!P108</f>
        <v>0.3896874999999998</v>
      </c>
      <c r="Q30" s="95">
        <f>'22'!Q108</f>
        <v>4.741770833333339</v>
      </c>
      <c r="R30" s="160"/>
      <c r="S30" s="160"/>
      <c r="T30" s="160"/>
      <c r="U30" s="160"/>
    </row>
    <row r="31" spans="1:21">
      <c r="A31" s="157">
        <f>'23'!$B$2</f>
        <v>45496.010416666664</v>
      </c>
      <c r="B31" s="95">
        <f>'23'!B108</f>
        <v>9.2212500000000066</v>
      </c>
      <c r="C31" s="95">
        <f>'23'!C108</f>
        <v>4.1296875000000002</v>
      </c>
      <c r="D31" s="95">
        <f>'23'!D108</f>
        <v>14.001874999999998</v>
      </c>
      <c r="E31" s="95">
        <f>'23'!E108</f>
        <v>10.53302083333333</v>
      </c>
      <c r="F31" s="95">
        <f>'23'!F108</f>
        <v>4.0220833333333355</v>
      </c>
      <c r="G31" s="95">
        <f>'23'!G108</f>
        <v>4.6352083333333338</v>
      </c>
      <c r="H31" s="95">
        <f>'23'!H108</f>
        <v>1.9621874999999998</v>
      </c>
      <c r="I31" s="95">
        <f>'23'!I108</f>
        <v>3.1097916666666663</v>
      </c>
      <c r="J31" s="95">
        <f>'23'!J108</f>
        <v>0.89416666666666644</v>
      </c>
      <c r="K31" s="95">
        <f>'23'!K108</f>
        <v>274.91624999999993</v>
      </c>
      <c r="L31" s="95">
        <f>'23'!L108</f>
        <v>25.129166666666659</v>
      </c>
      <c r="M31" s="95">
        <f>'23'!M108</f>
        <v>101.04854166666668</v>
      </c>
      <c r="N31" s="95">
        <f>'23'!N108</f>
        <v>19.126041666666676</v>
      </c>
      <c r="O31" s="95">
        <f>'23'!O108</f>
        <v>0.53541666666666676</v>
      </c>
      <c r="P31" s="95">
        <f>'23'!P108</f>
        <v>0.3896874999999998</v>
      </c>
      <c r="Q31" s="95">
        <f>'23'!Q108</f>
        <v>4.741770833333339</v>
      </c>
      <c r="R31" s="160"/>
      <c r="S31" s="178"/>
      <c r="T31" s="160"/>
      <c r="U31" s="160"/>
    </row>
    <row r="32" spans="1:21">
      <c r="A32" s="157">
        <f>'24'!$B$2</f>
        <v>45497.010416666664</v>
      </c>
      <c r="B32" s="95">
        <f>'24'!B108</f>
        <v>9.2921874999999883</v>
      </c>
      <c r="C32" s="95">
        <f>'24'!C108</f>
        <v>4.0753124999999999</v>
      </c>
      <c r="D32" s="95">
        <f>'24'!D108</f>
        <v>14.030833333333318</v>
      </c>
      <c r="E32" s="95">
        <f>'24'!E108</f>
        <v>8.7554166666666671</v>
      </c>
      <c r="F32" s="95">
        <f>'24'!F108</f>
        <v>3.718437499999999</v>
      </c>
      <c r="G32" s="95">
        <f>'24'!G108</f>
        <v>3.0072916666666676</v>
      </c>
      <c r="H32" s="95">
        <f>'24'!H108</f>
        <v>1.0687500000000003</v>
      </c>
      <c r="I32" s="95">
        <f>'24'!I108</f>
        <v>3.1114583333333332</v>
      </c>
      <c r="J32" s="95">
        <f>'24'!J108</f>
        <v>0.95229166666666687</v>
      </c>
      <c r="K32" s="95">
        <f>'24'!K108</f>
        <v>274.72010416666666</v>
      </c>
      <c r="L32" s="95">
        <f>'24'!L108</f>
        <v>24.713958333333334</v>
      </c>
      <c r="M32" s="95">
        <f>'24'!M108</f>
        <v>99.073541666666642</v>
      </c>
      <c r="N32" s="95">
        <f>'24'!N108</f>
        <v>31.236458333333335</v>
      </c>
      <c r="O32" s="95">
        <f>'24'!O108</f>
        <v>0.25624999999999998</v>
      </c>
      <c r="P32" s="95">
        <f>'24'!P108</f>
        <v>0.27854166666666674</v>
      </c>
      <c r="Q32" s="95">
        <f>'24'!Q108</f>
        <v>4.724687500000007</v>
      </c>
      <c r="R32" s="160"/>
      <c r="S32" s="160"/>
      <c r="T32" s="160"/>
      <c r="U32" s="160"/>
    </row>
    <row r="33" spans="1:21">
      <c r="A33" s="157">
        <f>'25'!$B$2</f>
        <v>45498.010416666664</v>
      </c>
      <c r="B33" s="95">
        <f>'25'!B108</f>
        <v>9.1777083333333227</v>
      </c>
      <c r="C33" s="95">
        <f>'25'!C108</f>
        <v>4.1923958333333333</v>
      </c>
      <c r="D33" s="95">
        <f>'25'!D108</f>
        <v>14</v>
      </c>
      <c r="E33" s="95">
        <f>'25'!E108</f>
        <v>10.899895833333334</v>
      </c>
      <c r="F33" s="95">
        <f>'25'!F108</f>
        <v>4.2007291666666671</v>
      </c>
      <c r="G33" s="95">
        <f>'25'!G108</f>
        <v>3.0701041666666664</v>
      </c>
      <c r="H33" s="95">
        <f>'25'!H108</f>
        <v>0.86010416666666734</v>
      </c>
      <c r="I33" s="95">
        <f>'25'!I108</f>
        <v>3.0002083333333331</v>
      </c>
      <c r="J33" s="95">
        <f>'25'!J108</f>
        <v>0.77291666666666681</v>
      </c>
      <c r="K33" s="95">
        <f>'25'!K108</f>
        <v>274.58291666666679</v>
      </c>
      <c r="L33" s="95">
        <f>'25'!L108</f>
        <v>25.483229166666664</v>
      </c>
      <c r="M33" s="95">
        <f>'25'!M108</f>
        <v>95.746250000000046</v>
      </c>
      <c r="N33" s="95">
        <f>'25'!N108</f>
        <v>35.281250000000014</v>
      </c>
      <c r="O33" s="95">
        <f>'25'!O108</f>
        <v>2.0833333333333333E-3</v>
      </c>
      <c r="P33" s="95">
        <f>'25'!P108</f>
        <v>0.29447916666666613</v>
      </c>
      <c r="Q33" s="95">
        <f>'25'!Q108</f>
        <v>4.727291666666674</v>
      </c>
      <c r="R33" s="160"/>
      <c r="S33" s="178"/>
      <c r="T33" s="160"/>
      <c r="U33" s="160"/>
    </row>
    <row r="34" spans="1:21">
      <c r="A34" s="157">
        <f>'26'!$B$2</f>
        <v>45499.010416666664</v>
      </c>
      <c r="B34" s="95">
        <f>'26'!B108</f>
        <v>9.2916666666666519</v>
      </c>
      <c r="C34" s="95">
        <f>'26'!C108</f>
        <v>4.0690624999999994</v>
      </c>
      <c r="D34" s="95">
        <f>'26'!D108</f>
        <v>14.02666666666665</v>
      </c>
      <c r="E34" s="95">
        <f>'26'!E108</f>
        <v>10.25</v>
      </c>
      <c r="F34" s="95">
        <f>'26'!F108</f>
        <v>3.6389583333333331</v>
      </c>
      <c r="G34" s="95">
        <f>'26'!G108</f>
        <v>15.733958333333341</v>
      </c>
      <c r="H34" s="95">
        <f>'26'!H108</f>
        <v>6.7259375000000006</v>
      </c>
      <c r="I34" s="95">
        <f>'26'!I108</f>
        <v>4.0424999999999986</v>
      </c>
      <c r="J34" s="95">
        <f>'26'!J108</f>
        <v>0.80927083333333305</v>
      </c>
      <c r="K34" s="95">
        <f>'26'!K108</f>
        <v>278.5663541666666</v>
      </c>
      <c r="L34" s="95">
        <f>'26'!L108</f>
        <v>25.138958333333331</v>
      </c>
      <c r="M34" s="95">
        <f>'26'!M108</f>
        <v>99.663437500000001</v>
      </c>
      <c r="N34" s="95">
        <f>'26'!N108</f>
        <v>26.814583333333356</v>
      </c>
      <c r="O34" s="95">
        <f>'26'!O108</f>
        <v>0.31249999999999994</v>
      </c>
      <c r="P34" s="95">
        <f>'26'!P108</f>
        <v>0.36458333333333348</v>
      </c>
      <c r="Q34" s="95">
        <f>'26'!Q108</f>
        <v>4.7275000000000054</v>
      </c>
      <c r="R34" s="160"/>
      <c r="S34" s="160"/>
      <c r="T34" s="160"/>
      <c r="U34" s="160"/>
    </row>
    <row r="35" spans="1:21">
      <c r="A35" s="157">
        <f>'27'!$B$2</f>
        <v>45500.010416666664</v>
      </c>
      <c r="B35" s="95">
        <f>'27'!B108</f>
        <v>9.3048958333333349</v>
      </c>
      <c r="C35" s="95">
        <f>'27'!C108</f>
        <v>4.0843750000000005</v>
      </c>
      <c r="D35" s="95">
        <f>'27'!D108</f>
        <v>14.04531249999998</v>
      </c>
      <c r="E35" s="95">
        <f>'27'!E108</f>
        <v>10.252187499999998</v>
      </c>
      <c r="F35" s="95">
        <f>'27'!F108</f>
        <v>4.3972916666666659</v>
      </c>
      <c r="G35" s="95">
        <f>'27'!G108</f>
        <v>19.489662921348323</v>
      </c>
      <c r="H35" s="95">
        <f>'27'!H108</f>
        <v>9.3659550561797733</v>
      </c>
      <c r="I35" s="95">
        <f>'27'!I108</f>
        <v>4.854166666666667</v>
      </c>
      <c r="J35" s="95">
        <f>'27'!J108</f>
        <v>0.62854166666666667</v>
      </c>
      <c r="K35" s="95">
        <f>'27'!K108</f>
        <v>274.13875000000002</v>
      </c>
      <c r="L35" s="95">
        <f>'27'!L108</f>
        <v>25.674166666666675</v>
      </c>
      <c r="M35" s="95">
        <f>'27'!M108</f>
        <v>100.25968749999998</v>
      </c>
      <c r="N35" s="95">
        <f>'27'!N108</f>
        <v>41.504166666666684</v>
      </c>
      <c r="O35" s="95">
        <f>'27'!O108</f>
        <v>8.7500000000000008E-2</v>
      </c>
      <c r="P35" s="95">
        <f>'27'!P108</f>
        <v>0.4181249999999998</v>
      </c>
      <c r="Q35" s="95">
        <f>'27'!Q108</f>
        <v>4.6959374999999977</v>
      </c>
      <c r="R35" s="160"/>
      <c r="S35" s="160"/>
      <c r="T35" s="160"/>
      <c r="U35" s="160"/>
    </row>
    <row r="36" spans="1:21">
      <c r="A36" s="157">
        <f>'28'!$B$2</f>
        <v>45501.010416666664</v>
      </c>
      <c r="B36" s="95">
        <f>'28'!B108</f>
        <v>9.3480208333333348</v>
      </c>
      <c r="C36" s="95">
        <f>'28'!C108</f>
        <v>4.078645833333332</v>
      </c>
      <c r="D36" s="95">
        <f>'28'!D108</f>
        <v>14.076354166666652</v>
      </c>
      <c r="E36" s="95">
        <f>'28'!E108</f>
        <v>9.5658333333333356</v>
      </c>
      <c r="F36" s="95">
        <f>'28'!F108</f>
        <v>4.0106250000000001</v>
      </c>
      <c r="G36" s="95">
        <f>'28'!G108</f>
        <v>6.9481250000000019</v>
      </c>
      <c r="H36" s="95">
        <f>'28'!H108</f>
        <v>3.0055208333333341</v>
      </c>
      <c r="I36" s="95">
        <f>'28'!I108</f>
        <v>3.214791666666668</v>
      </c>
      <c r="J36" s="95">
        <f>'28'!J108</f>
        <v>0.47989583333333358</v>
      </c>
      <c r="K36" s="95">
        <f>'28'!K108</f>
        <v>278.02041666666679</v>
      </c>
      <c r="L36" s="95">
        <f>'28'!L108</f>
        <v>25.319270833333338</v>
      </c>
      <c r="M36" s="95">
        <f>'28'!M108</f>
        <v>102.56697916666666</v>
      </c>
      <c r="N36" s="95">
        <f>'28'!N108</f>
        <v>40.744791666666679</v>
      </c>
      <c r="O36" s="95">
        <f>'28'!O108</f>
        <v>3.9583333333333352E-2</v>
      </c>
      <c r="P36" s="95">
        <f>'28'!P108</f>
        <v>0.29708333333333353</v>
      </c>
      <c r="Q36" s="95">
        <f>'28'!Q108</f>
        <v>4.6526041666666673</v>
      </c>
      <c r="R36" s="160"/>
      <c r="S36" s="160"/>
      <c r="T36" s="160"/>
      <c r="U36" s="160"/>
    </row>
    <row r="37" spans="1:21" s="2" customFormat="1">
      <c r="A37" s="157">
        <f>'29'!$B$2</f>
        <v>45502.010416666664</v>
      </c>
      <c r="B37" s="95">
        <f>'29'!B108</f>
        <v>9.3219791666666598</v>
      </c>
      <c r="C37" s="95">
        <f>'29'!C108</f>
        <v>4.0726041666666655</v>
      </c>
      <c r="D37" s="95">
        <f>'29'!D108</f>
        <v>14.052812499999987</v>
      </c>
      <c r="E37" s="95">
        <f>'29'!E108</f>
        <v>10.588437499999994</v>
      </c>
      <c r="F37" s="95">
        <f>'29'!F108</f>
        <v>4.8410416666666656</v>
      </c>
      <c r="G37" s="95">
        <f>'29'!G108</f>
        <v>17.291041666666668</v>
      </c>
      <c r="H37" s="95">
        <f>'29'!H108</f>
        <v>7.9273958333333354</v>
      </c>
      <c r="I37" s="95">
        <f>'29'!I108</f>
        <v>3.0709375000000017</v>
      </c>
      <c r="J37" s="95">
        <f>'29'!J108</f>
        <v>0.33447916666666666</v>
      </c>
      <c r="K37" s="95">
        <f>'29'!K108</f>
        <v>263.35697916666669</v>
      </c>
      <c r="L37" s="95">
        <f>'29'!L108</f>
        <v>25.776041666666668</v>
      </c>
      <c r="M37" s="95">
        <f>'29'!M108</f>
        <v>97.596875000000011</v>
      </c>
      <c r="N37" s="95">
        <f>'29'!N108</f>
        <v>48.031250000000007</v>
      </c>
      <c r="O37" s="95">
        <f>'29'!O108</f>
        <v>2.4999999999999998E-2</v>
      </c>
      <c r="P37" s="95">
        <f>'29'!P108</f>
        <v>0.29656250000000001</v>
      </c>
      <c r="Q37" s="95">
        <f>'29'!Q108</f>
        <v>4.656666666666669</v>
      </c>
      <c r="R37" s="160"/>
      <c r="S37" s="160"/>
      <c r="T37" s="160"/>
      <c r="U37" s="160"/>
    </row>
    <row r="38" spans="1:21" s="2" customFormat="1">
      <c r="A38" s="157">
        <f>'30'!$B$2</f>
        <v>45503.010416666664</v>
      </c>
      <c r="B38" s="95">
        <f>'30'!B108</f>
        <v>9.189687499999998</v>
      </c>
      <c r="C38" s="95">
        <f>'30'!C108</f>
        <v>4.1752083333333339</v>
      </c>
      <c r="D38" s="95">
        <f>'30'!D108</f>
        <v>14.000208333333333</v>
      </c>
      <c r="E38" s="95">
        <f>'30'!E108</f>
        <v>9.0006249999999977</v>
      </c>
      <c r="F38" s="95">
        <f>'30'!F108</f>
        <v>7.1991666666666694</v>
      </c>
      <c r="G38" s="95">
        <f>'30'!G108</f>
        <v>29.720000000000024</v>
      </c>
      <c r="H38" s="95">
        <f>'30'!H108</f>
        <v>14.644062500000002</v>
      </c>
      <c r="I38" s="95">
        <f>'30'!I108</f>
        <v>3.5873958333333333</v>
      </c>
      <c r="J38" s="95">
        <f>'30'!J108</f>
        <v>0.39218750000000008</v>
      </c>
      <c r="K38" s="95">
        <f>'30'!K108</f>
        <v>266.63854166666664</v>
      </c>
      <c r="L38" s="95">
        <f>'30'!L108</f>
        <v>27.736875000000001</v>
      </c>
      <c r="M38" s="95">
        <f>'30'!M108</f>
        <v>90.267708333333303</v>
      </c>
      <c r="N38" s="95">
        <f>'30'!N108</f>
        <v>90.307291666666686</v>
      </c>
      <c r="O38" s="95">
        <f>'30'!O108</f>
        <v>0</v>
      </c>
      <c r="P38" s="95">
        <f>'30'!P108</f>
        <v>0.36624999999999996</v>
      </c>
      <c r="Q38" s="95">
        <f>'30'!Q108</f>
        <v>4.6609375000000055</v>
      </c>
      <c r="R38" s="160"/>
      <c r="S38" s="160"/>
      <c r="T38" s="160"/>
      <c r="U38" s="160"/>
    </row>
    <row r="39" spans="1:21" s="2" customFormat="1">
      <c r="A39" s="157">
        <f>'31'!$B$2</f>
        <v>45504.010416666664</v>
      </c>
      <c r="B39" s="95">
        <f>'31'!B108</f>
        <v>9.289895833333329</v>
      </c>
      <c r="C39" s="95">
        <f>'31'!C108</f>
        <v>4.0791666666666666</v>
      </c>
      <c r="D39" s="95">
        <f>'31'!D108</f>
        <v>14.031249999999977</v>
      </c>
      <c r="E39" s="95">
        <f>'31'!E108</f>
        <v>9.7219791666666673</v>
      </c>
      <c r="F39" s="95">
        <f>'31'!F108</f>
        <v>5.2839583333333318</v>
      </c>
      <c r="G39" s="95">
        <f>'31'!G108</f>
        <v>28.228750000000009</v>
      </c>
      <c r="H39" s="95">
        <f>'31'!H108</f>
        <v>12.155833333333339</v>
      </c>
      <c r="I39" s="95">
        <f>'31'!I108</f>
        <v>3.9245833333333326</v>
      </c>
      <c r="J39" s="95">
        <f>'31'!J108</f>
        <v>0.52687499999999998</v>
      </c>
      <c r="K39" s="95">
        <f>'31'!K108</f>
        <v>280.07531249999994</v>
      </c>
      <c r="L39" s="95">
        <f>'31'!L108</f>
        <v>26.520520833333336</v>
      </c>
      <c r="M39" s="95">
        <f>'31'!M108</f>
        <v>96.088958333333323</v>
      </c>
      <c r="N39" s="95">
        <f>'31'!N108</f>
        <v>37.26874999999999</v>
      </c>
      <c r="O39" s="95">
        <f>'31'!O108</f>
        <v>0.32708333333333334</v>
      </c>
      <c r="P39" s="95">
        <f>'31'!P108</f>
        <v>0.32427083333333334</v>
      </c>
      <c r="Q39" s="95">
        <f>'31'!Q108</f>
        <v>4.6631250000000035</v>
      </c>
      <c r="R39" s="160"/>
      <c r="S39" s="160"/>
      <c r="T39" s="160"/>
      <c r="U39" s="160"/>
    </row>
    <row r="40" spans="1:21" s="2" customFormat="1">
      <c r="A40" s="144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1"/>
      <c r="S40" s="161"/>
      <c r="T40" s="161"/>
      <c r="U40" s="161"/>
    </row>
    <row r="41" spans="1:21" s="2" customFormat="1">
      <c r="A41" s="144" t="s">
        <v>48</v>
      </c>
      <c r="B41" s="161">
        <f t="shared" ref="B41:Q41" si="0">MIN(B9:B39)</f>
        <v>8.9768749999999962</v>
      </c>
      <c r="C41" s="161">
        <f t="shared" si="0"/>
        <v>4.0485416666666634</v>
      </c>
      <c r="D41" s="161">
        <f t="shared" si="0"/>
        <v>13.762604166666662</v>
      </c>
      <c r="E41" s="161">
        <f t="shared" si="0"/>
        <v>7.6019791666666698</v>
      </c>
      <c r="F41" s="161">
        <f t="shared" si="0"/>
        <v>3.6389583333333331</v>
      </c>
      <c r="G41" s="161">
        <f t="shared" si="0"/>
        <v>3.0072916666666676</v>
      </c>
      <c r="H41" s="161">
        <f t="shared" si="0"/>
        <v>0.86010416666666734</v>
      </c>
      <c r="I41" s="161">
        <f t="shared" si="0"/>
        <v>2.9365624999999995</v>
      </c>
      <c r="J41" s="161">
        <f t="shared" si="0"/>
        <v>0.26895833333333335</v>
      </c>
      <c r="K41" s="161">
        <f t="shared" si="0"/>
        <v>111.54395833333336</v>
      </c>
      <c r="L41" s="161">
        <f t="shared" si="0"/>
        <v>24.713958333333334</v>
      </c>
      <c r="M41" s="161">
        <f t="shared" si="0"/>
        <v>80.524375000000006</v>
      </c>
      <c r="N41" s="161">
        <f t="shared" si="0"/>
        <v>19.126041666666676</v>
      </c>
      <c r="O41" s="161">
        <f t="shared" si="0"/>
        <v>0</v>
      </c>
      <c r="P41" s="161">
        <f t="shared" si="0"/>
        <v>0.27854166666666674</v>
      </c>
      <c r="Q41" s="161">
        <f t="shared" si="0"/>
        <v>4.5253125000000027</v>
      </c>
      <c r="R41" s="161"/>
      <c r="S41" s="161"/>
      <c r="T41" s="161"/>
      <c r="U41" s="161"/>
    </row>
    <row r="42" spans="1:21" s="2" customFormat="1">
      <c r="A42" s="144" t="s">
        <v>49</v>
      </c>
      <c r="B42" s="161">
        <f t="shared" ref="B42:Q42" si="1">MAX(B9:B39)</f>
        <v>9.3838541666666764</v>
      </c>
      <c r="C42" s="161">
        <f t="shared" si="1"/>
        <v>4.2082291666666656</v>
      </c>
      <c r="D42" s="161">
        <f t="shared" si="1"/>
        <v>14.105729166666672</v>
      </c>
      <c r="E42" s="161">
        <f t="shared" si="1"/>
        <v>11.899999999999999</v>
      </c>
      <c r="F42" s="161">
        <f t="shared" si="1"/>
        <v>11.029374999999996</v>
      </c>
      <c r="G42" s="161">
        <f t="shared" si="1"/>
        <v>62.45760416666667</v>
      </c>
      <c r="H42" s="161">
        <f t="shared" si="1"/>
        <v>32.828437499999986</v>
      </c>
      <c r="I42" s="161">
        <f t="shared" si="1"/>
        <v>5.8882291666666662</v>
      </c>
      <c r="J42" s="161">
        <f t="shared" si="1"/>
        <v>0.95229166666666687</v>
      </c>
      <c r="K42" s="161">
        <f t="shared" si="1"/>
        <v>280.07531249999994</v>
      </c>
      <c r="L42" s="161">
        <f t="shared" si="1"/>
        <v>30.335416666666671</v>
      </c>
      <c r="M42" s="161">
        <f t="shared" si="1"/>
        <v>102.56697916666666</v>
      </c>
      <c r="N42" s="161">
        <f t="shared" si="1"/>
        <v>130.8260416666667</v>
      </c>
      <c r="O42" s="161">
        <f t="shared" si="1"/>
        <v>0.53541666666666676</v>
      </c>
      <c r="P42" s="161">
        <f t="shared" si="1"/>
        <v>0.58062500000000017</v>
      </c>
      <c r="Q42" s="161">
        <f t="shared" si="1"/>
        <v>4.8344791666666636</v>
      </c>
      <c r="R42" s="161"/>
      <c r="S42" s="161"/>
      <c r="T42" s="161"/>
      <c r="U42" s="161"/>
    </row>
    <row r="43" spans="1:21" s="2" customFormat="1">
      <c r="A43" s="144" t="s">
        <v>50</v>
      </c>
      <c r="B43" s="161">
        <f t="shared" ref="B43:Q43" si="2">AVERAGE(B9:B39)</f>
        <v>9.2601713709677416</v>
      </c>
      <c r="C43" s="161">
        <f t="shared" si="2"/>
        <v>4.0862701612903214</v>
      </c>
      <c r="D43" s="161">
        <f t="shared" si="2"/>
        <v>14.010574596774186</v>
      </c>
      <c r="E43" s="161">
        <f t="shared" si="2"/>
        <v>9.7380168718166384</v>
      </c>
      <c r="F43" s="161">
        <f t="shared" si="2"/>
        <v>6.5882325268817192</v>
      </c>
      <c r="G43" s="161">
        <f t="shared" si="2"/>
        <v>21.399781272262569</v>
      </c>
      <c r="H43" s="161">
        <f t="shared" si="2"/>
        <v>10.171985145851783</v>
      </c>
      <c r="I43" s="161">
        <f t="shared" si="2"/>
        <v>3.938850806451613</v>
      </c>
      <c r="J43" s="161">
        <f t="shared" si="2"/>
        <v>0.53298723118279567</v>
      </c>
      <c r="K43" s="161">
        <f t="shared" si="2"/>
        <v>235.87254032258068</v>
      </c>
      <c r="L43" s="161">
        <f t="shared" si="2"/>
        <v>27.444798387096775</v>
      </c>
      <c r="M43" s="161">
        <f t="shared" si="2"/>
        <v>90.92767473118279</v>
      </c>
      <c r="N43" s="161">
        <f t="shared" si="2"/>
        <v>79.065389784946262</v>
      </c>
      <c r="O43" s="161">
        <f t="shared" si="2"/>
        <v>0.11243279569892473</v>
      </c>
      <c r="P43" s="161">
        <f t="shared" si="2"/>
        <v>0.37665994623655913</v>
      </c>
      <c r="Q43" s="161">
        <f t="shared" si="2"/>
        <v>4.6641557280942587</v>
      </c>
      <c r="R43" s="161"/>
      <c r="S43" s="161"/>
      <c r="T43" s="161"/>
      <c r="U43" s="161"/>
    </row>
    <row r="44" spans="1:21" s="2" customFormat="1">
      <c r="A44" s="144" t="s">
        <v>51</v>
      </c>
      <c r="B44" s="161">
        <f t="shared" ref="B44:Q44" si="3">STDEV(B9:B39)</f>
        <v>8.290432343039375E-2</v>
      </c>
      <c r="C44" s="161">
        <f t="shared" si="3"/>
        <v>3.7630044759879556E-2</v>
      </c>
      <c r="D44" s="161">
        <f t="shared" si="3"/>
        <v>6.5797150036731797E-2</v>
      </c>
      <c r="E44" s="161">
        <f t="shared" si="3"/>
        <v>0.9476995602818008</v>
      </c>
      <c r="F44" s="161">
        <f t="shared" si="3"/>
        <v>1.8671228761255676</v>
      </c>
      <c r="G44" s="161">
        <f t="shared" si="3"/>
        <v>12.503876091312181</v>
      </c>
      <c r="H44" s="161">
        <f t="shared" si="3"/>
        <v>8.1476281514229907</v>
      </c>
      <c r="I44" s="161">
        <f t="shared" si="3"/>
        <v>0.79607032787931642</v>
      </c>
      <c r="J44" s="161">
        <f t="shared" si="3"/>
        <v>0.1865746463473735</v>
      </c>
      <c r="K44" s="161">
        <f t="shared" si="3"/>
        <v>48.26700001871194</v>
      </c>
      <c r="L44" s="161">
        <f t="shared" si="3"/>
        <v>1.4354450962590672</v>
      </c>
      <c r="M44" s="161">
        <f t="shared" si="3"/>
        <v>6.5737323571277066</v>
      </c>
      <c r="N44" s="161">
        <f t="shared" si="3"/>
        <v>33.577659906114114</v>
      </c>
      <c r="O44" s="161">
        <f t="shared" si="3"/>
        <v>0.14416153237382012</v>
      </c>
      <c r="P44" s="161">
        <f t="shared" si="3"/>
        <v>7.708595122940029E-2</v>
      </c>
      <c r="Q44" s="161">
        <f t="shared" si="3"/>
        <v>6.6303844839704598E-2</v>
      </c>
      <c r="R44" s="147"/>
      <c r="S44" s="147"/>
      <c r="T44" s="147"/>
      <c r="U44" s="147"/>
    </row>
    <row r="45" spans="1:21" s="2" customFormat="1">
      <c r="A45" s="144" t="s">
        <v>52</v>
      </c>
      <c r="B45" s="147">
        <f t="shared" ref="B45:Q45" si="4">COUNT(B9:B39)</f>
        <v>31</v>
      </c>
      <c r="C45" s="147">
        <f t="shared" si="4"/>
        <v>31</v>
      </c>
      <c r="D45" s="147">
        <f t="shared" si="4"/>
        <v>31</v>
      </c>
      <c r="E45" s="147">
        <f t="shared" si="4"/>
        <v>31</v>
      </c>
      <c r="F45" s="147">
        <f t="shared" si="4"/>
        <v>31</v>
      </c>
      <c r="G45" s="147">
        <f t="shared" si="4"/>
        <v>31</v>
      </c>
      <c r="H45" s="147">
        <f t="shared" si="4"/>
        <v>31</v>
      </c>
      <c r="I45" s="147">
        <f t="shared" si="4"/>
        <v>31</v>
      </c>
      <c r="J45" s="147">
        <f t="shared" si="4"/>
        <v>31</v>
      </c>
      <c r="K45" s="147">
        <f t="shared" si="4"/>
        <v>31</v>
      </c>
      <c r="L45" s="147">
        <f t="shared" si="4"/>
        <v>31</v>
      </c>
      <c r="M45" s="147">
        <f t="shared" si="4"/>
        <v>31</v>
      </c>
      <c r="N45" s="147">
        <f t="shared" si="4"/>
        <v>31</v>
      </c>
      <c r="O45" s="147">
        <f t="shared" si="4"/>
        <v>31</v>
      </c>
      <c r="P45" s="147">
        <f t="shared" si="4"/>
        <v>31</v>
      </c>
      <c r="Q45" s="147">
        <f t="shared" si="4"/>
        <v>31</v>
      </c>
      <c r="R45" s="147"/>
      <c r="S45" s="147"/>
      <c r="T45" s="147"/>
      <c r="U45" s="147"/>
    </row>
    <row r="46" spans="1:21">
      <c r="A46" s="144" t="s">
        <v>53</v>
      </c>
      <c r="B46" s="147" t="str">
        <f>IF(B45&gt;=28,"&gt;90%",IF(B45&lt;=28,"&lt;90%"))</f>
        <v>&gt;90%</v>
      </c>
      <c r="C46" s="147" t="str">
        <f t="shared" ref="C46:Q46" si="5">IF(C45&gt;=28,"&gt;90%",IF(C45&lt;=28,"&lt;90%"))</f>
        <v>&gt;90%</v>
      </c>
      <c r="D46" s="147" t="str">
        <f t="shared" si="5"/>
        <v>&gt;90%</v>
      </c>
      <c r="E46" s="147" t="str">
        <f t="shared" si="5"/>
        <v>&gt;90%</v>
      </c>
      <c r="F46" s="147" t="str">
        <f t="shared" si="5"/>
        <v>&gt;90%</v>
      </c>
      <c r="G46" s="147" t="str">
        <f t="shared" si="5"/>
        <v>&gt;90%</v>
      </c>
      <c r="H46" s="147" t="str">
        <f t="shared" si="5"/>
        <v>&gt;90%</v>
      </c>
      <c r="I46" s="147" t="str">
        <f t="shared" si="5"/>
        <v>&gt;90%</v>
      </c>
      <c r="J46" s="147" t="str">
        <f t="shared" si="5"/>
        <v>&gt;90%</v>
      </c>
      <c r="K46" s="147" t="str">
        <f t="shared" si="5"/>
        <v>&gt;90%</v>
      </c>
      <c r="L46" s="147" t="str">
        <f t="shared" si="5"/>
        <v>&gt;90%</v>
      </c>
      <c r="M46" s="147" t="str">
        <f t="shared" si="5"/>
        <v>&gt;90%</v>
      </c>
      <c r="N46" s="147" t="str">
        <f t="shared" si="5"/>
        <v>&gt;90%</v>
      </c>
      <c r="O46" s="147" t="str">
        <f t="shared" si="5"/>
        <v>&gt;90%</v>
      </c>
      <c r="P46" s="147" t="str">
        <f t="shared" si="5"/>
        <v>&gt;90%</v>
      </c>
      <c r="Q46" s="147" t="str">
        <f t="shared" si="5"/>
        <v>&gt;90%</v>
      </c>
      <c r="R46" s="147"/>
      <c r="S46" s="147"/>
      <c r="T46" s="147"/>
      <c r="U46" s="147"/>
    </row>
    <row r="47" spans="1:21">
      <c r="A47" s="144" t="s">
        <v>54</v>
      </c>
      <c r="B47" s="147" t="str">
        <f>IF(B45&gt;=28,"OK",IF(B45&lt;=28,"LESS"))</f>
        <v>OK</v>
      </c>
      <c r="C47" s="147" t="str">
        <f t="shared" ref="C47:Q47" si="6">IF(C45&gt;=28,"OK",IF(C45&lt;=28,"LESS"))</f>
        <v>OK</v>
      </c>
      <c r="D47" s="147" t="str">
        <f t="shared" si="6"/>
        <v>OK</v>
      </c>
      <c r="E47" s="147" t="str">
        <f t="shared" si="6"/>
        <v>OK</v>
      </c>
      <c r="F47" s="147" t="str">
        <f t="shared" si="6"/>
        <v>OK</v>
      </c>
      <c r="G47" s="147" t="str">
        <f t="shared" si="6"/>
        <v>OK</v>
      </c>
      <c r="H47" s="147" t="str">
        <f t="shared" si="6"/>
        <v>OK</v>
      </c>
      <c r="I47" s="147" t="str">
        <f t="shared" si="6"/>
        <v>OK</v>
      </c>
      <c r="J47" s="147" t="str">
        <f t="shared" si="6"/>
        <v>OK</v>
      </c>
      <c r="K47" s="147" t="str">
        <f t="shared" si="6"/>
        <v>OK</v>
      </c>
      <c r="L47" s="147" t="str">
        <f t="shared" si="6"/>
        <v>OK</v>
      </c>
      <c r="M47" s="147" t="str">
        <f t="shared" si="6"/>
        <v>OK</v>
      </c>
      <c r="N47" s="147" t="str">
        <f t="shared" si="6"/>
        <v>OK</v>
      </c>
      <c r="O47" s="147" t="str">
        <f t="shared" si="6"/>
        <v>OK</v>
      </c>
      <c r="P47" s="147" t="str">
        <f t="shared" si="6"/>
        <v>OK</v>
      </c>
      <c r="Q47" s="147" t="str">
        <f t="shared" si="6"/>
        <v>OK</v>
      </c>
      <c r="R47" s="2"/>
      <c r="S47" s="2"/>
      <c r="T47" s="2"/>
    </row>
    <row r="48" spans="1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44" t="s">
        <v>55</v>
      </c>
      <c r="B50" s="191" t="s">
        <v>56</v>
      </c>
      <c r="C50" s="191"/>
      <c r="D50" s="19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62"/>
      <c r="B51" s="2"/>
      <c r="C51" s="2"/>
      <c r="D51" s="163"/>
      <c r="E51" s="163"/>
      <c r="F51" s="163"/>
      <c r="G51" s="163"/>
      <c r="H51" s="163"/>
      <c r="I51" s="163"/>
      <c r="J51" s="2"/>
      <c r="K51" s="2"/>
      <c r="L51" s="2"/>
      <c r="M51" s="2"/>
      <c r="N51" s="2"/>
      <c r="O51" s="2"/>
      <c r="P51" s="2"/>
    </row>
    <row r="52" spans="1:16" ht="15.75">
      <c r="A52" s="164" t="s">
        <v>57</v>
      </c>
      <c r="B52" s="193"/>
      <c r="C52" s="193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</row>
    <row r="53" spans="1:16">
      <c r="A53" s="16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6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6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>
  <dimension ref="B1:X119"/>
  <sheetViews>
    <sheetView topLeftCell="I13" workbookViewId="0">
      <selection activeCell="U29" sqref="U29"/>
    </sheetView>
  </sheetViews>
  <sheetFormatPr defaultColWidth="8.85546875" defaultRowHeight="15"/>
  <cols>
    <col min="1" max="1" width="4.5703125" style="2" customWidth="1"/>
    <col min="2" max="2" width="16.140625" style="86" customWidth="1"/>
    <col min="3" max="3" width="10.28515625" style="2" customWidth="1"/>
    <col min="4" max="7" width="9.140625" style="2" customWidth="1"/>
    <col min="8" max="8" width="9.140625" style="88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89" customWidth="1"/>
    <col min="16" max="16" width="10.85546875" style="89" customWidth="1"/>
    <col min="17" max="17" width="15.42578125" style="89" customWidth="1"/>
    <col min="18" max="18" width="13.42578125" style="89" customWidth="1"/>
    <col min="19" max="19" width="16.85546875" style="90" customWidth="1"/>
    <col min="20" max="20" width="10" style="90" customWidth="1"/>
    <col min="21" max="21" width="12.85546875" style="89" customWidth="1"/>
    <col min="22" max="22" width="10.7109375" style="89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91" t="s">
        <v>60</v>
      </c>
      <c r="D1" s="194" t="s">
        <v>61</v>
      </c>
      <c r="E1" s="194"/>
      <c r="F1" s="194"/>
      <c r="G1" s="194"/>
      <c r="H1" s="194"/>
      <c r="I1" s="194"/>
      <c r="J1" s="195"/>
    </row>
    <row r="2" spans="2:24" ht="22.5" customHeight="1">
      <c r="B2" s="2"/>
      <c r="C2" s="91" t="s">
        <v>2</v>
      </c>
      <c r="D2" s="196" t="s">
        <v>238</v>
      </c>
      <c r="E2" s="197"/>
      <c r="F2" s="197"/>
      <c r="G2" s="197"/>
      <c r="H2" s="197"/>
      <c r="I2" s="197"/>
      <c r="J2" s="198"/>
    </row>
    <row r="4" spans="2:24">
      <c r="S4" s="89"/>
      <c r="T4" s="89"/>
      <c r="U4" s="90"/>
      <c r="V4" s="90"/>
      <c r="W4" s="89"/>
      <c r="X4" s="89"/>
    </row>
    <row r="5" spans="2:24">
      <c r="B5" s="92"/>
      <c r="C5" s="93"/>
      <c r="D5" s="93"/>
      <c r="E5" s="93"/>
      <c r="F5" s="93"/>
      <c r="G5" s="199" t="s">
        <v>62</v>
      </c>
      <c r="H5" s="199"/>
      <c r="I5" s="93"/>
      <c r="J5" s="93"/>
      <c r="K5" s="93"/>
      <c r="L5" s="93"/>
      <c r="M5" s="107"/>
      <c r="O5" s="108"/>
      <c r="P5" s="109"/>
      <c r="Q5" s="109"/>
      <c r="R5" s="109"/>
      <c r="S5" s="127" t="s">
        <v>63</v>
      </c>
      <c r="T5" s="109"/>
      <c r="U5" s="128"/>
      <c r="V5" s="128"/>
      <c r="W5" s="109"/>
      <c r="X5" s="129"/>
    </row>
    <row r="6" spans="2:24">
      <c r="B6" s="94"/>
      <c r="C6" s="6"/>
      <c r="D6" s="6"/>
      <c r="E6" s="6"/>
      <c r="F6" s="6"/>
      <c r="G6" s="6"/>
      <c r="H6" s="95"/>
      <c r="I6" s="6"/>
      <c r="J6" s="6"/>
      <c r="K6" s="6"/>
      <c r="L6" s="6"/>
      <c r="M6" s="110"/>
      <c r="O6" s="111"/>
      <c r="P6" s="112"/>
      <c r="Q6" s="112"/>
      <c r="R6" s="112"/>
      <c r="S6" s="112"/>
      <c r="T6" s="112"/>
      <c r="U6" s="130"/>
      <c r="V6" s="130"/>
      <c r="W6" s="112"/>
      <c r="X6" s="131"/>
    </row>
    <row r="7" spans="2:24" ht="15.75">
      <c r="B7" s="96" t="s">
        <v>64</v>
      </c>
      <c r="C7" s="97" t="s">
        <v>65</v>
      </c>
      <c r="D7" s="97" t="s">
        <v>66</v>
      </c>
      <c r="E7" s="97" t="s">
        <v>67</v>
      </c>
      <c r="F7" s="97" t="s">
        <v>68</v>
      </c>
      <c r="G7" s="97" t="s">
        <v>69</v>
      </c>
      <c r="H7" s="98" t="s">
        <v>70</v>
      </c>
      <c r="I7" s="97" t="s">
        <v>71</v>
      </c>
      <c r="J7" s="97" t="s">
        <v>72</v>
      </c>
      <c r="K7" s="97" t="s">
        <v>73</v>
      </c>
      <c r="L7" s="97" t="s">
        <v>54</v>
      </c>
      <c r="M7" s="39" t="s">
        <v>74</v>
      </c>
      <c r="O7" s="113" t="s">
        <v>64</v>
      </c>
      <c r="P7" s="114" t="s">
        <v>65</v>
      </c>
      <c r="Q7" s="114" t="s">
        <v>75</v>
      </c>
      <c r="R7" s="114" t="s">
        <v>11</v>
      </c>
      <c r="S7" s="114" t="s">
        <v>76</v>
      </c>
      <c r="T7" s="114" t="s">
        <v>77</v>
      </c>
      <c r="U7" s="132" t="s">
        <v>78</v>
      </c>
      <c r="V7" s="132" t="s">
        <v>79</v>
      </c>
      <c r="W7" s="114" t="s">
        <v>54</v>
      </c>
      <c r="X7" s="133" t="s">
        <v>74</v>
      </c>
    </row>
    <row r="8" spans="2:24" ht="15.75">
      <c r="B8" s="82" t="s">
        <v>244</v>
      </c>
      <c r="C8" s="6" t="s">
        <v>62</v>
      </c>
      <c r="D8" s="6" t="s">
        <v>39</v>
      </c>
      <c r="E8" s="6">
        <v>0</v>
      </c>
      <c r="F8" s="6">
        <v>200</v>
      </c>
      <c r="G8" s="6">
        <v>0.9</v>
      </c>
      <c r="H8" s="95">
        <v>199.9</v>
      </c>
      <c r="I8" s="6">
        <v>0</v>
      </c>
      <c r="J8" s="95">
        <f>F8/H8</f>
        <v>1.0005002501250626</v>
      </c>
      <c r="K8" s="95">
        <f>(H8-F8)*100/F8</f>
        <v>-4.9999999999997158E-2</v>
      </c>
      <c r="L8" s="6" t="s">
        <v>80</v>
      </c>
      <c r="M8" s="115" t="s">
        <v>35</v>
      </c>
      <c r="O8" s="82" t="s">
        <v>239</v>
      </c>
      <c r="P8" s="112" t="s">
        <v>63</v>
      </c>
      <c r="Q8" s="112">
        <v>4523.3599999999997</v>
      </c>
      <c r="R8" s="112">
        <v>3469.63</v>
      </c>
      <c r="S8" s="134" t="s">
        <v>81</v>
      </c>
      <c r="T8" s="134">
        <v>864.03</v>
      </c>
      <c r="U8" s="130">
        <v>0.96360000000000001</v>
      </c>
      <c r="V8" s="130">
        <v>0.96360000000000001</v>
      </c>
      <c r="W8" s="6" t="s">
        <v>80</v>
      </c>
      <c r="X8" s="115" t="s">
        <v>35</v>
      </c>
    </row>
    <row r="9" spans="2:24" ht="15.75">
      <c r="B9" s="82"/>
      <c r="C9" s="6" t="s">
        <v>62</v>
      </c>
      <c r="D9" s="6" t="s">
        <v>39</v>
      </c>
      <c r="E9" s="6">
        <v>0</v>
      </c>
      <c r="F9" s="6">
        <v>200</v>
      </c>
      <c r="G9" s="6">
        <v>0</v>
      </c>
      <c r="H9" s="95"/>
      <c r="I9" s="6">
        <v>0</v>
      </c>
      <c r="J9" s="95" t="e">
        <f t="shared" ref="J9:J14" si="0">F9/H9</f>
        <v>#DIV/0!</v>
      </c>
      <c r="K9" s="95">
        <f t="shared" ref="K9:K14" si="1">(H9-F9)*100/F9</f>
        <v>-100</v>
      </c>
      <c r="L9" s="6" t="s">
        <v>80</v>
      </c>
      <c r="M9" s="115" t="s">
        <v>56</v>
      </c>
      <c r="O9" s="82" t="s">
        <v>241</v>
      </c>
      <c r="P9" s="112" t="s">
        <v>63</v>
      </c>
      <c r="Q9" s="112">
        <v>4856.3500000000004</v>
      </c>
      <c r="R9" s="112">
        <v>3718.46</v>
      </c>
      <c r="S9" s="134" t="s">
        <v>81</v>
      </c>
      <c r="T9" s="134">
        <v>855.61</v>
      </c>
      <c r="U9" s="130">
        <v>0.96360000000000001</v>
      </c>
      <c r="V9" s="130">
        <v>0.97309999999999997</v>
      </c>
      <c r="W9" s="6" t="s">
        <v>80</v>
      </c>
      <c r="X9" s="115" t="s">
        <v>35</v>
      </c>
    </row>
    <row r="10" spans="2:24" ht="15.75">
      <c r="B10" s="82"/>
      <c r="C10" s="6" t="s">
        <v>62</v>
      </c>
      <c r="D10" s="6" t="s">
        <v>39</v>
      </c>
      <c r="E10" s="6">
        <v>0</v>
      </c>
      <c r="F10" s="6">
        <v>200</v>
      </c>
      <c r="G10" s="6">
        <v>0</v>
      </c>
      <c r="H10" s="95"/>
      <c r="I10" s="6">
        <v>0</v>
      </c>
      <c r="J10" s="95" t="e">
        <f t="shared" si="0"/>
        <v>#DIV/0!</v>
      </c>
      <c r="K10" s="95">
        <f t="shared" si="1"/>
        <v>-100</v>
      </c>
      <c r="L10" s="6" t="s">
        <v>80</v>
      </c>
      <c r="M10" s="115" t="s">
        <v>56</v>
      </c>
      <c r="O10" s="80">
        <v>45500.606249999997</v>
      </c>
      <c r="P10" s="112" t="s">
        <v>63</v>
      </c>
      <c r="Q10" s="112">
        <v>4748.83</v>
      </c>
      <c r="R10" s="112">
        <v>3625.88</v>
      </c>
      <c r="S10" s="134" t="s">
        <v>81</v>
      </c>
      <c r="T10" s="130">
        <v>872.98</v>
      </c>
      <c r="U10" s="130">
        <v>0.97309999999999997</v>
      </c>
      <c r="V10" s="112">
        <v>0.96299999999999997</v>
      </c>
      <c r="W10" s="6" t="s">
        <v>80</v>
      </c>
      <c r="X10" s="115" t="s">
        <v>56</v>
      </c>
    </row>
    <row r="11" spans="2:24" ht="15.75">
      <c r="B11" s="82"/>
      <c r="C11" s="6" t="s">
        <v>62</v>
      </c>
      <c r="D11" s="6" t="s">
        <v>39</v>
      </c>
      <c r="E11" s="6">
        <v>0</v>
      </c>
      <c r="F11" s="6">
        <v>200</v>
      </c>
      <c r="G11" s="6">
        <v>0</v>
      </c>
      <c r="H11" s="95"/>
      <c r="I11" s="6">
        <v>0</v>
      </c>
      <c r="J11" s="95" t="e">
        <f t="shared" si="0"/>
        <v>#DIV/0!</v>
      </c>
      <c r="K11" s="95">
        <f t="shared" si="1"/>
        <v>-100</v>
      </c>
      <c r="L11" s="6" t="s">
        <v>80</v>
      </c>
      <c r="M11" s="115" t="s">
        <v>56</v>
      </c>
      <c r="O11" s="82"/>
      <c r="P11" s="112" t="s">
        <v>63</v>
      </c>
      <c r="Q11" s="112"/>
      <c r="R11" s="112"/>
      <c r="S11" s="134" t="s">
        <v>81</v>
      </c>
      <c r="T11" s="134"/>
      <c r="U11" s="130"/>
      <c r="V11" s="130"/>
      <c r="W11" s="6" t="s">
        <v>80</v>
      </c>
      <c r="X11" s="115" t="s">
        <v>56</v>
      </c>
    </row>
    <row r="12" spans="2:24" ht="15.75">
      <c r="B12" s="82"/>
      <c r="C12" s="6" t="s">
        <v>62</v>
      </c>
      <c r="D12" s="6" t="s">
        <v>39</v>
      </c>
      <c r="E12" s="6">
        <v>0</v>
      </c>
      <c r="F12" s="6">
        <v>200</v>
      </c>
      <c r="G12" s="6">
        <v>0</v>
      </c>
      <c r="H12" s="95"/>
      <c r="I12" s="6">
        <v>0</v>
      </c>
      <c r="J12" s="95" t="e">
        <f t="shared" si="0"/>
        <v>#DIV/0!</v>
      </c>
      <c r="K12" s="95">
        <f t="shared" si="1"/>
        <v>-100</v>
      </c>
      <c r="L12" s="6" t="s">
        <v>80</v>
      </c>
      <c r="M12" s="115" t="s">
        <v>56</v>
      </c>
      <c r="O12" s="82"/>
      <c r="P12" s="112" t="s">
        <v>63</v>
      </c>
      <c r="Q12" s="112"/>
      <c r="R12" s="112"/>
      <c r="S12" s="134" t="s">
        <v>81</v>
      </c>
      <c r="T12" s="134"/>
      <c r="U12" s="130"/>
      <c r="V12" s="130"/>
      <c r="W12" s="6" t="s">
        <v>80</v>
      </c>
      <c r="X12" s="115" t="s">
        <v>56</v>
      </c>
    </row>
    <row r="13" spans="2:24" ht="15.75">
      <c r="B13" s="82"/>
      <c r="C13" s="6" t="s">
        <v>62</v>
      </c>
      <c r="D13" s="6" t="s">
        <v>39</v>
      </c>
      <c r="E13" s="6">
        <v>0</v>
      </c>
      <c r="F13" s="6">
        <v>200</v>
      </c>
      <c r="G13" s="6">
        <v>0</v>
      </c>
      <c r="H13" s="95"/>
      <c r="I13" s="6">
        <v>0</v>
      </c>
      <c r="J13" s="95" t="e">
        <f t="shared" si="0"/>
        <v>#DIV/0!</v>
      </c>
      <c r="K13" s="95">
        <f t="shared" si="1"/>
        <v>-100</v>
      </c>
      <c r="L13" s="6" t="s">
        <v>80</v>
      </c>
      <c r="M13" s="115" t="s">
        <v>56</v>
      </c>
      <c r="O13" s="82"/>
      <c r="P13" s="112" t="s">
        <v>63</v>
      </c>
      <c r="Q13" s="112"/>
      <c r="R13" s="112"/>
      <c r="S13" s="134" t="s">
        <v>81</v>
      </c>
      <c r="T13" s="134"/>
      <c r="U13" s="130"/>
      <c r="V13" s="130"/>
      <c r="W13" s="6" t="s">
        <v>80</v>
      </c>
      <c r="X13" s="115" t="s">
        <v>56</v>
      </c>
    </row>
    <row r="14" spans="2:24" ht="15.75">
      <c r="B14" s="82"/>
      <c r="C14" s="6" t="s">
        <v>62</v>
      </c>
      <c r="D14" s="6" t="s">
        <v>39</v>
      </c>
      <c r="E14" s="6">
        <v>0</v>
      </c>
      <c r="F14" s="6">
        <v>200</v>
      </c>
      <c r="G14" s="6">
        <v>0</v>
      </c>
      <c r="H14" s="95"/>
      <c r="I14" s="6">
        <v>0</v>
      </c>
      <c r="J14" s="95" t="e">
        <f t="shared" si="0"/>
        <v>#DIV/0!</v>
      </c>
      <c r="K14" s="95">
        <f t="shared" si="1"/>
        <v>-100</v>
      </c>
      <c r="L14" s="6" t="s">
        <v>80</v>
      </c>
      <c r="M14" s="115" t="s">
        <v>56</v>
      </c>
      <c r="O14" s="82"/>
      <c r="P14" s="112" t="s">
        <v>63</v>
      </c>
      <c r="Q14" s="112"/>
      <c r="R14" s="112"/>
      <c r="S14" s="134" t="s">
        <v>81</v>
      </c>
      <c r="T14" s="134"/>
      <c r="U14" s="130"/>
      <c r="V14" s="130"/>
      <c r="W14" s="6" t="s">
        <v>80</v>
      </c>
      <c r="X14" s="115" t="s">
        <v>56</v>
      </c>
    </row>
    <row r="15" spans="2:24" ht="15.75">
      <c r="B15" s="82"/>
      <c r="C15" s="6"/>
      <c r="D15" s="6"/>
      <c r="E15" s="6"/>
      <c r="F15" s="6"/>
      <c r="G15" s="6"/>
      <c r="H15" s="95"/>
      <c r="I15" s="6"/>
      <c r="J15" s="95"/>
      <c r="K15" s="95"/>
      <c r="L15" s="6"/>
      <c r="M15" s="116"/>
      <c r="O15" s="82"/>
      <c r="P15" s="112" t="s">
        <v>63</v>
      </c>
      <c r="Q15" s="112"/>
      <c r="R15" s="112"/>
      <c r="S15" s="134" t="s">
        <v>81</v>
      </c>
      <c r="T15" s="134"/>
      <c r="U15" s="130"/>
      <c r="V15" s="130"/>
      <c r="W15" s="6" t="s">
        <v>80</v>
      </c>
      <c r="X15" s="115"/>
    </row>
    <row r="16" spans="2:24" ht="15.75">
      <c r="B16" s="82"/>
      <c r="C16" s="6"/>
      <c r="D16" s="6"/>
      <c r="E16" s="6"/>
      <c r="F16" s="6"/>
      <c r="G16" s="6"/>
      <c r="H16" s="95"/>
      <c r="I16" s="6"/>
      <c r="J16" s="95"/>
      <c r="K16" s="95"/>
      <c r="L16" s="6"/>
      <c r="M16" s="116"/>
      <c r="O16" s="82"/>
      <c r="P16" s="112" t="s">
        <v>63</v>
      </c>
      <c r="Q16" s="112"/>
      <c r="R16" s="112"/>
      <c r="S16" s="134" t="s">
        <v>81</v>
      </c>
      <c r="T16" s="134"/>
      <c r="U16" s="130"/>
      <c r="V16" s="130"/>
      <c r="W16" s="6" t="s">
        <v>80</v>
      </c>
      <c r="X16" s="115"/>
    </row>
    <row r="17" spans="2:24" ht="15.75">
      <c r="B17" s="82"/>
      <c r="C17" s="6"/>
      <c r="D17" s="6"/>
      <c r="E17" s="6"/>
      <c r="F17" s="6"/>
      <c r="G17" s="6"/>
      <c r="H17" s="95"/>
      <c r="I17" s="6"/>
      <c r="J17" s="95"/>
      <c r="K17" s="95"/>
      <c r="L17" s="6"/>
      <c r="M17" s="116"/>
      <c r="O17" s="82"/>
      <c r="P17" s="112" t="s">
        <v>63</v>
      </c>
      <c r="Q17" s="112"/>
      <c r="R17" s="112"/>
      <c r="S17" s="134" t="s">
        <v>81</v>
      </c>
      <c r="T17" s="134"/>
      <c r="U17" s="130"/>
      <c r="V17" s="130"/>
      <c r="W17" s="6"/>
      <c r="X17" s="115"/>
    </row>
    <row r="18" spans="2:24" ht="15.75">
      <c r="B18" s="83"/>
      <c r="C18" s="6"/>
      <c r="D18" s="6"/>
      <c r="E18" s="6"/>
      <c r="F18" s="6"/>
      <c r="G18" s="6"/>
      <c r="H18" s="95"/>
      <c r="I18" s="6"/>
      <c r="J18" s="95"/>
      <c r="K18" s="95"/>
      <c r="L18" s="6"/>
      <c r="M18" s="116"/>
      <c r="O18" s="117"/>
      <c r="P18" s="112"/>
      <c r="Q18" s="112"/>
      <c r="R18" s="112"/>
      <c r="S18" s="134"/>
      <c r="T18" s="134"/>
      <c r="U18" s="130"/>
      <c r="V18" s="130"/>
      <c r="W18" s="6"/>
      <c r="X18" s="115"/>
    </row>
    <row r="19" spans="2:24" ht="15.75">
      <c r="B19" s="83"/>
      <c r="C19" s="6"/>
      <c r="D19" s="6"/>
      <c r="E19" s="6"/>
      <c r="F19" s="6"/>
      <c r="G19" s="6"/>
      <c r="H19" s="95"/>
      <c r="I19" s="6"/>
      <c r="J19" s="95"/>
      <c r="K19" s="95"/>
      <c r="L19" s="6"/>
      <c r="M19" s="116"/>
      <c r="O19" s="118"/>
      <c r="P19" s="112"/>
      <c r="Q19" s="112"/>
      <c r="R19" s="112"/>
      <c r="S19" s="134"/>
      <c r="T19" s="134"/>
      <c r="U19" s="130"/>
      <c r="V19" s="130"/>
      <c r="W19" s="6"/>
      <c r="X19" s="115"/>
    </row>
    <row r="20" spans="2:24" ht="15.75">
      <c r="B20" s="83"/>
      <c r="C20" s="6"/>
      <c r="D20" s="6"/>
      <c r="E20" s="6"/>
      <c r="F20" s="6"/>
      <c r="G20" s="6"/>
      <c r="H20" s="95"/>
      <c r="I20" s="6"/>
      <c r="J20" s="95"/>
      <c r="K20" s="95"/>
      <c r="L20" s="6"/>
      <c r="M20" s="116"/>
      <c r="O20" s="118"/>
      <c r="P20" s="112"/>
      <c r="Q20" s="112"/>
      <c r="R20" s="112"/>
      <c r="S20" s="134"/>
      <c r="T20" s="134"/>
      <c r="U20" s="130"/>
      <c r="V20" s="130"/>
      <c r="W20" s="6"/>
      <c r="X20" s="115"/>
    </row>
    <row r="21" spans="2:24">
      <c r="B21" s="99"/>
      <c r="C21" s="200" t="s">
        <v>82</v>
      </c>
      <c r="D21" s="200"/>
      <c r="E21" s="200"/>
      <c r="F21" s="200"/>
      <c r="G21" s="200"/>
      <c r="H21" s="200"/>
      <c r="I21" s="119">
        <f>COUNT(B8:B20)</f>
        <v>0</v>
      </c>
      <c r="J21" s="120"/>
      <c r="K21" s="120"/>
      <c r="L21" s="106"/>
      <c r="M21" s="121"/>
      <c r="O21" s="122"/>
      <c r="P21" s="201" t="s">
        <v>83</v>
      </c>
      <c r="Q21" s="201"/>
      <c r="R21" s="201"/>
      <c r="S21" s="201"/>
      <c r="T21" s="135">
        <f>COUNT(O8:O20)</f>
        <v>1</v>
      </c>
      <c r="U21" s="136"/>
      <c r="V21" s="136"/>
      <c r="W21" s="137"/>
      <c r="X21" s="138"/>
    </row>
    <row r="22" spans="2:24">
      <c r="C22" s="100"/>
      <c r="D22" s="100"/>
      <c r="E22" s="100"/>
      <c r="F22" s="100"/>
      <c r="G22" s="100"/>
      <c r="H22" s="101"/>
      <c r="J22" s="88"/>
      <c r="K22" s="88"/>
      <c r="S22" s="89"/>
      <c r="T22" s="89"/>
      <c r="U22" s="90"/>
      <c r="V22" s="90"/>
      <c r="W22" s="89"/>
      <c r="X22" s="89"/>
    </row>
    <row r="23" spans="2:24">
      <c r="J23" s="88"/>
      <c r="K23" s="88"/>
      <c r="S23" s="89"/>
      <c r="T23" s="89"/>
      <c r="U23" s="90"/>
      <c r="V23" s="90"/>
      <c r="W23" s="89"/>
      <c r="X23" s="89"/>
    </row>
    <row r="24" spans="2:24">
      <c r="B24" s="92"/>
      <c r="C24" s="102"/>
      <c r="D24" s="102"/>
      <c r="E24" s="102"/>
      <c r="F24" s="102"/>
      <c r="G24" s="202" t="s">
        <v>84</v>
      </c>
      <c r="H24" s="202"/>
      <c r="I24" s="93"/>
      <c r="J24" s="123"/>
      <c r="K24" s="123"/>
      <c r="L24" s="93"/>
      <c r="M24" s="107"/>
      <c r="O24" s="108"/>
      <c r="P24" s="109"/>
      <c r="Q24" s="109"/>
      <c r="R24" s="109"/>
      <c r="S24" s="127" t="s">
        <v>29</v>
      </c>
      <c r="T24" s="109"/>
      <c r="U24" s="128"/>
      <c r="V24" s="128"/>
      <c r="W24" s="109"/>
      <c r="X24" s="129"/>
    </row>
    <row r="25" spans="2:24">
      <c r="B25" s="103"/>
      <c r="C25" s="104"/>
      <c r="D25" s="104"/>
      <c r="E25" s="104"/>
      <c r="F25" s="104"/>
      <c r="G25" s="105"/>
      <c r="H25" s="105"/>
      <c r="I25" s="105"/>
      <c r="J25" s="124"/>
      <c r="K25" s="124"/>
      <c r="L25" s="105"/>
      <c r="M25" s="125"/>
      <c r="O25" s="111"/>
      <c r="P25" s="112"/>
      <c r="Q25" s="112"/>
      <c r="R25" s="112"/>
      <c r="S25" s="112"/>
      <c r="T25" s="112"/>
      <c r="U25" s="130"/>
      <c r="V25" s="130"/>
      <c r="W25" s="112"/>
      <c r="X25" s="131"/>
    </row>
    <row r="26" spans="2:24" ht="15.75">
      <c r="B26" s="96" t="s">
        <v>64</v>
      </c>
      <c r="C26" s="97" t="s">
        <v>65</v>
      </c>
      <c r="D26" s="97" t="s">
        <v>66</v>
      </c>
      <c r="E26" s="97" t="s">
        <v>67</v>
      </c>
      <c r="F26" s="97" t="s">
        <v>68</v>
      </c>
      <c r="G26" s="97" t="s">
        <v>69</v>
      </c>
      <c r="H26" s="98" t="s">
        <v>70</v>
      </c>
      <c r="I26" s="97" t="s">
        <v>71</v>
      </c>
      <c r="J26" s="97" t="s">
        <v>72</v>
      </c>
      <c r="K26" s="97" t="s">
        <v>73</v>
      </c>
      <c r="L26" s="97" t="s">
        <v>54</v>
      </c>
      <c r="M26" s="39" t="s">
        <v>74</v>
      </c>
      <c r="O26" s="113" t="s">
        <v>64</v>
      </c>
      <c r="P26" s="114" t="s">
        <v>65</v>
      </c>
      <c r="Q26" s="114" t="s">
        <v>75</v>
      </c>
      <c r="R26" s="114" t="s">
        <v>11</v>
      </c>
      <c r="S26" s="114" t="s">
        <v>76</v>
      </c>
      <c r="T26" s="114" t="s">
        <v>77</v>
      </c>
      <c r="U26" s="132" t="s">
        <v>78</v>
      </c>
      <c r="V26" s="132" t="s">
        <v>79</v>
      </c>
      <c r="W26" s="114" t="s">
        <v>54</v>
      </c>
      <c r="X26" s="133" t="s">
        <v>74</v>
      </c>
    </row>
    <row r="27" spans="2:24" ht="15.75">
      <c r="B27" s="82" t="s">
        <v>243</v>
      </c>
      <c r="C27" s="6" t="s">
        <v>85</v>
      </c>
      <c r="D27" s="6" t="s">
        <v>39</v>
      </c>
      <c r="E27" s="6">
        <v>0</v>
      </c>
      <c r="F27" s="6">
        <v>200</v>
      </c>
      <c r="G27" s="6">
        <v>2.1</v>
      </c>
      <c r="H27" s="95">
        <v>90.88</v>
      </c>
      <c r="I27" s="6">
        <v>0</v>
      </c>
      <c r="J27" s="95">
        <f>F27/H27</f>
        <v>2.200704225352113</v>
      </c>
      <c r="K27" s="95">
        <f>(H27-F27)*100/F27</f>
        <v>-54.56</v>
      </c>
      <c r="L27" s="6" t="s">
        <v>15</v>
      </c>
      <c r="M27" s="115" t="s">
        <v>35</v>
      </c>
      <c r="O27" s="82" t="s">
        <v>240</v>
      </c>
      <c r="P27" s="112" t="s">
        <v>29</v>
      </c>
      <c r="Q27" s="112">
        <v>4591.09</v>
      </c>
      <c r="R27" s="112">
        <v>3555.86</v>
      </c>
      <c r="S27" s="134" t="s">
        <v>86</v>
      </c>
      <c r="T27" s="134">
        <v>784.5</v>
      </c>
      <c r="U27" s="130">
        <v>0.91479999999999995</v>
      </c>
      <c r="V27" s="130">
        <v>0.92010000000000003</v>
      </c>
      <c r="W27" s="6" t="s">
        <v>80</v>
      </c>
      <c r="X27" s="115" t="s">
        <v>35</v>
      </c>
    </row>
    <row r="28" spans="2:24" ht="15.75">
      <c r="B28" s="82"/>
      <c r="C28" s="6" t="s">
        <v>85</v>
      </c>
      <c r="D28" s="6" t="s">
        <v>39</v>
      </c>
      <c r="E28" s="6">
        <v>0</v>
      </c>
      <c r="F28" s="6">
        <v>200</v>
      </c>
      <c r="G28" s="6"/>
      <c r="H28" s="95"/>
      <c r="I28" s="6">
        <v>0</v>
      </c>
      <c r="J28" s="95" t="e">
        <f t="shared" ref="J28:J33" si="2">F28/H28</f>
        <v>#DIV/0!</v>
      </c>
      <c r="K28" s="95">
        <f t="shared" ref="K28:K33" si="3">(H28-F28)*100/F28</f>
        <v>-100</v>
      </c>
      <c r="L28" s="6" t="s">
        <v>80</v>
      </c>
      <c r="M28" s="115" t="s">
        <v>56</v>
      </c>
      <c r="O28" s="82" t="s">
        <v>241</v>
      </c>
      <c r="P28" s="112" t="s">
        <v>29</v>
      </c>
      <c r="Q28" s="112">
        <v>4574.53</v>
      </c>
      <c r="R28" s="112">
        <v>3531.79</v>
      </c>
      <c r="S28" s="134" t="s">
        <v>86</v>
      </c>
      <c r="T28" s="134">
        <v>791.82</v>
      </c>
      <c r="U28" s="130">
        <v>0.92010000000000003</v>
      </c>
      <c r="V28" s="130">
        <v>0.91679999999999995</v>
      </c>
      <c r="W28" s="6" t="s">
        <v>80</v>
      </c>
      <c r="X28" s="115" t="s">
        <v>35</v>
      </c>
    </row>
    <row r="29" spans="2:24" ht="15.75">
      <c r="B29" s="82"/>
      <c r="C29" s="6" t="s">
        <v>85</v>
      </c>
      <c r="D29" s="6" t="s">
        <v>39</v>
      </c>
      <c r="E29" s="6">
        <v>0</v>
      </c>
      <c r="F29" s="6">
        <v>200</v>
      </c>
      <c r="G29" s="6"/>
      <c r="H29" s="95"/>
      <c r="I29" s="6">
        <v>0</v>
      </c>
      <c r="J29" s="95" t="e">
        <f t="shared" si="2"/>
        <v>#DIV/0!</v>
      </c>
      <c r="K29" s="95">
        <f t="shared" si="3"/>
        <v>-100</v>
      </c>
      <c r="L29" s="6" t="s">
        <v>80</v>
      </c>
      <c r="M29" s="115" t="s">
        <v>56</v>
      </c>
      <c r="O29" s="80">
        <v>45500.606249999997</v>
      </c>
      <c r="P29" s="112" t="s">
        <v>29</v>
      </c>
      <c r="Q29" s="112">
        <v>5072.84</v>
      </c>
      <c r="R29" s="112">
        <v>3921.03</v>
      </c>
      <c r="S29" s="134" t="s">
        <v>86</v>
      </c>
      <c r="T29" s="134">
        <v>783.26</v>
      </c>
      <c r="U29" s="130">
        <v>0.91679999999999995</v>
      </c>
      <c r="V29" s="130">
        <v>0.92349999999999999</v>
      </c>
      <c r="W29" s="6" t="s">
        <v>80</v>
      </c>
      <c r="X29" s="115" t="s">
        <v>56</v>
      </c>
    </row>
    <row r="30" spans="2:24" ht="15.75">
      <c r="B30" s="82"/>
      <c r="C30" s="6" t="s">
        <v>85</v>
      </c>
      <c r="D30" s="6" t="s">
        <v>39</v>
      </c>
      <c r="E30" s="6">
        <v>0</v>
      </c>
      <c r="F30" s="6">
        <v>200</v>
      </c>
      <c r="G30" s="6"/>
      <c r="H30" s="95"/>
      <c r="I30" s="6">
        <v>0</v>
      </c>
      <c r="J30" s="95" t="e">
        <f t="shared" si="2"/>
        <v>#DIV/0!</v>
      </c>
      <c r="K30" s="95">
        <f t="shared" si="3"/>
        <v>-100</v>
      </c>
      <c r="L30" s="6" t="s">
        <v>80</v>
      </c>
      <c r="M30" s="115" t="s">
        <v>56</v>
      </c>
      <c r="O30" s="82"/>
      <c r="P30" s="112" t="s">
        <v>29</v>
      </c>
      <c r="Q30" s="112"/>
      <c r="R30" s="112"/>
      <c r="S30" s="134" t="s">
        <v>86</v>
      </c>
      <c r="T30" s="134"/>
      <c r="U30" s="130"/>
      <c r="V30" s="130"/>
      <c r="W30" s="6" t="s">
        <v>80</v>
      </c>
      <c r="X30" s="115" t="s">
        <v>56</v>
      </c>
    </row>
    <row r="31" spans="2:24" ht="15.75">
      <c r="B31" s="82"/>
      <c r="C31" s="6" t="s">
        <v>85</v>
      </c>
      <c r="D31" s="6" t="s">
        <v>39</v>
      </c>
      <c r="E31" s="6">
        <v>0</v>
      </c>
      <c r="F31" s="6">
        <v>200</v>
      </c>
      <c r="G31" s="6"/>
      <c r="H31" s="95"/>
      <c r="I31" s="6">
        <v>0</v>
      </c>
      <c r="J31" s="95" t="e">
        <f t="shared" si="2"/>
        <v>#DIV/0!</v>
      </c>
      <c r="K31" s="95">
        <f t="shared" si="3"/>
        <v>-100</v>
      </c>
      <c r="L31" s="6" t="s">
        <v>80</v>
      </c>
      <c r="M31" s="115" t="s">
        <v>56</v>
      </c>
      <c r="O31" s="82"/>
      <c r="P31" s="112" t="s">
        <v>29</v>
      </c>
      <c r="Q31" s="112"/>
      <c r="R31" s="112"/>
      <c r="S31" s="134" t="s">
        <v>86</v>
      </c>
      <c r="T31" s="134"/>
      <c r="U31" s="130"/>
      <c r="V31" s="130"/>
      <c r="W31" s="6" t="s">
        <v>80</v>
      </c>
      <c r="X31" s="115" t="s">
        <v>56</v>
      </c>
    </row>
    <row r="32" spans="2:24" ht="15.75">
      <c r="B32" s="82"/>
      <c r="C32" s="6" t="s">
        <v>85</v>
      </c>
      <c r="D32" s="6" t="s">
        <v>39</v>
      </c>
      <c r="E32" s="6">
        <v>0</v>
      </c>
      <c r="F32" s="6">
        <v>200</v>
      </c>
      <c r="G32" s="6"/>
      <c r="H32" s="95"/>
      <c r="I32" s="6">
        <v>0</v>
      </c>
      <c r="J32" s="95" t="e">
        <f t="shared" si="2"/>
        <v>#DIV/0!</v>
      </c>
      <c r="K32" s="95">
        <f t="shared" si="3"/>
        <v>-100</v>
      </c>
      <c r="L32" s="6" t="s">
        <v>80</v>
      </c>
      <c r="M32" s="115" t="s">
        <v>56</v>
      </c>
      <c r="O32" s="82"/>
      <c r="P32" s="112" t="s">
        <v>29</v>
      </c>
      <c r="Q32" s="112"/>
      <c r="R32" s="112"/>
      <c r="S32" s="134" t="s">
        <v>86</v>
      </c>
      <c r="T32" s="134"/>
      <c r="U32" s="130"/>
      <c r="V32" s="130"/>
      <c r="W32" s="6" t="s">
        <v>80</v>
      </c>
      <c r="X32" s="115" t="s">
        <v>56</v>
      </c>
    </row>
    <row r="33" spans="2:24" ht="15.75">
      <c r="B33" s="82"/>
      <c r="C33" s="6" t="s">
        <v>85</v>
      </c>
      <c r="D33" s="6" t="s">
        <v>39</v>
      </c>
      <c r="E33" s="6">
        <v>0</v>
      </c>
      <c r="F33" s="6">
        <v>200</v>
      </c>
      <c r="G33" s="6"/>
      <c r="H33" s="95"/>
      <c r="I33" s="6">
        <v>0</v>
      </c>
      <c r="J33" s="95" t="e">
        <f t="shared" si="2"/>
        <v>#DIV/0!</v>
      </c>
      <c r="K33" s="95">
        <f t="shared" si="3"/>
        <v>-100</v>
      </c>
      <c r="L33" s="6" t="s">
        <v>80</v>
      </c>
      <c r="M33" s="115" t="s">
        <v>56</v>
      </c>
      <c r="O33" s="82"/>
      <c r="P33" s="112" t="s">
        <v>29</v>
      </c>
      <c r="Q33" s="112"/>
      <c r="R33" s="112"/>
      <c r="S33" s="134" t="s">
        <v>86</v>
      </c>
      <c r="T33" s="134"/>
      <c r="U33" s="130"/>
      <c r="V33" s="130"/>
      <c r="W33" s="6" t="s">
        <v>80</v>
      </c>
      <c r="X33" s="115" t="s">
        <v>56</v>
      </c>
    </row>
    <row r="34" spans="2:24" ht="15.75">
      <c r="B34" s="82"/>
      <c r="C34" s="6"/>
      <c r="D34" s="6"/>
      <c r="E34" s="6"/>
      <c r="F34" s="6"/>
      <c r="G34" s="6"/>
      <c r="H34" s="95"/>
      <c r="I34" s="6"/>
      <c r="J34" s="95"/>
      <c r="K34" s="95"/>
      <c r="L34" s="6"/>
      <c r="M34" s="116"/>
      <c r="O34" s="82"/>
      <c r="P34" s="112" t="s">
        <v>29</v>
      </c>
      <c r="Q34" s="112"/>
      <c r="R34" s="112"/>
      <c r="S34" s="134" t="s">
        <v>86</v>
      </c>
      <c r="T34" s="134"/>
      <c r="U34" s="130"/>
      <c r="V34" s="130"/>
      <c r="W34" s="6" t="s">
        <v>80</v>
      </c>
      <c r="X34" s="115"/>
    </row>
    <row r="35" spans="2:24" ht="15.75">
      <c r="B35" s="82"/>
      <c r="C35" s="6"/>
      <c r="D35" s="6"/>
      <c r="E35" s="6"/>
      <c r="F35" s="6"/>
      <c r="G35" s="6"/>
      <c r="H35" s="95"/>
      <c r="I35" s="6"/>
      <c r="J35" s="95"/>
      <c r="K35" s="95"/>
      <c r="L35" s="6"/>
      <c r="M35" s="116"/>
      <c r="O35" s="82"/>
      <c r="P35" s="112" t="s">
        <v>29</v>
      </c>
      <c r="Q35" s="112"/>
      <c r="R35" s="112"/>
      <c r="S35" s="134" t="s">
        <v>86</v>
      </c>
      <c r="T35" s="134"/>
      <c r="U35" s="130"/>
      <c r="V35" s="130"/>
      <c r="W35" s="6" t="s">
        <v>80</v>
      </c>
      <c r="X35" s="115"/>
    </row>
    <row r="36" spans="2:24" ht="15.75">
      <c r="B36" s="82"/>
      <c r="C36" s="6"/>
      <c r="D36" s="6"/>
      <c r="E36" s="6"/>
      <c r="F36" s="6"/>
      <c r="G36" s="6"/>
      <c r="H36" s="95"/>
      <c r="I36" s="6"/>
      <c r="J36" s="95"/>
      <c r="K36" s="95"/>
      <c r="L36" s="6"/>
      <c r="M36" s="116"/>
      <c r="O36" s="82"/>
      <c r="P36" s="112" t="s">
        <v>29</v>
      </c>
      <c r="Q36" s="112"/>
      <c r="R36" s="112"/>
      <c r="S36" s="134" t="s">
        <v>86</v>
      </c>
      <c r="T36" s="134"/>
      <c r="U36" s="130"/>
      <c r="V36" s="130"/>
      <c r="W36" s="6"/>
      <c r="X36" s="115"/>
    </row>
    <row r="37" spans="2:24" ht="15.75">
      <c r="B37" s="83"/>
      <c r="C37" s="6"/>
      <c r="D37" s="6"/>
      <c r="E37" s="6"/>
      <c r="F37" s="6"/>
      <c r="G37" s="6"/>
      <c r="H37" s="95"/>
      <c r="I37" s="6"/>
      <c r="J37" s="95"/>
      <c r="K37" s="95"/>
      <c r="L37" s="6"/>
      <c r="M37" s="116"/>
      <c r="O37" s="117"/>
      <c r="P37" s="112" t="s">
        <v>29</v>
      </c>
      <c r="Q37" s="112"/>
      <c r="R37" s="112"/>
      <c r="S37" s="134" t="s">
        <v>86</v>
      </c>
      <c r="T37" s="134"/>
      <c r="U37" s="130"/>
      <c r="V37" s="130"/>
      <c r="W37" s="6"/>
      <c r="X37" s="115"/>
    </row>
    <row r="38" spans="2:24" ht="15.75">
      <c r="B38" s="83"/>
      <c r="C38" s="6"/>
      <c r="D38" s="6"/>
      <c r="E38" s="6"/>
      <c r="F38" s="6"/>
      <c r="G38" s="6"/>
      <c r="H38" s="95"/>
      <c r="I38" s="6"/>
      <c r="J38" s="95"/>
      <c r="K38" s="95"/>
      <c r="L38" s="6"/>
      <c r="M38" s="116"/>
      <c r="O38" s="118"/>
      <c r="P38" s="112"/>
      <c r="Q38" s="112"/>
      <c r="R38" s="112"/>
      <c r="S38" s="134"/>
      <c r="T38" s="134"/>
      <c r="U38" s="130"/>
      <c r="V38" s="130"/>
      <c r="W38" s="6"/>
      <c r="X38" s="115"/>
    </row>
    <row r="39" spans="2:24" ht="15.75">
      <c r="B39" s="83"/>
      <c r="C39" s="6"/>
      <c r="D39" s="6"/>
      <c r="E39" s="6"/>
      <c r="F39" s="6"/>
      <c r="G39" s="6"/>
      <c r="H39" s="95"/>
      <c r="I39" s="6"/>
      <c r="J39" s="95"/>
      <c r="K39" s="95"/>
      <c r="L39" s="6"/>
      <c r="M39" s="116"/>
      <c r="O39" s="118"/>
      <c r="P39" s="112"/>
      <c r="Q39" s="112"/>
      <c r="R39" s="112"/>
      <c r="S39" s="134"/>
      <c r="T39" s="134"/>
      <c r="U39" s="130"/>
      <c r="V39" s="130"/>
      <c r="W39" s="6"/>
      <c r="X39" s="115"/>
    </row>
    <row r="40" spans="2:24" ht="15.75">
      <c r="B40" s="94"/>
      <c r="C40" s="6"/>
      <c r="D40" s="6"/>
      <c r="E40" s="6"/>
      <c r="F40" s="6"/>
      <c r="G40" s="6"/>
      <c r="H40" s="95"/>
      <c r="I40" s="6"/>
      <c r="J40" s="95"/>
      <c r="K40" s="95"/>
      <c r="L40" s="6"/>
      <c r="M40" s="116"/>
      <c r="O40" s="122"/>
      <c r="P40" s="201" t="s">
        <v>87</v>
      </c>
      <c r="Q40" s="201"/>
      <c r="R40" s="201"/>
      <c r="S40" s="201"/>
      <c r="T40" s="135">
        <f>COUNT(O8:O39)</f>
        <v>2</v>
      </c>
      <c r="U40" s="136"/>
      <c r="V40" s="136"/>
      <c r="W40" s="137"/>
      <c r="X40" s="138"/>
    </row>
    <row r="41" spans="2:24">
      <c r="B41" s="99"/>
      <c r="C41" s="106"/>
      <c r="D41" s="200" t="s">
        <v>88</v>
      </c>
      <c r="E41" s="200"/>
      <c r="F41" s="200"/>
      <c r="G41" s="200"/>
      <c r="H41" s="200"/>
      <c r="I41" s="200"/>
      <c r="J41" s="126">
        <f>COUNT(B27:B39)</f>
        <v>0</v>
      </c>
      <c r="K41" s="120"/>
      <c r="L41" s="106"/>
      <c r="M41" s="121"/>
      <c r="S41" s="89"/>
      <c r="T41" s="89"/>
      <c r="U41" s="90"/>
      <c r="V41" s="90"/>
      <c r="W41" s="89"/>
      <c r="X41" s="89"/>
    </row>
    <row r="44" spans="2:24">
      <c r="B44" s="92"/>
      <c r="C44" s="102"/>
      <c r="D44" s="102"/>
      <c r="E44" s="102"/>
      <c r="F44" s="102"/>
      <c r="G44" s="202" t="s">
        <v>38</v>
      </c>
      <c r="H44" s="202"/>
      <c r="I44" s="93"/>
      <c r="J44" s="123"/>
      <c r="K44" s="123"/>
      <c r="L44" s="93"/>
      <c r="M44" s="107"/>
    </row>
    <row r="45" spans="2:24">
      <c r="B45" s="94"/>
      <c r="C45" s="6"/>
      <c r="D45" s="6"/>
      <c r="E45" s="6"/>
      <c r="F45" s="6"/>
      <c r="G45" s="6"/>
      <c r="H45" s="95"/>
      <c r="I45" s="6"/>
      <c r="J45" s="95"/>
      <c r="K45" s="95"/>
      <c r="L45" s="6"/>
      <c r="M45" s="110"/>
    </row>
    <row r="46" spans="2:24" ht="15.75">
      <c r="B46" s="96" t="s">
        <v>64</v>
      </c>
      <c r="C46" s="97" t="s">
        <v>65</v>
      </c>
      <c r="D46" s="97" t="s">
        <v>66</v>
      </c>
      <c r="E46" s="97" t="s">
        <v>67</v>
      </c>
      <c r="F46" s="97" t="s">
        <v>68</v>
      </c>
      <c r="G46" s="97" t="s">
        <v>69</v>
      </c>
      <c r="H46" s="98" t="s">
        <v>70</v>
      </c>
      <c r="I46" s="97" t="s">
        <v>71</v>
      </c>
      <c r="J46" s="97" t="s">
        <v>72</v>
      </c>
      <c r="K46" s="97" t="s">
        <v>73</v>
      </c>
      <c r="L46" s="97" t="s">
        <v>54</v>
      </c>
      <c r="M46" s="39" t="s">
        <v>74</v>
      </c>
    </row>
    <row r="47" spans="2:24" ht="15.75">
      <c r="B47" s="8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95"/>
      <c r="I47" s="6">
        <v>0</v>
      </c>
      <c r="J47" s="95" t="e">
        <f>F47/H47</f>
        <v>#DIV/0!</v>
      </c>
      <c r="K47" s="95">
        <f>(H47-F47)*100/F47</f>
        <v>-100</v>
      </c>
      <c r="L47" s="6" t="s">
        <v>80</v>
      </c>
      <c r="M47" s="115" t="s">
        <v>56</v>
      </c>
    </row>
    <row r="48" spans="2:24" ht="15.75">
      <c r="B48" s="8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95"/>
      <c r="I48" s="6">
        <v>0</v>
      </c>
      <c r="J48" s="95" t="e">
        <f>F48/H48</f>
        <v>#DIV/0!</v>
      </c>
      <c r="K48" s="95">
        <f>(H48-F48)*100/F48</f>
        <v>-100</v>
      </c>
      <c r="L48" s="6" t="s">
        <v>80</v>
      </c>
      <c r="M48" s="115" t="s">
        <v>56</v>
      </c>
    </row>
    <row r="49" spans="2:13" ht="15.75">
      <c r="B49" s="8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95"/>
      <c r="I49" s="6">
        <v>0</v>
      </c>
      <c r="J49" s="95" t="e">
        <f>F49/H49</f>
        <v>#DIV/0!</v>
      </c>
      <c r="K49" s="95">
        <f>(H49-F49)*100/F49</f>
        <v>-100</v>
      </c>
      <c r="L49" s="6" t="s">
        <v>80</v>
      </c>
      <c r="M49" s="115" t="s">
        <v>56</v>
      </c>
    </row>
    <row r="50" spans="2:13" ht="15.75">
      <c r="B50" s="8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95"/>
      <c r="I50" s="6">
        <v>0</v>
      </c>
      <c r="J50" s="95" t="e">
        <f>F50/H50</f>
        <v>#DIV/0!</v>
      </c>
      <c r="K50" s="95">
        <f>(H50-F50)*100/F50</f>
        <v>-100</v>
      </c>
      <c r="L50" s="6" t="s">
        <v>80</v>
      </c>
      <c r="M50" s="115" t="s">
        <v>56</v>
      </c>
    </row>
    <row r="51" spans="2:13" ht="15.75">
      <c r="B51" s="8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95"/>
      <c r="I51" s="6">
        <v>0</v>
      </c>
      <c r="J51" s="95" t="e">
        <f>F51/H51</f>
        <v>#DIV/0!</v>
      </c>
      <c r="K51" s="95">
        <f>(H51-F51)*100/F51</f>
        <v>-100</v>
      </c>
      <c r="L51" s="6" t="s">
        <v>80</v>
      </c>
      <c r="M51" s="115" t="s">
        <v>56</v>
      </c>
    </row>
    <row r="52" spans="2:13" ht="15.75">
      <c r="B52" s="83"/>
      <c r="C52" s="6"/>
      <c r="D52" s="6"/>
      <c r="E52" s="6"/>
      <c r="F52" s="6"/>
      <c r="G52" s="6"/>
      <c r="H52" s="95"/>
      <c r="I52" s="6"/>
      <c r="J52" s="95"/>
      <c r="K52" s="95"/>
      <c r="L52" s="6"/>
      <c r="M52" s="115" t="s">
        <v>56</v>
      </c>
    </row>
    <row r="53" spans="2:13" ht="15.75">
      <c r="B53" s="83"/>
      <c r="C53" s="6"/>
      <c r="D53" s="6"/>
      <c r="E53" s="6"/>
      <c r="F53" s="6"/>
      <c r="G53" s="6"/>
      <c r="H53" s="95"/>
      <c r="I53" s="6"/>
      <c r="J53" s="95"/>
      <c r="K53" s="95"/>
      <c r="L53" s="6"/>
      <c r="M53" s="115" t="s">
        <v>56</v>
      </c>
    </row>
    <row r="54" spans="2:13" ht="15.75">
      <c r="B54" s="83"/>
      <c r="C54" s="6"/>
      <c r="D54" s="6"/>
      <c r="E54" s="6"/>
      <c r="F54" s="6"/>
      <c r="G54" s="6"/>
      <c r="H54" s="95"/>
      <c r="I54" s="6"/>
      <c r="J54" s="95"/>
      <c r="K54" s="95"/>
      <c r="L54" s="6"/>
      <c r="M54" s="116"/>
    </row>
    <row r="55" spans="2:13" ht="15.75">
      <c r="B55" s="83"/>
      <c r="C55" s="6"/>
      <c r="D55" s="6"/>
      <c r="E55" s="6"/>
      <c r="F55" s="6"/>
      <c r="G55" s="6"/>
      <c r="H55" s="95"/>
      <c r="I55" s="6"/>
      <c r="J55" s="95"/>
      <c r="K55" s="95"/>
      <c r="L55" s="6"/>
      <c r="M55" s="116"/>
    </row>
    <row r="56" spans="2:13" ht="15.75">
      <c r="B56" s="83"/>
      <c r="C56" s="6"/>
      <c r="D56" s="6"/>
      <c r="E56" s="6"/>
      <c r="F56" s="6"/>
      <c r="G56" s="6"/>
      <c r="H56" s="95"/>
      <c r="I56" s="6"/>
      <c r="J56" s="95"/>
      <c r="K56" s="95"/>
      <c r="L56" s="6"/>
      <c r="M56" s="116"/>
    </row>
    <row r="57" spans="2:13" ht="15.75">
      <c r="B57" s="83"/>
      <c r="C57" s="6"/>
      <c r="D57" s="6"/>
      <c r="E57" s="6"/>
      <c r="F57" s="6"/>
      <c r="G57" s="6"/>
      <c r="H57" s="95"/>
      <c r="I57" s="6"/>
      <c r="J57" s="95"/>
      <c r="K57" s="95"/>
      <c r="L57" s="6"/>
      <c r="M57" s="116"/>
    </row>
    <row r="58" spans="2:13" ht="15.75">
      <c r="B58" s="83"/>
      <c r="C58" s="6"/>
      <c r="D58" s="6"/>
      <c r="E58" s="6"/>
      <c r="F58" s="6"/>
      <c r="G58" s="6"/>
      <c r="H58" s="95"/>
      <c r="I58" s="6"/>
      <c r="J58" s="95"/>
      <c r="K58" s="95"/>
      <c r="L58" s="6"/>
      <c r="M58" s="116"/>
    </row>
    <row r="59" spans="2:13" ht="15.75">
      <c r="B59" s="83"/>
      <c r="C59" s="6"/>
      <c r="D59" s="6"/>
      <c r="E59" s="6"/>
      <c r="F59" s="6"/>
      <c r="G59" s="6"/>
      <c r="H59" s="95"/>
      <c r="I59" s="6"/>
      <c r="J59" s="95"/>
      <c r="K59" s="95"/>
      <c r="L59" s="6"/>
      <c r="M59" s="116"/>
    </row>
    <row r="60" spans="2:13" ht="15.75">
      <c r="B60" s="94"/>
      <c r="C60" s="6"/>
      <c r="D60" s="6"/>
      <c r="E60" s="6"/>
      <c r="F60" s="6"/>
      <c r="G60" s="6"/>
      <c r="H60" s="95"/>
      <c r="I60" s="6"/>
      <c r="J60" s="95"/>
      <c r="K60" s="95"/>
      <c r="L60" s="6"/>
      <c r="M60" s="116"/>
    </row>
    <row r="61" spans="2:13">
      <c r="B61" s="99"/>
      <c r="C61" s="106"/>
      <c r="D61" s="200" t="s">
        <v>89</v>
      </c>
      <c r="E61" s="200"/>
      <c r="F61" s="200"/>
      <c r="G61" s="200"/>
      <c r="H61" s="200"/>
      <c r="I61" s="200"/>
      <c r="J61" s="126">
        <f>COUNT(B47:B59)</f>
        <v>0</v>
      </c>
      <c r="K61" s="120"/>
      <c r="L61" s="106"/>
      <c r="M61" s="121"/>
    </row>
    <row r="64" spans="2:13">
      <c r="B64" s="92"/>
      <c r="C64" s="102"/>
      <c r="D64" s="102"/>
      <c r="E64" s="102"/>
      <c r="F64" s="102"/>
      <c r="G64" s="202" t="s">
        <v>37</v>
      </c>
      <c r="H64" s="202"/>
      <c r="I64" s="93"/>
      <c r="J64" s="123"/>
      <c r="K64" s="123"/>
      <c r="L64" s="93"/>
      <c r="M64" s="107"/>
    </row>
    <row r="65" spans="2:13">
      <c r="B65" s="94"/>
      <c r="C65" s="6"/>
      <c r="D65" s="6"/>
      <c r="E65" s="6"/>
      <c r="F65" s="6"/>
      <c r="G65" s="6"/>
      <c r="H65" s="95"/>
      <c r="I65" s="6"/>
      <c r="J65" s="95"/>
      <c r="K65" s="95"/>
      <c r="L65" s="6"/>
      <c r="M65" s="110"/>
    </row>
    <row r="66" spans="2:13" ht="15.75">
      <c r="B66" s="96" t="s">
        <v>64</v>
      </c>
      <c r="C66" s="97" t="s">
        <v>65</v>
      </c>
      <c r="D66" s="97" t="s">
        <v>66</v>
      </c>
      <c r="E66" s="97" t="s">
        <v>67</v>
      </c>
      <c r="F66" s="97" t="s">
        <v>68</v>
      </c>
      <c r="G66" s="97" t="s">
        <v>69</v>
      </c>
      <c r="H66" s="98" t="s">
        <v>70</v>
      </c>
      <c r="I66" s="97" t="s">
        <v>71</v>
      </c>
      <c r="J66" s="97" t="s">
        <v>72</v>
      </c>
      <c r="K66" s="97" t="s">
        <v>73</v>
      </c>
      <c r="L66" s="97" t="s">
        <v>54</v>
      </c>
      <c r="M66" s="39" t="s">
        <v>74</v>
      </c>
    </row>
    <row r="67" spans="2:13" ht="15.75">
      <c r="B67" s="189" t="s">
        <v>245</v>
      </c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39">
        <v>4.99</v>
      </c>
      <c r="I67" s="6">
        <v>0</v>
      </c>
      <c r="J67" s="95">
        <f>F67/H67</f>
        <v>1.002004008016032</v>
      </c>
      <c r="K67" s="95">
        <f>(H67-F67)*100/F67</f>
        <v>-0.19999999999999574</v>
      </c>
      <c r="L67" s="6" t="s">
        <v>80</v>
      </c>
      <c r="M67" s="115" t="s">
        <v>35</v>
      </c>
    </row>
    <row r="68" spans="2:13" ht="15.75">
      <c r="B68" s="82"/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95"/>
      <c r="I68" s="6">
        <v>0</v>
      </c>
      <c r="J68" s="95" t="e">
        <f t="shared" ref="J68:J73" si="4">F68/H68</f>
        <v>#DIV/0!</v>
      </c>
      <c r="K68" s="95">
        <f t="shared" ref="K68:K73" si="5">(H68-F68)*100/F68</f>
        <v>-100</v>
      </c>
      <c r="L68" s="6" t="s">
        <v>80</v>
      </c>
      <c r="M68" s="115" t="s">
        <v>56</v>
      </c>
    </row>
    <row r="69" spans="2:13" ht="15.75">
      <c r="B69" s="82"/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95"/>
      <c r="I69" s="6">
        <v>0</v>
      </c>
      <c r="J69" s="95" t="e">
        <f t="shared" si="4"/>
        <v>#DIV/0!</v>
      </c>
      <c r="K69" s="95">
        <f t="shared" si="5"/>
        <v>-100</v>
      </c>
      <c r="L69" s="6" t="s">
        <v>80</v>
      </c>
      <c r="M69" s="115" t="s">
        <v>56</v>
      </c>
    </row>
    <row r="70" spans="2:13" ht="15.75">
      <c r="B70" s="8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95"/>
      <c r="I70" s="6">
        <v>0</v>
      </c>
      <c r="J70" s="95" t="e">
        <f t="shared" si="4"/>
        <v>#DIV/0!</v>
      </c>
      <c r="K70" s="95">
        <f t="shared" si="5"/>
        <v>-100</v>
      </c>
      <c r="L70" s="6" t="s">
        <v>80</v>
      </c>
      <c r="M70" s="115" t="s">
        <v>56</v>
      </c>
    </row>
    <row r="71" spans="2:13" ht="15.75">
      <c r="B71" s="8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39"/>
      <c r="I71" s="6">
        <v>0</v>
      </c>
      <c r="J71" s="95" t="e">
        <f t="shared" si="4"/>
        <v>#DIV/0!</v>
      </c>
      <c r="K71" s="95">
        <f t="shared" si="5"/>
        <v>-100</v>
      </c>
      <c r="L71" s="6" t="s">
        <v>80</v>
      </c>
      <c r="M71" s="115" t="s">
        <v>56</v>
      </c>
    </row>
    <row r="72" spans="2:13" ht="15.75">
      <c r="B72" s="8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39"/>
      <c r="I72" s="6">
        <v>0</v>
      </c>
      <c r="J72" s="95" t="e">
        <f t="shared" si="4"/>
        <v>#DIV/0!</v>
      </c>
      <c r="K72" s="95">
        <f t="shared" si="5"/>
        <v>-100</v>
      </c>
      <c r="L72" s="6" t="s">
        <v>80</v>
      </c>
      <c r="M72" s="115" t="s">
        <v>56</v>
      </c>
    </row>
    <row r="73" spans="2:13" ht="15.75">
      <c r="B73" s="8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39"/>
      <c r="I73" s="6">
        <v>0</v>
      </c>
      <c r="J73" s="95" t="e">
        <f t="shared" si="4"/>
        <v>#DIV/0!</v>
      </c>
      <c r="K73" s="95">
        <f t="shared" si="5"/>
        <v>-100</v>
      </c>
      <c r="L73" s="6" t="s">
        <v>80</v>
      </c>
      <c r="M73" s="115" t="s">
        <v>56</v>
      </c>
    </row>
    <row r="74" spans="2:13" ht="15.75">
      <c r="B74" s="82"/>
      <c r="C74" s="6"/>
      <c r="D74" s="6"/>
      <c r="E74" s="6"/>
      <c r="F74" s="6"/>
      <c r="G74" s="6"/>
      <c r="H74" s="139"/>
      <c r="I74" s="6"/>
      <c r="J74" s="95"/>
      <c r="K74" s="95"/>
      <c r="L74" s="6"/>
      <c r="M74" s="116"/>
    </row>
    <row r="75" spans="2:13" ht="15.75">
      <c r="B75" s="82"/>
      <c r="C75" s="6"/>
      <c r="D75" s="6"/>
      <c r="E75" s="6"/>
      <c r="F75" s="6"/>
      <c r="G75" s="6"/>
      <c r="H75" s="139"/>
      <c r="I75" s="6"/>
      <c r="J75" s="95"/>
      <c r="K75" s="95"/>
      <c r="L75" s="6"/>
      <c r="M75" s="116"/>
    </row>
    <row r="76" spans="2:13" ht="15.75">
      <c r="B76" s="82"/>
      <c r="C76" s="6"/>
      <c r="D76" s="6"/>
      <c r="E76" s="6"/>
      <c r="F76" s="6"/>
      <c r="G76" s="6"/>
      <c r="H76" s="139"/>
      <c r="I76" s="6"/>
      <c r="J76" s="95"/>
      <c r="K76" s="95"/>
      <c r="L76" s="6"/>
      <c r="M76" s="116"/>
    </row>
    <row r="77" spans="2:13" ht="15.75">
      <c r="B77" s="83"/>
      <c r="C77" s="6"/>
      <c r="D77" s="6"/>
      <c r="E77" s="6"/>
      <c r="F77" s="6"/>
      <c r="G77" s="6"/>
      <c r="H77" s="139"/>
      <c r="I77" s="6"/>
      <c r="J77" s="95"/>
      <c r="K77" s="95"/>
      <c r="L77" s="6"/>
      <c r="M77" s="116"/>
    </row>
    <row r="78" spans="2:13" ht="15.75">
      <c r="B78" s="83"/>
      <c r="C78" s="6"/>
      <c r="D78" s="6"/>
      <c r="E78" s="6"/>
      <c r="F78" s="6"/>
      <c r="G78" s="6"/>
      <c r="H78" s="139"/>
      <c r="I78" s="6"/>
      <c r="J78" s="95"/>
      <c r="K78" s="95"/>
      <c r="L78" s="6"/>
      <c r="M78" s="116"/>
    </row>
    <row r="79" spans="2:13" ht="15.75">
      <c r="B79" s="83"/>
      <c r="C79" s="6"/>
      <c r="D79" s="6"/>
      <c r="E79" s="6"/>
      <c r="F79" s="6"/>
      <c r="G79" s="6"/>
      <c r="H79" s="139"/>
      <c r="I79" s="6"/>
      <c r="J79" s="95"/>
      <c r="K79" s="95"/>
      <c r="L79" s="6"/>
      <c r="M79" s="116"/>
    </row>
    <row r="80" spans="2:13" ht="15.75">
      <c r="B80" s="94"/>
      <c r="C80" s="6"/>
      <c r="D80" s="6"/>
      <c r="E80" s="6"/>
      <c r="F80" s="6"/>
      <c r="G80" s="6"/>
      <c r="H80" s="139"/>
      <c r="I80" s="6"/>
      <c r="J80" s="95"/>
      <c r="K80" s="95"/>
      <c r="L80" s="6"/>
      <c r="M80" s="116"/>
    </row>
    <row r="81" spans="2:13">
      <c r="B81" s="99"/>
      <c r="C81" s="106"/>
      <c r="D81" s="200" t="s">
        <v>90</v>
      </c>
      <c r="E81" s="200"/>
      <c r="F81" s="200"/>
      <c r="G81" s="200"/>
      <c r="H81" s="200"/>
      <c r="I81" s="200"/>
      <c r="J81" s="126">
        <f>COUNT(B67:B79)</f>
        <v>0</v>
      </c>
      <c r="K81" s="120"/>
      <c r="L81" s="106"/>
      <c r="M81" s="121"/>
    </row>
    <row r="84" spans="2:13">
      <c r="B84" s="92"/>
      <c r="C84" s="102"/>
      <c r="D84" s="102"/>
      <c r="E84" s="102"/>
      <c r="F84" s="102"/>
      <c r="G84" s="202" t="s">
        <v>91</v>
      </c>
      <c r="H84" s="202"/>
      <c r="I84" s="93"/>
      <c r="J84" s="123"/>
      <c r="K84" s="123"/>
      <c r="L84" s="93"/>
      <c r="M84" s="107"/>
    </row>
    <row r="85" spans="2:13">
      <c r="B85" s="94"/>
      <c r="C85" s="6"/>
      <c r="D85" s="6"/>
      <c r="E85" s="6"/>
      <c r="F85" s="6"/>
      <c r="G85" s="6"/>
      <c r="H85" s="95"/>
      <c r="I85" s="6"/>
      <c r="J85" s="95"/>
      <c r="K85" s="95"/>
      <c r="L85" s="6"/>
      <c r="M85" s="110"/>
    </row>
    <row r="86" spans="2:13" ht="15.75">
      <c r="B86" s="96" t="s">
        <v>64</v>
      </c>
      <c r="C86" s="97" t="s">
        <v>65</v>
      </c>
      <c r="D86" s="97" t="s">
        <v>66</v>
      </c>
      <c r="E86" s="97" t="s">
        <v>67</v>
      </c>
      <c r="F86" s="97" t="s">
        <v>68</v>
      </c>
      <c r="G86" s="97" t="s">
        <v>69</v>
      </c>
      <c r="H86" s="98" t="s">
        <v>70</v>
      </c>
      <c r="I86" s="97" t="s">
        <v>71</v>
      </c>
      <c r="J86" s="97" t="s">
        <v>72</v>
      </c>
      <c r="K86" s="97" t="s">
        <v>73</v>
      </c>
      <c r="L86" s="97" t="s">
        <v>54</v>
      </c>
      <c r="M86" s="39" t="s">
        <v>74</v>
      </c>
    </row>
    <row r="87" spans="2:13" ht="15.75">
      <c r="B87" s="82"/>
      <c r="C87" s="6" t="s">
        <v>91</v>
      </c>
      <c r="D87" s="6" t="s">
        <v>39</v>
      </c>
      <c r="E87" s="6">
        <v>0</v>
      </c>
      <c r="F87" s="6">
        <v>60</v>
      </c>
      <c r="G87" s="6">
        <v>0</v>
      </c>
      <c r="H87" s="95"/>
      <c r="I87" s="6">
        <v>0</v>
      </c>
      <c r="J87" s="95" t="e">
        <f t="shared" ref="J87:J92" si="6">F87/H87</f>
        <v>#DIV/0!</v>
      </c>
      <c r="K87" s="95">
        <f t="shared" ref="K87:K92" si="7">(H87-F87)*100/F87</f>
        <v>-100</v>
      </c>
      <c r="L87" s="6" t="s">
        <v>80</v>
      </c>
      <c r="M87" s="115" t="s">
        <v>56</v>
      </c>
    </row>
    <row r="88" spans="2:13" ht="15.75">
      <c r="B88" s="82"/>
      <c r="C88" s="6" t="s">
        <v>91</v>
      </c>
      <c r="D88" s="6" t="s">
        <v>39</v>
      </c>
      <c r="E88" s="6">
        <v>0</v>
      </c>
      <c r="F88" s="6">
        <v>60</v>
      </c>
      <c r="G88" s="6">
        <v>0</v>
      </c>
      <c r="H88" s="95"/>
      <c r="I88" s="6">
        <v>0</v>
      </c>
      <c r="J88" s="95" t="e">
        <f t="shared" si="6"/>
        <v>#DIV/0!</v>
      </c>
      <c r="K88" s="95">
        <f t="shared" si="7"/>
        <v>-100</v>
      </c>
      <c r="L88" s="6" t="s">
        <v>80</v>
      </c>
      <c r="M88" s="115" t="s">
        <v>56</v>
      </c>
    </row>
    <row r="89" spans="2:13" ht="15.75">
      <c r="B89" s="82"/>
      <c r="C89" s="6" t="s">
        <v>91</v>
      </c>
      <c r="D89" s="6" t="s">
        <v>39</v>
      </c>
      <c r="E89" s="6">
        <v>0</v>
      </c>
      <c r="F89" s="6">
        <v>60</v>
      </c>
      <c r="G89" s="6">
        <v>0</v>
      </c>
      <c r="H89" s="95"/>
      <c r="I89" s="6">
        <v>0</v>
      </c>
      <c r="J89" s="95" t="e">
        <f t="shared" si="6"/>
        <v>#DIV/0!</v>
      </c>
      <c r="K89" s="95">
        <f t="shared" si="7"/>
        <v>-100</v>
      </c>
      <c r="L89" s="6" t="s">
        <v>80</v>
      </c>
      <c r="M89" s="115" t="s">
        <v>56</v>
      </c>
    </row>
    <row r="90" spans="2:13" ht="15.75">
      <c r="B90" s="82"/>
      <c r="C90" s="6" t="s">
        <v>91</v>
      </c>
      <c r="D90" s="6" t="s">
        <v>39</v>
      </c>
      <c r="E90" s="6">
        <v>0</v>
      </c>
      <c r="F90" s="6">
        <v>60</v>
      </c>
      <c r="G90" s="6">
        <v>0</v>
      </c>
      <c r="H90" s="95"/>
      <c r="I90" s="6">
        <v>0</v>
      </c>
      <c r="J90" s="95" t="e">
        <f t="shared" si="6"/>
        <v>#DIV/0!</v>
      </c>
      <c r="K90" s="95">
        <f t="shared" si="7"/>
        <v>-100</v>
      </c>
      <c r="L90" s="6" t="s">
        <v>80</v>
      </c>
      <c r="M90" s="115" t="s">
        <v>56</v>
      </c>
    </row>
    <row r="91" spans="2:13" ht="15.75">
      <c r="B91" s="82"/>
      <c r="C91" s="6" t="s">
        <v>91</v>
      </c>
      <c r="D91" s="6" t="s">
        <v>39</v>
      </c>
      <c r="E91" s="6">
        <v>0</v>
      </c>
      <c r="F91" s="6">
        <v>60</v>
      </c>
      <c r="G91" s="6">
        <v>0</v>
      </c>
      <c r="H91" s="95"/>
      <c r="I91" s="6">
        <v>0</v>
      </c>
      <c r="J91" s="95" t="e">
        <f t="shared" si="6"/>
        <v>#DIV/0!</v>
      </c>
      <c r="K91" s="95">
        <f t="shared" si="7"/>
        <v>-100</v>
      </c>
      <c r="L91" s="6" t="s">
        <v>80</v>
      </c>
      <c r="M91" s="115" t="s">
        <v>56</v>
      </c>
    </row>
    <row r="92" spans="2:13" ht="15.75">
      <c r="B92" s="82"/>
      <c r="C92" s="6" t="s">
        <v>91</v>
      </c>
      <c r="D92" s="6" t="s">
        <v>39</v>
      </c>
      <c r="E92" s="6">
        <v>0</v>
      </c>
      <c r="F92" s="6">
        <v>60</v>
      </c>
      <c r="G92" s="6">
        <v>0</v>
      </c>
      <c r="H92" s="95"/>
      <c r="I92" s="6">
        <v>0</v>
      </c>
      <c r="J92" s="95" t="e">
        <f t="shared" si="6"/>
        <v>#DIV/0!</v>
      </c>
      <c r="K92" s="95">
        <f t="shared" si="7"/>
        <v>-100</v>
      </c>
      <c r="L92" s="6" t="s">
        <v>80</v>
      </c>
      <c r="M92" s="115" t="s">
        <v>56</v>
      </c>
    </row>
    <row r="93" spans="2:13" ht="15.75">
      <c r="B93" s="83"/>
      <c r="C93" s="6"/>
      <c r="D93" s="6"/>
      <c r="E93" s="6"/>
      <c r="F93" s="6"/>
      <c r="G93" s="6"/>
      <c r="H93" s="95"/>
      <c r="I93" s="6"/>
      <c r="J93" s="95"/>
      <c r="K93" s="95"/>
      <c r="L93" s="6"/>
      <c r="M93" s="115" t="s">
        <v>56</v>
      </c>
    </row>
    <row r="94" spans="2:13" ht="15.75">
      <c r="B94" s="83"/>
      <c r="C94" s="6"/>
      <c r="D94" s="6"/>
      <c r="E94" s="6"/>
      <c r="F94" s="6"/>
      <c r="G94" s="6"/>
      <c r="H94" s="95"/>
      <c r="I94" s="6"/>
      <c r="J94" s="95"/>
      <c r="K94" s="95"/>
      <c r="L94" s="6"/>
      <c r="M94" s="116"/>
    </row>
    <row r="95" spans="2:13" ht="15.75">
      <c r="B95" s="83"/>
      <c r="C95" s="6"/>
      <c r="D95" s="6"/>
      <c r="E95" s="6"/>
      <c r="F95" s="6"/>
      <c r="G95" s="6"/>
      <c r="H95" s="95"/>
      <c r="I95" s="6"/>
      <c r="J95" s="95"/>
      <c r="K95" s="95"/>
      <c r="L95" s="6"/>
      <c r="M95" s="116"/>
    </row>
    <row r="96" spans="2:13" ht="15.75">
      <c r="B96" s="83"/>
      <c r="C96" s="6"/>
      <c r="D96" s="6"/>
      <c r="E96" s="6"/>
      <c r="F96" s="6"/>
      <c r="G96" s="6"/>
      <c r="H96" s="95"/>
      <c r="I96" s="6"/>
      <c r="J96" s="95"/>
      <c r="K96" s="95"/>
      <c r="L96" s="6"/>
      <c r="M96" s="116"/>
    </row>
    <row r="97" spans="2:13" ht="15.75">
      <c r="B97" s="83"/>
      <c r="C97" s="6"/>
      <c r="D97" s="6"/>
      <c r="E97" s="6"/>
      <c r="F97" s="6"/>
      <c r="G97" s="6"/>
      <c r="H97" s="95"/>
      <c r="I97" s="6"/>
      <c r="J97" s="95"/>
      <c r="K97" s="95"/>
      <c r="L97" s="6"/>
      <c r="M97" s="116"/>
    </row>
    <row r="98" spans="2:13" ht="15.75">
      <c r="B98" s="83"/>
      <c r="C98" s="6"/>
      <c r="D98" s="6"/>
      <c r="E98" s="6"/>
      <c r="F98" s="6"/>
      <c r="G98" s="6"/>
      <c r="H98" s="95"/>
      <c r="I98" s="6"/>
      <c r="J98" s="95"/>
      <c r="K98" s="95"/>
      <c r="L98" s="6"/>
      <c r="M98" s="116"/>
    </row>
    <row r="99" spans="2:13" ht="15.75">
      <c r="B99" s="83"/>
      <c r="C99" s="6"/>
      <c r="D99" s="6"/>
      <c r="E99" s="6"/>
      <c r="F99" s="6"/>
      <c r="G99" s="6"/>
      <c r="H99" s="95"/>
      <c r="I99" s="6"/>
      <c r="J99" s="95"/>
      <c r="K99" s="95"/>
      <c r="L99" s="6"/>
      <c r="M99" s="116"/>
    </row>
    <row r="100" spans="2:13" ht="15.75">
      <c r="B100" s="94"/>
      <c r="C100" s="6"/>
      <c r="D100" s="6"/>
      <c r="E100" s="6"/>
      <c r="F100" s="6"/>
      <c r="G100" s="6"/>
      <c r="H100" s="95"/>
      <c r="I100" s="6"/>
      <c r="J100" s="95"/>
      <c r="K100" s="95"/>
      <c r="L100" s="6"/>
      <c r="M100" s="116"/>
    </row>
    <row r="101" spans="2:13">
      <c r="B101" s="99"/>
      <c r="C101" s="106"/>
      <c r="D101" s="200" t="s">
        <v>92</v>
      </c>
      <c r="E101" s="200"/>
      <c r="F101" s="200"/>
      <c r="G101" s="200"/>
      <c r="H101" s="200"/>
      <c r="I101" s="200"/>
      <c r="J101" s="126">
        <f>COUNT(B87:B99)</f>
        <v>0</v>
      </c>
      <c r="K101" s="120"/>
      <c r="L101" s="106"/>
      <c r="M101" s="121"/>
    </row>
    <row r="104" spans="2:13">
      <c r="B104" s="92"/>
      <c r="C104" s="93"/>
      <c r="D104" s="93"/>
      <c r="E104" s="93"/>
      <c r="F104" s="93"/>
      <c r="G104" s="199" t="s">
        <v>93</v>
      </c>
      <c r="H104" s="199"/>
      <c r="I104" s="93"/>
      <c r="J104" s="93"/>
      <c r="K104" s="93"/>
      <c r="L104" s="93"/>
      <c r="M104" s="107"/>
    </row>
    <row r="105" spans="2:13">
      <c r="B105" s="94"/>
      <c r="C105" s="6"/>
      <c r="D105" s="6"/>
      <c r="E105" s="6"/>
      <c r="F105" s="6"/>
      <c r="G105" s="6"/>
      <c r="H105" s="95"/>
      <c r="I105" s="6"/>
      <c r="J105" s="6"/>
      <c r="K105" s="6"/>
      <c r="L105" s="6"/>
      <c r="M105" s="110"/>
    </row>
    <row r="106" spans="2:13" ht="15.75">
      <c r="B106" s="140" t="s">
        <v>64</v>
      </c>
      <c r="C106" s="97" t="s">
        <v>65</v>
      </c>
      <c r="D106" s="97" t="s">
        <v>66</v>
      </c>
      <c r="E106" s="97" t="s">
        <v>67</v>
      </c>
      <c r="F106" s="97" t="s">
        <v>68</v>
      </c>
      <c r="G106" s="97" t="s">
        <v>69</v>
      </c>
      <c r="H106" s="98" t="s">
        <v>70</v>
      </c>
      <c r="I106" s="97" t="s">
        <v>71</v>
      </c>
      <c r="J106" s="97" t="s">
        <v>72</v>
      </c>
      <c r="K106" s="97" t="s">
        <v>73</v>
      </c>
      <c r="L106" s="97" t="s">
        <v>54</v>
      </c>
      <c r="M106" s="141" t="s">
        <v>74</v>
      </c>
    </row>
    <row r="107" spans="2:13" ht="15.75">
      <c r="B107" s="82" t="s">
        <v>242</v>
      </c>
      <c r="C107" s="6" t="s">
        <v>93</v>
      </c>
      <c r="D107" s="6" t="s">
        <v>39</v>
      </c>
      <c r="E107" s="6">
        <v>0</v>
      </c>
      <c r="F107" s="6">
        <v>320</v>
      </c>
      <c r="G107" s="6">
        <v>1.01</v>
      </c>
      <c r="H107" s="95">
        <v>327.7</v>
      </c>
      <c r="I107" s="6">
        <f>G107-E107</f>
        <v>1.01</v>
      </c>
      <c r="J107" s="95">
        <f>F107/H107</f>
        <v>0.97650289899298137</v>
      </c>
      <c r="K107" s="95">
        <f>(H107-F107)*100/F107</f>
        <v>2.4062499999999964</v>
      </c>
      <c r="L107" s="6" t="s">
        <v>80</v>
      </c>
      <c r="M107" s="115" t="s">
        <v>35</v>
      </c>
    </row>
    <row r="108" spans="2:13" ht="15.75">
      <c r="B108" s="82"/>
      <c r="C108" s="6" t="s">
        <v>93</v>
      </c>
      <c r="D108" s="6" t="s">
        <v>39</v>
      </c>
      <c r="E108" s="6">
        <v>0</v>
      </c>
      <c r="F108" s="6">
        <v>320</v>
      </c>
      <c r="G108" s="6">
        <v>0</v>
      </c>
      <c r="H108" s="95"/>
      <c r="I108" s="6">
        <f>G108-E108</f>
        <v>0</v>
      </c>
      <c r="J108" s="95" t="e">
        <f>F108/H108</f>
        <v>#DIV/0!</v>
      </c>
      <c r="K108" s="95">
        <f>(H108-F108)*100/F108</f>
        <v>-100</v>
      </c>
      <c r="L108" s="6" t="s">
        <v>80</v>
      </c>
      <c r="M108" s="115" t="s">
        <v>56</v>
      </c>
    </row>
    <row r="109" spans="2:13" ht="15.75">
      <c r="B109" s="82"/>
      <c r="C109" s="6" t="s">
        <v>93</v>
      </c>
      <c r="D109" s="6" t="s">
        <v>39</v>
      </c>
      <c r="E109" s="6">
        <v>0</v>
      </c>
      <c r="F109" s="6">
        <v>320</v>
      </c>
      <c r="G109" s="6">
        <v>0</v>
      </c>
      <c r="H109" s="95"/>
      <c r="I109" s="6">
        <f t="shared" ref="I109:I115" si="8">G109-E109</f>
        <v>0</v>
      </c>
      <c r="J109" s="95" t="e">
        <f t="shared" ref="J109:J115" si="9">F109/H109</f>
        <v>#DIV/0!</v>
      </c>
      <c r="K109" s="95">
        <f t="shared" ref="K109:K115" si="10">(H109-F109)*100/F109</f>
        <v>-100</v>
      </c>
      <c r="L109" s="6" t="s">
        <v>80</v>
      </c>
      <c r="M109" s="115" t="s">
        <v>56</v>
      </c>
    </row>
    <row r="110" spans="2:13" ht="15.75">
      <c r="B110" s="82"/>
      <c r="C110" s="6" t="s">
        <v>93</v>
      </c>
      <c r="D110" s="6" t="s">
        <v>39</v>
      </c>
      <c r="E110" s="6">
        <v>0</v>
      </c>
      <c r="F110" s="6">
        <v>320</v>
      </c>
      <c r="G110" s="6">
        <v>0</v>
      </c>
      <c r="H110" s="95"/>
      <c r="I110" s="6">
        <f t="shared" si="8"/>
        <v>0</v>
      </c>
      <c r="J110" s="95" t="e">
        <f t="shared" si="9"/>
        <v>#DIV/0!</v>
      </c>
      <c r="K110" s="95">
        <f t="shared" si="10"/>
        <v>-100</v>
      </c>
      <c r="L110" s="6" t="s">
        <v>80</v>
      </c>
      <c r="M110" s="115" t="s">
        <v>56</v>
      </c>
    </row>
    <row r="111" spans="2:13" ht="15.75">
      <c r="B111" s="82"/>
      <c r="C111" s="6" t="s">
        <v>93</v>
      </c>
      <c r="D111" s="6" t="s">
        <v>39</v>
      </c>
      <c r="E111" s="6">
        <v>0</v>
      </c>
      <c r="F111" s="6">
        <v>320</v>
      </c>
      <c r="G111" s="6">
        <v>0</v>
      </c>
      <c r="H111" s="95"/>
      <c r="I111" s="6">
        <f t="shared" si="8"/>
        <v>0</v>
      </c>
      <c r="J111" s="95" t="e">
        <f t="shared" si="9"/>
        <v>#DIV/0!</v>
      </c>
      <c r="K111" s="95">
        <f t="shared" si="10"/>
        <v>-100</v>
      </c>
      <c r="L111" s="6" t="s">
        <v>80</v>
      </c>
      <c r="M111" s="115" t="s">
        <v>56</v>
      </c>
    </row>
    <row r="112" spans="2:13" ht="15.75">
      <c r="B112" s="82"/>
      <c r="C112" s="6" t="s">
        <v>93</v>
      </c>
      <c r="D112" s="6" t="s">
        <v>39</v>
      </c>
      <c r="E112" s="6">
        <v>0</v>
      </c>
      <c r="F112" s="6">
        <v>320</v>
      </c>
      <c r="G112" s="6">
        <v>0</v>
      </c>
      <c r="H112" s="95"/>
      <c r="I112" s="6">
        <f t="shared" si="8"/>
        <v>0</v>
      </c>
      <c r="J112" s="95" t="e">
        <f t="shared" si="9"/>
        <v>#DIV/0!</v>
      </c>
      <c r="K112" s="95">
        <f t="shared" si="10"/>
        <v>-100</v>
      </c>
      <c r="L112" s="6" t="s">
        <v>80</v>
      </c>
      <c r="M112" s="115" t="s">
        <v>56</v>
      </c>
    </row>
    <row r="113" spans="2:13" ht="15.75">
      <c r="B113" s="82"/>
      <c r="C113" s="6" t="s">
        <v>93</v>
      </c>
      <c r="D113" s="6" t="s">
        <v>39</v>
      </c>
      <c r="E113" s="6">
        <v>0</v>
      </c>
      <c r="F113" s="6">
        <v>320</v>
      </c>
      <c r="G113" s="6">
        <v>0</v>
      </c>
      <c r="H113" s="95"/>
      <c r="I113" s="6">
        <f t="shared" si="8"/>
        <v>0</v>
      </c>
      <c r="J113" s="95" t="e">
        <f t="shared" si="9"/>
        <v>#DIV/0!</v>
      </c>
      <c r="K113" s="95">
        <f t="shared" si="10"/>
        <v>-100</v>
      </c>
      <c r="L113" s="6" t="s">
        <v>80</v>
      </c>
      <c r="M113" s="115" t="s">
        <v>56</v>
      </c>
    </row>
    <row r="114" spans="2:13" ht="15.75">
      <c r="B114" s="82"/>
      <c r="C114" s="6" t="s">
        <v>93</v>
      </c>
      <c r="D114" s="6" t="s">
        <v>39</v>
      </c>
      <c r="E114" s="6">
        <v>0</v>
      </c>
      <c r="F114" s="6">
        <v>320</v>
      </c>
      <c r="G114" s="6">
        <v>0</v>
      </c>
      <c r="H114" s="95"/>
      <c r="I114" s="6">
        <f t="shared" si="8"/>
        <v>0</v>
      </c>
      <c r="J114" s="95" t="e">
        <f t="shared" si="9"/>
        <v>#DIV/0!</v>
      </c>
      <c r="K114" s="95">
        <f t="shared" si="10"/>
        <v>-100</v>
      </c>
      <c r="L114" s="6" t="s">
        <v>80</v>
      </c>
      <c r="M114" s="116"/>
    </row>
    <row r="115" spans="2:13" ht="15.75">
      <c r="B115" s="82"/>
      <c r="C115" s="6" t="s">
        <v>93</v>
      </c>
      <c r="D115" s="6" t="s">
        <v>39</v>
      </c>
      <c r="E115" s="6">
        <v>0</v>
      </c>
      <c r="F115" s="6">
        <v>320</v>
      </c>
      <c r="G115" s="6">
        <v>0</v>
      </c>
      <c r="H115" s="95"/>
      <c r="I115" s="6">
        <f t="shared" si="8"/>
        <v>0</v>
      </c>
      <c r="J115" s="95" t="e">
        <f t="shared" si="9"/>
        <v>#DIV/0!</v>
      </c>
      <c r="K115" s="95">
        <f t="shared" si="10"/>
        <v>-100</v>
      </c>
      <c r="L115" s="6" t="s">
        <v>80</v>
      </c>
      <c r="M115" s="116"/>
    </row>
    <row r="116" spans="2:13" ht="15.75">
      <c r="B116" s="83"/>
      <c r="C116" s="6"/>
      <c r="D116" s="6"/>
      <c r="E116" s="6"/>
      <c r="F116" s="6"/>
      <c r="G116" s="6"/>
      <c r="H116" s="95"/>
      <c r="I116" s="6"/>
      <c r="J116" s="95"/>
      <c r="K116" s="95"/>
      <c r="L116" s="6"/>
      <c r="M116" s="116"/>
    </row>
    <row r="117" spans="2:13" ht="15.75">
      <c r="B117" s="83"/>
      <c r="C117" s="6"/>
      <c r="D117" s="6"/>
      <c r="E117" s="6"/>
      <c r="F117" s="6"/>
      <c r="G117" s="6"/>
      <c r="H117" s="95"/>
      <c r="I117" s="6"/>
      <c r="J117" s="95"/>
      <c r="K117" s="95"/>
      <c r="L117" s="6"/>
      <c r="M117" s="116"/>
    </row>
    <row r="118" spans="2:13" ht="15.75">
      <c r="B118" s="94"/>
      <c r="C118" s="6"/>
      <c r="D118" s="6"/>
      <c r="E118" s="6"/>
      <c r="F118" s="6"/>
      <c r="G118" s="6"/>
      <c r="H118" s="95"/>
      <c r="I118" s="6"/>
      <c r="J118" s="95"/>
      <c r="K118" s="95"/>
      <c r="L118" s="6"/>
      <c r="M118" s="116"/>
    </row>
    <row r="119" spans="2:13">
      <c r="B119" s="99"/>
      <c r="C119" s="200" t="s">
        <v>94</v>
      </c>
      <c r="D119" s="200"/>
      <c r="E119" s="200"/>
      <c r="F119" s="200"/>
      <c r="G119" s="200"/>
      <c r="H119" s="200"/>
      <c r="I119" s="126">
        <f>COUNT(B107:B118)</f>
        <v>0</v>
      </c>
      <c r="J119" s="120"/>
      <c r="K119" s="120"/>
      <c r="L119" s="106"/>
      <c r="M119" s="121"/>
    </row>
  </sheetData>
  <mergeCells count="16">
    <mergeCell ref="C119:H119"/>
    <mergeCell ref="G64:H64"/>
    <mergeCell ref="D81:I81"/>
    <mergeCell ref="G84:H84"/>
    <mergeCell ref="D101:I101"/>
    <mergeCell ref="G104:H104"/>
    <mergeCell ref="G24:H24"/>
    <mergeCell ref="P40:S40"/>
    <mergeCell ref="D41:I41"/>
    <mergeCell ref="G44:H44"/>
    <mergeCell ref="D61:I61"/>
    <mergeCell ref="D1:J1"/>
    <mergeCell ref="D2:J2"/>
    <mergeCell ref="G5:H5"/>
    <mergeCell ref="C21:H21"/>
    <mergeCell ref="P21:S21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>
  <dimension ref="B2:E56"/>
  <sheetViews>
    <sheetView workbookViewId="0">
      <selection activeCell="D2" sqref="D2:E3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203" t="s">
        <v>95</v>
      </c>
      <c r="C2" s="203"/>
      <c r="D2" s="205">
        <f>'MONTHLY 31'!$B$2</f>
        <v>45474.010416666664</v>
      </c>
      <c r="E2" s="205"/>
    </row>
    <row r="3" spans="2:5">
      <c r="B3" s="203" t="s">
        <v>96</v>
      </c>
      <c r="C3" s="203"/>
      <c r="D3" s="205"/>
      <c r="E3" s="205"/>
    </row>
    <row r="7" spans="2:5" s="2" customFormat="1">
      <c r="B7" s="78" t="s">
        <v>97</v>
      </c>
      <c r="C7" s="78" t="s">
        <v>98</v>
      </c>
      <c r="D7" s="79" t="s">
        <v>99</v>
      </c>
    </row>
    <row r="8" spans="2:5" s="2" customFormat="1">
      <c r="B8" s="80"/>
      <c r="C8" s="80"/>
      <c r="D8" s="81">
        <f t="shared" ref="D8:D13" si="0">C8-B8</f>
        <v>0</v>
      </c>
    </row>
    <row r="9" spans="2:5" s="2" customFormat="1">
      <c r="B9" s="80"/>
      <c r="C9" s="80"/>
      <c r="D9" s="81">
        <f t="shared" si="0"/>
        <v>0</v>
      </c>
    </row>
    <row r="10" spans="2:5" s="2" customFormat="1">
      <c r="B10" s="82"/>
      <c r="C10" s="82"/>
      <c r="D10" s="81">
        <f t="shared" si="0"/>
        <v>0</v>
      </c>
    </row>
    <row r="11" spans="2:5" s="2" customFormat="1">
      <c r="B11" s="83"/>
      <c r="C11" s="83"/>
      <c r="D11" s="81">
        <f t="shared" si="0"/>
        <v>0</v>
      </c>
    </row>
    <row r="12" spans="2:5">
      <c r="B12" s="83"/>
      <c r="C12" s="83"/>
      <c r="D12" s="81">
        <f t="shared" si="0"/>
        <v>0</v>
      </c>
    </row>
    <row r="13" spans="2:5">
      <c r="B13" s="83"/>
      <c r="C13" s="83"/>
      <c r="D13" s="81">
        <f t="shared" si="0"/>
        <v>0</v>
      </c>
    </row>
    <row r="14" spans="2:5">
      <c r="B14" s="83"/>
      <c r="C14" s="83"/>
      <c r="D14" s="81">
        <f t="shared" ref="D14:D23" si="1">C14-B14</f>
        <v>0</v>
      </c>
    </row>
    <row r="15" spans="2:5">
      <c r="B15" s="82"/>
      <c r="C15" s="82"/>
      <c r="D15" s="81">
        <f t="shared" si="1"/>
        <v>0</v>
      </c>
    </row>
    <row r="16" spans="2:5">
      <c r="B16" s="82"/>
      <c r="C16" s="82"/>
      <c r="D16" s="81">
        <f t="shared" si="1"/>
        <v>0</v>
      </c>
    </row>
    <row r="17" spans="2:4">
      <c r="B17" s="82"/>
      <c r="C17" s="82"/>
      <c r="D17" s="81">
        <f t="shared" si="1"/>
        <v>0</v>
      </c>
    </row>
    <row r="18" spans="2:4">
      <c r="B18" s="82"/>
      <c r="C18" s="82"/>
      <c r="D18" s="81">
        <f t="shared" si="1"/>
        <v>0</v>
      </c>
    </row>
    <row r="19" spans="2:4">
      <c r="B19" s="83"/>
      <c r="C19" s="82"/>
      <c r="D19" s="81">
        <f t="shared" si="1"/>
        <v>0</v>
      </c>
    </row>
    <row r="20" spans="2:4">
      <c r="B20" s="83"/>
      <c r="C20" s="82"/>
      <c r="D20" s="81">
        <f t="shared" si="1"/>
        <v>0</v>
      </c>
    </row>
    <row r="21" spans="2:4">
      <c r="B21" s="83"/>
      <c r="C21" s="82"/>
      <c r="D21" s="81">
        <f t="shared" si="1"/>
        <v>0</v>
      </c>
    </row>
    <row r="22" spans="2:4">
      <c r="B22" s="83"/>
      <c r="C22" s="82"/>
      <c r="D22" s="81">
        <f t="shared" si="1"/>
        <v>0</v>
      </c>
    </row>
    <row r="23" spans="2:4">
      <c r="B23" s="83"/>
      <c r="C23" s="82"/>
      <c r="D23" s="81">
        <f t="shared" si="1"/>
        <v>0</v>
      </c>
    </row>
    <row r="24" spans="2:4">
      <c r="B24" s="84" t="s">
        <v>100</v>
      </c>
      <c r="C24" s="82"/>
      <c r="D24" s="81">
        <f>SUM(D7:D23)</f>
        <v>0</v>
      </c>
    </row>
    <row r="25" spans="2:4">
      <c r="B25" s="85"/>
      <c r="C25" s="86"/>
      <c r="D25" s="87"/>
    </row>
    <row r="26" spans="2:4">
      <c r="B26" s="85"/>
      <c r="C26" s="86"/>
      <c r="D26" s="87"/>
    </row>
    <row r="27" spans="2:4">
      <c r="B27" s="85"/>
      <c r="C27" s="86"/>
      <c r="D27" s="87"/>
    </row>
    <row r="28" spans="2:4">
      <c r="B28" s="85"/>
      <c r="C28" s="86"/>
      <c r="D28" s="87"/>
    </row>
    <row r="29" spans="2:4">
      <c r="B29" s="85"/>
      <c r="C29" s="86"/>
      <c r="D29" s="87"/>
    </row>
    <row r="30" spans="2:4">
      <c r="B30" s="85"/>
      <c r="C30" s="86"/>
      <c r="D30" s="87"/>
    </row>
    <row r="31" spans="2:4">
      <c r="B31" s="85"/>
      <c r="C31" s="86"/>
      <c r="D31" s="87"/>
    </row>
    <row r="32" spans="2:4">
      <c r="B32" s="85"/>
      <c r="C32" s="86"/>
      <c r="D32" s="87"/>
    </row>
    <row r="33" spans="2:4">
      <c r="B33" s="85"/>
      <c r="C33" s="86"/>
      <c r="D33" s="87"/>
    </row>
    <row r="34" spans="2:4">
      <c r="B34" s="85"/>
      <c r="C34" s="86"/>
      <c r="D34" s="87"/>
    </row>
    <row r="35" spans="2:4">
      <c r="B35" s="85"/>
      <c r="C35" s="86"/>
      <c r="D35" s="87"/>
    </row>
    <row r="36" spans="2:4">
      <c r="B36" s="85"/>
      <c r="C36" s="86"/>
      <c r="D36" s="87"/>
    </row>
    <row r="37" spans="2:4">
      <c r="B37" s="85"/>
      <c r="C37" s="86"/>
      <c r="D37" s="87"/>
    </row>
    <row r="38" spans="2:4">
      <c r="B38" s="85"/>
      <c r="C38" s="86"/>
      <c r="D38" s="87"/>
    </row>
    <row r="39" spans="2:4">
      <c r="B39" s="85"/>
      <c r="C39" s="86"/>
      <c r="D39" s="87"/>
    </row>
    <row r="40" spans="2:4">
      <c r="B40" s="85"/>
      <c r="C40" s="86"/>
      <c r="D40" s="87"/>
    </row>
    <row r="41" spans="2:4">
      <c r="B41" s="85"/>
      <c r="C41" s="86"/>
      <c r="D41" s="87"/>
    </row>
    <row r="42" spans="2:4">
      <c r="B42" s="85"/>
      <c r="C42" s="86"/>
      <c r="D42" s="87"/>
    </row>
    <row r="43" spans="2:4">
      <c r="B43" s="85"/>
      <c r="C43" s="86"/>
      <c r="D43" s="87"/>
    </row>
    <row r="44" spans="2:4" ht="15.75">
      <c r="B44" s="204" t="s">
        <v>100</v>
      </c>
      <c r="C44" s="204"/>
      <c r="D44" s="87">
        <f>SUM(D11:D42)</f>
        <v>0</v>
      </c>
    </row>
    <row r="45" spans="2:4">
      <c r="B45" s="85"/>
      <c r="C45" s="86"/>
      <c r="D45" s="87"/>
    </row>
    <row r="46" spans="2:4">
      <c r="B46" s="86"/>
      <c r="C46" s="86"/>
      <c r="D46" s="87"/>
    </row>
    <row r="47" spans="2:4">
      <c r="B47" s="86"/>
      <c r="C47" s="86"/>
      <c r="D47" s="87"/>
    </row>
    <row r="48" spans="2:4">
      <c r="B48" s="86"/>
      <c r="C48" s="86"/>
      <c r="D48" s="87"/>
    </row>
    <row r="49" spans="2:4">
      <c r="B49" s="86"/>
      <c r="C49" s="86"/>
      <c r="D49" s="87"/>
    </row>
    <row r="50" spans="2:4">
      <c r="B50" s="85"/>
      <c r="C50" s="86"/>
      <c r="D50" s="87"/>
    </row>
    <row r="51" spans="2:4">
      <c r="B51" s="85"/>
      <c r="C51" s="86"/>
      <c r="D51" s="87"/>
    </row>
    <row r="52" spans="2:4">
      <c r="B52" s="85"/>
      <c r="C52" s="86"/>
      <c r="D52" s="87"/>
    </row>
    <row r="53" spans="2:4">
      <c r="B53" s="85"/>
      <c r="C53" s="86"/>
      <c r="D53" s="87"/>
    </row>
    <row r="54" spans="2:4">
      <c r="B54" s="86"/>
      <c r="C54" s="86"/>
      <c r="D54" s="87"/>
    </row>
    <row r="55" spans="2:4">
      <c r="D55" s="87"/>
    </row>
    <row r="56" spans="2:4">
      <c r="D56" s="87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206" t="s">
        <v>101</v>
      </c>
      <c r="C2" s="206"/>
      <c r="D2" s="206"/>
      <c r="E2" s="206"/>
      <c r="F2" s="207">
        <v>1</v>
      </c>
      <c r="G2" s="208"/>
      <c r="H2" s="208"/>
    </row>
    <row r="3" spans="2:24" customFormat="1" ht="15" customHeight="1">
      <c r="B3" s="206"/>
      <c r="C3" s="206"/>
      <c r="D3" s="206"/>
      <c r="E3" s="206"/>
      <c r="F3" s="208"/>
      <c r="G3" s="208"/>
      <c r="H3" s="208"/>
    </row>
    <row r="8" spans="2:24">
      <c r="J8" s="32"/>
      <c r="K8" s="32"/>
      <c r="L8" s="32"/>
      <c r="U8" s="45"/>
    </row>
    <row r="9" spans="2:24" ht="15.75">
      <c r="J9" s="33"/>
      <c r="K9" s="33"/>
      <c r="L9" s="32"/>
      <c r="U9" s="45"/>
    </row>
    <row r="10" spans="2:24">
      <c r="U10" s="45"/>
    </row>
    <row r="11" spans="2:24">
      <c r="U11" s="45"/>
    </row>
    <row r="12" spans="2:24" ht="15.75" customHeight="1">
      <c r="B12" s="211" t="s">
        <v>93</v>
      </c>
      <c r="C12" s="222" t="s">
        <v>102</v>
      </c>
      <c r="D12" s="223"/>
      <c r="E12" s="223"/>
      <c r="F12" s="223"/>
      <c r="G12" s="223"/>
      <c r="H12" s="223"/>
      <c r="I12" s="223"/>
      <c r="J12" s="223"/>
      <c r="K12" s="223"/>
      <c r="L12" s="223"/>
      <c r="M12" s="223"/>
      <c r="N12" s="223"/>
      <c r="O12" s="223"/>
      <c r="P12" s="223"/>
      <c r="Q12" s="223"/>
      <c r="R12" s="46"/>
      <c r="U12" s="45"/>
    </row>
    <row r="13" spans="2:24" ht="15" customHeight="1">
      <c r="B13" s="212"/>
      <c r="C13" s="3" t="s">
        <v>103</v>
      </c>
      <c r="D13" s="4" t="s">
        <v>104</v>
      </c>
      <c r="E13" s="4" t="s">
        <v>105</v>
      </c>
      <c r="F13" s="4" t="s">
        <v>106</v>
      </c>
      <c r="G13" s="4" t="s">
        <v>107</v>
      </c>
      <c r="H13" s="4" t="s">
        <v>108</v>
      </c>
      <c r="I13" s="4" t="s">
        <v>109</v>
      </c>
      <c r="J13" s="4" t="s">
        <v>110</v>
      </c>
      <c r="K13" s="4" t="s">
        <v>111</v>
      </c>
      <c r="L13" s="4" t="s">
        <v>112</v>
      </c>
      <c r="M13" s="4" t="s">
        <v>113</v>
      </c>
      <c r="N13" s="4" t="s">
        <v>114</v>
      </c>
      <c r="O13" s="4" t="s">
        <v>115</v>
      </c>
      <c r="P13" s="34" t="s">
        <v>116</v>
      </c>
      <c r="Q13" s="4" t="s">
        <v>117</v>
      </c>
      <c r="R13" s="47"/>
      <c r="U13" s="45"/>
    </row>
    <row r="14" spans="2:24" ht="15" customHeight="1">
      <c r="B14" s="212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8"/>
    </row>
    <row r="15" spans="2:24" ht="15" customHeight="1">
      <c r="B15" s="212"/>
      <c r="C15" s="7" t="s">
        <v>118</v>
      </c>
      <c r="D15" s="8" t="s">
        <v>119</v>
      </c>
      <c r="E15" s="8" t="s">
        <v>120</v>
      </c>
      <c r="F15" s="8" t="s">
        <v>121</v>
      </c>
      <c r="G15" s="8" t="s">
        <v>122</v>
      </c>
      <c r="H15" s="8" t="s">
        <v>123</v>
      </c>
      <c r="I15" s="8" t="s">
        <v>124</v>
      </c>
      <c r="J15" s="8" t="s">
        <v>125</v>
      </c>
      <c r="K15" s="8" t="s">
        <v>126</v>
      </c>
      <c r="L15" s="8" t="s">
        <v>127</v>
      </c>
      <c r="M15" s="8" t="s">
        <v>128</v>
      </c>
      <c r="N15" s="8" t="s">
        <v>129</v>
      </c>
      <c r="O15" s="8" t="s">
        <v>130</v>
      </c>
      <c r="P15" s="35" t="s">
        <v>131</v>
      </c>
      <c r="Q15" s="8" t="s">
        <v>132</v>
      </c>
      <c r="R15" s="49" t="s">
        <v>74</v>
      </c>
      <c r="X15" s="48"/>
    </row>
    <row r="16" spans="2:24" ht="15.75" customHeight="1">
      <c r="B16" s="212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50"/>
      <c r="X16" s="48"/>
    </row>
    <row r="17" spans="2:28" ht="15.75" customHeight="1">
      <c r="B17" s="212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36"/>
      <c r="Q17" s="36"/>
      <c r="R17" s="51"/>
      <c r="X17" s="48"/>
    </row>
    <row r="18" spans="2:28" ht="15.75" customHeight="1">
      <c r="B18" s="212"/>
      <c r="C18" s="12" t="s">
        <v>103</v>
      </c>
      <c r="D18" s="12" t="s">
        <v>104</v>
      </c>
      <c r="E18" s="12" t="s">
        <v>105</v>
      </c>
      <c r="F18" s="12" t="s">
        <v>133</v>
      </c>
      <c r="G18" s="12" t="s">
        <v>107</v>
      </c>
      <c r="H18" s="12" t="s">
        <v>108</v>
      </c>
      <c r="I18" s="12" t="s">
        <v>109</v>
      </c>
      <c r="J18" s="12" t="s">
        <v>110</v>
      </c>
      <c r="K18" s="12" t="s">
        <v>111</v>
      </c>
      <c r="L18" s="12" t="s">
        <v>112</v>
      </c>
      <c r="M18" s="12" t="s">
        <v>113</v>
      </c>
      <c r="N18" s="12" t="s">
        <v>114</v>
      </c>
      <c r="O18" s="12" t="s">
        <v>115</v>
      </c>
      <c r="P18" s="37" t="s">
        <v>116</v>
      </c>
      <c r="Q18" s="12" t="s">
        <v>117</v>
      </c>
      <c r="R18" s="51"/>
    </row>
    <row r="19" spans="2:28" ht="15.75">
      <c r="B19" s="13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51"/>
    </row>
    <row r="20" spans="2:28" ht="15.75">
      <c r="B20" s="13"/>
      <c r="C20" s="12" t="s">
        <v>118</v>
      </c>
      <c r="D20" s="8" t="s">
        <v>119</v>
      </c>
      <c r="E20" s="8" t="s">
        <v>120</v>
      </c>
      <c r="F20" s="8" t="s">
        <v>121</v>
      </c>
      <c r="G20" s="8" t="s">
        <v>122</v>
      </c>
      <c r="H20" s="8" t="s">
        <v>123</v>
      </c>
      <c r="I20" s="8" t="s">
        <v>124</v>
      </c>
      <c r="J20" s="8" t="s">
        <v>125</v>
      </c>
      <c r="K20" s="8" t="s">
        <v>126</v>
      </c>
      <c r="L20" s="8" t="s">
        <v>127</v>
      </c>
      <c r="M20" s="8" t="s">
        <v>128</v>
      </c>
      <c r="N20" s="8" t="s">
        <v>129</v>
      </c>
      <c r="O20" s="8" t="s">
        <v>130</v>
      </c>
      <c r="P20" s="35" t="s">
        <v>131</v>
      </c>
      <c r="Q20" s="8" t="s">
        <v>132</v>
      </c>
      <c r="R20" s="52" t="s">
        <v>74</v>
      </c>
    </row>
    <row r="21" spans="2:28" ht="15.75">
      <c r="B21" s="1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53"/>
      <c r="R21" s="54"/>
      <c r="S21" s="55"/>
    </row>
    <row r="22" spans="2:28">
      <c r="J22" s="32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3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>
      <c r="J24" s="32"/>
    </row>
    <row r="25" spans="2:28" ht="15" customHeight="1">
      <c r="B25" s="213" t="s">
        <v>84</v>
      </c>
      <c r="C25" s="224" t="s">
        <v>102</v>
      </c>
      <c r="D25" s="225"/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09"/>
      <c r="S25" s="56"/>
      <c r="T25" s="57"/>
    </row>
    <row r="26" spans="2:28" ht="15" customHeight="1">
      <c r="B26" s="213"/>
      <c r="C26" s="16" t="s">
        <v>103</v>
      </c>
      <c r="D26" s="17" t="s">
        <v>134</v>
      </c>
      <c r="E26" s="17" t="s">
        <v>135</v>
      </c>
      <c r="F26" s="17" t="s">
        <v>136</v>
      </c>
      <c r="G26" s="17" t="s">
        <v>137</v>
      </c>
      <c r="H26" s="17" t="s">
        <v>138</v>
      </c>
      <c r="I26" s="17" t="s">
        <v>139</v>
      </c>
      <c r="J26" s="17" t="s">
        <v>140</v>
      </c>
      <c r="K26" s="17" t="s">
        <v>141</v>
      </c>
      <c r="L26" s="17" t="s">
        <v>142</v>
      </c>
      <c r="M26" s="17" t="s">
        <v>143</v>
      </c>
      <c r="N26" s="17" t="s">
        <v>144</v>
      </c>
      <c r="O26" s="17" t="s">
        <v>145</v>
      </c>
      <c r="P26" s="17" t="s">
        <v>146</v>
      </c>
      <c r="Q26" s="17" t="s">
        <v>147</v>
      </c>
      <c r="R26" s="17" t="s">
        <v>148</v>
      </c>
      <c r="S26" s="17" t="s">
        <v>149</v>
      </c>
      <c r="T26" s="58" t="s">
        <v>74</v>
      </c>
      <c r="Z26" s="1"/>
      <c r="AA26" s="1"/>
      <c r="AB26" s="1"/>
    </row>
    <row r="27" spans="2:28" ht="15.75" customHeight="1">
      <c r="B27" s="213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40"/>
    </row>
    <row r="28" spans="2:28" ht="15" customHeight="1">
      <c r="B28" s="213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59"/>
      <c r="T28" s="59"/>
    </row>
    <row r="29" spans="2:28" ht="15.75" customHeight="1">
      <c r="B29" s="214"/>
      <c r="C29" s="20" t="s">
        <v>103</v>
      </c>
      <c r="D29" s="21" t="s">
        <v>134</v>
      </c>
      <c r="E29" s="21" t="s">
        <v>135</v>
      </c>
      <c r="F29" s="21" t="s">
        <v>136</v>
      </c>
      <c r="G29" s="21" t="s">
        <v>137</v>
      </c>
      <c r="H29" s="21" t="s">
        <v>138</v>
      </c>
      <c r="I29" s="21" t="s">
        <v>139</v>
      </c>
      <c r="J29" s="21" t="s">
        <v>140</v>
      </c>
      <c r="K29" s="21" t="s">
        <v>141</v>
      </c>
      <c r="L29" s="21" t="s">
        <v>142</v>
      </c>
      <c r="M29" s="21" t="s">
        <v>143</v>
      </c>
      <c r="N29" s="21" t="s">
        <v>144</v>
      </c>
      <c r="O29" s="21" t="s">
        <v>145</v>
      </c>
      <c r="P29" s="21" t="s">
        <v>146</v>
      </c>
      <c r="Q29" s="21" t="s">
        <v>147</v>
      </c>
      <c r="R29" s="21" t="s">
        <v>148</v>
      </c>
      <c r="S29" s="21" t="s">
        <v>149</v>
      </c>
      <c r="T29" s="60" t="s">
        <v>74</v>
      </c>
    </row>
    <row r="30" spans="2:28">
      <c r="B30" s="22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40"/>
    </row>
    <row r="31" spans="2:28">
      <c r="C31" s="23"/>
    </row>
    <row r="32" spans="2:28">
      <c r="C32" s="23"/>
    </row>
    <row r="33" spans="2:25" ht="15" customHeight="1">
      <c r="C33" s="23"/>
    </row>
    <row r="34" spans="2:25" ht="15.75" customHeight="1"/>
    <row r="35" spans="2:25" ht="15" customHeight="1"/>
    <row r="36" spans="2:25" ht="15.75" customHeight="1">
      <c r="B36" s="215" t="s">
        <v>37</v>
      </c>
      <c r="C36" s="226" t="s">
        <v>102</v>
      </c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7"/>
    </row>
    <row r="37" spans="2:25" ht="15.75" customHeight="1">
      <c r="B37" s="216"/>
      <c r="C37" s="24" t="s">
        <v>103</v>
      </c>
      <c r="D37" s="12" t="s">
        <v>134</v>
      </c>
      <c r="E37" s="12" t="s">
        <v>135</v>
      </c>
      <c r="F37" s="12" t="s">
        <v>150</v>
      </c>
      <c r="G37" s="12" t="s">
        <v>151</v>
      </c>
      <c r="H37" s="12" t="s">
        <v>152</v>
      </c>
      <c r="I37" s="12" t="s">
        <v>153</v>
      </c>
      <c r="J37" s="12" t="s">
        <v>154</v>
      </c>
      <c r="K37" s="12" t="s">
        <v>155</v>
      </c>
      <c r="L37" s="12" t="s">
        <v>156</v>
      </c>
      <c r="M37" s="12" t="s">
        <v>157</v>
      </c>
      <c r="N37" s="12" t="s">
        <v>158</v>
      </c>
      <c r="O37" s="38" t="s">
        <v>159</v>
      </c>
    </row>
    <row r="38" spans="2:25">
      <c r="B38" s="216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216"/>
      <c r="C39" s="24" t="s">
        <v>160</v>
      </c>
      <c r="D39" s="12" t="s">
        <v>161</v>
      </c>
      <c r="E39" s="12" t="s">
        <v>162</v>
      </c>
      <c r="F39" s="12" t="s">
        <v>163</v>
      </c>
      <c r="G39" s="8" t="s">
        <v>164</v>
      </c>
      <c r="H39" s="8" t="s">
        <v>165</v>
      </c>
      <c r="I39" s="8" t="s">
        <v>166</v>
      </c>
      <c r="J39" s="8" t="s">
        <v>167</v>
      </c>
      <c r="K39" s="8" t="s">
        <v>168</v>
      </c>
      <c r="L39" s="8" t="s">
        <v>169</v>
      </c>
      <c r="M39" s="8" t="s">
        <v>170</v>
      </c>
      <c r="N39" s="8" t="s">
        <v>171</v>
      </c>
      <c r="O39" s="39" t="s">
        <v>74</v>
      </c>
      <c r="W39" s="1"/>
      <c r="X39" s="1"/>
      <c r="Y39" s="1"/>
    </row>
    <row r="40" spans="2:25">
      <c r="B40" s="21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40"/>
      <c r="W40" s="1"/>
      <c r="X40" s="1"/>
      <c r="Y40" s="1"/>
    </row>
    <row r="41" spans="2:25">
      <c r="B41" s="25"/>
      <c r="C41" s="26"/>
      <c r="D41" s="11"/>
      <c r="E41" s="11"/>
      <c r="F41" s="11"/>
      <c r="G41" s="11"/>
      <c r="H41" s="11"/>
      <c r="I41" s="11"/>
      <c r="J41" s="41"/>
      <c r="K41" s="11"/>
      <c r="L41" s="11"/>
      <c r="M41" s="11"/>
      <c r="N41" s="11"/>
      <c r="O41" s="42"/>
    </row>
    <row r="42" spans="2:25" ht="15.75" customHeight="1">
      <c r="B42" s="25"/>
      <c r="C42" s="24" t="s">
        <v>103</v>
      </c>
      <c r="D42" s="12" t="s">
        <v>134</v>
      </c>
      <c r="E42" s="12" t="s">
        <v>135</v>
      </c>
      <c r="F42" s="12" t="s">
        <v>150</v>
      </c>
      <c r="G42" s="12" t="s">
        <v>151</v>
      </c>
      <c r="H42" s="12" t="s">
        <v>152</v>
      </c>
      <c r="I42" s="12" t="s">
        <v>153</v>
      </c>
      <c r="J42" s="12" t="s">
        <v>154</v>
      </c>
      <c r="K42" s="12" t="s">
        <v>155</v>
      </c>
      <c r="L42" s="12" t="s">
        <v>156</v>
      </c>
      <c r="M42" s="12" t="s">
        <v>157</v>
      </c>
      <c r="N42" s="12" t="s">
        <v>158</v>
      </c>
      <c r="O42" s="38" t="s">
        <v>159</v>
      </c>
    </row>
    <row r="43" spans="2:25" ht="15" customHeight="1">
      <c r="B43" s="25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5"/>
      <c r="C44" s="24" t="s">
        <v>160</v>
      </c>
      <c r="D44" s="12" t="s">
        <v>161</v>
      </c>
      <c r="E44" s="12" t="s">
        <v>162</v>
      </c>
      <c r="F44" s="12" t="s">
        <v>163</v>
      </c>
      <c r="G44" s="8" t="s">
        <v>164</v>
      </c>
      <c r="H44" s="8" t="s">
        <v>165</v>
      </c>
      <c r="I44" s="8" t="s">
        <v>166</v>
      </c>
      <c r="J44" s="8" t="s">
        <v>167</v>
      </c>
      <c r="K44" s="8" t="s">
        <v>168</v>
      </c>
      <c r="L44" s="8" t="s">
        <v>169</v>
      </c>
      <c r="M44" s="8" t="s">
        <v>170</v>
      </c>
      <c r="N44" s="8" t="s">
        <v>171</v>
      </c>
      <c r="O44" s="39" t="s">
        <v>74</v>
      </c>
      <c r="R44" s="61"/>
    </row>
    <row r="45" spans="2:25" ht="15" customHeight="1">
      <c r="B45" s="2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43"/>
      <c r="R45" s="62"/>
    </row>
    <row r="46" spans="2:25" ht="15.75" customHeight="1">
      <c r="J46" s="44"/>
      <c r="R46" s="63"/>
      <c r="Y46" s="1"/>
    </row>
    <row r="47" spans="2:25" ht="15.75">
      <c r="J47" s="44"/>
      <c r="R47" s="62"/>
    </row>
    <row r="48" spans="2:25">
      <c r="B48" s="217" t="s">
        <v>62</v>
      </c>
      <c r="C48" s="28" t="s">
        <v>102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64"/>
      <c r="R48" s="63"/>
    </row>
    <row r="49" spans="2:20">
      <c r="B49" s="218"/>
      <c r="C49" s="24" t="s">
        <v>103</v>
      </c>
      <c r="D49" s="12" t="s">
        <v>125</v>
      </c>
      <c r="E49" s="12" t="s">
        <v>172</v>
      </c>
      <c r="F49" s="12" t="s">
        <v>173</v>
      </c>
      <c r="G49" s="12" t="s">
        <v>174</v>
      </c>
      <c r="H49" s="12" t="s">
        <v>175</v>
      </c>
      <c r="I49" s="12" t="s">
        <v>176</v>
      </c>
      <c r="J49" s="12" t="s">
        <v>110</v>
      </c>
      <c r="K49" s="12" t="s">
        <v>177</v>
      </c>
      <c r="L49" s="12" t="s">
        <v>178</v>
      </c>
      <c r="M49" s="12" t="s">
        <v>179</v>
      </c>
      <c r="N49" s="12" t="s">
        <v>180</v>
      </c>
      <c r="O49" s="12" t="s">
        <v>181</v>
      </c>
      <c r="P49" s="12" t="s">
        <v>182</v>
      </c>
      <c r="Q49" s="38" t="s">
        <v>183</v>
      </c>
    </row>
    <row r="50" spans="2:20">
      <c r="B50" s="218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218"/>
      <c r="C51" s="24" t="s">
        <v>184</v>
      </c>
      <c r="D51" s="12" t="s">
        <v>185</v>
      </c>
      <c r="E51" s="12" t="s">
        <v>186</v>
      </c>
      <c r="F51" s="12" t="s">
        <v>187</v>
      </c>
      <c r="G51" s="12" t="s">
        <v>188</v>
      </c>
      <c r="H51" s="12" t="s">
        <v>189</v>
      </c>
      <c r="I51" s="8" t="s">
        <v>190</v>
      </c>
      <c r="J51" s="8" t="s">
        <v>191</v>
      </c>
      <c r="K51" s="8" t="s">
        <v>192</v>
      </c>
      <c r="L51" s="8" t="s">
        <v>135</v>
      </c>
      <c r="M51" s="8" t="s">
        <v>193</v>
      </c>
      <c r="N51" s="8" t="s">
        <v>131</v>
      </c>
      <c r="O51" s="8" t="s">
        <v>194</v>
      </c>
      <c r="P51" s="8" t="s">
        <v>195</v>
      </c>
      <c r="Q51" s="39" t="s">
        <v>74</v>
      </c>
    </row>
    <row r="52" spans="2:20" ht="15.75">
      <c r="B52" s="218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43"/>
    </row>
    <row r="53" spans="2:20">
      <c r="B53" s="25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42"/>
    </row>
    <row r="54" spans="2:20">
      <c r="B54" s="25"/>
      <c r="C54" s="24" t="s">
        <v>103</v>
      </c>
      <c r="D54" s="12" t="s">
        <v>125</v>
      </c>
      <c r="E54" s="12" t="s">
        <v>172</v>
      </c>
      <c r="F54" s="12" t="s">
        <v>173</v>
      </c>
      <c r="G54" s="12" t="s">
        <v>174</v>
      </c>
      <c r="H54" s="12" t="s">
        <v>175</v>
      </c>
      <c r="I54" s="12" t="s">
        <v>176</v>
      </c>
      <c r="J54" s="12" t="s">
        <v>110</v>
      </c>
      <c r="K54" s="12" t="s">
        <v>177</v>
      </c>
      <c r="L54" s="12" t="s">
        <v>178</v>
      </c>
      <c r="M54" s="12" t="s">
        <v>179</v>
      </c>
      <c r="N54" s="12" t="s">
        <v>180</v>
      </c>
      <c r="O54" s="12" t="s">
        <v>181</v>
      </c>
      <c r="P54" s="12" t="s">
        <v>182</v>
      </c>
      <c r="Q54" s="38" t="s">
        <v>183</v>
      </c>
    </row>
    <row r="55" spans="2:20">
      <c r="B55" s="25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5"/>
      <c r="C56" s="24" t="s">
        <v>184</v>
      </c>
      <c r="D56" s="12" t="s">
        <v>185</v>
      </c>
      <c r="E56" s="12" t="s">
        <v>186</v>
      </c>
      <c r="F56" s="12" t="s">
        <v>187</v>
      </c>
      <c r="G56" s="12" t="s">
        <v>188</v>
      </c>
      <c r="H56" s="12" t="s">
        <v>189</v>
      </c>
      <c r="I56" s="8" t="s">
        <v>190</v>
      </c>
      <c r="J56" s="8" t="s">
        <v>191</v>
      </c>
      <c r="K56" s="8" t="s">
        <v>192</v>
      </c>
      <c r="L56" s="8" t="s">
        <v>135</v>
      </c>
      <c r="M56" s="8" t="s">
        <v>193</v>
      </c>
      <c r="N56" s="8" t="s">
        <v>131</v>
      </c>
      <c r="O56" s="8" t="s">
        <v>194</v>
      </c>
      <c r="P56" s="8" t="s">
        <v>195</v>
      </c>
      <c r="Q56" s="39" t="s">
        <v>74</v>
      </c>
    </row>
    <row r="57" spans="2:20" ht="15.75">
      <c r="B57" s="14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43"/>
    </row>
    <row r="61" spans="2:20">
      <c r="B61" s="213" t="s">
        <v>196</v>
      </c>
      <c r="C61" s="224" t="s">
        <v>102</v>
      </c>
      <c r="D61" s="225"/>
      <c r="E61" s="225"/>
      <c r="F61" s="225"/>
      <c r="G61" s="225"/>
      <c r="H61" s="225"/>
      <c r="I61" s="225"/>
      <c r="J61" s="225"/>
      <c r="K61" s="225"/>
      <c r="L61" s="225"/>
      <c r="M61" s="225"/>
      <c r="N61" s="225"/>
      <c r="O61" s="225"/>
      <c r="P61" s="225"/>
      <c r="Q61" s="225"/>
      <c r="R61" s="209"/>
      <c r="S61" s="65"/>
      <c r="T61" s="66"/>
    </row>
    <row r="62" spans="2:20" ht="15.75">
      <c r="B62" s="213"/>
      <c r="C62" s="30" t="s">
        <v>103</v>
      </c>
      <c r="D62" s="30" t="s">
        <v>197</v>
      </c>
      <c r="E62" s="30" t="s">
        <v>198</v>
      </c>
      <c r="F62" s="30" t="s">
        <v>199</v>
      </c>
      <c r="G62" s="30" t="s">
        <v>200</v>
      </c>
      <c r="H62" s="30" t="s">
        <v>201</v>
      </c>
      <c r="I62" s="30" t="s">
        <v>202</v>
      </c>
      <c r="J62" s="30" t="s">
        <v>203</v>
      </c>
      <c r="K62" s="30" t="s">
        <v>204</v>
      </c>
      <c r="L62" s="30" t="s">
        <v>205</v>
      </c>
      <c r="M62" s="30" t="s">
        <v>206</v>
      </c>
      <c r="N62" s="30" t="s">
        <v>207</v>
      </c>
      <c r="O62" s="30" t="s">
        <v>208</v>
      </c>
      <c r="P62" s="30" t="s">
        <v>209</v>
      </c>
      <c r="Q62" s="30" t="s">
        <v>210</v>
      </c>
      <c r="R62" s="30" t="s">
        <v>211</v>
      </c>
      <c r="S62" s="67" t="s">
        <v>212</v>
      </c>
      <c r="T62" s="58" t="s">
        <v>74</v>
      </c>
    </row>
    <row r="63" spans="2:20" ht="15.75">
      <c r="B63" s="219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43"/>
    </row>
    <row r="64" spans="2:20">
      <c r="B64" s="219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68"/>
      <c r="T64" s="68"/>
    </row>
    <row r="65" spans="2:20" ht="15.75">
      <c r="B65" s="214"/>
      <c r="C65" s="69" t="s">
        <v>103</v>
      </c>
      <c r="D65" s="69" t="s">
        <v>197</v>
      </c>
      <c r="E65" s="69" t="s">
        <v>198</v>
      </c>
      <c r="F65" s="69" t="s">
        <v>199</v>
      </c>
      <c r="G65" s="69" t="s">
        <v>200</v>
      </c>
      <c r="H65" s="69" t="s">
        <v>201</v>
      </c>
      <c r="I65" s="69" t="s">
        <v>202</v>
      </c>
      <c r="J65" s="69" t="s">
        <v>203</v>
      </c>
      <c r="K65" s="69" t="s">
        <v>204</v>
      </c>
      <c r="L65" s="69" t="s">
        <v>205</v>
      </c>
      <c r="M65" s="69" t="s">
        <v>206</v>
      </c>
      <c r="N65" s="69" t="s">
        <v>207</v>
      </c>
      <c r="O65" s="69" t="s">
        <v>208</v>
      </c>
      <c r="P65" s="69" t="s">
        <v>209</v>
      </c>
      <c r="Q65" s="69" t="s">
        <v>210</v>
      </c>
      <c r="R65" s="69" t="s">
        <v>211</v>
      </c>
      <c r="S65" s="75" t="s">
        <v>212</v>
      </c>
      <c r="T65" s="60" t="s">
        <v>74</v>
      </c>
    </row>
    <row r="66" spans="2:20" ht="15.75">
      <c r="B66" s="22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43"/>
    </row>
    <row r="69" spans="2:20">
      <c r="B69" s="213" t="s">
        <v>213</v>
      </c>
      <c r="C69" s="224" t="s">
        <v>102</v>
      </c>
      <c r="D69" s="225"/>
      <c r="E69" s="225"/>
      <c r="F69" s="225"/>
      <c r="G69" s="225"/>
      <c r="H69" s="225"/>
      <c r="I69" s="225"/>
      <c r="J69" s="225"/>
      <c r="K69" s="225"/>
      <c r="L69" s="225"/>
      <c r="M69" s="225"/>
      <c r="N69" s="225"/>
      <c r="O69" s="225"/>
      <c r="P69" s="225"/>
      <c r="Q69" s="225"/>
      <c r="R69" s="209"/>
      <c r="S69" s="65"/>
      <c r="T69" s="66"/>
    </row>
    <row r="70" spans="2:20" ht="15.75">
      <c r="B70" s="213"/>
      <c r="C70" s="69" t="s">
        <v>103</v>
      </c>
      <c r="D70" s="69" t="s">
        <v>197</v>
      </c>
      <c r="E70" s="69" t="s">
        <v>198</v>
      </c>
      <c r="F70" s="69" t="s">
        <v>199</v>
      </c>
      <c r="G70" s="69" t="s">
        <v>200</v>
      </c>
      <c r="H70" s="69" t="s">
        <v>201</v>
      </c>
      <c r="I70" s="69" t="s">
        <v>202</v>
      </c>
      <c r="J70" s="69" t="s">
        <v>203</v>
      </c>
      <c r="K70" s="69" t="s">
        <v>204</v>
      </c>
      <c r="L70" s="69" t="s">
        <v>205</v>
      </c>
      <c r="M70" s="69" t="s">
        <v>206</v>
      </c>
      <c r="N70" s="69" t="s">
        <v>207</v>
      </c>
      <c r="O70" s="69" t="s">
        <v>208</v>
      </c>
      <c r="P70" s="69" t="s">
        <v>209</v>
      </c>
      <c r="Q70" s="69" t="s">
        <v>210</v>
      </c>
      <c r="R70" s="69" t="s">
        <v>211</v>
      </c>
      <c r="S70" s="75" t="s">
        <v>212</v>
      </c>
      <c r="T70" s="60" t="s">
        <v>74</v>
      </c>
    </row>
    <row r="71" spans="2:20" ht="15.75">
      <c r="B71" s="213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43"/>
    </row>
    <row r="72" spans="2:20">
      <c r="B72" s="219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68"/>
      <c r="T72" s="68"/>
    </row>
    <row r="73" spans="2:20" ht="15.75">
      <c r="B73" s="214"/>
      <c r="C73" s="69" t="s">
        <v>103</v>
      </c>
      <c r="D73" s="69" t="s">
        <v>197</v>
      </c>
      <c r="E73" s="69" t="s">
        <v>198</v>
      </c>
      <c r="F73" s="69" t="s">
        <v>199</v>
      </c>
      <c r="G73" s="69" t="s">
        <v>200</v>
      </c>
      <c r="H73" s="69" t="s">
        <v>201</v>
      </c>
      <c r="I73" s="69" t="s">
        <v>202</v>
      </c>
      <c r="J73" s="69" t="s">
        <v>203</v>
      </c>
      <c r="K73" s="69" t="s">
        <v>204</v>
      </c>
      <c r="L73" s="69" t="s">
        <v>205</v>
      </c>
      <c r="M73" s="69" t="s">
        <v>206</v>
      </c>
      <c r="N73" s="69" t="s">
        <v>207</v>
      </c>
      <c r="O73" s="69" t="s">
        <v>208</v>
      </c>
      <c r="P73" s="69" t="s">
        <v>209</v>
      </c>
      <c r="Q73" s="69" t="s">
        <v>210</v>
      </c>
      <c r="R73" s="69" t="s">
        <v>211</v>
      </c>
      <c r="S73" s="75" t="s">
        <v>212</v>
      </c>
      <c r="T73" s="60" t="s">
        <v>74</v>
      </c>
    </row>
    <row r="74" spans="2:20" ht="15.75">
      <c r="B74" s="22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43"/>
    </row>
    <row r="77" spans="2:20">
      <c r="B77" s="220" t="s">
        <v>91</v>
      </c>
      <c r="C77" s="209" t="s">
        <v>102</v>
      </c>
      <c r="D77" s="210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70"/>
      <c r="S77" s="70"/>
      <c r="T77" s="15"/>
    </row>
    <row r="78" spans="2:20">
      <c r="B78" s="221"/>
      <c r="C78" s="17" t="s">
        <v>103</v>
      </c>
      <c r="D78" s="17" t="s">
        <v>214</v>
      </c>
      <c r="E78" s="17" t="s">
        <v>215</v>
      </c>
      <c r="F78" s="17" t="s">
        <v>216</v>
      </c>
      <c r="G78" s="17" t="s">
        <v>217</v>
      </c>
      <c r="H78" s="71" t="s">
        <v>218</v>
      </c>
      <c r="I78" s="71" t="s">
        <v>219</v>
      </c>
      <c r="J78" s="71" t="s">
        <v>220</v>
      </c>
      <c r="K78" s="71" t="s">
        <v>221</v>
      </c>
      <c r="L78" s="71" t="s">
        <v>134</v>
      </c>
      <c r="M78" s="17" t="s">
        <v>222</v>
      </c>
      <c r="N78" s="71" t="s">
        <v>223</v>
      </c>
      <c r="O78" s="71" t="s">
        <v>215</v>
      </c>
      <c r="P78" s="71" t="s">
        <v>224</v>
      </c>
      <c r="Q78" s="71" t="s">
        <v>225</v>
      </c>
      <c r="R78" s="71" t="s">
        <v>215</v>
      </c>
      <c r="S78" s="71" t="s">
        <v>226</v>
      </c>
      <c r="T78" s="69" t="s">
        <v>215</v>
      </c>
    </row>
    <row r="79" spans="2:20">
      <c r="B79" s="221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221"/>
      <c r="C80" s="69" t="s">
        <v>227</v>
      </c>
      <c r="D80" s="69" t="s">
        <v>228</v>
      </c>
      <c r="E80" s="69" t="s">
        <v>229</v>
      </c>
      <c r="F80" s="69" t="s">
        <v>215</v>
      </c>
      <c r="G80" s="69" t="s">
        <v>224</v>
      </c>
      <c r="H80" s="69" t="s">
        <v>230</v>
      </c>
      <c r="I80" s="69" t="s">
        <v>215</v>
      </c>
      <c r="J80" s="69" t="s">
        <v>231</v>
      </c>
      <c r="K80" s="69" t="s">
        <v>232</v>
      </c>
      <c r="L80" s="69" t="s">
        <v>233</v>
      </c>
      <c r="M80" s="69" t="s">
        <v>215</v>
      </c>
      <c r="N80" s="69" t="s">
        <v>234</v>
      </c>
      <c r="O80" s="75" t="s">
        <v>215</v>
      </c>
      <c r="P80" s="75" t="s">
        <v>235</v>
      </c>
      <c r="Q80" s="75" t="s">
        <v>215</v>
      </c>
      <c r="R80" s="75" t="s">
        <v>236</v>
      </c>
      <c r="S80" s="75" t="s">
        <v>215</v>
      </c>
      <c r="T80" s="60" t="s">
        <v>74</v>
      </c>
    </row>
    <row r="81" spans="2:20" ht="15.75">
      <c r="B81" s="22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43" t="s">
        <v>237</v>
      </c>
    </row>
    <row r="82" spans="2:20">
      <c r="B82" s="221"/>
      <c r="C82" s="72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31"/>
      <c r="Q82" s="31"/>
      <c r="R82" s="76"/>
      <c r="S82" s="68"/>
      <c r="T82" s="77"/>
    </row>
    <row r="83" spans="2:20">
      <c r="B83" s="221"/>
      <c r="C83" s="21" t="s">
        <v>103</v>
      </c>
      <c r="D83" s="21" t="s">
        <v>214</v>
      </c>
      <c r="E83" s="21" t="s">
        <v>215</v>
      </c>
      <c r="F83" s="21" t="s">
        <v>216</v>
      </c>
      <c r="G83" s="21" t="s">
        <v>217</v>
      </c>
      <c r="H83" s="69" t="s">
        <v>218</v>
      </c>
      <c r="I83" s="69" t="s">
        <v>219</v>
      </c>
      <c r="J83" s="69" t="s">
        <v>220</v>
      </c>
      <c r="K83" s="69" t="s">
        <v>221</v>
      </c>
      <c r="L83" s="69" t="s">
        <v>134</v>
      </c>
      <c r="M83" s="21" t="s">
        <v>222</v>
      </c>
      <c r="N83" s="69" t="s">
        <v>223</v>
      </c>
      <c r="O83" s="69" t="s">
        <v>215</v>
      </c>
      <c r="P83" s="69" t="s">
        <v>224</v>
      </c>
      <c r="Q83" s="69" t="s">
        <v>225</v>
      </c>
      <c r="R83" s="69" t="s">
        <v>215</v>
      </c>
      <c r="S83" s="69" t="s">
        <v>226</v>
      </c>
      <c r="T83" s="69" t="s">
        <v>215</v>
      </c>
    </row>
    <row r="84" spans="2:20">
      <c r="B84" s="73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73"/>
      <c r="C85" s="69" t="s">
        <v>227</v>
      </c>
      <c r="D85" s="69" t="s">
        <v>228</v>
      </c>
      <c r="E85" s="69" t="s">
        <v>229</v>
      </c>
      <c r="F85" s="69" t="s">
        <v>215</v>
      </c>
      <c r="G85" s="69" t="s">
        <v>224</v>
      </c>
      <c r="H85" s="69" t="s">
        <v>230</v>
      </c>
      <c r="I85" s="69" t="s">
        <v>215</v>
      </c>
      <c r="J85" s="69" t="s">
        <v>231</v>
      </c>
      <c r="K85" s="69" t="s">
        <v>232</v>
      </c>
      <c r="L85" s="69" t="s">
        <v>233</v>
      </c>
      <c r="M85" s="69" t="s">
        <v>215</v>
      </c>
      <c r="N85" s="69" t="s">
        <v>234</v>
      </c>
      <c r="O85" s="75" t="s">
        <v>215</v>
      </c>
      <c r="P85" s="75" t="s">
        <v>235</v>
      </c>
      <c r="Q85" s="75" t="s">
        <v>215</v>
      </c>
      <c r="R85" s="75" t="s">
        <v>236</v>
      </c>
      <c r="S85" s="75" t="s">
        <v>215</v>
      </c>
      <c r="T85" s="58" t="s">
        <v>74</v>
      </c>
    </row>
    <row r="86" spans="2:20" ht="15.75">
      <c r="B86" s="7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43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  <vt:lpstr>Sheet1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2018-05-18T12:00:00Z</cp:lastPrinted>
  <dcterms:created xsi:type="dcterms:W3CDTF">2013-08-23T16:44:00Z</dcterms:created>
  <dcterms:modified xsi:type="dcterms:W3CDTF">2024-08-06T13:22:25Z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