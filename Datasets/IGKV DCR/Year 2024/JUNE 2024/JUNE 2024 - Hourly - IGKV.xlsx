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9815" windowHeight="7815" tabRatio="913" activeTab="21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3" r:id="rId29"/>
    <sheet name="30" sheetId="40" r:id="rId30"/>
    <sheet name="31" sheetId="41" r:id="rId31"/>
    <sheet name="MONTHLY 31" sheetId="39" r:id="rId32"/>
  </sheets>
  <calcPr calcId="124519"/>
</workbook>
</file>

<file path=xl/calcChain.xml><?xml version="1.0" encoding="utf-8"?>
<calcChain xmlns="http://schemas.openxmlformats.org/spreadsheetml/2006/main">
  <c r="C39" i="39"/>
  <c r="D39"/>
  <c r="E39"/>
  <c r="F39"/>
  <c r="G39"/>
  <c r="H39"/>
  <c r="I39"/>
  <c r="J39"/>
  <c r="K39"/>
  <c r="L39"/>
  <c r="M39"/>
  <c r="N39"/>
  <c r="O39"/>
  <c r="P39"/>
  <c r="Q39"/>
  <c r="B39"/>
  <c r="Q38"/>
  <c r="P38"/>
  <c r="O38"/>
  <c r="N38"/>
  <c r="M38"/>
  <c r="L38"/>
  <c r="K38"/>
  <c r="J38"/>
  <c r="I38"/>
  <c r="H38"/>
  <c r="G38"/>
  <c r="F38"/>
  <c r="E38"/>
  <c r="D38"/>
  <c r="C38"/>
  <c r="B38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O36"/>
  <c r="N36"/>
  <c r="M36"/>
  <c r="L36"/>
  <c r="K36"/>
  <c r="J36"/>
  <c r="I36"/>
  <c r="H36"/>
  <c r="G36"/>
  <c r="F36"/>
  <c r="E36"/>
  <c r="D36"/>
  <c r="C36"/>
  <c r="B36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Q33"/>
  <c r="P33"/>
  <c r="O33"/>
  <c r="N33"/>
  <c r="M33"/>
  <c r="L33"/>
  <c r="K33"/>
  <c r="J33"/>
  <c r="I33"/>
  <c r="H33"/>
  <c r="G33"/>
  <c r="F33"/>
  <c r="E33"/>
  <c r="D33"/>
  <c r="C33"/>
  <c r="B33"/>
  <c r="Q32"/>
  <c r="P32"/>
  <c r="O32"/>
  <c r="N32"/>
  <c r="M32"/>
  <c r="L32"/>
  <c r="K32"/>
  <c r="J32"/>
  <c r="I32"/>
  <c r="H32"/>
  <c r="G32"/>
  <c r="F32"/>
  <c r="E32"/>
  <c r="D32"/>
  <c r="C32"/>
  <c r="B32"/>
  <c r="Q31"/>
  <c r="P31"/>
  <c r="O31"/>
  <c r="N31"/>
  <c r="M31"/>
  <c r="L31"/>
  <c r="K31"/>
  <c r="J31"/>
  <c r="I31"/>
  <c r="H31"/>
  <c r="G31"/>
  <c r="F31"/>
  <c r="E31"/>
  <c r="D31"/>
  <c r="C31"/>
  <c r="B31"/>
  <c r="Q30"/>
  <c r="O30"/>
  <c r="M30"/>
  <c r="K30"/>
  <c r="E30"/>
  <c r="L29"/>
  <c r="G29"/>
  <c r="D29"/>
  <c r="L28"/>
  <c r="G28"/>
  <c r="D28"/>
  <c r="N27"/>
  <c r="K27"/>
  <c r="E27"/>
  <c r="D27"/>
  <c r="O26"/>
  <c r="M26"/>
  <c r="G26"/>
  <c r="E26"/>
  <c r="Q25"/>
  <c r="N25"/>
  <c r="L25"/>
  <c r="G25"/>
  <c r="A25"/>
  <c r="Q24"/>
  <c r="B24"/>
  <c r="O23"/>
  <c r="H23"/>
  <c r="F23"/>
  <c r="B23"/>
  <c r="B22"/>
  <c r="M21"/>
  <c r="F21"/>
  <c r="B21"/>
  <c r="N20"/>
  <c r="E20"/>
  <c r="B20"/>
  <c r="O19"/>
  <c r="N19"/>
  <c r="H19"/>
  <c r="F19"/>
  <c r="E19"/>
  <c r="B19"/>
  <c r="B18"/>
  <c r="M16"/>
  <c r="F16"/>
  <c r="B16"/>
  <c r="B15"/>
  <c r="B14"/>
  <c r="O12"/>
  <c r="N12"/>
  <c r="H12"/>
  <c r="E12"/>
  <c r="B12"/>
  <c r="O11"/>
  <c r="H11"/>
  <c r="B11"/>
  <c r="Q40" i="41"/>
  <c r="P40"/>
  <c r="O40"/>
  <c r="N40"/>
  <c r="M40"/>
  <c r="L40"/>
  <c r="K40"/>
  <c r="J40"/>
  <c r="I40"/>
  <c r="H40"/>
  <c r="G40"/>
  <c r="F40"/>
  <c r="E40"/>
  <c r="D40"/>
  <c r="C40"/>
  <c r="B40"/>
  <c r="Q39"/>
  <c r="P39"/>
  <c r="O39"/>
  <c r="N39"/>
  <c r="M39"/>
  <c r="L39"/>
  <c r="K39"/>
  <c r="J39"/>
  <c r="I39"/>
  <c r="H39"/>
  <c r="G39"/>
  <c r="F39"/>
  <c r="E39"/>
  <c r="D39"/>
  <c r="C39"/>
  <c r="B39"/>
  <c r="Q38"/>
  <c r="P38"/>
  <c r="O38"/>
  <c r="N38"/>
  <c r="M38"/>
  <c r="L38"/>
  <c r="K38"/>
  <c r="J38"/>
  <c r="I38"/>
  <c r="H38"/>
  <c r="G38"/>
  <c r="F38"/>
  <c r="E38"/>
  <c r="D38"/>
  <c r="C38"/>
  <c r="B38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O36"/>
  <c r="N36"/>
  <c r="M36"/>
  <c r="L36"/>
  <c r="K36"/>
  <c r="J36"/>
  <c r="I36"/>
  <c r="H36"/>
  <c r="G36"/>
  <c r="F36"/>
  <c r="E36"/>
  <c r="D36"/>
  <c r="C36"/>
  <c r="B36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9" i="39" s="1"/>
  <c r="Q40" i="40"/>
  <c r="P40"/>
  <c r="O40"/>
  <c r="N40"/>
  <c r="M40"/>
  <c r="L40"/>
  <c r="K40"/>
  <c r="J40"/>
  <c r="I40"/>
  <c r="H40"/>
  <c r="G40"/>
  <c r="F40"/>
  <c r="E40"/>
  <c r="D40"/>
  <c r="C40"/>
  <c r="B40"/>
  <c r="Q39"/>
  <c r="P39"/>
  <c r="O39"/>
  <c r="N39"/>
  <c r="M39"/>
  <c r="L39"/>
  <c r="K39"/>
  <c r="J39"/>
  <c r="I39"/>
  <c r="H39"/>
  <c r="G39"/>
  <c r="F39"/>
  <c r="E39"/>
  <c r="D39"/>
  <c r="C39"/>
  <c r="B39"/>
  <c r="Q38"/>
  <c r="P38"/>
  <c r="O38"/>
  <c r="N38"/>
  <c r="M38"/>
  <c r="L38"/>
  <c r="K38"/>
  <c r="J38"/>
  <c r="I38"/>
  <c r="H38"/>
  <c r="G38"/>
  <c r="F38"/>
  <c r="E38"/>
  <c r="D38"/>
  <c r="C38"/>
  <c r="B38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O36"/>
  <c r="N36"/>
  <c r="M36"/>
  <c r="L36"/>
  <c r="K36"/>
  <c r="J36"/>
  <c r="I36"/>
  <c r="H36"/>
  <c r="G36"/>
  <c r="F36"/>
  <c r="E36"/>
  <c r="D36"/>
  <c r="C36"/>
  <c r="B36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8" i="39" s="1"/>
  <c r="Q40" i="43"/>
  <c r="P40"/>
  <c r="O40"/>
  <c r="N40"/>
  <c r="M40"/>
  <c r="L40"/>
  <c r="K40"/>
  <c r="J40"/>
  <c r="I40"/>
  <c r="H40"/>
  <c r="G40"/>
  <c r="F40"/>
  <c r="E40"/>
  <c r="D40"/>
  <c r="C40"/>
  <c r="B40"/>
  <c r="Q39"/>
  <c r="P39"/>
  <c r="O39"/>
  <c r="N39"/>
  <c r="M39"/>
  <c r="L39"/>
  <c r="K39"/>
  <c r="J39"/>
  <c r="I39"/>
  <c r="H39"/>
  <c r="G39"/>
  <c r="F39"/>
  <c r="E39"/>
  <c r="D39"/>
  <c r="C39"/>
  <c r="B39"/>
  <c r="Q38"/>
  <c r="P38"/>
  <c r="O38"/>
  <c r="N38"/>
  <c r="M38"/>
  <c r="L38"/>
  <c r="K38"/>
  <c r="J38"/>
  <c r="I38"/>
  <c r="H38"/>
  <c r="G38"/>
  <c r="F38"/>
  <c r="E38"/>
  <c r="D38"/>
  <c r="C38"/>
  <c r="B38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O36"/>
  <c r="N36"/>
  <c r="M36"/>
  <c r="L36"/>
  <c r="K36"/>
  <c r="J36"/>
  <c r="I36"/>
  <c r="H36"/>
  <c r="G36"/>
  <c r="F36"/>
  <c r="E36"/>
  <c r="D36"/>
  <c r="C36"/>
  <c r="B36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7" i="39" s="1"/>
  <c r="Q40" i="33"/>
  <c r="P40"/>
  <c r="O40"/>
  <c r="N40"/>
  <c r="M40"/>
  <c r="L40"/>
  <c r="K40"/>
  <c r="J40"/>
  <c r="I40"/>
  <c r="H40"/>
  <c r="G40"/>
  <c r="F40"/>
  <c r="E40"/>
  <c r="D40"/>
  <c r="C40"/>
  <c r="B40"/>
  <c r="Q39"/>
  <c r="P39"/>
  <c r="O39"/>
  <c r="N39"/>
  <c r="M39"/>
  <c r="L39"/>
  <c r="K39"/>
  <c r="J39"/>
  <c r="I39"/>
  <c r="H39"/>
  <c r="G39"/>
  <c r="F39"/>
  <c r="E39"/>
  <c r="D39"/>
  <c r="C39"/>
  <c r="B39"/>
  <c r="Q38"/>
  <c r="P38"/>
  <c r="O38"/>
  <c r="N38"/>
  <c r="M38"/>
  <c r="L38"/>
  <c r="K38"/>
  <c r="J38"/>
  <c r="I38"/>
  <c r="H38"/>
  <c r="G38"/>
  <c r="F38"/>
  <c r="E38"/>
  <c r="D38"/>
  <c r="C38"/>
  <c r="B38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O36"/>
  <c r="N36"/>
  <c r="M36"/>
  <c r="L36"/>
  <c r="K36"/>
  <c r="J36"/>
  <c r="I36"/>
  <c r="H36"/>
  <c r="G36"/>
  <c r="F36"/>
  <c r="E36"/>
  <c r="D36"/>
  <c r="C36"/>
  <c r="B36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6" i="39" s="1"/>
  <c r="Q40" i="32"/>
  <c r="P40"/>
  <c r="O40"/>
  <c r="N40"/>
  <c r="M40"/>
  <c r="L40"/>
  <c r="K40"/>
  <c r="J40"/>
  <c r="I40"/>
  <c r="H40"/>
  <c r="G40"/>
  <c r="F40"/>
  <c r="E40"/>
  <c r="D40"/>
  <c r="C40"/>
  <c r="B40"/>
  <c r="Q39"/>
  <c r="P39"/>
  <c r="O39"/>
  <c r="N39"/>
  <c r="M39"/>
  <c r="L39"/>
  <c r="K39"/>
  <c r="J39"/>
  <c r="I39"/>
  <c r="H39"/>
  <c r="G39"/>
  <c r="F39"/>
  <c r="E39"/>
  <c r="D39"/>
  <c r="C39"/>
  <c r="B39"/>
  <c r="Q38"/>
  <c r="P38"/>
  <c r="O38"/>
  <c r="N38"/>
  <c r="M38"/>
  <c r="L38"/>
  <c r="K38"/>
  <c r="J38"/>
  <c r="I38"/>
  <c r="H38"/>
  <c r="G38"/>
  <c r="F38"/>
  <c r="E38"/>
  <c r="D38"/>
  <c r="C38"/>
  <c r="B38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O36"/>
  <c r="N36"/>
  <c r="M36"/>
  <c r="L36"/>
  <c r="K36"/>
  <c r="J36"/>
  <c r="I36"/>
  <c r="H36"/>
  <c r="G36"/>
  <c r="F36"/>
  <c r="E36"/>
  <c r="D36"/>
  <c r="C36"/>
  <c r="B36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5" i="39" s="1"/>
  <c r="Q40" i="31"/>
  <c r="P40"/>
  <c r="O40"/>
  <c r="N40"/>
  <c r="M40"/>
  <c r="L40"/>
  <c r="K40"/>
  <c r="J40"/>
  <c r="I40"/>
  <c r="H40"/>
  <c r="G40"/>
  <c r="F40"/>
  <c r="E40"/>
  <c r="D40"/>
  <c r="C40"/>
  <c r="B40"/>
  <c r="Q39"/>
  <c r="P39"/>
  <c r="O39"/>
  <c r="N39"/>
  <c r="M39"/>
  <c r="L39"/>
  <c r="K39"/>
  <c r="J39"/>
  <c r="I39"/>
  <c r="H39"/>
  <c r="G39"/>
  <c r="F39"/>
  <c r="E39"/>
  <c r="D39"/>
  <c r="C39"/>
  <c r="B39"/>
  <c r="Q38"/>
  <c r="P38"/>
  <c r="O38"/>
  <c r="N38"/>
  <c r="M38"/>
  <c r="L38"/>
  <c r="K38"/>
  <c r="J38"/>
  <c r="I38"/>
  <c r="H38"/>
  <c r="G38"/>
  <c r="F38"/>
  <c r="E38"/>
  <c r="D38"/>
  <c r="C38"/>
  <c r="B38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O36"/>
  <c r="N36"/>
  <c r="M36"/>
  <c r="L36"/>
  <c r="K36"/>
  <c r="J36"/>
  <c r="I36"/>
  <c r="H36"/>
  <c r="G36"/>
  <c r="F36"/>
  <c r="E36"/>
  <c r="D36"/>
  <c r="C36"/>
  <c r="B36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4" i="39" s="1"/>
  <c r="Q40" i="30"/>
  <c r="P40"/>
  <c r="O40"/>
  <c r="N40"/>
  <c r="M40"/>
  <c r="L40"/>
  <c r="K40"/>
  <c r="J40"/>
  <c r="I40"/>
  <c r="H40"/>
  <c r="G40"/>
  <c r="F40"/>
  <c r="E40"/>
  <c r="D40"/>
  <c r="C40"/>
  <c r="B40"/>
  <c r="Q39"/>
  <c r="P39"/>
  <c r="O39"/>
  <c r="N39"/>
  <c r="M39"/>
  <c r="L39"/>
  <c r="K39"/>
  <c r="J39"/>
  <c r="I39"/>
  <c r="H39"/>
  <c r="G39"/>
  <c r="F39"/>
  <c r="E39"/>
  <c r="D39"/>
  <c r="C39"/>
  <c r="B39"/>
  <c r="Q38"/>
  <c r="P38"/>
  <c r="O38"/>
  <c r="N38"/>
  <c r="M38"/>
  <c r="L38"/>
  <c r="K38"/>
  <c r="J38"/>
  <c r="I38"/>
  <c r="H38"/>
  <c r="G38"/>
  <c r="F38"/>
  <c r="E38"/>
  <c r="D38"/>
  <c r="C38"/>
  <c r="B38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O36"/>
  <c r="N36"/>
  <c r="M36"/>
  <c r="L36"/>
  <c r="K36"/>
  <c r="J36"/>
  <c r="I36"/>
  <c r="H36"/>
  <c r="G36"/>
  <c r="F36"/>
  <c r="E36"/>
  <c r="D36"/>
  <c r="C36"/>
  <c r="B36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3" i="39" s="1"/>
  <c r="Q40" i="29"/>
  <c r="P40"/>
  <c r="O40"/>
  <c r="N40"/>
  <c r="M40"/>
  <c r="L40"/>
  <c r="K40"/>
  <c r="J40"/>
  <c r="I40"/>
  <c r="H40"/>
  <c r="G40"/>
  <c r="F40"/>
  <c r="E40"/>
  <c r="D40"/>
  <c r="C40"/>
  <c r="B40"/>
  <c r="Q39"/>
  <c r="P39"/>
  <c r="O39"/>
  <c r="N39"/>
  <c r="M39"/>
  <c r="L39"/>
  <c r="K39"/>
  <c r="J39"/>
  <c r="I39"/>
  <c r="H39"/>
  <c r="G39"/>
  <c r="F39"/>
  <c r="E39"/>
  <c r="D39"/>
  <c r="C39"/>
  <c r="B39"/>
  <c r="Q38"/>
  <c r="P38"/>
  <c r="O38"/>
  <c r="N38"/>
  <c r="M38"/>
  <c r="L38"/>
  <c r="K38"/>
  <c r="J38"/>
  <c r="I38"/>
  <c r="H38"/>
  <c r="G38"/>
  <c r="F38"/>
  <c r="E38"/>
  <c r="D38"/>
  <c r="C38"/>
  <c r="B38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O36"/>
  <c r="N36"/>
  <c r="M36"/>
  <c r="L36"/>
  <c r="K36"/>
  <c r="J36"/>
  <c r="I36"/>
  <c r="H36"/>
  <c r="G36"/>
  <c r="F36"/>
  <c r="E36"/>
  <c r="D36"/>
  <c r="C36"/>
  <c r="B36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2" i="39" s="1"/>
  <c r="Q40" i="28"/>
  <c r="P40"/>
  <c r="O40"/>
  <c r="N40"/>
  <c r="M40"/>
  <c r="L40"/>
  <c r="K40"/>
  <c r="J40"/>
  <c r="I40"/>
  <c r="H40"/>
  <c r="G40"/>
  <c r="F40"/>
  <c r="E40"/>
  <c r="D40"/>
  <c r="C40"/>
  <c r="B40"/>
  <c r="Q39"/>
  <c r="P39"/>
  <c r="O39"/>
  <c r="N39"/>
  <c r="M39"/>
  <c r="L39"/>
  <c r="K39"/>
  <c r="J39"/>
  <c r="I39"/>
  <c r="H39"/>
  <c r="G39"/>
  <c r="F39"/>
  <c r="E39"/>
  <c r="D39"/>
  <c r="C39"/>
  <c r="B39"/>
  <c r="Q38"/>
  <c r="P38"/>
  <c r="O38"/>
  <c r="N38"/>
  <c r="M38"/>
  <c r="L38"/>
  <c r="K38"/>
  <c r="J38"/>
  <c r="I38"/>
  <c r="H38"/>
  <c r="G38"/>
  <c r="F38"/>
  <c r="E38"/>
  <c r="D38"/>
  <c r="C38"/>
  <c r="B38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O36"/>
  <c r="N36"/>
  <c r="M36"/>
  <c r="L36"/>
  <c r="K36"/>
  <c r="J36"/>
  <c r="I36"/>
  <c r="H36"/>
  <c r="G36"/>
  <c r="F36"/>
  <c r="E36"/>
  <c r="D36"/>
  <c r="C36"/>
  <c r="B36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1" i="39" s="1"/>
  <c r="Q38" i="27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P30" i="39" s="1"/>
  <c r="O36" i="27"/>
  <c r="N36"/>
  <c r="N30" i="39" s="1"/>
  <c r="M36" i="27"/>
  <c r="L36"/>
  <c r="L30" i="39" s="1"/>
  <c r="K36" i="27"/>
  <c r="J36"/>
  <c r="J30" i="39" s="1"/>
  <c r="I36" i="27"/>
  <c r="I30" i="39" s="1"/>
  <c r="H36" i="27"/>
  <c r="H30" i="39" s="1"/>
  <c r="G36" i="27"/>
  <c r="G30" i="39" s="1"/>
  <c r="F36" i="27"/>
  <c r="F30" i="39" s="1"/>
  <c r="E36" i="27"/>
  <c r="D36"/>
  <c r="D30" i="39" s="1"/>
  <c r="C36" i="27"/>
  <c r="C30" i="39" s="1"/>
  <c r="B36" i="27"/>
  <c r="B30" i="39" s="1"/>
  <c r="Q35" i="27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0" i="39" s="1"/>
  <c r="Q38" i="26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9" i="39" s="1"/>
  <c r="P36" i="26"/>
  <c r="P29" i="39" s="1"/>
  <c r="O36" i="26"/>
  <c r="O29" i="39" s="1"/>
  <c r="N36" i="26"/>
  <c r="N29" i="39" s="1"/>
  <c r="M36" i="26"/>
  <c r="M29" i="39" s="1"/>
  <c r="L36" i="26"/>
  <c r="K36"/>
  <c r="K29" i="39" s="1"/>
  <c r="J36" i="26"/>
  <c r="J29" i="39" s="1"/>
  <c r="I36" i="26"/>
  <c r="I29" i="39" s="1"/>
  <c r="H36" i="26"/>
  <c r="H29" i="39" s="1"/>
  <c r="G36" i="26"/>
  <c r="F36"/>
  <c r="F29" i="39" s="1"/>
  <c r="E36" i="26"/>
  <c r="E29" i="39" s="1"/>
  <c r="D36" i="26"/>
  <c r="C36"/>
  <c r="C29" i="39" s="1"/>
  <c r="B36" i="26"/>
  <c r="B29" i="39" s="1"/>
  <c r="Q35" i="26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9" i="39" s="1"/>
  <c r="P39" i="25"/>
  <c r="Q38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8" i="39" s="1"/>
  <c r="P36" i="25"/>
  <c r="P28" i="39" s="1"/>
  <c r="O36" i="25"/>
  <c r="O28" i="39" s="1"/>
  <c r="N36" i="25"/>
  <c r="N28" i="39" s="1"/>
  <c r="M36" i="25"/>
  <c r="M28" i="39" s="1"/>
  <c r="L36" i="25"/>
  <c r="K36"/>
  <c r="K28" i="39" s="1"/>
  <c r="J36" i="25"/>
  <c r="J28" i="39" s="1"/>
  <c r="I36" i="25"/>
  <c r="I28" i="39" s="1"/>
  <c r="H36" i="25"/>
  <c r="H28" i="39" s="1"/>
  <c r="G36" i="25"/>
  <c r="F36"/>
  <c r="F28" i="39" s="1"/>
  <c r="E36" i="25"/>
  <c r="E28" i="39" s="1"/>
  <c r="D36" i="25"/>
  <c r="C36"/>
  <c r="C28" i="39" s="1"/>
  <c r="B36" i="25"/>
  <c r="B28" i="39" s="1"/>
  <c r="Q35" i="2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8" i="39" s="1"/>
  <c r="Q38" i="24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7" i="39" s="1"/>
  <c r="P36" i="24"/>
  <c r="P27" i="39" s="1"/>
  <c r="O36" i="24"/>
  <c r="O27" i="39" s="1"/>
  <c r="N36" i="24"/>
  <c r="M36"/>
  <c r="M27" i="39" s="1"/>
  <c r="L36" i="24"/>
  <c r="L27" i="39" s="1"/>
  <c r="K36" i="24"/>
  <c r="J36"/>
  <c r="J27" i="39" s="1"/>
  <c r="I36" i="24"/>
  <c r="I27" i="39" s="1"/>
  <c r="H36" i="24"/>
  <c r="H27" i="39" s="1"/>
  <c r="G36" i="24"/>
  <c r="G27" i="39" s="1"/>
  <c r="F36" i="24"/>
  <c r="F27" i="39" s="1"/>
  <c r="E36" i="24"/>
  <c r="D36"/>
  <c r="C36"/>
  <c r="C27" i="39" s="1"/>
  <c r="B36" i="24"/>
  <c r="B27" i="39" s="1"/>
  <c r="Q35" i="24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7" i="39" s="1"/>
  <c r="Q38" i="23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6" i="39" s="1"/>
  <c r="P36" i="23"/>
  <c r="P26" i="39" s="1"/>
  <c r="O36" i="23"/>
  <c r="N36"/>
  <c r="N26" i="39" s="1"/>
  <c r="M36" i="23"/>
  <c r="L36"/>
  <c r="L26" i="39" s="1"/>
  <c r="K36" i="23"/>
  <c r="K26" i="39" s="1"/>
  <c r="J36" i="23"/>
  <c r="J26" i="39" s="1"/>
  <c r="I36" i="23"/>
  <c r="I26" i="39" s="1"/>
  <c r="H36" i="23"/>
  <c r="H26" i="39" s="1"/>
  <c r="G36" i="23"/>
  <c r="F36"/>
  <c r="F26" i="39" s="1"/>
  <c r="E36" i="23"/>
  <c r="D36"/>
  <c r="D26" i="39" s="1"/>
  <c r="C36" i="23"/>
  <c r="C26" i="39" s="1"/>
  <c r="B36" i="23"/>
  <c r="B26" i="39" s="1"/>
  <c r="Q35" i="23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6" i="39" s="1"/>
  <c r="Q38" i="22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P25" i="39" s="1"/>
  <c r="O36" i="22"/>
  <c r="O25" i="39" s="1"/>
  <c r="N36" i="22"/>
  <c r="M36"/>
  <c r="M25" i="39" s="1"/>
  <c r="L36" i="22"/>
  <c r="K36"/>
  <c r="K25" i="39" s="1"/>
  <c r="J36" i="22"/>
  <c r="J25" i="39" s="1"/>
  <c r="I36" i="22"/>
  <c r="I25" i="39" s="1"/>
  <c r="H36" i="22"/>
  <c r="H25" i="39" s="1"/>
  <c r="G36" i="22"/>
  <c r="F36"/>
  <c r="F25" i="39" s="1"/>
  <c r="E36" i="22"/>
  <c r="E25" i="39" s="1"/>
  <c r="D36" i="22"/>
  <c r="D25" i="39" s="1"/>
  <c r="C36" i="22"/>
  <c r="C25" i="39" s="1"/>
  <c r="B36" i="22"/>
  <c r="B25" i="39" s="1"/>
  <c r="Q35" i="22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Q38" i="21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39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P24" i="39" s="1"/>
  <c r="O36" i="21"/>
  <c r="O24" i="39" s="1"/>
  <c r="N36" i="21"/>
  <c r="N24" i="39" s="1"/>
  <c r="M36" i="21"/>
  <c r="M24" i="39" s="1"/>
  <c r="L36" i="21"/>
  <c r="L24" i="39" s="1"/>
  <c r="K36" i="21"/>
  <c r="K24" i="39" s="1"/>
  <c r="J36" i="21"/>
  <c r="J24" i="39" s="1"/>
  <c r="I36" i="21"/>
  <c r="I24" i="39" s="1"/>
  <c r="H36" i="21"/>
  <c r="H24" i="39" s="1"/>
  <c r="G36" i="21"/>
  <c r="G24" i="39" s="1"/>
  <c r="F36" i="21"/>
  <c r="F24" i="39" s="1"/>
  <c r="E36" i="21"/>
  <c r="E24" i="39" s="1"/>
  <c r="D36" i="21"/>
  <c r="D24" i="39" s="1"/>
  <c r="C36" i="21"/>
  <c r="C24" i="39" s="1"/>
  <c r="B36" i="21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4" i="39" s="1"/>
  <c r="Q38" i="20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3" i="39" s="1"/>
  <c r="P36" i="20"/>
  <c r="P23" i="39" s="1"/>
  <c r="O36" i="20"/>
  <c r="N36"/>
  <c r="N23" i="39" s="1"/>
  <c r="M36" i="20"/>
  <c r="M23" i="39" s="1"/>
  <c r="L36" i="20"/>
  <c r="L23" i="39" s="1"/>
  <c r="K36" i="20"/>
  <c r="K23" i="39" s="1"/>
  <c r="J36" i="20"/>
  <c r="J23" i="39" s="1"/>
  <c r="I36" i="20"/>
  <c r="I23" i="39" s="1"/>
  <c r="H36" i="20"/>
  <c r="G36"/>
  <c r="G23" i="39" s="1"/>
  <c r="F36" i="20"/>
  <c r="E36"/>
  <c r="E23" i="39" s="1"/>
  <c r="D36" i="20"/>
  <c r="D23" i="39" s="1"/>
  <c r="C36" i="20"/>
  <c r="C23" i="39" s="1"/>
  <c r="B36" i="20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3" i="39" s="1"/>
  <c r="Q40" i="19"/>
  <c r="Q38"/>
  <c r="Q39" s="1"/>
  <c r="P38"/>
  <c r="P39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2" i="39" s="1"/>
  <c r="P36" i="19"/>
  <c r="P22" i="39" s="1"/>
  <c r="O36" i="19"/>
  <c r="O22" i="39" s="1"/>
  <c r="N36" i="19"/>
  <c r="N22" i="39" s="1"/>
  <c r="M36" i="19"/>
  <c r="M22" i="39" s="1"/>
  <c r="L36" i="19"/>
  <c r="L22" i="39" s="1"/>
  <c r="K36" i="19"/>
  <c r="K22" i="39" s="1"/>
  <c r="J36" i="19"/>
  <c r="J22" i="39" s="1"/>
  <c r="I36" i="19"/>
  <c r="I22" i="39" s="1"/>
  <c r="H36" i="19"/>
  <c r="H22" i="39" s="1"/>
  <c r="G36" i="19"/>
  <c r="G22" i="39" s="1"/>
  <c r="F36" i="19"/>
  <c r="F22" i="39" s="1"/>
  <c r="E36" i="19"/>
  <c r="E22" i="39" s="1"/>
  <c r="D36" i="19"/>
  <c r="D22" i="39" s="1"/>
  <c r="C36" i="19"/>
  <c r="C22" i="39" s="1"/>
  <c r="B36" i="19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2" i="39" s="1"/>
  <c r="Q38" i="18"/>
  <c r="Q40" s="1"/>
  <c r="P38"/>
  <c r="P40" s="1"/>
  <c r="O38"/>
  <c r="O40" s="1"/>
  <c r="N38"/>
  <c r="N39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1" i="39" s="1"/>
  <c r="P36" i="18"/>
  <c r="P21" i="39" s="1"/>
  <c r="O36" i="18"/>
  <c r="O21" i="39" s="1"/>
  <c r="N36" i="18"/>
  <c r="N21" i="39" s="1"/>
  <c r="M36" i="18"/>
  <c r="L36"/>
  <c r="L21" i="39" s="1"/>
  <c r="K36" i="18"/>
  <c r="K21" i="39" s="1"/>
  <c r="J36" i="18"/>
  <c r="J21" i="39" s="1"/>
  <c r="I36" i="18"/>
  <c r="I21" i="39" s="1"/>
  <c r="H36" i="18"/>
  <c r="H21" i="39" s="1"/>
  <c r="G36" i="18"/>
  <c r="G21" i="39" s="1"/>
  <c r="F36" i="18"/>
  <c r="E36"/>
  <c r="E21" i="39" s="1"/>
  <c r="D36" i="18"/>
  <c r="D21" i="39" s="1"/>
  <c r="C36" i="18"/>
  <c r="C21" i="39" s="1"/>
  <c r="B36" i="18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1" i="39" s="1"/>
  <c r="L40" i="17"/>
  <c r="L39"/>
  <c r="Q38"/>
  <c r="Q40" s="1"/>
  <c r="P38"/>
  <c r="P40" s="1"/>
  <c r="O38"/>
  <c r="O40" s="1"/>
  <c r="N38"/>
  <c r="N40" s="1"/>
  <c r="M38"/>
  <c r="M40" s="1"/>
  <c r="L38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0" i="39" s="1"/>
  <c r="P36" i="17"/>
  <c r="P20" i="39" s="1"/>
  <c r="O36" i="17"/>
  <c r="O20" i="39" s="1"/>
  <c r="N36" i="17"/>
  <c r="M36"/>
  <c r="M20" i="39" s="1"/>
  <c r="L36" i="17"/>
  <c r="L20" i="39" s="1"/>
  <c r="K36" i="17"/>
  <c r="K20" i="39" s="1"/>
  <c r="J36" i="17"/>
  <c r="J20" i="39" s="1"/>
  <c r="I36" i="17"/>
  <c r="I20" i="39" s="1"/>
  <c r="H36" i="17"/>
  <c r="H20" i="39" s="1"/>
  <c r="G36" i="17"/>
  <c r="G20" i="39" s="1"/>
  <c r="F36" i="17"/>
  <c r="F20" i="39" s="1"/>
  <c r="E36" i="17"/>
  <c r="D36"/>
  <c r="D20" i="39" s="1"/>
  <c r="C36" i="17"/>
  <c r="C20" i="39" s="1"/>
  <c r="B36" i="17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0" i="39" s="1"/>
  <c r="Q38" i="16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39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9" i="39" s="1"/>
  <c r="P36" i="16"/>
  <c r="P19" i="39" s="1"/>
  <c r="O36" i="16"/>
  <c r="N36"/>
  <c r="M36"/>
  <c r="M19" i="39" s="1"/>
  <c r="L36" i="16"/>
  <c r="L19" i="39" s="1"/>
  <c r="K36" i="16"/>
  <c r="K19" i="39" s="1"/>
  <c r="J36" i="16"/>
  <c r="J19" i="39" s="1"/>
  <c r="I36" i="16"/>
  <c r="I19" i="39" s="1"/>
  <c r="H36" i="16"/>
  <c r="G36"/>
  <c r="G19" i="39" s="1"/>
  <c r="F36" i="16"/>
  <c r="E36"/>
  <c r="D36"/>
  <c r="D19" i="39" s="1"/>
  <c r="C36" i="16"/>
  <c r="C19" i="39" s="1"/>
  <c r="B36" i="16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9" i="39" s="1"/>
  <c r="Q40" i="15"/>
  <c r="P40"/>
  <c r="O40"/>
  <c r="N40"/>
  <c r="M40"/>
  <c r="L40"/>
  <c r="K40"/>
  <c r="J40"/>
  <c r="I40"/>
  <c r="H40"/>
  <c r="G39"/>
  <c r="F40"/>
  <c r="E40"/>
  <c r="D40"/>
  <c r="C40"/>
  <c r="B40"/>
  <c r="Q37"/>
  <c r="P37"/>
  <c r="O37"/>
  <c r="N37"/>
  <c r="M37"/>
  <c r="L37"/>
  <c r="K37"/>
  <c r="J37"/>
  <c r="I37"/>
  <c r="H37"/>
  <c r="G37"/>
  <c r="F37"/>
  <c r="E37"/>
  <c r="D37"/>
  <c r="C37"/>
  <c r="B37"/>
  <c r="Q36"/>
  <c r="Q18" i="39" s="1"/>
  <c r="P36" i="15"/>
  <c r="P18" i="39" s="1"/>
  <c r="O36" i="15"/>
  <c r="O18" i="39" s="1"/>
  <c r="N36" i="15"/>
  <c r="N18" i="39" s="1"/>
  <c r="M36" i="15"/>
  <c r="M18" i="39" s="1"/>
  <c r="L36" i="15"/>
  <c r="L18" i="39" s="1"/>
  <c r="K36" i="15"/>
  <c r="K18" i="39" s="1"/>
  <c r="J36" i="15"/>
  <c r="J18" i="39" s="1"/>
  <c r="I36" i="15"/>
  <c r="I18" i="39" s="1"/>
  <c r="H36" i="15"/>
  <c r="H18" i="39" s="1"/>
  <c r="G36" i="15"/>
  <c r="G18" i="39" s="1"/>
  <c r="F36" i="15"/>
  <c r="F18" i="39" s="1"/>
  <c r="E36" i="15"/>
  <c r="E18" i="39" s="1"/>
  <c r="D36" i="15"/>
  <c r="D18" i="39" s="1"/>
  <c r="C36" i="15"/>
  <c r="C18" i="39" s="1"/>
  <c r="B36" i="15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8" i="39" s="1"/>
  <c r="Q40" i="14"/>
  <c r="P40"/>
  <c r="O40"/>
  <c r="N40"/>
  <c r="M40"/>
  <c r="L40"/>
  <c r="K40"/>
  <c r="J40"/>
  <c r="I40"/>
  <c r="H40"/>
  <c r="G40"/>
  <c r="F39"/>
  <c r="E40"/>
  <c r="D40"/>
  <c r="C40"/>
  <c r="B40"/>
  <c r="Q37"/>
  <c r="P37"/>
  <c r="O37"/>
  <c r="N37"/>
  <c r="M37"/>
  <c r="L37"/>
  <c r="K37"/>
  <c r="J37"/>
  <c r="I37"/>
  <c r="H37"/>
  <c r="G37"/>
  <c r="F37"/>
  <c r="E37"/>
  <c r="D37"/>
  <c r="C37"/>
  <c r="B37"/>
  <c r="Q36"/>
  <c r="Q17" i="39" s="1"/>
  <c r="P36" i="14"/>
  <c r="P17" i="39" s="1"/>
  <c r="O36" i="14"/>
  <c r="O17" i="39" s="1"/>
  <c r="N36" i="14"/>
  <c r="N17" i="39" s="1"/>
  <c r="M36" i="14"/>
  <c r="M17" i="39" s="1"/>
  <c r="L36" i="14"/>
  <c r="L17" i="39" s="1"/>
  <c r="K36" i="14"/>
  <c r="K17" i="39" s="1"/>
  <c r="J36" i="14"/>
  <c r="J17" i="39" s="1"/>
  <c r="I36" i="14"/>
  <c r="I17" i="39" s="1"/>
  <c r="H36" i="14"/>
  <c r="H17" i="39" s="1"/>
  <c r="G36" i="14"/>
  <c r="G17" i="39" s="1"/>
  <c r="F36" i="14"/>
  <c r="F17" i="39" s="1"/>
  <c r="E36" i="14"/>
  <c r="E17" i="39" s="1"/>
  <c r="D36" i="14"/>
  <c r="D17" i="39" s="1"/>
  <c r="C36" i="14"/>
  <c r="C17" i="39" s="1"/>
  <c r="B36" i="14"/>
  <c r="B17" i="39" s="1"/>
  <c r="Q35" i="14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7" i="39" s="1"/>
  <c r="G39" i="13"/>
  <c r="Q38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6" i="39" s="1"/>
  <c r="P36" i="13"/>
  <c r="P16" i="39" s="1"/>
  <c r="O36" i="13"/>
  <c r="O16" i="39" s="1"/>
  <c r="N36" i="13"/>
  <c r="N16" i="39" s="1"/>
  <c r="M36" i="13"/>
  <c r="L36"/>
  <c r="L16" i="39" s="1"/>
  <c r="K36" i="13"/>
  <c r="K16" i="39" s="1"/>
  <c r="J36" i="13"/>
  <c r="J16" i="39" s="1"/>
  <c r="I36" i="13"/>
  <c r="I16" i="39" s="1"/>
  <c r="H36" i="13"/>
  <c r="H16" i="39" s="1"/>
  <c r="G36" i="13"/>
  <c r="G16" i="39" s="1"/>
  <c r="F36" i="13"/>
  <c r="E36"/>
  <c r="E16" i="39" s="1"/>
  <c r="D36" i="13"/>
  <c r="D16" i="39" s="1"/>
  <c r="C36" i="13"/>
  <c r="C16" i="39" s="1"/>
  <c r="B36" i="13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6" i="39" s="1"/>
  <c r="Q38" i="12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39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5" i="39" s="1"/>
  <c r="P36" i="12"/>
  <c r="P15" i="39" s="1"/>
  <c r="O36" i="12"/>
  <c r="O15" i="39" s="1"/>
  <c r="N36" i="12"/>
  <c r="N15" i="39" s="1"/>
  <c r="M36" i="12"/>
  <c r="M15" i="39" s="1"/>
  <c r="L36" i="12"/>
  <c r="L15" i="39" s="1"/>
  <c r="K36" i="12"/>
  <c r="K15" i="39" s="1"/>
  <c r="J36" i="12"/>
  <c r="J15" i="39" s="1"/>
  <c r="I36" i="12"/>
  <c r="I15" i="39" s="1"/>
  <c r="H36" i="12"/>
  <c r="H15" i="39" s="1"/>
  <c r="G36" i="12"/>
  <c r="G15" i="39" s="1"/>
  <c r="F36" i="12"/>
  <c r="F15" i="39" s="1"/>
  <c r="E36" i="12"/>
  <c r="E15" i="39" s="1"/>
  <c r="D36" i="12"/>
  <c r="D15" i="39" s="1"/>
  <c r="C36" i="12"/>
  <c r="C15" i="39" s="1"/>
  <c r="B36" i="12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5" i="39" s="1"/>
  <c r="Q38" i="11"/>
  <c r="Q40" s="1"/>
  <c r="P38"/>
  <c r="P40" s="1"/>
  <c r="O38"/>
  <c r="O39" s="1"/>
  <c r="N38"/>
  <c r="N40" s="1"/>
  <c r="M38"/>
  <c r="M40" s="1"/>
  <c r="L38"/>
  <c r="L40" s="1"/>
  <c r="K38"/>
  <c r="K40" s="1"/>
  <c r="J38"/>
  <c r="J39" s="1"/>
  <c r="I38"/>
  <c r="I40" s="1"/>
  <c r="H38"/>
  <c r="H40" s="1"/>
  <c r="G38"/>
  <c r="G40" s="1"/>
  <c r="F38"/>
  <c r="F40" s="1"/>
  <c r="E38"/>
  <c r="E40" s="1"/>
  <c r="D38"/>
  <c r="D39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4" i="39" s="1"/>
  <c r="P36" i="11"/>
  <c r="P14" i="39" s="1"/>
  <c r="O36" i="11"/>
  <c r="O14" i="39" s="1"/>
  <c r="N36" i="11"/>
  <c r="N14" i="39" s="1"/>
  <c r="M36" i="11"/>
  <c r="M14" i="39" s="1"/>
  <c r="L36" i="11"/>
  <c r="L14" i="39" s="1"/>
  <c r="K36" i="11"/>
  <c r="K14" i="39" s="1"/>
  <c r="J36" i="11"/>
  <c r="J14" i="39" s="1"/>
  <c r="I36" i="11"/>
  <c r="I14" i="39" s="1"/>
  <c r="H36" i="11"/>
  <c r="H14" i="39" s="1"/>
  <c r="G36" i="11"/>
  <c r="G14" i="39" s="1"/>
  <c r="F36" i="11"/>
  <c r="F14" i="39" s="1"/>
  <c r="E36" i="11"/>
  <c r="E14" i="39" s="1"/>
  <c r="D36" i="11"/>
  <c r="D14" i="39" s="1"/>
  <c r="C36" i="11"/>
  <c r="C14" i="39" s="1"/>
  <c r="B36" i="11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4" i="39" s="1"/>
  <c r="Q40" i="10"/>
  <c r="P40"/>
  <c r="O39"/>
  <c r="N40"/>
  <c r="M40"/>
  <c r="L40"/>
  <c r="K40"/>
  <c r="J40"/>
  <c r="I40"/>
  <c r="H40"/>
  <c r="G39"/>
  <c r="F40"/>
  <c r="E40"/>
  <c r="D40"/>
  <c r="C40"/>
  <c r="B40"/>
  <c r="Q37"/>
  <c r="P37"/>
  <c r="O37"/>
  <c r="N37"/>
  <c r="M37"/>
  <c r="L37"/>
  <c r="K37"/>
  <c r="J37"/>
  <c r="I37"/>
  <c r="H37"/>
  <c r="G37"/>
  <c r="F37"/>
  <c r="E37"/>
  <c r="D37"/>
  <c r="C37"/>
  <c r="B37"/>
  <c r="Q36"/>
  <c r="Q13" i="39" s="1"/>
  <c r="P36" i="10"/>
  <c r="P13" i="39" s="1"/>
  <c r="O36" i="10"/>
  <c r="O13" i="39" s="1"/>
  <c r="N36" i="10"/>
  <c r="N13" i="39" s="1"/>
  <c r="M36" i="10"/>
  <c r="M13" i="39" s="1"/>
  <c r="L36" i="10"/>
  <c r="L13" i="39" s="1"/>
  <c r="K36" i="10"/>
  <c r="K13" i="39" s="1"/>
  <c r="J36" i="10"/>
  <c r="J13" i="39" s="1"/>
  <c r="I36" i="10"/>
  <c r="I13" i="39" s="1"/>
  <c r="H36" i="10"/>
  <c r="H13" i="39" s="1"/>
  <c r="G36" i="10"/>
  <c r="G13" i="39" s="1"/>
  <c r="F36" i="10"/>
  <c r="F13" i="39" s="1"/>
  <c r="E36" i="10"/>
  <c r="E13" i="39" s="1"/>
  <c r="D36" i="10"/>
  <c r="D13" i="39" s="1"/>
  <c r="C36" i="10"/>
  <c r="C13" i="39" s="1"/>
  <c r="B36" i="10"/>
  <c r="B13" i="39" s="1"/>
  <c r="Q35" i="10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3" i="39" s="1"/>
  <c r="Q40" i="9"/>
  <c r="P38"/>
  <c r="P39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2" i="39" s="1"/>
  <c r="P36" i="9"/>
  <c r="P12" i="39" s="1"/>
  <c r="O36" i="9"/>
  <c r="N36"/>
  <c r="M36"/>
  <c r="M12" i="39" s="1"/>
  <c r="L36" i="9"/>
  <c r="L12" i="39" s="1"/>
  <c r="K36" i="9"/>
  <c r="K12" i="39" s="1"/>
  <c r="J36" i="9"/>
  <c r="J12" i="39" s="1"/>
  <c r="I36" i="9"/>
  <c r="I12" i="39" s="1"/>
  <c r="H36" i="9"/>
  <c r="G36"/>
  <c r="G12" i="39" s="1"/>
  <c r="F36" i="9"/>
  <c r="F12" i="39" s="1"/>
  <c r="E36" i="9"/>
  <c r="D36"/>
  <c r="D12" i="39" s="1"/>
  <c r="C36" i="9"/>
  <c r="C12" i="39" s="1"/>
  <c r="B36" i="9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2" i="39" s="1"/>
  <c r="Q38" i="8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1" i="39" s="1"/>
  <c r="P36" i="8"/>
  <c r="P11" i="39" s="1"/>
  <c r="O36" i="8"/>
  <c r="N36"/>
  <c r="N11" i="39" s="1"/>
  <c r="M36" i="8"/>
  <c r="M11" i="39" s="1"/>
  <c r="L36" i="8"/>
  <c r="L11" i="39" s="1"/>
  <c r="K36" i="8"/>
  <c r="K11" i="39" s="1"/>
  <c r="J36" i="8"/>
  <c r="J11" i="39" s="1"/>
  <c r="I36" i="8"/>
  <c r="I11" i="39" s="1"/>
  <c r="H36" i="8"/>
  <c r="G36"/>
  <c r="G11" i="39" s="1"/>
  <c r="F36" i="8"/>
  <c r="F11" i="39" s="1"/>
  <c r="E36" i="8"/>
  <c r="E11" i="39" s="1"/>
  <c r="D36" i="8"/>
  <c r="D11" i="39" s="1"/>
  <c r="C36" i="8"/>
  <c r="C11" i="39" s="1"/>
  <c r="B36" i="8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1" i="39" s="1"/>
  <c r="Q38" i="3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0" i="39" s="1"/>
  <c r="P36" i="3"/>
  <c r="P10" i="39" s="1"/>
  <c r="O36" i="3"/>
  <c r="O10" i="39" s="1"/>
  <c r="N36" i="3"/>
  <c r="N10" i="39" s="1"/>
  <c r="M36" i="3"/>
  <c r="M10" i="39" s="1"/>
  <c r="L36" i="3"/>
  <c r="L10" i="39" s="1"/>
  <c r="K36" i="3"/>
  <c r="K10" i="39" s="1"/>
  <c r="J36" i="3"/>
  <c r="J10" i="39" s="1"/>
  <c r="I36" i="3"/>
  <c r="I10" i="39" s="1"/>
  <c r="H36" i="3"/>
  <c r="H10" i="39" s="1"/>
  <c r="G36" i="3"/>
  <c r="G10" i="39" s="1"/>
  <c r="F36" i="3"/>
  <c r="F10" i="39" s="1"/>
  <c r="E36" i="3"/>
  <c r="E10" i="39" s="1"/>
  <c r="D36" i="3"/>
  <c r="D10" i="39" s="1"/>
  <c r="C36" i="3"/>
  <c r="C10" i="39" s="1"/>
  <c r="B36" i="3"/>
  <c r="B10" i="39" s="1"/>
  <c r="Q35" i="3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0" i="39" s="1"/>
  <c r="K39" i="2"/>
  <c r="Q38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9" i="39" s="1"/>
  <c r="P36" i="2"/>
  <c r="P9" i="39" s="1"/>
  <c r="O36" i="2"/>
  <c r="O9" i="39" s="1"/>
  <c r="N36" i="2"/>
  <c r="N9" i="39" s="1"/>
  <c r="M36" i="2"/>
  <c r="M9" i="39" s="1"/>
  <c r="L36" i="2"/>
  <c r="L9" i="39" s="1"/>
  <c r="K36" i="2"/>
  <c r="K9" i="39" s="1"/>
  <c r="J36" i="2"/>
  <c r="J9" i="39" s="1"/>
  <c r="I36" i="2"/>
  <c r="I9" i="39" s="1"/>
  <c r="H36" i="2"/>
  <c r="H9" i="39" s="1"/>
  <c r="G36" i="2"/>
  <c r="G9" i="39" s="1"/>
  <c r="F36" i="2"/>
  <c r="F9" i="39" s="1"/>
  <c r="E36" i="2"/>
  <c r="E9" i="39" s="1"/>
  <c r="D36" i="2"/>
  <c r="D9" i="39" s="1"/>
  <c r="C36" i="2"/>
  <c r="C9" i="39" s="1"/>
  <c r="B36" i="2"/>
  <c r="B9" i="39" s="1"/>
  <c r="Q35" i="2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9" i="39" s="1"/>
  <c r="B2" s="1"/>
  <c r="F39" i="27" l="1"/>
  <c r="E39"/>
  <c r="D39"/>
  <c r="C39"/>
  <c r="B39"/>
  <c r="Q39"/>
  <c r="P39"/>
  <c r="O39"/>
  <c r="N39"/>
  <c r="M39"/>
  <c r="L39"/>
  <c r="K39"/>
  <c r="J39"/>
  <c r="I39"/>
  <c r="H39"/>
  <c r="G39"/>
  <c r="C39" i="26"/>
  <c r="B39"/>
  <c r="Q39"/>
  <c r="P39"/>
  <c r="O39"/>
  <c r="N39"/>
  <c r="M39"/>
  <c r="L39"/>
  <c r="K39"/>
  <c r="J39"/>
  <c r="I39"/>
  <c r="H39"/>
  <c r="G39"/>
  <c r="F39"/>
  <c r="E39"/>
  <c r="D39"/>
  <c r="O39" i="25"/>
  <c r="N39"/>
  <c r="M39"/>
  <c r="L39"/>
  <c r="K39"/>
  <c r="J39"/>
  <c r="I39"/>
  <c r="H39"/>
  <c r="G39"/>
  <c r="F39"/>
  <c r="E39"/>
  <c r="D39"/>
  <c r="C39"/>
  <c r="B39"/>
  <c r="Q39"/>
  <c r="L39" i="24"/>
  <c r="K39"/>
  <c r="J39"/>
  <c r="I39"/>
  <c r="H39"/>
  <c r="G39"/>
  <c r="F39"/>
  <c r="E39"/>
  <c r="D39"/>
  <c r="C39"/>
  <c r="B39"/>
  <c r="Q39"/>
  <c r="P39"/>
  <c r="O39"/>
  <c r="N39"/>
  <c r="M39"/>
  <c r="H39" i="23"/>
  <c r="G39"/>
  <c r="F39"/>
  <c r="E39"/>
  <c r="D39"/>
  <c r="C39"/>
  <c r="B39"/>
  <c r="Q39"/>
  <c r="P39"/>
  <c r="O39"/>
  <c r="N39"/>
  <c r="M39"/>
  <c r="L39"/>
  <c r="K39"/>
  <c r="J39"/>
  <c r="I39"/>
  <c r="E39" i="22"/>
  <c r="D39"/>
  <c r="C39"/>
  <c r="B39"/>
  <c r="Q39"/>
  <c r="P39"/>
  <c r="O39"/>
  <c r="N39"/>
  <c r="M39"/>
  <c r="L39"/>
  <c r="K39"/>
  <c r="J39"/>
  <c r="I39"/>
  <c r="H39"/>
  <c r="G39"/>
  <c r="F39"/>
  <c r="B39" i="21"/>
  <c r="D40"/>
  <c r="Q39"/>
  <c r="P39"/>
  <c r="O39"/>
  <c r="N39"/>
  <c r="C39"/>
  <c r="M39"/>
  <c r="L39"/>
  <c r="K39"/>
  <c r="J39"/>
  <c r="I39"/>
  <c r="H39"/>
  <c r="G39"/>
  <c r="F39"/>
  <c r="E39"/>
  <c r="P39" i="20"/>
  <c r="Q39"/>
  <c r="O39"/>
  <c r="N39"/>
  <c r="M39"/>
  <c r="L39"/>
  <c r="K39"/>
  <c r="J39"/>
  <c r="I39"/>
  <c r="H39"/>
  <c r="G39"/>
  <c r="F39"/>
  <c r="E39"/>
  <c r="D39"/>
  <c r="C39"/>
  <c r="B39"/>
  <c r="O39" i="19"/>
  <c r="N39"/>
  <c r="M39"/>
  <c r="L39"/>
  <c r="K39"/>
  <c r="J39"/>
  <c r="I39"/>
  <c r="H39"/>
  <c r="G39"/>
  <c r="P40"/>
  <c r="F39"/>
  <c r="E39"/>
  <c r="D39"/>
  <c r="C39"/>
  <c r="B39"/>
  <c r="N40" i="18"/>
  <c r="M39"/>
  <c r="L39"/>
  <c r="K39"/>
  <c r="J39"/>
  <c r="I39"/>
  <c r="H39"/>
  <c r="G39"/>
  <c r="F39"/>
  <c r="E39"/>
  <c r="D39"/>
  <c r="C39"/>
  <c r="B39"/>
  <c r="Q39"/>
  <c r="P39"/>
  <c r="O39"/>
  <c r="K39" i="17"/>
  <c r="J39"/>
  <c r="I39"/>
  <c r="H39"/>
  <c r="G39"/>
  <c r="F39"/>
  <c r="E39"/>
  <c r="D39"/>
  <c r="C39"/>
  <c r="B39"/>
  <c r="Q39"/>
  <c r="P39"/>
  <c r="O39"/>
  <c r="N39"/>
  <c r="M39"/>
  <c r="G40" i="16"/>
  <c r="F39"/>
  <c r="E39"/>
  <c r="D39"/>
  <c r="C39"/>
  <c r="B39"/>
  <c r="Q39"/>
  <c r="P39"/>
  <c r="O39"/>
  <c r="N39"/>
  <c r="M39"/>
  <c r="L39"/>
  <c r="K39"/>
  <c r="J39"/>
  <c r="I39"/>
  <c r="H39"/>
  <c r="F39" i="15"/>
  <c r="E39"/>
  <c r="D39"/>
  <c r="G40"/>
  <c r="C39"/>
  <c r="B39"/>
  <c r="Q39"/>
  <c r="P39"/>
  <c r="O39"/>
  <c r="N39"/>
  <c r="M39"/>
  <c r="L39"/>
  <c r="K39"/>
  <c r="J39"/>
  <c r="I39"/>
  <c r="H39"/>
  <c r="E39" i="14"/>
  <c r="D39"/>
  <c r="C39"/>
  <c r="B39"/>
  <c r="Q39"/>
  <c r="P39"/>
  <c r="F40"/>
  <c r="O39"/>
  <c r="N39"/>
  <c r="M39"/>
  <c r="L39"/>
  <c r="K39"/>
  <c r="J39"/>
  <c r="I39"/>
  <c r="H39"/>
  <c r="G39"/>
  <c r="D39" i="13"/>
  <c r="C39"/>
  <c r="B39"/>
  <c r="Q39"/>
  <c r="P39"/>
  <c r="O39"/>
  <c r="N39"/>
  <c r="M39"/>
  <c r="L39"/>
  <c r="K39"/>
  <c r="J39"/>
  <c r="I39"/>
  <c r="H39"/>
  <c r="F39"/>
  <c r="E39"/>
  <c r="D40" i="12"/>
  <c r="C39"/>
  <c r="B39"/>
  <c r="Q39"/>
  <c r="P39"/>
  <c r="O39"/>
  <c r="N39"/>
  <c r="M39"/>
  <c r="L39"/>
  <c r="K39"/>
  <c r="J39"/>
  <c r="I39"/>
  <c r="H39"/>
  <c r="G39"/>
  <c r="F39"/>
  <c r="E39"/>
  <c r="D40" i="11"/>
  <c r="C39"/>
  <c r="B39"/>
  <c r="Q39"/>
  <c r="P39"/>
  <c r="O40"/>
  <c r="N39"/>
  <c r="M39"/>
  <c r="L39"/>
  <c r="K39"/>
  <c r="J40"/>
  <c r="I39"/>
  <c r="H39"/>
  <c r="G39"/>
  <c r="F39"/>
  <c r="E39"/>
  <c r="D39" i="10"/>
  <c r="C39"/>
  <c r="B39"/>
  <c r="Q39"/>
  <c r="P39"/>
  <c r="O40"/>
  <c r="N39"/>
  <c r="M39"/>
  <c r="L39"/>
  <c r="K39"/>
  <c r="J39"/>
  <c r="I39"/>
  <c r="H39"/>
  <c r="G40"/>
  <c r="F39"/>
  <c r="E39"/>
  <c r="P40" i="9"/>
  <c r="O39"/>
  <c r="N39"/>
  <c r="M39"/>
  <c r="L39"/>
  <c r="K39"/>
  <c r="J39"/>
  <c r="I39"/>
  <c r="H39"/>
  <c r="G39"/>
  <c r="F39"/>
  <c r="E39"/>
  <c r="D39"/>
  <c r="C39"/>
  <c r="B39"/>
  <c r="Q39"/>
  <c r="N39" i="8"/>
  <c r="M39"/>
  <c r="L39"/>
  <c r="K39"/>
  <c r="J39"/>
  <c r="I39"/>
  <c r="H39"/>
  <c r="G39"/>
  <c r="F39"/>
  <c r="E39"/>
  <c r="D39"/>
  <c r="C39"/>
  <c r="B39"/>
  <c r="Q39"/>
  <c r="P39"/>
  <c r="O39"/>
  <c r="B45" i="39"/>
  <c r="B47" s="1"/>
  <c r="Q45"/>
  <c r="Q46" s="1"/>
  <c r="O39" i="3"/>
  <c r="M45" i="39"/>
  <c r="M47" s="1"/>
  <c r="N39" i="3"/>
  <c r="O45" i="39"/>
  <c r="O46" s="1"/>
  <c r="M39" i="3"/>
  <c r="P45" i="39"/>
  <c r="P46" s="1"/>
  <c r="L39" i="3"/>
  <c r="K39"/>
  <c r="L45" i="39"/>
  <c r="L47" s="1"/>
  <c r="J39" i="3"/>
  <c r="K45" i="39"/>
  <c r="K46" s="1"/>
  <c r="I39" i="3"/>
  <c r="P39"/>
  <c r="J45" i="39"/>
  <c r="J47" s="1"/>
  <c r="H39" i="3"/>
  <c r="N45" i="39"/>
  <c r="N46" s="1"/>
  <c r="I45"/>
  <c r="I47" s="1"/>
  <c r="G39" i="3"/>
  <c r="F39"/>
  <c r="G45" i="39"/>
  <c r="G46" s="1"/>
  <c r="E39" i="3"/>
  <c r="H45" i="39"/>
  <c r="H46" s="1"/>
  <c r="D39" i="3"/>
  <c r="F45" i="39"/>
  <c r="F46" s="1"/>
  <c r="E45"/>
  <c r="E46" s="1"/>
  <c r="C39" i="3"/>
  <c r="D45" i="39"/>
  <c r="D46" s="1"/>
  <c r="B39" i="3"/>
  <c r="C45" i="39"/>
  <c r="C47" s="1"/>
  <c r="Q39" i="3"/>
  <c r="P39" i="2"/>
  <c r="O39"/>
  <c r="N39"/>
  <c r="M39"/>
  <c r="L39"/>
  <c r="J39"/>
  <c r="I39"/>
  <c r="H39"/>
  <c r="G39"/>
  <c r="F39"/>
  <c r="E39"/>
  <c r="D39"/>
  <c r="C39"/>
  <c r="B39"/>
  <c r="Q39"/>
  <c r="Q41" i="39"/>
  <c r="Q42"/>
  <c r="Q43"/>
  <c r="Q44"/>
  <c r="P41"/>
  <c r="P42"/>
  <c r="P43"/>
  <c r="P44"/>
  <c r="O41"/>
  <c r="O42"/>
  <c r="O43"/>
  <c r="O44"/>
  <c r="N41"/>
  <c r="N42"/>
  <c r="N43"/>
  <c r="N44"/>
  <c r="M41"/>
  <c r="M42"/>
  <c r="M43"/>
  <c r="M44"/>
  <c r="L41"/>
  <c r="L42"/>
  <c r="L43"/>
  <c r="L44"/>
  <c r="K41"/>
  <c r="K42"/>
  <c r="K43"/>
  <c r="K44"/>
  <c r="J41"/>
  <c r="J42"/>
  <c r="J43"/>
  <c r="J44"/>
  <c r="I41"/>
  <c r="I42"/>
  <c r="I43"/>
  <c r="I44"/>
  <c r="H41"/>
  <c r="H42"/>
  <c r="H43"/>
  <c r="H44"/>
  <c r="G41"/>
  <c r="G42"/>
  <c r="G43"/>
  <c r="G44"/>
  <c r="F41"/>
  <c r="F42"/>
  <c r="F43"/>
  <c r="F44"/>
  <c r="E41"/>
  <c r="E42"/>
  <c r="E43"/>
  <c r="E44"/>
  <c r="D41"/>
  <c r="D42"/>
  <c r="D43"/>
  <c r="D44"/>
  <c r="C41"/>
  <c r="C42"/>
  <c r="C43"/>
  <c r="C44"/>
  <c r="B41"/>
  <c r="B42"/>
  <c r="B43"/>
  <c r="B44"/>
  <c r="K47" l="1"/>
  <c r="C46"/>
  <c r="L46"/>
  <c r="M46"/>
  <c r="J46"/>
  <c r="E47"/>
  <c r="D47"/>
  <c r="B46"/>
  <c r="I46"/>
  <c r="Q47"/>
  <c r="P47"/>
  <c r="H47"/>
  <c r="F47"/>
  <c r="N47"/>
  <c r="O47"/>
  <c r="G47"/>
</calcChain>
</file>

<file path=xl/sharedStrings.xml><?xml version="1.0" encoding="utf-8"?>
<sst xmlns="http://schemas.openxmlformats.org/spreadsheetml/2006/main" count="2595" uniqueCount="60">
  <si>
    <t>Station:</t>
  </si>
  <si>
    <t>IGKV ,RAIPUR</t>
  </si>
  <si>
    <t>Date: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</si>
  <si>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</si>
  <si>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</si>
  <si>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</si>
  <si>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</si>
  <si>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</si>
  <si>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</si>
  <si>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</si>
  <si>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</si>
  <si>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</si>
  <si>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</si>
  <si>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</si>
  <si>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</si>
  <si>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</si>
  <si>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</si>
  <si>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01 Hour</t>
  </si>
  <si>
    <t>Zero Referrence</t>
  </si>
  <si>
    <t>Z.Ref</t>
  </si>
  <si>
    <t>Warm Up</t>
  </si>
  <si>
    <t>Wm. Up</t>
  </si>
  <si>
    <t>Date &amp; Time</t>
  </si>
  <si>
    <t>NO</t>
  </si>
  <si>
    <t>NO2</t>
  </si>
  <si>
    <t>NOX</t>
  </si>
  <si>
    <t>SO2</t>
  </si>
  <si>
    <t>O3</t>
  </si>
  <si>
    <t>PM 10</t>
  </si>
  <si>
    <t>PM 2.5</t>
  </si>
  <si>
    <t>BENZ</t>
  </si>
  <si>
    <t>WS</t>
  </si>
  <si>
    <t>WD</t>
  </si>
  <si>
    <t>TEMP</t>
  </si>
  <si>
    <t>HUM</t>
  </si>
  <si>
    <t>SR</t>
  </si>
  <si>
    <t>RG</t>
  </si>
  <si>
    <t>CO</t>
  </si>
  <si>
    <t>NH3</t>
  </si>
  <si>
    <t>ug/m3</t>
  </si>
  <si>
    <t>ppb</t>
  </si>
  <si>
    <t>mg/m3</t>
  </si>
  <si>
    <t>m/sec</t>
  </si>
  <si>
    <t>deg</t>
  </si>
  <si>
    <t>degreC</t>
  </si>
  <si>
    <t>%</t>
  </si>
  <si>
    <t>w/m2</t>
  </si>
  <si>
    <t>mm</t>
  </si>
  <si>
    <t>Min</t>
  </si>
  <si>
    <t>Max</t>
  </si>
  <si>
    <t>Avg</t>
  </si>
  <si>
    <t>Stdev</t>
  </si>
  <si>
    <t>Num</t>
  </si>
  <si>
    <t>DCR</t>
  </si>
  <si>
    <t>Status</t>
  </si>
  <si>
    <t>Done by</t>
  </si>
  <si>
    <t>AKASH</t>
  </si>
  <si>
    <t>Comment</t>
  </si>
  <si>
    <t>IGKV, RAIPUR</t>
  </si>
  <si>
    <t>24 HRS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</si>
</sst>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0"/>
      <name val="Arial"/>
      <charset val="134"/>
    </font>
    <font>
      <b/>
      <sz val="9"/>
      <name val="Arial"/>
      <charset val="134"/>
    </font>
    <font>
      <b/>
      <i/>
      <sz val="10"/>
      <name val="Arial"/>
      <charset val="134"/>
    </font>
    <font>
      <b/>
      <sz val="10"/>
      <color theme="0"/>
      <name val="Arial"/>
      <charset val="134"/>
    </font>
    <font>
      <b/>
      <sz val="11"/>
      <color theme="1"/>
      <name val="Calibri"/>
      <charset val="134"/>
      <scheme val="minor"/>
    </font>
    <font>
      <sz val="10"/>
      <name val="Arial"/>
      <charset val="134"/>
    </font>
    <font>
      <b/>
      <sz val="11"/>
      <color theme="0"/>
      <name val="Arial"/>
      <charset val="134"/>
    </font>
    <font>
      <sz val="10"/>
      <color indexed="12"/>
      <name val="Arial"/>
      <charset val="134"/>
    </font>
    <font>
      <b/>
      <sz val="11"/>
      <color theme="1"/>
      <name val="Arial"/>
      <charset val="134"/>
    </font>
    <font>
      <b/>
      <sz val="12"/>
      <color theme="0"/>
      <name val="Calibri"/>
      <charset val="134"/>
      <scheme val="minor"/>
    </font>
    <font>
      <b/>
      <sz val="10"/>
      <color rgb="FF00B050"/>
      <name val="Arial"/>
      <charset val="134"/>
    </font>
    <font>
      <b/>
      <sz val="10"/>
      <color rgb="FFFF0000"/>
      <name val="Arial"/>
      <charset val="134"/>
    </font>
    <font>
      <sz val="10"/>
      <color rgb="FFFF0000"/>
      <name val="Arial"/>
      <charset val="134"/>
    </font>
    <font>
      <b/>
      <sz val="10"/>
      <color theme="5" tint="-0.249977111117893"/>
      <name val="Arial"/>
      <charset val="134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 wrapText="1"/>
    </xf>
    <xf numFmtId="1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2" fontId="7" fillId="0" borderId="1" xfId="0" applyNumberFormat="1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  <xf numFmtId="2" fontId="7" fillId="0" borderId="1" xfId="0" applyNumberFormat="1" applyFont="1" applyFill="1" applyBorder="1" applyAlignment="1">
      <alignment horizontal="center"/>
    </xf>
    <xf numFmtId="2" fontId="2" fillId="0" borderId="0" xfId="0" applyNumberFormat="1" applyFont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9" fillId="0" borderId="0" xfId="0" applyFont="1" applyFill="1" applyAlignment="1">
      <alignment horizontal="center"/>
    </xf>
    <xf numFmtId="0" fontId="10" fillId="0" borderId="0" xfId="0" applyFont="1" applyFill="1" applyAlignment="1">
      <alignment horizontal="center"/>
    </xf>
    <xf numFmtId="0" fontId="12" fillId="5" borderId="0" xfId="0" applyFont="1" applyFill="1" applyAlignment="1">
      <alignment horizontal="center"/>
    </xf>
    <xf numFmtId="0" fontId="2" fillId="0" borderId="0" xfId="0" applyFont="1" applyAlignment="1">
      <alignment horizontal="left" vertical="center"/>
    </xf>
    <xf numFmtId="0" fontId="5" fillId="6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5" fillId="7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13" fillId="9" borderId="0" xfId="0" applyFont="1" applyFill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1" fillId="0" borderId="0" xfId="0" applyNumberFormat="1" applyFont="1" applyFill="1" applyBorder="1" applyAlignment="1">
      <alignment horizontal="center"/>
    </xf>
    <xf numFmtId="2" fontId="1" fillId="0" borderId="0" xfId="0" applyNumberFormat="1" applyFont="1" applyFill="1"/>
    <xf numFmtId="2" fontId="7" fillId="0" borderId="0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2" fontId="2" fillId="0" borderId="0" xfId="0" applyNumberFormat="1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17" fontId="3" fillId="0" borderId="0" xfId="0" applyNumberFormat="1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49" fontId="0" fillId="10" borderId="1" xfId="0" applyNumberFormat="1" applyFont="1" applyFill="1" applyBorder="1" applyAlignment="1">
      <alignment horizontal="center"/>
    </xf>
    <xf numFmtId="0" fontId="0" fillId="10" borderId="1" xfId="0" applyFont="1" applyFill="1" applyBorder="1" applyAlignment="1">
      <alignment horizontal="center"/>
    </xf>
    <xf numFmtId="0" fontId="14" fillId="10" borderId="1" xfId="0" applyFont="1" applyFill="1" applyBorder="1" applyAlignment="1">
      <alignment horizontal="center"/>
    </xf>
    <xf numFmtId="1" fontId="2" fillId="0" borderId="0" xfId="0" applyNumberFormat="1" applyFont="1" applyFill="1" applyBorder="1" applyAlignment="1">
      <alignment horizontal="center"/>
    </xf>
    <xf numFmtId="1" fontId="2" fillId="0" borderId="0" xfId="0" applyNumberFormat="1" applyFont="1" applyBorder="1" applyAlignment="1">
      <alignment horizontal="center"/>
    </xf>
    <xf numFmtId="0" fontId="8" fillId="0" borderId="0" xfId="0" applyFont="1" applyFill="1" applyAlignment="1">
      <alignment vertical="center"/>
    </xf>
    <xf numFmtId="0" fontId="11" fillId="3" borderId="0" xfId="0" applyFont="1" applyFill="1" applyAlignment="1"/>
    <xf numFmtId="0" fontId="15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0" fontId="11" fillId="3" borderId="0" xfId="0" applyFont="1" applyFill="1" applyAlignment="1">
      <alignment horizontal="left"/>
    </xf>
    <xf numFmtId="2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30" activePane="bottomRight" state="frozen"/>
      <selection pane="topRight"/>
      <selection pane="bottomLeft"/>
      <selection pane="bottomRight" activeCell="A9" sqref="A9:XFD32"/>
    </sheetView>
  </sheetViews>
  <sheetFormatPr defaultColWidth="8.85546875" defaultRowHeight="15"/>
  <cols>
    <col min="1" max="1" width="19.5703125" style="42" customWidth="1"/>
    <col min="2" max="2" width="14.42578125" style="39" customWidth="1"/>
    <col min="3" max="3" width="10.42578125" style="39" customWidth="1"/>
    <col min="4" max="4" width="10.140625" style="39" customWidth="1"/>
    <col min="5" max="5" width="10.28515625" style="39" customWidth="1"/>
    <col min="6" max="6" width="9.85546875" style="39" customWidth="1"/>
    <col min="7" max="7" width="11.28515625" style="39" customWidth="1"/>
    <col min="8" max="8" width="12" style="39" customWidth="1"/>
    <col min="9" max="9" width="11.5703125" style="39" customWidth="1"/>
    <col min="10" max="10" width="10.5703125" style="39" customWidth="1"/>
    <col min="11" max="11" width="10" style="39" customWidth="1"/>
    <col min="12" max="12" width="11.140625" style="39" customWidth="1"/>
    <col min="13" max="13" width="11.28515625" style="39" customWidth="1"/>
    <col min="14" max="14" width="9.7109375" style="39" customWidth="1"/>
    <col min="15" max="15" width="10" style="39" customWidth="1"/>
    <col min="16" max="16" width="9.7109375" style="39" customWidth="1"/>
    <col min="17" max="17" width="10.140625" style="39" customWidth="1"/>
    <col min="18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45444.041666666664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5">
        <v>45444.041666666664</v>
      </c>
      <c r="B9" s="56">
        <v>7.33</v>
      </c>
      <c r="C9" s="56">
        <v>6.09</v>
      </c>
      <c r="D9" s="56">
        <v>14.04</v>
      </c>
      <c r="E9" s="56">
        <v>29.51</v>
      </c>
      <c r="F9" s="56">
        <v>15.23</v>
      </c>
      <c r="G9" s="56">
        <v>74.680000000000007</v>
      </c>
      <c r="H9" s="56">
        <v>19.600000000000001</v>
      </c>
      <c r="I9" s="56">
        <v>13.48</v>
      </c>
      <c r="J9" s="56">
        <v>0.28000000000000003</v>
      </c>
      <c r="K9" s="56">
        <v>178.43</v>
      </c>
      <c r="L9" s="56">
        <v>34.51</v>
      </c>
      <c r="M9" s="56">
        <v>38.04</v>
      </c>
      <c r="N9" s="56">
        <v>0</v>
      </c>
      <c r="O9" s="56">
        <v>0</v>
      </c>
      <c r="P9" s="56">
        <v>0.85</v>
      </c>
      <c r="Q9" s="56">
        <v>4.9800000000000004</v>
      </c>
    </row>
    <row r="10" spans="1:21" customFormat="1">
      <c r="A10" s="55">
        <v>45444.083333333336</v>
      </c>
      <c r="B10" s="56">
        <v>7.3</v>
      </c>
      <c r="C10" s="56">
        <v>6.14</v>
      </c>
      <c r="D10" s="56">
        <v>14.07</v>
      </c>
      <c r="E10" s="56">
        <v>35.69</v>
      </c>
      <c r="F10" s="56">
        <v>11.84</v>
      </c>
      <c r="G10" s="56">
        <v>79.680000000000007</v>
      </c>
      <c r="H10" s="56">
        <v>26.38</v>
      </c>
      <c r="I10" s="56">
        <v>13.62</v>
      </c>
      <c r="J10" s="56">
        <v>0.56000000000000005</v>
      </c>
      <c r="K10" s="56">
        <v>102.3</v>
      </c>
      <c r="L10" s="56">
        <v>35.43</v>
      </c>
      <c r="M10" s="56">
        <v>37.06</v>
      </c>
      <c r="N10" s="56">
        <v>0</v>
      </c>
      <c r="O10" s="56">
        <v>0</v>
      </c>
      <c r="P10" s="56">
        <v>0.82</v>
      </c>
      <c r="Q10" s="56">
        <v>4.99</v>
      </c>
    </row>
    <row r="11" spans="1:21" customFormat="1">
      <c r="A11" s="55">
        <v>45444.125</v>
      </c>
      <c r="B11" s="56">
        <v>7.29</v>
      </c>
      <c r="C11" s="56">
        <v>6.13</v>
      </c>
      <c r="D11" s="56">
        <v>14.05</v>
      </c>
      <c r="E11" s="56">
        <v>43.6</v>
      </c>
      <c r="F11" s="56">
        <v>9.76</v>
      </c>
      <c r="G11" s="56">
        <v>88.23</v>
      </c>
      <c r="H11" s="56">
        <v>26.38</v>
      </c>
      <c r="I11" s="56">
        <v>11.01</v>
      </c>
      <c r="J11" s="56">
        <v>0.36</v>
      </c>
      <c r="K11" s="56">
        <v>184.56</v>
      </c>
      <c r="L11" s="56">
        <v>34.700000000000003</v>
      </c>
      <c r="M11" s="56">
        <v>37.26</v>
      </c>
      <c r="N11" s="56">
        <v>0</v>
      </c>
      <c r="O11" s="56">
        <v>0</v>
      </c>
      <c r="P11" s="56">
        <v>0.7</v>
      </c>
      <c r="Q11" s="56">
        <v>5</v>
      </c>
    </row>
    <row r="12" spans="1:21" customFormat="1">
      <c r="A12" s="55">
        <v>45444.166666666664</v>
      </c>
      <c r="B12" s="56">
        <v>7.31</v>
      </c>
      <c r="C12" s="56">
        <v>6.12</v>
      </c>
      <c r="D12" s="56">
        <v>14.07</v>
      </c>
      <c r="E12" s="56">
        <v>40.01</v>
      </c>
      <c r="F12" s="56">
        <v>12.77</v>
      </c>
      <c r="G12" s="56">
        <v>101.31</v>
      </c>
      <c r="H12" s="56">
        <v>28.46</v>
      </c>
      <c r="I12" s="56">
        <v>9.4600000000000009</v>
      </c>
      <c r="J12" s="56">
        <v>0.24</v>
      </c>
      <c r="K12" s="56">
        <v>243.44</v>
      </c>
      <c r="L12" s="56">
        <v>32.799999999999997</v>
      </c>
      <c r="M12" s="56">
        <v>40.630000000000003</v>
      </c>
      <c r="N12" s="56">
        <v>0</v>
      </c>
      <c r="O12" s="56">
        <v>0</v>
      </c>
      <c r="P12" s="56">
        <v>0.7</v>
      </c>
      <c r="Q12" s="56">
        <v>4.99</v>
      </c>
    </row>
    <row r="13" spans="1:21" customFormat="1">
      <c r="A13" s="55">
        <v>45444.208333333336</v>
      </c>
      <c r="B13" s="56">
        <v>7.34</v>
      </c>
      <c r="C13" s="56">
        <v>6.12</v>
      </c>
      <c r="D13" s="56">
        <v>14.09</v>
      </c>
      <c r="E13" s="56">
        <v>24.87</v>
      </c>
      <c r="F13" s="56">
        <v>6.84</v>
      </c>
      <c r="G13" s="56">
        <v>101.31</v>
      </c>
      <c r="H13" s="56">
        <v>29.04</v>
      </c>
      <c r="I13" s="56">
        <v>9.7799999999999994</v>
      </c>
      <c r="J13" s="56">
        <v>0.21</v>
      </c>
      <c r="K13" s="56">
        <v>203.38</v>
      </c>
      <c r="L13" s="56">
        <v>32.159999999999997</v>
      </c>
      <c r="M13" s="56">
        <v>43.26</v>
      </c>
      <c r="N13" s="56">
        <v>0</v>
      </c>
      <c r="O13" s="56">
        <v>0</v>
      </c>
      <c r="P13" s="56">
        <v>0.69</v>
      </c>
      <c r="Q13" s="56">
        <v>5</v>
      </c>
    </row>
    <row r="14" spans="1:21" customFormat="1">
      <c r="A14" s="55">
        <v>45444.25</v>
      </c>
      <c r="B14" s="56">
        <v>7.35</v>
      </c>
      <c r="C14" s="56">
        <v>6.09</v>
      </c>
      <c r="D14" s="56">
        <v>14.08</v>
      </c>
      <c r="E14" s="56">
        <v>20.25</v>
      </c>
      <c r="F14" s="56">
        <v>4.7699999999999996</v>
      </c>
      <c r="G14" s="56">
        <v>99.98</v>
      </c>
      <c r="H14" s="56">
        <v>29.04</v>
      </c>
      <c r="I14" s="56">
        <v>10.06</v>
      </c>
      <c r="J14" s="56">
        <v>0.12</v>
      </c>
      <c r="K14" s="56">
        <v>209.37</v>
      </c>
      <c r="L14" s="56">
        <v>31.74</v>
      </c>
      <c r="M14" s="56">
        <v>43.76</v>
      </c>
      <c r="N14" s="56">
        <v>25</v>
      </c>
      <c r="O14" s="56">
        <v>0</v>
      </c>
      <c r="P14" s="56">
        <v>0.74</v>
      </c>
      <c r="Q14" s="56">
        <v>4.99</v>
      </c>
    </row>
    <row r="15" spans="1:21" customFormat="1">
      <c r="A15" s="55">
        <v>45444.291666666664</v>
      </c>
      <c r="B15" s="56">
        <v>7.35</v>
      </c>
      <c r="C15" s="56">
        <v>6.14</v>
      </c>
      <c r="D15" s="56">
        <v>14.11</v>
      </c>
      <c r="E15" s="56">
        <v>33.590000000000003</v>
      </c>
      <c r="F15" s="56">
        <v>6.02</v>
      </c>
      <c r="G15" s="56">
        <v>107.31</v>
      </c>
      <c r="H15" s="56">
        <v>31.71</v>
      </c>
      <c r="I15" s="56">
        <v>11.45</v>
      </c>
      <c r="J15" s="56">
        <v>0.79</v>
      </c>
      <c r="K15" s="56">
        <v>65.44</v>
      </c>
      <c r="L15" s="56">
        <v>34.15</v>
      </c>
      <c r="M15" s="56">
        <v>41.14</v>
      </c>
      <c r="N15" s="56">
        <v>72</v>
      </c>
      <c r="O15" s="56">
        <v>0</v>
      </c>
      <c r="P15" s="56">
        <v>0.85</v>
      </c>
      <c r="Q15" s="56">
        <v>4.99</v>
      </c>
    </row>
    <row r="16" spans="1:21" customFormat="1">
      <c r="A16" s="55">
        <v>45444.333333333336</v>
      </c>
      <c r="B16" s="56">
        <v>7.35</v>
      </c>
      <c r="C16" s="56">
        <v>6.11</v>
      </c>
      <c r="D16" s="56">
        <v>14.09</v>
      </c>
      <c r="E16" s="56">
        <v>47.34</v>
      </c>
      <c r="F16" s="56">
        <v>12.25</v>
      </c>
      <c r="G16" s="56">
        <v>132.91999999999999</v>
      </c>
      <c r="H16" s="56">
        <v>40.380000000000003</v>
      </c>
      <c r="I16" s="56">
        <v>11.93</v>
      </c>
      <c r="J16" s="56">
        <v>0.87</v>
      </c>
      <c r="K16" s="56">
        <v>350.34</v>
      </c>
      <c r="L16" s="56">
        <v>35.92</v>
      </c>
      <c r="M16" s="56">
        <v>35.020000000000003</v>
      </c>
      <c r="N16" s="56">
        <v>112.3</v>
      </c>
      <c r="O16" s="56">
        <v>0</v>
      </c>
      <c r="P16" s="56">
        <v>1</v>
      </c>
      <c r="Q16" s="56">
        <v>5.0199999999999996</v>
      </c>
    </row>
    <row r="17" spans="1:17" customFormat="1">
      <c r="A17" s="55">
        <v>45444.375</v>
      </c>
      <c r="B17" s="56">
        <v>7.34</v>
      </c>
      <c r="C17" s="56">
        <v>6.1</v>
      </c>
      <c r="D17" s="56">
        <v>14.08</v>
      </c>
      <c r="E17" s="56">
        <v>71.260000000000005</v>
      </c>
      <c r="F17" s="56">
        <v>40.18</v>
      </c>
      <c r="G17" s="56">
        <v>161.25</v>
      </c>
      <c r="H17" s="56">
        <v>57.21</v>
      </c>
      <c r="I17" s="56">
        <v>12.04</v>
      </c>
      <c r="J17" s="56">
        <v>0.79</v>
      </c>
      <c r="K17" s="56">
        <v>344.67</v>
      </c>
      <c r="L17" s="56">
        <v>38.31</v>
      </c>
      <c r="M17" s="56">
        <v>34.090000000000003</v>
      </c>
      <c r="N17" s="56">
        <v>142.9</v>
      </c>
      <c r="O17" s="56">
        <v>0</v>
      </c>
      <c r="P17" s="56">
        <v>1.04</v>
      </c>
      <c r="Q17" s="56">
        <v>4.99</v>
      </c>
    </row>
    <row r="18" spans="1:17" customFormat="1">
      <c r="A18" s="55">
        <v>45444.416666666664</v>
      </c>
      <c r="B18" s="56">
        <v>7.37</v>
      </c>
      <c r="C18" s="56">
        <v>6.12</v>
      </c>
      <c r="D18" s="56">
        <v>14.11</v>
      </c>
      <c r="E18" s="56">
        <v>76.510000000000005</v>
      </c>
      <c r="F18" s="56">
        <v>53.97</v>
      </c>
      <c r="G18" s="56">
        <v>182.66</v>
      </c>
      <c r="H18" s="56">
        <v>61.26</v>
      </c>
      <c r="I18" s="56">
        <v>11.63</v>
      </c>
      <c r="J18" s="56">
        <v>1.26</v>
      </c>
      <c r="K18" s="56">
        <v>314.95</v>
      </c>
      <c r="L18" s="56">
        <v>40.619999999999997</v>
      </c>
      <c r="M18" s="56">
        <v>30.58</v>
      </c>
      <c r="N18" s="56">
        <v>171.9</v>
      </c>
      <c r="O18" s="56">
        <v>0</v>
      </c>
      <c r="P18" s="56">
        <v>1.0900000000000001</v>
      </c>
      <c r="Q18" s="56">
        <v>4.99</v>
      </c>
    </row>
    <row r="19" spans="1:17" customFormat="1">
      <c r="A19" s="55">
        <v>45444.458333333336</v>
      </c>
      <c r="B19" s="56">
        <v>7.34</v>
      </c>
      <c r="C19" s="56">
        <v>6.12</v>
      </c>
      <c r="D19" s="56">
        <v>14.07</v>
      </c>
      <c r="E19" s="56">
        <v>48.22</v>
      </c>
      <c r="F19" s="56">
        <v>54.81</v>
      </c>
      <c r="G19" s="56">
        <v>182.66</v>
      </c>
      <c r="H19" s="56">
        <v>61.26</v>
      </c>
      <c r="I19" s="56">
        <v>10.62</v>
      </c>
      <c r="J19" s="56">
        <v>1.47</v>
      </c>
      <c r="K19" s="56">
        <v>346.18</v>
      </c>
      <c r="L19" s="56">
        <v>41.63</v>
      </c>
      <c r="M19" s="56">
        <v>29.96</v>
      </c>
      <c r="N19" s="56">
        <v>209.9</v>
      </c>
      <c r="O19" s="56">
        <v>0</v>
      </c>
      <c r="P19" s="56">
        <v>0.88</v>
      </c>
      <c r="Q19" s="56">
        <v>4.97</v>
      </c>
    </row>
    <row r="20" spans="1:17" customFormat="1">
      <c r="A20" s="55">
        <v>45444.5</v>
      </c>
      <c r="B20" s="56">
        <v>7.39</v>
      </c>
      <c r="C20" s="56">
        <v>6.1</v>
      </c>
      <c r="D20" s="56">
        <v>14.11</v>
      </c>
      <c r="E20" s="56">
        <v>33.81</v>
      </c>
      <c r="F20" s="56">
        <v>61.38</v>
      </c>
      <c r="G20" s="56">
        <v>163.54</v>
      </c>
      <c r="H20" s="56">
        <v>54.93</v>
      </c>
      <c r="I20" s="56">
        <v>9.49</v>
      </c>
      <c r="J20" s="56">
        <v>1.53</v>
      </c>
      <c r="K20" s="56">
        <v>333.62</v>
      </c>
      <c r="L20" s="56">
        <v>42.95</v>
      </c>
      <c r="M20" s="56">
        <v>28.62</v>
      </c>
      <c r="N20" s="56">
        <v>713.6</v>
      </c>
      <c r="O20" s="56">
        <v>0</v>
      </c>
      <c r="P20" s="56">
        <v>0.88</v>
      </c>
      <c r="Q20" s="56">
        <v>4.96</v>
      </c>
    </row>
    <row r="21" spans="1:17" customFormat="1">
      <c r="A21" s="55">
        <v>45444.541666666664</v>
      </c>
      <c r="B21" s="56">
        <v>7.33</v>
      </c>
      <c r="C21" s="56">
        <v>6.14</v>
      </c>
      <c r="D21" s="56">
        <v>14.08</v>
      </c>
      <c r="E21" s="56">
        <v>23.07</v>
      </c>
      <c r="F21" s="56">
        <v>57.53</v>
      </c>
      <c r="G21" s="56">
        <v>136.35</v>
      </c>
      <c r="H21" s="56">
        <v>49.52</v>
      </c>
      <c r="I21" s="56">
        <v>8.56</v>
      </c>
      <c r="J21" s="56">
        <v>0.85</v>
      </c>
      <c r="K21" s="56">
        <v>285.56</v>
      </c>
      <c r="L21" s="56">
        <v>44.36</v>
      </c>
      <c r="M21" s="56">
        <v>25.09</v>
      </c>
      <c r="N21" s="56">
        <v>694.7</v>
      </c>
      <c r="O21" s="56">
        <v>0</v>
      </c>
      <c r="P21" s="56">
        <v>0.8</v>
      </c>
      <c r="Q21" s="56">
        <v>4.96</v>
      </c>
    </row>
    <row r="22" spans="1:17" customFormat="1">
      <c r="A22" s="55">
        <v>45444.583333333336</v>
      </c>
      <c r="B22" s="56">
        <v>7.37</v>
      </c>
      <c r="C22" s="56">
        <v>6.19</v>
      </c>
      <c r="D22" s="56">
        <v>14.14</v>
      </c>
      <c r="E22" s="56">
        <v>16.670000000000002</v>
      </c>
      <c r="F22" s="56">
        <v>13.45</v>
      </c>
      <c r="G22" s="56">
        <v>101.61</v>
      </c>
      <c r="H22" s="56">
        <v>33.96</v>
      </c>
      <c r="I22" s="56">
        <v>8.59</v>
      </c>
      <c r="J22" s="56">
        <v>1.37</v>
      </c>
      <c r="K22" s="56">
        <v>316.58</v>
      </c>
      <c r="L22" s="56">
        <v>44.69</v>
      </c>
      <c r="M22" s="56">
        <v>21.75</v>
      </c>
      <c r="N22" s="56">
        <v>638.1</v>
      </c>
      <c r="O22" s="56">
        <v>0</v>
      </c>
      <c r="P22" s="56">
        <v>0.82</v>
      </c>
      <c r="Q22" s="56">
        <v>5.01</v>
      </c>
    </row>
    <row r="23" spans="1:17" customFormat="1">
      <c r="A23" s="55">
        <v>45444.625</v>
      </c>
      <c r="B23" s="56">
        <v>7.34</v>
      </c>
      <c r="C23" s="56">
        <v>6.15</v>
      </c>
      <c r="D23" s="56">
        <v>14.07</v>
      </c>
      <c r="E23" s="56">
        <v>14.56</v>
      </c>
      <c r="F23" s="56">
        <v>9.1300000000000008</v>
      </c>
      <c r="G23" s="56">
        <v>95.9</v>
      </c>
      <c r="H23" s="56">
        <v>33.96</v>
      </c>
      <c r="I23" s="56">
        <v>8.18</v>
      </c>
      <c r="J23" s="56">
        <v>1.78</v>
      </c>
      <c r="K23" s="56">
        <v>321.23</v>
      </c>
      <c r="L23" s="56">
        <v>44.95</v>
      </c>
      <c r="M23" s="56">
        <v>19.41</v>
      </c>
      <c r="N23" s="56">
        <v>646.5</v>
      </c>
      <c r="O23" s="56">
        <v>0</v>
      </c>
      <c r="P23" s="56">
        <v>0.68</v>
      </c>
      <c r="Q23" s="56">
        <v>4.99</v>
      </c>
    </row>
    <row r="24" spans="1:17" customFormat="1">
      <c r="A24" s="55">
        <v>45444.666666666664</v>
      </c>
      <c r="B24" s="56">
        <v>7.37</v>
      </c>
      <c r="C24" s="56">
        <v>6.14</v>
      </c>
      <c r="D24" s="56">
        <v>14.11</v>
      </c>
      <c r="E24" s="56">
        <v>14.19</v>
      </c>
      <c r="F24" s="56">
        <v>9.7200000000000006</v>
      </c>
      <c r="G24" s="56">
        <v>71.739999999999995</v>
      </c>
      <c r="H24" s="56">
        <v>32.24</v>
      </c>
      <c r="I24" s="56">
        <v>7.01</v>
      </c>
      <c r="J24" s="56">
        <v>1.47</v>
      </c>
      <c r="K24" s="56">
        <v>306.26</v>
      </c>
      <c r="L24" s="56">
        <v>44.99</v>
      </c>
      <c r="M24" s="56">
        <v>17.18</v>
      </c>
      <c r="N24" s="56">
        <v>505.2</v>
      </c>
      <c r="O24" s="56">
        <v>0</v>
      </c>
      <c r="P24" s="56">
        <v>0.63</v>
      </c>
      <c r="Q24" s="56">
        <v>5</v>
      </c>
    </row>
    <row r="25" spans="1:17" customFormat="1">
      <c r="A25" s="55">
        <v>45444.708333333336</v>
      </c>
      <c r="B25" s="56">
        <v>7.36</v>
      </c>
      <c r="C25" s="56">
        <v>6.11</v>
      </c>
      <c r="D25" s="56">
        <v>14.09</v>
      </c>
      <c r="E25" s="56">
        <v>13.55</v>
      </c>
      <c r="F25" s="56">
        <v>10.210000000000001</v>
      </c>
      <c r="G25" s="56">
        <v>76.44</v>
      </c>
      <c r="H25" s="56">
        <v>28.75</v>
      </c>
      <c r="I25" s="56">
        <v>6</v>
      </c>
      <c r="J25" s="56">
        <v>1.48</v>
      </c>
      <c r="K25" s="56">
        <v>298.39999999999998</v>
      </c>
      <c r="L25" s="56">
        <v>44.49</v>
      </c>
      <c r="M25" s="56">
        <v>15.89</v>
      </c>
      <c r="N25" s="56">
        <v>208</v>
      </c>
      <c r="O25" s="56">
        <v>0</v>
      </c>
      <c r="P25" s="56">
        <v>0.55000000000000004</v>
      </c>
      <c r="Q25" s="56">
        <v>4.99</v>
      </c>
    </row>
    <row r="26" spans="1:17" customFormat="1">
      <c r="A26" s="55">
        <v>45444.75</v>
      </c>
      <c r="B26" s="56">
        <v>7.37</v>
      </c>
      <c r="C26" s="56">
        <v>6.12</v>
      </c>
      <c r="D26" s="56">
        <v>14.1</v>
      </c>
      <c r="E26" s="56">
        <v>13.17</v>
      </c>
      <c r="F26" s="56">
        <v>22.28</v>
      </c>
      <c r="G26" s="56">
        <v>76.44</v>
      </c>
      <c r="H26" s="56">
        <v>27.41</v>
      </c>
      <c r="I26" s="56">
        <v>5.23</v>
      </c>
      <c r="J26" s="56">
        <v>1.51</v>
      </c>
      <c r="K26" s="56">
        <v>309.91000000000003</v>
      </c>
      <c r="L26" s="56">
        <v>43.6</v>
      </c>
      <c r="M26" s="56">
        <v>16.190000000000001</v>
      </c>
      <c r="N26" s="56">
        <v>104.6</v>
      </c>
      <c r="O26" s="56">
        <v>0</v>
      </c>
      <c r="P26" s="56">
        <v>0.5</v>
      </c>
      <c r="Q26" s="56">
        <v>4.99</v>
      </c>
    </row>
    <row r="27" spans="1:17" customFormat="1">
      <c r="A27" s="55">
        <v>45444.791666666664</v>
      </c>
      <c r="B27" s="56">
        <v>7.49</v>
      </c>
      <c r="C27" s="56">
        <v>6.2</v>
      </c>
      <c r="D27" s="56">
        <v>14.19</v>
      </c>
      <c r="E27" s="56">
        <v>9.9700000000000006</v>
      </c>
      <c r="F27" s="56">
        <v>35.14</v>
      </c>
      <c r="G27" s="56">
        <v>71.09</v>
      </c>
      <c r="H27" s="56">
        <v>21.19</v>
      </c>
      <c r="I27" s="56">
        <v>4.72</v>
      </c>
      <c r="J27" s="56">
        <v>1.19</v>
      </c>
      <c r="K27" s="56">
        <v>297.33999999999997</v>
      </c>
      <c r="L27" s="56">
        <v>42.27</v>
      </c>
      <c r="M27" s="56">
        <v>19.93</v>
      </c>
      <c r="N27" s="56">
        <v>21.8</v>
      </c>
      <c r="O27" s="56">
        <v>0</v>
      </c>
      <c r="P27" s="56">
        <v>0.61</v>
      </c>
      <c r="Q27" s="56">
        <v>4.97</v>
      </c>
    </row>
    <row r="28" spans="1:17" customFormat="1">
      <c r="A28" s="55">
        <v>45444.833333333336</v>
      </c>
      <c r="B28" s="56">
        <v>7.4</v>
      </c>
      <c r="C28" s="56">
        <v>6.12</v>
      </c>
      <c r="D28" s="56">
        <v>14.14</v>
      </c>
      <c r="E28" s="56">
        <v>13.49</v>
      </c>
      <c r="F28" s="56">
        <v>42.71</v>
      </c>
      <c r="G28" s="56">
        <v>71.09</v>
      </c>
      <c r="H28" s="56">
        <v>21.19</v>
      </c>
      <c r="I28" s="56">
        <v>5.99</v>
      </c>
      <c r="J28" s="56">
        <v>0.56999999999999995</v>
      </c>
      <c r="K28" s="56">
        <v>250.96</v>
      </c>
      <c r="L28" s="56">
        <v>39.96</v>
      </c>
      <c r="M28" s="56">
        <v>23.58</v>
      </c>
      <c r="N28" s="56">
        <v>0</v>
      </c>
      <c r="O28" s="56">
        <v>0</v>
      </c>
      <c r="P28" s="56">
        <v>0.69</v>
      </c>
      <c r="Q28" s="56">
        <v>4.99</v>
      </c>
    </row>
    <row r="29" spans="1:17" customFormat="1">
      <c r="A29" s="55">
        <v>45444.875</v>
      </c>
      <c r="B29" s="56">
        <v>7.32</v>
      </c>
      <c r="C29" s="56">
        <v>6.13</v>
      </c>
      <c r="D29" s="56">
        <v>14.09</v>
      </c>
      <c r="E29" s="56">
        <v>12.76</v>
      </c>
      <c r="F29" s="56">
        <v>31.63</v>
      </c>
      <c r="G29" s="56">
        <v>66.42</v>
      </c>
      <c r="H29" s="56">
        <v>19.84</v>
      </c>
      <c r="I29" s="56">
        <v>8.52</v>
      </c>
      <c r="J29" s="56">
        <v>0.49</v>
      </c>
      <c r="K29" s="56">
        <v>249.89</v>
      </c>
      <c r="L29" s="56">
        <v>38.700000000000003</v>
      </c>
      <c r="M29" s="56">
        <v>31.3</v>
      </c>
      <c r="N29" s="56">
        <v>0</v>
      </c>
      <c r="O29" s="56">
        <v>0</v>
      </c>
      <c r="P29" s="56">
        <v>0.8</v>
      </c>
      <c r="Q29" s="56">
        <v>5</v>
      </c>
    </row>
    <row r="30" spans="1:17" customFormat="1">
      <c r="A30" s="55">
        <v>45444.916666666664</v>
      </c>
      <c r="B30" s="56">
        <v>7.36</v>
      </c>
      <c r="C30" s="56">
        <v>6.11</v>
      </c>
      <c r="D30" s="56">
        <v>14.07</v>
      </c>
      <c r="E30" s="56">
        <v>10.54</v>
      </c>
      <c r="F30" s="56">
        <v>42.88</v>
      </c>
      <c r="G30" s="56">
        <v>80.89</v>
      </c>
      <c r="H30" s="56">
        <v>20.46</v>
      </c>
      <c r="I30" s="56">
        <v>8.7200000000000006</v>
      </c>
      <c r="J30" s="56">
        <v>0.73</v>
      </c>
      <c r="K30" s="56">
        <v>142.36000000000001</v>
      </c>
      <c r="L30" s="56">
        <v>36.909999999999997</v>
      </c>
      <c r="M30" s="56">
        <v>35.46</v>
      </c>
      <c r="N30" s="56">
        <v>0</v>
      </c>
      <c r="O30" s="56">
        <v>0</v>
      </c>
      <c r="P30" s="56">
        <v>0.65</v>
      </c>
      <c r="Q30" s="56">
        <v>5</v>
      </c>
    </row>
    <row r="31" spans="1:17" customFormat="1">
      <c r="A31" s="55">
        <v>45444.958333333336</v>
      </c>
      <c r="B31" s="56">
        <v>7.43</v>
      </c>
      <c r="C31" s="56">
        <v>6.13</v>
      </c>
      <c r="D31" s="56">
        <v>14.15</v>
      </c>
      <c r="E31" s="56">
        <v>9.57</v>
      </c>
      <c r="F31" s="56">
        <v>32.47</v>
      </c>
      <c r="G31" s="56">
        <v>80.89</v>
      </c>
      <c r="H31" s="56">
        <v>22.71</v>
      </c>
      <c r="I31" s="56">
        <v>5.62</v>
      </c>
      <c r="J31" s="56">
        <v>0.46</v>
      </c>
      <c r="K31" s="56">
        <v>217.24</v>
      </c>
      <c r="L31" s="56">
        <v>36.03</v>
      </c>
      <c r="M31" s="56">
        <v>37.770000000000003</v>
      </c>
      <c r="N31" s="56">
        <v>0</v>
      </c>
      <c r="O31" s="56">
        <v>0</v>
      </c>
      <c r="P31" s="56">
        <v>0.59</v>
      </c>
      <c r="Q31" s="56">
        <v>5</v>
      </c>
    </row>
    <row r="32" spans="1:17" customFormat="1">
      <c r="A32" s="55">
        <v>45445</v>
      </c>
      <c r="B32" s="56">
        <v>7.45</v>
      </c>
      <c r="C32" s="56">
        <v>6.12</v>
      </c>
      <c r="D32" s="56">
        <v>14.18</v>
      </c>
      <c r="E32" s="56">
        <v>10.32</v>
      </c>
      <c r="F32" s="56">
        <v>31.85</v>
      </c>
      <c r="G32" s="56">
        <v>56</v>
      </c>
      <c r="H32" s="56">
        <v>22.71</v>
      </c>
      <c r="I32" s="56">
        <v>5.33</v>
      </c>
      <c r="J32" s="56">
        <v>0.27</v>
      </c>
      <c r="K32" s="56">
        <v>258.07</v>
      </c>
      <c r="L32" s="56">
        <v>35.17</v>
      </c>
      <c r="M32" s="56">
        <v>41.98</v>
      </c>
      <c r="N32" s="56">
        <v>0</v>
      </c>
      <c r="O32" s="56">
        <v>0</v>
      </c>
      <c r="P32" s="56">
        <v>0.4</v>
      </c>
      <c r="Q32" s="56">
        <v>5.01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7.29</v>
      </c>
      <c r="C34" s="41">
        <f t="shared" si="0"/>
        <v>6.09</v>
      </c>
      <c r="D34" s="41">
        <f t="shared" si="0"/>
        <v>14.04</v>
      </c>
      <c r="E34" s="41">
        <f t="shared" si="0"/>
        <v>9.57</v>
      </c>
      <c r="F34" s="41">
        <f t="shared" si="0"/>
        <v>4.7699999999999996</v>
      </c>
      <c r="G34" s="41">
        <f t="shared" si="0"/>
        <v>56</v>
      </c>
      <c r="H34" s="41">
        <f t="shared" si="0"/>
        <v>19.600000000000001</v>
      </c>
      <c r="I34" s="41">
        <f t="shared" si="0"/>
        <v>4.72</v>
      </c>
      <c r="J34" s="41">
        <f t="shared" si="0"/>
        <v>0.12</v>
      </c>
      <c r="K34" s="41">
        <f t="shared" si="0"/>
        <v>65.44</v>
      </c>
      <c r="L34" s="41">
        <f t="shared" si="0"/>
        <v>31.74</v>
      </c>
      <c r="M34" s="41">
        <f t="shared" si="0"/>
        <v>15.89</v>
      </c>
      <c r="N34" s="41">
        <f t="shared" si="0"/>
        <v>0</v>
      </c>
      <c r="O34" s="41">
        <f t="shared" si="0"/>
        <v>0</v>
      </c>
      <c r="P34" s="41">
        <f t="shared" si="0"/>
        <v>0.4</v>
      </c>
      <c r="Q34" s="41">
        <f t="shared" si="0"/>
        <v>4.96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7.49</v>
      </c>
      <c r="C35" s="33">
        <f t="shared" si="1"/>
        <v>6.2</v>
      </c>
      <c r="D35" s="33">
        <f t="shared" si="1"/>
        <v>14.19</v>
      </c>
      <c r="E35" s="33">
        <f t="shared" si="1"/>
        <v>76.510000000000005</v>
      </c>
      <c r="F35" s="33">
        <f t="shared" si="1"/>
        <v>61.38</v>
      </c>
      <c r="G35" s="33">
        <f t="shared" si="1"/>
        <v>182.66</v>
      </c>
      <c r="H35" s="33">
        <f t="shared" si="1"/>
        <v>61.26</v>
      </c>
      <c r="I35" s="33">
        <f t="shared" si="1"/>
        <v>13.62</v>
      </c>
      <c r="J35" s="33">
        <f t="shared" si="1"/>
        <v>1.78</v>
      </c>
      <c r="K35" s="33">
        <f t="shared" si="1"/>
        <v>350.34</v>
      </c>
      <c r="L35" s="33">
        <f t="shared" si="1"/>
        <v>44.99</v>
      </c>
      <c r="M35" s="33">
        <f t="shared" si="1"/>
        <v>43.76</v>
      </c>
      <c r="N35" s="33">
        <f t="shared" si="1"/>
        <v>713.6</v>
      </c>
      <c r="O35" s="33">
        <f t="shared" si="1"/>
        <v>0</v>
      </c>
      <c r="P35" s="33">
        <f t="shared" si="1"/>
        <v>1.0900000000000001</v>
      </c>
      <c r="Q35" s="33">
        <f t="shared" si="1"/>
        <v>5.0199999999999996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7.3604166666666684</v>
      </c>
      <c r="C36" s="41">
        <f t="shared" si="2"/>
        <v>6.1266666666666678</v>
      </c>
      <c r="D36" s="41">
        <f t="shared" si="2"/>
        <v>14.099166666666664</v>
      </c>
      <c r="E36" s="41">
        <f t="shared" si="2"/>
        <v>27.771666666666665</v>
      </c>
      <c r="F36" s="41">
        <f t="shared" si="2"/>
        <v>26.200833333333335</v>
      </c>
      <c r="G36" s="41">
        <f t="shared" si="2"/>
        <v>102.51625</v>
      </c>
      <c r="H36" s="41">
        <f t="shared" si="2"/>
        <v>33.316250000000011</v>
      </c>
      <c r="I36" s="41">
        <f t="shared" si="2"/>
        <v>9.0433333333333348</v>
      </c>
      <c r="J36" s="41">
        <f t="shared" si="2"/>
        <v>0.86041666666666672</v>
      </c>
      <c r="K36" s="41">
        <f t="shared" si="2"/>
        <v>255.43666666666661</v>
      </c>
      <c r="L36" s="41">
        <f t="shared" si="2"/>
        <v>38.793333333333337</v>
      </c>
      <c r="M36" s="41">
        <f t="shared" si="2"/>
        <v>31.039583333333329</v>
      </c>
      <c r="N36" s="41">
        <f t="shared" si="2"/>
        <v>177.77083333333337</v>
      </c>
      <c r="O36" s="41">
        <f t="shared" si="2"/>
        <v>0</v>
      </c>
      <c r="P36" s="41">
        <f t="shared" si="2"/>
        <v>0.74833333333333341</v>
      </c>
      <c r="Q36" s="41">
        <f t="shared" si="2"/>
        <v>4.9908333333333337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4.6201747253489973E-2</v>
      </c>
      <c r="C37" s="41">
        <f t="shared" ref="C37:Q37" si="3">STDEV(C9:C32)</f>
        <v>2.63202132056032E-2</v>
      </c>
      <c r="D37" s="41">
        <f t="shared" si="3"/>
        <v>3.7753970901622719E-2</v>
      </c>
      <c r="E37" s="41">
        <f t="shared" si="3"/>
        <v>18.95978895192269</v>
      </c>
      <c r="F37" s="41">
        <f t="shared" si="3"/>
        <v>18.586408993545856</v>
      </c>
      <c r="G37" s="41">
        <f t="shared" si="3"/>
        <v>37.503911658304567</v>
      </c>
      <c r="H37" s="41">
        <f t="shared" si="3"/>
        <v>13.48592722626713</v>
      </c>
      <c r="I37" s="41">
        <f t="shared" si="3"/>
        <v>2.6519191847261938</v>
      </c>
      <c r="J37" s="41">
        <f t="shared" si="3"/>
        <v>0.51761559655510936</v>
      </c>
      <c r="K37" s="41">
        <f t="shared" si="3"/>
        <v>78.786156512239117</v>
      </c>
      <c r="L37" s="41">
        <f t="shared" si="3"/>
        <v>4.5213634598682324</v>
      </c>
      <c r="M37" s="41">
        <f t="shared" si="3"/>
        <v>9.1465918951870488</v>
      </c>
      <c r="N37" s="41">
        <f t="shared" si="3"/>
        <v>253.74271543052814</v>
      </c>
      <c r="O37" s="41">
        <f t="shared" si="3"/>
        <v>0</v>
      </c>
      <c r="P37" s="41">
        <f t="shared" si="3"/>
        <v>0.16714135300415017</v>
      </c>
      <c r="Q37" s="41">
        <f t="shared" si="3"/>
        <v>1.4719601443879701E-2</v>
      </c>
      <c r="R37" s="41"/>
      <c r="S37" s="41"/>
      <c r="T37" s="41"/>
      <c r="U37" s="41"/>
    </row>
    <row r="38" spans="1:21" s="1" customFormat="1">
      <c r="A38" s="48" t="s">
        <v>52</v>
      </c>
      <c r="B38" s="49">
        <f t="shared" ref="B38:Q38" si="4">COUNT(B9:B32)</f>
        <v>24</v>
      </c>
      <c r="C38" s="49">
        <f t="shared" si="4"/>
        <v>24</v>
      </c>
      <c r="D38" s="49">
        <f t="shared" si="4"/>
        <v>24</v>
      </c>
      <c r="E38" s="49">
        <f t="shared" si="4"/>
        <v>24</v>
      </c>
      <c r="F38" s="49">
        <f t="shared" si="4"/>
        <v>24</v>
      </c>
      <c r="G38" s="49">
        <f t="shared" si="4"/>
        <v>24</v>
      </c>
      <c r="H38" s="49">
        <f t="shared" si="4"/>
        <v>24</v>
      </c>
      <c r="I38" s="49">
        <f t="shared" si="4"/>
        <v>24</v>
      </c>
      <c r="J38" s="49">
        <f t="shared" si="4"/>
        <v>24</v>
      </c>
      <c r="K38" s="49">
        <f t="shared" si="4"/>
        <v>24</v>
      </c>
      <c r="L38" s="49">
        <f t="shared" si="4"/>
        <v>24</v>
      </c>
      <c r="M38" s="49">
        <f t="shared" si="4"/>
        <v>24</v>
      </c>
      <c r="N38" s="49">
        <f t="shared" si="4"/>
        <v>24</v>
      </c>
      <c r="O38" s="49">
        <f t="shared" si="4"/>
        <v>24</v>
      </c>
      <c r="P38" s="49">
        <f t="shared" si="4"/>
        <v>24</v>
      </c>
      <c r="Q38" s="49">
        <f t="shared" si="4"/>
        <v>24</v>
      </c>
      <c r="R38" s="49"/>
      <c r="S38" s="49"/>
      <c r="T38" s="49"/>
      <c r="U38" s="49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52"/>
      <c r="O41" s="52"/>
      <c r="P41" s="52"/>
      <c r="Q41" s="52"/>
      <c r="R41" s="52"/>
      <c r="S41" s="52"/>
      <c r="T41" s="52"/>
      <c r="U41" s="52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50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3" width="11" style="39" customWidth="1"/>
    <col min="4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45445.041666666664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5">
        <v>45445.041666666664</v>
      </c>
      <c r="B9" s="56">
        <v>7.2</v>
      </c>
      <c r="C9" s="56">
        <v>6.04</v>
      </c>
      <c r="D9" s="56">
        <v>13.91</v>
      </c>
      <c r="E9" s="56">
        <v>10.97</v>
      </c>
      <c r="F9" s="56">
        <v>22.31</v>
      </c>
      <c r="G9" s="56">
        <v>51.84</v>
      </c>
      <c r="H9" s="56">
        <v>20.309999999999999</v>
      </c>
      <c r="I9" s="56">
        <v>4.8</v>
      </c>
      <c r="J9" s="56">
        <v>0.21</v>
      </c>
      <c r="K9" s="56">
        <v>193.64</v>
      </c>
      <c r="L9" s="56">
        <v>34.79</v>
      </c>
      <c r="M9" s="56">
        <v>49.49</v>
      </c>
      <c r="N9" s="56">
        <v>0</v>
      </c>
      <c r="O9" s="56">
        <v>0</v>
      </c>
      <c r="P9" s="56">
        <v>0.41</v>
      </c>
      <c r="Q9" s="56">
        <v>5.01</v>
      </c>
    </row>
    <row r="10" spans="1:21" customFormat="1">
      <c r="A10" s="55">
        <v>45445.083333333336</v>
      </c>
      <c r="B10" s="56">
        <v>7.15</v>
      </c>
      <c r="C10" s="56">
        <v>6.09</v>
      </c>
      <c r="D10" s="56">
        <v>13.91</v>
      </c>
      <c r="E10" s="56">
        <v>11.44</v>
      </c>
      <c r="F10" s="56">
        <v>21.28</v>
      </c>
      <c r="G10" s="56">
        <v>47.76</v>
      </c>
      <c r="H10" s="56">
        <v>21.63</v>
      </c>
      <c r="I10" s="56">
        <v>4.7699999999999996</v>
      </c>
      <c r="J10" s="56">
        <v>0.19</v>
      </c>
      <c r="K10" s="56">
        <v>202.58</v>
      </c>
      <c r="L10" s="56">
        <v>33.85</v>
      </c>
      <c r="M10" s="56">
        <v>54.78</v>
      </c>
      <c r="N10" s="56">
        <v>0</v>
      </c>
      <c r="O10" s="56">
        <v>0</v>
      </c>
      <c r="P10" s="56">
        <v>0.41</v>
      </c>
      <c r="Q10" s="56">
        <v>5</v>
      </c>
    </row>
    <row r="11" spans="1:21" customFormat="1">
      <c r="A11" s="55">
        <v>45445.125</v>
      </c>
      <c r="B11" s="56">
        <v>7.13</v>
      </c>
      <c r="C11" s="56">
        <v>6.11</v>
      </c>
      <c r="D11" s="56">
        <v>13.91</v>
      </c>
      <c r="E11" s="56">
        <v>9.68</v>
      </c>
      <c r="F11" s="56">
        <v>13.95</v>
      </c>
      <c r="G11" s="56">
        <v>41.8</v>
      </c>
      <c r="H11" s="56">
        <v>23.61</v>
      </c>
      <c r="I11" s="56">
        <v>4.6900000000000004</v>
      </c>
      <c r="J11" s="56">
        <v>0.17</v>
      </c>
      <c r="K11" s="56">
        <v>235.06</v>
      </c>
      <c r="L11" s="56">
        <v>32.79</v>
      </c>
      <c r="M11" s="56">
        <v>58.08</v>
      </c>
      <c r="N11" s="56">
        <v>0</v>
      </c>
      <c r="O11" s="56">
        <v>0</v>
      </c>
      <c r="P11" s="56">
        <v>0.41</v>
      </c>
      <c r="Q11" s="56">
        <v>5</v>
      </c>
    </row>
    <row r="12" spans="1:21" customFormat="1">
      <c r="A12" s="55">
        <v>45445.166666666664</v>
      </c>
      <c r="B12" s="56">
        <v>7.13</v>
      </c>
      <c r="C12" s="56">
        <v>6.08</v>
      </c>
      <c r="D12" s="56">
        <v>13.91</v>
      </c>
      <c r="E12" s="56">
        <v>10.55</v>
      </c>
      <c r="F12" s="56">
        <v>22.72</v>
      </c>
      <c r="G12" s="56">
        <v>41.8</v>
      </c>
      <c r="H12" s="56">
        <v>23.61</v>
      </c>
      <c r="I12" s="56">
        <v>4.49</v>
      </c>
      <c r="J12" s="56">
        <v>0.16</v>
      </c>
      <c r="K12" s="56">
        <v>228.56</v>
      </c>
      <c r="L12" s="56">
        <v>32.72</v>
      </c>
      <c r="M12" s="56">
        <v>61.75</v>
      </c>
      <c r="N12" s="56">
        <v>0</v>
      </c>
      <c r="O12" s="56">
        <v>0</v>
      </c>
      <c r="P12" s="56">
        <v>0.43</v>
      </c>
      <c r="Q12" s="56">
        <v>5</v>
      </c>
    </row>
    <row r="13" spans="1:21" customFormat="1">
      <c r="A13" s="55">
        <v>45445.208333333336</v>
      </c>
      <c r="B13" s="56">
        <v>7.05</v>
      </c>
      <c r="C13" s="56">
        <v>6.08</v>
      </c>
      <c r="D13" s="56">
        <v>13.84</v>
      </c>
      <c r="E13" s="56">
        <v>9.82</v>
      </c>
      <c r="F13" s="56">
        <v>25.81</v>
      </c>
      <c r="G13" s="56">
        <v>40.06</v>
      </c>
      <c r="H13" s="56">
        <v>19.39</v>
      </c>
      <c r="I13" s="56">
        <v>3.93</v>
      </c>
      <c r="J13" s="56">
        <v>0.19</v>
      </c>
      <c r="K13" s="56">
        <v>214.11</v>
      </c>
      <c r="L13" s="56">
        <v>32.11</v>
      </c>
      <c r="M13" s="56">
        <v>64.989999999999995</v>
      </c>
      <c r="N13" s="56">
        <v>0</v>
      </c>
      <c r="O13" s="56">
        <v>0</v>
      </c>
      <c r="P13" s="56">
        <v>0.42</v>
      </c>
      <c r="Q13" s="56">
        <v>5.01</v>
      </c>
    </row>
    <row r="14" spans="1:21" customFormat="1">
      <c r="A14" s="55">
        <v>45445.25</v>
      </c>
      <c r="B14" s="56">
        <v>7.02</v>
      </c>
      <c r="C14" s="56">
        <v>6.09</v>
      </c>
      <c r="D14" s="56">
        <v>13.8</v>
      </c>
      <c r="E14" s="56">
        <v>9.58</v>
      </c>
      <c r="F14" s="56">
        <v>23.03</v>
      </c>
      <c r="G14" s="56">
        <v>40.06</v>
      </c>
      <c r="H14" s="56">
        <v>19.39</v>
      </c>
      <c r="I14" s="56">
        <v>3.9</v>
      </c>
      <c r="J14" s="56">
        <v>0.2</v>
      </c>
      <c r="K14" s="56">
        <v>223.3</v>
      </c>
      <c r="L14" s="56">
        <v>31.97</v>
      </c>
      <c r="M14" s="56">
        <v>65.42</v>
      </c>
      <c r="N14" s="56">
        <v>25.1</v>
      </c>
      <c r="O14" s="56">
        <v>0</v>
      </c>
      <c r="P14" s="56">
        <v>0.42</v>
      </c>
      <c r="Q14" s="56">
        <v>5.01</v>
      </c>
    </row>
    <row r="15" spans="1:21" customFormat="1">
      <c r="A15" s="55">
        <v>45445.291666666664</v>
      </c>
      <c r="B15" s="56">
        <v>7.02</v>
      </c>
      <c r="C15" s="56">
        <v>6.07</v>
      </c>
      <c r="D15" s="56">
        <v>13.81</v>
      </c>
      <c r="E15" s="56">
        <v>9.66</v>
      </c>
      <c r="F15" s="56">
        <v>21.24</v>
      </c>
      <c r="G15" s="56">
        <v>34.369999999999997</v>
      </c>
      <c r="H15" s="56">
        <v>17.91</v>
      </c>
      <c r="I15" s="56">
        <v>4.34</v>
      </c>
      <c r="J15" s="56">
        <v>0.28000000000000003</v>
      </c>
      <c r="K15" s="56">
        <v>270.27</v>
      </c>
      <c r="L15" s="56">
        <v>33.770000000000003</v>
      </c>
      <c r="M15" s="56">
        <v>62.93</v>
      </c>
      <c r="N15" s="56">
        <v>81.099999999999994</v>
      </c>
      <c r="O15" s="56">
        <v>0</v>
      </c>
      <c r="P15" s="56">
        <v>0.44</v>
      </c>
      <c r="Q15" s="56">
        <v>5.01</v>
      </c>
    </row>
    <row r="16" spans="1:21" customFormat="1">
      <c r="A16" s="55">
        <v>45445.333333333336</v>
      </c>
      <c r="B16" s="56">
        <v>7.02</v>
      </c>
      <c r="C16" s="56">
        <v>6.1</v>
      </c>
      <c r="D16" s="56">
        <v>13.81</v>
      </c>
      <c r="E16" s="56">
        <v>10.43</v>
      </c>
      <c r="F16" s="56">
        <v>20.88</v>
      </c>
      <c r="G16" s="56">
        <v>40.28</v>
      </c>
      <c r="H16" s="56">
        <v>18.62</v>
      </c>
      <c r="I16" s="56">
        <v>4.6399999999999997</v>
      </c>
      <c r="J16" s="56">
        <v>0.83</v>
      </c>
      <c r="K16" s="56">
        <v>267.56</v>
      </c>
      <c r="L16" s="56">
        <v>35.380000000000003</v>
      </c>
      <c r="M16" s="56">
        <v>55.87</v>
      </c>
      <c r="N16" s="56">
        <v>125.7</v>
      </c>
      <c r="O16" s="56">
        <v>0</v>
      </c>
      <c r="P16" s="56">
        <v>0.46</v>
      </c>
      <c r="Q16" s="56">
        <v>5.01</v>
      </c>
    </row>
    <row r="17" spans="1:17" customFormat="1">
      <c r="A17" s="55">
        <v>45445.375</v>
      </c>
      <c r="B17" s="56">
        <v>7.15</v>
      </c>
      <c r="C17" s="56">
        <v>6.09</v>
      </c>
      <c r="D17" s="56">
        <v>13.9</v>
      </c>
      <c r="E17" s="56">
        <v>10.27</v>
      </c>
      <c r="F17" s="56">
        <v>16.04</v>
      </c>
      <c r="G17" s="56">
        <v>49.15</v>
      </c>
      <c r="H17" s="56">
        <v>20.73</v>
      </c>
      <c r="I17" s="56">
        <v>5.52</v>
      </c>
      <c r="J17" s="56">
        <v>1.27</v>
      </c>
      <c r="K17" s="56">
        <v>281.56</v>
      </c>
      <c r="L17" s="56">
        <v>36.96</v>
      </c>
      <c r="M17" s="56">
        <v>49.44</v>
      </c>
      <c r="N17" s="56">
        <v>188.9</v>
      </c>
      <c r="O17" s="56">
        <v>0</v>
      </c>
      <c r="P17" s="56">
        <v>0.41</v>
      </c>
      <c r="Q17" s="56">
        <v>5.0199999999999996</v>
      </c>
    </row>
    <row r="18" spans="1:17" customFormat="1">
      <c r="A18" s="55">
        <v>45445.416666666664</v>
      </c>
      <c r="B18" s="56">
        <v>7.14</v>
      </c>
      <c r="C18" s="56">
        <v>6.08</v>
      </c>
      <c r="D18" s="56">
        <v>13.9</v>
      </c>
      <c r="E18" s="56">
        <v>11.39</v>
      </c>
      <c r="F18" s="56">
        <v>20.72</v>
      </c>
      <c r="G18" s="56">
        <v>51.77</v>
      </c>
      <c r="H18" s="56">
        <v>21.55</v>
      </c>
      <c r="I18" s="56">
        <v>6.85</v>
      </c>
      <c r="J18" s="56">
        <v>1.76</v>
      </c>
      <c r="K18" s="56">
        <v>284.54000000000002</v>
      </c>
      <c r="L18" s="56">
        <v>37.909999999999997</v>
      </c>
      <c r="M18" s="56">
        <v>46.84</v>
      </c>
      <c r="N18" s="56">
        <v>200</v>
      </c>
      <c r="O18" s="56">
        <v>0</v>
      </c>
      <c r="P18" s="56">
        <v>0.41</v>
      </c>
      <c r="Q18" s="56">
        <v>5.0199999999999996</v>
      </c>
    </row>
    <row r="19" spans="1:17" customFormat="1">
      <c r="A19" s="55">
        <v>45445.458333333336</v>
      </c>
      <c r="B19" s="56">
        <v>7.03</v>
      </c>
      <c r="C19" s="56">
        <v>6.1</v>
      </c>
      <c r="D19" s="56">
        <v>13.83</v>
      </c>
      <c r="E19" s="56">
        <v>12.92</v>
      </c>
      <c r="F19" s="56">
        <v>22.07</v>
      </c>
      <c r="G19" s="56">
        <v>58.35</v>
      </c>
      <c r="H19" s="56">
        <v>22.7</v>
      </c>
      <c r="I19" s="56">
        <v>7.06</v>
      </c>
      <c r="J19" s="56">
        <v>1.68</v>
      </c>
      <c r="K19" s="56">
        <v>297.49</v>
      </c>
      <c r="L19" s="56">
        <v>39.409999999999997</v>
      </c>
      <c r="M19" s="56">
        <v>43.03</v>
      </c>
      <c r="N19" s="56">
        <v>231</v>
      </c>
      <c r="O19" s="56">
        <v>0</v>
      </c>
      <c r="P19" s="56">
        <v>0.45</v>
      </c>
      <c r="Q19" s="56">
        <v>5.01</v>
      </c>
    </row>
    <row r="20" spans="1:17" customFormat="1">
      <c r="A20" s="55">
        <v>45445.5</v>
      </c>
      <c r="B20" s="56">
        <v>6.99</v>
      </c>
      <c r="C20" s="56">
        <v>6.08</v>
      </c>
      <c r="D20" s="56">
        <v>13.78</v>
      </c>
      <c r="E20" s="56">
        <v>17.239999999999998</v>
      </c>
      <c r="F20" s="56">
        <v>52.91</v>
      </c>
      <c r="G20" s="56">
        <v>67.64</v>
      </c>
      <c r="H20" s="56">
        <v>24.2</v>
      </c>
      <c r="I20" s="56">
        <v>6.99</v>
      </c>
      <c r="J20" s="56">
        <v>1.25</v>
      </c>
      <c r="K20" s="56">
        <v>321.49</v>
      </c>
      <c r="L20" s="56">
        <v>41.23</v>
      </c>
      <c r="M20" s="56">
        <v>37.28</v>
      </c>
      <c r="N20" s="56">
        <v>675.9</v>
      </c>
      <c r="O20" s="56">
        <v>0</v>
      </c>
      <c r="P20" s="56">
        <v>0.5</v>
      </c>
      <c r="Q20" s="56">
        <v>5.0199999999999996</v>
      </c>
    </row>
    <row r="21" spans="1:17" customFormat="1">
      <c r="A21" s="55">
        <v>45445.541666666664</v>
      </c>
      <c r="B21" s="56">
        <v>6.98</v>
      </c>
      <c r="C21" s="56">
        <v>6.06</v>
      </c>
      <c r="D21" s="56">
        <v>13.77</v>
      </c>
      <c r="E21" s="56">
        <v>20.65</v>
      </c>
      <c r="F21" s="56">
        <v>62.59</v>
      </c>
      <c r="G21" s="56">
        <v>70.33</v>
      </c>
      <c r="H21" s="56">
        <v>24.22</v>
      </c>
      <c r="I21" s="56">
        <v>6.47</v>
      </c>
      <c r="J21" s="56">
        <v>1.07</v>
      </c>
      <c r="K21" s="56">
        <v>350.42</v>
      </c>
      <c r="L21" s="56">
        <v>42.4</v>
      </c>
      <c r="M21" s="56">
        <v>30.35</v>
      </c>
      <c r="N21" s="56">
        <v>697.8</v>
      </c>
      <c r="O21" s="56">
        <v>0</v>
      </c>
      <c r="P21" s="56">
        <v>0.45</v>
      </c>
      <c r="Q21" s="56">
        <v>5</v>
      </c>
    </row>
    <row r="22" spans="1:17" customFormat="1">
      <c r="A22" s="55">
        <v>45445.583333333336</v>
      </c>
      <c r="B22" s="56">
        <v>7.2</v>
      </c>
      <c r="C22" s="56">
        <v>6.1</v>
      </c>
      <c r="D22" s="56">
        <v>13.93</v>
      </c>
      <c r="E22" s="56">
        <v>21.97</v>
      </c>
      <c r="F22" s="56">
        <v>64.17</v>
      </c>
      <c r="G22" s="56">
        <v>70.33</v>
      </c>
      <c r="H22" s="56">
        <v>24.22</v>
      </c>
      <c r="I22" s="56">
        <v>5.66</v>
      </c>
      <c r="J22" s="56">
        <v>1.29</v>
      </c>
      <c r="K22" s="56">
        <v>312.60000000000002</v>
      </c>
      <c r="L22" s="56">
        <v>43.11</v>
      </c>
      <c r="M22" s="56">
        <v>30.04</v>
      </c>
      <c r="N22" s="56">
        <v>623.6</v>
      </c>
      <c r="O22" s="56">
        <v>0</v>
      </c>
      <c r="P22" s="56">
        <v>0.56999999999999995</v>
      </c>
      <c r="Q22" s="56">
        <v>4.9800000000000004</v>
      </c>
    </row>
    <row r="23" spans="1:17" customFormat="1">
      <c r="A23" s="55">
        <v>45445.625</v>
      </c>
      <c r="B23" s="56">
        <v>7.06</v>
      </c>
      <c r="C23" s="56">
        <v>6.1</v>
      </c>
      <c r="D23" s="56">
        <v>13.86</v>
      </c>
      <c r="E23" s="56">
        <v>14.56</v>
      </c>
      <c r="F23" s="56">
        <v>40.39</v>
      </c>
      <c r="G23" s="56">
        <v>76.27</v>
      </c>
      <c r="H23" s="56">
        <v>28.37</v>
      </c>
      <c r="I23" s="56">
        <v>5.89</v>
      </c>
      <c r="J23" s="56">
        <v>1.33</v>
      </c>
      <c r="K23" s="56">
        <v>257.43</v>
      </c>
      <c r="L23" s="56">
        <v>38.479999999999997</v>
      </c>
      <c r="M23" s="56">
        <v>45.14</v>
      </c>
      <c r="N23" s="56">
        <v>385.3</v>
      </c>
      <c r="O23" s="56">
        <v>0</v>
      </c>
      <c r="P23" s="56">
        <v>0.51</v>
      </c>
      <c r="Q23" s="56">
        <v>4.99</v>
      </c>
    </row>
    <row r="24" spans="1:17" customFormat="1">
      <c r="A24" s="55">
        <v>45445.666666666664</v>
      </c>
      <c r="B24" s="56">
        <v>7.09</v>
      </c>
      <c r="C24" s="56">
        <v>6.09</v>
      </c>
      <c r="D24" s="56">
        <v>13.86</v>
      </c>
      <c r="E24" s="56">
        <v>19.82</v>
      </c>
      <c r="F24" s="56">
        <v>40.5</v>
      </c>
      <c r="G24" s="56">
        <v>184.47</v>
      </c>
      <c r="H24" s="56">
        <v>28.37</v>
      </c>
      <c r="I24" s="56">
        <v>5.28</v>
      </c>
      <c r="J24" s="56">
        <v>1.98</v>
      </c>
      <c r="K24" s="56">
        <v>39.4</v>
      </c>
      <c r="L24" s="56">
        <v>39.450000000000003</v>
      </c>
      <c r="M24" s="56">
        <v>37.04</v>
      </c>
      <c r="N24" s="56">
        <v>350.9</v>
      </c>
      <c r="O24" s="56">
        <v>0</v>
      </c>
      <c r="P24" s="56">
        <v>0.49</v>
      </c>
      <c r="Q24" s="56">
        <v>5.0199999999999996</v>
      </c>
    </row>
    <row r="25" spans="1:17" customFormat="1">
      <c r="A25" s="55">
        <v>45445.708333333336</v>
      </c>
      <c r="B25" s="56">
        <v>7.12</v>
      </c>
      <c r="C25" s="56">
        <v>6.12</v>
      </c>
      <c r="D25" s="56">
        <v>13.92</v>
      </c>
      <c r="E25" s="56">
        <v>13.54</v>
      </c>
      <c r="F25" s="56">
        <v>53.36</v>
      </c>
      <c r="G25" s="56">
        <v>184.47</v>
      </c>
      <c r="H25" s="56">
        <v>25.55</v>
      </c>
      <c r="I25" s="56">
        <v>4.7300000000000004</v>
      </c>
      <c r="J25" s="56">
        <v>1.25</v>
      </c>
      <c r="K25" s="56">
        <v>128.03</v>
      </c>
      <c r="L25" s="56">
        <v>40.770000000000003</v>
      </c>
      <c r="M25" s="56">
        <v>26.03</v>
      </c>
      <c r="N25" s="56">
        <v>243.9</v>
      </c>
      <c r="O25" s="56">
        <v>0</v>
      </c>
      <c r="P25" s="56">
        <v>0.44</v>
      </c>
      <c r="Q25" s="56">
        <v>4.99</v>
      </c>
    </row>
    <row r="26" spans="1:17" customFormat="1">
      <c r="A26" s="55">
        <v>45445.75</v>
      </c>
      <c r="B26" s="56">
        <v>7.21</v>
      </c>
      <c r="C26" s="56">
        <v>6.08</v>
      </c>
      <c r="D26" s="56">
        <v>13.96</v>
      </c>
      <c r="E26" s="56">
        <v>12</v>
      </c>
      <c r="F26" s="56">
        <v>29.94</v>
      </c>
      <c r="G26" s="56">
        <v>100.73</v>
      </c>
      <c r="H26" s="56">
        <v>25.16</v>
      </c>
      <c r="I26" s="56">
        <v>5.04</v>
      </c>
      <c r="J26" s="56">
        <v>2.42</v>
      </c>
      <c r="K26" s="56">
        <v>57.22</v>
      </c>
      <c r="L26" s="56">
        <v>38.770000000000003</v>
      </c>
      <c r="M26" s="56">
        <v>34.049999999999997</v>
      </c>
      <c r="N26" s="56">
        <v>85.7</v>
      </c>
      <c r="O26" s="56">
        <v>0</v>
      </c>
      <c r="P26" s="56">
        <v>0.47</v>
      </c>
      <c r="Q26" s="56">
        <v>5.03</v>
      </c>
    </row>
    <row r="27" spans="1:17" customFormat="1">
      <c r="A27" s="55">
        <v>45445.791666666664</v>
      </c>
      <c r="B27" s="56">
        <v>7.26</v>
      </c>
      <c r="C27" s="56">
        <v>6.11</v>
      </c>
      <c r="D27" s="56">
        <v>14.01</v>
      </c>
      <c r="E27" s="56">
        <v>17.14</v>
      </c>
      <c r="F27" s="56">
        <v>25.73</v>
      </c>
      <c r="G27" s="56">
        <v>64.150000000000006</v>
      </c>
      <c r="H27" s="56">
        <v>25.16</v>
      </c>
      <c r="I27" s="56">
        <v>4.91</v>
      </c>
      <c r="J27" s="56">
        <v>1.21</v>
      </c>
      <c r="K27" s="56">
        <v>123.09</v>
      </c>
      <c r="L27" s="56">
        <v>36.950000000000003</v>
      </c>
      <c r="M27" s="56">
        <v>47.54</v>
      </c>
      <c r="N27" s="56">
        <v>11.4</v>
      </c>
      <c r="O27" s="56">
        <v>0</v>
      </c>
      <c r="P27" s="56">
        <v>0.35</v>
      </c>
      <c r="Q27" s="56">
        <v>5.07</v>
      </c>
    </row>
    <row r="28" spans="1:17" customFormat="1">
      <c r="A28" s="55">
        <v>45445.833333333336</v>
      </c>
      <c r="B28" s="56">
        <v>7.11</v>
      </c>
      <c r="C28" s="56">
        <v>6.1</v>
      </c>
      <c r="D28" s="56">
        <v>13.89</v>
      </c>
      <c r="E28" s="56">
        <v>11.74</v>
      </c>
      <c r="F28" s="56">
        <v>29.35</v>
      </c>
      <c r="G28" s="56">
        <v>72.95</v>
      </c>
      <c r="H28" s="56">
        <v>24.42</v>
      </c>
      <c r="I28" s="56">
        <v>5.03</v>
      </c>
      <c r="J28" s="56">
        <v>0.42</v>
      </c>
      <c r="K28" s="56">
        <v>234.11</v>
      </c>
      <c r="L28" s="56">
        <v>33.78</v>
      </c>
      <c r="M28" s="56">
        <v>50.31</v>
      </c>
      <c r="N28" s="56">
        <v>0</v>
      </c>
      <c r="O28" s="56">
        <v>0</v>
      </c>
      <c r="P28" s="56">
        <v>0.33</v>
      </c>
      <c r="Q28" s="56">
        <v>5.0199999999999996</v>
      </c>
    </row>
    <row r="29" spans="1:17" customFormat="1">
      <c r="A29" s="55">
        <v>45445.875</v>
      </c>
      <c r="B29" s="56">
        <v>7.06</v>
      </c>
      <c r="C29" s="56">
        <v>6.07</v>
      </c>
      <c r="D29" s="56">
        <v>13.84</v>
      </c>
      <c r="E29" s="56">
        <v>11.72</v>
      </c>
      <c r="F29" s="56">
        <v>21.71</v>
      </c>
      <c r="G29" s="56">
        <v>72.95</v>
      </c>
      <c r="H29" s="56">
        <v>24.42</v>
      </c>
      <c r="I29" s="56">
        <v>4.71</v>
      </c>
      <c r="J29" s="56">
        <v>0.33</v>
      </c>
      <c r="K29" s="56">
        <v>174.42</v>
      </c>
      <c r="L29" s="56">
        <v>33.65</v>
      </c>
      <c r="M29" s="56">
        <v>49.29</v>
      </c>
      <c r="N29" s="56">
        <v>0</v>
      </c>
      <c r="O29" s="56">
        <v>0</v>
      </c>
      <c r="P29" s="56">
        <v>0.33</v>
      </c>
      <c r="Q29" s="56">
        <v>5.01</v>
      </c>
    </row>
    <row r="30" spans="1:17" customFormat="1">
      <c r="A30" s="55">
        <v>45445.916666666664</v>
      </c>
      <c r="B30" s="56">
        <v>7.11</v>
      </c>
      <c r="C30" s="56">
        <v>6.07</v>
      </c>
      <c r="D30" s="56">
        <v>13.88</v>
      </c>
      <c r="E30" s="56">
        <v>12.36</v>
      </c>
      <c r="F30" s="56">
        <v>21.53</v>
      </c>
      <c r="G30" s="56">
        <v>38.840000000000003</v>
      </c>
      <c r="H30" s="56">
        <v>20.329999999999998</v>
      </c>
      <c r="I30" s="56">
        <v>4.63</v>
      </c>
      <c r="J30" s="56">
        <v>0.32</v>
      </c>
      <c r="K30" s="56">
        <v>163.72</v>
      </c>
      <c r="L30" s="56">
        <v>33.549999999999997</v>
      </c>
      <c r="M30" s="56">
        <v>50.24</v>
      </c>
      <c r="N30" s="56">
        <v>0</v>
      </c>
      <c r="O30" s="56">
        <v>0</v>
      </c>
      <c r="P30" s="56">
        <v>0.35</v>
      </c>
      <c r="Q30" s="56">
        <v>5.01</v>
      </c>
    </row>
    <row r="31" spans="1:17" customFormat="1">
      <c r="A31" s="55">
        <v>45445.958333333336</v>
      </c>
      <c r="B31" s="56">
        <v>7.1</v>
      </c>
      <c r="C31" s="56">
        <v>6.12</v>
      </c>
      <c r="D31" s="56">
        <v>13.89</v>
      </c>
      <c r="E31" s="56">
        <v>15.06</v>
      </c>
      <c r="F31" s="56">
        <v>11.59</v>
      </c>
      <c r="G31" s="56">
        <v>43.8</v>
      </c>
      <c r="H31" s="56">
        <v>21.43</v>
      </c>
      <c r="I31" s="56">
        <v>4.87</v>
      </c>
      <c r="J31" s="56">
        <v>0.9</v>
      </c>
      <c r="K31" s="56">
        <v>86.77</v>
      </c>
      <c r="L31" s="56">
        <v>32.68</v>
      </c>
      <c r="M31" s="56">
        <v>61.37</v>
      </c>
      <c r="N31" s="56">
        <v>0</v>
      </c>
      <c r="O31" s="56">
        <v>0</v>
      </c>
      <c r="P31" s="56">
        <v>0.44</v>
      </c>
      <c r="Q31" s="56">
        <v>5</v>
      </c>
    </row>
    <row r="32" spans="1:17" customFormat="1">
      <c r="A32" s="55">
        <v>45446</v>
      </c>
      <c r="B32" s="56">
        <v>7.07</v>
      </c>
      <c r="C32" s="56">
        <v>6.08</v>
      </c>
      <c r="D32" s="56">
        <v>13.85</v>
      </c>
      <c r="E32" s="56">
        <v>12.24</v>
      </c>
      <c r="F32" s="56">
        <v>10.050000000000001</v>
      </c>
      <c r="G32" s="56">
        <v>43.8</v>
      </c>
      <c r="H32" s="56">
        <v>21.43</v>
      </c>
      <c r="I32" s="56">
        <v>5.21</v>
      </c>
      <c r="J32" s="56">
        <v>0.82</v>
      </c>
      <c r="K32" s="56">
        <v>117.68</v>
      </c>
      <c r="L32" s="56">
        <v>31.11</v>
      </c>
      <c r="M32" s="56">
        <v>69.319999999999993</v>
      </c>
      <c r="N32" s="56">
        <v>0</v>
      </c>
      <c r="O32" s="56">
        <v>0</v>
      </c>
      <c r="P32" s="56">
        <v>0.44</v>
      </c>
      <c r="Q32" s="56">
        <v>4.99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6.98</v>
      </c>
      <c r="C34" s="41">
        <f t="shared" si="0"/>
        <v>6.04</v>
      </c>
      <c r="D34" s="41">
        <f t="shared" si="0"/>
        <v>13.77</v>
      </c>
      <c r="E34" s="41">
        <f t="shared" si="0"/>
        <v>9.58</v>
      </c>
      <c r="F34" s="41">
        <f t="shared" si="0"/>
        <v>10.050000000000001</v>
      </c>
      <c r="G34" s="41">
        <f t="shared" si="0"/>
        <v>34.369999999999997</v>
      </c>
      <c r="H34" s="41">
        <f t="shared" si="0"/>
        <v>17.91</v>
      </c>
      <c r="I34" s="41">
        <f t="shared" si="0"/>
        <v>3.9</v>
      </c>
      <c r="J34" s="41">
        <f t="shared" si="0"/>
        <v>0.16</v>
      </c>
      <c r="K34" s="41">
        <f t="shared" si="0"/>
        <v>39.4</v>
      </c>
      <c r="L34" s="41">
        <f t="shared" si="0"/>
        <v>31.11</v>
      </c>
      <c r="M34" s="41">
        <f t="shared" si="0"/>
        <v>26.03</v>
      </c>
      <c r="N34" s="41">
        <f t="shared" si="0"/>
        <v>0</v>
      </c>
      <c r="O34" s="41">
        <f t="shared" si="0"/>
        <v>0</v>
      </c>
      <c r="P34" s="41">
        <f t="shared" si="0"/>
        <v>0.33</v>
      </c>
      <c r="Q34" s="41">
        <f t="shared" si="0"/>
        <v>4.9800000000000004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7.26</v>
      </c>
      <c r="C35" s="33">
        <f t="shared" si="1"/>
        <v>6.12</v>
      </c>
      <c r="D35" s="33">
        <f t="shared" si="1"/>
        <v>14.01</v>
      </c>
      <c r="E35" s="33">
        <f t="shared" si="1"/>
        <v>21.97</v>
      </c>
      <c r="F35" s="33">
        <f t="shared" si="1"/>
        <v>64.17</v>
      </c>
      <c r="G35" s="33">
        <f t="shared" si="1"/>
        <v>184.47</v>
      </c>
      <c r="H35" s="33">
        <f t="shared" si="1"/>
        <v>28.37</v>
      </c>
      <c r="I35" s="33">
        <f t="shared" si="1"/>
        <v>7.06</v>
      </c>
      <c r="J35" s="33">
        <f t="shared" si="1"/>
        <v>2.42</v>
      </c>
      <c r="K35" s="33">
        <f t="shared" si="1"/>
        <v>350.42</v>
      </c>
      <c r="L35" s="33">
        <f t="shared" si="1"/>
        <v>43.11</v>
      </c>
      <c r="M35" s="33">
        <f t="shared" si="1"/>
        <v>69.319999999999993</v>
      </c>
      <c r="N35" s="33">
        <f t="shared" si="1"/>
        <v>697.8</v>
      </c>
      <c r="O35" s="33">
        <f t="shared" si="1"/>
        <v>0</v>
      </c>
      <c r="P35" s="33">
        <f t="shared" si="1"/>
        <v>0.56999999999999995</v>
      </c>
      <c r="Q35" s="33">
        <f t="shared" si="1"/>
        <v>5.07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7.1000000000000005</v>
      </c>
      <c r="C36" s="41">
        <f t="shared" si="2"/>
        <v>6.0879166666666658</v>
      </c>
      <c r="D36" s="41">
        <f t="shared" si="2"/>
        <v>13.873750000000001</v>
      </c>
      <c r="E36" s="41">
        <f t="shared" si="2"/>
        <v>13.19791666666667</v>
      </c>
      <c r="F36" s="41">
        <f t="shared" si="2"/>
        <v>28.911250000000006</v>
      </c>
      <c r="G36" s="41">
        <f t="shared" si="2"/>
        <v>66.165416666666673</v>
      </c>
      <c r="H36" s="41">
        <f t="shared" si="2"/>
        <v>22.780416666666667</v>
      </c>
      <c r="I36" s="41">
        <f t="shared" si="2"/>
        <v>5.1837499999999999</v>
      </c>
      <c r="J36" s="41">
        <f t="shared" si="2"/>
        <v>0.89708333333333334</v>
      </c>
      <c r="K36" s="41">
        <f t="shared" si="2"/>
        <v>211.04375000000005</v>
      </c>
      <c r="L36" s="41">
        <f t="shared" si="2"/>
        <v>36.149583333333332</v>
      </c>
      <c r="M36" s="41">
        <f t="shared" si="2"/>
        <v>49.192499999999988</v>
      </c>
      <c r="N36" s="41">
        <f t="shared" si="2"/>
        <v>163.59583333333333</v>
      </c>
      <c r="O36" s="41">
        <f t="shared" si="2"/>
        <v>0</v>
      </c>
      <c r="P36" s="41">
        <f t="shared" si="2"/>
        <v>0.43083333333333335</v>
      </c>
      <c r="Q36" s="41">
        <f t="shared" si="2"/>
        <v>5.0095833333333326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7.3425502026381081E-2</v>
      </c>
      <c r="C37" s="41">
        <f t="shared" ref="C37:Q37" si="3">STDEV(C9:C32)</f>
        <v>1.8876985450811363E-2</v>
      </c>
      <c r="D37" s="41">
        <f t="shared" si="3"/>
        <v>5.7771100041456802E-2</v>
      </c>
      <c r="E37" s="41">
        <f t="shared" si="3"/>
        <v>3.6418759847646855</v>
      </c>
      <c r="F37" s="41">
        <f t="shared" si="3"/>
        <v>15.325130912980798</v>
      </c>
      <c r="G37" s="41">
        <f t="shared" si="3"/>
        <v>39.837711539299143</v>
      </c>
      <c r="H37" s="41">
        <f t="shared" si="3"/>
        <v>2.8069625842314614</v>
      </c>
      <c r="I37" s="41">
        <f t="shared" si="3"/>
        <v>0.89169995197253893</v>
      </c>
      <c r="J37" s="41">
        <f t="shared" si="3"/>
        <v>0.65973301033640575</v>
      </c>
      <c r="K37" s="41">
        <f t="shared" si="3"/>
        <v>84.975789944138853</v>
      </c>
      <c r="L37" s="41">
        <f t="shared" si="3"/>
        <v>3.6066020129355141</v>
      </c>
      <c r="M37" s="41">
        <f t="shared" si="3"/>
        <v>12.176103199728388</v>
      </c>
      <c r="N37" s="41">
        <f t="shared" si="3"/>
        <v>226.5926022031355</v>
      </c>
      <c r="O37" s="41">
        <f t="shared" si="3"/>
        <v>0</v>
      </c>
      <c r="P37" s="41">
        <f t="shared" si="3"/>
        <v>5.6408191408438078E-2</v>
      </c>
      <c r="Q37" s="41">
        <f t="shared" si="3"/>
        <v>1.7564580631305175E-2</v>
      </c>
      <c r="R37" s="41"/>
      <c r="S37" s="41"/>
      <c r="T37" s="41"/>
      <c r="U37" s="41"/>
    </row>
    <row r="38" spans="1:21" s="1" customFormat="1">
      <c r="A38" s="48" t="s">
        <v>52</v>
      </c>
      <c r="B38" s="49">
        <f t="shared" ref="B38:Q38" si="4">COUNT(B9:B32)</f>
        <v>24</v>
      </c>
      <c r="C38" s="49">
        <f t="shared" si="4"/>
        <v>24</v>
      </c>
      <c r="D38" s="49">
        <f t="shared" si="4"/>
        <v>24</v>
      </c>
      <c r="E38" s="49">
        <f t="shared" si="4"/>
        <v>24</v>
      </c>
      <c r="F38" s="49">
        <f t="shared" si="4"/>
        <v>24</v>
      </c>
      <c r="G38" s="49">
        <f t="shared" si="4"/>
        <v>24</v>
      </c>
      <c r="H38" s="49">
        <f t="shared" si="4"/>
        <v>24</v>
      </c>
      <c r="I38" s="49">
        <f t="shared" si="4"/>
        <v>24</v>
      </c>
      <c r="J38" s="49">
        <f t="shared" si="4"/>
        <v>24</v>
      </c>
      <c r="K38" s="49">
        <f t="shared" si="4"/>
        <v>24</v>
      </c>
      <c r="L38" s="49">
        <f t="shared" si="4"/>
        <v>24</v>
      </c>
      <c r="M38" s="49">
        <f t="shared" si="4"/>
        <v>24</v>
      </c>
      <c r="N38" s="49">
        <f t="shared" si="4"/>
        <v>24</v>
      </c>
      <c r="O38" s="49">
        <f t="shared" si="4"/>
        <v>24</v>
      </c>
      <c r="P38" s="49">
        <f t="shared" si="4"/>
        <v>24</v>
      </c>
      <c r="Q38" s="49">
        <f t="shared" si="4"/>
        <v>24</v>
      </c>
      <c r="R38" s="49"/>
      <c r="S38" s="49"/>
      <c r="T38" s="49"/>
      <c r="U38" s="49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52"/>
      <c r="O41" s="52"/>
      <c r="P41" s="52"/>
      <c r="Q41" s="52"/>
      <c r="R41" s="52"/>
      <c r="S41" s="52"/>
      <c r="T41" s="52"/>
      <c r="U41" s="52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50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33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45446.041666666664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5">
        <v>45446.041666666664</v>
      </c>
      <c r="B9" s="56">
        <v>7.23</v>
      </c>
      <c r="C9" s="56">
        <v>6.05</v>
      </c>
      <c r="D9" s="56">
        <v>13.95</v>
      </c>
      <c r="E9" s="56">
        <v>9.6300000000000008</v>
      </c>
      <c r="F9" s="56">
        <v>10.47</v>
      </c>
      <c r="G9" s="56">
        <v>41.55</v>
      </c>
      <c r="H9" s="56">
        <v>20.6</v>
      </c>
      <c r="I9" s="56">
        <v>5.25</v>
      </c>
      <c r="J9" s="56">
        <v>0.41</v>
      </c>
      <c r="K9" s="56">
        <v>105.79</v>
      </c>
      <c r="L9" s="56">
        <v>29.76</v>
      </c>
      <c r="M9" s="56">
        <v>67.52</v>
      </c>
      <c r="N9" s="56">
        <v>0</v>
      </c>
      <c r="O9" s="56">
        <v>0</v>
      </c>
      <c r="P9" s="56">
        <v>0.41</v>
      </c>
      <c r="Q9" s="56">
        <v>4.99</v>
      </c>
    </row>
    <row r="10" spans="1:21" customFormat="1">
      <c r="A10" s="55">
        <v>45446.083333333336</v>
      </c>
      <c r="B10" s="56">
        <v>7.22</v>
      </c>
      <c r="C10" s="56">
        <v>6.09</v>
      </c>
      <c r="D10" s="56">
        <v>13.97</v>
      </c>
      <c r="E10" s="56">
        <v>8.41</v>
      </c>
      <c r="F10" s="56">
        <v>11.05</v>
      </c>
      <c r="G10" s="56">
        <v>34.69</v>
      </c>
      <c r="H10" s="56">
        <v>16.920000000000002</v>
      </c>
      <c r="I10" s="56">
        <v>4.8600000000000003</v>
      </c>
      <c r="J10" s="56">
        <v>0.33</v>
      </c>
      <c r="K10" s="56">
        <v>128.12</v>
      </c>
      <c r="L10" s="56">
        <v>29.17</v>
      </c>
      <c r="M10" s="56">
        <v>73.36</v>
      </c>
      <c r="N10" s="56">
        <v>0</v>
      </c>
      <c r="O10" s="56">
        <v>0</v>
      </c>
      <c r="P10" s="56">
        <v>0.39</v>
      </c>
      <c r="Q10" s="56">
        <v>5.05</v>
      </c>
    </row>
    <row r="11" spans="1:21" customFormat="1">
      <c r="A11" s="55">
        <v>45446.125</v>
      </c>
      <c r="B11" s="56">
        <v>7.2</v>
      </c>
      <c r="C11" s="56">
        <v>6.08</v>
      </c>
      <c r="D11" s="56">
        <v>13.96</v>
      </c>
      <c r="E11" s="56">
        <v>8.86</v>
      </c>
      <c r="F11" s="56">
        <v>20.81</v>
      </c>
      <c r="G11" s="56">
        <v>34.69</v>
      </c>
      <c r="H11" s="56">
        <v>16.87</v>
      </c>
      <c r="I11" s="56">
        <v>4.5599999999999996</v>
      </c>
      <c r="J11" s="56">
        <v>0.28000000000000003</v>
      </c>
      <c r="K11" s="56">
        <v>242.7</v>
      </c>
      <c r="L11" s="56">
        <v>29.28</v>
      </c>
      <c r="M11" s="56">
        <v>71.459999999999994</v>
      </c>
      <c r="N11" s="56">
        <v>0</v>
      </c>
      <c r="O11" s="56">
        <v>0</v>
      </c>
      <c r="P11" s="56">
        <v>0.35</v>
      </c>
      <c r="Q11" s="56">
        <v>5.01</v>
      </c>
    </row>
    <row r="12" spans="1:21" customFormat="1">
      <c r="A12" s="55">
        <v>45446.166666666664</v>
      </c>
      <c r="B12" s="56">
        <v>7.23</v>
      </c>
      <c r="C12" s="56">
        <v>6.08</v>
      </c>
      <c r="D12" s="56">
        <v>13.98</v>
      </c>
      <c r="E12" s="56">
        <v>9.26</v>
      </c>
      <c r="F12" s="56">
        <v>12.52</v>
      </c>
      <c r="G12" s="56">
        <v>27.03</v>
      </c>
      <c r="H12" s="56">
        <v>12.12</v>
      </c>
      <c r="I12" s="56">
        <v>4.45</v>
      </c>
      <c r="J12" s="56">
        <v>0.21</v>
      </c>
      <c r="K12" s="56">
        <v>343.76</v>
      </c>
      <c r="L12" s="56">
        <v>29.83</v>
      </c>
      <c r="M12" s="56">
        <v>64.349999999999994</v>
      </c>
      <c r="N12" s="56">
        <v>0</v>
      </c>
      <c r="O12" s="56">
        <v>0</v>
      </c>
      <c r="P12" s="56">
        <v>0.28000000000000003</v>
      </c>
      <c r="Q12" s="56">
        <v>5.01</v>
      </c>
    </row>
    <row r="13" spans="1:21" customFormat="1">
      <c r="A13" s="55">
        <v>45446.208333333336</v>
      </c>
      <c r="B13" s="56">
        <v>7.24</v>
      </c>
      <c r="C13" s="56">
        <v>6.08</v>
      </c>
      <c r="D13" s="56">
        <v>13.98</v>
      </c>
      <c r="E13" s="56">
        <v>10.039999999999999</v>
      </c>
      <c r="F13" s="56">
        <v>11.25</v>
      </c>
      <c r="G13" s="56">
        <v>23.45</v>
      </c>
      <c r="H13" s="56">
        <v>10.49</v>
      </c>
      <c r="I13" s="56">
        <v>4.24</v>
      </c>
      <c r="J13" s="56">
        <v>0.33</v>
      </c>
      <c r="K13" s="56">
        <v>310.49</v>
      </c>
      <c r="L13" s="56">
        <v>29.75</v>
      </c>
      <c r="M13" s="56">
        <v>61.13</v>
      </c>
      <c r="N13" s="56">
        <v>0</v>
      </c>
      <c r="O13" s="56">
        <v>0</v>
      </c>
      <c r="P13" s="56">
        <v>0.25</v>
      </c>
      <c r="Q13" s="56">
        <v>5.01</v>
      </c>
    </row>
    <row r="14" spans="1:21" customFormat="1">
      <c r="A14" s="55">
        <v>45446.25</v>
      </c>
      <c r="B14" s="56">
        <v>7.26</v>
      </c>
      <c r="C14" s="56">
        <v>6.08</v>
      </c>
      <c r="D14" s="56">
        <v>14</v>
      </c>
      <c r="E14" s="56">
        <v>10.87</v>
      </c>
      <c r="F14" s="56">
        <v>9.3800000000000008</v>
      </c>
      <c r="G14" s="56">
        <v>23.45</v>
      </c>
      <c r="H14" s="56">
        <v>10.130000000000001</v>
      </c>
      <c r="I14" s="56">
        <v>4.01</v>
      </c>
      <c r="J14" s="56">
        <v>0.71</v>
      </c>
      <c r="K14" s="56">
        <v>258.19</v>
      </c>
      <c r="L14" s="56">
        <v>30.14</v>
      </c>
      <c r="M14" s="56">
        <v>59.73</v>
      </c>
      <c r="N14" s="56">
        <v>28.1</v>
      </c>
      <c r="O14" s="56">
        <v>0</v>
      </c>
      <c r="P14" s="56">
        <v>0.25</v>
      </c>
      <c r="Q14" s="56">
        <v>5.01</v>
      </c>
    </row>
    <row r="15" spans="1:21" customFormat="1">
      <c r="A15" s="55">
        <v>45446.291666666664</v>
      </c>
      <c r="B15" s="56">
        <v>7.26</v>
      </c>
      <c r="C15" s="56">
        <v>6.09</v>
      </c>
      <c r="D15" s="56">
        <v>14</v>
      </c>
      <c r="E15" s="56">
        <v>10.57</v>
      </c>
      <c r="F15" s="56">
        <v>8.68</v>
      </c>
      <c r="G15" s="56">
        <v>22.98</v>
      </c>
      <c r="H15" s="56">
        <v>10.220000000000001</v>
      </c>
      <c r="I15" s="56">
        <v>3.89</v>
      </c>
      <c r="J15" s="56">
        <v>0.76</v>
      </c>
      <c r="K15" s="56">
        <v>256.31</v>
      </c>
      <c r="L15" s="56">
        <v>30.72</v>
      </c>
      <c r="M15" s="56">
        <v>59.3</v>
      </c>
      <c r="N15" s="56">
        <v>82.6</v>
      </c>
      <c r="O15" s="56">
        <v>0</v>
      </c>
      <c r="P15" s="56">
        <v>0.24</v>
      </c>
      <c r="Q15" s="56">
        <v>5.01</v>
      </c>
    </row>
    <row r="16" spans="1:21" customFormat="1">
      <c r="A16" s="55">
        <v>45446.333333333336</v>
      </c>
      <c r="B16" s="56">
        <v>7.26</v>
      </c>
      <c r="C16" s="56">
        <v>6.11</v>
      </c>
      <c r="D16" s="56">
        <v>14</v>
      </c>
      <c r="E16" s="56">
        <v>10.9</v>
      </c>
      <c r="F16" s="56">
        <v>8.58</v>
      </c>
      <c r="G16" s="56">
        <v>23.37</v>
      </c>
      <c r="H16" s="56">
        <v>10.220000000000001</v>
      </c>
      <c r="I16" s="56">
        <v>3.77</v>
      </c>
      <c r="J16" s="56">
        <v>1.1399999999999999</v>
      </c>
      <c r="K16" s="56">
        <v>261.83</v>
      </c>
      <c r="L16" s="56">
        <v>31.65</v>
      </c>
      <c r="M16" s="56">
        <v>57.83</v>
      </c>
      <c r="N16" s="56">
        <v>124.7</v>
      </c>
      <c r="O16" s="56">
        <v>0</v>
      </c>
      <c r="P16" s="56">
        <v>0.26</v>
      </c>
      <c r="Q16" s="56">
        <v>5.0199999999999996</v>
      </c>
    </row>
    <row r="17" spans="1:17" customFormat="1">
      <c r="A17" s="55">
        <v>45446.375</v>
      </c>
      <c r="B17" s="56">
        <v>7.25</v>
      </c>
      <c r="C17" s="56">
        <v>6.1</v>
      </c>
      <c r="D17" s="56">
        <v>13.98</v>
      </c>
      <c r="E17" s="56">
        <v>11.12</v>
      </c>
      <c r="F17" s="56">
        <v>8.92</v>
      </c>
      <c r="G17" s="56">
        <v>23.75</v>
      </c>
      <c r="H17" s="56">
        <v>9.93</v>
      </c>
      <c r="I17" s="56">
        <v>3.78</v>
      </c>
      <c r="J17" s="56">
        <v>1.68</v>
      </c>
      <c r="K17" s="56">
        <v>268.45</v>
      </c>
      <c r="L17" s="56">
        <v>32.869999999999997</v>
      </c>
      <c r="M17" s="56">
        <v>54.88</v>
      </c>
      <c r="N17" s="56">
        <v>199.6</v>
      </c>
      <c r="O17" s="56">
        <v>0</v>
      </c>
      <c r="P17" s="56">
        <v>0.31</v>
      </c>
      <c r="Q17" s="56">
        <v>5.01</v>
      </c>
    </row>
    <row r="18" spans="1:17" customFormat="1">
      <c r="A18" s="55">
        <v>45446.416666666664</v>
      </c>
      <c r="B18" s="56">
        <v>7.18</v>
      </c>
      <c r="C18" s="56">
        <v>6.09</v>
      </c>
      <c r="D18" s="56">
        <v>13.95</v>
      </c>
      <c r="E18" s="56">
        <v>9.58</v>
      </c>
      <c r="F18" s="56">
        <v>12.25</v>
      </c>
      <c r="G18" s="56">
        <v>25.54</v>
      </c>
      <c r="H18" s="56">
        <v>9.7200000000000006</v>
      </c>
      <c r="I18" s="56">
        <v>3.78</v>
      </c>
      <c r="J18" s="56">
        <v>1.71</v>
      </c>
      <c r="K18" s="56">
        <v>283.32</v>
      </c>
      <c r="L18" s="56">
        <v>34.58</v>
      </c>
      <c r="M18" s="56">
        <v>50.02</v>
      </c>
      <c r="N18" s="56">
        <v>203.1</v>
      </c>
      <c r="O18" s="56">
        <v>0</v>
      </c>
      <c r="P18" s="56">
        <v>0.3</v>
      </c>
      <c r="Q18" s="56">
        <v>5.01</v>
      </c>
    </row>
    <row r="19" spans="1:17" customFormat="1">
      <c r="A19" s="55">
        <v>45446.458333333336</v>
      </c>
      <c r="B19" s="56">
        <v>7.18</v>
      </c>
      <c r="C19" s="56">
        <v>6.08</v>
      </c>
      <c r="D19" s="56">
        <v>13.94</v>
      </c>
      <c r="E19" s="56">
        <v>9.52</v>
      </c>
      <c r="F19" s="56">
        <v>15.38</v>
      </c>
      <c r="G19" s="56">
        <v>38.28</v>
      </c>
      <c r="H19" s="56">
        <v>11.92</v>
      </c>
      <c r="I19" s="56">
        <v>3.79</v>
      </c>
      <c r="J19" s="56">
        <v>2.2799999999999998</v>
      </c>
      <c r="K19" s="56">
        <v>288.02999999999997</v>
      </c>
      <c r="L19" s="56">
        <v>36.119999999999997</v>
      </c>
      <c r="M19" s="56">
        <v>46.01</v>
      </c>
      <c r="N19" s="56">
        <v>215.8</v>
      </c>
      <c r="O19" s="56">
        <v>0</v>
      </c>
      <c r="P19" s="56">
        <v>0.31</v>
      </c>
      <c r="Q19" s="56">
        <v>5</v>
      </c>
    </row>
    <row r="20" spans="1:17" customFormat="1">
      <c r="A20" s="55">
        <v>45446.5</v>
      </c>
      <c r="B20" s="56">
        <v>7.21</v>
      </c>
      <c r="C20" s="56">
        <v>6.07</v>
      </c>
      <c r="D20" s="56">
        <v>13.96</v>
      </c>
      <c r="E20" s="56">
        <v>9.84</v>
      </c>
      <c r="F20" s="56">
        <v>17.64</v>
      </c>
      <c r="G20" s="56">
        <v>49.49</v>
      </c>
      <c r="H20" s="56">
        <v>14.63</v>
      </c>
      <c r="I20" s="56">
        <v>3.87</v>
      </c>
      <c r="J20" s="56">
        <v>2.0299999999999998</v>
      </c>
      <c r="K20" s="56">
        <v>291.62</v>
      </c>
      <c r="L20" s="56">
        <v>37.19</v>
      </c>
      <c r="M20" s="56">
        <v>41.81</v>
      </c>
      <c r="N20" s="56">
        <v>542.6</v>
      </c>
      <c r="O20" s="56">
        <v>0</v>
      </c>
      <c r="P20" s="56">
        <v>0.35</v>
      </c>
      <c r="Q20" s="56">
        <v>5</v>
      </c>
    </row>
    <row r="21" spans="1:17" customFormat="1">
      <c r="A21" s="55">
        <v>45446.541666666664</v>
      </c>
      <c r="B21" s="56">
        <v>7.32</v>
      </c>
      <c r="C21" s="56">
        <v>6.1</v>
      </c>
      <c r="D21" s="56">
        <v>14.07</v>
      </c>
      <c r="E21" s="56">
        <v>10.77</v>
      </c>
      <c r="F21" s="56">
        <v>13.57</v>
      </c>
      <c r="G21" s="56">
        <v>54.23</v>
      </c>
      <c r="H21" s="56">
        <v>16.940000000000001</v>
      </c>
      <c r="I21" s="56">
        <v>4.49</v>
      </c>
      <c r="J21" s="56">
        <v>2.2200000000000002</v>
      </c>
      <c r="K21" s="56">
        <v>297.69</v>
      </c>
      <c r="L21" s="56">
        <v>37.82</v>
      </c>
      <c r="M21" s="56">
        <v>38.58</v>
      </c>
      <c r="N21" s="56">
        <v>642</v>
      </c>
      <c r="O21" s="56">
        <v>0</v>
      </c>
      <c r="P21" s="56">
        <v>0.37</v>
      </c>
      <c r="Q21" s="56">
        <v>5.01</v>
      </c>
    </row>
    <row r="22" spans="1:17" customFormat="1">
      <c r="A22" s="55">
        <v>45446.583333333336</v>
      </c>
      <c r="B22" s="56">
        <v>7.35</v>
      </c>
      <c r="C22" s="56">
        <v>6.08</v>
      </c>
      <c r="D22" s="56">
        <v>14.08</v>
      </c>
      <c r="E22" s="56">
        <v>13.95</v>
      </c>
      <c r="F22" s="56">
        <v>21.63</v>
      </c>
      <c r="G22" s="56">
        <v>57.58</v>
      </c>
      <c r="H22" s="56">
        <v>16.940000000000001</v>
      </c>
      <c r="I22" s="56">
        <v>5.22</v>
      </c>
      <c r="J22" s="56">
        <v>1.42</v>
      </c>
      <c r="K22" s="56">
        <v>300.22000000000003</v>
      </c>
      <c r="L22" s="56">
        <v>39.83</v>
      </c>
      <c r="M22" s="56">
        <v>36.19</v>
      </c>
      <c r="N22" s="56">
        <v>627.20000000000005</v>
      </c>
      <c r="O22" s="56">
        <v>0</v>
      </c>
      <c r="P22" s="56">
        <v>0.33</v>
      </c>
      <c r="Q22" s="56">
        <v>5.01</v>
      </c>
    </row>
    <row r="23" spans="1:17" customFormat="1">
      <c r="A23" s="55">
        <v>45446.625</v>
      </c>
      <c r="B23" s="56">
        <v>7.16</v>
      </c>
      <c r="C23" s="56">
        <v>6.07</v>
      </c>
      <c r="D23" s="56">
        <v>13.92</v>
      </c>
      <c r="E23" s="56">
        <v>13.55</v>
      </c>
      <c r="F23" s="56">
        <v>21.66</v>
      </c>
      <c r="G23" s="56">
        <v>57.58</v>
      </c>
      <c r="H23" s="56">
        <v>14.78</v>
      </c>
      <c r="I23" s="56">
        <v>6.12</v>
      </c>
      <c r="J23" s="56">
        <v>1.97</v>
      </c>
      <c r="K23" s="56">
        <v>301.75</v>
      </c>
      <c r="L23" s="56">
        <v>39.89</v>
      </c>
      <c r="M23" s="56">
        <v>33.130000000000003</v>
      </c>
      <c r="N23" s="56">
        <v>663.9</v>
      </c>
      <c r="O23" s="56">
        <v>0</v>
      </c>
      <c r="P23" s="56">
        <v>0.56000000000000005</v>
      </c>
      <c r="Q23" s="56">
        <v>4.99</v>
      </c>
    </row>
    <row r="24" spans="1:17" customFormat="1">
      <c r="A24" s="55">
        <v>45446.666666666664</v>
      </c>
      <c r="B24" s="56">
        <v>7.12</v>
      </c>
      <c r="C24" s="56">
        <v>6.1</v>
      </c>
      <c r="D24" s="56">
        <v>13.9</v>
      </c>
      <c r="E24" s="56">
        <v>13.84</v>
      </c>
      <c r="F24" s="56">
        <v>22.34</v>
      </c>
      <c r="G24" s="56">
        <v>52.59</v>
      </c>
      <c r="H24" s="56">
        <v>14.73</v>
      </c>
      <c r="I24" s="56">
        <v>6.16</v>
      </c>
      <c r="J24" s="56">
        <v>1.46</v>
      </c>
      <c r="K24" s="56">
        <v>279.94</v>
      </c>
      <c r="L24" s="56">
        <v>40.159999999999997</v>
      </c>
      <c r="M24" s="56">
        <v>31.84</v>
      </c>
      <c r="N24" s="56">
        <v>514.9</v>
      </c>
      <c r="O24" s="56">
        <v>0</v>
      </c>
      <c r="P24" s="56">
        <v>0.54</v>
      </c>
      <c r="Q24" s="56">
        <v>5.01</v>
      </c>
    </row>
    <row r="25" spans="1:17" customFormat="1">
      <c r="A25" s="55">
        <v>45446.708333333336</v>
      </c>
      <c r="B25" s="56">
        <v>7.15</v>
      </c>
      <c r="C25" s="56">
        <v>6.08</v>
      </c>
      <c r="D25" s="56">
        <v>13.92</v>
      </c>
      <c r="E25" s="56">
        <v>13.67</v>
      </c>
      <c r="F25" s="56">
        <v>26.63</v>
      </c>
      <c r="G25" s="56">
        <v>52.59</v>
      </c>
      <c r="H25" s="56">
        <v>16.100000000000001</v>
      </c>
      <c r="I25" s="56">
        <v>5.64</v>
      </c>
      <c r="J25" s="56">
        <v>1.32</v>
      </c>
      <c r="K25" s="56">
        <v>285.43</v>
      </c>
      <c r="L25" s="56">
        <v>40.21</v>
      </c>
      <c r="M25" s="56">
        <v>30.98</v>
      </c>
      <c r="N25" s="56">
        <v>196.3</v>
      </c>
      <c r="O25" s="56">
        <v>0</v>
      </c>
      <c r="P25" s="56">
        <v>0.52</v>
      </c>
      <c r="Q25" s="56">
        <v>5.0199999999999996</v>
      </c>
    </row>
    <row r="26" spans="1:17" customFormat="1">
      <c r="A26" s="55">
        <v>45446.75</v>
      </c>
      <c r="B26" s="56">
        <v>7.24</v>
      </c>
      <c r="C26" s="56">
        <v>6.09</v>
      </c>
      <c r="D26" s="56">
        <v>14</v>
      </c>
      <c r="E26" s="56">
        <v>18.89</v>
      </c>
      <c r="F26" s="56">
        <v>41.18</v>
      </c>
      <c r="G26" s="56">
        <v>46.32</v>
      </c>
      <c r="H26" s="56">
        <v>16.14</v>
      </c>
      <c r="I26" s="56">
        <v>5.09</v>
      </c>
      <c r="J26" s="56">
        <v>1.24</v>
      </c>
      <c r="K26" s="56">
        <v>289.99</v>
      </c>
      <c r="L26" s="56">
        <v>39.020000000000003</v>
      </c>
      <c r="M26" s="56">
        <v>34.4</v>
      </c>
      <c r="N26" s="56">
        <v>84.1</v>
      </c>
      <c r="O26" s="56">
        <v>0</v>
      </c>
      <c r="P26" s="56">
        <v>0.62</v>
      </c>
      <c r="Q26" s="56">
        <v>5.01</v>
      </c>
    </row>
    <row r="27" spans="1:17" customFormat="1">
      <c r="A27" s="55">
        <v>45446.791666666664</v>
      </c>
      <c r="B27" s="56">
        <v>7.26</v>
      </c>
      <c r="C27" s="56">
        <v>6.11</v>
      </c>
      <c r="D27" s="56">
        <v>14</v>
      </c>
      <c r="E27" s="56">
        <v>22.26</v>
      </c>
      <c r="F27" s="56">
        <v>50.61</v>
      </c>
      <c r="G27" s="56">
        <v>46.32</v>
      </c>
      <c r="H27" s="56">
        <v>16.14</v>
      </c>
      <c r="I27" s="56">
        <v>5.08</v>
      </c>
      <c r="J27" s="56">
        <v>0.85</v>
      </c>
      <c r="K27" s="56">
        <v>270.42</v>
      </c>
      <c r="L27" s="56">
        <v>37.700000000000003</v>
      </c>
      <c r="M27" s="56">
        <v>37.89</v>
      </c>
      <c r="N27" s="56">
        <v>7.9</v>
      </c>
      <c r="O27" s="56">
        <v>0</v>
      </c>
      <c r="P27" s="56">
        <v>0.65</v>
      </c>
      <c r="Q27" s="56">
        <v>5</v>
      </c>
    </row>
    <row r="28" spans="1:17" customFormat="1">
      <c r="A28" s="55">
        <v>45446.833333333336</v>
      </c>
      <c r="B28" s="56">
        <v>7.23</v>
      </c>
      <c r="C28" s="56">
        <v>6.11</v>
      </c>
      <c r="D28" s="56">
        <v>13.99</v>
      </c>
      <c r="E28" s="56">
        <v>30.26</v>
      </c>
      <c r="F28" s="56">
        <v>46.64</v>
      </c>
      <c r="G28" s="56">
        <v>46.98</v>
      </c>
      <c r="H28" s="56">
        <v>15.62</v>
      </c>
      <c r="I28" s="56">
        <v>5.43</v>
      </c>
      <c r="J28" s="56">
        <v>0.75</v>
      </c>
      <c r="K28" s="56">
        <v>308.63</v>
      </c>
      <c r="L28" s="56">
        <v>36.93</v>
      </c>
      <c r="M28" s="56">
        <v>39.01</v>
      </c>
      <c r="N28" s="56">
        <v>0</v>
      </c>
      <c r="O28" s="56">
        <v>0</v>
      </c>
      <c r="P28" s="56">
        <v>0.85</v>
      </c>
      <c r="Q28" s="56">
        <v>5.0199999999999996</v>
      </c>
    </row>
    <row r="29" spans="1:17" customFormat="1">
      <c r="A29" s="55">
        <v>45446.875</v>
      </c>
      <c r="B29" s="56">
        <v>7.19</v>
      </c>
      <c r="C29" s="56">
        <v>6.16</v>
      </c>
      <c r="D29" s="56">
        <v>13.99</v>
      </c>
      <c r="E29" s="56">
        <v>55.59</v>
      </c>
      <c r="F29" s="56">
        <v>48.6</v>
      </c>
      <c r="G29" s="56">
        <v>59.25</v>
      </c>
      <c r="H29" s="56">
        <v>18.29</v>
      </c>
      <c r="I29" s="56">
        <v>5.41</v>
      </c>
      <c r="J29" s="56">
        <v>0.63</v>
      </c>
      <c r="K29" s="56">
        <v>306.38</v>
      </c>
      <c r="L29" s="56">
        <v>35.880000000000003</v>
      </c>
      <c r="M29" s="56">
        <v>43.78</v>
      </c>
      <c r="N29" s="56">
        <v>0</v>
      </c>
      <c r="O29" s="56">
        <v>0</v>
      </c>
      <c r="P29" s="56">
        <v>0.79</v>
      </c>
      <c r="Q29" s="56">
        <v>5.0199999999999996</v>
      </c>
    </row>
    <row r="30" spans="1:17" customFormat="1">
      <c r="A30" s="55">
        <v>45446.916666666664</v>
      </c>
      <c r="B30" s="56">
        <v>7.25</v>
      </c>
      <c r="C30" s="56">
        <v>6.07</v>
      </c>
      <c r="D30" s="56">
        <v>13.98</v>
      </c>
      <c r="E30" s="56">
        <v>24.38</v>
      </c>
      <c r="F30" s="56">
        <v>49.94</v>
      </c>
      <c r="G30" s="56">
        <v>63.91</v>
      </c>
      <c r="H30" s="56">
        <v>18.29</v>
      </c>
      <c r="I30" s="56">
        <v>4.9400000000000004</v>
      </c>
      <c r="J30" s="56">
        <v>0.24</v>
      </c>
      <c r="K30" s="56">
        <v>254.96</v>
      </c>
      <c r="L30" s="56">
        <v>34.18</v>
      </c>
      <c r="M30" s="56">
        <v>48.73</v>
      </c>
      <c r="N30" s="56">
        <v>0</v>
      </c>
      <c r="O30" s="56">
        <v>0</v>
      </c>
      <c r="P30" s="56">
        <v>0.72</v>
      </c>
      <c r="Q30" s="56">
        <v>5</v>
      </c>
    </row>
    <row r="31" spans="1:17" customFormat="1">
      <c r="A31" s="55">
        <v>45446.958333333336</v>
      </c>
      <c r="B31" s="56">
        <v>7.26</v>
      </c>
      <c r="C31" s="56">
        <v>6.07</v>
      </c>
      <c r="D31" s="56">
        <v>14</v>
      </c>
      <c r="E31" s="56">
        <v>11.89</v>
      </c>
      <c r="F31" s="56">
        <v>30.5</v>
      </c>
      <c r="G31" s="56">
        <v>63.91</v>
      </c>
      <c r="H31" s="56">
        <v>18.11</v>
      </c>
      <c r="I31" s="56">
        <v>5.33</v>
      </c>
      <c r="J31" s="56">
        <v>0.7</v>
      </c>
      <c r="K31" s="56">
        <v>247.4</v>
      </c>
      <c r="L31" s="56">
        <v>33.5</v>
      </c>
      <c r="M31" s="56">
        <v>49.48</v>
      </c>
      <c r="N31" s="56">
        <v>0</v>
      </c>
      <c r="O31" s="56">
        <v>0</v>
      </c>
      <c r="P31" s="56">
        <v>0.57999999999999996</v>
      </c>
      <c r="Q31" s="56">
        <v>5.0199999999999996</v>
      </c>
    </row>
    <row r="32" spans="1:17" customFormat="1">
      <c r="A32" s="55">
        <v>45447</v>
      </c>
      <c r="B32" s="56">
        <v>7.23</v>
      </c>
      <c r="C32" s="56">
        <v>6.1</v>
      </c>
      <c r="D32" s="56">
        <v>13.98</v>
      </c>
      <c r="E32" s="56">
        <v>16.22</v>
      </c>
      <c r="F32" s="56">
        <v>30.94</v>
      </c>
      <c r="G32" s="56">
        <v>55.13</v>
      </c>
      <c r="H32" s="56">
        <v>20.440000000000001</v>
      </c>
      <c r="I32" s="56">
        <v>4.8600000000000003</v>
      </c>
      <c r="J32" s="56">
        <v>0.27</v>
      </c>
      <c r="K32" s="56">
        <v>198.31</v>
      </c>
      <c r="L32" s="56">
        <v>33.130000000000003</v>
      </c>
      <c r="M32" s="56">
        <v>50.64</v>
      </c>
      <c r="N32" s="56">
        <v>0</v>
      </c>
      <c r="O32" s="56">
        <v>0</v>
      </c>
      <c r="P32" s="56">
        <v>0.56999999999999995</v>
      </c>
      <c r="Q32" s="56">
        <v>5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7.12</v>
      </c>
      <c r="C34" s="41">
        <f t="shared" si="0"/>
        <v>6.05</v>
      </c>
      <c r="D34" s="41">
        <f t="shared" si="0"/>
        <v>13.9</v>
      </c>
      <c r="E34" s="41">
        <f t="shared" si="0"/>
        <v>8.41</v>
      </c>
      <c r="F34" s="41">
        <f t="shared" si="0"/>
        <v>8.58</v>
      </c>
      <c r="G34" s="41">
        <f t="shared" si="0"/>
        <v>22.98</v>
      </c>
      <c r="H34" s="41">
        <f t="shared" si="0"/>
        <v>9.7200000000000006</v>
      </c>
      <c r="I34" s="41">
        <f t="shared" si="0"/>
        <v>3.77</v>
      </c>
      <c r="J34" s="41">
        <f t="shared" si="0"/>
        <v>0.21</v>
      </c>
      <c r="K34" s="41">
        <f t="shared" si="0"/>
        <v>105.79</v>
      </c>
      <c r="L34" s="41">
        <f t="shared" si="0"/>
        <v>29.17</v>
      </c>
      <c r="M34" s="41">
        <f t="shared" si="0"/>
        <v>30.98</v>
      </c>
      <c r="N34" s="41">
        <f t="shared" si="0"/>
        <v>0</v>
      </c>
      <c r="O34" s="41">
        <f t="shared" si="0"/>
        <v>0</v>
      </c>
      <c r="P34" s="41">
        <f t="shared" si="0"/>
        <v>0.24</v>
      </c>
      <c r="Q34" s="41">
        <f t="shared" si="0"/>
        <v>4.99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7.35</v>
      </c>
      <c r="C35" s="33">
        <f t="shared" si="1"/>
        <v>6.16</v>
      </c>
      <c r="D35" s="33">
        <f t="shared" si="1"/>
        <v>14.08</v>
      </c>
      <c r="E35" s="33">
        <f t="shared" si="1"/>
        <v>55.59</v>
      </c>
      <c r="F35" s="33">
        <f t="shared" si="1"/>
        <v>50.61</v>
      </c>
      <c r="G35" s="33">
        <f t="shared" si="1"/>
        <v>63.91</v>
      </c>
      <c r="H35" s="33">
        <f t="shared" si="1"/>
        <v>20.6</v>
      </c>
      <c r="I35" s="33">
        <f t="shared" si="1"/>
        <v>6.16</v>
      </c>
      <c r="J35" s="33">
        <f t="shared" si="1"/>
        <v>2.2799999999999998</v>
      </c>
      <c r="K35" s="33">
        <f t="shared" si="1"/>
        <v>343.76</v>
      </c>
      <c r="L35" s="33">
        <f t="shared" si="1"/>
        <v>40.21</v>
      </c>
      <c r="M35" s="33">
        <f t="shared" si="1"/>
        <v>73.36</v>
      </c>
      <c r="N35" s="33">
        <f t="shared" si="1"/>
        <v>663.9</v>
      </c>
      <c r="O35" s="33">
        <f t="shared" si="1"/>
        <v>0</v>
      </c>
      <c r="P35" s="33">
        <f t="shared" si="1"/>
        <v>0.85</v>
      </c>
      <c r="Q35" s="33">
        <f t="shared" si="1"/>
        <v>5.05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7.2283333333333317</v>
      </c>
      <c r="C36" s="41">
        <f t="shared" si="2"/>
        <v>6.0891666666666664</v>
      </c>
      <c r="D36" s="41">
        <f t="shared" si="2"/>
        <v>13.97916666666667</v>
      </c>
      <c r="E36" s="41">
        <f t="shared" si="2"/>
        <v>15.161250000000001</v>
      </c>
      <c r="F36" s="41">
        <f t="shared" si="2"/>
        <v>22.96541666666667</v>
      </c>
      <c r="G36" s="41">
        <f t="shared" si="2"/>
        <v>42.694166666666668</v>
      </c>
      <c r="H36" s="41">
        <f t="shared" si="2"/>
        <v>14.845416666666667</v>
      </c>
      <c r="I36" s="41">
        <f t="shared" si="2"/>
        <v>4.7508333333333326</v>
      </c>
      <c r="J36" s="41">
        <f t="shared" si="2"/>
        <v>1.0391666666666666</v>
      </c>
      <c r="K36" s="41">
        <f t="shared" si="2"/>
        <v>265.8220833333333</v>
      </c>
      <c r="L36" s="41">
        <f t="shared" si="2"/>
        <v>34.554583333333333</v>
      </c>
      <c r="M36" s="41">
        <f t="shared" si="2"/>
        <v>49.252083333333331</v>
      </c>
      <c r="N36" s="41">
        <f t="shared" si="2"/>
        <v>172.20000000000002</v>
      </c>
      <c r="O36" s="41">
        <f t="shared" si="2"/>
        <v>0</v>
      </c>
      <c r="P36" s="41">
        <f t="shared" si="2"/>
        <v>0.45</v>
      </c>
      <c r="Q36" s="41">
        <f t="shared" si="2"/>
        <v>5.01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5.0790847058574728E-2</v>
      </c>
      <c r="C37" s="41">
        <f t="shared" ref="C37:Q37" si="3">STDEV(C9:C32)</f>
        <v>2.1247335723857671E-2</v>
      </c>
      <c r="D37" s="41">
        <f t="shared" si="3"/>
        <v>4.0957737143109622E-2</v>
      </c>
      <c r="E37" s="41">
        <f t="shared" si="3"/>
        <v>10.200343264684342</v>
      </c>
      <c r="F37" s="41">
        <f t="shared" si="3"/>
        <v>14.461148844604184</v>
      </c>
      <c r="G37" s="41">
        <f t="shared" si="3"/>
        <v>14.358921455399026</v>
      </c>
      <c r="H37" s="41">
        <f t="shared" si="3"/>
        <v>3.4387851484356191</v>
      </c>
      <c r="I37" s="41">
        <f t="shared" si="3"/>
        <v>0.74967770852991622</v>
      </c>
      <c r="J37" s="41">
        <f t="shared" si="3"/>
        <v>0.67818117796421307</v>
      </c>
      <c r="K37" s="41">
        <f t="shared" si="3"/>
        <v>54.367544984530298</v>
      </c>
      <c r="L37" s="41">
        <f t="shared" si="3"/>
        <v>3.9062446985471571</v>
      </c>
      <c r="M37" s="41">
        <f t="shared" si="3"/>
        <v>12.900754268197083</v>
      </c>
      <c r="N37" s="41">
        <f t="shared" si="3"/>
        <v>236.88801610447297</v>
      </c>
      <c r="O37" s="41">
        <f t="shared" si="3"/>
        <v>0</v>
      </c>
      <c r="P37" s="41">
        <f t="shared" si="3"/>
        <v>0.18304192914763251</v>
      </c>
      <c r="Q37" s="41">
        <f t="shared" si="3"/>
        <v>1.2158375177486448E-2</v>
      </c>
      <c r="R37" s="41"/>
      <c r="S37" s="41"/>
      <c r="T37" s="41"/>
      <c r="U37" s="41"/>
    </row>
    <row r="38" spans="1:21" s="1" customFormat="1">
      <c r="A38" s="48" t="s">
        <v>52</v>
      </c>
      <c r="B38" s="49">
        <f t="shared" ref="B38:Q38" si="4">COUNT(B9:B32)</f>
        <v>24</v>
      </c>
      <c r="C38" s="49">
        <f t="shared" si="4"/>
        <v>24</v>
      </c>
      <c r="D38" s="49">
        <f t="shared" si="4"/>
        <v>24</v>
      </c>
      <c r="E38" s="49">
        <f t="shared" si="4"/>
        <v>24</v>
      </c>
      <c r="F38" s="49">
        <f t="shared" si="4"/>
        <v>24</v>
      </c>
      <c r="G38" s="49">
        <f t="shared" si="4"/>
        <v>24</v>
      </c>
      <c r="H38" s="49">
        <f t="shared" si="4"/>
        <v>24</v>
      </c>
      <c r="I38" s="49">
        <f t="shared" si="4"/>
        <v>24</v>
      </c>
      <c r="J38" s="49">
        <f t="shared" si="4"/>
        <v>24</v>
      </c>
      <c r="K38" s="49">
        <f t="shared" si="4"/>
        <v>24</v>
      </c>
      <c r="L38" s="49">
        <f t="shared" si="4"/>
        <v>24</v>
      </c>
      <c r="M38" s="49">
        <f t="shared" si="4"/>
        <v>24</v>
      </c>
      <c r="N38" s="49">
        <f t="shared" si="4"/>
        <v>24</v>
      </c>
      <c r="O38" s="49">
        <f t="shared" si="4"/>
        <v>24</v>
      </c>
      <c r="P38" s="49">
        <f t="shared" si="4"/>
        <v>24</v>
      </c>
      <c r="Q38" s="49">
        <f t="shared" si="4"/>
        <v>24</v>
      </c>
      <c r="R38" s="49"/>
      <c r="S38" s="49"/>
      <c r="T38" s="49"/>
      <c r="U38" s="49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52"/>
      <c r="O41" s="52"/>
      <c r="P41" s="52"/>
      <c r="Q41" s="52"/>
      <c r="R41" s="52"/>
      <c r="S41" s="52"/>
      <c r="T41" s="52"/>
      <c r="U41" s="52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50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7" activePane="bottomRight" state="frozen"/>
      <selection activeCell="A9" sqref="A9"/>
      <selection pane="topRight" activeCell="A9" sqref="A9"/>
      <selection pane="bottomLeft" activeCell="A9" sqref="A9"/>
      <selection pane="bottomRight" activeCell="Q38" sqref="Q38"/>
    </sheetView>
  </sheetViews>
  <sheetFormatPr defaultColWidth="8.85546875" defaultRowHeight="15"/>
  <cols>
    <col min="1" max="1" width="17.28515625" style="42" customWidth="1"/>
    <col min="2" max="2" width="14.42578125" style="39" customWidth="1"/>
    <col min="3" max="3" width="10.140625" style="39" customWidth="1"/>
    <col min="4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45447.041666666664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5">
        <v>45447.041666666664</v>
      </c>
      <c r="B9" s="56">
        <v>7.27</v>
      </c>
      <c r="C9" s="56">
        <v>6.16</v>
      </c>
      <c r="D9" s="56">
        <v>14.02</v>
      </c>
      <c r="E9" s="56">
        <v>16.670000000000002</v>
      </c>
      <c r="F9" s="56">
        <v>18.93</v>
      </c>
      <c r="G9" s="56">
        <v>47.16</v>
      </c>
      <c r="H9" s="56">
        <v>20.440000000000001</v>
      </c>
      <c r="I9" s="56">
        <v>4.91</v>
      </c>
      <c r="J9" s="56">
        <v>0.25</v>
      </c>
      <c r="K9" s="56">
        <v>219.82</v>
      </c>
      <c r="L9" s="56">
        <v>32.200000000000003</v>
      </c>
      <c r="M9" s="56">
        <v>55.59</v>
      </c>
      <c r="N9" s="56">
        <v>0</v>
      </c>
      <c r="O9" s="56">
        <v>0</v>
      </c>
      <c r="P9" s="56">
        <v>0.56999999999999995</v>
      </c>
      <c r="Q9" s="56">
        <v>5.0199999999999996</v>
      </c>
    </row>
    <row r="10" spans="1:21" customFormat="1">
      <c r="A10" s="55">
        <v>45447.083333333336</v>
      </c>
      <c r="B10" s="56">
        <v>7.29</v>
      </c>
      <c r="C10" s="56">
        <v>6.11</v>
      </c>
      <c r="D10" s="56">
        <v>14.03</v>
      </c>
      <c r="E10" s="56">
        <v>11.59</v>
      </c>
      <c r="F10" s="56">
        <v>18.46</v>
      </c>
      <c r="G10" s="56">
        <v>47.16</v>
      </c>
      <c r="H10" s="56">
        <v>18.72</v>
      </c>
      <c r="I10" s="56">
        <v>4.76</v>
      </c>
      <c r="J10" s="56">
        <v>0.56000000000000005</v>
      </c>
      <c r="K10" s="56">
        <v>261.20999999999998</v>
      </c>
      <c r="L10" s="56">
        <v>31.65</v>
      </c>
      <c r="M10" s="56">
        <v>57.01</v>
      </c>
      <c r="N10" s="56">
        <v>0</v>
      </c>
      <c r="O10" s="56">
        <v>0</v>
      </c>
      <c r="P10" s="56">
        <v>0.56000000000000005</v>
      </c>
      <c r="Q10" s="56">
        <v>5.01</v>
      </c>
    </row>
    <row r="11" spans="1:21" customFormat="1">
      <c r="A11" s="55">
        <v>45447.125</v>
      </c>
      <c r="B11" s="56">
        <v>7.28</v>
      </c>
      <c r="C11" s="56">
        <v>6.09</v>
      </c>
      <c r="D11" s="56">
        <v>14.01</v>
      </c>
      <c r="E11" s="56">
        <v>11.61</v>
      </c>
      <c r="F11" s="56">
        <v>23.21</v>
      </c>
      <c r="G11" s="56">
        <v>45.16</v>
      </c>
      <c r="H11" s="56">
        <v>18.72</v>
      </c>
      <c r="I11" s="56">
        <v>4.6900000000000004</v>
      </c>
      <c r="J11" s="56">
        <v>0.5</v>
      </c>
      <c r="K11" s="56">
        <v>249.87</v>
      </c>
      <c r="L11" s="56">
        <v>31.57</v>
      </c>
      <c r="M11" s="56">
        <v>58.3</v>
      </c>
      <c r="N11" s="56">
        <v>0</v>
      </c>
      <c r="O11" s="56">
        <v>0</v>
      </c>
      <c r="P11" s="56">
        <v>0.56000000000000005</v>
      </c>
      <c r="Q11" s="56">
        <v>5.0199999999999996</v>
      </c>
    </row>
    <row r="12" spans="1:21" customFormat="1">
      <c r="A12" s="55">
        <v>45447.166666666664</v>
      </c>
      <c r="B12" s="56">
        <v>7.3</v>
      </c>
      <c r="C12" s="56">
        <v>6.1</v>
      </c>
      <c r="D12" s="56">
        <v>14.04</v>
      </c>
      <c r="E12" s="56">
        <v>11.84</v>
      </c>
      <c r="F12" s="56">
        <v>23.63</v>
      </c>
      <c r="G12" s="56">
        <v>40.97</v>
      </c>
      <c r="H12" s="56">
        <v>15.96</v>
      </c>
      <c r="I12" s="56">
        <v>4.34</v>
      </c>
      <c r="J12" s="56">
        <v>0.3</v>
      </c>
      <c r="K12" s="56">
        <v>239.85</v>
      </c>
      <c r="L12" s="56">
        <v>30.63</v>
      </c>
      <c r="M12" s="56">
        <v>60.65</v>
      </c>
      <c r="N12" s="56">
        <v>0</v>
      </c>
      <c r="O12" s="56">
        <v>0</v>
      </c>
      <c r="P12" s="56">
        <v>0.57999999999999996</v>
      </c>
      <c r="Q12" s="56">
        <v>5</v>
      </c>
    </row>
    <row r="13" spans="1:21" customFormat="1">
      <c r="A13" s="55">
        <v>45447.208333333336</v>
      </c>
      <c r="B13" s="56">
        <v>7.28</v>
      </c>
      <c r="C13" s="56">
        <v>6.09</v>
      </c>
      <c r="D13" s="56">
        <v>14.02</v>
      </c>
      <c r="E13" s="56">
        <v>10.75</v>
      </c>
      <c r="F13" s="56">
        <v>23.39</v>
      </c>
      <c r="G13" s="56">
        <v>30.94</v>
      </c>
      <c r="H13" s="56">
        <v>14.82</v>
      </c>
      <c r="I13" s="56">
        <v>4.2300000000000004</v>
      </c>
      <c r="J13" s="56">
        <v>0.66</v>
      </c>
      <c r="K13" s="56">
        <v>252.75</v>
      </c>
      <c r="L13" s="56">
        <v>30.41</v>
      </c>
      <c r="M13" s="56">
        <v>62.21</v>
      </c>
      <c r="N13" s="56">
        <v>0</v>
      </c>
      <c r="O13" s="56">
        <v>0</v>
      </c>
      <c r="P13" s="56">
        <v>0.56999999999999995</v>
      </c>
      <c r="Q13" s="56">
        <v>5.01</v>
      </c>
    </row>
    <row r="14" spans="1:21" customFormat="1">
      <c r="A14" s="55">
        <v>45447.25</v>
      </c>
      <c r="B14" s="56">
        <v>7.27</v>
      </c>
      <c r="C14" s="56">
        <v>6.11</v>
      </c>
      <c r="D14" s="56">
        <v>14.01</v>
      </c>
      <c r="E14" s="56">
        <v>11.17</v>
      </c>
      <c r="F14" s="56">
        <v>20.420000000000002</v>
      </c>
      <c r="G14" s="56">
        <v>30.94</v>
      </c>
      <c r="H14" s="56">
        <v>13.29</v>
      </c>
      <c r="I14" s="56">
        <v>4.24</v>
      </c>
      <c r="J14" s="56">
        <v>0.84</v>
      </c>
      <c r="K14" s="56">
        <v>260.57</v>
      </c>
      <c r="L14" s="56">
        <v>30.54</v>
      </c>
      <c r="M14" s="56">
        <v>62.49</v>
      </c>
      <c r="N14" s="56">
        <v>21.7</v>
      </c>
      <c r="O14" s="56">
        <v>0</v>
      </c>
      <c r="P14" s="56">
        <v>0.57999999999999996</v>
      </c>
      <c r="Q14" s="56">
        <v>5.0199999999999996</v>
      </c>
    </row>
    <row r="15" spans="1:21" customFormat="1">
      <c r="A15" s="55">
        <v>45447.291666666664</v>
      </c>
      <c r="B15" s="56">
        <v>7.26</v>
      </c>
      <c r="C15" s="56">
        <v>6.08</v>
      </c>
      <c r="D15" s="56">
        <v>14.01</v>
      </c>
      <c r="E15" s="56">
        <v>12.5</v>
      </c>
      <c r="F15" s="56">
        <v>13.5</v>
      </c>
      <c r="G15" s="56">
        <v>26.36</v>
      </c>
      <c r="H15" s="56">
        <v>14.58</v>
      </c>
      <c r="I15" s="56">
        <v>4.3499999999999996</v>
      </c>
      <c r="J15" s="56">
        <v>1.41</v>
      </c>
      <c r="K15" s="56">
        <v>275.48</v>
      </c>
      <c r="L15" s="56">
        <v>31.32</v>
      </c>
      <c r="M15" s="56">
        <v>63.02</v>
      </c>
      <c r="N15" s="56">
        <v>123.2</v>
      </c>
      <c r="O15" s="56">
        <v>0</v>
      </c>
      <c r="P15" s="56">
        <v>0.57999999999999996</v>
      </c>
      <c r="Q15" s="56">
        <v>5.01</v>
      </c>
    </row>
    <row r="16" spans="1:21" customFormat="1">
      <c r="A16" s="55">
        <v>45447.333333333336</v>
      </c>
      <c r="B16" s="56">
        <v>7.31</v>
      </c>
      <c r="C16" s="56">
        <v>6.1</v>
      </c>
      <c r="D16" s="56">
        <v>14.05</v>
      </c>
      <c r="E16" s="56">
        <v>10.51</v>
      </c>
      <c r="F16" s="56">
        <v>10.07</v>
      </c>
      <c r="G16" s="56">
        <v>27.41</v>
      </c>
      <c r="H16" s="56">
        <v>14.58</v>
      </c>
      <c r="I16" s="56">
        <v>4.5</v>
      </c>
      <c r="J16" s="56">
        <v>1.46</v>
      </c>
      <c r="K16" s="56">
        <v>285.76</v>
      </c>
      <c r="L16" s="56">
        <v>32.380000000000003</v>
      </c>
      <c r="M16" s="56">
        <v>58.38</v>
      </c>
      <c r="N16" s="56">
        <v>159.69999999999999</v>
      </c>
      <c r="O16" s="56">
        <v>0</v>
      </c>
      <c r="P16" s="56">
        <v>0.56000000000000005</v>
      </c>
      <c r="Q16" s="56">
        <v>5.01</v>
      </c>
    </row>
    <row r="17" spans="1:17" customFormat="1">
      <c r="A17" s="55">
        <v>45447.375</v>
      </c>
      <c r="B17" s="56">
        <v>7.31</v>
      </c>
      <c r="C17" s="56">
        <v>6.1</v>
      </c>
      <c r="D17" s="56">
        <v>14.04</v>
      </c>
      <c r="E17" s="56">
        <v>12.44</v>
      </c>
      <c r="F17" s="56">
        <v>11.48</v>
      </c>
      <c r="G17" s="56">
        <v>29.16</v>
      </c>
      <c r="H17" s="56">
        <v>15.57</v>
      </c>
      <c r="I17" s="56">
        <v>5.32</v>
      </c>
      <c r="J17" s="56">
        <v>1.25</v>
      </c>
      <c r="K17" s="56">
        <v>291.01</v>
      </c>
      <c r="L17" s="56">
        <v>34.659999999999997</v>
      </c>
      <c r="M17" s="56">
        <v>57.07</v>
      </c>
      <c r="N17" s="56">
        <v>166</v>
      </c>
      <c r="O17" s="56">
        <v>0</v>
      </c>
      <c r="P17" s="56">
        <v>0.54</v>
      </c>
      <c r="Q17" s="27" t="s">
        <v>14</v>
      </c>
    </row>
    <row r="18" spans="1:17" customFormat="1">
      <c r="A18" s="55">
        <v>45447.416666666664</v>
      </c>
      <c r="B18" s="56">
        <v>7.28</v>
      </c>
      <c r="C18" s="56">
        <v>6.09</v>
      </c>
      <c r="D18" s="56">
        <v>14.03</v>
      </c>
      <c r="E18" s="56">
        <v>13.69</v>
      </c>
      <c r="F18" s="56">
        <v>15.57</v>
      </c>
      <c r="G18" s="56">
        <v>32.4</v>
      </c>
      <c r="H18" s="56">
        <v>15.57</v>
      </c>
      <c r="I18" s="56">
        <v>6.75</v>
      </c>
      <c r="J18" s="56">
        <v>1.44</v>
      </c>
      <c r="K18" s="56">
        <v>305.97000000000003</v>
      </c>
      <c r="L18" s="56">
        <v>36.58</v>
      </c>
      <c r="M18" s="56">
        <v>49.04</v>
      </c>
      <c r="N18" s="56">
        <v>168.1</v>
      </c>
      <c r="O18" s="56">
        <v>0</v>
      </c>
      <c r="P18" s="56">
        <v>0.62</v>
      </c>
      <c r="Q18" s="27" t="s">
        <v>14</v>
      </c>
    </row>
    <row r="19" spans="1:17" customFormat="1">
      <c r="A19" s="55">
        <v>45447.458333333336</v>
      </c>
      <c r="B19" s="56">
        <v>7.23</v>
      </c>
      <c r="C19" s="56">
        <v>6.08</v>
      </c>
      <c r="D19" s="56">
        <v>13.99</v>
      </c>
      <c r="E19" s="56">
        <v>11.77</v>
      </c>
      <c r="F19" s="56">
        <v>25.88</v>
      </c>
      <c r="G19" s="56">
        <v>35.75</v>
      </c>
      <c r="H19" s="56">
        <v>14.79</v>
      </c>
      <c r="I19" s="56">
        <v>6.91</v>
      </c>
      <c r="J19" s="56">
        <v>1.37</v>
      </c>
      <c r="K19" s="56">
        <v>319.81</v>
      </c>
      <c r="L19" s="56">
        <v>38.6</v>
      </c>
      <c r="M19" s="56">
        <v>39.83</v>
      </c>
      <c r="N19" s="56">
        <v>201.4</v>
      </c>
      <c r="O19" s="56">
        <v>0</v>
      </c>
      <c r="P19" s="56">
        <v>0.61</v>
      </c>
      <c r="Q19" s="27" t="s">
        <v>14</v>
      </c>
    </row>
    <row r="20" spans="1:17" customFormat="1">
      <c r="A20" s="55">
        <v>45447.5</v>
      </c>
      <c r="B20" s="56">
        <v>7.19</v>
      </c>
      <c r="C20" s="56">
        <v>6.09</v>
      </c>
      <c r="D20" s="56">
        <v>13.95</v>
      </c>
      <c r="E20" s="56">
        <v>12.58</v>
      </c>
      <c r="F20" s="56">
        <v>30.22</v>
      </c>
      <c r="G20" s="56">
        <v>41.57</v>
      </c>
      <c r="H20" s="56">
        <v>16.66</v>
      </c>
      <c r="I20" s="56">
        <v>6.22</v>
      </c>
      <c r="J20" s="56">
        <v>1.39</v>
      </c>
      <c r="K20" s="56">
        <v>332.95</v>
      </c>
      <c r="L20" s="56">
        <v>39.96</v>
      </c>
      <c r="M20" s="56">
        <v>34.01</v>
      </c>
      <c r="N20" s="56">
        <v>673.2</v>
      </c>
      <c r="O20" s="56">
        <v>0</v>
      </c>
      <c r="P20" s="56">
        <v>0.6</v>
      </c>
      <c r="Q20" s="27" t="s">
        <v>14</v>
      </c>
    </row>
    <row r="21" spans="1:17" customFormat="1">
      <c r="A21" s="55">
        <v>45447.541666666664</v>
      </c>
      <c r="B21" s="56">
        <v>7.3</v>
      </c>
      <c r="C21" s="56">
        <v>6.08</v>
      </c>
      <c r="D21" s="56">
        <v>14.02</v>
      </c>
      <c r="E21" s="56">
        <v>20.32</v>
      </c>
      <c r="F21" s="56">
        <v>67.84</v>
      </c>
      <c r="G21" s="56">
        <v>47.89</v>
      </c>
      <c r="H21" s="56">
        <v>19.16</v>
      </c>
      <c r="I21" s="56">
        <v>5.61</v>
      </c>
      <c r="J21" s="56">
        <v>0.97</v>
      </c>
      <c r="K21" s="56">
        <v>326</v>
      </c>
      <c r="L21" s="56">
        <v>41.14</v>
      </c>
      <c r="M21" s="56">
        <v>30.65</v>
      </c>
      <c r="N21" s="56">
        <v>752.1</v>
      </c>
      <c r="O21" s="56">
        <v>0</v>
      </c>
      <c r="P21" s="56">
        <v>0.6</v>
      </c>
      <c r="Q21" s="27" t="s">
        <v>14</v>
      </c>
    </row>
    <row r="22" spans="1:17" customFormat="1">
      <c r="A22" s="55">
        <v>45447.583333333336</v>
      </c>
      <c r="B22" s="56">
        <v>7.33</v>
      </c>
      <c r="C22" s="56">
        <v>6.09</v>
      </c>
      <c r="D22" s="56">
        <v>14.06</v>
      </c>
      <c r="E22" s="56">
        <v>16.87</v>
      </c>
      <c r="F22" s="56">
        <v>60.07</v>
      </c>
      <c r="G22" s="56">
        <v>49.31</v>
      </c>
      <c r="H22" s="56">
        <v>19.16</v>
      </c>
      <c r="I22" s="56">
        <v>4.09</v>
      </c>
      <c r="J22" s="56">
        <v>1.36</v>
      </c>
      <c r="K22" s="56">
        <v>294.94</v>
      </c>
      <c r="L22" s="56">
        <v>42.26</v>
      </c>
      <c r="M22" s="56">
        <v>27.93</v>
      </c>
      <c r="N22" s="56">
        <v>686.4</v>
      </c>
      <c r="O22" s="56">
        <v>0</v>
      </c>
      <c r="P22" s="56">
        <v>0.59</v>
      </c>
      <c r="Q22" s="56">
        <v>4.96</v>
      </c>
    </row>
    <row r="23" spans="1:17" customFormat="1">
      <c r="A23" s="55">
        <v>45447.625</v>
      </c>
      <c r="B23" s="56">
        <v>7.39</v>
      </c>
      <c r="C23" s="56">
        <v>6.11</v>
      </c>
      <c r="D23" s="56">
        <v>14.12</v>
      </c>
      <c r="E23" s="56">
        <v>17.850000000000001</v>
      </c>
      <c r="F23" s="56">
        <v>59.19</v>
      </c>
      <c r="G23" s="56">
        <v>49.31</v>
      </c>
      <c r="H23" s="56">
        <v>17.760000000000002</v>
      </c>
      <c r="I23" s="56">
        <v>3.68</v>
      </c>
      <c r="J23" s="56">
        <v>1.25</v>
      </c>
      <c r="K23" s="56">
        <v>266.38</v>
      </c>
      <c r="L23" s="56">
        <v>40.770000000000003</v>
      </c>
      <c r="M23" s="56">
        <v>32.33</v>
      </c>
      <c r="N23" s="56">
        <v>278.60000000000002</v>
      </c>
      <c r="O23" s="56">
        <v>0</v>
      </c>
      <c r="P23" s="56">
        <v>0.47</v>
      </c>
      <c r="Q23" s="56">
        <v>4.91</v>
      </c>
    </row>
    <row r="24" spans="1:17" customFormat="1">
      <c r="A24" s="55">
        <v>45447.666666666664</v>
      </c>
      <c r="B24" s="56">
        <v>7.4</v>
      </c>
      <c r="C24" s="56">
        <v>6.1</v>
      </c>
      <c r="D24" s="56">
        <v>14.12</v>
      </c>
      <c r="E24" s="56">
        <v>17.940000000000001</v>
      </c>
      <c r="F24" s="56">
        <v>55.19</v>
      </c>
      <c r="G24" s="56">
        <v>47.87</v>
      </c>
      <c r="H24" s="56">
        <v>17.73</v>
      </c>
      <c r="I24" s="56">
        <v>4.13</v>
      </c>
      <c r="J24" s="56">
        <v>1.21</v>
      </c>
      <c r="K24" s="56">
        <v>266.85000000000002</v>
      </c>
      <c r="L24" s="56">
        <v>39.97</v>
      </c>
      <c r="M24" s="56">
        <v>33.130000000000003</v>
      </c>
      <c r="N24" s="56">
        <v>419.5</v>
      </c>
      <c r="O24" s="56">
        <v>0</v>
      </c>
      <c r="P24" s="56">
        <v>0.48</v>
      </c>
      <c r="Q24" s="56">
        <v>4.91</v>
      </c>
    </row>
    <row r="25" spans="1:17" customFormat="1">
      <c r="A25" s="55">
        <v>45447.708333333336</v>
      </c>
      <c r="B25" s="56">
        <v>7.38</v>
      </c>
      <c r="C25" s="56">
        <v>6.12</v>
      </c>
      <c r="D25" s="56">
        <v>14.11</v>
      </c>
      <c r="E25" s="56">
        <v>10.16</v>
      </c>
      <c r="F25" s="56">
        <v>22.94</v>
      </c>
      <c r="G25" s="56">
        <v>48.04</v>
      </c>
      <c r="H25" s="56">
        <v>19.239999999999998</v>
      </c>
      <c r="I25" s="56">
        <v>4.5999999999999996</v>
      </c>
      <c r="J25" s="56">
        <v>1.97</v>
      </c>
      <c r="K25" s="56">
        <v>310.13</v>
      </c>
      <c r="L25" s="56">
        <v>39.6</v>
      </c>
      <c r="M25" s="56">
        <v>33.6</v>
      </c>
      <c r="N25" s="56">
        <v>249</v>
      </c>
      <c r="O25" s="56">
        <v>0</v>
      </c>
      <c r="P25" s="56">
        <v>0.49</v>
      </c>
      <c r="Q25" s="56">
        <v>4.9000000000000004</v>
      </c>
    </row>
    <row r="26" spans="1:17" customFormat="1">
      <c r="A26" s="55">
        <v>45447.75</v>
      </c>
      <c r="B26" s="56">
        <v>7.41</v>
      </c>
      <c r="C26" s="56">
        <v>6.14</v>
      </c>
      <c r="D26" s="56">
        <v>14.16</v>
      </c>
      <c r="E26" s="56">
        <v>9.93</v>
      </c>
      <c r="F26" s="56">
        <v>47.93</v>
      </c>
      <c r="G26" s="56">
        <v>52.46</v>
      </c>
      <c r="H26" s="56">
        <v>19.239999999999998</v>
      </c>
      <c r="I26" s="56">
        <v>4.72</v>
      </c>
      <c r="J26" s="56">
        <v>1.1299999999999999</v>
      </c>
      <c r="K26" s="56">
        <v>304.17</v>
      </c>
      <c r="L26" s="56">
        <v>37.86</v>
      </c>
      <c r="M26" s="56">
        <v>32.39</v>
      </c>
      <c r="N26" s="56">
        <v>31.5</v>
      </c>
      <c r="O26" s="56">
        <v>0</v>
      </c>
      <c r="P26" s="56">
        <v>0.52</v>
      </c>
      <c r="Q26" s="56">
        <v>4.93</v>
      </c>
    </row>
    <row r="27" spans="1:17" customFormat="1">
      <c r="A27" s="55">
        <v>45447.791666666664</v>
      </c>
      <c r="B27" s="56">
        <v>7.38</v>
      </c>
      <c r="C27" s="56">
        <v>6.11</v>
      </c>
      <c r="D27" s="56">
        <v>14.11</v>
      </c>
      <c r="E27" s="56">
        <v>11.93</v>
      </c>
      <c r="F27" s="56">
        <v>41.55</v>
      </c>
      <c r="G27" s="56">
        <v>52.48</v>
      </c>
      <c r="H27" s="56">
        <v>19.47</v>
      </c>
      <c r="I27" s="56">
        <v>4.4800000000000004</v>
      </c>
      <c r="J27" s="56">
        <v>2.33</v>
      </c>
      <c r="K27" s="56">
        <v>244.89</v>
      </c>
      <c r="L27" s="56">
        <v>37.24</v>
      </c>
      <c r="M27" s="56">
        <v>35.06</v>
      </c>
      <c r="N27" s="56">
        <v>6</v>
      </c>
      <c r="O27" s="56">
        <v>0</v>
      </c>
      <c r="P27" s="56">
        <v>0.48</v>
      </c>
      <c r="Q27" s="56">
        <v>4.9400000000000004</v>
      </c>
    </row>
    <row r="28" spans="1:17" customFormat="1">
      <c r="A28" s="55">
        <v>45447.833333333336</v>
      </c>
      <c r="B28" s="56">
        <v>7.35</v>
      </c>
      <c r="C28" s="56">
        <v>6.08</v>
      </c>
      <c r="D28" s="56">
        <v>14.07</v>
      </c>
      <c r="E28" s="56">
        <v>11.9</v>
      </c>
      <c r="F28" s="56">
        <v>15.9</v>
      </c>
      <c r="G28" s="56">
        <v>66.209999999999994</v>
      </c>
      <c r="H28" s="56">
        <v>19.47</v>
      </c>
      <c r="I28" s="56">
        <v>4.9000000000000004</v>
      </c>
      <c r="J28" s="56">
        <v>2.86</v>
      </c>
      <c r="K28" s="56">
        <v>61.56</v>
      </c>
      <c r="L28" s="56">
        <v>34.65</v>
      </c>
      <c r="M28" s="56">
        <v>43.69</v>
      </c>
      <c r="N28" s="56">
        <v>0</v>
      </c>
      <c r="O28" s="56">
        <v>0</v>
      </c>
      <c r="P28" s="56">
        <v>0.46</v>
      </c>
      <c r="Q28" s="56">
        <v>4.9400000000000004</v>
      </c>
    </row>
    <row r="29" spans="1:17" customFormat="1">
      <c r="A29" s="55">
        <v>45447.875</v>
      </c>
      <c r="B29" s="56">
        <v>7.33</v>
      </c>
      <c r="C29" s="56">
        <v>6.13</v>
      </c>
      <c r="D29" s="56">
        <v>14.07</v>
      </c>
      <c r="E29" s="56">
        <v>10.79</v>
      </c>
      <c r="F29" s="56">
        <v>14.75</v>
      </c>
      <c r="G29" s="56">
        <v>66.209999999999994</v>
      </c>
      <c r="H29" s="56">
        <v>16.559999999999999</v>
      </c>
      <c r="I29" s="56">
        <v>4.87</v>
      </c>
      <c r="J29" s="56">
        <v>1.56</v>
      </c>
      <c r="K29" s="56">
        <v>114.58</v>
      </c>
      <c r="L29" s="56">
        <v>33.590000000000003</v>
      </c>
      <c r="M29" s="56">
        <v>54.17</v>
      </c>
      <c r="N29" s="56">
        <v>0</v>
      </c>
      <c r="O29" s="56">
        <v>0</v>
      </c>
      <c r="P29" s="56">
        <v>0.46</v>
      </c>
      <c r="Q29" s="56">
        <v>4.9400000000000004</v>
      </c>
    </row>
    <row r="30" spans="1:17" customFormat="1">
      <c r="A30" s="55">
        <v>45447.916666666664</v>
      </c>
      <c r="B30" s="56">
        <v>7.32</v>
      </c>
      <c r="C30" s="56">
        <v>6.1</v>
      </c>
      <c r="D30" s="56">
        <v>14.06</v>
      </c>
      <c r="E30" s="56">
        <v>9.99</v>
      </c>
      <c r="F30" s="56">
        <v>17.97</v>
      </c>
      <c r="G30" s="56">
        <v>59.14</v>
      </c>
      <c r="H30" s="56">
        <v>15.47</v>
      </c>
      <c r="I30" s="56">
        <v>4.8499999999999996</v>
      </c>
      <c r="J30" s="56">
        <v>0.49</v>
      </c>
      <c r="K30" s="56">
        <v>124.84</v>
      </c>
      <c r="L30" s="56">
        <v>32.1</v>
      </c>
      <c r="M30" s="56">
        <v>52.71</v>
      </c>
      <c r="N30" s="56">
        <v>0</v>
      </c>
      <c r="O30" s="56">
        <v>0</v>
      </c>
      <c r="P30" s="56">
        <v>0.42</v>
      </c>
      <c r="Q30" s="56">
        <v>4.92</v>
      </c>
    </row>
    <row r="31" spans="1:17" customFormat="1">
      <c r="A31" s="55">
        <v>45447.958333333336</v>
      </c>
      <c r="B31" s="56">
        <v>7.32</v>
      </c>
      <c r="C31" s="56">
        <v>6.12</v>
      </c>
      <c r="D31" s="56">
        <v>14.07</v>
      </c>
      <c r="E31" s="56">
        <v>9.6199999999999992</v>
      </c>
      <c r="F31" s="56">
        <v>22.71</v>
      </c>
      <c r="G31" s="56">
        <v>52.43</v>
      </c>
      <c r="H31" s="56">
        <v>15.47</v>
      </c>
      <c r="I31" s="56">
        <v>4.37</v>
      </c>
      <c r="J31" s="56">
        <v>0.47</v>
      </c>
      <c r="K31" s="56">
        <v>274.49</v>
      </c>
      <c r="L31" s="56">
        <v>31.51</v>
      </c>
      <c r="M31" s="56">
        <v>66.709999999999994</v>
      </c>
      <c r="N31" s="56">
        <v>0</v>
      </c>
      <c r="O31" s="56">
        <v>0</v>
      </c>
      <c r="P31" s="56">
        <v>0.37</v>
      </c>
      <c r="Q31" s="56">
        <v>4.9400000000000004</v>
      </c>
    </row>
    <row r="32" spans="1:17" customFormat="1">
      <c r="A32" s="55">
        <v>45448</v>
      </c>
      <c r="B32" s="56">
        <v>7.32</v>
      </c>
      <c r="C32" s="56">
        <v>6.09</v>
      </c>
      <c r="D32" s="56">
        <v>14.04</v>
      </c>
      <c r="E32" s="56">
        <v>9.6300000000000008</v>
      </c>
      <c r="F32" s="56">
        <v>29.12</v>
      </c>
      <c r="G32" s="56">
        <v>44.11</v>
      </c>
      <c r="H32" s="56">
        <v>13.75</v>
      </c>
      <c r="I32" s="56">
        <v>4.17</v>
      </c>
      <c r="J32" s="56">
        <v>0.6</v>
      </c>
      <c r="K32" s="56">
        <v>267.48</v>
      </c>
      <c r="L32" s="56">
        <v>30.29</v>
      </c>
      <c r="M32" s="56">
        <v>64.03</v>
      </c>
      <c r="N32" s="56">
        <v>0</v>
      </c>
      <c r="O32" s="56">
        <v>0</v>
      </c>
      <c r="P32" s="56">
        <v>0.34</v>
      </c>
      <c r="Q32" s="56">
        <v>4.92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7.19</v>
      </c>
      <c r="C34" s="41">
        <f t="shared" si="0"/>
        <v>6.08</v>
      </c>
      <c r="D34" s="41">
        <f t="shared" si="0"/>
        <v>13.95</v>
      </c>
      <c r="E34" s="41">
        <f t="shared" si="0"/>
        <v>9.6199999999999992</v>
      </c>
      <c r="F34" s="41">
        <f t="shared" si="0"/>
        <v>10.07</v>
      </c>
      <c r="G34" s="41">
        <f t="shared" si="0"/>
        <v>26.36</v>
      </c>
      <c r="H34" s="41">
        <f t="shared" si="0"/>
        <v>13.29</v>
      </c>
      <c r="I34" s="41">
        <f t="shared" si="0"/>
        <v>3.68</v>
      </c>
      <c r="J34" s="41">
        <f t="shared" si="0"/>
        <v>0.25</v>
      </c>
      <c r="K34" s="41">
        <f t="shared" si="0"/>
        <v>61.56</v>
      </c>
      <c r="L34" s="41">
        <f t="shared" si="0"/>
        <v>30.29</v>
      </c>
      <c r="M34" s="41">
        <f t="shared" si="0"/>
        <v>27.93</v>
      </c>
      <c r="N34" s="41">
        <f t="shared" si="0"/>
        <v>0</v>
      </c>
      <c r="O34" s="41">
        <f t="shared" si="0"/>
        <v>0</v>
      </c>
      <c r="P34" s="41">
        <f t="shared" si="0"/>
        <v>0.34</v>
      </c>
      <c r="Q34" s="41">
        <f t="shared" si="0"/>
        <v>4.9000000000000004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7.41</v>
      </c>
      <c r="C35" s="33">
        <f t="shared" si="1"/>
        <v>6.16</v>
      </c>
      <c r="D35" s="33">
        <f t="shared" si="1"/>
        <v>14.16</v>
      </c>
      <c r="E35" s="33">
        <f t="shared" si="1"/>
        <v>20.32</v>
      </c>
      <c r="F35" s="33">
        <f t="shared" si="1"/>
        <v>67.84</v>
      </c>
      <c r="G35" s="33">
        <f t="shared" si="1"/>
        <v>66.209999999999994</v>
      </c>
      <c r="H35" s="33">
        <f t="shared" si="1"/>
        <v>20.440000000000001</v>
      </c>
      <c r="I35" s="33">
        <f t="shared" si="1"/>
        <v>6.91</v>
      </c>
      <c r="J35" s="33">
        <f t="shared" si="1"/>
        <v>2.86</v>
      </c>
      <c r="K35" s="33">
        <f t="shared" si="1"/>
        <v>332.95</v>
      </c>
      <c r="L35" s="33">
        <f t="shared" si="1"/>
        <v>42.26</v>
      </c>
      <c r="M35" s="33">
        <f t="shared" si="1"/>
        <v>66.709999999999994</v>
      </c>
      <c r="N35" s="33">
        <f t="shared" si="1"/>
        <v>752.1</v>
      </c>
      <c r="O35" s="33">
        <f t="shared" si="1"/>
        <v>0</v>
      </c>
      <c r="P35" s="33">
        <f t="shared" si="1"/>
        <v>0.62</v>
      </c>
      <c r="Q35" s="33">
        <f t="shared" si="1"/>
        <v>5.0199999999999996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7.3124999999999991</v>
      </c>
      <c r="C36" s="41">
        <f t="shared" si="2"/>
        <v>6.1029166666666663</v>
      </c>
      <c r="D36" s="41">
        <f t="shared" si="2"/>
        <v>14.050416666666665</v>
      </c>
      <c r="E36" s="41">
        <f t="shared" si="2"/>
        <v>12.668750000000003</v>
      </c>
      <c r="F36" s="41">
        <f t="shared" si="2"/>
        <v>28.746666666666666</v>
      </c>
      <c r="G36" s="41">
        <f t="shared" si="2"/>
        <v>44.601666666666667</v>
      </c>
      <c r="H36" s="41">
        <f t="shared" si="2"/>
        <v>16.924166666666668</v>
      </c>
      <c r="I36" s="41">
        <f t="shared" si="2"/>
        <v>4.8204166666666675</v>
      </c>
      <c r="J36" s="41">
        <f t="shared" si="2"/>
        <v>1.1512499999999999</v>
      </c>
      <c r="K36" s="41">
        <f t="shared" si="2"/>
        <v>256.30666666666667</v>
      </c>
      <c r="L36" s="41">
        <f t="shared" si="2"/>
        <v>35.061666666666667</v>
      </c>
      <c r="M36" s="41">
        <f t="shared" si="2"/>
        <v>48.5</v>
      </c>
      <c r="N36" s="41">
        <f t="shared" si="2"/>
        <v>164.01666666666668</v>
      </c>
      <c r="O36" s="41">
        <f t="shared" si="2"/>
        <v>0</v>
      </c>
      <c r="P36" s="41">
        <f t="shared" si="2"/>
        <v>0.52541666666666675</v>
      </c>
      <c r="Q36" s="41">
        <f t="shared" si="2"/>
        <v>4.9636842105263153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5.3831460011377341E-2</v>
      </c>
      <c r="C37" s="41">
        <f t="shared" ref="C37:Q37" si="3">STDEV(C9:C32)</f>
        <v>2.0103896803024737E-2</v>
      </c>
      <c r="D37" s="41">
        <f t="shared" si="3"/>
        <v>4.7865678605925992E-2</v>
      </c>
      <c r="E37" s="41">
        <f t="shared" si="3"/>
        <v>2.9963605641569098</v>
      </c>
      <c r="F37" s="41">
        <f t="shared" si="3"/>
        <v>16.984986123726699</v>
      </c>
      <c r="G37" s="41">
        <f t="shared" si="3"/>
        <v>11.250617631999081</v>
      </c>
      <c r="H37" s="41">
        <f t="shared" si="3"/>
        <v>2.1480970682193803</v>
      </c>
      <c r="I37" s="41">
        <f t="shared" si="3"/>
        <v>0.81590962397360522</v>
      </c>
      <c r="J37" s="41">
        <f t="shared" si="3"/>
        <v>0.64102711398938927</v>
      </c>
      <c r="K37" s="41">
        <f t="shared" si="3"/>
        <v>67.29020483448285</v>
      </c>
      <c r="L37" s="41">
        <f t="shared" si="3"/>
        <v>4.059428816821498</v>
      </c>
      <c r="M37" s="41">
        <f t="shared" si="3"/>
        <v>13.1294031123641</v>
      </c>
      <c r="N37" s="41">
        <f t="shared" si="3"/>
        <v>237.60751830197458</v>
      </c>
      <c r="O37" s="41">
        <f t="shared" si="3"/>
        <v>0</v>
      </c>
      <c r="P37" s="41">
        <f t="shared" si="3"/>
        <v>7.6555133112006221E-2</v>
      </c>
      <c r="Q37" s="41">
        <f t="shared" si="3"/>
        <v>4.4995126441746483E-2</v>
      </c>
      <c r="R37" s="41"/>
      <c r="S37" s="41"/>
      <c r="T37" s="41"/>
      <c r="U37" s="41"/>
    </row>
    <row r="38" spans="1:21" s="1" customFormat="1">
      <c r="A38" s="48" t="s">
        <v>52</v>
      </c>
      <c r="B38" s="49">
        <f t="shared" ref="B38:Q38" si="4">COUNT(B9:B32)</f>
        <v>24</v>
      </c>
      <c r="C38" s="49">
        <f t="shared" si="4"/>
        <v>24</v>
      </c>
      <c r="D38" s="49">
        <f t="shared" si="4"/>
        <v>24</v>
      </c>
      <c r="E38" s="49">
        <f t="shared" si="4"/>
        <v>24</v>
      </c>
      <c r="F38" s="49">
        <f t="shared" si="4"/>
        <v>24</v>
      </c>
      <c r="G38" s="49">
        <f t="shared" si="4"/>
        <v>24</v>
      </c>
      <c r="H38" s="49">
        <f t="shared" si="4"/>
        <v>24</v>
      </c>
      <c r="I38" s="49">
        <f t="shared" si="4"/>
        <v>24</v>
      </c>
      <c r="J38" s="49">
        <f t="shared" si="4"/>
        <v>24</v>
      </c>
      <c r="K38" s="49">
        <f t="shared" si="4"/>
        <v>24</v>
      </c>
      <c r="L38" s="49">
        <f t="shared" si="4"/>
        <v>24</v>
      </c>
      <c r="M38" s="49">
        <f t="shared" si="4"/>
        <v>24</v>
      </c>
      <c r="N38" s="49">
        <f t="shared" si="4"/>
        <v>24</v>
      </c>
      <c r="O38" s="49">
        <f t="shared" si="4"/>
        <v>24</v>
      </c>
      <c r="P38" s="49">
        <f t="shared" si="4"/>
        <v>24</v>
      </c>
      <c r="Q38" s="49">
        <v>24</v>
      </c>
      <c r="R38" s="49"/>
      <c r="S38" s="49"/>
      <c r="T38" s="49"/>
      <c r="U38" s="49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52"/>
      <c r="O41" s="52"/>
      <c r="P41" s="52"/>
      <c r="Q41" s="52"/>
      <c r="R41" s="52"/>
      <c r="S41" s="52"/>
      <c r="T41" s="52"/>
      <c r="U41" s="52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50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1" activePane="bottomRight" state="frozen"/>
      <selection activeCell="A9" sqref="A9"/>
      <selection pane="topRight" activeCell="A9" sqref="A9"/>
      <selection pane="bottomLeft" activeCell="A9" sqref="A9"/>
      <selection pane="bottomRight" activeCell="B38" sqref="B38:Q38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45448.041666666664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5">
        <v>45448.041666666664</v>
      </c>
      <c r="B9" s="56">
        <v>7.28</v>
      </c>
      <c r="C9" s="56">
        <v>6.09</v>
      </c>
      <c r="D9" s="56">
        <v>14.01</v>
      </c>
      <c r="E9" s="56">
        <v>22.88</v>
      </c>
      <c r="F9" s="56">
        <v>30.49</v>
      </c>
      <c r="G9" s="56">
        <v>36.799999999999997</v>
      </c>
      <c r="H9" s="56">
        <v>13.75</v>
      </c>
      <c r="I9" s="56">
        <v>3.95</v>
      </c>
      <c r="J9" s="56">
        <v>2.64</v>
      </c>
      <c r="K9" s="56">
        <v>347.72</v>
      </c>
      <c r="L9" s="56">
        <v>30.76</v>
      </c>
      <c r="M9" s="56">
        <v>59.59</v>
      </c>
      <c r="N9" s="56">
        <v>0</v>
      </c>
      <c r="O9" s="56">
        <v>0</v>
      </c>
      <c r="P9" s="56">
        <v>0.36</v>
      </c>
      <c r="Q9" s="56">
        <v>4.91</v>
      </c>
    </row>
    <row r="10" spans="1:21" customFormat="1">
      <c r="A10" s="55">
        <v>45448.083333333336</v>
      </c>
      <c r="B10" s="56">
        <v>7.27</v>
      </c>
      <c r="C10" s="56">
        <v>6.07</v>
      </c>
      <c r="D10" s="56">
        <v>14</v>
      </c>
      <c r="E10" s="56">
        <v>25.21</v>
      </c>
      <c r="F10" s="56">
        <v>22.77</v>
      </c>
      <c r="G10" s="56">
        <v>47.97</v>
      </c>
      <c r="H10" s="56">
        <v>14.73</v>
      </c>
      <c r="I10" s="56">
        <v>4.2300000000000004</v>
      </c>
      <c r="J10" s="56">
        <v>1.95</v>
      </c>
      <c r="K10" s="56">
        <v>116.76</v>
      </c>
      <c r="L10" s="56">
        <v>29.3</v>
      </c>
      <c r="M10" s="56">
        <v>84.77</v>
      </c>
      <c r="N10" s="56">
        <v>0</v>
      </c>
      <c r="O10" s="56">
        <v>0.2</v>
      </c>
      <c r="P10" s="56">
        <v>0.34</v>
      </c>
      <c r="Q10" s="56">
        <v>4.93</v>
      </c>
    </row>
    <row r="11" spans="1:21" customFormat="1">
      <c r="A11" s="55">
        <v>45448.125</v>
      </c>
      <c r="B11" s="56">
        <v>7.22</v>
      </c>
      <c r="C11" s="56">
        <v>6.11</v>
      </c>
      <c r="D11" s="56">
        <v>13.99</v>
      </c>
      <c r="E11" s="56">
        <v>7.39</v>
      </c>
      <c r="F11" s="56">
        <v>6.28</v>
      </c>
      <c r="G11" s="56">
        <v>47.97</v>
      </c>
      <c r="H11" s="56">
        <v>14.73</v>
      </c>
      <c r="I11" s="56">
        <v>4.0199999999999996</v>
      </c>
      <c r="J11" s="56">
        <v>0.22</v>
      </c>
      <c r="K11" s="56">
        <v>-0.27</v>
      </c>
      <c r="L11" s="56">
        <v>26.22</v>
      </c>
      <c r="M11" s="56">
        <v>83.47</v>
      </c>
      <c r="N11" s="56">
        <v>0</v>
      </c>
      <c r="O11" s="56">
        <v>0</v>
      </c>
      <c r="P11" s="56">
        <v>0.33</v>
      </c>
      <c r="Q11" s="56">
        <v>4.92</v>
      </c>
    </row>
    <row r="12" spans="1:21" customFormat="1">
      <c r="A12" s="55">
        <v>45448.166666666664</v>
      </c>
      <c r="B12" s="9" t="s">
        <v>4</v>
      </c>
      <c r="C12" s="9" t="s">
        <v>4</v>
      </c>
      <c r="D12" s="9" t="s">
        <v>4</v>
      </c>
      <c r="E12" s="9" t="s">
        <v>4</v>
      </c>
      <c r="F12" s="9" t="s">
        <v>4</v>
      </c>
      <c r="G12" s="9" t="s">
        <v>4</v>
      </c>
      <c r="H12" s="9" t="s">
        <v>4</v>
      </c>
      <c r="I12" s="9" t="s">
        <v>4</v>
      </c>
      <c r="J12" s="9" t="s">
        <v>4</v>
      </c>
      <c r="K12" s="9" t="s">
        <v>4</v>
      </c>
      <c r="L12" s="9" t="s">
        <v>4</v>
      </c>
      <c r="M12" s="9" t="s">
        <v>4</v>
      </c>
      <c r="N12" s="9" t="s">
        <v>4</v>
      </c>
      <c r="O12" s="9" t="s">
        <v>4</v>
      </c>
      <c r="P12" s="9" t="s">
        <v>4</v>
      </c>
      <c r="Q12" s="9" t="s">
        <v>4</v>
      </c>
    </row>
    <row r="13" spans="1:21" customFormat="1">
      <c r="A13" s="55">
        <v>45448.208333333336</v>
      </c>
      <c r="B13" s="9" t="s">
        <v>4</v>
      </c>
      <c r="C13" s="9" t="s">
        <v>4</v>
      </c>
      <c r="D13" s="9" t="s">
        <v>4</v>
      </c>
      <c r="E13" s="9" t="s">
        <v>4</v>
      </c>
      <c r="F13" s="9" t="s">
        <v>4</v>
      </c>
      <c r="G13" s="9" t="s">
        <v>4</v>
      </c>
      <c r="H13" s="9" t="s">
        <v>4</v>
      </c>
      <c r="I13" s="9" t="s">
        <v>4</v>
      </c>
      <c r="J13" s="9" t="s">
        <v>4</v>
      </c>
      <c r="K13" s="9" t="s">
        <v>4</v>
      </c>
      <c r="L13" s="9" t="s">
        <v>4</v>
      </c>
      <c r="M13" s="9" t="s">
        <v>4</v>
      </c>
      <c r="N13" s="9" t="s">
        <v>4</v>
      </c>
      <c r="O13" s="9" t="s">
        <v>4</v>
      </c>
      <c r="P13" s="9" t="s">
        <v>4</v>
      </c>
      <c r="Q13" s="9" t="s">
        <v>4</v>
      </c>
    </row>
    <row r="14" spans="1:21" customFormat="1">
      <c r="A14" s="55">
        <v>45448.25</v>
      </c>
      <c r="B14" s="9" t="s">
        <v>4</v>
      </c>
      <c r="C14" s="9" t="s">
        <v>4</v>
      </c>
      <c r="D14" s="9" t="s">
        <v>4</v>
      </c>
      <c r="E14" s="9" t="s">
        <v>4</v>
      </c>
      <c r="F14" s="9" t="s">
        <v>4</v>
      </c>
      <c r="G14" s="9" t="s">
        <v>4</v>
      </c>
      <c r="H14" s="9" t="s">
        <v>4</v>
      </c>
      <c r="I14" s="9" t="s">
        <v>4</v>
      </c>
      <c r="J14" s="9" t="s">
        <v>4</v>
      </c>
      <c r="K14" s="9" t="s">
        <v>4</v>
      </c>
      <c r="L14" s="9" t="s">
        <v>4</v>
      </c>
      <c r="M14" s="9" t="s">
        <v>4</v>
      </c>
      <c r="N14" s="9" t="s">
        <v>4</v>
      </c>
      <c r="O14" s="9" t="s">
        <v>4</v>
      </c>
      <c r="P14" s="9" t="s">
        <v>4</v>
      </c>
      <c r="Q14" s="9" t="s">
        <v>4</v>
      </c>
    </row>
    <row r="15" spans="1:21" customFormat="1">
      <c r="A15" s="55">
        <v>45448.291666666664</v>
      </c>
      <c r="B15" s="9" t="s">
        <v>4</v>
      </c>
      <c r="C15" s="9" t="s">
        <v>4</v>
      </c>
      <c r="D15" s="9" t="s">
        <v>4</v>
      </c>
      <c r="E15" s="9" t="s">
        <v>4</v>
      </c>
      <c r="F15" s="9" t="s">
        <v>4</v>
      </c>
      <c r="G15" s="9" t="s">
        <v>4</v>
      </c>
      <c r="H15" s="9" t="s">
        <v>4</v>
      </c>
      <c r="I15" s="9" t="s">
        <v>4</v>
      </c>
      <c r="J15" s="9" t="s">
        <v>4</v>
      </c>
      <c r="K15" s="9" t="s">
        <v>4</v>
      </c>
      <c r="L15" s="9" t="s">
        <v>4</v>
      </c>
      <c r="M15" s="9" t="s">
        <v>4</v>
      </c>
      <c r="N15" s="9" t="s">
        <v>4</v>
      </c>
      <c r="O15" s="9" t="s">
        <v>4</v>
      </c>
      <c r="P15" s="9" t="s">
        <v>4</v>
      </c>
      <c r="Q15" s="9" t="s">
        <v>4</v>
      </c>
    </row>
    <row r="16" spans="1:21" customFormat="1">
      <c r="A16" s="55">
        <v>45448.333333333336</v>
      </c>
      <c r="B16" s="9" t="s">
        <v>4</v>
      </c>
      <c r="C16" s="9" t="s">
        <v>4</v>
      </c>
      <c r="D16" s="9" t="s">
        <v>4</v>
      </c>
      <c r="E16" s="9" t="s">
        <v>4</v>
      </c>
      <c r="F16" s="9" t="s">
        <v>4</v>
      </c>
      <c r="G16" s="9" t="s">
        <v>4</v>
      </c>
      <c r="H16" s="9" t="s">
        <v>4</v>
      </c>
      <c r="I16" s="9" t="s">
        <v>4</v>
      </c>
      <c r="J16" s="9" t="s">
        <v>4</v>
      </c>
      <c r="K16" s="9" t="s">
        <v>4</v>
      </c>
      <c r="L16" s="9" t="s">
        <v>4</v>
      </c>
      <c r="M16" s="9" t="s">
        <v>4</v>
      </c>
      <c r="N16" s="9" t="s">
        <v>4</v>
      </c>
      <c r="O16" s="9" t="s">
        <v>4</v>
      </c>
      <c r="P16" s="9" t="s">
        <v>4</v>
      </c>
      <c r="Q16" s="9" t="s">
        <v>4</v>
      </c>
    </row>
    <row r="17" spans="1:17" customFormat="1">
      <c r="A17" s="55">
        <v>45448.375</v>
      </c>
      <c r="B17" s="9" t="s">
        <v>4</v>
      </c>
      <c r="C17" s="9" t="s">
        <v>4</v>
      </c>
      <c r="D17" s="9" t="s">
        <v>4</v>
      </c>
      <c r="E17" s="9" t="s">
        <v>4</v>
      </c>
      <c r="F17" s="9" t="s">
        <v>4</v>
      </c>
      <c r="G17" s="9" t="s">
        <v>4</v>
      </c>
      <c r="H17" s="9" t="s">
        <v>4</v>
      </c>
      <c r="I17" s="9" t="s">
        <v>4</v>
      </c>
      <c r="J17" s="9" t="s">
        <v>4</v>
      </c>
      <c r="K17" s="9" t="s">
        <v>4</v>
      </c>
      <c r="L17" s="9" t="s">
        <v>4</v>
      </c>
      <c r="M17" s="9" t="s">
        <v>4</v>
      </c>
      <c r="N17" s="9" t="s">
        <v>4</v>
      </c>
      <c r="O17" s="9" t="s">
        <v>4</v>
      </c>
      <c r="P17" s="9" t="s">
        <v>4</v>
      </c>
      <c r="Q17" s="9" t="s">
        <v>4</v>
      </c>
    </row>
    <row r="18" spans="1:17" customFormat="1">
      <c r="A18" s="55">
        <v>45448.416666666664</v>
      </c>
      <c r="B18" s="9" t="s">
        <v>4</v>
      </c>
      <c r="C18" s="9" t="s">
        <v>4</v>
      </c>
      <c r="D18" s="9" t="s">
        <v>4</v>
      </c>
      <c r="E18" s="9" t="s">
        <v>4</v>
      </c>
      <c r="F18" s="9" t="s">
        <v>4</v>
      </c>
      <c r="G18" s="9" t="s">
        <v>4</v>
      </c>
      <c r="H18" s="9" t="s">
        <v>4</v>
      </c>
      <c r="I18" s="9" t="s">
        <v>4</v>
      </c>
      <c r="J18" s="9" t="s">
        <v>4</v>
      </c>
      <c r="K18" s="9" t="s">
        <v>4</v>
      </c>
      <c r="L18" s="9" t="s">
        <v>4</v>
      </c>
      <c r="M18" s="9" t="s">
        <v>4</v>
      </c>
      <c r="N18" s="9" t="s">
        <v>4</v>
      </c>
      <c r="O18" s="9" t="s">
        <v>4</v>
      </c>
      <c r="P18" s="9" t="s">
        <v>4</v>
      </c>
      <c r="Q18" s="9" t="s">
        <v>4</v>
      </c>
    </row>
    <row r="19" spans="1:17" customFormat="1">
      <c r="A19" s="55">
        <v>45448.458333333336</v>
      </c>
      <c r="B19" s="9" t="s">
        <v>4</v>
      </c>
      <c r="C19" s="9" t="s">
        <v>4</v>
      </c>
      <c r="D19" s="9" t="s">
        <v>4</v>
      </c>
      <c r="E19" s="9" t="s">
        <v>4</v>
      </c>
      <c r="F19" s="9" t="s">
        <v>4</v>
      </c>
      <c r="G19" s="9" t="s">
        <v>4</v>
      </c>
      <c r="H19" s="9" t="s">
        <v>4</v>
      </c>
      <c r="I19" s="9" t="s">
        <v>4</v>
      </c>
      <c r="J19" s="9" t="s">
        <v>4</v>
      </c>
      <c r="K19" s="9" t="s">
        <v>4</v>
      </c>
      <c r="L19" s="9" t="s">
        <v>4</v>
      </c>
      <c r="M19" s="9" t="s">
        <v>4</v>
      </c>
      <c r="N19" s="9" t="s">
        <v>4</v>
      </c>
      <c r="O19" s="9" t="s">
        <v>4</v>
      </c>
      <c r="P19" s="9" t="s">
        <v>4</v>
      </c>
      <c r="Q19" s="9" t="s">
        <v>4</v>
      </c>
    </row>
    <row r="20" spans="1:17" customFormat="1">
      <c r="A20" s="55">
        <v>45448.5</v>
      </c>
      <c r="B20" s="9" t="s">
        <v>4</v>
      </c>
      <c r="C20" s="9" t="s">
        <v>4</v>
      </c>
      <c r="D20" s="9" t="s">
        <v>4</v>
      </c>
      <c r="E20" s="9" t="s">
        <v>4</v>
      </c>
      <c r="F20" s="9" t="s">
        <v>4</v>
      </c>
      <c r="G20" s="9" t="s">
        <v>4</v>
      </c>
      <c r="H20" s="9" t="s">
        <v>4</v>
      </c>
      <c r="I20" s="9" t="s">
        <v>4</v>
      </c>
      <c r="J20" s="9" t="s">
        <v>4</v>
      </c>
      <c r="K20" s="9" t="s">
        <v>4</v>
      </c>
      <c r="L20" s="9" t="s">
        <v>4</v>
      </c>
      <c r="M20" s="9" t="s">
        <v>4</v>
      </c>
      <c r="N20" s="9" t="s">
        <v>4</v>
      </c>
      <c r="O20" s="9" t="s">
        <v>4</v>
      </c>
      <c r="P20" s="9" t="s">
        <v>4</v>
      </c>
      <c r="Q20" s="9" t="s">
        <v>4</v>
      </c>
    </row>
    <row r="21" spans="1:17" customFormat="1">
      <c r="A21" s="55">
        <v>45448.541666666664</v>
      </c>
      <c r="B21" s="9" t="s">
        <v>4</v>
      </c>
      <c r="C21" s="9" t="s">
        <v>4</v>
      </c>
      <c r="D21" s="9" t="s">
        <v>4</v>
      </c>
      <c r="E21" s="9" t="s">
        <v>4</v>
      </c>
      <c r="F21" s="9" t="s">
        <v>4</v>
      </c>
      <c r="G21" s="9" t="s">
        <v>4</v>
      </c>
      <c r="H21" s="9" t="s">
        <v>4</v>
      </c>
      <c r="I21" s="9" t="s">
        <v>4</v>
      </c>
      <c r="J21" s="9" t="s">
        <v>4</v>
      </c>
      <c r="K21" s="9" t="s">
        <v>4</v>
      </c>
      <c r="L21" s="9" t="s">
        <v>4</v>
      </c>
      <c r="M21" s="9" t="s">
        <v>4</v>
      </c>
      <c r="N21" s="9" t="s">
        <v>4</v>
      </c>
      <c r="O21" s="9" t="s">
        <v>4</v>
      </c>
      <c r="P21" s="9" t="s">
        <v>4</v>
      </c>
      <c r="Q21" s="9" t="s">
        <v>4</v>
      </c>
    </row>
    <row r="22" spans="1:17" customFormat="1">
      <c r="A22" s="55">
        <v>45448.583333333336</v>
      </c>
      <c r="B22" s="9" t="s">
        <v>4</v>
      </c>
      <c r="C22" s="9" t="s">
        <v>4</v>
      </c>
      <c r="D22" s="9" t="s">
        <v>4</v>
      </c>
      <c r="E22" s="9" t="s">
        <v>4</v>
      </c>
      <c r="F22" s="9" t="s">
        <v>4</v>
      </c>
      <c r="G22" s="9" t="s">
        <v>4</v>
      </c>
      <c r="H22" s="9" t="s">
        <v>4</v>
      </c>
      <c r="I22" s="9" t="s">
        <v>4</v>
      </c>
      <c r="J22" s="9" t="s">
        <v>4</v>
      </c>
      <c r="K22" s="9" t="s">
        <v>4</v>
      </c>
      <c r="L22" s="9" t="s">
        <v>4</v>
      </c>
      <c r="M22" s="9" t="s">
        <v>4</v>
      </c>
      <c r="N22" s="9" t="s">
        <v>4</v>
      </c>
      <c r="O22" s="9" t="s">
        <v>4</v>
      </c>
      <c r="P22" s="9" t="s">
        <v>4</v>
      </c>
      <c r="Q22" s="9" t="s">
        <v>4</v>
      </c>
    </row>
    <row r="23" spans="1:17" customFormat="1">
      <c r="A23" s="55">
        <v>45448.625</v>
      </c>
      <c r="B23" s="56">
        <v>6.26</v>
      </c>
      <c r="C23" s="56">
        <v>6.03</v>
      </c>
      <c r="D23" s="56">
        <v>13.18</v>
      </c>
      <c r="E23" s="56">
        <v>34.5</v>
      </c>
      <c r="F23" s="56">
        <v>64</v>
      </c>
      <c r="G23" s="56">
        <v>37.549999999999997</v>
      </c>
      <c r="H23" s="29" t="s">
        <v>21</v>
      </c>
      <c r="I23" s="56">
        <v>5.0999999999999996</v>
      </c>
      <c r="J23" s="56">
        <v>0.72</v>
      </c>
      <c r="K23" s="56">
        <v>1.1100000000000001</v>
      </c>
      <c r="L23" s="56">
        <v>40.46</v>
      </c>
      <c r="M23" s="56">
        <v>22.22</v>
      </c>
      <c r="N23" s="56">
        <v>601.6</v>
      </c>
      <c r="O23" s="56">
        <v>0</v>
      </c>
      <c r="P23" s="56">
        <v>0.43</v>
      </c>
      <c r="Q23" s="29" t="s">
        <v>21</v>
      </c>
    </row>
    <row r="24" spans="1:17" customFormat="1">
      <c r="A24" s="55">
        <v>45448.666666666664</v>
      </c>
      <c r="B24" s="56">
        <v>6.33</v>
      </c>
      <c r="C24" s="56">
        <v>6.08</v>
      </c>
      <c r="D24" s="56">
        <v>13.26</v>
      </c>
      <c r="E24" s="56">
        <v>56.46</v>
      </c>
      <c r="F24" s="56">
        <v>71.95</v>
      </c>
      <c r="G24" s="56">
        <v>37.549999999999997</v>
      </c>
      <c r="H24" s="56">
        <v>16.12</v>
      </c>
      <c r="I24" s="56">
        <v>4.6900000000000004</v>
      </c>
      <c r="J24" s="56">
        <v>1.81</v>
      </c>
      <c r="K24" s="56">
        <v>42.49</v>
      </c>
      <c r="L24" s="56">
        <v>40.32</v>
      </c>
      <c r="M24" s="56">
        <v>26.68</v>
      </c>
      <c r="N24" s="56">
        <v>544.79999999999995</v>
      </c>
      <c r="O24" s="56">
        <v>0</v>
      </c>
      <c r="P24" s="56">
        <v>0.45</v>
      </c>
      <c r="Q24" s="56">
        <v>27.49</v>
      </c>
    </row>
    <row r="25" spans="1:17" customFormat="1">
      <c r="A25" s="55">
        <v>45448.708333333336</v>
      </c>
      <c r="B25" s="56">
        <v>6.42</v>
      </c>
      <c r="C25" s="56">
        <v>6.03</v>
      </c>
      <c r="D25" s="56">
        <v>13.3</v>
      </c>
      <c r="E25" s="56">
        <v>41.7</v>
      </c>
      <c r="F25" s="56">
        <v>55.13</v>
      </c>
      <c r="G25" s="56">
        <v>10.73</v>
      </c>
      <c r="H25" s="56">
        <v>2.16</v>
      </c>
      <c r="I25" s="56">
        <v>3.87</v>
      </c>
      <c r="J25" s="56">
        <v>1.48</v>
      </c>
      <c r="K25" s="56">
        <v>32.6</v>
      </c>
      <c r="L25" s="56">
        <v>39.6</v>
      </c>
      <c r="M25" s="56">
        <v>30.35</v>
      </c>
      <c r="N25" s="56">
        <v>239.7</v>
      </c>
      <c r="O25" s="56">
        <v>0</v>
      </c>
      <c r="P25" s="56">
        <v>0.43</v>
      </c>
      <c r="Q25" s="56">
        <v>4.92</v>
      </c>
    </row>
    <row r="26" spans="1:17" customFormat="1">
      <c r="A26" s="55">
        <v>45448.75</v>
      </c>
      <c r="B26" s="56">
        <v>6.43</v>
      </c>
      <c r="C26" s="56">
        <v>6.08</v>
      </c>
      <c r="D26" s="56">
        <v>13.34</v>
      </c>
      <c r="E26" s="56">
        <v>36.21</v>
      </c>
      <c r="F26" s="56">
        <v>39.619999999999997</v>
      </c>
      <c r="G26" s="56">
        <v>41.99</v>
      </c>
      <c r="H26" s="56">
        <v>8.93</v>
      </c>
      <c r="I26" s="56">
        <v>4.1500000000000004</v>
      </c>
      <c r="J26" s="56">
        <v>0.89</v>
      </c>
      <c r="K26" s="56">
        <v>52.84</v>
      </c>
      <c r="L26" s="56">
        <v>38.9</v>
      </c>
      <c r="M26" s="56">
        <v>29.58</v>
      </c>
      <c r="N26" s="56">
        <v>97.1</v>
      </c>
      <c r="O26" s="56">
        <v>0</v>
      </c>
      <c r="P26" s="56">
        <v>0.6</v>
      </c>
      <c r="Q26" s="56">
        <v>6.26</v>
      </c>
    </row>
    <row r="27" spans="1:17" customFormat="1">
      <c r="A27" s="55">
        <v>45448.791666666664</v>
      </c>
      <c r="B27" s="56">
        <v>6.48</v>
      </c>
      <c r="C27" s="56">
        <v>6.05</v>
      </c>
      <c r="D27" s="56">
        <v>13.37</v>
      </c>
      <c r="E27" s="56">
        <v>38.270000000000003</v>
      </c>
      <c r="F27" s="56">
        <v>26.18</v>
      </c>
      <c r="G27" s="56">
        <v>53.69</v>
      </c>
      <c r="H27" s="56">
        <v>14.99</v>
      </c>
      <c r="I27" s="56">
        <v>5.34</v>
      </c>
      <c r="J27" s="56">
        <v>0.76</v>
      </c>
      <c r="K27" s="56">
        <v>212</v>
      </c>
      <c r="L27" s="56">
        <v>37.64</v>
      </c>
      <c r="M27" s="56">
        <v>37.19</v>
      </c>
      <c r="N27" s="56">
        <v>9</v>
      </c>
      <c r="O27" s="56">
        <v>0</v>
      </c>
      <c r="P27" s="56">
        <v>0.69</v>
      </c>
      <c r="Q27" s="56">
        <v>4.8099999999999996</v>
      </c>
    </row>
    <row r="28" spans="1:17" customFormat="1">
      <c r="A28" s="55">
        <v>45448.833333333336</v>
      </c>
      <c r="B28" s="56">
        <v>6.41</v>
      </c>
      <c r="C28" s="56">
        <v>6.06</v>
      </c>
      <c r="D28" s="56">
        <v>13.31</v>
      </c>
      <c r="E28" s="56">
        <v>22.81</v>
      </c>
      <c r="F28" s="56">
        <v>19.54</v>
      </c>
      <c r="G28" s="56">
        <v>61.31</v>
      </c>
      <c r="H28" s="56">
        <v>17.29</v>
      </c>
      <c r="I28" s="56">
        <v>5.31</v>
      </c>
      <c r="J28" s="56">
        <v>0.99</v>
      </c>
      <c r="K28" s="56">
        <v>264.04000000000002</v>
      </c>
      <c r="L28" s="56">
        <v>35.01</v>
      </c>
      <c r="M28" s="56">
        <v>41.37</v>
      </c>
      <c r="N28" s="56">
        <v>0</v>
      </c>
      <c r="O28" s="56">
        <v>0</v>
      </c>
      <c r="P28" s="56">
        <v>0.56999999999999995</v>
      </c>
      <c r="Q28" s="56">
        <v>8.83</v>
      </c>
    </row>
    <row r="29" spans="1:17" customFormat="1">
      <c r="A29" s="55">
        <v>45448.875</v>
      </c>
      <c r="B29" s="56">
        <v>6.4</v>
      </c>
      <c r="C29" s="56">
        <v>6.03</v>
      </c>
      <c r="D29" s="56">
        <v>13.29</v>
      </c>
      <c r="E29" s="56">
        <v>10.86</v>
      </c>
      <c r="F29" s="56">
        <v>32.49</v>
      </c>
      <c r="G29" s="56">
        <v>58.07</v>
      </c>
      <c r="H29" s="56">
        <v>18.239999999999998</v>
      </c>
      <c r="I29" s="56">
        <v>4.8899999999999997</v>
      </c>
      <c r="J29" s="56">
        <v>0.39</v>
      </c>
      <c r="K29" s="56">
        <v>246.87</v>
      </c>
      <c r="L29" s="56">
        <v>33.65</v>
      </c>
      <c r="M29" s="56">
        <v>43.25</v>
      </c>
      <c r="N29" s="56">
        <v>0</v>
      </c>
      <c r="O29" s="56">
        <v>0</v>
      </c>
      <c r="P29" s="56">
        <v>0.52</v>
      </c>
      <c r="Q29" s="56">
        <v>4.79</v>
      </c>
    </row>
    <row r="30" spans="1:17" customFormat="1">
      <c r="A30" s="55">
        <v>45448.916666666664</v>
      </c>
      <c r="B30" s="56">
        <v>6.35</v>
      </c>
      <c r="C30" s="56">
        <v>6.04</v>
      </c>
      <c r="D30" s="56">
        <v>13.26</v>
      </c>
      <c r="E30" s="56">
        <v>9.61</v>
      </c>
      <c r="F30" s="56">
        <v>29.93</v>
      </c>
      <c r="G30" s="56">
        <v>52.68</v>
      </c>
      <c r="H30" s="56">
        <v>17.850000000000001</v>
      </c>
      <c r="I30" s="56">
        <v>4.5599999999999996</v>
      </c>
      <c r="J30" s="56">
        <v>0.3</v>
      </c>
      <c r="K30" s="56">
        <v>239.8</v>
      </c>
      <c r="L30" s="56">
        <v>32.43</v>
      </c>
      <c r="M30" s="56">
        <v>45.77</v>
      </c>
      <c r="N30" s="56">
        <v>0</v>
      </c>
      <c r="O30" s="56">
        <v>0</v>
      </c>
      <c r="P30" s="56">
        <v>0.48</v>
      </c>
      <c r="Q30" s="56">
        <v>4.82</v>
      </c>
    </row>
    <row r="31" spans="1:17" customFormat="1">
      <c r="A31" s="55">
        <v>45448.958333333336</v>
      </c>
      <c r="B31" s="56">
        <v>6.36</v>
      </c>
      <c r="C31" s="56">
        <v>6.04</v>
      </c>
      <c r="D31" s="56">
        <v>13.27</v>
      </c>
      <c r="E31" s="56">
        <v>8.0399999999999991</v>
      </c>
      <c r="F31" s="56">
        <v>28.02</v>
      </c>
      <c r="G31" s="56">
        <v>47.88</v>
      </c>
      <c r="H31" s="56">
        <v>18.34</v>
      </c>
      <c r="I31" s="56">
        <v>4.5599999999999996</v>
      </c>
      <c r="J31" s="56">
        <v>0.21</v>
      </c>
      <c r="K31" s="56">
        <v>255.97</v>
      </c>
      <c r="L31" s="56">
        <v>31.55</v>
      </c>
      <c r="M31" s="56">
        <v>48.52</v>
      </c>
      <c r="N31" s="56">
        <v>0</v>
      </c>
      <c r="O31" s="56">
        <v>0</v>
      </c>
      <c r="P31" s="56">
        <v>0.47</v>
      </c>
      <c r="Q31" s="56">
        <v>4.8099999999999996</v>
      </c>
    </row>
    <row r="32" spans="1:17" customFormat="1">
      <c r="A32" s="55">
        <v>45449</v>
      </c>
      <c r="B32" s="56">
        <v>6.38</v>
      </c>
      <c r="C32" s="56">
        <v>6.04</v>
      </c>
      <c r="D32" s="56">
        <v>13.27</v>
      </c>
      <c r="E32" s="56">
        <v>8.31</v>
      </c>
      <c r="F32" s="56">
        <v>28.28</v>
      </c>
      <c r="G32" s="56">
        <v>41.99</v>
      </c>
      <c r="H32" s="56">
        <v>16.75</v>
      </c>
      <c r="I32" s="56">
        <v>4.25</v>
      </c>
      <c r="J32" s="56">
        <v>0.18</v>
      </c>
      <c r="K32" s="56">
        <v>249.25</v>
      </c>
      <c r="L32" s="56">
        <v>31.18</v>
      </c>
      <c r="M32" s="56">
        <v>53.4</v>
      </c>
      <c r="N32" s="56">
        <v>0</v>
      </c>
      <c r="O32" s="56">
        <v>0</v>
      </c>
      <c r="P32" s="56">
        <v>0.45</v>
      </c>
      <c r="Q32" s="56">
        <v>4.8099999999999996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6.26</v>
      </c>
      <c r="C34" s="41">
        <f t="shared" si="0"/>
        <v>6.03</v>
      </c>
      <c r="D34" s="41">
        <f t="shared" si="0"/>
        <v>13.18</v>
      </c>
      <c r="E34" s="41">
        <f t="shared" si="0"/>
        <v>7.39</v>
      </c>
      <c r="F34" s="41">
        <f t="shared" si="0"/>
        <v>6.28</v>
      </c>
      <c r="G34" s="41">
        <f t="shared" si="0"/>
        <v>10.73</v>
      </c>
      <c r="H34" s="41">
        <f t="shared" si="0"/>
        <v>2.16</v>
      </c>
      <c r="I34" s="41">
        <f t="shared" si="0"/>
        <v>3.87</v>
      </c>
      <c r="J34" s="41">
        <f t="shared" si="0"/>
        <v>0.18</v>
      </c>
      <c r="K34" s="41">
        <f t="shared" si="0"/>
        <v>-0.27</v>
      </c>
      <c r="L34" s="41">
        <f t="shared" si="0"/>
        <v>26.22</v>
      </c>
      <c r="M34" s="41">
        <f t="shared" si="0"/>
        <v>22.22</v>
      </c>
      <c r="N34" s="41">
        <f t="shared" si="0"/>
        <v>0</v>
      </c>
      <c r="O34" s="41">
        <f t="shared" si="0"/>
        <v>0</v>
      </c>
      <c r="P34" s="41">
        <f t="shared" si="0"/>
        <v>0.33</v>
      </c>
      <c r="Q34" s="41">
        <f t="shared" si="0"/>
        <v>4.79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7.28</v>
      </c>
      <c r="C35" s="33">
        <f t="shared" si="1"/>
        <v>6.11</v>
      </c>
      <c r="D35" s="33">
        <f t="shared" si="1"/>
        <v>14.01</v>
      </c>
      <c r="E35" s="33">
        <f t="shared" si="1"/>
        <v>56.46</v>
      </c>
      <c r="F35" s="33">
        <f t="shared" si="1"/>
        <v>71.95</v>
      </c>
      <c r="G35" s="33">
        <f t="shared" si="1"/>
        <v>61.31</v>
      </c>
      <c r="H35" s="33">
        <f t="shared" si="1"/>
        <v>18.34</v>
      </c>
      <c r="I35" s="33">
        <f t="shared" si="1"/>
        <v>5.34</v>
      </c>
      <c r="J35" s="33">
        <f t="shared" si="1"/>
        <v>2.64</v>
      </c>
      <c r="K35" s="33">
        <f t="shared" si="1"/>
        <v>347.72</v>
      </c>
      <c r="L35" s="33">
        <f t="shared" si="1"/>
        <v>40.46</v>
      </c>
      <c r="M35" s="33">
        <f t="shared" si="1"/>
        <v>84.77</v>
      </c>
      <c r="N35" s="33">
        <f t="shared" si="1"/>
        <v>601.6</v>
      </c>
      <c r="O35" s="33">
        <f t="shared" si="1"/>
        <v>0.2</v>
      </c>
      <c r="P35" s="33">
        <f t="shared" si="1"/>
        <v>0.69</v>
      </c>
      <c r="Q35" s="33">
        <f t="shared" si="1"/>
        <v>27.49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6.583846153846153</v>
      </c>
      <c r="C36" s="41">
        <f t="shared" si="2"/>
        <v>6.0576923076923084</v>
      </c>
      <c r="D36" s="41">
        <f t="shared" si="2"/>
        <v>13.450000000000001</v>
      </c>
      <c r="E36" s="41">
        <f t="shared" si="2"/>
        <v>24.788461538461544</v>
      </c>
      <c r="F36" s="41">
        <f t="shared" si="2"/>
        <v>34.97538461538462</v>
      </c>
      <c r="G36" s="41">
        <f t="shared" si="2"/>
        <v>44.321538461538466</v>
      </c>
      <c r="H36" s="41">
        <f t="shared" si="2"/>
        <v>14.49</v>
      </c>
      <c r="I36" s="41">
        <f t="shared" si="2"/>
        <v>4.5323076923076924</v>
      </c>
      <c r="J36" s="41">
        <f t="shared" si="2"/>
        <v>0.96461538461538487</v>
      </c>
      <c r="K36" s="41">
        <f t="shared" si="2"/>
        <v>158.55230769230772</v>
      </c>
      <c r="L36" s="41">
        <f t="shared" si="2"/>
        <v>34.386153846153846</v>
      </c>
      <c r="M36" s="41">
        <f t="shared" si="2"/>
        <v>46.627692307692307</v>
      </c>
      <c r="N36" s="41">
        <f t="shared" si="2"/>
        <v>114.78461538461539</v>
      </c>
      <c r="O36" s="41">
        <f t="shared" si="2"/>
        <v>1.5384615384615385E-2</v>
      </c>
      <c r="P36" s="41">
        <f t="shared" si="2"/>
        <v>0.47076923076923083</v>
      </c>
      <c r="Q36" s="41">
        <f t="shared" si="2"/>
        <v>7.1916666666666673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0.38741748501109063</v>
      </c>
      <c r="C37" s="41">
        <f t="shared" ref="C37:Q37" si="3">STDEV(C9:C32)</f>
        <v>2.6189643676412157E-2</v>
      </c>
      <c r="D37" s="41">
        <f t="shared" si="3"/>
        <v>0.31672806422325434</v>
      </c>
      <c r="E37" s="41">
        <f t="shared" si="3"/>
        <v>15.765159289899268</v>
      </c>
      <c r="F37" s="41">
        <f t="shared" si="3"/>
        <v>18.417145822749241</v>
      </c>
      <c r="G37" s="41">
        <f t="shared" si="3"/>
        <v>12.787004370423521</v>
      </c>
      <c r="H37" s="41">
        <f t="shared" si="3"/>
        <v>4.6674345688553034</v>
      </c>
      <c r="I37" s="41">
        <f t="shared" si="3"/>
        <v>0.50754562760658273</v>
      </c>
      <c r="J37" s="41">
        <f t="shared" si="3"/>
        <v>0.78408774365091893</v>
      </c>
      <c r="K37" s="41">
        <f t="shared" si="3"/>
        <v>120.46954768417937</v>
      </c>
      <c r="L37" s="41">
        <f t="shared" si="3"/>
        <v>4.646087132310992</v>
      </c>
      <c r="M37" s="41">
        <f t="shared" si="3"/>
        <v>19.806876816670751</v>
      </c>
      <c r="N37" s="41">
        <f t="shared" si="3"/>
        <v>214.94446897650042</v>
      </c>
      <c r="O37" s="41">
        <f t="shared" si="3"/>
        <v>5.5470019622522918E-2</v>
      </c>
      <c r="P37" s="41">
        <f t="shared" si="3"/>
        <v>0.10428019454507574</v>
      </c>
      <c r="Q37" s="41">
        <f t="shared" si="3"/>
        <v>6.4991353737293833</v>
      </c>
      <c r="R37" s="41"/>
      <c r="S37" s="41"/>
      <c r="T37" s="41"/>
      <c r="U37" s="41"/>
    </row>
    <row r="38" spans="1:21" s="1" customFormat="1">
      <c r="A38" s="48" t="s">
        <v>52</v>
      </c>
      <c r="B38" s="49">
        <v>24</v>
      </c>
      <c r="C38" s="49">
        <v>24</v>
      </c>
      <c r="D38" s="49">
        <v>24</v>
      </c>
      <c r="E38" s="49">
        <v>24</v>
      </c>
      <c r="F38" s="49">
        <v>24</v>
      </c>
      <c r="G38" s="49">
        <v>24</v>
      </c>
      <c r="H38" s="49">
        <v>24</v>
      </c>
      <c r="I38" s="49">
        <v>24</v>
      </c>
      <c r="J38" s="49">
        <v>24</v>
      </c>
      <c r="K38" s="49">
        <v>24</v>
      </c>
      <c r="L38" s="49">
        <v>24</v>
      </c>
      <c r="M38" s="49">
        <v>24</v>
      </c>
      <c r="N38" s="49">
        <v>24</v>
      </c>
      <c r="O38" s="49">
        <v>24</v>
      </c>
      <c r="P38" s="49">
        <v>24</v>
      </c>
      <c r="Q38" s="49">
        <v>24</v>
      </c>
      <c r="R38" s="49"/>
      <c r="S38" s="49"/>
      <c r="T38" s="49"/>
      <c r="U38" s="49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4">IF(C38&gt;=22,"&gt;90%",IF(C38&lt;=22,"&lt;90%"))</f>
        <v>&gt;90%</v>
      </c>
      <c r="D39" s="33" t="str">
        <f t="shared" si="4"/>
        <v>&gt;90%</v>
      </c>
      <c r="E39" s="33" t="str">
        <f t="shared" si="4"/>
        <v>&gt;90%</v>
      </c>
      <c r="F39" s="33" t="str">
        <f t="shared" si="4"/>
        <v>&gt;90%</v>
      </c>
      <c r="G39" s="33" t="str">
        <f t="shared" si="4"/>
        <v>&gt;90%</v>
      </c>
      <c r="H39" s="33" t="str">
        <f t="shared" si="4"/>
        <v>&gt;90%</v>
      </c>
      <c r="I39" s="33" t="str">
        <f t="shared" si="4"/>
        <v>&gt;90%</v>
      </c>
      <c r="J39" s="33" t="str">
        <f t="shared" si="4"/>
        <v>&gt;90%</v>
      </c>
      <c r="K39" s="33" t="str">
        <f t="shared" si="4"/>
        <v>&gt;90%</v>
      </c>
      <c r="L39" s="33" t="str">
        <f t="shared" si="4"/>
        <v>&gt;90%</v>
      </c>
      <c r="M39" s="33" t="str">
        <f t="shared" si="4"/>
        <v>&gt;90%</v>
      </c>
      <c r="N39" s="33" t="str">
        <f t="shared" si="4"/>
        <v>&gt;90%</v>
      </c>
      <c r="O39" s="33" t="str">
        <f t="shared" si="4"/>
        <v>&gt;90%</v>
      </c>
      <c r="P39" s="33" t="str">
        <f t="shared" si="4"/>
        <v>&gt;90%</v>
      </c>
      <c r="Q39" s="33" t="str">
        <f t="shared" si="4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5">IF(C38&gt;=22,"OK",IF(C38&lt;=22,"LESS"))</f>
        <v>OK</v>
      </c>
      <c r="D40" s="33" t="str">
        <f t="shared" si="5"/>
        <v>OK</v>
      </c>
      <c r="E40" s="33" t="str">
        <f t="shared" si="5"/>
        <v>OK</v>
      </c>
      <c r="F40" s="33" t="str">
        <f t="shared" si="5"/>
        <v>OK</v>
      </c>
      <c r="G40" s="33" t="str">
        <f t="shared" si="5"/>
        <v>OK</v>
      </c>
      <c r="H40" s="33" t="str">
        <f t="shared" si="5"/>
        <v>OK</v>
      </c>
      <c r="I40" s="33" t="str">
        <f t="shared" si="5"/>
        <v>OK</v>
      </c>
      <c r="J40" s="33" t="str">
        <f t="shared" si="5"/>
        <v>OK</v>
      </c>
      <c r="K40" s="33" t="str">
        <f t="shared" si="5"/>
        <v>OK</v>
      </c>
      <c r="L40" s="33" t="str">
        <f t="shared" si="5"/>
        <v>OK</v>
      </c>
      <c r="M40" s="33" t="str">
        <f t="shared" si="5"/>
        <v>OK</v>
      </c>
      <c r="N40" s="33" t="str">
        <f t="shared" si="5"/>
        <v>OK</v>
      </c>
      <c r="O40" s="33" t="str">
        <f t="shared" si="5"/>
        <v>OK</v>
      </c>
      <c r="P40" s="33" t="str">
        <f t="shared" si="5"/>
        <v>OK</v>
      </c>
      <c r="Q40" s="33" t="str">
        <f t="shared" si="5"/>
        <v>OK</v>
      </c>
      <c r="R40" s="33"/>
      <c r="S40" s="33"/>
      <c r="T40" s="33"/>
      <c r="U40" s="33"/>
    </row>
    <row r="41" spans="1:21" s="1" customFormat="1">
      <c r="A41" s="22"/>
      <c r="L41" s="22"/>
      <c r="N41" s="52"/>
      <c r="O41" s="52"/>
      <c r="P41" s="52"/>
      <c r="Q41" s="52"/>
      <c r="R41" s="52"/>
      <c r="S41" s="52"/>
      <c r="T41" s="52"/>
      <c r="U41" s="52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50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A9" sqref="A9"/>
      <selection pane="topRight" activeCell="A9" sqref="A9"/>
      <selection pane="bottomLeft" activeCell="A9" sqref="A9"/>
      <selection pane="bottomRight" activeCell="Q32" sqref="Q9:Q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45449.041666666664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5">
        <v>45449.041666666664</v>
      </c>
      <c r="B9" s="56">
        <v>7.2</v>
      </c>
      <c r="C9" s="56">
        <v>6.1</v>
      </c>
      <c r="D9" s="56">
        <v>13.95</v>
      </c>
      <c r="E9" s="56">
        <v>8.51</v>
      </c>
      <c r="F9" s="56">
        <v>28</v>
      </c>
      <c r="G9" s="56">
        <v>38.590000000000003</v>
      </c>
      <c r="H9" s="56">
        <v>17.11</v>
      </c>
      <c r="I9" s="56">
        <v>4.2699999999999996</v>
      </c>
      <c r="J9" s="56">
        <v>0.21</v>
      </c>
      <c r="K9" s="56">
        <v>233.15</v>
      </c>
      <c r="L9" s="56">
        <v>31.17</v>
      </c>
      <c r="M9" s="56">
        <v>56.92</v>
      </c>
      <c r="N9" s="56">
        <v>0</v>
      </c>
      <c r="O9" s="56">
        <v>0</v>
      </c>
      <c r="P9" s="56">
        <v>0.44</v>
      </c>
      <c r="Q9" s="56">
        <v>4.8099999999999996</v>
      </c>
    </row>
    <row r="10" spans="1:21" customFormat="1">
      <c r="A10" s="55">
        <v>45449.083333333336</v>
      </c>
      <c r="B10" s="56">
        <v>7.2</v>
      </c>
      <c r="C10" s="56">
        <v>6.09</v>
      </c>
      <c r="D10" s="56">
        <v>13.96</v>
      </c>
      <c r="E10" s="56">
        <v>8.1199999999999992</v>
      </c>
      <c r="F10" s="56">
        <v>16.73</v>
      </c>
      <c r="G10" s="56">
        <v>35.340000000000003</v>
      </c>
      <c r="H10" s="56">
        <v>15.43</v>
      </c>
      <c r="I10" s="56">
        <v>4.38</v>
      </c>
      <c r="J10" s="56">
        <v>0.17</v>
      </c>
      <c r="K10" s="56">
        <v>223.95</v>
      </c>
      <c r="L10" s="56">
        <v>31.18</v>
      </c>
      <c r="M10" s="56">
        <v>57.71</v>
      </c>
      <c r="N10" s="56">
        <v>0</v>
      </c>
      <c r="O10" s="56">
        <v>0</v>
      </c>
      <c r="P10" s="56">
        <v>0.47</v>
      </c>
      <c r="Q10" s="56">
        <v>4.8099999999999996</v>
      </c>
    </row>
    <row r="11" spans="1:21" customFormat="1">
      <c r="A11" s="55">
        <v>45449.125</v>
      </c>
      <c r="B11" s="56">
        <v>7.19</v>
      </c>
      <c r="C11" s="56">
        <v>6.07</v>
      </c>
      <c r="D11" s="56">
        <v>13.95</v>
      </c>
      <c r="E11" s="56">
        <v>9.76</v>
      </c>
      <c r="F11" s="56">
        <v>14.58</v>
      </c>
      <c r="G11" s="56">
        <v>35.880000000000003</v>
      </c>
      <c r="H11" s="56">
        <v>15.03</v>
      </c>
      <c r="I11" s="56">
        <v>4.37</v>
      </c>
      <c r="J11" s="56">
        <v>0.2</v>
      </c>
      <c r="K11" s="56">
        <v>211.34</v>
      </c>
      <c r="L11" s="56">
        <v>30.92</v>
      </c>
      <c r="M11" s="56">
        <v>61.27</v>
      </c>
      <c r="N11" s="56">
        <v>0</v>
      </c>
      <c r="O11" s="56">
        <v>0</v>
      </c>
      <c r="P11" s="56">
        <v>0.45</v>
      </c>
      <c r="Q11" s="56">
        <v>4.82</v>
      </c>
    </row>
    <row r="12" spans="1:21" customFormat="1">
      <c r="A12" s="55">
        <v>45449.166666666664</v>
      </c>
      <c r="B12" s="56">
        <v>7.19</v>
      </c>
      <c r="C12" s="56">
        <v>6.1</v>
      </c>
      <c r="D12" s="56">
        <v>13.94</v>
      </c>
      <c r="E12" s="56">
        <v>10.09</v>
      </c>
      <c r="F12" s="56">
        <v>12.29</v>
      </c>
      <c r="G12" s="56">
        <v>30.18</v>
      </c>
      <c r="H12" s="56">
        <v>16.489999999999998</v>
      </c>
      <c r="I12" s="56">
        <v>4.47</v>
      </c>
      <c r="J12" s="56">
        <v>0.27</v>
      </c>
      <c r="K12" s="56">
        <v>263.77</v>
      </c>
      <c r="L12" s="56">
        <v>30.1</v>
      </c>
      <c r="M12" s="56">
        <v>62.19</v>
      </c>
      <c r="N12" s="56">
        <v>0</v>
      </c>
      <c r="O12" s="56">
        <v>0</v>
      </c>
      <c r="P12" s="56">
        <v>0.45</v>
      </c>
      <c r="Q12" s="56">
        <v>4.8099999999999996</v>
      </c>
    </row>
    <row r="13" spans="1:21" customFormat="1">
      <c r="A13" s="55">
        <v>45449.208333333336</v>
      </c>
      <c r="B13" s="56">
        <v>7.17</v>
      </c>
      <c r="C13" s="56">
        <v>6.1</v>
      </c>
      <c r="D13" s="56">
        <v>13.93</v>
      </c>
      <c r="E13" s="56">
        <v>10.27</v>
      </c>
      <c r="F13" s="56">
        <v>9.89</v>
      </c>
      <c r="G13" s="56">
        <v>29.84</v>
      </c>
      <c r="H13" s="56">
        <v>15.27</v>
      </c>
      <c r="I13" s="56">
        <v>4.5</v>
      </c>
      <c r="J13" s="56">
        <v>0.33</v>
      </c>
      <c r="K13" s="56">
        <v>251</v>
      </c>
      <c r="L13" s="56">
        <v>30.17</v>
      </c>
      <c r="M13" s="56">
        <v>63.19</v>
      </c>
      <c r="N13" s="56">
        <v>0</v>
      </c>
      <c r="O13" s="56">
        <v>0</v>
      </c>
      <c r="P13" s="56">
        <v>0.45</v>
      </c>
      <c r="Q13" s="56">
        <v>4.8</v>
      </c>
    </row>
    <row r="14" spans="1:21" customFormat="1">
      <c r="A14" s="55">
        <v>45449.25</v>
      </c>
      <c r="B14" s="56">
        <v>7.19</v>
      </c>
      <c r="C14" s="56">
        <v>6.07</v>
      </c>
      <c r="D14" s="56">
        <v>13.93</v>
      </c>
      <c r="E14" s="56">
        <v>10.5</v>
      </c>
      <c r="F14" s="56">
        <v>10.08</v>
      </c>
      <c r="G14" s="56">
        <v>25.08</v>
      </c>
      <c r="H14" s="56">
        <v>12.54</v>
      </c>
      <c r="I14" s="56">
        <v>4.6100000000000003</v>
      </c>
      <c r="J14" s="56">
        <v>0.52</v>
      </c>
      <c r="K14" s="56">
        <v>260.94</v>
      </c>
      <c r="L14" s="56">
        <v>29.97</v>
      </c>
      <c r="M14" s="56">
        <v>64.89</v>
      </c>
      <c r="N14" s="56">
        <v>21.9</v>
      </c>
      <c r="O14" s="56">
        <v>0</v>
      </c>
      <c r="P14" s="56">
        <v>0.46</v>
      </c>
      <c r="Q14" s="56">
        <v>4.8099999999999996</v>
      </c>
    </row>
    <row r="15" spans="1:21" customFormat="1">
      <c r="A15" s="55">
        <v>45449.291666666664</v>
      </c>
      <c r="B15" s="56">
        <v>7.19</v>
      </c>
      <c r="C15" s="56">
        <v>6.08</v>
      </c>
      <c r="D15" s="56">
        <v>13.94</v>
      </c>
      <c r="E15" s="56">
        <v>10.44</v>
      </c>
      <c r="F15" s="56">
        <v>13.75</v>
      </c>
      <c r="G15" s="56">
        <v>26.46</v>
      </c>
      <c r="H15" s="56">
        <v>12.87</v>
      </c>
      <c r="I15" s="56">
        <v>4.5999999999999996</v>
      </c>
      <c r="J15" s="56">
        <v>0.66</v>
      </c>
      <c r="K15" s="56">
        <v>260.95</v>
      </c>
      <c r="L15" s="56">
        <v>31.2</v>
      </c>
      <c r="M15" s="56">
        <v>64.63</v>
      </c>
      <c r="N15" s="56">
        <v>72.2</v>
      </c>
      <c r="O15" s="56">
        <v>0</v>
      </c>
      <c r="P15" s="56">
        <v>0.43</v>
      </c>
      <c r="Q15" s="56">
        <v>4.83</v>
      </c>
    </row>
    <row r="16" spans="1:21" customFormat="1">
      <c r="A16" s="55">
        <v>45449.333333333336</v>
      </c>
      <c r="B16" s="56">
        <v>7.18</v>
      </c>
      <c r="C16" s="56">
        <v>6.08</v>
      </c>
      <c r="D16" s="56">
        <v>13.94</v>
      </c>
      <c r="E16" s="56">
        <v>10.06</v>
      </c>
      <c r="F16" s="56">
        <v>11.58</v>
      </c>
      <c r="G16" s="56">
        <v>28.36</v>
      </c>
      <c r="H16" s="56">
        <v>13</v>
      </c>
      <c r="I16" s="56">
        <v>4.6100000000000003</v>
      </c>
      <c r="J16" s="56">
        <v>1.1200000000000001</v>
      </c>
      <c r="K16" s="56">
        <v>271.45</v>
      </c>
      <c r="L16" s="56">
        <v>32.28</v>
      </c>
      <c r="M16" s="56">
        <v>62.26</v>
      </c>
      <c r="N16" s="56">
        <v>100.8</v>
      </c>
      <c r="O16" s="56">
        <v>0</v>
      </c>
      <c r="P16" s="56">
        <v>0.42</v>
      </c>
      <c r="Q16" s="56">
        <v>4.83</v>
      </c>
    </row>
    <row r="17" spans="1:17" customFormat="1">
      <c r="A17" s="55">
        <v>45449.375</v>
      </c>
      <c r="B17" s="56">
        <v>7.2</v>
      </c>
      <c r="C17" s="56">
        <v>6.07</v>
      </c>
      <c r="D17" s="56">
        <v>13.94</v>
      </c>
      <c r="E17" s="56">
        <v>11.29</v>
      </c>
      <c r="F17" s="56">
        <v>21.59</v>
      </c>
      <c r="G17" s="56">
        <v>27.55</v>
      </c>
      <c r="H17" s="56">
        <v>13.28</v>
      </c>
      <c r="I17" s="56">
        <v>4.5999999999999996</v>
      </c>
      <c r="J17" s="56">
        <v>1.1000000000000001</v>
      </c>
      <c r="K17" s="56">
        <v>282.77</v>
      </c>
      <c r="L17" s="56">
        <v>34.700000000000003</v>
      </c>
      <c r="M17" s="56">
        <v>60.82</v>
      </c>
      <c r="N17" s="56">
        <v>203.4</v>
      </c>
      <c r="O17" s="56">
        <v>0</v>
      </c>
      <c r="P17" s="56">
        <v>0.42</v>
      </c>
      <c r="Q17" s="56">
        <v>4.82</v>
      </c>
    </row>
    <row r="18" spans="1:17" customFormat="1">
      <c r="A18" s="55">
        <v>45449.416666666664</v>
      </c>
      <c r="B18" s="56">
        <v>7.2</v>
      </c>
      <c r="C18" s="56">
        <v>6.09</v>
      </c>
      <c r="D18" s="56">
        <v>13.95</v>
      </c>
      <c r="E18" s="56">
        <v>15.99</v>
      </c>
      <c r="F18" s="56">
        <v>23.54</v>
      </c>
      <c r="G18" s="56">
        <v>31.25</v>
      </c>
      <c r="H18" s="56">
        <v>13.96</v>
      </c>
      <c r="I18" s="56">
        <v>5.27</v>
      </c>
      <c r="J18" s="56">
        <v>1.42</v>
      </c>
      <c r="K18" s="56">
        <v>283.61</v>
      </c>
      <c r="L18" s="56">
        <v>36.17</v>
      </c>
      <c r="M18" s="56">
        <v>48.21</v>
      </c>
      <c r="N18" s="56">
        <v>188.4</v>
      </c>
      <c r="O18" s="56">
        <v>0</v>
      </c>
      <c r="P18" s="56">
        <v>0.51</v>
      </c>
      <c r="Q18" s="56">
        <v>4.82</v>
      </c>
    </row>
    <row r="19" spans="1:17" customFormat="1">
      <c r="A19" s="55">
        <v>45449.458333333336</v>
      </c>
      <c r="B19" s="56">
        <v>7.18</v>
      </c>
      <c r="C19" s="56">
        <v>6.11</v>
      </c>
      <c r="D19" s="56">
        <v>13.96</v>
      </c>
      <c r="E19" s="56">
        <v>16.47</v>
      </c>
      <c r="F19" s="56">
        <v>34.049999999999997</v>
      </c>
      <c r="G19" s="56">
        <v>35.799999999999997</v>
      </c>
      <c r="H19" s="56">
        <v>14.36</v>
      </c>
      <c r="I19" s="56">
        <v>8.3800000000000008</v>
      </c>
      <c r="J19" s="56">
        <v>1.29</v>
      </c>
      <c r="K19" s="56">
        <v>296.37</v>
      </c>
      <c r="L19" s="56">
        <v>37.6</v>
      </c>
      <c r="M19" s="56">
        <v>43.72</v>
      </c>
      <c r="N19" s="56">
        <v>215.6</v>
      </c>
      <c r="O19" s="56">
        <v>0</v>
      </c>
      <c r="P19" s="56">
        <v>0.63</v>
      </c>
      <c r="Q19" s="56">
        <v>4.8099999999999996</v>
      </c>
    </row>
    <row r="20" spans="1:17" customFormat="1">
      <c r="A20" s="55">
        <v>45449.5</v>
      </c>
      <c r="B20" s="56">
        <v>7.2</v>
      </c>
      <c r="C20" s="56">
        <v>6.11</v>
      </c>
      <c r="D20" s="56">
        <v>13.97</v>
      </c>
      <c r="E20" s="56">
        <v>12.82</v>
      </c>
      <c r="F20" s="56">
        <v>36.97</v>
      </c>
      <c r="G20" s="56">
        <v>40.04</v>
      </c>
      <c r="H20" s="56">
        <v>13.18</v>
      </c>
      <c r="I20" s="56">
        <v>8.3800000000000008</v>
      </c>
      <c r="J20" s="56">
        <v>1.42</v>
      </c>
      <c r="K20" s="56">
        <v>307.20999999999998</v>
      </c>
      <c r="L20" s="56">
        <v>38.9</v>
      </c>
      <c r="M20" s="56">
        <v>39.19</v>
      </c>
      <c r="N20" s="56">
        <v>735.8</v>
      </c>
      <c r="O20" s="56">
        <v>0</v>
      </c>
      <c r="P20" s="56">
        <v>0.59</v>
      </c>
      <c r="Q20" s="56">
        <v>4.82</v>
      </c>
    </row>
    <row r="21" spans="1:17" customFormat="1">
      <c r="A21" s="55">
        <v>45449.541666666664</v>
      </c>
      <c r="B21" s="56">
        <v>7.21</v>
      </c>
      <c r="C21" s="56">
        <v>6.09</v>
      </c>
      <c r="D21" s="56">
        <v>13.97</v>
      </c>
      <c r="E21" s="56">
        <v>14.4</v>
      </c>
      <c r="F21" s="56">
        <v>43.09</v>
      </c>
      <c r="G21" s="56">
        <v>41.36</v>
      </c>
      <c r="H21" s="56">
        <v>15.35</v>
      </c>
      <c r="I21" s="56">
        <v>7.29</v>
      </c>
      <c r="J21" s="56">
        <v>1.06</v>
      </c>
      <c r="K21" s="56">
        <v>331.75</v>
      </c>
      <c r="L21" s="56">
        <v>40.340000000000003</v>
      </c>
      <c r="M21" s="56">
        <v>35.299999999999997</v>
      </c>
      <c r="N21" s="56">
        <v>759.2</v>
      </c>
      <c r="O21" s="56">
        <v>0</v>
      </c>
      <c r="P21" s="56">
        <v>0.56000000000000005</v>
      </c>
      <c r="Q21" s="56">
        <v>4.8099999999999996</v>
      </c>
    </row>
    <row r="22" spans="1:17" customFormat="1">
      <c r="A22" s="55">
        <v>45449.583333333336</v>
      </c>
      <c r="B22" s="56">
        <v>7.2</v>
      </c>
      <c r="C22" s="56">
        <v>6.08</v>
      </c>
      <c r="D22" s="56">
        <v>13.96</v>
      </c>
      <c r="E22" s="56">
        <v>15.2</v>
      </c>
      <c r="F22" s="56">
        <v>43.59</v>
      </c>
      <c r="G22" s="56">
        <v>41.52</v>
      </c>
      <c r="H22" s="56">
        <v>16.920000000000002</v>
      </c>
      <c r="I22" s="56">
        <v>6.36</v>
      </c>
      <c r="J22" s="56">
        <v>1.28</v>
      </c>
      <c r="K22" s="56">
        <v>328.26</v>
      </c>
      <c r="L22" s="56">
        <v>40.93</v>
      </c>
      <c r="M22" s="56">
        <v>30.67</v>
      </c>
      <c r="N22" s="56">
        <v>711</v>
      </c>
      <c r="O22" s="56">
        <v>0</v>
      </c>
      <c r="P22" s="56">
        <v>0.51</v>
      </c>
      <c r="Q22" s="56">
        <v>4.82</v>
      </c>
    </row>
    <row r="23" spans="1:17" customFormat="1">
      <c r="A23" s="55">
        <v>45449.625</v>
      </c>
      <c r="B23" s="56">
        <v>7.2</v>
      </c>
      <c r="C23" s="56">
        <v>6.09</v>
      </c>
      <c r="D23" s="56">
        <v>13.96</v>
      </c>
      <c r="E23" s="56">
        <v>21.2</v>
      </c>
      <c r="F23" s="56">
        <v>50.35</v>
      </c>
      <c r="G23" s="56">
        <v>42.55</v>
      </c>
      <c r="H23" s="56">
        <v>16</v>
      </c>
      <c r="I23" s="56">
        <v>5.57</v>
      </c>
      <c r="J23" s="56">
        <v>1.9</v>
      </c>
      <c r="K23" s="56">
        <v>45.26</v>
      </c>
      <c r="L23" s="56">
        <v>41.53</v>
      </c>
      <c r="M23" s="56">
        <v>28.71</v>
      </c>
      <c r="N23" s="56">
        <v>666.2</v>
      </c>
      <c r="O23" s="56">
        <v>0</v>
      </c>
      <c r="P23" s="56">
        <v>0.52</v>
      </c>
      <c r="Q23" s="56">
        <v>4.83</v>
      </c>
    </row>
    <row r="24" spans="1:17" customFormat="1">
      <c r="A24" s="55">
        <v>45449.666666666664</v>
      </c>
      <c r="B24" s="56">
        <v>7.2</v>
      </c>
      <c r="C24" s="56">
        <v>6.1</v>
      </c>
      <c r="D24" s="56">
        <v>13.96</v>
      </c>
      <c r="E24" s="56">
        <v>30.41</v>
      </c>
      <c r="F24" s="56">
        <v>57.5</v>
      </c>
      <c r="G24" s="56">
        <v>45.6</v>
      </c>
      <c r="H24" s="56">
        <v>17.329999999999998</v>
      </c>
      <c r="I24" s="56">
        <v>5.03</v>
      </c>
      <c r="J24" s="56">
        <v>1.1599999999999999</v>
      </c>
      <c r="K24" s="56">
        <v>359.69</v>
      </c>
      <c r="L24" s="56">
        <v>41.64</v>
      </c>
      <c r="M24" s="56">
        <v>27.22</v>
      </c>
      <c r="N24" s="56">
        <v>471.9</v>
      </c>
      <c r="O24" s="56">
        <v>0</v>
      </c>
      <c r="P24" s="56">
        <v>0.51</v>
      </c>
      <c r="Q24" s="56">
        <v>4.82</v>
      </c>
    </row>
    <row r="25" spans="1:17" customFormat="1">
      <c r="A25" s="55">
        <v>45449.708333333336</v>
      </c>
      <c r="B25" s="56">
        <v>7.21</v>
      </c>
      <c r="C25" s="56">
        <v>6.06</v>
      </c>
      <c r="D25" s="56">
        <v>13.94</v>
      </c>
      <c r="E25" s="56">
        <v>24.65</v>
      </c>
      <c r="F25" s="56">
        <v>49.62</v>
      </c>
      <c r="G25" s="56">
        <v>48.73</v>
      </c>
      <c r="H25" s="56">
        <v>17.95</v>
      </c>
      <c r="I25" s="56">
        <v>5.05</v>
      </c>
      <c r="J25" s="56">
        <v>0.6</v>
      </c>
      <c r="K25" s="56">
        <v>291.01</v>
      </c>
      <c r="L25" s="56">
        <v>41.35</v>
      </c>
      <c r="M25" s="56">
        <v>35.99</v>
      </c>
      <c r="N25" s="56">
        <v>243.9</v>
      </c>
      <c r="O25" s="56">
        <v>0</v>
      </c>
      <c r="P25" s="56">
        <v>0.74</v>
      </c>
      <c r="Q25" s="56">
        <v>4.8</v>
      </c>
    </row>
    <row r="26" spans="1:17" customFormat="1">
      <c r="A26" s="55">
        <v>45449.75</v>
      </c>
      <c r="B26" s="56">
        <v>7.19</v>
      </c>
      <c r="C26" s="56">
        <v>6.13</v>
      </c>
      <c r="D26" s="56">
        <v>13.95</v>
      </c>
      <c r="E26" s="56">
        <v>20.02</v>
      </c>
      <c r="F26" s="56">
        <v>40.43</v>
      </c>
      <c r="G26" s="56">
        <v>51.46</v>
      </c>
      <c r="H26" s="56">
        <v>17.190000000000001</v>
      </c>
      <c r="I26" s="56">
        <v>6.11</v>
      </c>
      <c r="J26" s="56">
        <v>0.78</v>
      </c>
      <c r="K26" s="56">
        <v>261.75</v>
      </c>
      <c r="L26" s="56">
        <v>36.18</v>
      </c>
      <c r="M26" s="56">
        <v>43.87</v>
      </c>
      <c r="N26" s="56">
        <v>54.4</v>
      </c>
      <c r="O26" s="56">
        <v>0</v>
      </c>
      <c r="P26" s="56">
        <v>0.68</v>
      </c>
      <c r="Q26" s="56">
        <v>4.8</v>
      </c>
    </row>
    <row r="27" spans="1:17" customFormat="1">
      <c r="A27" s="55">
        <v>45449.791666666664</v>
      </c>
      <c r="B27" s="56">
        <v>7.16</v>
      </c>
      <c r="C27" s="56">
        <v>6.08</v>
      </c>
      <c r="D27" s="56">
        <v>13.93</v>
      </c>
      <c r="E27" s="56">
        <v>13.27</v>
      </c>
      <c r="F27" s="56">
        <v>42.33</v>
      </c>
      <c r="G27" s="56">
        <v>54.19</v>
      </c>
      <c r="H27" s="56">
        <v>18.989999999999998</v>
      </c>
      <c r="I27" s="56">
        <v>6.66</v>
      </c>
      <c r="J27" s="56">
        <v>0.45</v>
      </c>
      <c r="K27" s="56">
        <v>267.19</v>
      </c>
      <c r="L27" s="56">
        <v>34.520000000000003</v>
      </c>
      <c r="M27" s="56">
        <v>45.75</v>
      </c>
      <c r="N27" s="56">
        <v>11.5</v>
      </c>
      <c r="O27" s="56">
        <v>0</v>
      </c>
      <c r="P27" s="56">
        <v>0.67</v>
      </c>
      <c r="Q27" s="56">
        <v>4.8099999999999996</v>
      </c>
    </row>
    <row r="28" spans="1:17" customFormat="1">
      <c r="A28" s="55">
        <v>45449.833333333336</v>
      </c>
      <c r="B28" s="56">
        <v>7.22</v>
      </c>
      <c r="C28" s="56">
        <v>6.08</v>
      </c>
      <c r="D28" s="56">
        <v>13.97</v>
      </c>
      <c r="E28" s="56">
        <v>11.69</v>
      </c>
      <c r="F28" s="56">
        <v>39.29</v>
      </c>
      <c r="G28" s="56">
        <v>44.95</v>
      </c>
      <c r="H28" s="56">
        <v>18.149999999999999</v>
      </c>
      <c r="I28" s="56">
        <v>5.59</v>
      </c>
      <c r="J28" s="56">
        <v>0.68</v>
      </c>
      <c r="K28" s="56">
        <v>141.51</v>
      </c>
      <c r="L28" s="56">
        <v>34.68</v>
      </c>
      <c r="M28" s="56">
        <v>46.47</v>
      </c>
      <c r="N28" s="56">
        <v>0</v>
      </c>
      <c r="O28" s="56">
        <v>0</v>
      </c>
      <c r="P28" s="56">
        <v>0.96</v>
      </c>
      <c r="Q28" s="56">
        <v>4.8099999999999996</v>
      </c>
    </row>
    <row r="29" spans="1:17" customFormat="1">
      <c r="A29" s="55">
        <v>45449.875</v>
      </c>
      <c r="B29" s="56">
        <v>7.21</v>
      </c>
      <c r="C29" s="56">
        <v>6.13</v>
      </c>
      <c r="D29" s="56">
        <v>13.98</v>
      </c>
      <c r="E29" s="56">
        <v>11.55</v>
      </c>
      <c r="F29" s="56">
        <v>39.65</v>
      </c>
      <c r="G29" s="56">
        <v>42.01</v>
      </c>
      <c r="H29" s="56">
        <v>18.600000000000001</v>
      </c>
      <c r="I29" s="56">
        <v>5.0999999999999996</v>
      </c>
      <c r="J29" s="56">
        <v>0.39</v>
      </c>
      <c r="K29" s="56">
        <v>258.57</v>
      </c>
      <c r="L29" s="56">
        <v>33.35</v>
      </c>
      <c r="M29" s="56">
        <v>49.85</v>
      </c>
      <c r="N29" s="56">
        <v>0</v>
      </c>
      <c r="O29" s="56">
        <v>0</v>
      </c>
      <c r="P29" s="56">
        <v>0.95</v>
      </c>
      <c r="Q29" s="56">
        <v>4.83</v>
      </c>
    </row>
    <row r="30" spans="1:17" customFormat="1">
      <c r="A30" s="55">
        <v>45449.916666666664</v>
      </c>
      <c r="B30" s="56">
        <v>7.17</v>
      </c>
      <c r="C30" s="56">
        <v>6.1</v>
      </c>
      <c r="D30" s="56">
        <v>13.94</v>
      </c>
      <c r="E30" s="56">
        <v>11.7</v>
      </c>
      <c r="F30" s="56">
        <v>22.38</v>
      </c>
      <c r="G30" s="56">
        <v>43.12</v>
      </c>
      <c r="H30" s="56">
        <v>19.2</v>
      </c>
      <c r="I30" s="56">
        <v>4.8499999999999996</v>
      </c>
      <c r="J30" s="56">
        <v>0.46</v>
      </c>
      <c r="K30" s="56">
        <v>253.56</v>
      </c>
      <c r="L30" s="56">
        <v>32.58</v>
      </c>
      <c r="M30" s="56">
        <v>53.13</v>
      </c>
      <c r="N30" s="56">
        <v>0</v>
      </c>
      <c r="O30" s="56">
        <v>0</v>
      </c>
      <c r="P30" s="56">
        <v>0.96</v>
      </c>
      <c r="Q30" s="56">
        <v>4.82</v>
      </c>
    </row>
    <row r="31" spans="1:17" customFormat="1">
      <c r="A31" s="55">
        <v>45449.958333333336</v>
      </c>
      <c r="B31" s="56">
        <v>7.18</v>
      </c>
      <c r="C31" s="56">
        <v>6.11</v>
      </c>
      <c r="D31" s="56">
        <v>13.94</v>
      </c>
      <c r="E31" s="56">
        <v>11.11</v>
      </c>
      <c r="F31" s="56">
        <v>19.760000000000002</v>
      </c>
      <c r="G31" s="56">
        <v>38.31</v>
      </c>
      <c r="H31" s="56">
        <v>17.670000000000002</v>
      </c>
      <c r="I31" s="56">
        <v>4.8499999999999996</v>
      </c>
      <c r="J31" s="56">
        <v>0.41</v>
      </c>
      <c r="K31" s="56">
        <v>267.49</v>
      </c>
      <c r="L31" s="56">
        <v>31.96</v>
      </c>
      <c r="M31" s="56">
        <v>59.15</v>
      </c>
      <c r="N31" s="56">
        <v>0</v>
      </c>
      <c r="O31" s="56">
        <v>0</v>
      </c>
      <c r="P31" s="56">
        <v>0.96</v>
      </c>
      <c r="Q31" s="56">
        <v>4.82</v>
      </c>
    </row>
    <row r="32" spans="1:17" customFormat="1">
      <c r="A32" s="55">
        <v>45450</v>
      </c>
      <c r="B32" s="56">
        <v>7.18</v>
      </c>
      <c r="C32" s="56">
        <v>6.08</v>
      </c>
      <c r="D32" s="56">
        <v>13.94</v>
      </c>
      <c r="E32" s="56">
        <v>10.76</v>
      </c>
      <c r="F32" s="56">
        <v>16.32</v>
      </c>
      <c r="G32" s="56">
        <v>33.32</v>
      </c>
      <c r="H32" s="56">
        <v>17.75</v>
      </c>
      <c r="I32" s="56">
        <v>4.75</v>
      </c>
      <c r="J32" s="56">
        <v>0.46</v>
      </c>
      <c r="K32" s="56">
        <v>254.54</v>
      </c>
      <c r="L32" s="56">
        <v>31.27</v>
      </c>
      <c r="M32" s="56">
        <v>60.62</v>
      </c>
      <c r="N32" s="56">
        <v>0</v>
      </c>
      <c r="O32" s="56">
        <v>0</v>
      </c>
      <c r="P32" s="56">
        <v>0.95</v>
      </c>
      <c r="Q32" s="56">
        <v>4.82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7.16</v>
      </c>
      <c r="C34" s="41">
        <f t="shared" si="0"/>
        <v>6.06</v>
      </c>
      <c r="D34" s="41">
        <f t="shared" si="0"/>
        <v>13.93</v>
      </c>
      <c r="E34" s="41">
        <f t="shared" si="0"/>
        <v>8.1199999999999992</v>
      </c>
      <c r="F34" s="41">
        <f t="shared" si="0"/>
        <v>9.89</v>
      </c>
      <c r="G34" s="41">
        <f t="shared" si="0"/>
        <v>25.08</v>
      </c>
      <c r="H34" s="41">
        <f t="shared" si="0"/>
        <v>12.54</v>
      </c>
      <c r="I34" s="41">
        <f t="shared" si="0"/>
        <v>4.2699999999999996</v>
      </c>
      <c r="J34" s="41">
        <f t="shared" si="0"/>
        <v>0.17</v>
      </c>
      <c r="K34" s="41">
        <f t="shared" si="0"/>
        <v>45.26</v>
      </c>
      <c r="L34" s="41">
        <f t="shared" si="0"/>
        <v>29.97</v>
      </c>
      <c r="M34" s="41">
        <f t="shared" si="0"/>
        <v>27.22</v>
      </c>
      <c r="N34" s="41">
        <f t="shared" si="0"/>
        <v>0</v>
      </c>
      <c r="O34" s="41">
        <f t="shared" si="0"/>
        <v>0</v>
      </c>
      <c r="P34" s="41">
        <f t="shared" si="0"/>
        <v>0.42</v>
      </c>
      <c r="Q34" s="41">
        <f t="shared" si="0"/>
        <v>4.8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7.22</v>
      </c>
      <c r="C35" s="33">
        <f t="shared" si="1"/>
        <v>6.13</v>
      </c>
      <c r="D35" s="33">
        <f t="shared" si="1"/>
        <v>13.98</v>
      </c>
      <c r="E35" s="33">
        <f t="shared" si="1"/>
        <v>30.41</v>
      </c>
      <c r="F35" s="33">
        <f t="shared" si="1"/>
        <v>57.5</v>
      </c>
      <c r="G35" s="33">
        <f t="shared" si="1"/>
        <v>54.19</v>
      </c>
      <c r="H35" s="33">
        <f t="shared" si="1"/>
        <v>19.2</v>
      </c>
      <c r="I35" s="33">
        <f t="shared" si="1"/>
        <v>8.3800000000000008</v>
      </c>
      <c r="J35" s="33">
        <f t="shared" si="1"/>
        <v>1.9</v>
      </c>
      <c r="K35" s="33">
        <f t="shared" si="1"/>
        <v>359.69</v>
      </c>
      <c r="L35" s="33">
        <f t="shared" si="1"/>
        <v>41.64</v>
      </c>
      <c r="M35" s="33">
        <f t="shared" si="1"/>
        <v>64.89</v>
      </c>
      <c r="N35" s="33">
        <f t="shared" si="1"/>
        <v>759.2</v>
      </c>
      <c r="O35" s="33">
        <f t="shared" si="1"/>
        <v>0</v>
      </c>
      <c r="P35" s="33">
        <f t="shared" si="1"/>
        <v>0.96</v>
      </c>
      <c r="Q35" s="33">
        <f t="shared" si="1"/>
        <v>4.83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7.1924999999999999</v>
      </c>
      <c r="C36" s="41">
        <f t="shared" si="2"/>
        <v>6.0916666666666677</v>
      </c>
      <c r="D36" s="41">
        <f t="shared" si="2"/>
        <v>13.950000000000001</v>
      </c>
      <c r="E36" s="41">
        <f t="shared" si="2"/>
        <v>13.761666666666665</v>
      </c>
      <c r="F36" s="41">
        <f t="shared" si="2"/>
        <v>29.056666666666668</v>
      </c>
      <c r="G36" s="41">
        <f t="shared" si="2"/>
        <v>37.978750000000012</v>
      </c>
      <c r="H36" s="41">
        <f t="shared" si="2"/>
        <v>15.984166666666667</v>
      </c>
      <c r="I36" s="41">
        <f t="shared" si="2"/>
        <v>5.4020833333333327</v>
      </c>
      <c r="J36" s="41">
        <f t="shared" si="2"/>
        <v>0.76416666666666677</v>
      </c>
      <c r="K36" s="41">
        <f t="shared" si="2"/>
        <v>258.62875000000003</v>
      </c>
      <c r="L36" s="41">
        <f t="shared" si="2"/>
        <v>34.778750000000002</v>
      </c>
      <c r="M36" s="41">
        <f t="shared" si="2"/>
        <v>50.072083333333332</v>
      </c>
      <c r="N36" s="41">
        <f t="shared" si="2"/>
        <v>185.67499999999995</v>
      </c>
      <c r="O36" s="41">
        <f t="shared" si="2"/>
        <v>0</v>
      </c>
      <c r="P36" s="41">
        <f t="shared" si="2"/>
        <v>0.6120833333333332</v>
      </c>
      <c r="Q36" s="41">
        <f t="shared" si="2"/>
        <v>4.815833333333333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1.4521348601882408E-2</v>
      </c>
      <c r="C37" s="41">
        <f t="shared" ref="C37:Q37" si="3">STDEV(C9:C32)</f>
        <v>1.8097962092016234E-2</v>
      </c>
      <c r="D37" s="41">
        <f t="shared" si="3"/>
        <v>1.4142135623731416E-2</v>
      </c>
      <c r="E37" s="41">
        <f t="shared" si="3"/>
        <v>5.430096217152717</v>
      </c>
      <c r="F37" s="41">
        <f t="shared" si="3"/>
        <v>14.735102621813072</v>
      </c>
      <c r="G37" s="41">
        <f t="shared" si="3"/>
        <v>7.9934703311378916</v>
      </c>
      <c r="H37" s="41">
        <f t="shared" si="3"/>
        <v>2.0945662966386394</v>
      </c>
      <c r="I37" s="41">
        <f t="shared" si="3"/>
        <v>1.2048127372683555</v>
      </c>
      <c r="J37" s="41">
        <f t="shared" si="3"/>
        <v>0.47738341774325549</v>
      </c>
      <c r="K37" s="41">
        <f t="shared" si="3"/>
        <v>62.638820808525736</v>
      </c>
      <c r="L37" s="41">
        <f t="shared" si="3"/>
        <v>4.1010712412839636</v>
      </c>
      <c r="M37" s="41">
        <f t="shared" si="3"/>
        <v>12.251098612375323</v>
      </c>
      <c r="N37" s="41">
        <f t="shared" si="3"/>
        <v>268.99133532190376</v>
      </c>
      <c r="O37" s="41">
        <f t="shared" si="3"/>
        <v>0</v>
      </c>
      <c r="P37" s="41">
        <f t="shared" si="3"/>
        <v>0.1997602729940734</v>
      </c>
      <c r="Q37" s="41">
        <f t="shared" si="3"/>
        <v>9.2861124297509232E-3</v>
      </c>
      <c r="R37" s="41"/>
      <c r="S37" s="41"/>
      <c r="T37" s="41"/>
      <c r="U37" s="41"/>
    </row>
    <row r="38" spans="1:21" s="1" customFormat="1">
      <c r="A38" s="48" t="s">
        <v>52</v>
      </c>
      <c r="B38" s="49">
        <f t="shared" ref="B38:Q38" si="4">COUNT(B9:B32)</f>
        <v>24</v>
      </c>
      <c r="C38" s="49">
        <f t="shared" si="4"/>
        <v>24</v>
      </c>
      <c r="D38" s="49">
        <f t="shared" si="4"/>
        <v>24</v>
      </c>
      <c r="E38" s="49">
        <f t="shared" si="4"/>
        <v>24</v>
      </c>
      <c r="F38" s="49">
        <f t="shared" si="4"/>
        <v>24</v>
      </c>
      <c r="G38" s="49">
        <f t="shared" si="4"/>
        <v>24</v>
      </c>
      <c r="H38" s="49">
        <f t="shared" si="4"/>
        <v>24</v>
      </c>
      <c r="I38" s="49">
        <f t="shared" si="4"/>
        <v>24</v>
      </c>
      <c r="J38" s="49">
        <f t="shared" si="4"/>
        <v>24</v>
      </c>
      <c r="K38" s="49">
        <f t="shared" si="4"/>
        <v>24</v>
      </c>
      <c r="L38" s="49">
        <f t="shared" si="4"/>
        <v>24</v>
      </c>
      <c r="M38" s="49">
        <f t="shared" si="4"/>
        <v>24</v>
      </c>
      <c r="N38" s="49">
        <f t="shared" si="4"/>
        <v>24</v>
      </c>
      <c r="O38" s="49">
        <f t="shared" si="4"/>
        <v>24</v>
      </c>
      <c r="P38" s="49">
        <f t="shared" si="4"/>
        <v>24</v>
      </c>
      <c r="Q38" s="49">
        <f t="shared" si="4"/>
        <v>24</v>
      </c>
      <c r="R38" s="49"/>
      <c r="S38" s="49"/>
      <c r="T38" s="49"/>
      <c r="U38" s="49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52"/>
      <c r="O41" s="52"/>
      <c r="P41" s="52"/>
      <c r="Q41" s="52"/>
      <c r="R41" s="52"/>
      <c r="S41" s="52"/>
      <c r="T41" s="52"/>
      <c r="U41" s="52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50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30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45450.041666666664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5">
        <v>45450.041666666664</v>
      </c>
      <c r="B9" s="56">
        <v>7.19</v>
      </c>
      <c r="C9" s="56">
        <v>6.08</v>
      </c>
      <c r="D9" s="56">
        <v>13.94</v>
      </c>
      <c r="E9" s="56">
        <v>10.55</v>
      </c>
      <c r="F9" s="56">
        <v>17.77</v>
      </c>
      <c r="G9" s="56">
        <v>33.97</v>
      </c>
      <c r="H9" s="56">
        <v>16.34</v>
      </c>
      <c r="I9" s="56">
        <v>4.6900000000000004</v>
      </c>
      <c r="J9" s="56">
        <v>0.61</v>
      </c>
      <c r="K9" s="56">
        <v>250.8</v>
      </c>
      <c r="L9" s="56">
        <v>30.92</v>
      </c>
      <c r="M9" s="56">
        <v>60.31</v>
      </c>
      <c r="N9" s="56">
        <v>0</v>
      </c>
      <c r="O9" s="56">
        <v>0</v>
      </c>
      <c r="P9" s="56">
        <v>0.94</v>
      </c>
      <c r="Q9" s="56">
        <v>4.82</v>
      </c>
    </row>
    <row r="10" spans="1:21" customFormat="1">
      <c r="A10" s="55">
        <v>45450.083333333336</v>
      </c>
      <c r="B10" s="56">
        <v>7.17</v>
      </c>
      <c r="C10" s="56">
        <v>6.09</v>
      </c>
      <c r="D10" s="56">
        <v>13.94</v>
      </c>
      <c r="E10" s="56">
        <v>10.01</v>
      </c>
      <c r="F10" s="56">
        <v>19.36</v>
      </c>
      <c r="G10" s="56">
        <v>28.16</v>
      </c>
      <c r="H10" s="56">
        <v>16.09</v>
      </c>
      <c r="I10" s="56">
        <v>4.53</v>
      </c>
      <c r="J10" s="56">
        <v>0.37</v>
      </c>
      <c r="K10" s="56">
        <v>251.74</v>
      </c>
      <c r="L10" s="56">
        <v>30.26</v>
      </c>
      <c r="M10" s="56">
        <v>61.44</v>
      </c>
      <c r="N10" s="56">
        <v>0</v>
      </c>
      <c r="O10" s="56">
        <v>0</v>
      </c>
      <c r="P10" s="56">
        <v>0.91</v>
      </c>
      <c r="Q10" s="56">
        <v>4.82</v>
      </c>
    </row>
    <row r="11" spans="1:21" customFormat="1">
      <c r="A11" s="55">
        <v>45450.125</v>
      </c>
      <c r="B11" s="56">
        <v>7.19</v>
      </c>
      <c r="C11" s="56">
        <v>6.08</v>
      </c>
      <c r="D11" s="56">
        <v>13.95</v>
      </c>
      <c r="E11" s="56">
        <v>9.75</v>
      </c>
      <c r="F11" s="56">
        <v>16.95</v>
      </c>
      <c r="G11" s="56">
        <v>28.32</v>
      </c>
      <c r="H11" s="56">
        <v>16.440000000000001</v>
      </c>
      <c r="I11" s="56">
        <v>4.26</v>
      </c>
      <c r="J11" s="56">
        <v>0.47</v>
      </c>
      <c r="K11" s="56">
        <v>254.17</v>
      </c>
      <c r="L11" s="56">
        <v>29.95</v>
      </c>
      <c r="M11" s="56">
        <v>61.46</v>
      </c>
      <c r="N11" s="56">
        <v>0</v>
      </c>
      <c r="O11" s="56">
        <v>0</v>
      </c>
      <c r="P11" s="56">
        <v>0.9</v>
      </c>
      <c r="Q11" s="56">
        <v>4.83</v>
      </c>
    </row>
    <row r="12" spans="1:21" customFormat="1">
      <c r="A12" s="55">
        <v>45450.166666666664</v>
      </c>
      <c r="B12" s="56">
        <v>7.19</v>
      </c>
      <c r="C12" s="56">
        <v>6.09</v>
      </c>
      <c r="D12" s="56">
        <v>13.95</v>
      </c>
      <c r="E12" s="56">
        <v>9.57</v>
      </c>
      <c r="F12" s="56">
        <v>22.51</v>
      </c>
      <c r="G12" s="56">
        <v>27.35</v>
      </c>
      <c r="H12" s="56">
        <v>13</v>
      </c>
      <c r="I12" s="56">
        <v>4.25</v>
      </c>
      <c r="J12" s="56">
        <v>0.47</v>
      </c>
      <c r="K12" s="56">
        <v>266.72000000000003</v>
      </c>
      <c r="L12" s="56">
        <v>29.76</v>
      </c>
      <c r="M12" s="56">
        <v>63.83</v>
      </c>
      <c r="N12" s="56">
        <v>0</v>
      </c>
      <c r="O12" s="56">
        <v>0</v>
      </c>
      <c r="P12" s="56">
        <v>0.89</v>
      </c>
      <c r="Q12" s="56">
        <v>4.8099999999999996</v>
      </c>
    </row>
    <row r="13" spans="1:21" customFormat="1">
      <c r="A13" s="55">
        <v>45450.208333333336</v>
      </c>
      <c r="B13" s="56">
        <v>7.21</v>
      </c>
      <c r="C13" s="56">
        <v>6.07</v>
      </c>
      <c r="D13" s="56">
        <v>13.94</v>
      </c>
      <c r="E13" s="56">
        <v>9.41</v>
      </c>
      <c r="F13" s="56">
        <v>21.06</v>
      </c>
      <c r="G13" s="56">
        <v>25.03</v>
      </c>
      <c r="H13" s="56">
        <v>13.89</v>
      </c>
      <c r="I13" s="56">
        <v>3.87</v>
      </c>
      <c r="J13" s="56">
        <v>0.24</v>
      </c>
      <c r="K13" s="56">
        <v>240.8</v>
      </c>
      <c r="L13" s="56">
        <v>29.02</v>
      </c>
      <c r="M13" s="56">
        <v>74.03</v>
      </c>
      <c r="N13" s="56">
        <v>0</v>
      </c>
      <c r="O13" s="56">
        <v>0</v>
      </c>
      <c r="P13" s="56">
        <v>0.86</v>
      </c>
      <c r="Q13" s="56">
        <v>4.8099999999999996</v>
      </c>
    </row>
    <row r="14" spans="1:21" customFormat="1">
      <c r="A14" s="55">
        <v>45450.25</v>
      </c>
      <c r="B14" s="56">
        <v>7.19</v>
      </c>
      <c r="C14" s="56">
        <v>6.08</v>
      </c>
      <c r="D14" s="56">
        <v>13.95</v>
      </c>
      <c r="E14" s="56">
        <v>9.4</v>
      </c>
      <c r="F14" s="56">
        <v>13.95</v>
      </c>
      <c r="G14" s="56">
        <v>23.24</v>
      </c>
      <c r="H14" s="56">
        <v>12.3</v>
      </c>
      <c r="I14" s="56">
        <v>4.3</v>
      </c>
      <c r="J14" s="56">
        <v>0.77</v>
      </c>
      <c r="K14" s="56">
        <v>252.55</v>
      </c>
      <c r="L14" s="56">
        <v>29.35</v>
      </c>
      <c r="M14" s="56">
        <v>67.52</v>
      </c>
      <c r="N14" s="56">
        <v>25.2</v>
      </c>
      <c r="O14" s="56">
        <v>0</v>
      </c>
      <c r="P14" s="56">
        <v>0.89</v>
      </c>
      <c r="Q14" s="56">
        <v>4.82</v>
      </c>
    </row>
    <row r="15" spans="1:21" customFormat="1">
      <c r="A15" s="55">
        <v>45450.291666666664</v>
      </c>
      <c r="B15" s="56">
        <v>7.21</v>
      </c>
      <c r="C15" s="56">
        <v>6.08</v>
      </c>
      <c r="D15" s="56">
        <v>13.96</v>
      </c>
      <c r="E15" s="56">
        <v>9.84</v>
      </c>
      <c r="F15" s="56">
        <v>7.83</v>
      </c>
      <c r="G15" s="56">
        <v>21.53</v>
      </c>
      <c r="H15" s="56">
        <v>11.95</v>
      </c>
      <c r="I15" s="56">
        <v>4.3899999999999997</v>
      </c>
      <c r="J15" s="56">
        <v>1.17</v>
      </c>
      <c r="K15" s="56">
        <v>260.3</v>
      </c>
      <c r="L15" s="56">
        <v>30.23</v>
      </c>
      <c r="M15" s="56">
        <v>65.349999999999994</v>
      </c>
      <c r="N15" s="56">
        <v>78.8</v>
      </c>
      <c r="O15" s="56">
        <v>0</v>
      </c>
      <c r="P15" s="56">
        <v>0.9</v>
      </c>
      <c r="Q15" s="56">
        <v>4.8099999999999996</v>
      </c>
    </row>
    <row r="16" spans="1:21" customFormat="1">
      <c r="A16" s="55">
        <v>45450.333333333336</v>
      </c>
      <c r="B16" s="56">
        <v>7.22</v>
      </c>
      <c r="C16" s="56">
        <v>6.11</v>
      </c>
      <c r="D16" s="56">
        <v>13.98</v>
      </c>
      <c r="E16" s="56">
        <v>9.6300000000000008</v>
      </c>
      <c r="F16" s="56">
        <v>8.83</v>
      </c>
      <c r="G16" s="56">
        <v>24.34</v>
      </c>
      <c r="H16" s="56">
        <v>12.86</v>
      </c>
      <c r="I16" s="56">
        <v>4.43</v>
      </c>
      <c r="J16" s="56">
        <v>1.23</v>
      </c>
      <c r="K16" s="56">
        <v>263.36</v>
      </c>
      <c r="L16" s="56">
        <v>32.04</v>
      </c>
      <c r="M16" s="56">
        <v>60.57</v>
      </c>
      <c r="N16" s="56">
        <v>121.8</v>
      </c>
      <c r="O16" s="56">
        <v>0</v>
      </c>
      <c r="P16" s="56">
        <v>0.89</v>
      </c>
      <c r="Q16" s="56">
        <v>4.82</v>
      </c>
    </row>
    <row r="17" spans="1:17" customFormat="1">
      <c r="A17" s="55">
        <v>45450.375</v>
      </c>
      <c r="B17" s="56">
        <v>7.19</v>
      </c>
      <c r="C17" s="56">
        <v>6.1</v>
      </c>
      <c r="D17" s="56">
        <v>13.96</v>
      </c>
      <c r="E17" s="56">
        <v>10.45</v>
      </c>
      <c r="F17" s="56">
        <v>11.31</v>
      </c>
      <c r="G17" s="56">
        <v>24.32</v>
      </c>
      <c r="H17" s="56">
        <v>13.91</v>
      </c>
      <c r="I17" s="56">
        <v>4.33</v>
      </c>
      <c r="J17" s="56">
        <v>1.49</v>
      </c>
      <c r="K17" s="56">
        <v>273.10000000000002</v>
      </c>
      <c r="L17" s="56">
        <v>33.590000000000003</v>
      </c>
      <c r="M17" s="56">
        <v>55.42</v>
      </c>
      <c r="N17" s="56">
        <v>155.19999999999999</v>
      </c>
      <c r="O17" s="56">
        <v>0</v>
      </c>
      <c r="P17" s="56">
        <v>0.88</v>
      </c>
      <c r="Q17" s="56">
        <v>4.84</v>
      </c>
    </row>
    <row r="18" spans="1:17" customFormat="1">
      <c r="A18" s="55">
        <v>45450.416666666664</v>
      </c>
      <c r="B18" s="56">
        <v>7.23</v>
      </c>
      <c r="C18" s="56">
        <v>6.08</v>
      </c>
      <c r="D18" s="56">
        <v>13.98</v>
      </c>
      <c r="E18" s="56">
        <v>14.25</v>
      </c>
      <c r="F18" s="56">
        <v>14.96</v>
      </c>
      <c r="G18" s="56">
        <v>31.12</v>
      </c>
      <c r="H18" s="56">
        <v>14.33</v>
      </c>
      <c r="I18" s="56">
        <v>4.13</v>
      </c>
      <c r="J18" s="56">
        <v>1.36</v>
      </c>
      <c r="K18" s="56">
        <v>275.07</v>
      </c>
      <c r="L18" s="56">
        <v>35.75</v>
      </c>
      <c r="M18" s="56">
        <v>51.69</v>
      </c>
      <c r="N18" s="56">
        <v>191.1</v>
      </c>
      <c r="O18" s="56">
        <v>0</v>
      </c>
      <c r="P18" s="56">
        <v>0.88</v>
      </c>
      <c r="Q18" s="56">
        <v>4.83</v>
      </c>
    </row>
    <row r="19" spans="1:17" customFormat="1">
      <c r="A19" s="55">
        <v>45450.458333333336</v>
      </c>
      <c r="B19" s="56">
        <v>7.23</v>
      </c>
      <c r="C19" s="56">
        <v>6.1</v>
      </c>
      <c r="D19" s="56">
        <v>13.99</v>
      </c>
      <c r="E19" s="56">
        <v>23.07</v>
      </c>
      <c r="F19" s="56">
        <v>24.25</v>
      </c>
      <c r="G19" s="56">
        <v>31.09</v>
      </c>
      <c r="H19" s="56">
        <v>13.49</v>
      </c>
      <c r="I19" s="56">
        <v>5.24</v>
      </c>
      <c r="J19" s="56">
        <v>1.23</v>
      </c>
      <c r="K19" s="56">
        <v>293.19</v>
      </c>
      <c r="L19" s="56">
        <v>37.03</v>
      </c>
      <c r="M19" s="56">
        <v>46.04</v>
      </c>
      <c r="N19" s="56">
        <v>226.8</v>
      </c>
      <c r="O19" s="56">
        <v>0</v>
      </c>
      <c r="P19" s="56">
        <v>0.99</v>
      </c>
      <c r="Q19" s="56">
        <v>4.8</v>
      </c>
    </row>
    <row r="20" spans="1:17" customFormat="1">
      <c r="A20" s="55">
        <v>45450.5</v>
      </c>
      <c r="B20" s="56">
        <v>7.18</v>
      </c>
      <c r="C20" s="56">
        <v>6.1</v>
      </c>
      <c r="D20" s="56">
        <v>13.93</v>
      </c>
      <c r="E20" s="56">
        <v>28.1</v>
      </c>
      <c r="F20" s="56">
        <v>33.909999999999997</v>
      </c>
      <c r="G20" s="56">
        <v>35.83</v>
      </c>
      <c r="H20" s="56">
        <v>16.64</v>
      </c>
      <c r="I20" s="56">
        <v>7.43</v>
      </c>
      <c r="J20" s="56">
        <v>0.96</v>
      </c>
      <c r="K20" s="56">
        <v>279.3</v>
      </c>
      <c r="L20" s="56">
        <v>38.950000000000003</v>
      </c>
      <c r="M20" s="56">
        <v>42</v>
      </c>
      <c r="N20" s="56">
        <v>752.5</v>
      </c>
      <c r="O20" s="56">
        <v>0</v>
      </c>
      <c r="P20" s="56">
        <v>1.1100000000000001</v>
      </c>
      <c r="Q20" s="56">
        <v>4.8</v>
      </c>
    </row>
    <row r="21" spans="1:17" customFormat="1">
      <c r="A21" s="55">
        <v>45450.541666666664</v>
      </c>
      <c r="B21" s="56">
        <v>7.18</v>
      </c>
      <c r="C21" s="56">
        <v>6.06</v>
      </c>
      <c r="D21" s="56">
        <v>13.93</v>
      </c>
      <c r="E21" s="56">
        <v>22.98</v>
      </c>
      <c r="F21" s="56">
        <v>36.950000000000003</v>
      </c>
      <c r="G21" s="56">
        <v>40.83</v>
      </c>
      <c r="H21" s="56">
        <v>20.84</v>
      </c>
      <c r="I21" s="56">
        <v>7.77</v>
      </c>
      <c r="J21" s="56">
        <v>1.68</v>
      </c>
      <c r="K21" s="56">
        <v>316.37</v>
      </c>
      <c r="L21" s="56">
        <v>39.57</v>
      </c>
      <c r="M21" s="56">
        <v>38.159999999999997</v>
      </c>
      <c r="N21" s="56">
        <v>758.5</v>
      </c>
      <c r="O21" s="56">
        <v>0</v>
      </c>
      <c r="P21" s="56">
        <v>1.1299999999999999</v>
      </c>
      <c r="Q21" s="56">
        <v>4.8</v>
      </c>
    </row>
    <row r="22" spans="1:17" customFormat="1">
      <c r="A22" s="55">
        <v>45450.583333333336</v>
      </c>
      <c r="B22" s="56">
        <v>7.16</v>
      </c>
      <c r="C22" s="56">
        <v>6.12</v>
      </c>
      <c r="D22" s="56">
        <v>13.94</v>
      </c>
      <c r="E22" s="56">
        <v>15.34</v>
      </c>
      <c r="F22" s="56">
        <v>27.12</v>
      </c>
      <c r="G22" s="56">
        <v>44.54</v>
      </c>
      <c r="H22" s="56">
        <v>21.14</v>
      </c>
      <c r="I22" s="56">
        <v>7.56</v>
      </c>
      <c r="J22" s="56">
        <v>1.06</v>
      </c>
      <c r="K22" s="56">
        <v>285.55</v>
      </c>
      <c r="L22" s="56">
        <v>41.32</v>
      </c>
      <c r="M22" s="56">
        <v>37.229999999999997</v>
      </c>
      <c r="N22" s="56">
        <v>730.7</v>
      </c>
      <c r="O22" s="56">
        <v>0</v>
      </c>
      <c r="P22" s="56">
        <v>1.1000000000000001</v>
      </c>
      <c r="Q22" s="56">
        <v>4.79</v>
      </c>
    </row>
    <row r="23" spans="1:17" customFormat="1">
      <c r="A23" s="55">
        <v>45450.625</v>
      </c>
      <c r="B23" s="56">
        <v>7.24</v>
      </c>
      <c r="C23" s="56">
        <v>6.11</v>
      </c>
      <c r="D23" s="56">
        <v>14</v>
      </c>
      <c r="E23" s="56">
        <v>12.71</v>
      </c>
      <c r="F23" s="56">
        <v>26.81</v>
      </c>
      <c r="G23" s="56">
        <v>41.67</v>
      </c>
      <c r="H23" s="56">
        <v>18.600000000000001</v>
      </c>
      <c r="I23" s="56">
        <v>6.92</v>
      </c>
      <c r="J23" s="56">
        <v>1.29</v>
      </c>
      <c r="K23" s="56">
        <v>315.13</v>
      </c>
      <c r="L23" s="56">
        <v>41.69</v>
      </c>
      <c r="M23" s="56">
        <v>33.840000000000003</v>
      </c>
      <c r="N23" s="56">
        <v>668.6</v>
      </c>
      <c r="O23" s="56">
        <v>0</v>
      </c>
      <c r="P23" s="56">
        <v>0.56999999999999995</v>
      </c>
      <c r="Q23" s="56">
        <v>4.8</v>
      </c>
    </row>
    <row r="24" spans="1:17" customFormat="1">
      <c r="A24" s="55">
        <v>45450.666666666664</v>
      </c>
      <c r="B24" s="56">
        <v>7.25</v>
      </c>
      <c r="C24" s="56">
        <v>6.11</v>
      </c>
      <c r="D24" s="56">
        <v>14.01</v>
      </c>
      <c r="E24" s="56">
        <v>11.76</v>
      </c>
      <c r="F24" s="56">
        <v>37.42</v>
      </c>
      <c r="G24" s="56">
        <v>43.51</v>
      </c>
      <c r="H24" s="56">
        <v>19.52</v>
      </c>
      <c r="I24" s="56">
        <v>6.57</v>
      </c>
      <c r="J24" s="56">
        <v>1.27</v>
      </c>
      <c r="K24" s="56">
        <v>303.07</v>
      </c>
      <c r="L24" s="56">
        <v>41.97</v>
      </c>
      <c r="M24" s="56">
        <v>32.729999999999997</v>
      </c>
      <c r="N24" s="56">
        <v>544.20000000000005</v>
      </c>
      <c r="O24" s="56">
        <v>0</v>
      </c>
      <c r="P24" s="56">
        <v>0.55000000000000004</v>
      </c>
      <c r="Q24" s="56">
        <v>4.82</v>
      </c>
    </row>
    <row r="25" spans="1:17" customFormat="1">
      <c r="A25" s="55">
        <v>45450.708333333336</v>
      </c>
      <c r="B25" s="56">
        <v>7.2</v>
      </c>
      <c r="C25" s="56">
        <v>6.09</v>
      </c>
      <c r="D25" s="56">
        <v>13.96</v>
      </c>
      <c r="E25" s="56">
        <v>14.28</v>
      </c>
      <c r="F25" s="56">
        <v>53.64</v>
      </c>
      <c r="G25" s="56">
        <v>44.64</v>
      </c>
      <c r="H25" s="56">
        <v>20.05</v>
      </c>
      <c r="I25" s="56">
        <v>5.57</v>
      </c>
      <c r="J25" s="56">
        <v>0.9</v>
      </c>
      <c r="K25" s="56">
        <v>340.1</v>
      </c>
      <c r="L25" s="56">
        <v>40.659999999999997</v>
      </c>
      <c r="M25" s="56">
        <v>36.22</v>
      </c>
      <c r="N25" s="56">
        <v>174.4</v>
      </c>
      <c r="O25" s="56">
        <v>0</v>
      </c>
      <c r="P25" s="56">
        <v>0.43</v>
      </c>
      <c r="Q25" s="56">
        <v>4.82</v>
      </c>
    </row>
    <row r="26" spans="1:17" customFormat="1">
      <c r="A26" s="55">
        <v>45450.75</v>
      </c>
      <c r="B26" s="56">
        <v>7.22</v>
      </c>
      <c r="C26" s="56">
        <v>6.12</v>
      </c>
      <c r="D26" s="56">
        <v>13.98</v>
      </c>
      <c r="E26" s="56">
        <v>22.87</v>
      </c>
      <c r="F26" s="56">
        <v>28.26</v>
      </c>
      <c r="G26" s="56">
        <v>50.53</v>
      </c>
      <c r="H26" s="56">
        <v>16.68</v>
      </c>
      <c r="I26" s="56">
        <v>5.01</v>
      </c>
      <c r="J26" s="56">
        <v>1.1100000000000001</v>
      </c>
      <c r="K26" s="56">
        <v>335.53</v>
      </c>
      <c r="L26" s="56">
        <v>38.15</v>
      </c>
      <c r="M26" s="56">
        <v>38.380000000000003</v>
      </c>
      <c r="N26" s="56">
        <v>36.299999999999997</v>
      </c>
      <c r="O26" s="56">
        <v>0</v>
      </c>
      <c r="P26" s="56">
        <v>0.51</v>
      </c>
      <c r="Q26" s="56">
        <v>4.8099999999999996</v>
      </c>
    </row>
    <row r="27" spans="1:17" customFormat="1">
      <c r="A27" s="55">
        <v>45450.791666666664</v>
      </c>
      <c r="B27" s="56">
        <v>7.2</v>
      </c>
      <c r="C27" s="56">
        <v>6.08</v>
      </c>
      <c r="D27" s="56">
        <v>13.96</v>
      </c>
      <c r="E27" s="56">
        <v>19.850000000000001</v>
      </c>
      <c r="F27" s="56">
        <v>16.7</v>
      </c>
      <c r="G27" s="56">
        <v>64.22</v>
      </c>
      <c r="H27" s="56">
        <v>22.16</v>
      </c>
      <c r="I27" s="56">
        <v>5.28</v>
      </c>
      <c r="J27" s="56">
        <v>2.04</v>
      </c>
      <c r="K27" s="56">
        <v>118.57</v>
      </c>
      <c r="L27" s="56">
        <v>35.61</v>
      </c>
      <c r="M27" s="56">
        <v>57.76</v>
      </c>
      <c r="N27" s="56">
        <v>10.5</v>
      </c>
      <c r="O27" s="56">
        <v>0</v>
      </c>
      <c r="P27" s="56">
        <v>0.51</v>
      </c>
      <c r="Q27" s="56">
        <v>4.83</v>
      </c>
    </row>
    <row r="28" spans="1:17" customFormat="1">
      <c r="A28" s="55">
        <v>45450.833333333336</v>
      </c>
      <c r="B28" s="56">
        <v>7.19</v>
      </c>
      <c r="C28" s="56">
        <v>6.12</v>
      </c>
      <c r="D28" s="56">
        <v>13.95</v>
      </c>
      <c r="E28" s="56">
        <v>11.31</v>
      </c>
      <c r="F28" s="56">
        <v>22</v>
      </c>
      <c r="G28" s="56">
        <v>67.89</v>
      </c>
      <c r="H28" s="56">
        <v>22.12</v>
      </c>
      <c r="I28" s="56">
        <v>5.15</v>
      </c>
      <c r="J28" s="56">
        <v>0.43</v>
      </c>
      <c r="K28" s="56">
        <v>282.83</v>
      </c>
      <c r="L28" s="56">
        <v>30.55</v>
      </c>
      <c r="M28" s="56">
        <v>60.57</v>
      </c>
      <c r="N28" s="56">
        <v>0</v>
      </c>
      <c r="O28" s="56">
        <v>0</v>
      </c>
      <c r="P28" s="56">
        <v>0.48</v>
      </c>
      <c r="Q28" s="56">
        <v>4.83</v>
      </c>
    </row>
    <row r="29" spans="1:17" customFormat="1">
      <c r="A29" s="55">
        <v>45450.875</v>
      </c>
      <c r="B29" s="56">
        <v>7.17</v>
      </c>
      <c r="C29" s="56">
        <v>6.1</v>
      </c>
      <c r="D29" s="56">
        <v>13.93</v>
      </c>
      <c r="E29" s="56">
        <v>9.7100000000000009</v>
      </c>
      <c r="F29" s="56">
        <v>25.1</v>
      </c>
      <c r="G29" s="56">
        <v>51.13</v>
      </c>
      <c r="H29" s="56">
        <v>16.53</v>
      </c>
      <c r="I29" s="56">
        <v>4.62</v>
      </c>
      <c r="J29" s="56">
        <v>0.18</v>
      </c>
      <c r="K29" s="56">
        <v>286.48</v>
      </c>
      <c r="L29" s="56">
        <v>30.16</v>
      </c>
      <c r="M29" s="56">
        <v>57.89</v>
      </c>
      <c r="N29" s="56">
        <v>0</v>
      </c>
      <c r="O29" s="56">
        <v>0</v>
      </c>
      <c r="P29" s="56">
        <v>0.41</v>
      </c>
      <c r="Q29" s="56">
        <v>4.8099999999999996</v>
      </c>
    </row>
    <row r="30" spans="1:17" customFormat="1">
      <c r="A30" s="55">
        <v>45450.916666666664</v>
      </c>
      <c r="B30" s="56">
        <v>7.26</v>
      </c>
      <c r="C30" s="56">
        <v>6.08</v>
      </c>
      <c r="D30" s="56">
        <v>13.99</v>
      </c>
      <c r="E30" s="56">
        <v>8.6</v>
      </c>
      <c r="F30" s="56">
        <v>35.590000000000003</v>
      </c>
      <c r="G30" s="56">
        <v>37.82</v>
      </c>
      <c r="H30" s="56">
        <v>11.39</v>
      </c>
      <c r="I30" s="56">
        <v>4.2699999999999996</v>
      </c>
      <c r="J30" s="56">
        <v>0.35</v>
      </c>
      <c r="K30" s="56">
        <v>324.33</v>
      </c>
      <c r="L30" s="56">
        <v>30.02</v>
      </c>
      <c r="M30" s="56">
        <v>57.75</v>
      </c>
      <c r="N30" s="56">
        <v>0</v>
      </c>
      <c r="O30" s="56">
        <v>0</v>
      </c>
      <c r="P30" s="56">
        <v>0.36</v>
      </c>
      <c r="Q30" s="56">
        <v>4.8099999999999996</v>
      </c>
    </row>
    <row r="31" spans="1:17" customFormat="1">
      <c r="A31" s="55">
        <v>45450.958333333336</v>
      </c>
      <c r="B31" s="56">
        <v>7.29</v>
      </c>
      <c r="C31" s="56">
        <v>6.07</v>
      </c>
      <c r="D31" s="56">
        <v>14.02</v>
      </c>
      <c r="E31" s="56">
        <v>8.74</v>
      </c>
      <c r="F31" s="56">
        <v>27.12</v>
      </c>
      <c r="G31" s="56">
        <v>23.94</v>
      </c>
      <c r="H31" s="56">
        <v>12.63</v>
      </c>
      <c r="I31" s="56">
        <v>3.91</v>
      </c>
      <c r="J31" s="56">
        <v>0.75</v>
      </c>
      <c r="K31" s="56">
        <v>258.75</v>
      </c>
      <c r="L31" s="56">
        <v>30.26</v>
      </c>
      <c r="M31" s="56">
        <v>55.46</v>
      </c>
      <c r="N31" s="56">
        <v>0</v>
      </c>
      <c r="O31" s="56">
        <v>0</v>
      </c>
      <c r="P31" s="56">
        <v>0.33</v>
      </c>
      <c r="Q31" s="56">
        <v>4.82</v>
      </c>
    </row>
    <row r="32" spans="1:17" customFormat="1">
      <c r="A32" s="55">
        <v>45451</v>
      </c>
      <c r="B32" s="56">
        <v>7.25</v>
      </c>
      <c r="C32" s="56">
        <v>6.09</v>
      </c>
      <c r="D32" s="56">
        <v>14</v>
      </c>
      <c r="E32" s="56">
        <v>8.3000000000000007</v>
      </c>
      <c r="F32" s="56">
        <v>29.86</v>
      </c>
      <c r="G32" s="56">
        <v>19.29</v>
      </c>
      <c r="H32" s="56">
        <v>10.56</v>
      </c>
      <c r="I32" s="56">
        <v>3.88</v>
      </c>
      <c r="J32" s="56">
        <v>0.82</v>
      </c>
      <c r="K32" s="56">
        <v>268.3</v>
      </c>
      <c r="L32" s="56">
        <v>29.98</v>
      </c>
      <c r="M32" s="56">
        <v>55.78</v>
      </c>
      <c r="N32" s="56">
        <v>0</v>
      </c>
      <c r="O32" s="56">
        <v>0</v>
      </c>
      <c r="P32" s="56">
        <v>0.32</v>
      </c>
      <c r="Q32" s="56">
        <v>4.83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7.16</v>
      </c>
      <c r="C34" s="41">
        <f t="shared" si="0"/>
        <v>6.06</v>
      </c>
      <c r="D34" s="41">
        <f t="shared" si="0"/>
        <v>13.93</v>
      </c>
      <c r="E34" s="41">
        <f t="shared" si="0"/>
        <v>8.3000000000000007</v>
      </c>
      <c r="F34" s="41">
        <f t="shared" si="0"/>
        <v>7.83</v>
      </c>
      <c r="G34" s="41">
        <f t="shared" si="0"/>
        <v>19.29</v>
      </c>
      <c r="H34" s="41">
        <f t="shared" si="0"/>
        <v>10.56</v>
      </c>
      <c r="I34" s="41">
        <f t="shared" si="0"/>
        <v>3.87</v>
      </c>
      <c r="J34" s="41">
        <f t="shared" si="0"/>
        <v>0.18</v>
      </c>
      <c r="K34" s="41">
        <f t="shared" si="0"/>
        <v>118.57</v>
      </c>
      <c r="L34" s="41">
        <f t="shared" si="0"/>
        <v>29.02</v>
      </c>
      <c r="M34" s="41">
        <f t="shared" si="0"/>
        <v>32.729999999999997</v>
      </c>
      <c r="N34" s="41">
        <f t="shared" si="0"/>
        <v>0</v>
      </c>
      <c r="O34" s="41">
        <f t="shared" si="0"/>
        <v>0</v>
      </c>
      <c r="P34" s="41">
        <f t="shared" si="0"/>
        <v>0.32</v>
      </c>
      <c r="Q34" s="41">
        <f t="shared" si="0"/>
        <v>4.79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7.29</v>
      </c>
      <c r="C35" s="33">
        <f t="shared" si="1"/>
        <v>6.12</v>
      </c>
      <c r="D35" s="33">
        <f t="shared" si="1"/>
        <v>14.02</v>
      </c>
      <c r="E35" s="33">
        <f t="shared" si="1"/>
        <v>28.1</v>
      </c>
      <c r="F35" s="33">
        <f t="shared" si="1"/>
        <v>53.64</v>
      </c>
      <c r="G35" s="33">
        <f t="shared" si="1"/>
        <v>67.89</v>
      </c>
      <c r="H35" s="33">
        <f t="shared" si="1"/>
        <v>22.16</v>
      </c>
      <c r="I35" s="33">
        <f t="shared" si="1"/>
        <v>7.77</v>
      </c>
      <c r="J35" s="33">
        <f t="shared" si="1"/>
        <v>2.04</v>
      </c>
      <c r="K35" s="33">
        <f t="shared" si="1"/>
        <v>340.1</v>
      </c>
      <c r="L35" s="33">
        <f t="shared" si="1"/>
        <v>41.97</v>
      </c>
      <c r="M35" s="33">
        <f t="shared" si="1"/>
        <v>74.03</v>
      </c>
      <c r="N35" s="33">
        <f t="shared" si="1"/>
        <v>758.5</v>
      </c>
      <c r="O35" s="33">
        <f t="shared" si="1"/>
        <v>0</v>
      </c>
      <c r="P35" s="33">
        <f t="shared" si="1"/>
        <v>1.1299999999999999</v>
      </c>
      <c r="Q35" s="33">
        <f t="shared" si="1"/>
        <v>4.84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7.2087499999999984</v>
      </c>
      <c r="C36" s="41">
        <f t="shared" si="2"/>
        <v>6.092083333333334</v>
      </c>
      <c r="D36" s="41">
        <f t="shared" si="2"/>
        <v>13.964166666666666</v>
      </c>
      <c r="E36" s="41">
        <f t="shared" si="2"/>
        <v>13.353333333333333</v>
      </c>
      <c r="F36" s="41">
        <f t="shared" si="2"/>
        <v>24.135833333333338</v>
      </c>
      <c r="G36" s="41">
        <f t="shared" si="2"/>
        <v>36.012916666666669</v>
      </c>
      <c r="H36" s="41">
        <f t="shared" si="2"/>
        <v>15.977500000000004</v>
      </c>
      <c r="I36" s="41">
        <f t="shared" si="2"/>
        <v>5.0983333333333336</v>
      </c>
      <c r="J36" s="41">
        <f t="shared" si="2"/>
        <v>0.92708333333333337</v>
      </c>
      <c r="K36" s="41">
        <f t="shared" si="2"/>
        <v>274.83791666666667</v>
      </c>
      <c r="L36" s="41">
        <f t="shared" si="2"/>
        <v>34.032916666666658</v>
      </c>
      <c r="M36" s="41">
        <f t="shared" si="2"/>
        <v>52.976250000000014</v>
      </c>
      <c r="N36" s="41">
        <f t="shared" si="2"/>
        <v>186.44166666666669</v>
      </c>
      <c r="O36" s="41">
        <f t="shared" si="2"/>
        <v>0</v>
      </c>
      <c r="P36" s="41">
        <f t="shared" si="2"/>
        <v>0.73916666666666664</v>
      </c>
      <c r="Q36" s="41">
        <f t="shared" si="2"/>
        <v>4.8158333333333321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3.2344947861666293E-2</v>
      </c>
      <c r="C37" s="41">
        <f t="shared" ref="C37:Q37" si="3">STDEV(C9:C32)</f>
        <v>1.6934443076725064E-2</v>
      </c>
      <c r="D37" s="41">
        <f t="shared" si="3"/>
        <v>2.685171303201403E-2</v>
      </c>
      <c r="E37" s="41">
        <f t="shared" si="3"/>
        <v>5.6909444976525938</v>
      </c>
      <c r="F37" s="41">
        <f t="shared" si="3"/>
        <v>10.535866657844704</v>
      </c>
      <c r="G37" s="41">
        <f t="shared" si="3"/>
        <v>13.110025529496786</v>
      </c>
      <c r="H37" s="41">
        <f t="shared" si="3"/>
        <v>3.5589449462494636</v>
      </c>
      <c r="I37" s="41">
        <f t="shared" si="3"/>
        <v>1.2291873125261874</v>
      </c>
      <c r="J37" s="41">
        <f t="shared" si="3"/>
        <v>0.48279511512483791</v>
      </c>
      <c r="K37" s="41">
        <f t="shared" si="3"/>
        <v>43.506893604613829</v>
      </c>
      <c r="L37" s="41">
        <f t="shared" si="3"/>
        <v>4.6778408984289994</v>
      </c>
      <c r="M37" s="41">
        <f t="shared" si="3"/>
        <v>11.861293210709931</v>
      </c>
      <c r="N37" s="41">
        <f t="shared" si="3"/>
        <v>275.83834414643894</v>
      </c>
      <c r="O37" s="41">
        <f t="shared" si="3"/>
        <v>0</v>
      </c>
      <c r="P37" s="41">
        <f t="shared" si="3"/>
        <v>0.26821335872230812</v>
      </c>
      <c r="Q37" s="41">
        <f t="shared" si="3"/>
        <v>1.2481870911417019E-2</v>
      </c>
      <c r="R37" s="41"/>
      <c r="S37" s="41"/>
      <c r="T37" s="41"/>
      <c r="U37" s="41"/>
    </row>
    <row r="38" spans="1:21" s="1" customFormat="1">
      <c r="A38" s="48" t="s">
        <v>52</v>
      </c>
      <c r="B38" s="49">
        <f t="shared" ref="B38:Q38" si="4">COUNT(B9:B32)</f>
        <v>24</v>
      </c>
      <c r="C38" s="49">
        <f t="shared" si="4"/>
        <v>24</v>
      </c>
      <c r="D38" s="49">
        <f t="shared" si="4"/>
        <v>24</v>
      </c>
      <c r="E38" s="49">
        <f t="shared" si="4"/>
        <v>24</v>
      </c>
      <c r="F38" s="49">
        <f t="shared" si="4"/>
        <v>24</v>
      </c>
      <c r="G38" s="49">
        <f t="shared" si="4"/>
        <v>24</v>
      </c>
      <c r="H38" s="49">
        <f t="shared" si="4"/>
        <v>24</v>
      </c>
      <c r="I38" s="49">
        <f t="shared" si="4"/>
        <v>24</v>
      </c>
      <c r="J38" s="49">
        <f t="shared" si="4"/>
        <v>24</v>
      </c>
      <c r="K38" s="49">
        <f t="shared" si="4"/>
        <v>24</v>
      </c>
      <c r="L38" s="49">
        <f t="shared" si="4"/>
        <v>24</v>
      </c>
      <c r="M38" s="49">
        <f t="shared" si="4"/>
        <v>24</v>
      </c>
      <c r="N38" s="49">
        <f t="shared" si="4"/>
        <v>24</v>
      </c>
      <c r="O38" s="49">
        <f t="shared" si="4"/>
        <v>24</v>
      </c>
      <c r="P38" s="49">
        <f t="shared" si="4"/>
        <v>24</v>
      </c>
      <c r="Q38" s="49">
        <f t="shared" si="4"/>
        <v>24</v>
      </c>
      <c r="R38" s="49"/>
      <c r="S38" s="49"/>
      <c r="T38" s="49"/>
      <c r="U38" s="49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52"/>
      <c r="O41" s="52"/>
      <c r="P41" s="52"/>
      <c r="Q41" s="52"/>
      <c r="R41" s="52"/>
      <c r="S41" s="52"/>
      <c r="T41" s="52"/>
      <c r="U41" s="52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50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A9" sqref="A9"/>
      <selection pane="topRight" activeCell="A9" sqref="A9"/>
      <selection pane="bottomLeft" activeCell="A9" sqref="A9"/>
      <selection pane="bottomRight" activeCell="Q20" sqref="Q20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45451.041666666664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5">
        <v>45451.041666666664</v>
      </c>
      <c r="B9" s="56">
        <v>7.18</v>
      </c>
      <c r="C9" s="56">
        <v>6.08</v>
      </c>
      <c r="D9" s="56">
        <v>13.92</v>
      </c>
      <c r="E9" s="56">
        <v>8.5</v>
      </c>
      <c r="F9" s="56">
        <v>17.16</v>
      </c>
      <c r="G9" s="56">
        <v>14.12</v>
      </c>
      <c r="H9" s="56">
        <v>8.0500000000000007</v>
      </c>
      <c r="I9" s="56">
        <v>3.71</v>
      </c>
      <c r="J9" s="56">
        <v>0.65</v>
      </c>
      <c r="K9" s="56">
        <v>272.56</v>
      </c>
      <c r="L9" s="56">
        <v>30.45</v>
      </c>
      <c r="M9" s="56">
        <v>54.14</v>
      </c>
      <c r="N9" s="56">
        <v>0</v>
      </c>
      <c r="O9" s="56">
        <v>0</v>
      </c>
      <c r="P9" s="56">
        <v>0.33</v>
      </c>
      <c r="Q9" s="56">
        <v>4.82</v>
      </c>
    </row>
    <row r="10" spans="1:21" customFormat="1">
      <c r="A10" s="55">
        <v>45451.083333333336</v>
      </c>
      <c r="B10" s="56">
        <v>7.16</v>
      </c>
      <c r="C10" s="56">
        <v>6.09</v>
      </c>
      <c r="D10" s="56">
        <v>13.93</v>
      </c>
      <c r="E10" s="56">
        <v>8.9</v>
      </c>
      <c r="F10" s="56">
        <v>16.079999999999998</v>
      </c>
      <c r="G10" s="56">
        <v>13.99</v>
      </c>
      <c r="H10" s="56">
        <v>8.83</v>
      </c>
      <c r="I10" s="56">
        <v>3.59</v>
      </c>
      <c r="J10" s="56">
        <v>0.41</v>
      </c>
      <c r="K10" s="56">
        <v>253.38</v>
      </c>
      <c r="L10" s="56">
        <v>30.37</v>
      </c>
      <c r="M10" s="56">
        <v>60.29</v>
      </c>
      <c r="N10" s="56">
        <v>0</v>
      </c>
      <c r="O10" s="56">
        <v>0</v>
      </c>
      <c r="P10" s="56">
        <v>0.33</v>
      </c>
      <c r="Q10" s="56">
        <v>4.83</v>
      </c>
    </row>
    <row r="11" spans="1:21" customFormat="1">
      <c r="A11" s="55">
        <v>45451.125</v>
      </c>
      <c r="B11" s="56">
        <v>7.1</v>
      </c>
      <c r="C11" s="56">
        <v>6.06</v>
      </c>
      <c r="D11" s="56">
        <v>13.87</v>
      </c>
      <c r="E11" s="56">
        <v>9.7100000000000009</v>
      </c>
      <c r="F11" s="56">
        <v>17.55</v>
      </c>
      <c r="G11" s="56">
        <v>20.27</v>
      </c>
      <c r="H11" s="56">
        <v>8.76</v>
      </c>
      <c r="I11" s="56">
        <v>3.52</v>
      </c>
      <c r="J11" s="56">
        <v>0.75</v>
      </c>
      <c r="K11" s="56">
        <v>264.95</v>
      </c>
      <c r="L11" s="56">
        <v>29.95</v>
      </c>
      <c r="M11" s="56">
        <v>63.11</v>
      </c>
      <c r="N11" s="56">
        <v>0</v>
      </c>
      <c r="O11" s="56">
        <v>0</v>
      </c>
      <c r="P11" s="56">
        <v>0.34</v>
      </c>
      <c r="Q11" s="56">
        <v>4.82</v>
      </c>
    </row>
    <row r="12" spans="1:21" customFormat="1">
      <c r="A12" s="55">
        <v>45451.166666666664</v>
      </c>
      <c r="B12" s="56">
        <v>7.11</v>
      </c>
      <c r="C12" s="56">
        <v>6.09</v>
      </c>
      <c r="D12" s="56">
        <v>13.88</v>
      </c>
      <c r="E12" s="56">
        <v>9.85</v>
      </c>
      <c r="F12" s="56">
        <v>13.84</v>
      </c>
      <c r="G12" s="56">
        <v>19.34</v>
      </c>
      <c r="H12" s="56">
        <v>10.09</v>
      </c>
      <c r="I12" s="56">
        <v>3.45</v>
      </c>
      <c r="J12" s="56">
        <v>0.31</v>
      </c>
      <c r="K12" s="56">
        <v>258.52999999999997</v>
      </c>
      <c r="L12" s="56">
        <v>29.9</v>
      </c>
      <c r="M12" s="56">
        <v>66.09</v>
      </c>
      <c r="N12" s="56">
        <v>0</v>
      </c>
      <c r="O12" s="56">
        <v>0</v>
      </c>
      <c r="P12" s="56">
        <v>0.34</v>
      </c>
      <c r="Q12" s="56">
        <v>4.83</v>
      </c>
    </row>
    <row r="13" spans="1:21" customFormat="1">
      <c r="A13" s="55">
        <v>45451.208333333336</v>
      </c>
      <c r="B13" s="56">
        <v>7.09</v>
      </c>
      <c r="C13" s="56">
        <v>6.1</v>
      </c>
      <c r="D13" s="56">
        <v>13.88</v>
      </c>
      <c r="E13" s="56">
        <v>10.56</v>
      </c>
      <c r="F13" s="56">
        <v>11.34</v>
      </c>
      <c r="G13" s="56">
        <v>20.69</v>
      </c>
      <c r="H13" s="56">
        <v>9.27</v>
      </c>
      <c r="I13" s="56">
        <v>3.47</v>
      </c>
      <c r="J13" s="56">
        <v>0.45</v>
      </c>
      <c r="K13" s="56">
        <v>253.25</v>
      </c>
      <c r="L13" s="56">
        <v>29.86</v>
      </c>
      <c r="M13" s="56">
        <v>65.92</v>
      </c>
      <c r="N13" s="56">
        <v>0</v>
      </c>
      <c r="O13" s="56">
        <v>0</v>
      </c>
      <c r="P13" s="56">
        <v>0.34</v>
      </c>
      <c r="Q13" s="56">
        <v>4.83</v>
      </c>
    </row>
    <row r="14" spans="1:21" customFormat="1">
      <c r="A14" s="55">
        <v>45451.25</v>
      </c>
      <c r="B14" s="56">
        <v>7.08</v>
      </c>
      <c r="C14" s="56">
        <v>6.1</v>
      </c>
      <c r="D14" s="56">
        <v>13.88</v>
      </c>
      <c r="E14" s="56">
        <v>10.76</v>
      </c>
      <c r="F14" s="56">
        <v>19.940000000000001</v>
      </c>
      <c r="G14" s="56">
        <v>20.059999999999999</v>
      </c>
      <c r="H14" s="56">
        <v>10.039999999999999</v>
      </c>
      <c r="I14" s="56">
        <v>3.53</v>
      </c>
      <c r="J14" s="56">
        <v>0.38</v>
      </c>
      <c r="K14" s="56">
        <v>272.12</v>
      </c>
      <c r="L14" s="56">
        <v>29.79</v>
      </c>
      <c r="M14" s="56">
        <v>67.959999999999994</v>
      </c>
      <c r="N14" s="56">
        <v>33.299999999999997</v>
      </c>
      <c r="O14" s="56">
        <v>0</v>
      </c>
      <c r="P14" s="56">
        <v>0.34</v>
      </c>
      <c r="Q14" s="56">
        <v>4.8499999999999996</v>
      </c>
    </row>
    <row r="15" spans="1:21" customFormat="1">
      <c r="A15" s="55">
        <v>45451.291666666664</v>
      </c>
      <c r="B15" s="56">
        <v>7.1</v>
      </c>
      <c r="C15" s="56">
        <v>6.08</v>
      </c>
      <c r="D15" s="56">
        <v>13.88</v>
      </c>
      <c r="E15" s="56">
        <v>9.9700000000000006</v>
      </c>
      <c r="F15" s="56">
        <v>26.67</v>
      </c>
      <c r="G15" s="56">
        <v>21.26</v>
      </c>
      <c r="H15" s="56">
        <v>9.0299999999999994</v>
      </c>
      <c r="I15" s="56">
        <v>3.47</v>
      </c>
      <c r="J15" s="56">
        <v>0.6</v>
      </c>
      <c r="K15" s="56">
        <v>276.70999999999998</v>
      </c>
      <c r="L15" s="56">
        <v>30.5</v>
      </c>
      <c r="M15" s="56">
        <v>68.52</v>
      </c>
      <c r="N15" s="56">
        <v>71.8</v>
      </c>
      <c r="O15" s="56">
        <v>0</v>
      </c>
      <c r="P15" s="56">
        <v>0.32</v>
      </c>
      <c r="Q15" s="56">
        <v>4.8499999999999996</v>
      </c>
    </row>
    <row r="16" spans="1:21" customFormat="1">
      <c r="A16" s="55">
        <v>45451.333333333336</v>
      </c>
      <c r="B16" s="56">
        <v>7.13</v>
      </c>
      <c r="C16" s="56">
        <v>6.06</v>
      </c>
      <c r="D16" s="56">
        <v>13.89</v>
      </c>
      <c r="E16" s="56">
        <v>10.19</v>
      </c>
      <c r="F16" s="56">
        <v>17.010000000000002</v>
      </c>
      <c r="G16" s="56">
        <v>23.7</v>
      </c>
      <c r="H16" s="56">
        <v>9.86</v>
      </c>
      <c r="I16" s="56">
        <v>3.75</v>
      </c>
      <c r="J16" s="56">
        <v>1.21</v>
      </c>
      <c r="K16" s="56">
        <v>271.86</v>
      </c>
      <c r="L16" s="56">
        <v>31.49</v>
      </c>
      <c r="M16" s="56">
        <v>66.02</v>
      </c>
      <c r="N16" s="56">
        <v>134.5</v>
      </c>
      <c r="O16" s="56">
        <v>0</v>
      </c>
      <c r="P16" s="56">
        <v>0.33</v>
      </c>
      <c r="Q16" s="56">
        <v>4.82</v>
      </c>
    </row>
    <row r="17" spans="1:17" customFormat="1">
      <c r="A17" s="55">
        <v>45451.375</v>
      </c>
      <c r="B17" s="56">
        <v>7.13</v>
      </c>
      <c r="C17" s="56">
        <v>6.06</v>
      </c>
      <c r="D17" s="56">
        <v>13.89</v>
      </c>
      <c r="E17" s="56">
        <v>9.42</v>
      </c>
      <c r="F17" s="56">
        <v>14.85</v>
      </c>
      <c r="G17" s="56">
        <v>23.49</v>
      </c>
      <c r="H17" s="56">
        <v>10.91</v>
      </c>
      <c r="I17" s="56">
        <v>3.78</v>
      </c>
      <c r="J17" s="56">
        <v>1.56</v>
      </c>
      <c r="K17" s="56">
        <v>278.52999999999997</v>
      </c>
      <c r="L17" s="56">
        <v>33.03</v>
      </c>
      <c r="M17" s="56">
        <v>61.78</v>
      </c>
      <c r="N17" s="56">
        <v>234.9</v>
      </c>
      <c r="O17" s="56">
        <v>0</v>
      </c>
      <c r="P17" s="56">
        <v>0.33</v>
      </c>
      <c r="Q17" s="56">
        <v>4.82</v>
      </c>
    </row>
    <row r="18" spans="1:17" customFormat="1">
      <c r="A18" s="55">
        <v>45451.416666666664</v>
      </c>
      <c r="B18" s="56">
        <v>7.13</v>
      </c>
      <c r="C18" s="56">
        <v>6.09</v>
      </c>
      <c r="D18" s="56">
        <v>13.9</v>
      </c>
      <c r="E18" s="56">
        <v>12.89</v>
      </c>
      <c r="F18" s="56">
        <v>18.28</v>
      </c>
      <c r="G18" s="56">
        <v>21.08</v>
      </c>
      <c r="H18" s="56">
        <v>9.4700000000000006</v>
      </c>
      <c r="I18" s="56">
        <v>3.86</v>
      </c>
      <c r="J18" s="56">
        <v>1.35</v>
      </c>
      <c r="K18" s="56">
        <v>270.76</v>
      </c>
      <c r="L18" s="56">
        <v>34.61</v>
      </c>
      <c r="M18" s="56">
        <v>57.39</v>
      </c>
      <c r="N18" s="56">
        <v>243.6</v>
      </c>
      <c r="O18" s="56">
        <v>0</v>
      </c>
      <c r="P18" s="56">
        <v>0.39</v>
      </c>
      <c r="Q18" s="56">
        <v>4.84</v>
      </c>
    </row>
    <row r="19" spans="1:17" customFormat="1">
      <c r="A19" s="55">
        <v>45451.458333333336</v>
      </c>
      <c r="B19" s="56">
        <v>7.11</v>
      </c>
      <c r="C19" s="56">
        <v>6.1</v>
      </c>
      <c r="D19" s="56">
        <v>13.9</v>
      </c>
      <c r="E19" s="56">
        <v>9.64</v>
      </c>
      <c r="F19" s="56">
        <v>17.329999999999998</v>
      </c>
      <c r="G19" s="56">
        <v>23.42</v>
      </c>
      <c r="H19" s="56">
        <v>9.25</v>
      </c>
      <c r="I19" s="56">
        <v>4.08</v>
      </c>
      <c r="J19" s="56">
        <v>-1.1000000000000001</v>
      </c>
      <c r="K19" s="56">
        <v>0</v>
      </c>
      <c r="L19" s="56">
        <v>35.19</v>
      </c>
      <c r="M19" s="56">
        <v>51.05</v>
      </c>
      <c r="N19" s="56">
        <v>251.7</v>
      </c>
      <c r="O19" s="56">
        <v>0</v>
      </c>
      <c r="P19" s="56">
        <v>0.41</v>
      </c>
      <c r="Q19" s="56">
        <v>4.8</v>
      </c>
    </row>
    <row r="20" spans="1:17" customFormat="1">
      <c r="A20" s="55">
        <v>45451.5</v>
      </c>
      <c r="B20" s="56">
        <v>7.99</v>
      </c>
      <c r="C20" s="56">
        <v>6.1</v>
      </c>
      <c r="D20" s="56">
        <v>14.52</v>
      </c>
      <c r="E20" s="56">
        <v>20.77</v>
      </c>
      <c r="F20" s="56">
        <v>30.44</v>
      </c>
      <c r="G20" s="56">
        <v>21.55</v>
      </c>
      <c r="H20" s="56">
        <v>6.57</v>
      </c>
      <c r="I20" s="56">
        <v>0</v>
      </c>
      <c r="J20" s="56">
        <v>1.38</v>
      </c>
      <c r="K20" s="56">
        <v>292.62</v>
      </c>
      <c r="L20" s="56">
        <v>38.24</v>
      </c>
      <c r="M20" s="56">
        <v>40.380000000000003</v>
      </c>
      <c r="N20" s="56">
        <v>709.2</v>
      </c>
      <c r="O20" s="56">
        <v>0</v>
      </c>
      <c r="P20" s="56">
        <v>0.47</v>
      </c>
      <c r="Q20" s="27" t="s">
        <v>14</v>
      </c>
    </row>
    <row r="21" spans="1:17" customFormat="1">
      <c r="A21" s="55">
        <v>45451.541666666664</v>
      </c>
      <c r="B21" s="56">
        <v>6.62</v>
      </c>
      <c r="C21" s="56">
        <v>6.06</v>
      </c>
      <c r="D21" s="56">
        <v>13.49</v>
      </c>
      <c r="E21" s="56">
        <v>10.5</v>
      </c>
      <c r="F21" s="56">
        <v>62.53</v>
      </c>
      <c r="G21" s="56">
        <v>38.950000000000003</v>
      </c>
      <c r="H21" s="56">
        <v>7.79</v>
      </c>
      <c r="I21" s="56">
        <v>5.0599999999999996</v>
      </c>
      <c r="J21" s="56">
        <v>1.06</v>
      </c>
      <c r="K21" s="56">
        <v>306.86</v>
      </c>
      <c r="L21" s="56">
        <v>39.340000000000003</v>
      </c>
      <c r="M21" s="56">
        <v>39.31</v>
      </c>
      <c r="N21" s="56">
        <v>710.7</v>
      </c>
      <c r="O21" s="56">
        <v>0</v>
      </c>
      <c r="P21" s="56">
        <v>0.47</v>
      </c>
      <c r="Q21" s="56">
        <v>26.54</v>
      </c>
    </row>
    <row r="22" spans="1:17" customFormat="1">
      <c r="A22" s="55">
        <v>45451.583333333336</v>
      </c>
      <c r="B22" s="56">
        <v>5.35</v>
      </c>
      <c r="C22" s="56">
        <v>6</v>
      </c>
      <c r="D22" s="56">
        <v>12.43</v>
      </c>
      <c r="E22" s="56">
        <v>6.61</v>
      </c>
      <c r="F22" s="56">
        <v>61.87</v>
      </c>
      <c r="G22" s="56">
        <v>35.340000000000003</v>
      </c>
      <c r="H22" s="56">
        <v>12.02</v>
      </c>
      <c r="I22" s="56">
        <v>5.24</v>
      </c>
      <c r="J22" s="56">
        <v>1.1000000000000001</v>
      </c>
      <c r="K22" s="56">
        <v>306.41000000000003</v>
      </c>
      <c r="L22" s="56">
        <v>39.32</v>
      </c>
      <c r="M22" s="56">
        <v>37.81</v>
      </c>
      <c r="N22" s="56">
        <v>526.70000000000005</v>
      </c>
      <c r="O22" s="56">
        <v>0</v>
      </c>
      <c r="P22" s="56">
        <v>0.46</v>
      </c>
      <c r="Q22" s="56">
        <v>4.6100000000000003</v>
      </c>
    </row>
    <row r="23" spans="1:17" customFormat="1">
      <c r="A23" s="55">
        <v>45451.625</v>
      </c>
      <c r="B23" s="56">
        <v>7.34</v>
      </c>
      <c r="C23" s="56">
        <v>4.53</v>
      </c>
      <c r="D23" s="56">
        <v>12.41</v>
      </c>
      <c r="E23" s="56">
        <v>18.78</v>
      </c>
      <c r="F23" s="56">
        <v>68.39</v>
      </c>
      <c r="G23" s="56">
        <v>38.99</v>
      </c>
      <c r="H23" s="56">
        <v>16.61</v>
      </c>
      <c r="I23" s="56">
        <v>5.04</v>
      </c>
      <c r="J23" s="56">
        <v>0.78</v>
      </c>
      <c r="K23" s="56">
        <v>284.79000000000002</v>
      </c>
      <c r="L23" s="56">
        <v>39.97</v>
      </c>
      <c r="M23" s="56">
        <v>35.79</v>
      </c>
      <c r="N23" s="56">
        <v>535</v>
      </c>
      <c r="O23" s="56">
        <v>0</v>
      </c>
      <c r="P23" s="56">
        <v>0.47</v>
      </c>
      <c r="Q23" s="56">
        <v>4.59</v>
      </c>
    </row>
    <row r="24" spans="1:17" customFormat="1">
      <c r="A24" s="55">
        <v>45451.666666666664</v>
      </c>
      <c r="B24" s="56">
        <v>7.38</v>
      </c>
      <c r="C24" s="56">
        <v>3.99</v>
      </c>
      <c r="D24" s="56">
        <v>12.45</v>
      </c>
      <c r="E24" s="56">
        <v>13.83</v>
      </c>
      <c r="F24" s="56">
        <v>61.63</v>
      </c>
      <c r="G24" s="56">
        <v>38.25</v>
      </c>
      <c r="H24" s="56">
        <v>17.04</v>
      </c>
      <c r="I24" s="56">
        <v>4.8499999999999996</v>
      </c>
      <c r="J24" s="56">
        <v>0.81</v>
      </c>
      <c r="K24" s="56">
        <v>271.39</v>
      </c>
      <c r="L24" s="56">
        <v>40.28</v>
      </c>
      <c r="M24" s="56">
        <v>36.1</v>
      </c>
      <c r="N24" s="56">
        <v>461.7</v>
      </c>
      <c r="O24" s="56">
        <v>0</v>
      </c>
      <c r="P24" s="56">
        <v>0.41</v>
      </c>
      <c r="Q24" s="56">
        <v>4.57</v>
      </c>
    </row>
    <row r="25" spans="1:17" customFormat="1">
      <c r="A25" s="55">
        <v>45451.708333333336</v>
      </c>
      <c r="B25" s="56">
        <v>7.59</v>
      </c>
      <c r="C25" s="56">
        <v>4.08</v>
      </c>
      <c r="D25" s="56">
        <v>12.61</v>
      </c>
      <c r="E25" s="56">
        <v>35.4</v>
      </c>
      <c r="F25" s="56">
        <v>47.95</v>
      </c>
      <c r="G25" s="56">
        <v>38.06</v>
      </c>
      <c r="H25" s="56">
        <v>15.66</v>
      </c>
      <c r="I25" s="56">
        <v>39.93</v>
      </c>
      <c r="J25" s="56">
        <v>0.82</v>
      </c>
      <c r="K25" s="56">
        <v>276.74</v>
      </c>
      <c r="L25" s="56">
        <v>39.15</v>
      </c>
      <c r="M25" s="56">
        <v>38.72</v>
      </c>
      <c r="N25" s="56">
        <v>196.7</v>
      </c>
      <c r="O25" s="56">
        <v>0</v>
      </c>
      <c r="P25" s="56">
        <v>0.34</v>
      </c>
      <c r="Q25" s="56">
        <v>4.62</v>
      </c>
    </row>
    <row r="26" spans="1:17" customFormat="1">
      <c r="A26" s="55">
        <v>45451.75</v>
      </c>
      <c r="B26" s="56">
        <v>7.69</v>
      </c>
      <c r="C26" s="56">
        <v>3.98</v>
      </c>
      <c r="D26" s="56">
        <v>12.68</v>
      </c>
      <c r="E26" s="56">
        <v>25.87</v>
      </c>
      <c r="F26" s="56">
        <v>40.81</v>
      </c>
      <c r="G26" s="56">
        <v>35.71</v>
      </c>
      <c r="H26" s="56">
        <v>16.670000000000002</v>
      </c>
      <c r="I26" s="56">
        <v>36.25</v>
      </c>
      <c r="J26" s="56">
        <v>1.29</v>
      </c>
      <c r="K26" s="56">
        <v>331.13</v>
      </c>
      <c r="L26" s="56">
        <v>37.72</v>
      </c>
      <c r="M26" s="56">
        <v>44.05</v>
      </c>
      <c r="N26" s="56">
        <v>35</v>
      </c>
      <c r="O26" s="56">
        <v>0</v>
      </c>
      <c r="P26" s="56">
        <v>0.14000000000000001</v>
      </c>
      <c r="Q26" s="56">
        <v>4.62</v>
      </c>
    </row>
    <row r="27" spans="1:17" customFormat="1">
      <c r="A27" s="55">
        <v>45451.791666666664</v>
      </c>
      <c r="B27" s="56">
        <v>7.53</v>
      </c>
      <c r="C27" s="56">
        <v>4</v>
      </c>
      <c r="D27" s="56">
        <v>12.58</v>
      </c>
      <c r="E27" s="56">
        <v>16.95</v>
      </c>
      <c r="F27" s="56">
        <v>27.83</v>
      </c>
      <c r="G27" s="56">
        <v>46.96</v>
      </c>
      <c r="H27" s="56">
        <v>17.87</v>
      </c>
      <c r="I27" s="56">
        <v>22.73</v>
      </c>
      <c r="J27" s="56">
        <v>4.0999999999999996</v>
      </c>
      <c r="K27" s="56">
        <v>49.06</v>
      </c>
      <c r="L27" s="56">
        <v>32</v>
      </c>
      <c r="M27" s="56">
        <v>56.4</v>
      </c>
      <c r="N27" s="56">
        <v>10</v>
      </c>
      <c r="O27" s="56">
        <v>0</v>
      </c>
      <c r="P27" s="56">
        <v>0.14000000000000001</v>
      </c>
      <c r="Q27" s="56">
        <v>4.63</v>
      </c>
    </row>
    <row r="28" spans="1:17" customFormat="1">
      <c r="A28" s="55">
        <v>45451.833333333336</v>
      </c>
      <c r="B28" s="56">
        <v>7.52</v>
      </c>
      <c r="C28" s="56">
        <v>3.98</v>
      </c>
      <c r="D28" s="56">
        <v>12.56</v>
      </c>
      <c r="E28" s="56">
        <v>15.79</v>
      </c>
      <c r="F28" s="56">
        <v>25.23</v>
      </c>
      <c r="G28" s="56">
        <v>60.36</v>
      </c>
      <c r="H28" s="56">
        <v>17.489999999999998</v>
      </c>
      <c r="I28" s="56">
        <v>19.12</v>
      </c>
      <c r="J28" s="56">
        <v>2.38</v>
      </c>
      <c r="K28" s="56">
        <v>48.03</v>
      </c>
      <c r="L28" s="56">
        <v>31.28</v>
      </c>
      <c r="M28" s="56">
        <v>54.93</v>
      </c>
      <c r="N28" s="56">
        <v>1.9</v>
      </c>
      <c r="O28" s="56">
        <v>0</v>
      </c>
      <c r="P28" s="56">
        <v>0.19</v>
      </c>
      <c r="Q28" s="56">
        <v>4.62</v>
      </c>
    </row>
    <row r="29" spans="1:17" customFormat="1">
      <c r="A29" s="55">
        <v>45451.875</v>
      </c>
      <c r="B29" s="56">
        <v>7.53</v>
      </c>
      <c r="C29" s="56">
        <v>3.98</v>
      </c>
      <c r="D29" s="56">
        <v>12.57</v>
      </c>
      <c r="E29" s="56">
        <v>23.97</v>
      </c>
      <c r="F29" s="56">
        <v>20.07</v>
      </c>
      <c r="G29" s="56">
        <v>56.28</v>
      </c>
      <c r="H29" s="56">
        <v>16.149999999999999</v>
      </c>
      <c r="I29" s="56">
        <v>16.010000000000002</v>
      </c>
      <c r="J29" s="56">
        <v>0.88</v>
      </c>
      <c r="K29" s="56">
        <v>293.10000000000002</v>
      </c>
      <c r="L29" s="56">
        <v>31.81</v>
      </c>
      <c r="M29" s="56">
        <v>53.38</v>
      </c>
      <c r="N29" s="56">
        <v>1.9</v>
      </c>
      <c r="O29" s="56">
        <v>0</v>
      </c>
      <c r="P29" s="56">
        <v>0.22</v>
      </c>
      <c r="Q29" s="56">
        <v>4.63</v>
      </c>
    </row>
    <row r="30" spans="1:17" customFormat="1">
      <c r="A30" s="55">
        <v>45451.916666666664</v>
      </c>
      <c r="B30" s="56">
        <v>7.51</v>
      </c>
      <c r="C30" s="56">
        <v>3.99</v>
      </c>
      <c r="D30" s="56">
        <v>12.56</v>
      </c>
      <c r="E30" s="56">
        <v>16.420000000000002</v>
      </c>
      <c r="F30" s="56">
        <v>40.32</v>
      </c>
      <c r="G30" s="56">
        <v>59.96</v>
      </c>
      <c r="H30" s="56">
        <v>18.79</v>
      </c>
      <c r="I30" s="56">
        <v>14.84</v>
      </c>
      <c r="J30" s="56">
        <v>0.82</v>
      </c>
      <c r="K30" s="56">
        <v>266.76</v>
      </c>
      <c r="L30" s="56">
        <v>31.08</v>
      </c>
      <c r="M30" s="56">
        <v>58.85</v>
      </c>
      <c r="N30" s="56">
        <v>2</v>
      </c>
      <c r="O30" s="56">
        <v>0</v>
      </c>
      <c r="P30" s="56">
        <v>0.28000000000000003</v>
      </c>
      <c r="Q30" s="56">
        <v>4.63</v>
      </c>
    </row>
    <row r="31" spans="1:17" customFormat="1">
      <c r="A31" s="55">
        <v>45451.958333333336</v>
      </c>
      <c r="B31" s="56">
        <v>7.52</v>
      </c>
      <c r="C31" s="56">
        <v>3.98</v>
      </c>
      <c r="D31" s="56">
        <v>12.56</v>
      </c>
      <c r="E31" s="56">
        <v>11.9</v>
      </c>
      <c r="F31" s="56">
        <v>40.119999999999997</v>
      </c>
      <c r="G31" s="56">
        <v>60.13</v>
      </c>
      <c r="H31" s="56">
        <v>20.12</v>
      </c>
      <c r="I31" s="56">
        <v>8.76</v>
      </c>
      <c r="J31" s="56">
        <v>0.77</v>
      </c>
      <c r="K31" s="56">
        <v>260.54000000000002</v>
      </c>
      <c r="L31" s="56">
        <v>30.48</v>
      </c>
      <c r="M31" s="56">
        <v>66.92</v>
      </c>
      <c r="N31" s="56">
        <v>2.2999999999999998</v>
      </c>
      <c r="O31" s="56">
        <v>0</v>
      </c>
      <c r="P31" s="56">
        <v>0.19</v>
      </c>
      <c r="Q31" s="56">
        <v>6.41</v>
      </c>
    </row>
    <row r="32" spans="1:17" customFormat="1">
      <c r="A32" s="55">
        <v>45452</v>
      </c>
      <c r="B32" s="56">
        <v>7.56</v>
      </c>
      <c r="C32" s="56">
        <v>3.98</v>
      </c>
      <c r="D32" s="56">
        <v>12.59</v>
      </c>
      <c r="E32" s="56">
        <v>7.92</v>
      </c>
      <c r="F32" s="56">
        <v>49.03</v>
      </c>
      <c r="G32" s="56">
        <v>44.45</v>
      </c>
      <c r="H32" s="56">
        <v>17.7</v>
      </c>
      <c r="I32" s="56">
        <v>9.2200000000000006</v>
      </c>
      <c r="J32" s="56">
        <v>0.65</v>
      </c>
      <c r="K32" s="56">
        <v>260.2</v>
      </c>
      <c r="L32" s="56">
        <v>28.85</v>
      </c>
      <c r="M32" s="56">
        <v>69.260000000000005</v>
      </c>
      <c r="N32" s="56">
        <v>2</v>
      </c>
      <c r="O32" s="56">
        <v>0</v>
      </c>
      <c r="P32" s="56">
        <v>0.13</v>
      </c>
      <c r="Q32" s="56">
        <v>5.75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5.35</v>
      </c>
      <c r="C34" s="41">
        <f t="shared" si="0"/>
        <v>3.98</v>
      </c>
      <c r="D34" s="41">
        <f t="shared" si="0"/>
        <v>12.41</v>
      </c>
      <c r="E34" s="41">
        <f t="shared" si="0"/>
        <v>6.61</v>
      </c>
      <c r="F34" s="41">
        <f t="shared" si="0"/>
        <v>11.34</v>
      </c>
      <c r="G34" s="41">
        <f t="shared" si="0"/>
        <v>13.99</v>
      </c>
      <c r="H34" s="41">
        <f t="shared" si="0"/>
        <v>6.57</v>
      </c>
      <c r="I34" s="41">
        <f t="shared" si="0"/>
        <v>0</v>
      </c>
      <c r="J34" s="41">
        <f t="shared" si="0"/>
        <v>-1.1000000000000001</v>
      </c>
      <c r="K34" s="41">
        <f t="shared" si="0"/>
        <v>0</v>
      </c>
      <c r="L34" s="41">
        <f t="shared" si="0"/>
        <v>28.85</v>
      </c>
      <c r="M34" s="41">
        <f t="shared" si="0"/>
        <v>35.79</v>
      </c>
      <c r="N34" s="41">
        <f t="shared" si="0"/>
        <v>0</v>
      </c>
      <c r="O34" s="41">
        <f t="shared" si="0"/>
        <v>0</v>
      </c>
      <c r="P34" s="41">
        <f t="shared" si="0"/>
        <v>0.13</v>
      </c>
      <c r="Q34" s="41">
        <f t="shared" si="0"/>
        <v>4.57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7.99</v>
      </c>
      <c r="C35" s="33">
        <f t="shared" si="1"/>
        <v>6.1</v>
      </c>
      <c r="D35" s="33">
        <f t="shared" si="1"/>
        <v>14.52</v>
      </c>
      <c r="E35" s="33">
        <f t="shared" si="1"/>
        <v>35.4</v>
      </c>
      <c r="F35" s="33">
        <f t="shared" si="1"/>
        <v>68.39</v>
      </c>
      <c r="G35" s="33">
        <f t="shared" si="1"/>
        <v>60.36</v>
      </c>
      <c r="H35" s="33">
        <f t="shared" si="1"/>
        <v>20.12</v>
      </c>
      <c r="I35" s="33">
        <f t="shared" si="1"/>
        <v>39.93</v>
      </c>
      <c r="J35" s="33">
        <f t="shared" si="1"/>
        <v>4.0999999999999996</v>
      </c>
      <c r="K35" s="33">
        <f t="shared" si="1"/>
        <v>331.13</v>
      </c>
      <c r="L35" s="33">
        <f t="shared" si="1"/>
        <v>40.28</v>
      </c>
      <c r="M35" s="33">
        <f t="shared" si="1"/>
        <v>69.260000000000005</v>
      </c>
      <c r="N35" s="33">
        <f t="shared" si="1"/>
        <v>710.7</v>
      </c>
      <c r="O35" s="33">
        <f t="shared" si="1"/>
        <v>0</v>
      </c>
      <c r="P35" s="33">
        <f t="shared" si="1"/>
        <v>0.47</v>
      </c>
      <c r="Q35" s="33">
        <f t="shared" si="1"/>
        <v>26.54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7.2270833333333337</v>
      </c>
      <c r="C36" s="41">
        <f t="shared" si="2"/>
        <v>5.2316666666666665</v>
      </c>
      <c r="D36" s="41">
        <f t="shared" si="2"/>
        <v>13.284583333333332</v>
      </c>
      <c r="E36" s="41">
        <f t="shared" si="2"/>
        <v>13.9625</v>
      </c>
      <c r="F36" s="41">
        <f t="shared" si="2"/>
        <v>31.927916666666675</v>
      </c>
      <c r="G36" s="41">
        <f t="shared" si="2"/>
        <v>33.183750000000003</v>
      </c>
      <c r="H36" s="41">
        <f t="shared" si="2"/>
        <v>12.668333333333335</v>
      </c>
      <c r="I36" s="41">
        <f t="shared" si="2"/>
        <v>9.4691666666666645</v>
      </c>
      <c r="J36" s="41">
        <f t="shared" si="2"/>
        <v>0.97541666666666638</v>
      </c>
      <c r="K36" s="41">
        <f t="shared" si="2"/>
        <v>246.67833333333337</v>
      </c>
      <c r="L36" s="41">
        <f t="shared" si="2"/>
        <v>33.527499999999996</v>
      </c>
      <c r="M36" s="41">
        <f t="shared" si="2"/>
        <v>54.757083333333327</v>
      </c>
      <c r="N36" s="41">
        <f t="shared" si="2"/>
        <v>173.53749999999994</v>
      </c>
      <c r="O36" s="41">
        <f t="shared" si="2"/>
        <v>0</v>
      </c>
      <c r="P36" s="41">
        <f t="shared" si="2"/>
        <v>0.32124999999999998</v>
      </c>
      <c r="Q36" s="41">
        <f t="shared" si="2"/>
        <v>5.7969565217391308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0.49066484768487278</v>
      </c>
      <c r="C37" s="41">
        <f t="shared" ref="C37:Q37" si="3">STDEV(C9:C32)</f>
        <v>1.0268765078230413</v>
      </c>
      <c r="D37" s="41">
        <f t="shared" si="3"/>
        <v>0.71374687491384348</v>
      </c>
      <c r="E37" s="41">
        <f t="shared" si="3"/>
        <v>6.8497180202196386</v>
      </c>
      <c r="F37" s="41">
        <f t="shared" si="3"/>
        <v>18.090036647442052</v>
      </c>
      <c r="G37" s="41">
        <f t="shared" si="3"/>
        <v>15.152893772277062</v>
      </c>
      <c r="H37" s="41">
        <f t="shared" si="3"/>
        <v>4.2952913214625905</v>
      </c>
      <c r="I37" s="41">
        <f t="shared" si="3"/>
        <v>10.480610634660671</v>
      </c>
      <c r="J37" s="41">
        <f t="shared" si="3"/>
        <v>0.90475545178585837</v>
      </c>
      <c r="K37" s="41">
        <f t="shared" si="3"/>
        <v>85.135930628953375</v>
      </c>
      <c r="L37" s="41">
        <f t="shared" si="3"/>
        <v>3.9762679137275247</v>
      </c>
      <c r="M37" s="41">
        <f t="shared" si="3"/>
        <v>11.621245341920199</v>
      </c>
      <c r="N37" s="41">
        <f t="shared" si="3"/>
        <v>238.14137345282953</v>
      </c>
      <c r="O37" s="41">
        <f t="shared" si="3"/>
        <v>0</v>
      </c>
      <c r="P37" s="41">
        <f t="shared" si="3"/>
        <v>0.10567844994419957</v>
      </c>
      <c r="Q37" s="41">
        <f t="shared" si="3"/>
        <v>4.5406741938160824</v>
      </c>
      <c r="R37" s="41"/>
      <c r="S37" s="41"/>
      <c r="T37" s="41"/>
      <c r="U37" s="41"/>
    </row>
    <row r="38" spans="1:21" s="1" customFormat="1">
      <c r="A38" s="48" t="s">
        <v>52</v>
      </c>
      <c r="B38" s="49">
        <f t="shared" ref="B38:Q38" si="4">COUNT(B9:B32)</f>
        <v>24</v>
      </c>
      <c r="C38" s="49">
        <f t="shared" si="4"/>
        <v>24</v>
      </c>
      <c r="D38" s="49">
        <f t="shared" si="4"/>
        <v>24</v>
      </c>
      <c r="E38" s="49">
        <f t="shared" si="4"/>
        <v>24</v>
      </c>
      <c r="F38" s="49">
        <f t="shared" si="4"/>
        <v>24</v>
      </c>
      <c r="G38" s="49">
        <f t="shared" si="4"/>
        <v>24</v>
      </c>
      <c r="H38" s="49">
        <f t="shared" si="4"/>
        <v>24</v>
      </c>
      <c r="I38" s="49">
        <f t="shared" si="4"/>
        <v>24</v>
      </c>
      <c r="J38" s="49">
        <f t="shared" si="4"/>
        <v>24</v>
      </c>
      <c r="K38" s="49">
        <f t="shared" si="4"/>
        <v>24</v>
      </c>
      <c r="L38" s="49">
        <f t="shared" si="4"/>
        <v>24</v>
      </c>
      <c r="M38" s="49">
        <f t="shared" si="4"/>
        <v>24</v>
      </c>
      <c r="N38" s="49">
        <f t="shared" si="4"/>
        <v>24</v>
      </c>
      <c r="O38" s="49">
        <f t="shared" si="4"/>
        <v>24</v>
      </c>
      <c r="P38" s="49">
        <f t="shared" si="4"/>
        <v>24</v>
      </c>
      <c r="Q38" s="49">
        <f t="shared" si="4"/>
        <v>23</v>
      </c>
      <c r="R38" s="49"/>
      <c r="S38" s="49"/>
      <c r="T38" s="49"/>
      <c r="U38" s="49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52"/>
      <c r="O41" s="52"/>
      <c r="P41" s="52"/>
      <c r="Q41" s="52"/>
      <c r="R41" s="52"/>
      <c r="S41" s="52"/>
      <c r="T41" s="52"/>
      <c r="U41" s="52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50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30" activePane="bottomRight" state="frozen"/>
      <selection activeCell="A9" sqref="A9"/>
      <selection pane="topRight" activeCell="A9" sqref="A9"/>
      <selection pane="bottomLeft" activeCell="A9" sqref="A9"/>
      <selection pane="bottomRight" activeCell="C38" sqref="B38:Q38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45452.041666666664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5">
        <v>45452.041666666664</v>
      </c>
      <c r="B9" s="56">
        <v>9.1</v>
      </c>
      <c r="C9" s="56">
        <v>4.0999999999999996</v>
      </c>
      <c r="D9" s="56">
        <v>13.89</v>
      </c>
      <c r="E9" s="56">
        <v>6.99</v>
      </c>
      <c r="F9" s="56">
        <v>42.47</v>
      </c>
      <c r="G9" s="56">
        <v>39.799999999999997</v>
      </c>
      <c r="H9" s="56">
        <v>15.95</v>
      </c>
      <c r="I9" s="56">
        <v>6.94</v>
      </c>
      <c r="J9" s="56">
        <v>0.6</v>
      </c>
      <c r="K9" s="56">
        <v>281.14</v>
      </c>
      <c r="L9" s="56">
        <v>28.91</v>
      </c>
      <c r="M9" s="56">
        <v>69.010000000000005</v>
      </c>
      <c r="N9" s="56">
        <v>1.6</v>
      </c>
      <c r="O9" s="56">
        <v>0</v>
      </c>
      <c r="P9" s="56">
        <v>0.11</v>
      </c>
      <c r="Q9" s="56">
        <v>4.66</v>
      </c>
    </row>
    <row r="10" spans="1:21" customFormat="1">
      <c r="A10" s="55">
        <v>45452.083333333336</v>
      </c>
      <c r="B10" s="56">
        <v>9.1199999999999992</v>
      </c>
      <c r="C10" s="56">
        <v>4.09</v>
      </c>
      <c r="D10" s="56">
        <v>13.89</v>
      </c>
      <c r="E10" s="56">
        <v>7.23</v>
      </c>
      <c r="F10" s="56">
        <v>43.08</v>
      </c>
      <c r="G10" s="56">
        <v>28.1</v>
      </c>
      <c r="H10" s="56">
        <v>16.02</v>
      </c>
      <c r="I10" s="56">
        <v>6.75</v>
      </c>
      <c r="J10" s="56">
        <v>0.3</v>
      </c>
      <c r="K10" s="56">
        <v>267.14</v>
      </c>
      <c r="L10" s="56">
        <v>28.6</v>
      </c>
      <c r="M10" s="56">
        <v>69.14</v>
      </c>
      <c r="N10" s="56">
        <v>1.6</v>
      </c>
      <c r="O10" s="56">
        <v>0</v>
      </c>
      <c r="P10" s="56">
        <v>0.12</v>
      </c>
      <c r="Q10" s="56">
        <v>4.66</v>
      </c>
    </row>
    <row r="11" spans="1:21" customFormat="1">
      <c r="A11" s="55">
        <v>45452.125</v>
      </c>
      <c r="B11" s="56">
        <v>9.16</v>
      </c>
      <c r="C11" s="56">
        <v>4.07</v>
      </c>
      <c r="D11" s="56">
        <v>13.92</v>
      </c>
      <c r="E11" s="56">
        <v>11.37</v>
      </c>
      <c r="F11" s="56">
        <v>18.27</v>
      </c>
      <c r="G11" s="56">
        <v>24.97</v>
      </c>
      <c r="H11" s="56">
        <v>11.25</v>
      </c>
      <c r="I11" s="56">
        <v>7.65</v>
      </c>
      <c r="J11" s="56">
        <v>0.53</v>
      </c>
      <c r="K11" s="56">
        <v>260.56</v>
      </c>
      <c r="L11" s="56">
        <v>28.48</v>
      </c>
      <c r="M11" s="56">
        <v>72.42</v>
      </c>
      <c r="N11" s="56">
        <v>1.7</v>
      </c>
      <c r="O11" s="56">
        <v>0</v>
      </c>
      <c r="P11" s="56">
        <v>0.11</v>
      </c>
      <c r="Q11" s="56">
        <v>4.63</v>
      </c>
    </row>
    <row r="12" spans="1:21" customFormat="1">
      <c r="A12" s="55">
        <v>45452.166666666664</v>
      </c>
      <c r="B12" s="56">
        <v>9.1199999999999992</v>
      </c>
      <c r="C12" s="56">
        <v>4.08</v>
      </c>
      <c r="D12" s="56">
        <v>13.86</v>
      </c>
      <c r="E12" s="56">
        <v>11.55</v>
      </c>
      <c r="F12" s="56">
        <v>15.5</v>
      </c>
      <c r="G12" s="56">
        <v>21.33</v>
      </c>
      <c r="H12" s="56">
        <v>11.25</v>
      </c>
      <c r="I12" s="56">
        <v>7.5</v>
      </c>
      <c r="J12" s="56">
        <v>0.62</v>
      </c>
      <c r="K12" s="56">
        <v>260.16000000000003</v>
      </c>
      <c r="L12" s="56">
        <v>27.85</v>
      </c>
      <c r="M12" s="56">
        <v>77.319999999999993</v>
      </c>
      <c r="N12" s="56">
        <v>1.6</v>
      </c>
      <c r="O12" s="56">
        <v>0</v>
      </c>
      <c r="P12" s="56">
        <v>0.1</v>
      </c>
      <c r="Q12" s="56">
        <v>4.6500000000000004</v>
      </c>
    </row>
    <row r="13" spans="1:21" customFormat="1">
      <c r="A13" s="55">
        <v>45452.208333333336</v>
      </c>
      <c r="B13" s="56">
        <v>9.09</v>
      </c>
      <c r="C13" s="56">
        <v>4.0999999999999996</v>
      </c>
      <c r="D13" s="56">
        <v>13.87</v>
      </c>
      <c r="E13" s="56">
        <v>11.58</v>
      </c>
      <c r="F13" s="56">
        <v>13.3</v>
      </c>
      <c r="G13" s="56">
        <v>21.02</v>
      </c>
      <c r="H13" s="56">
        <v>9.41</v>
      </c>
      <c r="I13" s="56">
        <v>7.33</v>
      </c>
      <c r="J13" s="56">
        <v>0.56000000000000005</v>
      </c>
      <c r="K13" s="56">
        <v>261.45999999999998</v>
      </c>
      <c r="L13" s="56">
        <v>27.62</v>
      </c>
      <c r="M13" s="56">
        <v>77.83</v>
      </c>
      <c r="N13" s="56">
        <v>1.6</v>
      </c>
      <c r="O13" s="56">
        <v>0</v>
      </c>
      <c r="P13" s="56">
        <v>0.1</v>
      </c>
      <c r="Q13" s="56">
        <v>4.66</v>
      </c>
    </row>
    <row r="14" spans="1:21" customFormat="1">
      <c r="A14" s="55">
        <v>45452.25</v>
      </c>
      <c r="B14" s="56">
        <v>9.08</v>
      </c>
      <c r="C14" s="56">
        <v>4.09</v>
      </c>
      <c r="D14" s="56">
        <v>13.86</v>
      </c>
      <c r="E14" s="56">
        <v>11.98</v>
      </c>
      <c r="F14" s="56">
        <v>13.06</v>
      </c>
      <c r="G14" s="56">
        <v>18.47</v>
      </c>
      <c r="H14" s="56">
        <v>7.11</v>
      </c>
      <c r="I14" s="56">
        <v>7.01</v>
      </c>
      <c r="J14" s="56">
        <v>0.35</v>
      </c>
      <c r="K14" s="56">
        <v>247.18</v>
      </c>
      <c r="L14" s="56">
        <v>28.06</v>
      </c>
      <c r="M14" s="56">
        <v>75.540000000000006</v>
      </c>
      <c r="N14" s="56">
        <v>31.3</v>
      </c>
      <c r="O14" s="56">
        <v>0</v>
      </c>
      <c r="P14" s="56">
        <v>0.1</v>
      </c>
      <c r="Q14" s="56">
        <v>4.84</v>
      </c>
    </row>
    <row r="15" spans="1:21" customFormat="1">
      <c r="A15" s="55">
        <v>45452.291666666664</v>
      </c>
      <c r="B15" s="56">
        <v>9.07</v>
      </c>
      <c r="C15" s="56">
        <v>4.07</v>
      </c>
      <c r="D15" s="56">
        <v>13.84</v>
      </c>
      <c r="E15" s="56">
        <v>12.02</v>
      </c>
      <c r="F15" s="56">
        <v>22.96</v>
      </c>
      <c r="G15" s="56">
        <v>16.48</v>
      </c>
      <c r="H15" s="56">
        <v>7.78</v>
      </c>
      <c r="I15" s="56">
        <v>6.84</v>
      </c>
      <c r="J15" s="56">
        <v>0.56999999999999995</v>
      </c>
      <c r="K15" s="56">
        <v>257.91000000000003</v>
      </c>
      <c r="L15" s="56">
        <v>29.8</v>
      </c>
      <c r="M15" s="56">
        <v>73.23</v>
      </c>
      <c r="N15" s="56">
        <v>111.4</v>
      </c>
      <c r="O15" s="56">
        <v>0</v>
      </c>
      <c r="P15" s="56">
        <v>0.12</v>
      </c>
      <c r="Q15" s="56">
        <v>4.7</v>
      </c>
    </row>
    <row r="16" spans="1:21" customFormat="1">
      <c r="A16" s="55">
        <v>45452.333333333336</v>
      </c>
      <c r="B16" s="56">
        <v>9.1</v>
      </c>
      <c r="C16" s="56">
        <v>4.09</v>
      </c>
      <c r="D16" s="56">
        <v>13.88</v>
      </c>
      <c r="E16" s="56">
        <v>10.55</v>
      </c>
      <c r="F16" s="56">
        <v>24.87</v>
      </c>
      <c r="G16" s="56">
        <v>16.38</v>
      </c>
      <c r="H16" s="56">
        <v>8.8699999999999992</v>
      </c>
      <c r="I16" s="56">
        <v>6.12</v>
      </c>
      <c r="J16" s="56">
        <v>0.96</v>
      </c>
      <c r="K16" s="56">
        <v>273.60000000000002</v>
      </c>
      <c r="L16" s="56">
        <v>31.96</v>
      </c>
      <c r="M16" s="56">
        <v>67.48</v>
      </c>
      <c r="N16" s="56">
        <v>146.5</v>
      </c>
      <c r="O16" s="56">
        <v>0</v>
      </c>
      <c r="P16" s="56">
        <v>0.12</v>
      </c>
      <c r="Q16" s="56">
        <v>4.7</v>
      </c>
    </row>
    <row r="17" spans="1:17" customFormat="1">
      <c r="A17" s="55">
        <v>45452.375</v>
      </c>
      <c r="B17" s="56">
        <v>9.1300000000000008</v>
      </c>
      <c r="C17" s="56">
        <v>4.07</v>
      </c>
      <c r="D17" s="56">
        <v>13.89</v>
      </c>
      <c r="E17" s="56">
        <v>10.51</v>
      </c>
      <c r="F17" s="56">
        <v>29.4</v>
      </c>
      <c r="G17" s="56">
        <v>20.149999999999999</v>
      </c>
      <c r="H17" s="56">
        <v>10.93</v>
      </c>
      <c r="I17" s="56">
        <v>5.64</v>
      </c>
      <c r="J17" s="56">
        <v>1.1299999999999999</v>
      </c>
      <c r="K17" s="56">
        <v>287.93</v>
      </c>
      <c r="L17" s="56">
        <v>33.78</v>
      </c>
      <c r="M17" s="56">
        <v>60.64</v>
      </c>
      <c r="N17" s="56">
        <v>187.2</v>
      </c>
      <c r="O17" s="56">
        <v>0</v>
      </c>
      <c r="P17" s="56">
        <v>0.12</v>
      </c>
      <c r="Q17" s="56">
        <v>4.7</v>
      </c>
    </row>
    <row r="18" spans="1:17" customFormat="1">
      <c r="A18" s="55">
        <v>45452.416666666664</v>
      </c>
      <c r="B18" s="56">
        <v>9.11</v>
      </c>
      <c r="C18" s="56">
        <v>4.0999999999999996</v>
      </c>
      <c r="D18" s="56">
        <v>13.89</v>
      </c>
      <c r="E18" s="56">
        <v>11.81</v>
      </c>
      <c r="F18" s="56">
        <v>26.42</v>
      </c>
      <c r="G18" s="56">
        <v>24.15</v>
      </c>
      <c r="H18" s="56">
        <v>11.28</v>
      </c>
      <c r="I18" s="56">
        <v>5.43</v>
      </c>
      <c r="J18" s="56">
        <v>1.33</v>
      </c>
      <c r="K18" s="56">
        <v>298.07</v>
      </c>
      <c r="L18" s="56">
        <v>35.49</v>
      </c>
      <c r="M18" s="56">
        <v>53.66</v>
      </c>
      <c r="N18" s="56">
        <v>253.8</v>
      </c>
      <c r="O18" s="56">
        <v>0</v>
      </c>
      <c r="P18" s="56">
        <v>0.17</v>
      </c>
      <c r="Q18" s="56">
        <v>4.68</v>
      </c>
    </row>
    <row r="19" spans="1:17" customFormat="1">
      <c r="A19" s="55">
        <v>45452.458333333336</v>
      </c>
      <c r="B19" s="56">
        <v>9.09</v>
      </c>
      <c r="C19" s="56">
        <v>4.09</v>
      </c>
      <c r="D19" s="56">
        <v>13.87</v>
      </c>
      <c r="E19" s="56">
        <v>18.989999999999998</v>
      </c>
      <c r="F19" s="56">
        <v>43.99</v>
      </c>
      <c r="G19" s="56">
        <v>19.579999999999998</v>
      </c>
      <c r="H19" s="56">
        <v>12.7</v>
      </c>
      <c r="I19" s="56">
        <v>6.32</v>
      </c>
      <c r="J19" s="56">
        <v>1.24</v>
      </c>
      <c r="K19" s="56">
        <v>331.15</v>
      </c>
      <c r="L19" s="56">
        <v>36.65</v>
      </c>
      <c r="M19" s="56">
        <v>47.39</v>
      </c>
      <c r="N19" s="56">
        <v>292.8</v>
      </c>
      <c r="O19" s="56">
        <v>0</v>
      </c>
      <c r="P19" s="56">
        <v>0.26</v>
      </c>
      <c r="Q19" s="56">
        <v>4.6399999999999997</v>
      </c>
    </row>
    <row r="20" spans="1:17" customFormat="1">
      <c r="A20" s="55">
        <v>45452.5</v>
      </c>
      <c r="B20" s="56">
        <v>9.1199999999999992</v>
      </c>
      <c r="C20" s="56">
        <v>4.08</v>
      </c>
      <c r="D20" s="56">
        <v>13.9</v>
      </c>
      <c r="E20" s="56">
        <v>15.83</v>
      </c>
      <c r="F20" s="56">
        <v>38.72</v>
      </c>
      <c r="G20" s="56">
        <v>24.63</v>
      </c>
      <c r="H20" s="56">
        <v>14.24</v>
      </c>
      <c r="I20" s="56">
        <v>6.27</v>
      </c>
      <c r="J20" s="56">
        <v>0.83</v>
      </c>
      <c r="K20" s="56">
        <v>320.87</v>
      </c>
      <c r="L20" s="56">
        <v>38.229999999999997</v>
      </c>
      <c r="M20" s="56">
        <v>43.53</v>
      </c>
      <c r="N20" s="56">
        <v>464.3</v>
      </c>
      <c r="O20" s="56">
        <v>0</v>
      </c>
      <c r="P20" s="56">
        <v>0.24</v>
      </c>
      <c r="Q20" s="56">
        <v>4.67</v>
      </c>
    </row>
    <row r="21" spans="1:17" customFormat="1">
      <c r="A21" s="55">
        <v>45452.541666666664</v>
      </c>
      <c r="B21" s="56">
        <v>9.14</v>
      </c>
      <c r="C21" s="56">
        <v>4.1100000000000003</v>
      </c>
      <c r="D21" s="56">
        <v>13.92</v>
      </c>
      <c r="E21" s="56">
        <v>17.100000000000001</v>
      </c>
      <c r="F21" s="56">
        <v>45.4</v>
      </c>
      <c r="G21" s="56">
        <v>28.78</v>
      </c>
      <c r="H21" s="56">
        <v>13.64</v>
      </c>
      <c r="I21" s="56">
        <v>6.27</v>
      </c>
      <c r="J21" s="56">
        <v>1</v>
      </c>
      <c r="K21" s="56">
        <v>320.39</v>
      </c>
      <c r="L21" s="56">
        <v>38.47</v>
      </c>
      <c r="M21" s="56">
        <v>41.41</v>
      </c>
      <c r="N21" s="56">
        <v>749.1</v>
      </c>
      <c r="O21" s="56">
        <v>0</v>
      </c>
      <c r="P21" s="56">
        <v>0.16</v>
      </c>
      <c r="Q21" s="56">
        <v>4.66</v>
      </c>
    </row>
    <row r="22" spans="1:17" customFormat="1">
      <c r="A22" s="55">
        <v>45452.583333333336</v>
      </c>
      <c r="B22" s="56">
        <v>9.19</v>
      </c>
      <c r="C22" s="56">
        <v>4.07</v>
      </c>
      <c r="D22" s="56">
        <v>13.94</v>
      </c>
      <c r="E22" s="56">
        <v>18.559999999999999</v>
      </c>
      <c r="F22" s="56">
        <v>51.69</v>
      </c>
      <c r="G22" s="56">
        <v>37.49</v>
      </c>
      <c r="H22" s="56">
        <v>16.18</v>
      </c>
      <c r="I22" s="56">
        <v>5.94</v>
      </c>
      <c r="J22" s="56">
        <v>0.91</v>
      </c>
      <c r="K22" s="56">
        <v>338.14</v>
      </c>
      <c r="L22" s="56">
        <v>39.409999999999997</v>
      </c>
      <c r="M22" s="56">
        <v>39.090000000000003</v>
      </c>
      <c r="N22" s="56">
        <v>607.29999999999995</v>
      </c>
      <c r="O22" s="56">
        <v>0</v>
      </c>
      <c r="P22" s="56">
        <v>0.18</v>
      </c>
      <c r="Q22" s="56">
        <v>4.6900000000000004</v>
      </c>
    </row>
    <row r="23" spans="1:17" customFormat="1">
      <c r="A23" s="55">
        <v>45452.625</v>
      </c>
      <c r="B23" s="56">
        <v>9.15</v>
      </c>
      <c r="C23" s="56">
        <v>4.07</v>
      </c>
      <c r="D23" s="56">
        <v>13.91</v>
      </c>
      <c r="E23" s="56">
        <v>19.77</v>
      </c>
      <c r="F23" s="56">
        <v>48.56</v>
      </c>
      <c r="G23" s="56">
        <v>42.2</v>
      </c>
      <c r="H23" s="56">
        <v>18.48</v>
      </c>
      <c r="I23" s="56">
        <v>5.76</v>
      </c>
      <c r="J23" s="56">
        <v>0.96</v>
      </c>
      <c r="K23" s="56">
        <v>320.51</v>
      </c>
      <c r="L23" s="56">
        <v>40.57</v>
      </c>
      <c r="M23" s="56">
        <v>37.200000000000003</v>
      </c>
      <c r="N23" s="56">
        <v>538.5</v>
      </c>
      <c r="O23" s="56">
        <v>0</v>
      </c>
      <c r="P23" s="56">
        <v>0.47</v>
      </c>
      <c r="Q23" s="56">
        <v>4.67</v>
      </c>
    </row>
    <row r="24" spans="1:17" customFormat="1">
      <c r="A24" s="55">
        <v>45452.666666666664</v>
      </c>
      <c r="B24" s="56">
        <v>9.1199999999999992</v>
      </c>
      <c r="C24" s="56">
        <v>4.09</v>
      </c>
      <c r="D24" s="56">
        <v>13.89</v>
      </c>
      <c r="E24" s="56">
        <v>21.93</v>
      </c>
      <c r="F24" s="56">
        <v>55.04</v>
      </c>
      <c r="G24" s="56">
        <v>49.73</v>
      </c>
      <c r="H24" s="56">
        <v>19.579999999999998</v>
      </c>
      <c r="I24" s="56">
        <v>5.49</v>
      </c>
      <c r="J24" s="56">
        <v>1.85</v>
      </c>
      <c r="K24" s="56">
        <v>350.64</v>
      </c>
      <c r="L24" s="56">
        <v>39.19</v>
      </c>
      <c r="M24" s="56">
        <v>68.28</v>
      </c>
      <c r="N24" s="56">
        <v>415.3</v>
      </c>
      <c r="O24" s="56">
        <v>7.8</v>
      </c>
      <c r="P24" s="56">
        <v>0.48</v>
      </c>
      <c r="Q24" s="56">
        <v>4.67</v>
      </c>
    </row>
    <row r="25" spans="1:17" customFormat="1">
      <c r="A25" s="55">
        <v>45452.708333333336</v>
      </c>
      <c r="B25" s="56">
        <v>9.11</v>
      </c>
      <c r="C25" s="56">
        <v>4.08</v>
      </c>
      <c r="D25" s="56">
        <v>13.89</v>
      </c>
      <c r="E25" s="56">
        <v>15.26</v>
      </c>
      <c r="F25" s="56">
        <v>41.77</v>
      </c>
      <c r="G25" s="56">
        <v>65.599999999999994</v>
      </c>
      <c r="H25" s="56">
        <v>21.12</v>
      </c>
      <c r="I25" s="56">
        <v>5.68</v>
      </c>
      <c r="J25" s="56">
        <v>1.72</v>
      </c>
      <c r="K25" s="56">
        <v>280.77999999999997</v>
      </c>
      <c r="L25" s="56">
        <v>25.26</v>
      </c>
      <c r="M25" s="56">
        <v>103.25</v>
      </c>
      <c r="N25" s="56">
        <v>66.400000000000006</v>
      </c>
      <c r="O25" s="56">
        <v>10.8</v>
      </c>
      <c r="P25" s="56">
        <v>0.47</v>
      </c>
      <c r="Q25" s="56">
        <v>4.6500000000000004</v>
      </c>
    </row>
    <row r="26" spans="1:17" customFormat="1">
      <c r="A26" s="55">
        <v>45452.75</v>
      </c>
      <c r="B26" s="9" t="s">
        <v>4</v>
      </c>
      <c r="C26" s="9" t="s">
        <v>4</v>
      </c>
      <c r="D26" s="9" t="s">
        <v>4</v>
      </c>
      <c r="E26" s="9" t="s">
        <v>4</v>
      </c>
      <c r="F26" s="9" t="s">
        <v>4</v>
      </c>
      <c r="G26" s="9" t="s">
        <v>4</v>
      </c>
      <c r="H26" s="9" t="s">
        <v>4</v>
      </c>
      <c r="I26" s="9" t="s">
        <v>4</v>
      </c>
      <c r="J26" s="9" t="s">
        <v>4</v>
      </c>
      <c r="K26" s="9" t="s">
        <v>4</v>
      </c>
      <c r="L26" s="9" t="s">
        <v>4</v>
      </c>
      <c r="M26" s="9" t="s">
        <v>4</v>
      </c>
      <c r="N26" s="9" t="s">
        <v>4</v>
      </c>
      <c r="O26" s="9" t="s">
        <v>4</v>
      </c>
      <c r="P26" s="9" t="s">
        <v>4</v>
      </c>
      <c r="Q26" s="9" t="s">
        <v>4</v>
      </c>
    </row>
    <row r="27" spans="1:17" customFormat="1">
      <c r="A27" s="55">
        <v>45452.791666666664</v>
      </c>
      <c r="B27" s="9" t="s">
        <v>4</v>
      </c>
      <c r="C27" s="9" t="s">
        <v>4</v>
      </c>
      <c r="D27" s="9" t="s">
        <v>4</v>
      </c>
      <c r="E27" s="9" t="s">
        <v>4</v>
      </c>
      <c r="F27" s="9" t="s">
        <v>4</v>
      </c>
      <c r="G27" s="9" t="s">
        <v>4</v>
      </c>
      <c r="H27" s="9" t="s">
        <v>4</v>
      </c>
      <c r="I27" s="9" t="s">
        <v>4</v>
      </c>
      <c r="J27" s="9" t="s">
        <v>4</v>
      </c>
      <c r="K27" s="9" t="s">
        <v>4</v>
      </c>
      <c r="L27" s="9" t="s">
        <v>4</v>
      </c>
      <c r="M27" s="9" t="s">
        <v>4</v>
      </c>
      <c r="N27" s="9" t="s">
        <v>4</v>
      </c>
      <c r="O27" s="9" t="s">
        <v>4</v>
      </c>
      <c r="P27" s="9" t="s">
        <v>4</v>
      </c>
      <c r="Q27" s="9" t="s">
        <v>4</v>
      </c>
    </row>
    <row r="28" spans="1:17" customFormat="1">
      <c r="A28" s="55">
        <v>45452.833333333336</v>
      </c>
      <c r="B28" s="9" t="s">
        <v>4</v>
      </c>
      <c r="C28" s="9" t="s">
        <v>4</v>
      </c>
      <c r="D28" s="9" t="s">
        <v>4</v>
      </c>
      <c r="E28" s="9" t="s">
        <v>4</v>
      </c>
      <c r="F28" s="9" t="s">
        <v>4</v>
      </c>
      <c r="G28" s="9" t="s">
        <v>4</v>
      </c>
      <c r="H28" s="9" t="s">
        <v>4</v>
      </c>
      <c r="I28" s="9" t="s">
        <v>4</v>
      </c>
      <c r="J28" s="9" t="s">
        <v>4</v>
      </c>
      <c r="K28" s="9" t="s">
        <v>4</v>
      </c>
      <c r="L28" s="9" t="s">
        <v>4</v>
      </c>
      <c r="M28" s="9" t="s">
        <v>4</v>
      </c>
      <c r="N28" s="9" t="s">
        <v>4</v>
      </c>
      <c r="O28" s="9" t="s">
        <v>4</v>
      </c>
      <c r="P28" s="9" t="s">
        <v>4</v>
      </c>
      <c r="Q28" s="9" t="s">
        <v>4</v>
      </c>
    </row>
    <row r="29" spans="1:17" customFormat="1">
      <c r="A29" s="55">
        <v>45452.875</v>
      </c>
      <c r="B29" s="9" t="s">
        <v>4</v>
      </c>
      <c r="C29" s="9" t="s">
        <v>4</v>
      </c>
      <c r="D29" s="9" t="s">
        <v>4</v>
      </c>
      <c r="E29" s="9" t="s">
        <v>4</v>
      </c>
      <c r="F29" s="9" t="s">
        <v>4</v>
      </c>
      <c r="G29" s="9" t="s">
        <v>4</v>
      </c>
      <c r="H29" s="9" t="s">
        <v>4</v>
      </c>
      <c r="I29" s="9" t="s">
        <v>4</v>
      </c>
      <c r="J29" s="9" t="s">
        <v>4</v>
      </c>
      <c r="K29" s="9" t="s">
        <v>4</v>
      </c>
      <c r="L29" s="9" t="s">
        <v>4</v>
      </c>
      <c r="M29" s="9" t="s">
        <v>4</v>
      </c>
      <c r="N29" s="9" t="s">
        <v>4</v>
      </c>
      <c r="O29" s="9" t="s">
        <v>4</v>
      </c>
      <c r="P29" s="9" t="s">
        <v>4</v>
      </c>
      <c r="Q29" s="9" t="s">
        <v>4</v>
      </c>
    </row>
    <row r="30" spans="1:17" customFormat="1">
      <c r="A30" s="55">
        <v>45452.916666666664</v>
      </c>
      <c r="B30" s="9" t="s">
        <v>4</v>
      </c>
      <c r="C30" s="9" t="s">
        <v>4</v>
      </c>
      <c r="D30" s="9" t="s">
        <v>4</v>
      </c>
      <c r="E30" s="9" t="s">
        <v>4</v>
      </c>
      <c r="F30" s="9" t="s">
        <v>4</v>
      </c>
      <c r="G30" s="9" t="s">
        <v>4</v>
      </c>
      <c r="H30" s="9" t="s">
        <v>4</v>
      </c>
      <c r="I30" s="9" t="s">
        <v>4</v>
      </c>
      <c r="J30" s="9" t="s">
        <v>4</v>
      </c>
      <c r="K30" s="9" t="s">
        <v>4</v>
      </c>
      <c r="L30" s="9" t="s">
        <v>4</v>
      </c>
      <c r="M30" s="9" t="s">
        <v>4</v>
      </c>
      <c r="N30" s="9" t="s">
        <v>4</v>
      </c>
      <c r="O30" s="9" t="s">
        <v>4</v>
      </c>
      <c r="P30" s="9" t="s">
        <v>4</v>
      </c>
      <c r="Q30" s="9" t="s">
        <v>4</v>
      </c>
    </row>
    <row r="31" spans="1:17" customFormat="1">
      <c r="A31" s="55">
        <v>45452.958333333336</v>
      </c>
      <c r="B31" s="9" t="s">
        <v>4</v>
      </c>
      <c r="C31" s="9" t="s">
        <v>4</v>
      </c>
      <c r="D31" s="9" t="s">
        <v>4</v>
      </c>
      <c r="E31" s="9" t="s">
        <v>4</v>
      </c>
      <c r="F31" s="9" t="s">
        <v>4</v>
      </c>
      <c r="G31" s="9" t="s">
        <v>4</v>
      </c>
      <c r="H31" s="9" t="s">
        <v>4</v>
      </c>
      <c r="I31" s="9" t="s">
        <v>4</v>
      </c>
      <c r="J31" s="9" t="s">
        <v>4</v>
      </c>
      <c r="K31" s="9" t="s">
        <v>4</v>
      </c>
      <c r="L31" s="9" t="s">
        <v>4</v>
      </c>
      <c r="M31" s="9" t="s">
        <v>4</v>
      </c>
      <c r="N31" s="9" t="s">
        <v>4</v>
      </c>
      <c r="O31" s="9" t="s">
        <v>4</v>
      </c>
      <c r="P31" s="9" t="s">
        <v>4</v>
      </c>
      <c r="Q31" s="9" t="s">
        <v>4</v>
      </c>
    </row>
    <row r="32" spans="1:17" customFormat="1">
      <c r="A32" s="55">
        <v>45453</v>
      </c>
      <c r="B32" s="9" t="s">
        <v>4</v>
      </c>
      <c r="C32" s="9" t="s">
        <v>4</v>
      </c>
      <c r="D32" s="9" t="s">
        <v>4</v>
      </c>
      <c r="E32" s="9" t="s">
        <v>4</v>
      </c>
      <c r="F32" s="9" t="s">
        <v>4</v>
      </c>
      <c r="G32" s="9" t="s">
        <v>4</v>
      </c>
      <c r="H32" s="9" t="s">
        <v>4</v>
      </c>
      <c r="I32" s="9" t="s">
        <v>4</v>
      </c>
      <c r="J32" s="9" t="s">
        <v>4</v>
      </c>
      <c r="K32" s="9" t="s">
        <v>4</v>
      </c>
      <c r="L32" s="9" t="s">
        <v>4</v>
      </c>
      <c r="M32" s="9" t="s">
        <v>4</v>
      </c>
      <c r="N32" s="9" t="s">
        <v>4</v>
      </c>
      <c r="O32" s="9" t="s">
        <v>4</v>
      </c>
      <c r="P32" s="9" t="s">
        <v>4</v>
      </c>
      <c r="Q32" s="9" t="s">
        <v>4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9.07</v>
      </c>
      <c r="C34" s="41">
        <f t="shared" si="0"/>
        <v>4.07</v>
      </c>
      <c r="D34" s="41">
        <f t="shared" si="0"/>
        <v>13.84</v>
      </c>
      <c r="E34" s="41">
        <f t="shared" si="0"/>
        <v>6.99</v>
      </c>
      <c r="F34" s="41">
        <f t="shared" si="0"/>
        <v>13.06</v>
      </c>
      <c r="G34" s="41">
        <f t="shared" si="0"/>
        <v>16.38</v>
      </c>
      <c r="H34" s="41">
        <f t="shared" si="0"/>
        <v>7.11</v>
      </c>
      <c r="I34" s="41">
        <f t="shared" si="0"/>
        <v>5.43</v>
      </c>
      <c r="J34" s="41">
        <f t="shared" si="0"/>
        <v>0.3</v>
      </c>
      <c r="K34" s="41">
        <f t="shared" si="0"/>
        <v>247.18</v>
      </c>
      <c r="L34" s="41">
        <f t="shared" si="0"/>
        <v>25.26</v>
      </c>
      <c r="M34" s="41">
        <f t="shared" si="0"/>
        <v>37.200000000000003</v>
      </c>
      <c r="N34" s="41">
        <f t="shared" si="0"/>
        <v>1.6</v>
      </c>
      <c r="O34" s="41">
        <f t="shared" si="0"/>
        <v>0</v>
      </c>
      <c r="P34" s="41">
        <f t="shared" si="0"/>
        <v>0.1</v>
      </c>
      <c r="Q34" s="41">
        <f t="shared" si="0"/>
        <v>4.63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9.19</v>
      </c>
      <c r="C35" s="33">
        <f t="shared" si="1"/>
        <v>4.1100000000000003</v>
      </c>
      <c r="D35" s="33">
        <f t="shared" si="1"/>
        <v>13.94</v>
      </c>
      <c r="E35" s="33">
        <f t="shared" si="1"/>
        <v>21.93</v>
      </c>
      <c r="F35" s="33">
        <f t="shared" si="1"/>
        <v>55.04</v>
      </c>
      <c r="G35" s="33">
        <f t="shared" si="1"/>
        <v>65.599999999999994</v>
      </c>
      <c r="H35" s="33">
        <f t="shared" si="1"/>
        <v>21.12</v>
      </c>
      <c r="I35" s="33">
        <f t="shared" si="1"/>
        <v>7.65</v>
      </c>
      <c r="J35" s="33">
        <f t="shared" si="1"/>
        <v>1.85</v>
      </c>
      <c r="K35" s="33">
        <f t="shared" si="1"/>
        <v>350.64</v>
      </c>
      <c r="L35" s="33">
        <f t="shared" si="1"/>
        <v>40.57</v>
      </c>
      <c r="M35" s="33">
        <f t="shared" si="1"/>
        <v>103.25</v>
      </c>
      <c r="N35" s="33">
        <f t="shared" si="1"/>
        <v>749.1</v>
      </c>
      <c r="O35" s="33">
        <f t="shared" si="1"/>
        <v>10.8</v>
      </c>
      <c r="P35" s="33">
        <f t="shared" si="1"/>
        <v>0.48</v>
      </c>
      <c r="Q35" s="33">
        <f t="shared" si="1"/>
        <v>4.84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9.117647058823529</v>
      </c>
      <c r="C36" s="41">
        <f t="shared" si="2"/>
        <v>4.0852941176470594</v>
      </c>
      <c r="D36" s="41">
        <f t="shared" si="2"/>
        <v>13.888823529411766</v>
      </c>
      <c r="E36" s="41">
        <f t="shared" si="2"/>
        <v>13.707647058823529</v>
      </c>
      <c r="F36" s="41">
        <f t="shared" si="2"/>
        <v>33.794117647058826</v>
      </c>
      <c r="G36" s="41">
        <f t="shared" si="2"/>
        <v>29.34470588235294</v>
      </c>
      <c r="H36" s="41">
        <f t="shared" si="2"/>
        <v>13.281764705882354</v>
      </c>
      <c r="I36" s="41">
        <f t="shared" si="2"/>
        <v>6.408235294117647</v>
      </c>
      <c r="J36" s="41">
        <f t="shared" si="2"/>
        <v>0.90941176470588236</v>
      </c>
      <c r="K36" s="41">
        <f t="shared" si="2"/>
        <v>291.62529411764706</v>
      </c>
      <c r="L36" s="41">
        <f t="shared" si="2"/>
        <v>32.842941176470589</v>
      </c>
      <c r="M36" s="41">
        <f t="shared" si="2"/>
        <v>63.318823529411766</v>
      </c>
      <c r="N36" s="41">
        <f t="shared" si="2"/>
        <v>227.76470588235296</v>
      </c>
      <c r="O36" s="41">
        <f t="shared" si="2"/>
        <v>1.0941176470588236</v>
      </c>
      <c r="P36" s="41">
        <f t="shared" si="2"/>
        <v>0.20176470588235293</v>
      </c>
      <c r="Q36" s="41">
        <f t="shared" si="2"/>
        <v>4.6782352941176484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3.0316953129541642E-2</v>
      </c>
      <c r="C37" s="41">
        <f t="shared" ref="C37:Q37" si="3">STDEV(C9:C32)</f>
        <v>1.2805100086890765E-2</v>
      </c>
      <c r="D37" s="41">
        <f t="shared" si="3"/>
        <v>2.4970570913872024E-2</v>
      </c>
      <c r="E37" s="41">
        <f t="shared" si="3"/>
        <v>4.3703068104707512</v>
      </c>
      <c r="F37" s="41">
        <f t="shared" si="3"/>
        <v>14.084567822098556</v>
      </c>
      <c r="G37" s="41">
        <f t="shared" si="3"/>
        <v>13.477795682921894</v>
      </c>
      <c r="H37" s="41">
        <f t="shared" si="3"/>
        <v>4.131720639295021</v>
      </c>
      <c r="I37" s="41">
        <f t="shared" si="3"/>
        <v>0.7168004891017199</v>
      </c>
      <c r="J37" s="41">
        <f t="shared" si="3"/>
        <v>0.44309240836753361</v>
      </c>
      <c r="K37" s="41">
        <f t="shared" si="3"/>
        <v>32.509520358974349</v>
      </c>
      <c r="L37" s="41">
        <f t="shared" si="3"/>
        <v>5.1314761091545087</v>
      </c>
      <c r="M37" s="41">
        <f t="shared" si="3"/>
        <v>17.561943187740138</v>
      </c>
      <c r="N37" s="41">
        <f t="shared" si="3"/>
        <v>243.74090993608473</v>
      </c>
      <c r="O37" s="41">
        <f t="shared" si="3"/>
        <v>3.1337817785056634</v>
      </c>
      <c r="P37" s="41">
        <f t="shared" si="3"/>
        <v>0.13785115587644012</v>
      </c>
      <c r="Q37" s="41">
        <f t="shared" si="3"/>
        <v>4.6534301074267634E-2</v>
      </c>
      <c r="R37" s="41"/>
      <c r="S37" s="41"/>
      <c r="T37" s="41"/>
      <c r="U37" s="41"/>
    </row>
    <row r="38" spans="1:21" s="1" customFormat="1">
      <c r="A38" s="48" t="s">
        <v>52</v>
      </c>
      <c r="B38" s="49">
        <v>24</v>
      </c>
      <c r="C38" s="49">
        <v>24</v>
      </c>
      <c r="D38" s="49">
        <v>24</v>
      </c>
      <c r="E38" s="49">
        <v>24</v>
      </c>
      <c r="F38" s="49">
        <v>24</v>
      </c>
      <c r="G38" s="49">
        <v>24</v>
      </c>
      <c r="H38" s="49">
        <v>24</v>
      </c>
      <c r="I38" s="49">
        <v>24</v>
      </c>
      <c r="J38" s="49">
        <v>24</v>
      </c>
      <c r="K38" s="49">
        <v>24</v>
      </c>
      <c r="L38" s="49">
        <v>24</v>
      </c>
      <c r="M38" s="49">
        <v>24</v>
      </c>
      <c r="N38" s="49">
        <v>24</v>
      </c>
      <c r="O38" s="49">
        <v>24</v>
      </c>
      <c r="P38" s="49">
        <v>24</v>
      </c>
      <c r="Q38" s="49">
        <v>24</v>
      </c>
      <c r="R38" s="49"/>
      <c r="S38" s="49"/>
      <c r="T38" s="49"/>
      <c r="U38" s="49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4">IF(C38&gt;=22,"&gt;90%",IF(C38&lt;=22,"&lt;90%"))</f>
        <v>&gt;90%</v>
      </c>
      <c r="D39" s="33" t="str">
        <f t="shared" si="4"/>
        <v>&gt;90%</v>
      </c>
      <c r="E39" s="33" t="str">
        <f t="shared" si="4"/>
        <v>&gt;90%</v>
      </c>
      <c r="F39" s="33" t="str">
        <f t="shared" si="4"/>
        <v>&gt;90%</v>
      </c>
      <c r="G39" s="33" t="str">
        <f t="shared" si="4"/>
        <v>&gt;90%</v>
      </c>
      <c r="H39" s="33" t="str">
        <f t="shared" si="4"/>
        <v>&gt;90%</v>
      </c>
      <c r="I39" s="33" t="str">
        <f t="shared" si="4"/>
        <v>&gt;90%</v>
      </c>
      <c r="J39" s="33" t="str">
        <f t="shared" si="4"/>
        <v>&gt;90%</v>
      </c>
      <c r="K39" s="33" t="str">
        <f t="shared" si="4"/>
        <v>&gt;90%</v>
      </c>
      <c r="L39" s="33" t="str">
        <f t="shared" si="4"/>
        <v>&gt;90%</v>
      </c>
      <c r="M39" s="33" t="str">
        <f t="shared" si="4"/>
        <v>&gt;90%</v>
      </c>
      <c r="N39" s="33" t="str">
        <f t="shared" si="4"/>
        <v>&gt;90%</v>
      </c>
      <c r="O39" s="33" t="str">
        <f t="shared" si="4"/>
        <v>&gt;90%</v>
      </c>
      <c r="P39" s="33" t="str">
        <f t="shared" si="4"/>
        <v>&gt;90%</v>
      </c>
      <c r="Q39" s="33" t="str">
        <f t="shared" si="4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5">IF(C38&gt;=22,"OK",IF(C38&lt;=22,"LESS"))</f>
        <v>OK</v>
      </c>
      <c r="D40" s="33" t="str">
        <f t="shared" si="5"/>
        <v>OK</v>
      </c>
      <c r="E40" s="33" t="str">
        <f t="shared" si="5"/>
        <v>OK</v>
      </c>
      <c r="F40" s="33" t="str">
        <f t="shared" si="5"/>
        <v>OK</v>
      </c>
      <c r="G40" s="33" t="str">
        <f t="shared" si="5"/>
        <v>OK</v>
      </c>
      <c r="H40" s="33" t="str">
        <f t="shared" si="5"/>
        <v>OK</v>
      </c>
      <c r="I40" s="33" t="str">
        <f t="shared" si="5"/>
        <v>OK</v>
      </c>
      <c r="J40" s="33" t="str">
        <f t="shared" si="5"/>
        <v>OK</v>
      </c>
      <c r="K40" s="33" t="str">
        <f t="shared" si="5"/>
        <v>OK</v>
      </c>
      <c r="L40" s="33" t="str">
        <f t="shared" si="5"/>
        <v>OK</v>
      </c>
      <c r="M40" s="33" t="str">
        <f t="shared" si="5"/>
        <v>OK</v>
      </c>
      <c r="N40" s="33" t="str">
        <f t="shared" si="5"/>
        <v>OK</v>
      </c>
      <c r="O40" s="33" t="str">
        <f t="shared" si="5"/>
        <v>OK</v>
      </c>
      <c r="P40" s="33" t="str">
        <f t="shared" si="5"/>
        <v>OK</v>
      </c>
      <c r="Q40" s="33" t="str">
        <f t="shared" si="5"/>
        <v>OK</v>
      </c>
      <c r="R40" s="33"/>
      <c r="S40" s="33"/>
      <c r="T40" s="33"/>
      <c r="U40" s="33"/>
    </row>
    <row r="41" spans="1:21" s="1" customFormat="1">
      <c r="A41" s="22"/>
      <c r="L41" s="22"/>
      <c r="N41" s="52"/>
      <c r="O41" s="52"/>
      <c r="P41" s="52"/>
      <c r="Q41" s="52"/>
      <c r="R41" s="52"/>
      <c r="S41" s="52"/>
      <c r="T41" s="52"/>
      <c r="U41" s="52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50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4" activePane="bottomRight" state="frozen"/>
      <selection activeCell="A9" sqref="A9"/>
      <selection pane="topRight" activeCell="A9" sqref="A9"/>
      <selection pane="bottomLeft" activeCell="A9" sqref="A9"/>
      <selection pane="bottomRight" activeCell="B38" sqref="B38:Q38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45453.041666666664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5">
        <v>45453.041666666664</v>
      </c>
      <c r="B9" s="9" t="s">
        <v>4</v>
      </c>
      <c r="C9" s="9" t="s">
        <v>4</v>
      </c>
      <c r="D9" s="9" t="s">
        <v>4</v>
      </c>
      <c r="E9" s="9" t="s">
        <v>4</v>
      </c>
      <c r="F9" s="9" t="s">
        <v>4</v>
      </c>
      <c r="G9" s="9" t="s">
        <v>4</v>
      </c>
      <c r="H9" s="9" t="s">
        <v>4</v>
      </c>
      <c r="I9" s="9" t="s">
        <v>4</v>
      </c>
      <c r="J9" s="9" t="s">
        <v>4</v>
      </c>
      <c r="K9" s="9" t="s">
        <v>4</v>
      </c>
      <c r="L9" s="9" t="s">
        <v>4</v>
      </c>
      <c r="M9" s="9" t="s">
        <v>4</v>
      </c>
      <c r="N9" s="9" t="s">
        <v>4</v>
      </c>
      <c r="O9" s="9" t="s">
        <v>4</v>
      </c>
      <c r="P9" s="9" t="s">
        <v>4</v>
      </c>
      <c r="Q9" s="9" t="s">
        <v>4</v>
      </c>
    </row>
    <row r="10" spans="1:21" customFormat="1">
      <c r="A10" s="55">
        <v>45453.083333333336</v>
      </c>
      <c r="B10" s="9" t="s">
        <v>4</v>
      </c>
      <c r="C10" s="9" t="s">
        <v>4</v>
      </c>
      <c r="D10" s="9" t="s">
        <v>4</v>
      </c>
      <c r="E10" s="9" t="s">
        <v>4</v>
      </c>
      <c r="F10" s="9" t="s">
        <v>4</v>
      </c>
      <c r="G10" s="9" t="s">
        <v>4</v>
      </c>
      <c r="H10" s="9" t="s">
        <v>4</v>
      </c>
      <c r="I10" s="9" t="s">
        <v>4</v>
      </c>
      <c r="J10" s="9" t="s">
        <v>4</v>
      </c>
      <c r="K10" s="9" t="s">
        <v>4</v>
      </c>
      <c r="L10" s="9" t="s">
        <v>4</v>
      </c>
      <c r="M10" s="9" t="s">
        <v>4</v>
      </c>
      <c r="N10" s="9" t="s">
        <v>4</v>
      </c>
      <c r="O10" s="9" t="s">
        <v>4</v>
      </c>
      <c r="P10" s="9" t="s">
        <v>4</v>
      </c>
      <c r="Q10" s="9" t="s">
        <v>4</v>
      </c>
    </row>
    <row r="11" spans="1:21" customFormat="1">
      <c r="A11" s="55">
        <v>45453.125</v>
      </c>
      <c r="B11" s="9" t="s">
        <v>4</v>
      </c>
      <c r="C11" s="9" t="s">
        <v>4</v>
      </c>
      <c r="D11" s="9" t="s">
        <v>4</v>
      </c>
      <c r="E11" s="9" t="s">
        <v>4</v>
      </c>
      <c r="F11" s="9" t="s">
        <v>4</v>
      </c>
      <c r="G11" s="9" t="s">
        <v>4</v>
      </c>
      <c r="H11" s="9" t="s">
        <v>4</v>
      </c>
      <c r="I11" s="9" t="s">
        <v>4</v>
      </c>
      <c r="J11" s="9" t="s">
        <v>4</v>
      </c>
      <c r="K11" s="9" t="s">
        <v>4</v>
      </c>
      <c r="L11" s="9" t="s">
        <v>4</v>
      </c>
      <c r="M11" s="9" t="s">
        <v>4</v>
      </c>
      <c r="N11" s="9" t="s">
        <v>4</v>
      </c>
      <c r="O11" s="9" t="s">
        <v>4</v>
      </c>
      <c r="P11" s="9" t="s">
        <v>4</v>
      </c>
      <c r="Q11" s="9" t="s">
        <v>4</v>
      </c>
    </row>
    <row r="12" spans="1:21" customFormat="1">
      <c r="A12" s="55">
        <v>45453.166666666664</v>
      </c>
      <c r="B12" s="9" t="s">
        <v>4</v>
      </c>
      <c r="C12" s="9" t="s">
        <v>4</v>
      </c>
      <c r="D12" s="9" t="s">
        <v>4</v>
      </c>
      <c r="E12" s="9" t="s">
        <v>4</v>
      </c>
      <c r="F12" s="9" t="s">
        <v>4</v>
      </c>
      <c r="G12" s="9" t="s">
        <v>4</v>
      </c>
      <c r="H12" s="9" t="s">
        <v>4</v>
      </c>
      <c r="I12" s="9" t="s">
        <v>4</v>
      </c>
      <c r="J12" s="9" t="s">
        <v>4</v>
      </c>
      <c r="K12" s="9" t="s">
        <v>4</v>
      </c>
      <c r="L12" s="9" t="s">
        <v>4</v>
      </c>
      <c r="M12" s="9" t="s">
        <v>4</v>
      </c>
      <c r="N12" s="9" t="s">
        <v>4</v>
      </c>
      <c r="O12" s="9" t="s">
        <v>4</v>
      </c>
      <c r="P12" s="9" t="s">
        <v>4</v>
      </c>
      <c r="Q12" s="9" t="s">
        <v>4</v>
      </c>
    </row>
    <row r="13" spans="1:21" customFormat="1">
      <c r="A13" s="55">
        <v>45453.208333333336</v>
      </c>
      <c r="B13" s="9" t="s">
        <v>4</v>
      </c>
      <c r="C13" s="9" t="s">
        <v>4</v>
      </c>
      <c r="D13" s="9" t="s">
        <v>4</v>
      </c>
      <c r="E13" s="9" t="s">
        <v>4</v>
      </c>
      <c r="F13" s="9" t="s">
        <v>4</v>
      </c>
      <c r="G13" s="9" t="s">
        <v>4</v>
      </c>
      <c r="H13" s="9" t="s">
        <v>4</v>
      </c>
      <c r="I13" s="9" t="s">
        <v>4</v>
      </c>
      <c r="J13" s="9" t="s">
        <v>4</v>
      </c>
      <c r="K13" s="9" t="s">
        <v>4</v>
      </c>
      <c r="L13" s="9" t="s">
        <v>4</v>
      </c>
      <c r="M13" s="9" t="s">
        <v>4</v>
      </c>
      <c r="N13" s="9" t="s">
        <v>4</v>
      </c>
      <c r="O13" s="9" t="s">
        <v>4</v>
      </c>
      <c r="P13" s="9" t="s">
        <v>4</v>
      </c>
      <c r="Q13" s="9" t="s">
        <v>4</v>
      </c>
    </row>
    <row r="14" spans="1:21" customFormat="1">
      <c r="A14" s="55">
        <v>45453.25</v>
      </c>
      <c r="B14" s="9" t="s">
        <v>4</v>
      </c>
      <c r="C14" s="9" t="s">
        <v>4</v>
      </c>
      <c r="D14" s="9" t="s">
        <v>4</v>
      </c>
      <c r="E14" s="9" t="s">
        <v>4</v>
      </c>
      <c r="F14" s="9" t="s">
        <v>4</v>
      </c>
      <c r="G14" s="9" t="s">
        <v>4</v>
      </c>
      <c r="H14" s="9" t="s">
        <v>4</v>
      </c>
      <c r="I14" s="9" t="s">
        <v>4</v>
      </c>
      <c r="J14" s="9" t="s">
        <v>4</v>
      </c>
      <c r="K14" s="9" t="s">
        <v>4</v>
      </c>
      <c r="L14" s="9" t="s">
        <v>4</v>
      </c>
      <c r="M14" s="9" t="s">
        <v>4</v>
      </c>
      <c r="N14" s="9" t="s">
        <v>4</v>
      </c>
      <c r="O14" s="9" t="s">
        <v>4</v>
      </c>
      <c r="P14" s="9" t="s">
        <v>4</v>
      </c>
      <c r="Q14" s="9" t="s">
        <v>4</v>
      </c>
    </row>
    <row r="15" spans="1:21" customFormat="1">
      <c r="A15" s="55">
        <v>45453.291666666664</v>
      </c>
      <c r="B15" s="9" t="s">
        <v>4</v>
      </c>
      <c r="C15" s="9" t="s">
        <v>4</v>
      </c>
      <c r="D15" s="9" t="s">
        <v>4</v>
      </c>
      <c r="E15" s="9" t="s">
        <v>4</v>
      </c>
      <c r="F15" s="9" t="s">
        <v>4</v>
      </c>
      <c r="G15" s="9" t="s">
        <v>4</v>
      </c>
      <c r="H15" s="9" t="s">
        <v>4</v>
      </c>
      <c r="I15" s="9" t="s">
        <v>4</v>
      </c>
      <c r="J15" s="9" t="s">
        <v>4</v>
      </c>
      <c r="K15" s="9" t="s">
        <v>4</v>
      </c>
      <c r="L15" s="9" t="s">
        <v>4</v>
      </c>
      <c r="M15" s="9" t="s">
        <v>4</v>
      </c>
      <c r="N15" s="9" t="s">
        <v>4</v>
      </c>
      <c r="O15" s="9" t="s">
        <v>4</v>
      </c>
      <c r="P15" s="9" t="s">
        <v>4</v>
      </c>
      <c r="Q15" s="9" t="s">
        <v>4</v>
      </c>
    </row>
    <row r="16" spans="1:21" customFormat="1">
      <c r="A16" s="55">
        <v>45453.333333333336</v>
      </c>
      <c r="B16" s="9" t="s">
        <v>4</v>
      </c>
      <c r="C16" s="9" t="s">
        <v>4</v>
      </c>
      <c r="D16" s="9" t="s">
        <v>4</v>
      </c>
      <c r="E16" s="9" t="s">
        <v>4</v>
      </c>
      <c r="F16" s="9" t="s">
        <v>4</v>
      </c>
      <c r="G16" s="9" t="s">
        <v>4</v>
      </c>
      <c r="H16" s="9" t="s">
        <v>4</v>
      </c>
      <c r="I16" s="9" t="s">
        <v>4</v>
      </c>
      <c r="J16" s="9" t="s">
        <v>4</v>
      </c>
      <c r="K16" s="9" t="s">
        <v>4</v>
      </c>
      <c r="L16" s="9" t="s">
        <v>4</v>
      </c>
      <c r="M16" s="9" t="s">
        <v>4</v>
      </c>
      <c r="N16" s="9" t="s">
        <v>4</v>
      </c>
      <c r="O16" s="9" t="s">
        <v>4</v>
      </c>
      <c r="P16" s="9" t="s">
        <v>4</v>
      </c>
      <c r="Q16" s="9" t="s">
        <v>4</v>
      </c>
    </row>
    <row r="17" spans="1:17" customFormat="1">
      <c r="A17" s="55">
        <v>45453.375</v>
      </c>
      <c r="B17" s="9" t="s">
        <v>4</v>
      </c>
      <c r="C17" s="9" t="s">
        <v>4</v>
      </c>
      <c r="D17" s="9" t="s">
        <v>4</v>
      </c>
      <c r="E17" s="9" t="s">
        <v>4</v>
      </c>
      <c r="F17" s="9" t="s">
        <v>4</v>
      </c>
      <c r="G17" s="9" t="s">
        <v>4</v>
      </c>
      <c r="H17" s="9" t="s">
        <v>4</v>
      </c>
      <c r="I17" s="9" t="s">
        <v>4</v>
      </c>
      <c r="J17" s="9" t="s">
        <v>4</v>
      </c>
      <c r="K17" s="9" t="s">
        <v>4</v>
      </c>
      <c r="L17" s="9" t="s">
        <v>4</v>
      </c>
      <c r="M17" s="9" t="s">
        <v>4</v>
      </c>
      <c r="N17" s="9" t="s">
        <v>4</v>
      </c>
      <c r="O17" s="9" t="s">
        <v>4</v>
      </c>
      <c r="P17" s="9" t="s">
        <v>4</v>
      </c>
      <c r="Q17" s="9" t="s">
        <v>4</v>
      </c>
    </row>
    <row r="18" spans="1:17" customFormat="1">
      <c r="A18" s="55">
        <v>45453.416666666664</v>
      </c>
      <c r="B18" s="9" t="s">
        <v>4</v>
      </c>
      <c r="C18" s="9" t="s">
        <v>4</v>
      </c>
      <c r="D18" s="9" t="s">
        <v>4</v>
      </c>
      <c r="E18" s="9" t="s">
        <v>4</v>
      </c>
      <c r="F18" s="9" t="s">
        <v>4</v>
      </c>
      <c r="G18" s="9" t="s">
        <v>4</v>
      </c>
      <c r="H18" s="9" t="s">
        <v>4</v>
      </c>
      <c r="I18" s="9" t="s">
        <v>4</v>
      </c>
      <c r="J18" s="9" t="s">
        <v>4</v>
      </c>
      <c r="K18" s="9" t="s">
        <v>4</v>
      </c>
      <c r="L18" s="9" t="s">
        <v>4</v>
      </c>
      <c r="M18" s="9" t="s">
        <v>4</v>
      </c>
      <c r="N18" s="9" t="s">
        <v>4</v>
      </c>
      <c r="O18" s="9" t="s">
        <v>4</v>
      </c>
      <c r="P18" s="9" t="s">
        <v>4</v>
      </c>
      <c r="Q18" s="9" t="s">
        <v>4</v>
      </c>
    </row>
    <row r="19" spans="1:17" customFormat="1">
      <c r="A19" s="55">
        <v>45453.458333333336</v>
      </c>
      <c r="B19" s="9" t="s">
        <v>4</v>
      </c>
      <c r="C19" s="9" t="s">
        <v>4</v>
      </c>
      <c r="D19" s="9" t="s">
        <v>4</v>
      </c>
      <c r="E19" s="9" t="s">
        <v>4</v>
      </c>
      <c r="F19" s="9" t="s">
        <v>4</v>
      </c>
      <c r="G19" s="9" t="s">
        <v>4</v>
      </c>
      <c r="H19" s="9" t="s">
        <v>4</v>
      </c>
      <c r="I19" s="9" t="s">
        <v>4</v>
      </c>
      <c r="J19" s="9" t="s">
        <v>4</v>
      </c>
      <c r="K19" s="9" t="s">
        <v>4</v>
      </c>
      <c r="L19" s="9" t="s">
        <v>4</v>
      </c>
      <c r="M19" s="9" t="s">
        <v>4</v>
      </c>
      <c r="N19" s="9" t="s">
        <v>4</v>
      </c>
      <c r="O19" s="9" t="s">
        <v>4</v>
      </c>
      <c r="P19" s="9" t="s">
        <v>4</v>
      </c>
      <c r="Q19" s="9" t="s">
        <v>4</v>
      </c>
    </row>
    <row r="20" spans="1:17" customFormat="1">
      <c r="A20" s="55">
        <v>45453.5</v>
      </c>
      <c r="B20" s="29" t="s">
        <v>21</v>
      </c>
      <c r="C20" s="29" t="s">
        <v>21</v>
      </c>
      <c r="D20" s="29" t="s">
        <v>21</v>
      </c>
      <c r="E20" s="29" t="s">
        <v>21</v>
      </c>
      <c r="F20" s="29" t="s">
        <v>21</v>
      </c>
      <c r="G20" s="56">
        <v>28.43</v>
      </c>
      <c r="H20" s="56">
        <v>8.57</v>
      </c>
      <c r="I20" s="56">
        <v>6.01</v>
      </c>
      <c r="J20" s="56">
        <v>0.64</v>
      </c>
      <c r="K20" s="56">
        <v>275.45</v>
      </c>
      <c r="L20" s="56">
        <v>37.64</v>
      </c>
      <c r="M20" s="56">
        <v>42.45</v>
      </c>
      <c r="N20" s="56">
        <v>804.3</v>
      </c>
      <c r="O20" s="56">
        <v>0</v>
      </c>
      <c r="P20" s="56">
        <v>0.39</v>
      </c>
      <c r="Q20" s="29" t="s">
        <v>21</v>
      </c>
    </row>
    <row r="21" spans="1:17" customFormat="1">
      <c r="A21" s="55">
        <v>45453.541666666664</v>
      </c>
      <c r="B21" s="56">
        <v>8.67</v>
      </c>
      <c r="C21" s="56">
        <v>4.0599999999999996</v>
      </c>
      <c r="D21" s="56">
        <v>13.5</v>
      </c>
      <c r="E21" s="56">
        <v>8.5299999999999994</v>
      </c>
      <c r="F21" s="56">
        <v>67.239999999999995</v>
      </c>
      <c r="G21" s="56">
        <v>39.130000000000003</v>
      </c>
      <c r="H21" s="56">
        <v>15.92</v>
      </c>
      <c r="I21" s="56">
        <v>5.38</v>
      </c>
      <c r="J21" s="56">
        <v>0.72</v>
      </c>
      <c r="K21" s="56">
        <v>321.33</v>
      </c>
      <c r="L21" s="56">
        <v>38.54</v>
      </c>
      <c r="M21" s="56">
        <v>41.81</v>
      </c>
      <c r="N21" s="56">
        <v>807.3</v>
      </c>
      <c r="O21" s="56">
        <v>0</v>
      </c>
      <c r="P21" s="56">
        <v>0.49</v>
      </c>
      <c r="Q21" s="56">
        <v>4.83</v>
      </c>
    </row>
    <row r="22" spans="1:17" customFormat="1">
      <c r="A22" s="55">
        <v>45453.583333333336</v>
      </c>
      <c r="B22" s="56">
        <v>8.56</v>
      </c>
      <c r="C22" s="56">
        <v>4.05</v>
      </c>
      <c r="D22" s="56">
        <v>13.41</v>
      </c>
      <c r="E22" s="56">
        <v>3.76</v>
      </c>
      <c r="F22" s="56">
        <v>40.85</v>
      </c>
      <c r="G22" s="56">
        <v>49.03</v>
      </c>
      <c r="H22" s="56">
        <v>22.65</v>
      </c>
      <c r="I22" s="56">
        <v>4.71</v>
      </c>
      <c r="J22" s="56">
        <v>0.57999999999999996</v>
      </c>
      <c r="K22" s="56">
        <v>254.98</v>
      </c>
      <c r="L22" s="56">
        <v>40.08</v>
      </c>
      <c r="M22" s="56">
        <v>39.49</v>
      </c>
      <c r="N22" s="56">
        <v>783.6</v>
      </c>
      <c r="O22" s="56">
        <v>0</v>
      </c>
      <c r="P22" s="56">
        <v>0.5</v>
      </c>
      <c r="Q22" s="56">
        <v>4.0999999999999996</v>
      </c>
    </row>
    <row r="23" spans="1:17" customFormat="1">
      <c r="A23" s="55">
        <v>45453.625</v>
      </c>
      <c r="B23" s="56">
        <v>8.59</v>
      </c>
      <c r="C23" s="56">
        <v>4.04</v>
      </c>
      <c r="D23" s="56">
        <v>13.44</v>
      </c>
      <c r="E23" s="27" t="s">
        <v>14</v>
      </c>
      <c r="F23" s="56">
        <v>31.87</v>
      </c>
      <c r="G23" s="56">
        <v>36.770000000000003</v>
      </c>
      <c r="H23" s="56">
        <v>17.95</v>
      </c>
      <c r="I23" s="56">
        <v>4.6100000000000003</v>
      </c>
      <c r="J23" s="56">
        <v>0.67</v>
      </c>
      <c r="K23" s="56">
        <v>312.27</v>
      </c>
      <c r="L23" s="56">
        <v>40.380000000000003</v>
      </c>
      <c r="M23" s="56">
        <v>35</v>
      </c>
      <c r="N23" s="56">
        <v>699.1</v>
      </c>
      <c r="O23" s="56">
        <v>0</v>
      </c>
      <c r="P23" s="56">
        <v>0.38</v>
      </c>
      <c r="Q23" s="56">
        <v>4.1900000000000004</v>
      </c>
    </row>
    <row r="24" spans="1:17" customFormat="1">
      <c r="A24" s="55">
        <v>45453.666666666664</v>
      </c>
      <c r="B24" s="56">
        <v>8.58</v>
      </c>
      <c r="C24" s="56">
        <v>4.03</v>
      </c>
      <c r="D24" s="56">
        <v>13.44</v>
      </c>
      <c r="E24" s="27" t="s">
        <v>14</v>
      </c>
      <c r="F24" s="56">
        <v>46.15</v>
      </c>
      <c r="G24" s="56">
        <v>31.67</v>
      </c>
      <c r="H24" s="56">
        <v>13.68</v>
      </c>
      <c r="I24" s="56">
        <v>4.63</v>
      </c>
      <c r="J24" s="56">
        <v>0.56999999999999995</v>
      </c>
      <c r="K24" s="56">
        <v>290.3</v>
      </c>
      <c r="L24" s="56">
        <v>40.33</v>
      </c>
      <c r="M24" s="56">
        <v>34.82</v>
      </c>
      <c r="N24" s="56">
        <v>552.9</v>
      </c>
      <c r="O24" s="56">
        <v>0</v>
      </c>
      <c r="P24" s="56">
        <v>0.39</v>
      </c>
      <c r="Q24" s="56">
        <v>4.17</v>
      </c>
    </row>
    <row r="25" spans="1:17" customFormat="1">
      <c r="A25" s="55">
        <v>45453.708333333336</v>
      </c>
      <c r="B25" s="56">
        <v>8.61</v>
      </c>
      <c r="C25" s="56">
        <v>4.04</v>
      </c>
      <c r="D25" s="56">
        <v>13.46</v>
      </c>
      <c r="E25" s="27" t="s">
        <v>14</v>
      </c>
      <c r="F25" s="56">
        <v>61.76</v>
      </c>
      <c r="G25" s="56">
        <v>31.58</v>
      </c>
      <c r="H25" s="56">
        <v>16.39</v>
      </c>
      <c r="I25" s="56">
        <v>4.5599999999999996</v>
      </c>
      <c r="J25" s="56">
        <v>0.6</v>
      </c>
      <c r="K25" s="56">
        <v>298.33999999999997</v>
      </c>
      <c r="L25" s="56">
        <v>39.979999999999997</v>
      </c>
      <c r="M25" s="56">
        <v>35.86</v>
      </c>
      <c r="N25" s="56">
        <v>259.3</v>
      </c>
      <c r="O25" s="56">
        <v>0</v>
      </c>
      <c r="P25" s="56">
        <v>0.39</v>
      </c>
      <c r="Q25" s="56">
        <v>4.16</v>
      </c>
    </row>
    <row r="26" spans="1:17" customFormat="1">
      <c r="A26" s="55">
        <v>45453.75</v>
      </c>
      <c r="B26" s="56">
        <v>8.57</v>
      </c>
      <c r="C26" s="56">
        <v>4.05</v>
      </c>
      <c r="D26" s="56">
        <v>13.42</v>
      </c>
      <c r="E26" s="27" t="s">
        <v>14</v>
      </c>
      <c r="F26" s="56">
        <v>71.84</v>
      </c>
      <c r="G26" s="56">
        <v>36.86</v>
      </c>
      <c r="H26" s="56">
        <v>14.52</v>
      </c>
      <c r="I26" s="56">
        <v>4.32</v>
      </c>
      <c r="J26" s="56">
        <v>0.32</v>
      </c>
      <c r="K26" s="56">
        <v>323.77</v>
      </c>
      <c r="L26" s="56">
        <v>39</v>
      </c>
      <c r="M26" s="56">
        <v>37.49</v>
      </c>
      <c r="N26" s="56">
        <v>105.4</v>
      </c>
      <c r="O26" s="56">
        <v>0</v>
      </c>
      <c r="P26" s="56">
        <v>0.42</v>
      </c>
      <c r="Q26" s="56">
        <v>4.12</v>
      </c>
    </row>
    <row r="27" spans="1:17" customFormat="1">
      <c r="A27" s="55">
        <v>45453.791666666664</v>
      </c>
      <c r="B27" s="56">
        <v>8.56</v>
      </c>
      <c r="C27" s="56">
        <v>4.05</v>
      </c>
      <c r="D27" s="56">
        <v>13.42</v>
      </c>
      <c r="E27" s="56">
        <v>12.95</v>
      </c>
      <c r="F27" s="56">
        <v>70.09</v>
      </c>
      <c r="G27" s="56">
        <v>37.1</v>
      </c>
      <c r="H27" s="56">
        <v>14.79</v>
      </c>
      <c r="I27" s="56">
        <v>3.97</v>
      </c>
      <c r="J27" s="56">
        <v>0.28999999999999998</v>
      </c>
      <c r="K27" s="56">
        <v>180.68</v>
      </c>
      <c r="L27" s="56">
        <v>37.21</v>
      </c>
      <c r="M27" s="56">
        <v>50.02</v>
      </c>
      <c r="N27" s="56">
        <v>21.9</v>
      </c>
      <c r="O27" s="56">
        <v>0</v>
      </c>
      <c r="P27" s="56">
        <v>0.54</v>
      </c>
      <c r="Q27" s="56">
        <v>4.0599999999999996</v>
      </c>
    </row>
    <row r="28" spans="1:17" customFormat="1">
      <c r="A28" s="55">
        <v>45453.833333333336</v>
      </c>
      <c r="B28" s="56">
        <v>8.5500000000000007</v>
      </c>
      <c r="C28" s="56">
        <v>4.04</v>
      </c>
      <c r="D28" s="56">
        <v>13.42</v>
      </c>
      <c r="E28" s="56">
        <v>11.35</v>
      </c>
      <c r="F28" s="56">
        <v>40.090000000000003</v>
      </c>
      <c r="G28" s="56">
        <v>38.69</v>
      </c>
      <c r="H28" s="56">
        <v>14.76</v>
      </c>
      <c r="I28" s="56">
        <v>6.23</v>
      </c>
      <c r="J28" s="56">
        <v>0.22</v>
      </c>
      <c r="K28" s="56">
        <v>225.71</v>
      </c>
      <c r="L28" s="56">
        <v>34.130000000000003</v>
      </c>
      <c r="M28" s="56">
        <v>58.1</v>
      </c>
      <c r="N28" s="56">
        <v>2.4</v>
      </c>
      <c r="O28" s="56">
        <v>0</v>
      </c>
      <c r="P28" s="56">
        <v>0.52</v>
      </c>
      <c r="Q28" s="56">
        <v>4.01</v>
      </c>
    </row>
    <row r="29" spans="1:17" customFormat="1">
      <c r="A29" s="55">
        <v>45453.875</v>
      </c>
      <c r="B29" s="56">
        <v>8.56</v>
      </c>
      <c r="C29" s="56">
        <v>4.08</v>
      </c>
      <c r="D29" s="56">
        <v>13.42</v>
      </c>
      <c r="E29" s="56">
        <v>9.1</v>
      </c>
      <c r="F29" s="56">
        <v>35.840000000000003</v>
      </c>
      <c r="G29" s="56">
        <v>37.99</v>
      </c>
      <c r="H29" s="56">
        <v>15.28</v>
      </c>
      <c r="I29" s="56">
        <v>5.25</v>
      </c>
      <c r="J29" s="56">
        <v>0.51</v>
      </c>
      <c r="K29" s="56">
        <v>230.23</v>
      </c>
      <c r="L29" s="56">
        <v>33.78</v>
      </c>
      <c r="M29" s="56">
        <v>49.28</v>
      </c>
      <c r="N29" s="56">
        <v>1.7</v>
      </c>
      <c r="O29" s="56">
        <v>0</v>
      </c>
      <c r="P29" s="56">
        <v>0.59</v>
      </c>
      <c r="Q29" s="56">
        <v>4</v>
      </c>
    </row>
    <row r="30" spans="1:17" customFormat="1">
      <c r="A30" s="55">
        <v>45453.916666666664</v>
      </c>
      <c r="B30" s="56">
        <v>8.5399999999999991</v>
      </c>
      <c r="C30" s="56">
        <v>4.04</v>
      </c>
      <c r="D30" s="56">
        <v>13.41</v>
      </c>
      <c r="E30" s="56">
        <v>18.84</v>
      </c>
      <c r="F30" s="56">
        <v>25.95</v>
      </c>
      <c r="G30" s="56">
        <v>53.97</v>
      </c>
      <c r="H30" s="56">
        <v>16.78</v>
      </c>
      <c r="I30" s="56">
        <v>5.45</v>
      </c>
      <c r="J30" s="56">
        <v>1.17</v>
      </c>
      <c r="K30" s="56">
        <v>81.81</v>
      </c>
      <c r="L30" s="56">
        <v>34.57</v>
      </c>
      <c r="M30" s="56">
        <v>49.55</v>
      </c>
      <c r="N30" s="56">
        <v>2</v>
      </c>
      <c r="O30" s="56">
        <v>0</v>
      </c>
      <c r="P30" s="56">
        <v>0.55000000000000004</v>
      </c>
      <c r="Q30" s="56">
        <v>4.0199999999999996</v>
      </c>
    </row>
    <row r="31" spans="1:17" customFormat="1">
      <c r="A31" s="55">
        <v>45453.958333333336</v>
      </c>
      <c r="B31" s="56">
        <v>8.59</v>
      </c>
      <c r="C31" s="56">
        <v>4.04</v>
      </c>
      <c r="D31" s="56">
        <v>13.44</v>
      </c>
      <c r="E31" s="56">
        <v>17.61</v>
      </c>
      <c r="F31" s="56">
        <v>16.43</v>
      </c>
      <c r="G31" s="56">
        <v>77.41</v>
      </c>
      <c r="H31" s="56">
        <v>19.68</v>
      </c>
      <c r="I31" s="56">
        <v>5.07</v>
      </c>
      <c r="J31" s="56">
        <v>0.79</v>
      </c>
      <c r="K31" s="56">
        <v>224.01</v>
      </c>
      <c r="L31" s="56">
        <v>33.65</v>
      </c>
      <c r="M31" s="56">
        <v>58.45</v>
      </c>
      <c r="N31" s="56">
        <v>2.2999999999999998</v>
      </c>
      <c r="O31" s="56">
        <v>0</v>
      </c>
      <c r="P31" s="56">
        <v>0.51</v>
      </c>
      <c r="Q31" s="56">
        <v>4.01</v>
      </c>
    </row>
    <row r="32" spans="1:17" customFormat="1">
      <c r="A32" s="55">
        <v>45454</v>
      </c>
      <c r="B32" s="56">
        <v>8.57</v>
      </c>
      <c r="C32" s="56">
        <v>4.0599999999999996</v>
      </c>
      <c r="D32" s="56">
        <v>13.43</v>
      </c>
      <c r="E32" s="56">
        <v>10.64</v>
      </c>
      <c r="F32" s="56">
        <v>14.03</v>
      </c>
      <c r="G32" s="56">
        <v>84.94</v>
      </c>
      <c r="H32" s="56">
        <v>17.96</v>
      </c>
      <c r="I32" s="56">
        <v>5.46</v>
      </c>
      <c r="J32" s="56">
        <v>0.17</v>
      </c>
      <c r="K32" s="56">
        <v>340.09</v>
      </c>
      <c r="L32" s="56">
        <v>32.26</v>
      </c>
      <c r="M32" s="56">
        <v>60.6</v>
      </c>
      <c r="N32" s="56">
        <v>2</v>
      </c>
      <c r="O32" s="56">
        <v>0</v>
      </c>
      <c r="P32" s="56">
        <v>0.55000000000000004</v>
      </c>
      <c r="Q32" s="56">
        <v>4.0199999999999996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8.5399999999999991</v>
      </c>
      <c r="C34" s="41">
        <f t="shared" si="0"/>
        <v>4.03</v>
      </c>
      <c r="D34" s="41">
        <f t="shared" si="0"/>
        <v>13.41</v>
      </c>
      <c r="E34" s="41">
        <f t="shared" si="0"/>
        <v>3.76</v>
      </c>
      <c r="F34" s="41">
        <f t="shared" si="0"/>
        <v>14.03</v>
      </c>
      <c r="G34" s="41">
        <f t="shared" si="0"/>
        <v>28.43</v>
      </c>
      <c r="H34" s="41">
        <f t="shared" si="0"/>
        <v>8.57</v>
      </c>
      <c r="I34" s="41">
        <f t="shared" si="0"/>
        <v>3.97</v>
      </c>
      <c r="J34" s="41">
        <f t="shared" si="0"/>
        <v>0.17</v>
      </c>
      <c r="K34" s="41">
        <f t="shared" si="0"/>
        <v>81.81</v>
      </c>
      <c r="L34" s="41">
        <f t="shared" si="0"/>
        <v>32.26</v>
      </c>
      <c r="M34" s="41">
        <f t="shared" si="0"/>
        <v>34.82</v>
      </c>
      <c r="N34" s="41">
        <f t="shared" si="0"/>
        <v>1.7</v>
      </c>
      <c r="O34" s="41">
        <f t="shared" si="0"/>
        <v>0</v>
      </c>
      <c r="P34" s="41">
        <f t="shared" si="0"/>
        <v>0.38</v>
      </c>
      <c r="Q34" s="41">
        <f t="shared" si="0"/>
        <v>4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8.67</v>
      </c>
      <c r="C35" s="33">
        <f t="shared" si="1"/>
        <v>4.08</v>
      </c>
      <c r="D35" s="33">
        <f t="shared" si="1"/>
        <v>13.5</v>
      </c>
      <c r="E35" s="33">
        <f t="shared" si="1"/>
        <v>18.84</v>
      </c>
      <c r="F35" s="33">
        <f t="shared" si="1"/>
        <v>71.84</v>
      </c>
      <c r="G35" s="33">
        <f t="shared" si="1"/>
        <v>84.94</v>
      </c>
      <c r="H35" s="33">
        <f t="shared" si="1"/>
        <v>22.65</v>
      </c>
      <c r="I35" s="33">
        <f t="shared" si="1"/>
        <v>6.23</v>
      </c>
      <c r="J35" s="33">
        <f t="shared" si="1"/>
        <v>1.17</v>
      </c>
      <c r="K35" s="33">
        <f t="shared" si="1"/>
        <v>340.09</v>
      </c>
      <c r="L35" s="33">
        <f t="shared" si="1"/>
        <v>40.380000000000003</v>
      </c>
      <c r="M35" s="33">
        <f t="shared" si="1"/>
        <v>60.6</v>
      </c>
      <c r="N35" s="33">
        <f t="shared" si="1"/>
        <v>807.3</v>
      </c>
      <c r="O35" s="33">
        <f t="shared" si="1"/>
        <v>0</v>
      </c>
      <c r="P35" s="33">
        <f t="shared" si="1"/>
        <v>0.59</v>
      </c>
      <c r="Q35" s="33">
        <f t="shared" si="1"/>
        <v>4.83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8.5791666666666657</v>
      </c>
      <c r="C36" s="41">
        <f t="shared" si="2"/>
        <v>4.0483333333333329</v>
      </c>
      <c r="D36" s="41">
        <f t="shared" si="2"/>
        <v>13.434166666666668</v>
      </c>
      <c r="E36" s="41">
        <f t="shared" si="2"/>
        <v>11.5975</v>
      </c>
      <c r="F36" s="41">
        <f t="shared" si="2"/>
        <v>43.511666666666677</v>
      </c>
      <c r="G36" s="41">
        <f t="shared" si="2"/>
        <v>44.889999999999993</v>
      </c>
      <c r="H36" s="41">
        <f t="shared" si="2"/>
        <v>16.071538461538463</v>
      </c>
      <c r="I36" s="41">
        <f t="shared" si="2"/>
        <v>5.0500000000000007</v>
      </c>
      <c r="J36" s="41">
        <f t="shared" si="2"/>
        <v>0.5576923076923076</v>
      </c>
      <c r="K36" s="41">
        <f t="shared" si="2"/>
        <v>258.38230769230762</v>
      </c>
      <c r="L36" s="41">
        <f t="shared" si="2"/>
        <v>37.042307692307695</v>
      </c>
      <c r="M36" s="41">
        <f t="shared" si="2"/>
        <v>45.609230769230777</v>
      </c>
      <c r="N36" s="41">
        <f t="shared" si="2"/>
        <v>311.09230769230771</v>
      </c>
      <c r="O36" s="41">
        <f t="shared" si="2"/>
        <v>0</v>
      </c>
      <c r="P36" s="41">
        <f t="shared" si="2"/>
        <v>0.47846153846153838</v>
      </c>
      <c r="Q36" s="41">
        <f t="shared" si="2"/>
        <v>4.1408333333333331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3.4498572653828836E-2</v>
      </c>
      <c r="C37" s="41">
        <f t="shared" ref="C37:Q37" si="3">STDEV(C9:C32)</f>
        <v>1.3371158468430335E-2</v>
      </c>
      <c r="D37" s="41">
        <f t="shared" si="3"/>
        <v>2.5390883594254288E-2</v>
      </c>
      <c r="E37" s="41">
        <f t="shared" si="3"/>
        <v>4.9060421930513414</v>
      </c>
      <c r="F37" s="41">
        <f t="shared" si="3"/>
        <v>20.306897992076614</v>
      </c>
      <c r="G37" s="41">
        <f t="shared" si="3"/>
        <v>17.545944450689081</v>
      </c>
      <c r="H37" s="41">
        <f t="shared" si="3"/>
        <v>3.3217361077049308</v>
      </c>
      <c r="I37" s="41">
        <f t="shared" si="3"/>
        <v>0.6593178292750751</v>
      </c>
      <c r="J37" s="41">
        <f t="shared" si="3"/>
        <v>0.26954139589785492</v>
      </c>
      <c r="K37" s="41">
        <f t="shared" si="3"/>
        <v>71.293493643511795</v>
      </c>
      <c r="L37" s="41">
        <f t="shared" si="3"/>
        <v>2.9704437206309522</v>
      </c>
      <c r="M37" s="41">
        <f t="shared" si="3"/>
        <v>9.3357712246484557</v>
      </c>
      <c r="N37" s="41">
        <f t="shared" si="3"/>
        <v>356.81783975753058</v>
      </c>
      <c r="O37" s="41">
        <f t="shared" si="3"/>
        <v>0</v>
      </c>
      <c r="P37" s="41">
        <f t="shared" si="3"/>
        <v>7.436914165680103E-2</v>
      </c>
      <c r="Q37" s="41">
        <f t="shared" si="3"/>
        <v>0.22773422840643964</v>
      </c>
      <c r="R37" s="41"/>
      <c r="S37" s="41"/>
      <c r="T37" s="41"/>
      <c r="U37" s="41"/>
    </row>
    <row r="38" spans="1:21" s="1" customFormat="1">
      <c r="A38" s="48" t="s">
        <v>52</v>
      </c>
      <c r="B38" s="49">
        <v>24</v>
      </c>
      <c r="C38" s="49">
        <v>24</v>
      </c>
      <c r="D38" s="49">
        <v>24</v>
      </c>
      <c r="E38" s="49">
        <v>24</v>
      </c>
      <c r="F38" s="49">
        <v>24</v>
      </c>
      <c r="G38" s="49">
        <v>24</v>
      </c>
      <c r="H38" s="49">
        <v>24</v>
      </c>
      <c r="I38" s="49">
        <v>24</v>
      </c>
      <c r="J38" s="49">
        <v>24</v>
      </c>
      <c r="K38" s="49">
        <v>24</v>
      </c>
      <c r="L38" s="49">
        <v>24</v>
      </c>
      <c r="M38" s="49">
        <v>24</v>
      </c>
      <c r="N38" s="49">
        <v>24</v>
      </c>
      <c r="O38" s="49">
        <v>24</v>
      </c>
      <c r="P38" s="49">
        <v>24</v>
      </c>
      <c r="Q38" s="49">
        <v>24</v>
      </c>
      <c r="R38" s="49"/>
      <c r="S38" s="49"/>
      <c r="T38" s="49"/>
      <c r="U38" s="49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4">IF(C38&gt;=22,"&gt;90%",IF(C38&lt;=22,"&lt;90%"))</f>
        <v>&gt;90%</v>
      </c>
      <c r="D39" s="33" t="str">
        <f t="shared" si="4"/>
        <v>&gt;90%</v>
      </c>
      <c r="E39" s="33" t="str">
        <f t="shared" si="4"/>
        <v>&gt;90%</v>
      </c>
      <c r="F39" s="33" t="str">
        <f t="shared" si="4"/>
        <v>&gt;90%</v>
      </c>
      <c r="G39" s="33" t="str">
        <f t="shared" si="4"/>
        <v>&gt;90%</v>
      </c>
      <c r="H39" s="33" t="str">
        <f t="shared" si="4"/>
        <v>&gt;90%</v>
      </c>
      <c r="I39" s="33" t="str">
        <f t="shared" si="4"/>
        <v>&gt;90%</v>
      </c>
      <c r="J39" s="33" t="str">
        <f t="shared" si="4"/>
        <v>&gt;90%</v>
      </c>
      <c r="K39" s="33" t="str">
        <f t="shared" si="4"/>
        <v>&gt;90%</v>
      </c>
      <c r="L39" s="33" t="str">
        <f t="shared" si="4"/>
        <v>&gt;90%</v>
      </c>
      <c r="M39" s="33" t="str">
        <f t="shared" si="4"/>
        <v>&gt;90%</v>
      </c>
      <c r="N39" s="33" t="str">
        <f t="shared" si="4"/>
        <v>&gt;90%</v>
      </c>
      <c r="O39" s="33" t="str">
        <f t="shared" si="4"/>
        <v>&gt;90%</v>
      </c>
      <c r="P39" s="33" t="str">
        <f t="shared" si="4"/>
        <v>&gt;90%</v>
      </c>
      <c r="Q39" s="33" t="str">
        <f t="shared" si="4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5">IF(C38&gt;=22,"OK",IF(C38&lt;=22,"LESS"))</f>
        <v>OK</v>
      </c>
      <c r="D40" s="33" t="str">
        <f t="shared" si="5"/>
        <v>OK</v>
      </c>
      <c r="E40" s="33" t="str">
        <f t="shared" si="5"/>
        <v>OK</v>
      </c>
      <c r="F40" s="33" t="str">
        <f t="shared" si="5"/>
        <v>OK</v>
      </c>
      <c r="G40" s="33" t="str">
        <f t="shared" si="5"/>
        <v>OK</v>
      </c>
      <c r="H40" s="33" t="str">
        <f t="shared" si="5"/>
        <v>OK</v>
      </c>
      <c r="I40" s="33" t="str">
        <f t="shared" si="5"/>
        <v>OK</v>
      </c>
      <c r="J40" s="33" t="str">
        <f t="shared" si="5"/>
        <v>OK</v>
      </c>
      <c r="K40" s="33" t="str">
        <f t="shared" si="5"/>
        <v>OK</v>
      </c>
      <c r="L40" s="33" t="str">
        <f t="shared" si="5"/>
        <v>OK</v>
      </c>
      <c r="M40" s="33" t="str">
        <f t="shared" si="5"/>
        <v>OK</v>
      </c>
      <c r="N40" s="33" t="str">
        <f t="shared" si="5"/>
        <v>OK</v>
      </c>
      <c r="O40" s="33" t="str">
        <f t="shared" si="5"/>
        <v>OK</v>
      </c>
      <c r="P40" s="33" t="str">
        <f t="shared" si="5"/>
        <v>OK</v>
      </c>
      <c r="Q40" s="33" t="str">
        <f t="shared" si="5"/>
        <v>OK</v>
      </c>
      <c r="R40" s="33"/>
      <c r="S40" s="33"/>
      <c r="T40" s="33"/>
      <c r="U40" s="33"/>
    </row>
    <row r="41" spans="1:21" s="1" customFormat="1">
      <c r="A41" s="22"/>
      <c r="L41" s="22"/>
      <c r="N41" s="52"/>
      <c r="O41" s="52"/>
      <c r="P41" s="52"/>
      <c r="Q41" s="52"/>
      <c r="R41" s="52"/>
      <c r="S41" s="52"/>
      <c r="T41" s="52"/>
      <c r="U41" s="52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50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4" activePane="bottomRight" state="frozen"/>
      <selection activeCell="A9" sqref="A9"/>
      <selection pane="topRight" activeCell="A9" sqref="A9"/>
      <selection pane="bottomLeft" activeCell="A9" sqref="A9"/>
      <selection pane="bottomRight" activeCell="Q32" sqref="Q9:Q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 ht="25.5" customHeigh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45454.041666666664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5">
        <v>45454.041666666664</v>
      </c>
      <c r="B9" s="56">
        <v>9.39</v>
      </c>
      <c r="C9" s="56">
        <v>4.1100000000000003</v>
      </c>
      <c r="D9" s="56">
        <v>14.12</v>
      </c>
      <c r="E9" s="56">
        <v>15.13</v>
      </c>
      <c r="F9" s="56">
        <v>6.73</v>
      </c>
      <c r="G9" s="56">
        <v>90.66</v>
      </c>
      <c r="H9" s="56">
        <v>21.76</v>
      </c>
      <c r="I9" s="56">
        <v>6.05</v>
      </c>
      <c r="J9" s="56">
        <v>0.39</v>
      </c>
      <c r="K9" s="56">
        <v>320.56</v>
      </c>
      <c r="L9" s="56">
        <v>32.159999999999997</v>
      </c>
      <c r="M9" s="56">
        <v>57.51</v>
      </c>
      <c r="N9" s="56">
        <v>1.8</v>
      </c>
      <c r="O9" s="56">
        <v>0</v>
      </c>
      <c r="P9" s="56">
        <v>0.6</v>
      </c>
      <c r="Q9" s="56">
        <v>4.0199999999999996</v>
      </c>
    </row>
    <row r="10" spans="1:21" customFormat="1">
      <c r="A10" s="55">
        <v>45454.083333333336</v>
      </c>
      <c r="B10" s="56">
        <v>9.41</v>
      </c>
      <c r="C10" s="56">
        <v>4.12</v>
      </c>
      <c r="D10" s="56">
        <v>14.15</v>
      </c>
      <c r="E10" s="56">
        <v>15.05</v>
      </c>
      <c r="F10" s="56">
        <v>10.99</v>
      </c>
      <c r="G10" s="56">
        <v>97.73</v>
      </c>
      <c r="H10" s="56">
        <v>26.21</v>
      </c>
      <c r="I10" s="56">
        <v>6.49</v>
      </c>
      <c r="J10" s="56">
        <v>0.56000000000000005</v>
      </c>
      <c r="K10" s="56">
        <v>183.02</v>
      </c>
      <c r="L10" s="56">
        <v>31.58</v>
      </c>
      <c r="M10" s="56">
        <v>66.44</v>
      </c>
      <c r="N10" s="56">
        <v>2.2000000000000002</v>
      </c>
      <c r="O10" s="56">
        <v>0</v>
      </c>
      <c r="P10" s="56">
        <v>0.64</v>
      </c>
      <c r="Q10" s="56">
        <v>4.03</v>
      </c>
    </row>
    <row r="11" spans="1:21" customFormat="1">
      <c r="A11" s="55">
        <v>45454.125</v>
      </c>
      <c r="B11" s="56">
        <v>9.43</v>
      </c>
      <c r="C11" s="56">
        <v>4.13</v>
      </c>
      <c r="D11" s="56">
        <v>14.15</v>
      </c>
      <c r="E11" s="56">
        <v>16.52</v>
      </c>
      <c r="F11" s="56">
        <v>1.26</v>
      </c>
      <c r="G11" s="56">
        <v>107.21</v>
      </c>
      <c r="H11" s="56">
        <v>29.44</v>
      </c>
      <c r="I11" s="56">
        <v>6.9</v>
      </c>
      <c r="J11" s="56">
        <v>0.24</v>
      </c>
      <c r="K11" s="56">
        <v>240.58</v>
      </c>
      <c r="L11" s="56">
        <v>30.09</v>
      </c>
      <c r="M11" s="56">
        <v>73.739999999999995</v>
      </c>
      <c r="N11" s="56">
        <v>2</v>
      </c>
      <c r="O11" s="56">
        <v>0</v>
      </c>
      <c r="P11" s="56">
        <v>0.64</v>
      </c>
      <c r="Q11" s="56">
        <v>4.0199999999999996</v>
      </c>
    </row>
    <row r="12" spans="1:21" customFormat="1">
      <c r="A12" s="55">
        <v>45454.166666666664</v>
      </c>
      <c r="B12" s="56">
        <v>9.4600000000000009</v>
      </c>
      <c r="C12" s="56">
        <v>4.1399999999999997</v>
      </c>
      <c r="D12" s="56">
        <v>14.2</v>
      </c>
      <c r="E12" s="56">
        <v>22.06</v>
      </c>
      <c r="F12" s="56">
        <v>2.0499999999999998</v>
      </c>
      <c r="G12" s="56">
        <v>109.18</v>
      </c>
      <c r="H12" s="56">
        <v>29.72</v>
      </c>
      <c r="I12" s="56">
        <v>6.99</v>
      </c>
      <c r="J12" s="56">
        <v>0.27</v>
      </c>
      <c r="K12" s="56">
        <v>327.44</v>
      </c>
      <c r="L12" s="56">
        <v>29.72</v>
      </c>
      <c r="M12" s="56">
        <v>72.37</v>
      </c>
      <c r="N12" s="56">
        <v>1.8</v>
      </c>
      <c r="O12" s="56">
        <v>0</v>
      </c>
      <c r="P12" s="56">
        <v>0.69</v>
      </c>
      <c r="Q12" s="56">
        <v>4.0199999999999996</v>
      </c>
    </row>
    <row r="13" spans="1:21" customFormat="1">
      <c r="A13" s="55">
        <v>45454.208333333336</v>
      </c>
      <c r="B13" s="56">
        <v>9.48</v>
      </c>
      <c r="C13" s="56">
        <v>4.13</v>
      </c>
      <c r="D13" s="56">
        <v>14.21</v>
      </c>
      <c r="E13" s="56">
        <v>22.76</v>
      </c>
      <c r="F13" s="56">
        <v>17.760000000000002</v>
      </c>
      <c r="G13" s="56">
        <v>107.85</v>
      </c>
      <c r="H13" s="56">
        <v>31.74</v>
      </c>
      <c r="I13" s="56">
        <v>7.3</v>
      </c>
      <c r="J13" s="56">
        <v>0.5</v>
      </c>
      <c r="K13" s="56">
        <v>313.51</v>
      </c>
      <c r="L13" s="56">
        <v>30.02</v>
      </c>
      <c r="M13" s="56">
        <v>66.86</v>
      </c>
      <c r="N13" s="56">
        <v>2.2000000000000002</v>
      </c>
      <c r="O13" s="56">
        <v>0</v>
      </c>
      <c r="P13" s="56">
        <v>0.67</v>
      </c>
      <c r="Q13" s="56">
        <v>4.04</v>
      </c>
    </row>
    <row r="14" spans="1:21" customFormat="1">
      <c r="A14" s="55">
        <v>45454.25</v>
      </c>
      <c r="B14" s="56">
        <v>9.44</v>
      </c>
      <c r="C14" s="56">
        <v>4.0999999999999996</v>
      </c>
      <c r="D14" s="56">
        <v>14.15</v>
      </c>
      <c r="E14" s="56">
        <v>13.56</v>
      </c>
      <c r="F14" s="56">
        <v>20.51</v>
      </c>
      <c r="G14" s="56">
        <v>87.62</v>
      </c>
      <c r="H14" s="56">
        <v>23.97</v>
      </c>
      <c r="I14" s="56">
        <v>8.6999999999999993</v>
      </c>
      <c r="J14" s="56">
        <v>0.21</v>
      </c>
      <c r="K14" s="56">
        <v>201.26</v>
      </c>
      <c r="L14" s="56">
        <v>29.51</v>
      </c>
      <c r="M14" s="56">
        <v>70.900000000000006</v>
      </c>
      <c r="N14" s="56">
        <v>33.299999999999997</v>
      </c>
      <c r="O14" s="56">
        <v>0</v>
      </c>
      <c r="P14" s="56">
        <v>0.56000000000000005</v>
      </c>
      <c r="Q14" s="56">
        <v>4.05</v>
      </c>
    </row>
    <row r="15" spans="1:21" customFormat="1">
      <c r="A15" s="55">
        <v>45454.291666666664</v>
      </c>
      <c r="B15" s="56">
        <v>9.43</v>
      </c>
      <c r="C15" s="56">
        <v>4.0999999999999996</v>
      </c>
      <c r="D15" s="56">
        <v>14.15</v>
      </c>
      <c r="E15" s="56">
        <v>14.39</v>
      </c>
      <c r="F15" s="56">
        <v>19.34</v>
      </c>
      <c r="G15" s="56">
        <v>70.13</v>
      </c>
      <c r="H15" s="56">
        <v>20.6</v>
      </c>
      <c r="I15" s="56">
        <v>10.46</v>
      </c>
      <c r="J15" s="56">
        <v>0.85</v>
      </c>
      <c r="K15" s="56">
        <v>264.39</v>
      </c>
      <c r="L15" s="56">
        <v>30.8</v>
      </c>
      <c r="M15" s="56">
        <v>66.75</v>
      </c>
      <c r="N15" s="56">
        <v>85.4</v>
      </c>
      <c r="O15" s="56">
        <v>0</v>
      </c>
      <c r="P15" s="56">
        <v>0.48</v>
      </c>
      <c r="Q15" s="56">
        <v>4.05</v>
      </c>
    </row>
    <row r="16" spans="1:21" customFormat="1">
      <c r="A16" s="55">
        <v>45454.333333333336</v>
      </c>
      <c r="B16" s="56">
        <v>9.41</v>
      </c>
      <c r="C16" s="56">
        <v>4.09</v>
      </c>
      <c r="D16" s="56">
        <v>14.13</v>
      </c>
      <c r="E16" s="56">
        <v>14.56</v>
      </c>
      <c r="F16" s="56">
        <v>16.010000000000002</v>
      </c>
      <c r="G16" s="56">
        <v>57.98</v>
      </c>
      <c r="H16" s="56">
        <v>22.11</v>
      </c>
      <c r="I16" s="56">
        <v>6.84</v>
      </c>
      <c r="J16" s="56">
        <v>0.99</v>
      </c>
      <c r="K16" s="56">
        <v>274.82</v>
      </c>
      <c r="L16" s="56">
        <v>32.72</v>
      </c>
      <c r="M16" s="56">
        <v>61.4</v>
      </c>
      <c r="N16" s="56">
        <v>137.30000000000001</v>
      </c>
      <c r="O16" s="56">
        <v>0</v>
      </c>
      <c r="P16" s="56">
        <v>0.48</v>
      </c>
      <c r="Q16" s="56">
        <v>4.03</v>
      </c>
    </row>
    <row r="17" spans="1:17" customFormat="1">
      <c r="A17" s="55">
        <v>45454.375</v>
      </c>
      <c r="B17" s="56">
        <v>9.48</v>
      </c>
      <c r="C17" s="56">
        <v>4.0999999999999996</v>
      </c>
      <c r="D17" s="56">
        <v>14.19</v>
      </c>
      <c r="E17" s="56">
        <v>15.7</v>
      </c>
      <c r="F17" s="56">
        <v>13.86</v>
      </c>
      <c r="G17" s="56">
        <v>45.09</v>
      </c>
      <c r="H17" s="56">
        <v>20.48</v>
      </c>
      <c r="I17" s="56">
        <v>7.57</v>
      </c>
      <c r="J17" s="56">
        <v>1.06</v>
      </c>
      <c r="K17" s="56">
        <v>301.19</v>
      </c>
      <c r="L17" s="56">
        <v>34.74</v>
      </c>
      <c r="M17" s="56">
        <v>56</v>
      </c>
      <c r="N17" s="56">
        <v>172.1</v>
      </c>
      <c r="O17" s="56">
        <v>0</v>
      </c>
      <c r="P17" s="56">
        <v>0.65</v>
      </c>
      <c r="Q17" s="56">
        <v>4.0199999999999996</v>
      </c>
    </row>
    <row r="18" spans="1:17" customFormat="1">
      <c r="A18" s="55">
        <v>45454.416666666664</v>
      </c>
      <c r="B18" s="56">
        <v>9.51</v>
      </c>
      <c r="C18" s="56">
        <v>4.13</v>
      </c>
      <c r="D18" s="56">
        <v>14.22</v>
      </c>
      <c r="E18" s="56">
        <v>13.65</v>
      </c>
      <c r="F18" s="56">
        <v>20.2</v>
      </c>
      <c r="G18" s="56">
        <v>49.84</v>
      </c>
      <c r="H18" s="56">
        <v>20.3</v>
      </c>
      <c r="I18" s="56">
        <v>7.95</v>
      </c>
      <c r="J18" s="56">
        <v>1.4</v>
      </c>
      <c r="K18" s="56">
        <v>324.25</v>
      </c>
      <c r="L18" s="56">
        <v>36.51</v>
      </c>
      <c r="M18" s="56">
        <v>48.65</v>
      </c>
      <c r="N18" s="56">
        <v>211.5</v>
      </c>
      <c r="O18" s="56">
        <v>0</v>
      </c>
      <c r="P18" s="56">
        <v>0.6</v>
      </c>
      <c r="Q18" s="56">
        <v>4.0199999999999996</v>
      </c>
    </row>
    <row r="19" spans="1:17" customFormat="1">
      <c r="A19" s="55">
        <v>45454.458333333336</v>
      </c>
      <c r="B19" s="56">
        <v>9.4600000000000009</v>
      </c>
      <c r="C19" s="56">
        <v>4.1500000000000004</v>
      </c>
      <c r="D19" s="56">
        <v>14.19</v>
      </c>
      <c r="E19" s="56">
        <v>13.23</v>
      </c>
      <c r="F19" s="56">
        <v>27.66</v>
      </c>
      <c r="G19" s="56">
        <v>50.1</v>
      </c>
      <c r="H19" s="56">
        <v>20.7</v>
      </c>
      <c r="I19" s="56">
        <v>7.04</v>
      </c>
      <c r="J19" s="56">
        <v>1.43</v>
      </c>
      <c r="K19" s="56">
        <v>315.91000000000003</v>
      </c>
      <c r="L19" s="56">
        <v>37.83</v>
      </c>
      <c r="M19" s="56">
        <v>43.37</v>
      </c>
      <c r="N19" s="56">
        <v>249.8</v>
      </c>
      <c r="O19" s="56">
        <v>0</v>
      </c>
      <c r="P19" s="56">
        <v>0.57999999999999996</v>
      </c>
      <c r="Q19" s="56">
        <v>4.03</v>
      </c>
    </row>
    <row r="20" spans="1:17" customFormat="1">
      <c r="A20" s="55">
        <v>45454.5</v>
      </c>
      <c r="B20" s="56">
        <v>9.49</v>
      </c>
      <c r="C20" s="56">
        <v>4.1100000000000003</v>
      </c>
      <c r="D20" s="56">
        <v>14.2</v>
      </c>
      <c r="E20" s="56">
        <v>15.96</v>
      </c>
      <c r="F20" s="56">
        <v>29.11</v>
      </c>
      <c r="G20" s="56">
        <v>49.68</v>
      </c>
      <c r="H20" s="56">
        <v>23.16</v>
      </c>
      <c r="I20" s="56">
        <v>6.5</v>
      </c>
      <c r="J20" s="56">
        <v>1.42</v>
      </c>
      <c r="K20" s="56">
        <v>312.33</v>
      </c>
      <c r="L20" s="56">
        <v>39.43</v>
      </c>
      <c r="M20" s="56">
        <v>38.049999999999997</v>
      </c>
      <c r="N20" s="56">
        <v>722.7</v>
      </c>
      <c r="O20" s="56">
        <v>0</v>
      </c>
      <c r="P20" s="56">
        <v>0.56999999999999995</v>
      </c>
      <c r="Q20" s="56">
        <v>4.0199999999999996</v>
      </c>
    </row>
    <row r="21" spans="1:17" customFormat="1">
      <c r="A21" s="55">
        <v>45454.541666666664</v>
      </c>
      <c r="B21" s="56">
        <v>9.51</v>
      </c>
      <c r="C21" s="56">
        <v>4.1100000000000003</v>
      </c>
      <c r="D21" s="56">
        <v>14.21</v>
      </c>
      <c r="E21" s="56">
        <v>17.989999999999998</v>
      </c>
      <c r="F21" s="56">
        <v>43.96</v>
      </c>
      <c r="G21" s="56">
        <v>54.53</v>
      </c>
      <c r="H21" s="56">
        <v>24.13</v>
      </c>
      <c r="I21" s="56">
        <v>6.11</v>
      </c>
      <c r="J21" s="56">
        <v>1.29</v>
      </c>
      <c r="K21" s="56">
        <v>338.46</v>
      </c>
      <c r="L21" s="56">
        <v>41.04</v>
      </c>
      <c r="M21" s="56">
        <v>32.909999999999997</v>
      </c>
      <c r="N21" s="56">
        <v>731.6</v>
      </c>
      <c r="O21" s="56">
        <v>0</v>
      </c>
      <c r="P21" s="56">
        <v>0.52</v>
      </c>
      <c r="Q21" s="56">
        <v>4.03</v>
      </c>
    </row>
    <row r="22" spans="1:17" customFormat="1">
      <c r="A22" s="55">
        <v>45454.583333333336</v>
      </c>
      <c r="B22" s="56">
        <v>9.5</v>
      </c>
      <c r="C22" s="56">
        <v>4.07</v>
      </c>
      <c r="D22" s="56">
        <v>14.2</v>
      </c>
      <c r="E22" s="56">
        <v>22.78</v>
      </c>
      <c r="F22" s="56">
        <v>53.73</v>
      </c>
      <c r="G22" s="56">
        <v>57.39</v>
      </c>
      <c r="H22" s="56">
        <v>23.19</v>
      </c>
      <c r="I22" s="56">
        <v>5.19</v>
      </c>
      <c r="J22" s="56">
        <v>0.88</v>
      </c>
      <c r="K22" s="56">
        <v>336.6</v>
      </c>
      <c r="L22" s="56">
        <v>41.67</v>
      </c>
      <c r="M22" s="56">
        <v>29.63</v>
      </c>
      <c r="N22" s="56">
        <v>564.70000000000005</v>
      </c>
      <c r="O22" s="56">
        <v>0</v>
      </c>
      <c r="P22" s="56">
        <v>0.51</v>
      </c>
      <c r="Q22" s="56">
        <v>4.01</v>
      </c>
    </row>
    <row r="23" spans="1:17" customFormat="1">
      <c r="A23" s="55">
        <v>45454.625</v>
      </c>
      <c r="B23" s="56">
        <v>9.32</v>
      </c>
      <c r="C23" s="56">
        <v>4.09</v>
      </c>
      <c r="D23" s="56">
        <v>14.05</v>
      </c>
      <c r="E23" s="56">
        <v>20.07</v>
      </c>
      <c r="F23" s="56">
        <v>50.07</v>
      </c>
      <c r="G23" s="56">
        <v>59.35</v>
      </c>
      <c r="H23" s="56">
        <v>23.64</v>
      </c>
      <c r="I23" s="56">
        <v>5.47</v>
      </c>
      <c r="J23" s="56">
        <v>1.29</v>
      </c>
      <c r="K23" s="56">
        <v>350.45</v>
      </c>
      <c r="L23" s="56">
        <v>42.01</v>
      </c>
      <c r="M23" s="56">
        <v>30.27</v>
      </c>
      <c r="N23" s="56">
        <v>515</v>
      </c>
      <c r="O23" s="56">
        <v>0</v>
      </c>
      <c r="P23" s="56">
        <v>0.54</v>
      </c>
      <c r="Q23" s="56">
        <v>3.99</v>
      </c>
    </row>
    <row r="24" spans="1:17" customFormat="1">
      <c r="A24" s="55">
        <v>45454.666666666664</v>
      </c>
      <c r="B24" s="56">
        <v>9.33</v>
      </c>
      <c r="C24" s="56">
        <v>4.0999999999999996</v>
      </c>
      <c r="D24" s="56">
        <v>14.07</v>
      </c>
      <c r="E24" s="56">
        <v>23.83</v>
      </c>
      <c r="F24" s="56">
        <v>40.44</v>
      </c>
      <c r="G24" s="56">
        <v>61.94</v>
      </c>
      <c r="H24" s="56">
        <v>23.72</v>
      </c>
      <c r="I24" s="56">
        <v>5.73</v>
      </c>
      <c r="J24" s="56">
        <v>3.02</v>
      </c>
      <c r="K24" s="56">
        <v>325.27</v>
      </c>
      <c r="L24" s="56">
        <v>41.06</v>
      </c>
      <c r="M24" s="56">
        <v>42.53</v>
      </c>
      <c r="N24" s="56">
        <v>251.2</v>
      </c>
      <c r="O24" s="56">
        <v>0</v>
      </c>
      <c r="P24" s="56">
        <v>0.54</v>
      </c>
      <c r="Q24" s="56">
        <v>3.98</v>
      </c>
    </row>
    <row r="25" spans="1:17" customFormat="1">
      <c r="A25" s="55">
        <v>45454.708333333336</v>
      </c>
      <c r="B25" s="56">
        <v>9.3000000000000007</v>
      </c>
      <c r="C25" s="56">
        <v>4.0999999999999996</v>
      </c>
      <c r="D25" s="56">
        <v>14.05</v>
      </c>
      <c r="E25" s="56">
        <v>30.07</v>
      </c>
      <c r="F25" s="56">
        <v>35.31</v>
      </c>
      <c r="G25" s="56">
        <v>67.87</v>
      </c>
      <c r="H25" s="56">
        <v>23.74</v>
      </c>
      <c r="I25" s="56">
        <v>5.55</v>
      </c>
      <c r="J25" s="56">
        <v>1.2</v>
      </c>
      <c r="K25" s="56">
        <v>74.98</v>
      </c>
      <c r="L25" s="56">
        <v>36.020000000000003</v>
      </c>
      <c r="M25" s="56">
        <v>41.48</v>
      </c>
      <c r="N25" s="56">
        <v>113.3</v>
      </c>
      <c r="O25" s="56">
        <v>0</v>
      </c>
      <c r="P25" s="56">
        <v>0.6</v>
      </c>
      <c r="Q25" s="56">
        <v>3.98</v>
      </c>
    </row>
    <row r="26" spans="1:17" customFormat="1">
      <c r="A26" s="55">
        <v>45454.75</v>
      </c>
      <c r="B26" s="56">
        <v>9.3800000000000008</v>
      </c>
      <c r="C26" s="56">
        <v>4.12</v>
      </c>
      <c r="D26" s="56">
        <v>14.12</v>
      </c>
      <c r="E26" s="56">
        <v>15.97</v>
      </c>
      <c r="F26" s="56">
        <v>30.93</v>
      </c>
      <c r="G26" s="56">
        <v>67.78</v>
      </c>
      <c r="H26" s="56">
        <v>20.03</v>
      </c>
      <c r="I26" s="56">
        <v>5.5</v>
      </c>
      <c r="J26" s="56">
        <v>0.66</v>
      </c>
      <c r="K26" s="56">
        <v>256.37</v>
      </c>
      <c r="L26" s="56">
        <v>35.65</v>
      </c>
      <c r="M26" s="56">
        <v>55.89</v>
      </c>
      <c r="N26" s="56">
        <v>61.8</v>
      </c>
      <c r="O26" s="56">
        <v>0</v>
      </c>
      <c r="P26" s="56">
        <v>0.5</v>
      </c>
      <c r="Q26" s="56">
        <v>4.01</v>
      </c>
    </row>
    <row r="27" spans="1:17" customFormat="1">
      <c r="A27" s="55">
        <v>45454.791666666664</v>
      </c>
      <c r="B27" s="56">
        <v>9.44</v>
      </c>
      <c r="C27" s="56">
        <v>4.16</v>
      </c>
      <c r="D27" s="56">
        <v>14.17</v>
      </c>
      <c r="E27" s="56">
        <v>13.61</v>
      </c>
      <c r="F27" s="56">
        <v>33.47</v>
      </c>
      <c r="G27" s="56">
        <v>63.05</v>
      </c>
      <c r="H27" s="56">
        <v>22.95</v>
      </c>
      <c r="I27" s="56">
        <v>5.88</v>
      </c>
      <c r="J27" s="56">
        <v>0.53</v>
      </c>
      <c r="K27" s="56">
        <v>357.26</v>
      </c>
      <c r="L27" s="56">
        <v>33.049999999999997</v>
      </c>
      <c r="M27" s="56">
        <v>61.95</v>
      </c>
      <c r="N27" s="56">
        <v>13.1</v>
      </c>
      <c r="O27" s="56">
        <v>0</v>
      </c>
      <c r="P27" s="56">
        <v>0.61</v>
      </c>
      <c r="Q27" s="56">
        <v>4.0599999999999996</v>
      </c>
    </row>
    <row r="28" spans="1:17" customFormat="1">
      <c r="A28" s="55">
        <v>45454.833333333336</v>
      </c>
      <c r="B28" s="56">
        <v>9.44</v>
      </c>
      <c r="C28" s="56">
        <v>4.0999999999999996</v>
      </c>
      <c r="D28" s="56">
        <v>14.15</v>
      </c>
      <c r="E28" s="56">
        <v>12.4</v>
      </c>
      <c r="F28" s="56">
        <v>24.55</v>
      </c>
      <c r="G28" s="56">
        <v>72.5</v>
      </c>
      <c r="H28" s="56">
        <v>25.14</v>
      </c>
      <c r="I28" s="56">
        <v>5.68</v>
      </c>
      <c r="J28" s="56">
        <v>0.44</v>
      </c>
      <c r="K28" s="56">
        <v>256.85000000000002</v>
      </c>
      <c r="L28" s="56">
        <v>31.92</v>
      </c>
      <c r="M28" s="56">
        <v>62.84</v>
      </c>
      <c r="N28" s="56">
        <v>2</v>
      </c>
      <c r="O28" s="56">
        <v>0</v>
      </c>
      <c r="P28" s="56">
        <v>0.5</v>
      </c>
      <c r="Q28" s="56">
        <v>4.08</v>
      </c>
    </row>
    <row r="29" spans="1:17" customFormat="1">
      <c r="A29" s="55">
        <v>45454.875</v>
      </c>
      <c r="B29" s="56">
        <v>9.42</v>
      </c>
      <c r="C29" s="56">
        <v>4.0999999999999996</v>
      </c>
      <c r="D29" s="56">
        <v>14.15</v>
      </c>
      <c r="E29" s="56">
        <v>12.61</v>
      </c>
      <c r="F29" s="56">
        <v>23.67</v>
      </c>
      <c r="G29" s="56">
        <v>54.9</v>
      </c>
      <c r="H29" s="56">
        <v>22.41</v>
      </c>
      <c r="I29" s="56">
        <v>5.26</v>
      </c>
      <c r="J29" s="56">
        <v>0.28000000000000003</v>
      </c>
      <c r="K29" s="56">
        <v>223.3</v>
      </c>
      <c r="L29" s="56">
        <v>31.73</v>
      </c>
      <c r="M29" s="56">
        <v>66.98</v>
      </c>
      <c r="N29" s="56">
        <v>1.9</v>
      </c>
      <c r="O29" s="56">
        <v>0</v>
      </c>
      <c r="P29" s="56">
        <v>0.49</v>
      </c>
      <c r="Q29" s="56">
        <v>4.0199999999999996</v>
      </c>
    </row>
    <row r="30" spans="1:17" customFormat="1">
      <c r="A30" s="55">
        <v>45454.916666666664</v>
      </c>
      <c r="B30" s="56">
        <v>9.43</v>
      </c>
      <c r="C30" s="56">
        <v>4.1100000000000003</v>
      </c>
      <c r="D30" s="56">
        <v>14.15</v>
      </c>
      <c r="E30" s="56">
        <v>12.32</v>
      </c>
      <c r="F30" s="56">
        <v>16.600000000000001</v>
      </c>
      <c r="G30" s="56">
        <v>48.47</v>
      </c>
      <c r="H30" s="56">
        <v>21.66</v>
      </c>
      <c r="I30" s="56">
        <v>5.21</v>
      </c>
      <c r="J30" s="56">
        <v>0.49</v>
      </c>
      <c r="K30" s="56">
        <v>258.23</v>
      </c>
      <c r="L30" s="56">
        <v>30.85</v>
      </c>
      <c r="M30" s="56">
        <v>65.510000000000005</v>
      </c>
      <c r="N30" s="56">
        <v>2</v>
      </c>
      <c r="O30" s="56">
        <v>0</v>
      </c>
      <c r="P30" s="56">
        <v>0.49</v>
      </c>
      <c r="Q30" s="56">
        <v>4.08</v>
      </c>
    </row>
    <row r="31" spans="1:17" customFormat="1">
      <c r="A31" s="55">
        <v>45454.958333333336</v>
      </c>
      <c r="B31" s="56">
        <v>9.44</v>
      </c>
      <c r="C31" s="56">
        <v>4.0999999999999996</v>
      </c>
      <c r="D31" s="56">
        <v>14.15</v>
      </c>
      <c r="E31" s="56">
        <v>11.65</v>
      </c>
      <c r="F31" s="56">
        <v>29.05</v>
      </c>
      <c r="G31" s="56">
        <v>42.25</v>
      </c>
      <c r="H31" s="56">
        <v>19.63</v>
      </c>
      <c r="I31" s="56">
        <v>5.14</v>
      </c>
      <c r="J31" s="56">
        <v>0.41</v>
      </c>
      <c r="K31" s="56">
        <v>263.2</v>
      </c>
      <c r="L31" s="56">
        <v>30.14</v>
      </c>
      <c r="M31" s="56">
        <v>66.16</v>
      </c>
      <c r="N31" s="56">
        <v>2.1</v>
      </c>
      <c r="O31" s="56">
        <v>0</v>
      </c>
      <c r="P31" s="56">
        <v>0.45</v>
      </c>
      <c r="Q31" s="56">
        <v>4.03</v>
      </c>
    </row>
    <row r="32" spans="1:17" customFormat="1">
      <c r="A32" s="55">
        <v>45455</v>
      </c>
      <c r="B32" s="56">
        <v>9.4600000000000009</v>
      </c>
      <c r="C32" s="56">
        <v>4.1100000000000003</v>
      </c>
      <c r="D32" s="56">
        <v>14.17</v>
      </c>
      <c r="E32" s="56">
        <v>10.58</v>
      </c>
      <c r="F32" s="56">
        <v>28.3</v>
      </c>
      <c r="G32" s="56">
        <v>28.28</v>
      </c>
      <c r="H32" s="56">
        <v>16.86</v>
      </c>
      <c r="I32" s="56">
        <v>4.4000000000000004</v>
      </c>
      <c r="J32" s="56">
        <v>0.45</v>
      </c>
      <c r="K32" s="56">
        <v>247.25</v>
      </c>
      <c r="L32" s="56">
        <v>29.26</v>
      </c>
      <c r="M32" s="56">
        <v>67.59</v>
      </c>
      <c r="N32" s="56">
        <v>1.9</v>
      </c>
      <c r="O32" s="56">
        <v>0</v>
      </c>
      <c r="P32" s="56">
        <v>0.36</v>
      </c>
      <c r="Q32" s="56">
        <v>4.05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9.3000000000000007</v>
      </c>
      <c r="C34" s="41">
        <f t="shared" si="0"/>
        <v>4.07</v>
      </c>
      <c r="D34" s="41">
        <f t="shared" si="0"/>
        <v>14.05</v>
      </c>
      <c r="E34" s="41">
        <f t="shared" si="0"/>
        <v>10.58</v>
      </c>
      <c r="F34" s="41">
        <f t="shared" si="0"/>
        <v>1.26</v>
      </c>
      <c r="G34" s="41">
        <f t="shared" si="0"/>
        <v>28.28</v>
      </c>
      <c r="H34" s="41">
        <f t="shared" si="0"/>
        <v>16.86</v>
      </c>
      <c r="I34" s="41">
        <f t="shared" si="0"/>
        <v>4.4000000000000004</v>
      </c>
      <c r="J34" s="41">
        <f t="shared" si="0"/>
        <v>0.21</v>
      </c>
      <c r="K34" s="41">
        <f t="shared" si="0"/>
        <v>74.98</v>
      </c>
      <c r="L34" s="41">
        <f t="shared" si="0"/>
        <v>29.26</v>
      </c>
      <c r="M34" s="41">
        <f t="shared" si="0"/>
        <v>29.63</v>
      </c>
      <c r="N34" s="41">
        <f t="shared" si="0"/>
        <v>1.8</v>
      </c>
      <c r="O34" s="41">
        <f t="shared" si="0"/>
        <v>0</v>
      </c>
      <c r="P34" s="41">
        <f t="shared" si="0"/>
        <v>0.36</v>
      </c>
      <c r="Q34" s="41">
        <f t="shared" si="0"/>
        <v>3.98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9.51</v>
      </c>
      <c r="C35" s="33">
        <f t="shared" si="1"/>
        <v>4.16</v>
      </c>
      <c r="D35" s="33">
        <f t="shared" si="1"/>
        <v>14.22</v>
      </c>
      <c r="E35" s="33">
        <f t="shared" si="1"/>
        <v>30.07</v>
      </c>
      <c r="F35" s="33">
        <f t="shared" si="1"/>
        <v>53.73</v>
      </c>
      <c r="G35" s="33">
        <f t="shared" si="1"/>
        <v>109.18</v>
      </c>
      <c r="H35" s="33">
        <f t="shared" si="1"/>
        <v>31.74</v>
      </c>
      <c r="I35" s="33">
        <f t="shared" si="1"/>
        <v>10.46</v>
      </c>
      <c r="J35" s="33">
        <f t="shared" si="1"/>
        <v>3.02</v>
      </c>
      <c r="K35" s="33">
        <f t="shared" si="1"/>
        <v>357.26</v>
      </c>
      <c r="L35" s="33">
        <f t="shared" si="1"/>
        <v>42.01</v>
      </c>
      <c r="M35" s="33">
        <f t="shared" si="1"/>
        <v>73.739999999999995</v>
      </c>
      <c r="N35" s="33">
        <f t="shared" si="1"/>
        <v>731.6</v>
      </c>
      <c r="O35" s="33">
        <f t="shared" si="1"/>
        <v>0</v>
      </c>
      <c r="P35" s="33">
        <f t="shared" si="1"/>
        <v>0.69</v>
      </c>
      <c r="Q35" s="33">
        <f t="shared" si="1"/>
        <v>4.08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9.4316666666666666</v>
      </c>
      <c r="C36" s="41">
        <f t="shared" si="2"/>
        <v>4.1116666666666655</v>
      </c>
      <c r="D36" s="41">
        <f t="shared" si="2"/>
        <v>14.154166666666663</v>
      </c>
      <c r="E36" s="41">
        <f t="shared" si="2"/>
        <v>16.518750000000001</v>
      </c>
      <c r="F36" s="41">
        <f t="shared" si="2"/>
        <v>24.814999999999998</v>
      </c>
      <c r="G36" s="41">
        <f t="shared" si="2"/>
        <v>66.724166666666676</v>
      </c>
      <c r="H36" s="41">
        <f t="shared" si="2"/>
        <v>23.220416666666665</v>
      </c>
      <c r="I36" s="41">
        <f t="shared" si="2"/>
        <v>6.4129166666666668</v>
      </c>
      <c r="J36" s="41">
        <f t="shared" si="2"/>
        <v>0.84416666666666673</v>
      </c>
      <c r="K36" s="41">
        <f t="shared" si="2"/>
        <v>277.81166666666667</v>
      </c>
      <c r="L36" s="41">
        <f t="shared" si="2"/>
        <v>34.146250000000002</v>
      </c>
      <c r="M36" s="41">
        <f t="shared" si="2"/>
        <v>56.074166666666663</v>
      </c>
      <c r="N36" s="41">
        <f t="shared" si="2"/>
        <v>161.7791666666667</v>
      </c>
      <c r="O36" s="41">
        <f t="shared" si="2"/>
        <v>0</v>
      </c>
      <c r="P36" s="41">
        <f t="shared" si="2"/>
        <v>0.55291666666666661</v>
      </c>
      <c r="Q36" s="41">
        <f t="shared" si="2"/>
        <v>4.027916666666667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5.6465970257327906E-2</v>
      </c>
      <c r="C37" s="41">
        <f t="shared" ref="C37:Q37" si="3">STDEV(C9:C32)</f>
        <v>2.0359095108162133E-2</v>
      </c>
      <c r="D37" s="41">
        <f t="shared" si="3"/>
        <v>4.7449439146973124E-2</v>
      </c>
      <c r="E37" s="41">
        <f t="shared" si="3"/>
        <v>4.7529051184741151</v>
      </c>
      <c r="F37" s="41">
        <f t="shared" si="3"/>
        <v>13.738079734177145</v>
      </c>
      <c r="G37" s="41">
        <f t="shared" si="3"/>
        <v>22.286901966746314</v>
      </c>
      <c r="H37" s="41">
        <f t="shared" si="3"/>
        <v>3.4105724104124482</v>
      </c>
      <c r="I37" s="41">
        <f t="shared" si="3"/>
        <v>1.3380631010228299</v>
      </c>
      <c r="J37" s="41">
        <f t="shared" si="3"/>
        <v>0.62195985237876428</v>
      </c>
      <c r="K37" s="41">
        <f t="shared" si="3"/>
        <v>64.217355209825627</v>
      </c>
      <c r="L37" s="41">
        <f t="shared" si="3"/>
        <v>4.3142038537028444</v>
      </c>
      <c r="M37" s="41">
        <f t="shared" si="3"/>
        <v>14.030748505450024</v>
      </c>
      <c r="N37" s="41">
        <f t="shared" si="3"/>
        <v>233.82248744305576</v>
      </c>
      <c r="O37" s="41">
        <f t="shared" si="3"/>
        <v>0</v>
      </c>
      <c r="P37" s="41">
        <f t="shared" si="3"/>
        <v>7.8931955652881899E-2</v>
      </c>
      <c r="Q37" s="41">
        <f t="shared" si="3"/>
        <v>2.5703859745125873E-2</v>
      </c>
      <c r="R37" s="41"/>
      <c r="S37" s="41"/>
      <c r="T37" s="41"/>
      <c r="U37" s="41"/>
    </row>
    <row r="38" spans="1:21" s="1" customFormat="1">
      <c r="A38" s="48" t="s">
        <v>52</v>
      </c>
      <c r="B38" s="49">
        <f t="shared" ref="B38:Q38" si="4">COUNT(B9:B32)</f>
        <v>24</v>
      </c>
      <c r="C38" s="49">
        <f t="shared" si="4"/>
        <v>24</v>
      </c>
      <c r="D38" s="49">
        <f t="shared" si="4"/>
        <v>24</v>
      </c>
      <c r="E38" s="49">
        <f t="shared" si="4"/>
        <v>24</v>
      </c>
      <c r="F38" s="49">
        <f t="shared" si="4"/>
        <v>24</v>
      </c>
      <c r="G38" s="49">
        <f t="shared" si="4"/>
        <v>24</v>
      </c>
      <c r="H38" s="49">
        <f t="shared" si="4"/>
        <v>24</v>
      </c>
      <c r="I38" s="49">
        <f t="shared" si="4"/>
        <v>24</v>
      </c>
      <c r="J38" s="49">
        <f t="shared" si="4"/>
        <v>24</v>
      </c>
      <c r="K38" s="49">
        <f t="shared" si="4"/>
        <v>24</v>
      </c>
      <c r="L38" s="49">
        <f t="shared" si="4"/>
        <v>24</v>
      </c>
      <c r="M38" s="49">
        <f t="shared" si="4"/>
        <v>24</v>
      </c>
      <c r="N38" s="49">
        <f t="shared" si="4"/>
        <v>24</v>
      </c>
      <c r="O38" s="49">
        <f t="shared" si="4"/>
        <v>24</v>
      </c>
      <c r="P38" s="49">
        <f t="shared" si="4"/>
        <v>24</v>
      </c>
      <c r="Q38" s="49">
        <f t="shared" si="4"/>
        <v>24</v>
      </c>
      <c r="R38" s="49"/>
      <c r="S38" s="49"/>
      <c r="T38" s="49"/>
      <c r="U38" s="49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52"/>
      <c r="O41" s="52"/>
      <c r="P41" s="52"/>
      <c r="Q41" s="52"/>
      <c r="R41" s="52"/>
      <c r="S41" s="52"/>
      <c r="T41" s="52"/>
      <c r="U41" s="52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50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13" activePane="bottomRight" state="frozen"/>
      <selection activeCell="A9" sqref="A9"/>
      <selection pane="topRight" activeCell="A9" sqref="A9"/>
      <selection pane="bottomLeft" activeCell="A9" sqref="A9"/>
      <selection pane="bottomRight" activeCell="Q9" sqref="Q9:Q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45455.041666666664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5">
        <v>45455.041666666664</v>
      </c>
      <c r="B9" s="56">
        <v>9.26</v>
      </c>
      <c r="C9" s="56">
        <v>4.13</v>
      </c>
      <c r="D9" s="56">
        <v>14.03</v>
      </c>
      <c r="E9" s="56">
        <v>9.3800000000000008</v>
      </c>
      <c r="F9" s="56">
        <v>28.75</v>
      </c>
      <c r="G9" s="56">
        <v>20.2</v>
      </c>
      <c r="H9" s="56">
        <v>13.24</v>
      </c>
      <c r="I9" s="56">
        <v>3.9</v>
      </c>
      <c r="J9" s="56">
        <v>1.04</v>
      </c>
      <c r="K9" s="56">
        <v>257.49</v>
      </c>
      <c r="L9" s="56">
        <v>29.77</v>
      </c>
      <c r="M9" s="56">
        <v>66.39</v>
      </c>
      <c r="N9" s="56">
        <v>1.5</v>
      </c>
      <c r="O9" s="56">
        <v>0</v>
      </c>
      <c r="P9" s="56">
        <v>0.28000000000000003</v>
      </c>
      <c r="Q9" s="56">
        <v>4.09</v>
      </c>
    </row>
    <row r="10" spans="1:21" customFormat="1">
      <c r="A10" s="55">
        <v>45455.083333333336</v>
      </c>
      <c r="B10" s="56">
        <v>9.17</v>
      </c>
      <c r="C10" s="56">
        <v>4.08</v>
      </c>
      <c r="D10" s="56">
        <v>13.93</v>
      </c>
      <c r="E10" s="56">
        <v>8.9</v>
      </c>
      <c r="F10" s="56">
        <v>18.72</v>
      </c>
      <c r="G10" s="56">
        <v>23.4</v>
      </c>
      <c r="H10" s="56">
        <v>13.29</v>
      </c>
      <c r="I10" s="56">
        <v>4.12</v>
      </c>
      <c r="J10" s="56">
        <v>1.43</v>
      </c>
      <c r="K10" s="56">
        <v>273.06</v>
      </c>
      <c r="L10" s="56">
        <v>29.98</v>
      </c>
      <c r="M10" s="56">
        <v>61.18</v>
      </c>
      <c r="N10" s="56">
        <v>2.1</v>
      </c>
      <c r="O10" s="56">
        <v>0</v>
      </c>
      <c r="P10" s="56">
        <v>0.28000000000000003</v>
      </c>
      <c r="Q10" s="56">
        <v>4.12</v>
      </c>
    </row>
    <row r="11" spans="1:21" customFormat="1">
      <c r="A11" s="55">
        <v>45455.125</v>
      </c>
      <c r="B11" s="56">
        <v>9.1199999999999992</v>
      </c>
      <c r="C11" s="56">
        <v>4.0999999999999996</v>
      </c>
      <c r="D11" s="56">
        <v>13.9</v>
      </c>
      <c r="E11" s="56">
        <v>8.81</v>
      </c>
      <c r="F11" s="56">
        <v>11.58</v>
      </c>
      <c r="G11" s="56">
        <v>21.27</v>
      </c>
      <c r="H11" s="56">
        <v>12.75</v>
      </c>
      <c r="I11" s="56">
        <v>3.97</v>
      </c>
      <c r="J11" s="56">
        <v>1.46</v>
      </c>
      <c r="K11" s="56">
        <v>266.62</v>
      </c>
      <c r="L11" s="56">
        <v>30.02</v>
      </c>
      <c r="M11" s="56">
        <v>61.01</v>
      </c>
      <c r="N11" s="56">
        <v>2.2000000000000002</v>
      </c>
      <c r="O11" s="56">
        <v>0</v>
      </c>
      <c r="P11" s="56">
        <v>0.28000000000000003</v>
      </c>
      <c r="Q11" s="56">
        <v>4.0999999999999996</v>
      </c>
    </row>
    <row r="12" spans="1:21" customFormat="1">
      <c r="A12" s="55">
        <v>45455.166666666664</v>
      </c>
      <c r="B12" s="56">
        <v>9.1999999999999993</v>
      </c>
      <c r="C12" s="56">
        <v>4.0999999999999996</v>
      </c>
      <c r="D12" s="56">
        <v>13.96</v>
      </c>
      <c r="E12" s="56">
        <v>8.98</v>
      </c>
      <c r="F12" s="56">
        <v>9.82</v>
      </c>
      <c r="G12" s="56">
        <v>19.54</v>
      </c>
      <c r="H12" s="56">
        <v>12.87</v>
      </c>
      <c r="I12" s="56">
        <v>3.8</v>
      </c>
      <c r="J12" s="56">
        <v>1.27</v>
      </c>
      <c r="K12" s="56">
        <v>267.16000000000003</v>
      </c>
      <c r="L12" s="56">
        <v>29.63</v>
      </c>
      <c r="M12" s="56">
        <v>61.11</v>
      </c>
      <c r="N12" s="56">
        <v>2.1</v>
      </c>
      <c r="O12" s="56">
        <v>0</v>
      </c>
      <c r="P12" s="56">
        <v>0.32</v>
      </c>
      <c r="Q12" s="56">
        <v>4.03</v>
      </c>
    </row>
    <row r="13" spans="1:21" customFormat="1">
      <c r="A13" s="55">
        <v>45455.208333333336</v>
      </c>
      <c r="B13" s="56">
        <v>9.1999999999999993</v>
      </c>
      <c r="C13" s="56">
        <v>4.0999999999999996</v>
      </c>
      <c r="D13" s="56">
        <v>13.96</v>
      </c>
      <c r="E13" s="56">
        <v>10.62</v>
      </c>
      <c r="F13" s="56">
        <v>7.16</v>
      </c>
      <c r="G13" s="56">
        <v>20.25</v>
      </c>
      <c r="H13" s="56">
        <v>10.17</v>
      </c>
      <c r="I13" s="56">
        <v>3.7</v>
      </c>
      <c r="J13" s="56">
        <v>1.9</v>
      </c>
      <c r="K13" s="56">
        <v>279.39999999999998</v>
      </c>
      <c r="L13" s="56">
        <v>29.38</v>
      </c>
      <c r="M13" s="56">
        <v>69.900000000000006</v>
      </c>
      <c r="N13" s="56">
        <v>2.5</v>
      </c>
      <c r="O13" s="56">
        <v>0</v>
      </c>
      <c r="P13" s="56">
        <v>0.34</v>
      </c>
      <c r="Q13" s="56">
        <v>4.0599999999999996</v>
      </c>
    </row>
    <row r="14" spans="1:21" customFormat="1">
      <c r="A14" s="55">
        <v>45455.25</v>
      </c>
      <c r="B14" s="56">
        <v>9.18</v>
      </c>
      <c r="C14" s="56">
        <v>4.0999999999999996</v>
      </c>
      <c r="D14" s="56">
        <v>13.94</v>
      </c>
      <c r="E14" s="56">
        <v>10.85</v>
      </c>
      <c r="F14" s="56">
        <v>6.73</v>
      </c>
      <c r="G14" s="56">
        <v>22.23</v>
      </c>
      <c r="H14" s="56">
        <v>7.72</v>
      </c>
      <c r="I14" s="56">
        <v>4.4400000000000004</v>
      </c>
      <c r="J14" s="56">
        <v>1.41</v>
      </c>
      <c r="K14" s="56">
        <v>278.19</v>
      </c>
      <c r="L14" s="56">
        <v>28.34</v>
      </c>
      <c r="M14" s="56">
        <v>69.819999999999993</v>
      </c>
      <c r="N14" s="56">
        <v>36</v>
      </c>
      <c r="O14" s="56">
        <v>0</v>
      </c>
      <c r="P14" s="56">
        <v>0.38</v>
      </c>
      <c r="Q14" s="56">
        <v>4.07</v>
      </c>
    </row>
    <row r="15" spans="1:21" customFormat="1">
      <c r="A15" s="55">
        <v>45455.291666666664</v>
      </c>
      <c r="B15" s="56">
        <v>9.18</v>
      </c>
      <c r="C15" s="56">
        <v>4.09</v>
      </c>
      <c r="D15" s="56">
        <v>13.94</v>
      </c>
      <c r="E15" s="56">
        <v>10.94</v>
      </c>
      <c r="F15" s="56">
        <v>5.29</v>
      </c>
      <c r="G15" s="56">
        <v>22.81</v>
      </c>
      <c r="H15" s="56">
        <v>9.8699999999999992</v>
      </c>
      <c r="I15" s="56">
        <v>4.4000000000000004</v>
      </c>
      <c r="J15" s="56">
        <v>1.17</v>
      </c>
      <c r="K15" s="56">
        <v>287.93</v>
      </c>
      <c r="L15" s="56">
        <v>29.32</v>
      </c>
      <c r="M15" s="56">
        <v>69.27</v>
      </c>
      <c r="N15" s="56">
        <v>127.6</v>
      </c>
      <c r="O15" s="56">
        <v>0</v>
      </c>
      <c r="P15" s="56">
        <v>0.39</v>
      </c>
      <c r="Q15" s="56">
        <v>4.07</v>
      </c>
    </row>
    <row r="16" spans="1:21" customFormat="1">
      <c r="A16" s="55">
        <v>45455.333333333336</v>
      </c>
      <c r="B16" s="56">
        <v>9.2100000000000009</v>
      </c>
      <c r="C16" s="56">
        <v>4.12</v>
      </c>
      <c r="D16" s="56">
        <v>13.98</v>
      </c>
      <c r="E16" s="56">
        <v>11.06</v>
      </c>
      <c r="F16" s="56">
        <v>5.87</v>
      </c>
      <c r="G16" s="56">
        <v>25.05</v>
      </c>
      <c r="H16" s="56">
        <v>12.27</v>
      </c>
      <c r="I16" s="56">
        <v>4.74</v>
      </c>
      <c r="J16" s="56">
        <v>1.87</v>
      </c>
      <c r="K16" s="56">
        <v>299.77999999999997</v>
      </c>
      <c r="L16" s="56">
        <v>30.87</v>
      </c>
      <c r="M16" s="56">
        <v>62.38</v>
      </c>
      <c r="N16" s="56">
        <v>142.9</v>
      </c>
      <c r="O16" s="56">
        <v>0</v>
      </c>
      <c r="P16" s="56">
        <v>0.41</v>
      </c>
      <c r="Q16" s="56">
        <v>4.0599999999999996</v>
      </c>
    </row>
    <row r="17" spans="1:17" customFormat="1">
      <c r="A17" s="55">
        <v>45455.375</v>
      </c>
      <c r="B17" s="56">
        <v>9.2799999999999994</v>
      </c>
      <c r="C17" s="56">
        <v>4.1100000000000003</v>
      </c>
      <c r="D17" s="56">
        <v>14.02</v>
      </c>
      <c r="E17" s="56">
        <v>10.92</v>
      </c>
      <c r="F17" s="56">
        <v>20.5</v>
      </c>
      <c r="G17" s="56">
        <v>28.41</v>
      </c>
      <c r="H17" s="56">
        <v>10.17</v>
      </c>
      <c r="I17" s="56">
        <v>4.6900000000000004</v>
      </c>
      <c r="J17" s="56">
        <v>1.79</v>
      </c>
      <c r="K17" s="56">
        <v>315.73</v>
      </c>
      <c r="L17" s="56">
        <v>32.770000000000003</v>
      </c>
      <c r="M17" s="56">
        <v>56.85</v>
      </c>
      <c r="N17" s="56">
        <v>180.9</v>
      </c>
      <c r="O17" s="56">
        <v>0</v>
      </c>
      <c r="P17" s="56">
        <v>0.39</v>
      </c>
      <c r="Q17" s="56">
        <v>4.0599999999999996</v>
      </c>
    </row>
    <row r="18" spans="1:17" customFormat="1">
      <c r="A18" s="55">
        <v>45455.416666666664</v>
      </c>
      <c r="B18" s="56">
        <v>9.24</v>
      </c>
      <c r="C18" s="56">
        <v>4.08</v>
      </c>
      <c r="D18" s="56">
        <v>13.99</v>
      </c>
      <c r="E18" s="56">
        <v>10.74</v>
      </c>
      <c r="F18" s="56">
        <v>18.739999999999998</v>
      </c>
      <c r="G18" s="56">
        <v>31.95</v>
      </c>
      <c r="H18" s="56">
        <v>10.74</v>
      </c>
      <c r="I18" s="56">
        <v>4.49</v>
      </c>
      <c r="J18" s="56">
        <v>1.69</v>
      </c>
      <c r="K18" s="56">
        <v>312.81</v>
      </c>
      <c r="L18" s="56">
        <v>34.49</v>
      </c>
      <c r="M18" s="56">
        <v>50.48</v>
      </c>
      <c r="N18" s="56">
        <v>212.8</v>
      </c>
      <c r="O18" s="56">
        <v>0</v>
      </c>
      <c r="P18" s="56">
        <v>0.4</v>
      </c>
      <c r="Q18" s="56">
        <v>4.0599999999999996</v>
      </c>
    </row>
    <row r="19" spans="1:17" customFormat="1">
      <c r="A19" s="55">
        <v>45455.458333333336</v>
      </c>
      <c r="B19" s="56">
        <v>9.1999999999999993</v>
      </c>
      <c r="C19" s="56">
        <v>4.07</v>
      </c>
      <c r="D19" s="56">
        <v>13.95</v>
      </c>
      <c r="E19" s="56">
        <v>13.36</v>
      </c>
      <c r="F19" s="56">
        <v>32.86</v>
      </c>
      <c r="G19" s="56">
        <v>33.85</v>
      </c>
      <c r="H19" s="56">
        <v>17.3</v>
      </c>
      <c r="I19" s="56">
        <v>4.4400000000000004</v>
      </c>
      <c r="J19" s="56">
        <v>1.67</v>
      </c>
      <c r="K19" s="56">
        <v>311.76</v>
      </c>
      <c r="L19" s="56">
        <v>36.36</v>
      </c>
      <c r="M19" s="56">
        <v>45.91</v>
      </c>
      <c r="N19" s="56">
        <v>245.3</v>
      </c>
      <c r="O19" s="56">
        <v>0</v>
      </c>
      <c r="P19" s="56">
        <v>0.45</v>
      </c>
      <c r="Q19" s="56">
        <v>4.05</v>
      </c>
    </row>
    <row r="20" spans="1:17" customFormat="1">
      <c r="A20" s="55">
        <v>45455.5</v>
      </c>
      <c r="B20" s="56">
        <v>9.25</v>
      </c>
      <c r="C20" s="56">
        <v>4.09</v>
      </c>
      <c r="D20" s="56">
        <v>14</v>
      </c>
      <c r="E20" s="56">
        <v>16.170000000000002</v>
      </c>
      <c r="F20" s="56">
        <v>34.020000000000003</v>
      </c>
      <c r="G20" s="56">
        <v>37.19</v>
      </c>
      <c r="H20" s="56">
        <v>18.79</v>
      </c>
      <c r="I20" s="56">
        <v>4.47</v>
      </c>
      <c r="J20" s="56">
        <v>1.6</v>
      </c>
      <c r="K20" s="56">
        <v>311.22000000000003</v>
      </c>
      <c r="L20" s="56">
        <v>37.909999999999997</v>
      </c>
      <c r="M20" s="56">
        <v>42.38</v>
      </c>
      <c r="N20" s="56">
        <v>741.6</v>
      </c>
      <c r="O20" s="56">
        <v>0</v>
      </c>
      <c r="P20" s="56">
        <v>0.48</v>
      </c>
      <c r="Q20" s="56">
        <v>4.05</v>
      </c>
    </row>
    <row r="21" spans="1:17" customFormat="1">
      <c r="A21" s="55">
        <v>45455.541666666664</v>
      </c>
      <c r="B21" s="56">
        <v>9.2799999999999994</v>
      </c>
      <c r="C21" s="56">
        <v>4.08</v>
      </c>
      <c r="D21" s="56">
        <v>14.01</v>
      </c>
      <c r="E21" s="56">
        <v>16.190000000000001</v>
      </c>
      <c r="F21" s="56">
        <v>35.369999999999997</v>
      </c>
      <c r="G21" s="56">
        <v>43.59</v>
      </c>
      <c r="H21" s="56">
        <v>16.920000000000002</v>
      </c>
      <c r="I21" s="56">
        <v>4.7300000000000004</v>
      </c>
      <c r="J21" s="56">
        <v>1.41</v>
      </c>
      <c r="K21" s="56">
        <v>313.20999999999998</v>
      </c>
      <c r="L21" s="56">
        <v>39.81</v>
      </c>
      <c r="M21" s="56">
        <v>37.950000000000003</v>
      </c>
      <c r="N21" s="56">
        <v>754.3</v>
      </c>
      <c r="O21" s="56">
        <v>0</v>
      </c>
      <c r="P21" s="56">
        <v>0.48</v>
      </c>
      <c r="Q21" s="56">
        <v>4.04</v>
      </c>
    </row>
    <row r="22" spans="1:17" customFormat="1">
      <c r="A22" s="55">
        <v>45455.583333333336</v>
      </c>
      <c r="B22" s="56">
        <v>9.2200000000000006</v>
      </c>
      <c r="C22" s="56">
        <v>4.08</v>
      </c>
      <c r="D22" s="56">
        <v>13.97</v>
      </c>
      <c r="E22" s="56">
        <v>16.55</v>
      </c>
      <c r="F22" s="56">
        <v>48.34</v>
      </c>
      <c r="G22" s="56">
        <v>47.2</v>
      </c>
      <c r="H22" s="56">
        <v>20.329999999999998</v>
      </c>
      <c r="I22" s="56">
        <v>4.59</v>
      </c>
      <c r="J22" s="56">
        <v>1.05</v>
      </c>
      <c r="K22" s="56">
        <v>354.98</v>
      </c>
      <c r="L22" s="56">
        <v>41.13</v>
      </c>
      <c r="M22" s="56">
        <v>33.159999999999997</v>
      </c>
      <c r="N22" s="56">
        <v>687.8</v>
      </c>
      <c r="O22" s="56">
        <v>0</v>
      </c>
      <c r="P22" s="56">
        <v>0.44</v>
      </c>
      <c r="Q22" s="56">
        <v>4.1100000000000003</v>
      </c>
    </row>
    <row r="23" spans="1:17" customFormat="1">
      <c r="A23" s="55">
        <v>45455.625</v>
      </c>
      <c r="B23" s="56">
        <v>9.17</v>
      </c>
      <c r="C23" s="56">
        <v>4.0999999999999996</v>
      </c>
      <c r="D23" s="56">
        <v>13.92</v>
      </c>
      <c r="E23" s="56">
        <v>18.37</v>
      </c>
      <c r="F23" s="56">
        <v>55.3</v>
      </c>
      <c r="G23" s="56">
        <v>53.79</v>
      </c>
      <c r="H23" s="56">
        <v>23.65</v>
      </c>
      <c r="I23" s="56">
        <v>4.3899999999999997</v>
      </c>
      <c r="J23" s="56">
        <v>1.1000000000000001</v>
      </c>
      <c r="K23" s="56">
        <v>359.09</v>
      </c>
      <c r="L23" s="56">
        <v>41.41</v>
      </c>
      <c r="M23" s="56">
        <v>28.38</v>
      </c>
      <c r="N23" s="56">
        <v>596.20000000000005</v>
      </c>
      <c r="O23" s="56">
        <v>0</v>
      </c>
      <c r="P23" s="56">
        <v>0.45</v>
      </c>
      <c r="Q23" s="56">
        <v>4.12</v>
      </c>
    </row>
    <row r="24" spans="1:17" customFormat="1">
      <c r="A24" s="55">
        <v>45455.666666666664</v>
      </c>
      <c r="B24" s="56">
        <v>9.15</v>
      </c>
      <c r="C24" s="56">
        <v>4.09</v>
      </c>
      <c r="D24" s="56">
        <v>13.91</v>
      </c>
      <c r="E24" s="56">
        <v>19.36</v>
      </c>
      <c r="F24" s="56">
        <v>61.32</v>
      </c>
      <c r="G24" s="56">
        <v>70.19</v>
      </c>
      <c r="H24" s="56">
        <v>18.98</v>
      </c>
      <c r="I24" s="56">
        <v>4.5</v>
      </c>
      <c r="J24" s="56">
        <v>0.68</v>
      </c>
      <c r="K24" s="56">
        <v>349.46</v>
      </c>
      <c r="L24" s="56">
        <v>41.45</v>
      </c>
      <c r="M24" s="56">
        <v>27.38</v>
      </c>
      <c r="N24" s="56">
        <v>389.2</v>
      </c>
      <c r="O24" s="56">
        <v>0</v>
      </c>
      <c r="P24" s="56">
        <v>0.43</v>
      </c>
      <c r="Q24" s="56">
        <v>4.1100000000000003</v>
      </c>
    </row>
    <row r="25" spans="1:17" customFormat="1">
      <c r="A25" s="55">
        <v>45455.708333333336</v>
      </c>
      <c r="B25" s="56">
        <v>9.15</v>
      </c>
      <c r="C25" s="56">
        <v>4.08</v>
      </c>
      <c r="D25" s="56">
        <v>13.92</v>
      </c>
      <c r="E25" s="56">
        <v>28.79</v>
      </c>
      <c r="F25" s="56">
        <v>44.22</v>
      </c>
      <c r="G25" s="56">
        <v>67.66</v>
      </c>
      <c r="H25" s="56">
        <v>20.29</v>
      </c>
      <c r="I25" s="56">
        <v>4.3600000000000003</v>
      </c>
      <c r="J25" s="56">
        <v>1.2</v>
      </c>
      <c r="K25" s="56">
        <v>314.44</v>
      </c>
      <c r="L25" s="56">
        <v>41.18</v>
      </c>
      <c r="M25" s="56">
        <v>33.479999999999997</v>
      </c>
      <c r="N25" s="56">
        <v>247.1</v>
      </c>
      <c r="O25" s="56">
        <v>0</v>
      </c>
      <c r="P25" s="56">
        <v>0.46</v>
      </c>
      <c r="Q25" s="56">
        <v>7.08</v>
      </c>
    </row>
    <row r="26" spans="1:17" customFormat="1">
      <c r="A26" s="55">
        <v>45455.75</v>
      </c>
      <c r="B26" s="56">
        <v>9.2200000000000006</v>
      </c>
      <c r="C26" s="56">
        <v>4.08</v>
      </c>
      <c r="D26" s="56">
        <v>13.97</v>
      </c>
      <c r="E26" s="56">
        <v>21.37</v>
      </c>
      <c r="F26" s="56">
        <v>53.78</v>
      </c>
      <c r="G26" s="56">
        <v>81.510000000000005</v>
      </c>
      <c r="H26" s="56">
        <v>21.75</v>
      </c>
      <c r="I26" s="56">
        <v>4.8600000000000003</v>
      </c>
      <c r="J26" s="56">
        <v>1.1299999999999999</v>
      </c>
      <c r="K26" s="56">
        <v>292.17</v>
      </c>
      <c r="L26" s="56">
        <v>37.049999999999997</v>
      </c>
      <c r="M26" s="56">
        <v>38.93</v>
      </c>
      <c r="N26" s="56">
        <v>68.099999999999994</v>
      </c>
      <c r="O26" s="56">
        <v>0</v>
      </c>
      <c r="P26" s="56">
        <v>0.54</v>
      </c>
      <c r="Q26" s="56">
        <v>10.68</v>
      </c>
    </row>
    <row r="27" spans="1:17" customFormat="1">
      <c r="A27" s="55">
        <v>45455.791666666664</v>
      </c>
      <c r="B27" s="56">
        <v>9.24</v>
      </c>
      <c r="C27" s="56">
        <v>4.08</v>
      </c>
      <c r="D27" s="56">
        <v>13.99</v>
      </c>
      <c r="E27" s="56">
        <v>21.16</v>
      </c>
      <c r="F27" s="56">
        <v>38.14</v>
      </c>
      <c r="G27" s="56">
        <v>90.53</v>
      </c>
      <c r="H27" s="56">
        <v>23.21</v>
      </c>
      <c r="I27" s="56">
        <v>5.74</v>
      </c>
      <c r="J27" s="56">
        <v>1.57</v>
      </c>
      <c r="K27" s="56">
        <v>335.83</v>
      </c>
      <c r="L27" s="56">
        <v>36.1</v>
      </c>
      <c r="M27" s="56">
        <v>47.38</v>
      </c>
      <c r="N27" s="56">
        <v>14.4</v>
      </c>
      <c r="O27" s="56">
        <v>0</v>
      </c>
      <c r="P27" s="56">
        <v>0.57999999999999996</v>
      </c>
      <c r="Q27" s="56">
        <v>5.55</v>
      </c>
    </row>
    <row r="28" spans="1:17" customFormat="1">
      <c r="A28" s="55">
        <v>45455.833333333336</v>
      </c>
      <c r="B28" s="56">
        <v>9.25</v>
      </c>
      <c r="C28" s="56">
        <v>4.0999999999999996</v>
      </c>
      <c r="D28" s="56">
        <v>14.01</v>
      </c>
      <c r="E28" s="56">
        <v>28.34</v>
      </c>
      <c r="F28" s="56">
        <v>26.67</v>
      </c>
      <c r="G28" s="56">
        <v>86.78</v>
      </c>
      <c r="H28" s="56">
        <v>22.16</v>
      </c>
      <c r="I28" s="56">
        <v>5.83</v>
      </c>
      <c r="J28" s="56">
        <v>1.31</v>
      </c>
      <c r="K28" s="56">
        <v>320.70999999999998</v>
      </c>
      <c r="L28" s="56">
        <v>32.880000000000003</v>
      </c>
      <c r="M28" s="56">
        <v>47.48</v>
      </c>
      <c r="N28" s="56">
        <v>1.9</v>
      </c>
      <c r="O28" s="56">
        <v>0</v>
      </c>
      <c r="P28" s="56">
        <v>0.61</v>
      </c>
      <c r="Q28" s="56">
        <v>5.28</v>
      </c>
    </row>
    <row r="29" spans="1:17" customFormat="1">
      <c r="A29" s="55">
        <v>45455.875</v>
      </c>
      <c r="B29" s="56">
        <v>9.1999999999999993</v>
      </c>
      <c r="C29" s="56">
        <v>4.0999999999999996</v>
      </c>
      <c r="D29" s="56">
        <v>13.96</v>
      </c>
      <c r="E29" s="56">
        <v>49.32</v>
      </c>
      <c r="F29" s="56">
        <v>41.12</v>
      </c>
      <c r="G29" s="56">
        <v>88.58</v>
      </c>
      <c r="H29" s="56">
        <v>23.43</v>
      </c>
      <c r="I29" s="56">
        <v>6.61</v>
      </c>
      <c r="J29" s="56">
        <v>1.25</v>
      </c>
      <c r="K29" s="56">
        <v>308.32</v>
      </c>
      <c r="L29" s="56">
        <v>33.29</v>
      </c>
      <c r="M29" s="56">
        <v>47.22</v>
      </c>
      <c r="N29" s="56">
        <v>1.9</v>
      </c>
      <c r="O29" s="56">
        <v>0</v>
      </c>
      <c r="P29" s="56">
        <v>0.63</v>
      </c>
      <c r="Q29" s="56">
        <v>5.18</v>
      </c>
    </row>
    <row r="30" spans="1:17" customFormat="1">
      <c r="A30" s="55">
        <v>45455.916666666664</v>
      </c>
      <c r="B30" s="56">
        <v>9.1199999999999992</v>
      </c>
      <c r="C30" s="56">
        <v>4.1100000000000003</v>
      </c>
      <c r="D30" s="56">
        <v>13.89</v>
      </c>
      <c r="E30" s="56">
        <v>12.49</v>
      </c>
      <c r="F30" s="56">
        <v>40.229999999999997</v>
      </c>
      <c r="G30" s="56">
        <v>76.77</v>
      </c>
      <c r="H30" s="56">
        <v>23.36</v>
      </c>
      <c r="I30" s="56">
        <v>5.42</v>
      </c>
      <c r="J30" s="56">
        <v>0.5</v>
      </c>
      <c r="K30" s="56">
        <v>261.86</v>
      </c>
      <c r="L30" s="56">
        <v>33.1</v>
      </c>
      <c r="M30" s="56">
        <v>53.31</v>
      </c>
      <c r="N30" s="56">
        <v>2</v>
      </c>
      <c r="O30" s="56">
        <v>0</v>
      </c>
      <c r="P30" s="56">
        <v>0.49</v>
      </c>
      <c r="Q30" s="56">
        <v>5.7</v>
      </c>
    </row>
    <row r="31" spans="1:17" customFormat="1">
      <c r="A31" s="55">
        <v>45455.958333333336</v>
      </c>
      <c r="B31" s="56">
        <v>9.1</v>
      </c>
      <c r="C31" s="56">
        <v>4.0999999999999996</v>
      </c>
      <c r="D31" s="56">
        <v>13.88</v>
      </c>
      <c r="E31" s="56">
        <v>10.35</v>
      </c>
      <c r="F31" s="56">
        <v>19.48</v>
      </c>
      <c r="G31" s="56">
        <v>70.959999999999994</v>
      </c>
      <c r="H31" s="56">
        <v>24.52</v>
      </c>
      <c r="I31" s="56">
        <v>5.74</v>
      </c>
      <c r="J31" s="56">
        <v>0.75</v>
      </c>
      <c r="K31" s="56">
        <v>264.76</v>
      </c>
      <c r="L31" s="56">
        <v>32.28</v>
      </c>
      <c r="M31" s="56">
        <v>53.77</v>
      </c>
      <c r="N31" s="56">
        <v>2</v>
      </c>
      <c r="O31" s="56">
        <v>0</v>
      </c>
      <c r="P31" s="56">
        <v>0.56000000000000005</v>
      </c>
      <c r="Q31" s="56">
        <v>6.27</v>
      </c>
    </row>
    <row r="32" spans="1:17" customFormat="1">
      <c r="A32" s="55">
        <v>45456</v>
      </c>
      <c r="B32" s="56">
        <v>9.09</v>
      </c>
      <c r="C32" s="56">
        <v>4.08</v>
      </c>
      <c r="D32" s="56">
        <v>13.86</v>
      </c>
      <c r="E32" s="56">
        <v>10.82</v>
      </c>
      <c r="F32" s="56">
        <v>13.04</v>
      </c>
      <c r="G32" s="56">
        <v>56.44</v>
      </c>
      <c r="H32" s="56">
        <v>22.41</v>
      </c>
      <c r="I32" s="56">
        <v>5.93</v>
      </c>
      <c r="J32" s="56">
        <v>0.78</v>
      </c>
      <c r="K32" s="56">
        <v>267.77</v>
      </c>
      <c r="L32" s="56">
        <v>31.63</v>
      </c>
      <c r="M32" s="56">
        <v>67.38</v>
      </c>
      <c r="N32" s="56">
        <v>2.1</v>
      </c>
      <c r="O32" s="56">
        <v>0</v>
      </c>
      <c r="P32" s="56">
        <v>0.55000000000000004</v>
      </c>
      <c r="Q32" s="56">
        <v>6.3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9.09</v>
      </c>
      <c r="C34" s="41">
        <f t="shared" si="0"/>
        <v>4.07</v>
      </c>
      <c r="D34" s="41">
        <f t="shared" si="0"/>
        <v>13.86</v>
      </c>
      <c r="E34" s="41">
        <f t="shared" si="0"/>
        <v>8.81</v>
      </c>
      <c r="F34" s="41">
        <f t="shared" si="0"/>
        <v>5.29</v>
      </c>
      <c r="G34" s="41">
        <f t="shared" si="0"/>
        <v>19.54</v>
      </c>
      <c r="H34" s="41">
        <f t="shared" si="0"/>
        <v>7.72</v>
      </c>
      <c r="I34" s="41">
        <f t="shared" si="0"/>
        <v>3.7</v>
      </c>
      <c r="J34" s="41">
        <f t="shared" si="0"/>
        <v>0.5</v>
      </c>
      <c r="K34" s="41">
        <f t="shared" si="0"/>
        <v>257.49</v>
      </c>
      <c r="L34" s="41">
        <f t="shared" si="0"/>
        <v>28.34</v>
      </c>
      <c r="M34" s="41">
        <f t="shared" si="0"/>
        <v>27.38</v>
      </c>
      <c r="N34" s="41">
        <f t="shared" si="0"/>
        <v>1.5</v>
      </c>
      <c r="O34" s="41">
        <f t="shared" si="0"/>
        <v>0</v>
      </c>
      <c r="P34" s="41">
        <f t="shared" si="0"/>
        <v>0.28000000000000003</v>
      </c>
      <c r="Q34" s="41">
        <f t="shared" si="0"/>
        <v>4.03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9.2799999999999994</v>
      </c>
      <c r="C35" s="33">
        <f t="shared" si="1"/>
        <v>4.13</v>
      </c>
      <c r="D35" s="33">
        <f t="shared" si="1"/>
        <v>14.03</v>
      </c>
      <c r="E35" s="33">
        <f t="shared" si="1"/>
        <v>49.32</v>
      </c>
      <c r="F35" s="33">
        <f t="shared" si="1"/>
        <v>61.32</v>
      </c>
      <c r="G35" s="33">
        <f t="shared" si="1"/>
        <v>90.53</v>
      </c>
      <c r="H35" s="33">
        <f t="shared" si="1"/>
        <v>24.52</v>
      </c>
      <c r="I35" s="33">
        <f t="shared" si="1"/>
        <v>6.61</v>
      </c>
      <c r="J35" s="33">
        <f t="shared" si="1"/>
        <v>1.9</v>
      </c>
      <c r="K35" s="33">
        <f t="shared" si="1"/>
        <v>359.09</v>
      </c>
      <c r="L35" s="33">
        <f t="shared" si="1"/>
        <v>41.45</v>
      </c>
      <c r="M35" s="33">
        <f t="shared" si="1"/>
        <v>69.900000000000006</v>
      </c>
      <c r="N35" s="33">
        <f t="shared" si="1"/>
        <v>754.3</v>
      </c>
      <c r="O35" s="33">
        <f t="shared" si="1"/>
        <v>0</v>
      </c>
      <c r="P35" s="33">
        <f t="shared" si="1"/>
        <v>0.63</v>
      </c>
      <c r="Q35" s="33">
        <f t="shared" si="1"/>
        <v>10.68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9.1950000000000003</v>
      </c>
      <c r="C36" s="41">
        <f t="shared" si="2"/>
        <v>4.0937499999999991</v>
      </c>
      <c r="D36" s="41">
        <f t="shared" si="2"/>
        <v>13.953749999999998</v>
      </c>
      <c r="E36" s="41">
        <f t="shared" si="2"/>
        <v>15.993333333333334</v>
      </c>
      <c r="F36" s="41">
        <f t="shared" si="2"/>
        <v>28.210416666666664</v>
      </c>
      <c r="G36" s="41">
        <f t="shared" si="2"/>
        <v>47.506250000000001</v>
      </c>
      <c r="H36" s="41">
        <f t="shared" si="2"/>
        <v>17.091250000000002</v>
      </c>
      <c r="I36" s="41">
        <f t="shared" si="2"/>
        <v>4.7441666666666658</v>
      </c>
      <c r="J36" s="41">
        <f t="shared" si="2"/>
        <v>1.2929166666666667</v>
      </c>
      <c r="K36" s="41">
        <f t="shared" si="2"/>
        <v>300.15625</v>
      </c>
      <c r="L36" s="41">
        <f t="shared" si="2"/>
        <v>34.172916666666666</v>
      </c>
      <c r="M36" s="41">
        <f t="shared" si="2"/>
        <v>51.354166666666664</v>
      </c>
      <c r="N36" s="41">
        <f t="shared" si="2"/>
        <v>186.02083333333334</v>
      </c>
      <c r="O36" s="41">
        <f t="shared" si="2"/>
        <v>0</v>
      </c>
      <c r="P36" s="41">
        <f t="shared" si="2"/>
        <v>0.44250000000000012</v>
      </c>
      <c r="Q36" s="41">
        <f t="shared" si="2"/>
        <v>4.8849999999999998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5.4133490397430518E-2</v>
      </c>
      <c r="C37" s="41">
        <f t="shared" ref="C37:Q37" si="3">STDEV(C9:C32)</f>
        <v>1.4688800821211228E-2</v>
      </c>
      <c r="D37" s="41">
        <f t="shared" si="3"/>
        <v>4.6138967780240604E-2</v>
      </c>
      <c r="E37" s="41">
        <f t="shared" si="3"/>
        <v>9.1628292890193119</v>
      </c>
      <c r="F37" s="41">
        <f t="shared" si="3"/>
        <v>17.135944545633148</v>
      </c>
      <c r="G37" s="41">
        <f t="shared" si="3"/>
        <v>25.44511105557282</v>
      </c>
      <c r="H37" s="41">
        <f t="shared" si="3"/>
        <v>5.4507935700664847</v>
      </c>
      <c r="I37" s="41">
        <f t="shared" si="3"/>
        <v>0.75198818600032957</v>
      </c>
      <c r="J37" s="41">
        <f t="shared" si="3"/>
        <v>0.3770074289046238</v>
      </c>
      <c r="K37" s="41">
        <f t="shared" si="3"/>
        <v>30.480716899663157</v>
      </c>
      <c r="L37" s="41">
        <f t="shared" si="3"/>
        <v>4.4103401024003421</v>
      </c>
      <c r="M37" s="41">
        <f t="shared" si="3"/>
        <v>13.482936371147289</v>
      </c>
      <c r="N37" s="41">
        <f t="shared" si="3"/>
        <v>256.27541567137536</v>
      </c>
      <c r="O37" s="41">
        <f t="shared" si="3"/>
        <v>0</v>
      </c>
      <c r="P37" s="41">
        <f t="shared" si="3"/>
        <v>0.10207627156881874</v>
      </c>
      <c r="Q37" s="41">
        <f t="shared" si="3"/>
        <v>1.5348190659544838</v>
      </c>
      <c r="R37" s="41"/>
      <c r="S37" s="41"/>
      <c r="T37" s="41"/>
      <c r="U37" s="41"/>
    </row>
    <row r="38" spans="1:21" s="1" customFormat="1">
      <c r="A38" s="48" t="s">
        <v>52</v>
      </c>
      <c r="B38" s="49">
        <f t="shared" ref="B38:Q38" si="4">COUNT(B9:B32)</f>
        <v>24</v>
      </c>
      <c r="C38" s="49">
        <f t="shared" si="4"/>
        <v>24</v>
      </c>
      <c r="D38" s="49">
        <f t="shared" si="4"/>
        <v>24</v>
      </c>
      <c r="E38" s="49">
        <f t="shared" si="4"/>
        <v>24</v>
      </c>
      <c r="F38" s="49">
        <f t="shared" si="4"/>
        <v>24</v>
      </c>
      <c r="G38" s="49">
        <f t="shared" si="4"/>
        <v>24</v>
      </c>
      <c r="H38" s="49">
        <f t="shared" si="4"/>
        <v>24</v>
      </c>
      <c r="I38" s="49">
        <f t="shared" si="4"/>
        <v>24</v>
      </c>
      <c r="J38" s="49">
        <f t="shared" si="4"/>
        <v>24</v>
      </c>
      <c r="K38" s="49">
        <f t="shared" si="4"/>
        <v>24</v>
      </c>
      <c r="L38" s="49">
        <f t="shared" si="4"/>
        <v>24</v>
      </c>
      <c r="M38" s="49">
        <f t="shared" si="4"/>
        <v>24</v>
      </c>
      <c r="N38" s="49">
        <f t="shared" si="4"/>
        <v>24</v>
      </c>
      <c r="O38" s="49">
        <f t="shared" si="4"/>
        <v>24</v>
      </c>
      <c r="P38" s="49">
        <f t="shared" si="4"/>
        <v>24</v>
      </c>
      <c r="Q38" s="49">
        <f t="shared" si="4"/>
        <v>24</v>
      </c>
      <c r="R38" s="49"/>
      <c r="S38" s="49"/>
      <c r="T38" s="49"/>
      <c r="U38" s="49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52"/>
      <c r="O41" s="52"/>
      <c r="P41" s="52"/>
      <c r="Q41" s="52"/>
      <c r="R41" s="52"/>
      <c r="S41" s="52"/>
      <c r="T41" s="52"/>
      <c r="U41" s="52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50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13" activePane="bottomRight" state="frozen"/>
      <selection activeCell="A9" sqref="A9"/>
      <selection pane="topRight" activeCell="A9" sqref="A9"/>
      <selection pane="bottomLeft" activeCell="A9" sqref="A9"/>
      <selection pane="bottomRight" activeCell="Q9" sqref="Q9:Q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45456.041666666664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5">
        <v>45456.041666666664</v>
      </c>
      <c r="B9" s="56">
        <v>9.3000000000000007</v>
      </c>
      <c r="C9" s="56">
        <v>4.0999999999999996</v>
      </c>
      <c r="D9" s="56">
        <v>14.04</v>
      </c>
      <c r="E9" s="56">
        <v>10.34</v>
      </c>
      <c r="F9" s="56">
        <v>10.48</v>
      </c>
      <c r="G9" s="56">
        <v>51.3</v>
      </c>
      <c r="H9" s="56">
        <v>22.09</v>
      </c>
      <c r="I9" s="56">
        <v>5.52</v>
      </c>
      <c r="J9" s="56">
        <v>0.68</v>
      </c>
      <c r="K9" s="56">
        <v>262.7</v>
      </c>
      <c r="L9" s="56">
        <v>30.8</v>
      </c>
      <c r="M9" s="56">
        <v>69.209999999999994</v>
      </c>
      <c r="N9" s="56">
        <v>2</v>
      </c>
      <c r="O9" s="56">
        <v>0</v>
      </c>
      <c r="P9" s="56">
        <v>0.52</v>
      </c>
      <c r="Q9" s="56">
        <v>6.76</v>
      </c>
    </row>
    <row r="10" spans="1:21" customFormat="1">
      <c r="A10" s="55">
        <v>45456.083333333336</v>
      </c>
      <c r="B10" s="56">
        <v>9.33</v>
      </c>
      <c r="C10" s="56">
        <v>4.1100000000000003</v>
      </c>
      <c r="D10" s="56">
        <v>14.06</v>
      </c>
      <c r="E10" s="56">
        <v>10.54</v>
      </c>
      <c r="F10" s="56">
        <v>9.36</v>
      </c>
      <c r="G10" s="56">
        <v>47.27</v>
      </c>
      <c r="H10" s="56">
        <v>20.170000000000002</v>
      </c>
      <c r="I10" s="56">
        <v>5.21</v>
      </c>
      <c r="J10" s="56">
        <v>0.69</v>
      </c>
      <c r="K10" s="56">
        <v>255.21</v>
      </c>
      <c r="L10" s="56">
        <v>30.67</v>
      </c>
      <c r="M10" s="56">
        <v>67.86</v>
      </c>
      <c r="N10" s="56">
        <v>1.9</v>
      </c>
      <c r="O10" s="56">
        <v>0</v>
      </c>
      <c r="P10" s="56">
        <v>0.5</v>
      </c>
      <c r="Q10" s="56">
        <v>6.08</v>
      </c>
    </row>
    <row r="11" spans="1:21" customFormat="1">
      <c r="A11" s="55">
        <v>45456.125</v>
      </c>
      <c r="B11" s="56">
        <v>9.35</v>
      </c>
      <c r="C11" s="56">
        <v>4.0999999999999996</v>
      </c>
      <c r="D11" s="56">
        <v>14.08</v>
      </c>
      <c r="E11" s="56">
        <v>10.84</v>
      </c>
      <c r="F11" s="56">
        <v>8.7200000000000006</v>
      </c>
      <c r="G11" s="56">
        <v>41.52</v>
      </c>
      <c r="H11" s="56">
        <v>19.12</v>
      </c>
      <c r="I11" s="56">
        <v>5.0999999999999996</v>
      </c>
      <c r="J11" s="56">
        <v>1.23</v>
      </c>
      <c r="K11" s="56">
        <v>265.64</v>
      </c>
      <c r="L11" s="56">
        <v>30.84</v>
      </c>
      <c r="M11" s="56">
        <v>62.28</v>
      </c>
      <c r="N11" s="56">
        <v>2.1</v>
      </c>
      <c r="O11" s="56">
        <v>0</v>
      </c>
      <c r="P11" s="56">
        <v>0.47</v>
      </c>
      <c r="Q11" s="56">
        <v>5.29</v>
      </c>
    </row>
    <row r="12" spans="1:21" customFormat="1">
      <c r="A12" s="55">
        <v>45456.166666666664</v>
      </c>
      <c r="B12" s="56">
        <v>9.41</v>
      </c>
      <c r="C12" s="56">
        <v>4.1399999999999997</v>
      </c>
      <c r="D12" s="56">
        <v>14.15</v>
      </c>
      <c r="E12" s="56">
        <v>12.31</v>
      </c>
      <c r="F12" s="56">
        <v>13</v>
      </c>
      <c r="G12" s="56">
        <v>35.53</v>
      </c>
      <c r="H12" s="56">
        <v>16.54</v>
      </c>
      <c r="I12" s="56">
        <v>4.92</v>
      </c>
      <c r="J12" s="56">
        <v>1.52</v>
      </c>
      <c r="K12" s="56">
        <v>272.35000000000002</v>
      </c>
      <c r="L12" s="56">
        <v>30.72</v>
      </c>
      <c r="M12" s="56">
        <v>65.78</v>
      </c>
      <c r="N12" s="56">
        <v>2.1</v>
      </c>
      <c r="O12" s="56">
        <v>0</v>
      </c>
      <c r="P12" s="56">
        <v>0.43</v>
      </c>
      <c r="Q12" s="56">
        <v>4.42</v>
      </c>
    </row>
    <row r="13" spans="1:21" customFormat="1">
      <c r="A13" s="55">
        <v>45456.208333333336</v>
      </c>
      <c r="B13" s="56">
        <v>9.4</v>
      </c>
      <c r="C13" s="56">
        <v>4.1100000000000003</v>
      </c>
      <c r="D13" s="56">
        <v>14.13</v>
      </c>
      <c r="E13" s="56">
        <v>14.43</v>
      </c>
      <c r="F13" s="56">
        <v>16.93</v>
      </c>
      <c r="G13" s="56">
        <v>31.63</v>
      </c>
      <c r="H13" s="56">
        <v>14.2</v>
      </c>
      <c r="I13" s="56">
        <v>4.62</v>
      </c>
      <c r="J13" s="56">
        <v>1.23</v>
      </c>
      <c r="K13" s="56">
        <v>265.73</v>
      </c>
      <c r="L13" s="56">
        <v>30.35</v>
      </c>
      <c r="M13" s="56">
        <v>68.44</v>
      </c>
      <c r="N13" s="56">
        <v>2.1</v>
      </c>
      <c r="O13" s="56">
        <v>0</v>
      </c>
      <c r="P13" s="56">
        <v>0.42</v>
      </c>
      <c r="Q13" s="56">
        <v>5.08</v>
      </c>
    </row>
    <row r="14" spans="1:21" customFormat="1">
      <c r="A14" s="55">
        <v>45456.25</v>
      </c>
      <c r="B14" s="56">
        <v>9.4</v>
      </c>
      <c r="C14" s="56">
        <v>4.08</v>
      </c>
      <c r="D14" s="56">
        <v>14.12</v>
      </c>
      <c r="E14" s="56">
        <v>15.34</v>
      </c>
      <c r="F14" s="56">
        <v>20.170000000000002</v>
      </c>
      <c r="G14" s="56">
        <v>30.12</v>
      </c>
      <c r="H14" s="56">
        <v>13.8</v>
      </c>
      <c r="I14" s="56">
        <v>4.55</v>
      </c>
      <c r="J14" s="56">
        <v>0.84</v>
      </c>
      <c r="K14" s="56">
        <v>272.5</v>
      </c>
      <c r="L14" s="56">
        <v>30.13</v>
      </c>
      <c r="M14" s="56">
        <v>70.05</v>
      </c>
      <c r="N14" s="56">
        <v>15.6</v>
      </c>
      <c r="O14" s="56">
        <v>0</v>
      </c>
      <c r="P14" s="56">
        <v>0.38</v>
      </c>
      <c r="Q14" s="56">
        <v>4.08</v>
      </c>
    </row>
    <row r="15" spans="1:21" customFormat="1">
      <c r="A15" s="55">
        <v>45456.291666666664</v>
      </c>
      <c r="B15" s="56">
        <v>9.36</v>
      </c>
      <c r="C15" s="56">
        <v>4.09</v>
      </c>
      <c r="D15" s="56">
        <v>14.09</v>
      </c>
      <c r="E15" s="56">
        <v>13.84</v>
      </c>
      <c r="F15" s="56">
        <v>16.23</v>
      </c>
      <c r="G15" s="56">
        <v>30.12</v>
      </c>
      <c r="H15" s="56">
        <v>14.68</v>
      </c>
      <c r="I15" s="56">
        <v>4.2699999999999996</v>
      </c>
      <c r="J15" s="56">
        <v>0.89</v>
      </c>
      <c r="K15" s="56">
        <v>267.39999999999998</v>
      </c>
      <c r="L15" s="56">
        <v>30.82</v>
      </c>
      <c r="M15" s="56">
        <v>70.260000000000005</v>
      </c>
      <c r="N15" s="56">
        <v>108</v>
      </c>
      <c r="O15" s="56">
        <v>0</v>
      </c>
      <c r="P15" s="56">
        <v>0.4</v>
      </c>
      <c r="Q15" s="56">
        <v>4.0199999999999996</v>
      </c>
    </row>
    <row r="16" spans="1:21" customFormat="1">
      <c r="A16" s="55">
        <v>45456.333333333336</v>
      </c>
      <c r="B16" s="56">
        <v>9.4</v>
      </c>
      <c r="C16" s="56">
        <v>4.0999999999999996</v>
      </c>
      <c r="D16" s="56">
        <v>14.12</v>
      </c>
      <c r="E16" s="56">
        <v>14.77</v>
      </c>
      <c r="F16" s="56">
        <v>15.15</v>
      </c>
      <c r="G16" s="56">
        <v>34.6</v>
      </c>
      <c r="H16" s="56">
        <v>15.18</v>
      </c>
      <c r="I16" s="56">
        <v>5.43</v>
      </c>
      <c r="J16" s="56">
        <v>1.04</v>
      </c>
      <c r="K16" s="56">
        <v>274.35000000000002</v>
      </c>
      <c r="L16" s="56">
        <v>31.68</v>
      </c>
      <c r="M16" s="56">
        <v>67.66</v>
      </c>
      <c r="N16" s="56">
        <v>149.80000000000001</v>
      </c>
      <c r="O16" s="56">
        <v>0</v>
      </c>
      <c r="P16" s="56">
        <v>0.54</v>
      </c>
      <c r="Q16" s="56">
        <v>4.01</v>
      </c>
    </row>
    <row r="17" spans="1:17" customFormat="1">
      <c r="A17" s="55">
        <v>45456.375</v>
      </c>
      <c r="B17" s="56">
        <v>9.3800000000000008</v>
      </c>
      <c r="C17" s="56">
        <v>4.0999999999999996</v>
      </c>
      <c r="D17" s="56">
        <v>14.1</v>
      </c>
      <c r="E17" s="56">
        <v>12.41</v>
      </c>
      <c r="F17" s="56">
        <v>8.02</v>
      </c>
      <c r="G17" s="56">
        <v>39.799999999999997</v>
      </c>
      <c r="H17" s="56">
        <v>16.48</v>
      </c>
      <c r="I17" s="56">
        <v>7.28</v>
      </c>
      <c r="J17" s="56">
        <v>1.24</v>
      </c>
      <c r="K17" s="56">
        <v>289.18</v>
      </c>
      <c r="L17" s="56">
        <v>33.5</v>
      </c>
      <c r="M17" s="56">
        <v>63.98</v>
      </c>
      <c r="N17" s="56">
        <v>275.10000000000002</v>
      </c>
      <c r="O17" s="56">
        <v>0</v>
      </c>
      <c r="P17" s="56">
        <v>0.62</v>
      </c>
      <c r="Q17" s="56">
        <v>4.03</v>
      </c>
    </row>
    <row r="18" spans="1:17" customFormat="1">
      <c r="A18" s="55">
        <v>45456.416666666664</v>
      </c>
      <c r="B18" s="56">
        <v>9.3800000000000008</v>
      </c>
      <c r="C18" s="56">
        <v>4.08</v>
      </c>
      <c r="D18" s="56">
        <v>14.1</v>
      </c>
      <c r="E18" s="56">
        <v>11.24</v>
      </c>
      <c r="F18" s="56">
        <v>11.3</v>
      </c>
      <c r="G18" s="56">
        <v>44.54</v>
      </c>
      <c r="H18" s="56">
        <v>18.8</v>
      </c>
      <c r="I18" s="56">
        <v>8.1</v>
      </c>
      <c r="J18" s="56">
        <v>1.1000000000000001</v>
      </c>
      <c r="K18" s="56">
        <v>275.02999999999997</v>
      </c>
      <c r="L18" s="56">
        <v>35.590000000000003</v>
      </c>
      <c r="M18" s="56">
        <v>58.88</v>
      </c>
      <c r="N18" s="56">
        <v>286.3</v>
      </c>
      <c r="O18" s="56">
        <v>0</v>
      </c>
      <c r="P18" s="56">
        <v>0.67</v>
      </c>
      <c r="Q18" s="56">
        <v>4.13</v>
      </c>
    </row>
    <row r="19" spans="1:17" customFormat="1">
      <c r="A19" s="55">
        <v>45456.458333333336</v>
      </c>
      <c r="B19" s="56">
        <v>9.3800000000000008</v>
      </c>
      <c r="C19" s="56">
        <v>4.1100000000000003</v>
      </c>
      <c r="D19" s="56">
        <v>14.11</v>
      </c>
      <c r="E19" s="56">
        <v>12.87</v>
      </c>
      <c r="F19" s="56">
        <v>44.93</v>
      </c>
      <c r="G19" s="56">
        <v>49.48</v>
      </c>
      <c r="H19" s="56">
        <v>20.91</v>
      </c>
      <c r="I19" s="56">
        <v>8.15</v>
      </c>
      <c r="J19" s="56">
        <v>1.57</v>
      </c>
      <c r="K19" s="56">
        <v>299.51</v>
      </c>
      <c r="L19" s="56">
        <v>36.97</v>
      </c>
      <c r="M19" s="56">
        <v>48.29</v>
      </c>
      <c r="N19" s="56">
        <v>361.5</v>
      </c>
      <c r="O19" s="56">
        <v>0</v>
      </c>
      <c r="P19" s="56">
        <v>0.65</v>
      </c>
      <c r="Q19" s="56">
        <v>4.29</v>
      </c>
    </row>
    <row r="20" spans="1:17" customFormat="1">
      <c r="A20" s="55">
        <v>45456.5</v>
      </c>
      <c r="B20" s="56">
        <v>9.4</v>
      </c>
      <c r="C20" s="56">
        <v>4.0999999999999996</v>
      </c>
      <c r="D20" s="56">
        <v>14.11</v>
      </c>
      <c r="E20" s="56">
        <v>10.9</v>
      </c>
      <c r="F20" s="56">
        <v>67.25</v>
      </c>
      <c r="G20" s="56">
        <v>50.44</v>
      </c>
      <c r="H20" s="56">
        <v>19.73</v>
      </c>
      <c r="I20" s="56">
        <v>7.66</v>
      </c>
      <c r="J20" s="56">
        <v>1.53</v>
      </c>
      <c r="K20" s="56">
        <v>290.06</v>
      </c>
      <c r="L20" s="56">
        <v>37.64</v>
      </c>
      <c r="M20" s="56">
        <v>44.87</v>
      </c>
      <c r="N20" s="56">
        <v>575.79999999999995</v>
      </c>
      <c r="O20" s="56">
        <v>0</v>
      </c>
      <c r="P20" s="56">
        <v>0.52</v>
      </c>
      <c r="Q20" s="56">
        <v>4.12</v>
      </c>
    </row>
    <row r="21" spans="1:17" customFormat="1">
      <c r="A21" s="55">
        <v>45456.541666666664</v>
      </c>
      <c r="B21" s="56">
        <v>9.48</v>
      </c>
      <c r="C21" s="56">
        <v>4.1100000000000003</v>
      </c>
      <c r="D21" s="56">
        <v>14.19</v>
      </c>
      <c r="E21" s="56">
        <v>14.01</v>
      </c>
      <c r="F21" s="56">
        <v>68.94</v>
      </c>
      <c r="G21" s="56">
        <v>69.53</v>
      </c>
      <c r="H21" s="56">
        <v>19.89</v>
      </c>
      <c r="I21" s="56">
        <v>5.13</v>
      </c>
      <c r="J21" s="56">
        <v>1.23</v>
      </c>
      <c r="K21" s="56">
        <v>273.07</v>
      </c>
      <c r="L21" s="56">
        <v>38.43</v>
      </c>
      <c r="M21" s="56">
        <v>40.61</v>
      </c>
      <c r="N21" s="56">
        <v>827.4</v>
      </c>
      <c r="O21" s="56">
        <v>0</v>
      </c>
      <c r="P21" s="56">
        <v>0.51</v>
      </c>
      <c r="Q21" s="56">
        <v>4</v>
      </c>
    </row>
    <row r="22" spans="1:17" customFormat="1">
      <c r="A22" s="55">
        <v>45456.583333333336</v>
      </c>
      <c r="B22" s="56">
        <v>9.4499999999999993</v>
      </c>
      <c r="C22" s="56">
        <v>4.0999999999999996</v>
      </c>
      <c r="D22" s="56">
        <v>14.18</v>
      </c>
      <c r="E22" s="56">
        <v>14.49</v>
      </c>
      <c r="F22" s="56">
        <v>66.150000000000006</v>
      </c>
      <c r="G22" s="56">
        <v>69.53</v>
      </c>
      <c r="H22" s="56">
        <v>19.03</v>
      </c>
      <c r="I22" s="56">
        <v>7.49</v>
      </c>
      <c r="J22" s="56">
        <v>1.1200000000000001</v>
      </c>
      <c r="K22" s="56">
        <v>288.27</v>
      </c>
      <c r="L22" s="56">
        <v>38.89</v>
      </c>
      <c r="M22" s="56">
        <v>40.24</v>
      </c>
      <c r="N22" s="56">
        <v>418</v>
      </c>
      <c r="O22" s="56">
        <v>0</v>
      </c>
      <c r="P22" s="56">
        <v>0.52</v>
      </c>
      <c r="Q22" s="56">
        <v>4.96</v>
      </c>
    </row>
    <row r="23" spans="1:17" customFormat="1">
      <c r="A23" s="55">
        <v>45456.625</v>
      </c>
      <c r="B23" s="56">
        <v>9.4499999999999993</v>
      </c>
      <c r="C23" s="56">
        <v>4.08</v>
      </c>
      <c r="D23" s="56">
        <v>14.15</v>
      </c>
      <c r="E23" s="11" t="s">
        <v>12</v>
      </c>
      <c r="F23" s="56">
        <v>71.180000000000007</v>
      </c>
      <c r="G23" s="56">
        <v>23.37</v>
      </c>
      <c r="H23" s="56">
        <v>1.57</v>
      </c>
      <c r="I23" s="56">
        <v>114.91</v>
      </c>
      <c r="J23" s="56">
        <v>1.1599999999999999</v>
      </c>
      <c r="K23" s="56">
        <v>308.82</v>
      </c>
      <c r="L23" s="56">
        <v>40.07</v>
      </c>
      <c r="M23" s="56">
        <v>34.380000000000003</v>
      </c>
      <c r="N23" s="56">
        <v>499.7</v>
      </c>
      <c r="O23" s="56">
        <v>0</v>
      </c>
      <c r="P23" s="56">
        <v>1.56</v>
      </c>
      <c r="Q23" s="56">
        <v>4.46</v>
      </c>
    </row>
    <row r="24" spans="1:17" customFormat="1">
      <c r="A24" s="55">
        <v>45456.666666666664</v>
      </c>
      <c r="B24" s="56">
        <v>9.41</v>
      </c>
      <c r="C24" s="56">
        <v>4.12</v>
      </c>
      <c r="D24" s="56">
        <v>14.12</v>
      </c>
      <c r="E24" s="56">
        <v>14.71</v>
      </c>
      <c r="F24" s="56">
        <v>63.78</v>
      </c>
      <c r="G24" s="56">
        <v>45.72</v>
      </c>
      <c r="H24" s="56">
        <v>5.93</v>
      </c>
      <c r="I24" s="56">
        <v>97.47</v>
      </c>
      <c r="J24" s="56">
        <v>1.35</v>
      </c>
      <c r="K24" s="56">
        <v>292.19</v>
      </c>
      <c r="L24" s="56">
        <v>40.46</v>
      </c>
      <c r="M24" s="56">
        <v>32.840000000000003</v>
      </c>
      <c r="N24" s="56">
        <v>492.7</v>
      </c>
      <c r="O24" s="56">
        <v>0</v>
      </c>
      <c r="P24" s="56">
        <v>0.46</v>
      </c>
      <c r="Q24" s="56">
        <v>4.0999999999999996</v>
      </c>
    </row>
    <row r="25" spans="1:17" customFormat="1">
      <c r="A25" s="55">
        <v>45456.708333333336</v>
      </c>
      <c r="B25" s="56">
        <v>9.35</v>
      </c>
      <c r="C25" s="56">
        <v>4.1100000000000003</v>
      </c>
      <c r="D25" s="56">
        <v>14.08</v>
      </c>
      <c r="E25" s="56">
        <v>8.31</v>
      </c>
      <c r="F25" s="56">
        <v>19.38</v>
      </c>
      <c r="G25" s="56">
        <v>43.22</v>
      </c>
      <c r="H25" s="56">
        <v>10.48</v>
      </c>
      <c r="I25" s="56">
        <v>73.819999999999993</v>
      </c>
      <c r="J25" s="56">
        <v>1.45</v>
      </c>
      <c r="K25" s="56">
        <v>289.36</v>
      </c>
      <c r="L25" s="56">
        <v>40.229999999999997</v>
      </c>
      <c r="M25" s="56">
        <v>34.47</v>
      </c>
      <c r="N25" s="56">
        <v>233</v>
      </c>
      <c r="O25" s="56">
        <v>0</v>
      </c>
      <c r="P25" s="56">
        <v>0.45</v>
      </c>
      <c r="Q25" s="56">
        <v>4.59</v>
      </c>
    </row>
    <row r="26" spans="1:17" customFormat="1">
      <c r="A26" s="55">
        <v>45456.75</v>
      </c>
      <c r="B26" s="56">
        <v>9.56</v>
      </c>
      <c r="C26" s="56">
        <v>4.13</v>
      </c>
      <c r="D26" s="56">
        <v>14.26</v>
      </c>
      <c r="E26" s="56">
        <v>8.89</v>
      </c>
      <c r="F26" s="56">
        <v>38.89</v>
      </c>
      <c r="G26" s="56">
        <v>44.32</v>
      </c>
      <c r="H26" s="56">
        <v>11.81</v>
      </c>
      <c r="I26" s="56">
        <v>63.95</v>
      </c>
      <c r="J26" s="56">
        <v>1.1599999999999999</v>
      </c>
      <c r="K26" s="56">
        <v>267.20999999999998</v>
      </c>
      <c r="L26" s="56">
        <v>38.880000000000003</v>
      </c>
      <c r="M26" s="56">
        <v>35.5</v>
      </c>
      <c r="N26" s="56">
        <v>110.8</v>
      </c>
      <c r="O26" s="56">
        <v>0</v>
      </c>
      <c r="P26" s="56">
        <v>0.41</v>
      </c>
      <c r="Q26" s="56">
        <v>4.0199999999999996</v>
      </c>
    </row>
    <row r="27" spans="1:17" customFormat="1">
      <c r="A27" s="55">
        <v>45456.791666666664</v>
      </c>
      <c r="B27" s="56">
        <v>9.4499999999999993</v>
      </c>
      <c r="C27" s="56">
        <v>4.09</v>
      </c>
      <c r="D27" s="56">
        <v>14.16</v>
      </c>
      <c r="E27" s="56">
        <v>10.88</v>
      </c>
      <c r="F27" s="56">
        <v>48.99</v>
      </c>
      <c r="G27" s="56">
        <v>45.19</v>
      </c>
      <c r="H27" s="56">
        <v>10.83</v>
      </c>
      <c r="I27" s="56">
        <v>40.869999999999997</v>
      </c>
      <c r="J27" s="56">
        <v>1.1499999999999999</v>
      </c>
      <c r="K27" s="56">
        <v>275</v>
      </c>
      <c r="L27" s="56">
        <v>37.61</v>
      </c>
      <c r="M27" s="56">
        <v>37.520000000000003</v>
      </c>
      <c r="N27" s="56">
        <v>17.399999999999999</v>
      </c>
      <c r="O27" s="56">
        <v>0</v>
      </c>
      <c r="P27" s="56">
        <v>0.43</v>
      </c>
      <c r="Q27" s="56">
        <v>4</v>
      </c>
    </row>
    <row r="28" spans="1:17" customFormat="1">
      <c r="A28" s="55">
        <v>45456.833333333336</v>
      </c>
      <c r="B28" s="56">
        <v>9.41</v>
      </c>
      <c r="C28" s="56">
        <v>4.08</v>
      </c>
      <c r="D28" s="56">
        <v>14.13</v>
      </c>
      <c r="E28" s="56">
        <v>12.51</v>
      </c>
      <c r="F28" s="56">
        <v>43.34</v>
      </c>
      <c r="G28" s="56">
        <v>46.03</v>
      </c>
      <c r="H28" s="56">
        <v>12.82</v>
      </c>
      <c r="I28" s="56">
        <v>29.56</v>
      </c>
      <c r="J28" s="56">
        <v>0.83</v>
      </c>
      <c r="K28" s="56">
        <v>266.5</v>
      </c>
      <c r="L28" s="56">
        <v>36.69</v>
      </c>
      <c r="M28" s="56">
        <v>39.39</v>
      </c>
      <c r="N28" s="56">
        <v>1.9</v>
      </c>
      <c r="O28" s="56">
        <v>0</v>
      </c>
      <c r="P28" s="56">
        <v>0.57999999999999996</v>
      </c>
      <c r="Q28" s="56">
        <v>4.01</v>
      </c>
    </row>
    <row r="29" spans="1:17" customFormat="1">
      <c r="A29" s="55">
        <v>45456.875</v>
      </c>
      <c r="B29" s="56">
        <v>9.42</v>
      </c>
      <c r="C29" s="56">
        <v>4.08</v>
      </c>
      <c r="D29" s="56">
        <v>14.13</v>
      </c>
      <c r="E29" s="56">
        <v>15.38</v>
      </c>
      <c r="F29" s="56">
        <v>41.82</v>
      </c>
      <c r="G29" s="56">
        <v>47.64</v>
      </c>
      <c r="H29" s="56">
        <v>14.6</v>
      </c>
      <c r="I29" s="56">
        <v>21.92</v>
      </c>
      <c r="J29" s="56">
        <v>0.38</v>
      </c>
      <c r="K29" s="56">
        <v>244.82</v>
      </c>
      <c r="L29" s="56">
        <v>35.96</v>
      </c>
      <c r="M29" s="56">
        <v>44.68</v>
      </c>
      <c r="N29" s="56">
        <v>1.8</v>
      </c>
      <c r="O29" s="56">
        <v>0</v>
      </c>
      <c r="P29" s="56">
        <v>0.66</v>
      </c>
      <c r="Q29" s="56">
        <v>4.01</v>
      </c>
    </row>
    <row r="30" spans="1:17" customFormat="1">
      <c r="A30" s="55">
        <v>45456.916666666664</v>
      </c>
      <c r="B30" s="56">
        <v>9.42</v>
      </c>
      <c r="C30" s="56">
        <v>4.12</v>
      </c>
      <c r="D30" s="56">
        <v>14.14</v>
      </c>
      <c r="E30" s="56">
        <v>12.7</v>
      </c>
      <c r="F30" s="56">
        <v>43.56</v>
      </c>
      <c r="G30" s="56">
        <v>48.67</v>
      </c>
      <c r="H30" s="56">
        <v>15.38</v>
      </c>
      <c r="I30" s="56">
        <v>20.97</v>
      </c>
      <c r="J30" s="56">
        <v>0.42</v>
      </c>
      <c r="K30" s="56">
        <v>229.19</v>
      </c>
      <c r="L30" s="56">
        <v>34.880000000000003</v>
      </c>
      <c r="M30" s="56">
        <v>52.28</v>
      </c>
      <c r="N30" s="56">
        <v>2.4</v>
      </c>
      <c r="O30" s="56">
        <v>0</v>
      </c>
      <c r="P30" s="56">
        <v>0.48</v>
      </c>
      <c r="Q30" s="56">
        <v>4.01</v>
      </c>
    </row>
    <row r="31" spans="1:17" customFormat="1">
      <c r="A31" s="55">
        <v>45456.958333333336</v>
      </c>
      <c r="B31" s="56">
        <v>9.41</v>
      </c>
      <c r="C31" s="56">
        <v>4.12</v>
      </c>
      <c r="D31" s="56">
        <v>14.15</v>
      </c>
      <c r="E31" s="56">
        <v>11.18</v>
      </c>
      <c r="F31" s="56">
        <v>40.130000000000003</v>
      </c>
      <c r="G31" s="56">
        <v>45.16</v>
      </c>
      <c r="H31" s="56">
        <v>15.69</v>
      </c>
      <c r="I31" s="56">
        <v>16.21</v>
      </c>
      <c r="J31" s="56">
        <v>0.25</v>
      </c>
      <c r="K31" s="56">
        <v>245.8</v>
      </c>
      <c r="L31" s="56">
        <v>33.21</v>
      </c>
      <c r="M31" s="56">
        <v>53.83</v>
      </c>
      <c r="N31" s="56">
        <v>1.9</v>
      </c>
      <c r="O31" s="56">
        <v>0</v>
      </c>
      <c r="P31" s="56">
        <v>0.42</v>
      </c>
      <c r="Q31" s="56">
        <v>4</v>
      </c>
    </row>
    <row r="32" spans="1:17" customFormat="1">
      <c r="A32" s="55">
        <v>45457</v>
      </c>
      <c r="B32" s="56">
        <v>9.43</v>
      </c>
      <c r="C32" s="56">
        <v>4.1100000000000003</v>
      </c>
      <c r="D32" s="56">
        <v>14.16</v>
      </c>
      <c r="E32" s="56">
        <v>10.39</v>
      </c>
      <c r="F32" s="56">
        <v>36.83</v>
      </c>
      <c r="G32" s="56">
        <v>40.130000000000003</v>
      </c>
      <c r="H32" s="56">
        <v>14.57</v>
      </c>
      <c r="I32" s="56">
        <v>11.91</v>
      </c>
      <c r="J32" s="56">
        <v>0.21</v>
      </c>
      <c r="K32" s="56">
        <v>225.33</v>
      </c>
      <c r="L32" s="56">
        <v>32.36</v>
      </c>
      <c r="M32" s="56">
        <v>57.9</v>
      </c>
      <c r="N32" s="56">
        <v>1.8</v>
      </c>
      <c r="O32" s="56">
        <v>0</v>
      </c>
      <c r="P32" s="56">
        <v>0.38</v>
      </c>
      <c r="Q32" s="56">
        <v>4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9.3000000000000007</v>
      </c>
      <c r="C34" s="41">
        <f t="shared" si="0"/>
        <v>4.08</v>
      </c>
      <c r="D34" s="41">
        <f t="shared" si="0"/>
        <v>14.04</v>
      </c>
      <c r="E34" s="41">
        <f t="shared" si="0"/>
        <v>8.31</v>
      </c>
      <c r="F34" s="41">
        <f t="shared" si="0"/>
        <v>8.02</v>
      </c>
      <c r="G34" s="41">
        <f t="shared" si="0"/>
        <v>23.37</v>
      </c>
      <c r="H34" s="41">
        <f t="shared" si="0"/>
        <v>1.57</v>
      </c>
      <c r="I34" s="41">
        <f t="shared" si="0"/>
        <v>4.2699999999999996</v>
      </c>
      <c r="J34" s="41">
        <f t="shared" si="0"/>
        <v>0.21</v>
      </c>
      <c r="K34" s="41">
        <f t="shared" si="0"/>
        <v>225.33</v>
      </c>
      <c r="L34" s="41">
        <f t="shared" si="0"/>
        <v>30.13</v>
      </c>
      <c r="M34" s="41">
        <f t="shared" si="0"/>
        <v>32.840000000000003</v>
      </c>
      <c r="N34" s="41">
        <f t="shared" si="0"/>
        <v>1.8</v>
      </c>
      <c r="O34" s="41">
        <f t="shared" si="0"/>
        <v>0</v>
      </c>
      <c r="P34" s="41">
        <f t="shared" si="0"/>
        <v>0.38</v>
      </c>
      <c r="Q34" s="41">
        <f t="shared" si="0"/>
        <v>4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9.56</v>
      </c>
      <c r="C35" s="33">
        <f t="shared" si="1"/>
        <v>4.1399999999999997</v>
      </c>
      <c r="D35" s="33">
        <f t="shared" si="1"/>
        <v>14.26</v>
      </c>
      <c r="E35" s="33">
        <f t="shared" si="1"/>
        <v>15.38</v>
      </c>
      <c r="F35" s="33">
        <f t="shared" si="1"/>
        <v>71.180000000000007</v>
      </c>
      <c r="G35" s="33">
        <f t="shared" si="1"/>
        <v>69.53</v>
      </c>
      <c r="H35" s="33">
        <f t="shared" si="1"/>
        <v>22.09</v>
      </c>
      <c r="I35" s="33">
        <f t="shared" si="1"/>
        <v>114.91</v>
      </c>
      <c r="J35" s="33">
        <f t="shared" si="1"/>
        <v>1.57</v>
      </c>
      <c r="K35" s="33">
        <f t="shared" si="1"/>
        <v>308.82</v>
      </c>
      <c r="L35" s="33">
        <f t="shared" si="1"/>
        <v>40.46</v>
      </c>
      <c r="M35" s="33">
        <f t="shared" si="1"/>
        <v>70.260000000000005</v>
      </c>
      <c r="N35" s="33">
        <f t="shared" si="1"/>
        <v>827.4</v>
      </c>
      <c r="O35" s="33">
        <f t="shared" si="1"/>
        <v>0</v>
      </c>
      <c r="P35" s="33">
        <f t="shared" si="1"/>
        <v>1.56</v>
      </c>
      <c r="Q35" s="33">
        <f t="shared" si="1"/>
        <v>6.76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9.4054166666666639</v>
      </c>
      <c r="C36" s="41">
        <f t="shared" si="2"/>
        <v>4.1029166666666663</v>
      </c>
      <c r="D36" s="41">
        <f t="shared" si="2"/>
        <v>14.127500000000003</v>
      </c>
      <c r="E36" s="41">
        <f t="shared" si="2"/>
        <v>12.316521739130433</v>
      </c>
      <c r="F36" s="41">
        <f t="shared" si="2"/>
        <v>34.355416666666677</v>
      </c>
      <c r="G36" s="41">
        <f t="shared" si="2"/>
        <v>43.952500000000008</v>
      </c>
      <c r="H36" s="41">
        <f t="shared" si="2"/>
        <v>15.179166666666667</v>
      </c>
      <c r="I36" s="41">
        <f t="shared" si="2"/>
        <v>23.959166666666665</v>
      </c>
      <c r="J36" s="41">
        <f t="shared" si="2"/>
        <v>1.01125</v>
      </c>
      <c r="K36" s="41">
        <f t="shared" si="2"/>
        <v>270.63416666666666</v>
      </c>
      <c r="L36" s="41">
        <f t="shared" si="2"/>
        <v>34.89083333333334</v>
      </c>
      <c r="M36" s="41">
        <f t="shared" si="2"/>
        <v>52.550000000000004</v>
      </c>
      <c r="N36" s="41">
        <f t="shared" si="2"/>
        <v>182.96249999999995</v>
      </c>
      <c r="O36" s="41">
        <f t="shared" si="2"/>
        <v>0</v>
      </c>
      <c r="P36" s="41">
        <f t="shared" si="2"/>
        <v>0.54083333333333339</v>
      </c>
      <c r="Q36" s="41">
        <f t="shared" si="2"/>
        <v>4.4362499999999994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5.2583611818550959E-2</v>
      </c>
      <c r="C37" s="41">
        <f t="shared" ref="C37:Q37" si="3">STDEV(C9:C32)</f>
        <v>1.6544844636864123E-2</v>
      </c>
      <c r="D37" s="41">
        <f t="shared" si="3"/>
        <v>4.5896859795964695E-2</v>
      </c>
      <c r="E37" s="41">
        <f t="shared" si="3"/>
        <v>2.0496354635878307</v>
      </c>
      <c r="F37" s="41">
        <f t="shared" si="3"/>
        <v>21.946322456941566</v>
      </c>
      <c r="G37" s="41">
        <f t="shared" si="3"/>
        <v>10.7292514630109</v>
      </c>
      <c r="H37" s="41">
        <f t="shared" si="3"/>
        <v>4.7922708755794927</v>
      </c>
      <c r="I37" s="41">
        <f t="shared" si="3"/>
        <v>31.52598168201099</v>
      </c>
      <c r="J37" s="41">
        <f t="shared" si="3"/>
        <v>0.40036192865086917</v>
      </c>
      <c r="K37" s="41">
        <f t="shared" si="3"/>
        <v>20.479559250663932</v>
      </c>
      <c r="L37" s="41">
        <f t="shared" si="3"/>
        <v>3.6392090835266426</v>
      </c>
      <c r="M37" s="41">
        <f t="shared" si="3"/>
        <v>13.596480362978832</v>
      </c>
      <c r="N37" s="41">
        <f t="shared" si="3"/>
        <v>234.93691995660382</v>
      </c>
      <c r="O37" s="41">
        <f t="shared" si="3"/>
        <v>0</v>
      </c>
      <c r="P37" s="41">
        <f t="shared" si="3"/>
        <v>0.23398098523015781</v>
      </c>
      <c r="Q37" s="41">
        <f t="shared" si="3"/>
        <v>0.72227185355293477</v>
      </c>
      <c r="R37" s="41"/>
      <c r="S37" s="41"/>
      <c r="T37" s="41"/>
      <c r="U37" s="41"/>
    </row>
    <row r="38" spans="1:21" s="1" customFormat="1">
      <c r="A38" s="48" t="s">
        <v>52</v>
      </c>
      <c r="B38" s="49">
        <f t="shared" ref="B38:Q38" si="4">COUNT(B9:B32)</f>
        <v>24</v>
      </c>
      <c r="C38" s="49">
        <f t="shared" si="4"/>
        <v>24</v>
      </c>
      <c r="D38" s="49">
        <f t="shared" si="4"/>
        <v>24</v>
      </c>
      <c r="E38" s="49">
        <f t="shared" si="4"/>
        <v>23</v>
      </c>
      <c r="F38" s="49">
        <f t="shared" si="4"/>
        <v>24</v>
      </c>
      <c r="G38" s="49">
        <f t="shared" si="4"/>
        <v>24</v>
      </c>
      <c r="H38" s="49">
        <f t="shared" si="4"/>
        <v>24</v>
      </c>
      <c r="I38" s="49">
        <f t="shared" si="4"/>
        <v>24</v>
      </c>
      <c r="J38" s="49">
        <f t="shared" si="4"/>
        <v>24</v>
      </c>
      <c r="K38" s="49">
        <f t="shared" si="4"/>
        <v>24</v>
      </c>
      <c r="L38" s="49">
        <f t="shared" si="4"/>
        <v>24</v>
      </c>
      <c r="M38" s="49">
        <f t="shared" si="4"/>
        <v>24</v>
      </c>
      <c r="N38" s="49">
        <f t="shared" si="4"/>
        <v>24</v>
      </c>
      <c r="O38" s="49">
        <f t="shared" si="4"/>
        <v>24</v>
      </c>
      <c r="P38" s="49">
        <f t="shared" si="4"/>
        <v>24</v>
      </c>
      <c r="Q38" s="49">
        <f t="shared" si="4"/>
        <v>24</v>
      </c>
      <c r="R38" s="49"/>
      <c r="S38" s="49"/>
      <c r="T38" s="49"/>
      <c r="U38" s="49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52"/>
      <c r="O41" s="52"/>
      <c r="P41" s="52"/>
      <c r="Q41" s="52"/>
      <c r="R41" s="52"/>
      <c r="S41" s="52"/>
      <c r="T41" s="52"/>
      <c r="U41" s="52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50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1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45457.041666666664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5">
        <v>45457.041666666664</v>
      </c>
      <c r="B9" s="56">
        <v>9.25</v>
      </c>
      <c r="C9" s="56">
        <v>4.0599999999999996</v>
      </c>
      <c r="D9" s="56">
        <v>13.96</v>
      </c>
      <c r="E9" s="56">
        <v>10.74</v>
      </c>
      <c r="F9" s="56">
        <v>41.06</v>
      </c>
      <c r="G9" s="56">
        <v>38.979999999999997</v>
      </c>
      <c r="H9" s="56">
        <v>14.63</v>
      </c>
      <c r="I9" s="56">
        <v>9.9499999999999993</v>
      </c>
      <c r="J9" s="56">
        <v>0.71</v>
      </c>
      <c r="K9" s="56">
        <v>259.67</v>
      </c>
      <c r="L9" s="56">
        <v>32.68</v>
      </c>
      <c r="M9" s="56">
        <v>56.9</v>
      </c>
      <c r="N9" s="56">
        <v>1.7</v>
      </c>
      <c r="O9" s="56">
        <v>0</v>
      </c>
      <c r="P9" s="56">
        <v>0.35</v>
      </c>
      <c r="Q9" s="56">
        <v>4</v>
      </c>
    </row>
    <row r="10" spans="1:21" customFormat="1">
      <c r="A10" s="55">
        <v>45457.083333333336</v>
      </c>
      <c r="B10" s="56">
        <v>9.25</v>
      </c>
      <c r="C10" s="56">
        <v>4.08</v>
      </c>
      <c r="D10" s="56">
        <v>13.99</v>
      </c>
      <c r="E10" s="56">
        <v>11.33</v>
      </c>
      <c r="F10" s="56">
        <v>45.26</v>
      </c>
      <c r="G10" s="56">
        <v>37.14</v>
      </c>
      <c r="H10" s="56">
        <v>15.46</v>
      </c>
      <c r="I10" s="56">
        <v>9.65</v>
      </c>
      <c r="J10" s="56">
        <v>0.9</v>
      </c>
      <c r="K10" s="56">
        <v>265.98</v>
      </c>
      <c r="L10" s="56">
        <v>32.770000000000003</v>
      </c>
      <c r="M10" s="56">
        <v>60</v>
      </c>
      <c r="N10" s="56">
        <v>2</v>
      </c>
      <c r="O10" s="56">
        <v>0</v>
      </c>
      <c r="P10" s="56">
        <v>0.31</v>
      </c>
      <c r="Q10" s="56">
        <v>4.0199999999999996</v>
      </c>
    </row>
    <row r="11" spans="1:21" customFormat="1">
      <c r="A11" s="55">
        <v>45457.125</v>
      </c>
      <c r="B11" s="56">
        <v>9.24</v>
      </c>
      <c r="C11" s="56">
        <v>4.09</v>
      </c>
      <c r="D11" s="56">
        <v>13.97</v>
      </c>
      <c r="E11" s="56">
        <v>10.42</v>
      </c>
      <c r="F11" s="56">
        <v>23.57</v>
      </c>
      <c r="G11" s="56">
        <v>37.85</v>
      </c>
      <c r="H11" s="56">
        <v>17.25</v>
      </c>
      <c r="I11" s="56">
        <v>10.42</v>
      </c>
      <c r="J11" s="56">
        <v>1.25</v>
      </c>
      <c r="K11" s="56">
        <v>266.05</v>
      </c>
      <c r="L11" s="56">
        <v>32.729999999999997</v>
      </c>
      <c r="M11" s="56">
        <v>57.87</v>
      </c>
      <c r="N11" s="56">
        <v>2.2000000000000002</v>
      </c>
      <c r="O11" s="56">
        <v>0</v>
      </c>
      <c r="P11" s="56">
        <v>0.36</v>
      </c>
      <c r="Q11" s="56">
        <v>4.0199999999999996</v>
      </c>
    </row>
    <row r="12" spans="1:21" customFormat="1">
      <c r="A12" s="55">
        <v>45457.166666666664</v>
      </c>
      <c r="B12" s="56">
        <v>9.17</v>
      </c>
      <c r="C12" s="56">
        <v>4.08</v>
      </c>
      <c r="D12" s="56">
        <v>13.93</v>
      </c>
      <c r="E12" s="56">
        <v>10.57</v>
      </c>
      <c r="F12" s="56">
        <v>13.71</v>
      </c>
      <c r="G12" s="56">
        <v>34.42</v>
      </c>
      <c r="H12" s="56">
        <v>12.36</v>
      </c>
      <c r="I12" s="56">
        <v>9.93</v>
      </c>
      <c r="J12" s="56">
        <v>0.86</v>
      </c>
      <c r="K12" s="56">
        <v>263.12</v>
      </c>
      <c r="L12" s="56">
        <v>32.049999999999997</v>
      </c>
      <c r="M12" s="56">
        <v>55.49</v>
      </c>
      <c r="N12" s="56">
        <v>2.2000000000000002</v>
      </c>
      <c r="O12" s="56">
        <v>0</v>
      </c>
      <c r="P12" s="56">
        <v>0.36</v>
      </c>
      <c r="Q12" s="56">
        <v>4.01</v>
      </c>
    </row>
    <row r="13" spans="1:21" customFormat="1">
      <c r="A13" s="55">
        <v>45457.208333333336</v>
      </c>
      <c r="B13" s="56">
        <v>9.18</v>
      </c>
      <c r="C13" s="56">
        <v>4.08</v>
      </c>
      <c r="D13" s="56">
        <v>13.93</v>
      </c>
      <c r="E13" s="56">
        <v>10.16</v>
      </c>
      <c r="F13" s="56">
        <v>12.63</v>
      </c>
      <c r="G13" s="56">
        <v>28.46</v>
      </c>
      <c r="H13" s="56">
        <v>11.61</v>
      </c>
      <c r="I13" s="56">
        <v>8.73</v>
      </c>
      <c r="J13" s="56">
        <v>1.19</v>
      </c>
      <c r="K13" s="56">
        <v>264.10000000000002</v>
      </c>
      <c r="L13" s="56">
        <v>31.43</v>
      </c>
      <c r="M13" s="56">
        <v>55.29</v>
      </c>
      <c r="N13" s="56">
        <v>2.1</v>
      </c>
      <c r="O13" s="56">
        <v>0</v>
      </c>
      <c r="P13" s="56">
        <v>0.34</v>
      </c>
      <c r="Q13" s="56">
        <v>4.01</v>
      </c>
    </row>
    <row r="14" spans="1:21" customFormat="1">
      <c r="A14" s="55">
        <v>45457.25</v>
      </c>
      <c r="B14" s="56">
        <v>9.19</v>
      </c>
      <c r="C14" s="56">
        <v>4.08</v>
      </c>
      <c r="D14" s="56">
        <v>13.93</v>
      </c>
      <c r="E14" s="56">
        <v>10.54</v>
      </c>
      <c r="F14" s="56">
        <v>10.35</v>
      </c>
      <c r="G14" s="56">
        <v>27.6</v>
      </c>
      <c r="H14" s="56">
        <v>10.16</v>
      </c>
      <c r="I14" s="56">
        <v>7.99</v>
      </c>
      <c r="J14" s="56">
        <v>1.02</v>
      </c>
      <c r="K14" s="56">
        <v>264.94</v>
      </c>
      <c r="L14" s="56">
        <v>30.88</v>
      </c>
      <c r="M14" s="56">
        <v>53.84</v>
      </c>
      <c r="N14" s="56">
        <v>27.8</v>
      </c>
      <c r="O14" s="56">
        <v>0</v>
      </c>
      <c r="P14" s="56">
        <v>0.32</v>
      </c>
      <c r="Q14" s="56">
        <v>4</v>
      </c>
    </row>
    <row r="15" spans="1:21" customFormat="1">
      <c r="A15" s="55">
        <v>45457.291666666664</v>
      </c>
      <c r="B15" s="56">
        <v>9.18</v>
      </c>
      <c r="C15" s="56">
        <v>4.09</v>
      </c>
      <c r="D15" s="56">
        <v>13.94</v>
      </c>
      <c r="E15" s="56">
        <v>10.81</v>
      </c>
      <c r="F15" s="56">
        <v>10.63</v>
      </c>
      <c r="G15" s="56">
        <v>23.35</v>
      </c>
      <c r="H15" s="56">
        <v>11</v>
      </c>
      <c r="I15" s="56">
        <v>7.02</v>
      </c>
      <c r="J15" s="56">
        <v>1.07</v>
      </c>
      <c r="K15" s="56">
        <v>262.39</v>
      </c>
      <c r="L15" s="56">
        <v>30.95</v>
      </c>
      <c r="M15" s="56">
        <v>56.24</v>
      </c>
      <c r="N15" s="56">
        <v>68.099999999999994</v>
      </c>
      <c r="O15" s="56">
        <v>0</v>
      </c>
      <c r="P15" s="56">
        <v>0.32</v>
      </c>
      <c r="Q15" s="56">
        <v>4.01</v>
      </c>
    </row>
    <row r="16" spans="1:21" customFormat="1">
      <c r="A16" s="55">
        <v>45457.333333333336</v>
      </c>
      <c r="B16" s="56">
        <v>9.23</v>
      </c>
      <c r="C16" s="56">
        <v>4.07</v>
      </c>
      <c r="D16" s="56">
        <v>13.97</v>
      </c>
      <c r="E16" s="56">
        <v>12.85</v>
      </c>
      <c r="F16" s="56">
        <v>14.99</v>
      </c>
      <c r="G16" s="56">
        <v>26.46</v>
      </c>
      <c r="H16" s="56">
        <v>12.2</v>
      </c>
      <c r="I16" s="56">
        <v>6.59</v>
      </c>
      <c r="J16" s="56">
        <v>1.22</v>
      </c>
      <c r="K16" s="56">
        <v>268.48</v>
      </c>
      <c r="L16" s="56">
        <v>31.72</v>
      </c>
      <c r="M16" s="56">
        <v>56.42</v>
      </c>
      <c r="N16" s="56">
        <v>149.69999999999999</v>
      </c>
      <c r="O16" s="56">
        <v>0</v>
      </c>
      <c r="P16" s="56">
        <v>0.31</v>
      </c>
      <c r="Q16" s="56">
        <v>4</v>
      </c>
    </row>
    <row r="17" spans="1:17" customFormat="1">
      <c r="A17" s="55">
        <v>45457.375</v>
      </c>
      <c r="B17" s="56">
        <v>9.24</v>
      </c>
      <c r="C17" s="56">
        <v>4.09</v>
      </c>
      <c r="D17" s="56">
        <v>13.98</v>
      </c>
      <c r="E17" s="56">
        <v>22.01</v>
      </c>
      <c r="F17" s="56">
        <v>20.09</v>
      </c>
      <c r="G17" s="56">
        <v>30.44</v>
      </c>
      <c r="H17" s="56">
        <v>12.71</v>
      </c>
      <c r="I17" s="56">
        <v>6.05</v>
      </c>
      <c r="J17" s="56">
        <v>1.01</v>
      </c>
      <c r="K17" s="56">
        <v>286.87</v>
      </c>
      <c r="L17" s="56">
        <v>32.5</v>
      </c>
      <c r="M17" s="56">
        <v>55.86</v>
      </c>
      <c r="N17" s="56">
        <v>168.3</v>
      </c>
      <c r="O17" s="56">
        <v>0</v>
      </c>
      <c r="P17" s="56">
        <v>0.41</v>
      </c>
      <c r="Q17" s="56">
        <v>4</v>
      </c>
    </row>
    <row r="18" spans="1:17" customFormat="1">
      <c r="A18" s="55">
        <v>45457.416666666664</v>
      </c>
      <c r="B18" s="56">
        <v>9.16</v>
      </c>
      <c r="C18" s="56">
        <v>4.08</v>
      </c>
      <c r="D18" s="56">
        <v>13.92</v>
      </c>
      <c r="E18" s="56">
        <v>23.85</v>
      </c>
      <c r="F18" s="56">
        <v>45.25</v>
      </c>
      <c r="G18" s="56">
        <v>35.06</v>
      </c>
      <c r="H18" s="56">
        <v>12.01</v>
      </c>
      <c r="I18" s="56">
        <v>6.93</v>
      </c>
      <c r="J18" s="56">
        <v>0.61</v>
      </c>
      <c r="K18" s="56">
        <v>305.63</v>
      </c>
      <c r="L18" s="56">
        <v>33.28</v>
      </c>
      <c r="M18" s="56">
        <v>54.24</v>
      </c>
      <c r="N18" s="56">
        <v>167.5</v>
      </c>
      <c r="O18" s="56">
        <v>0</v>
      </c>
      <c r="P18" s="56">
        <v>0.51</v>
      </c>
      <c r="Q18" s="56">
        <v>3.98</v>
      </c>
    </row>
    <row r="19" spans="1:17" customFormat="1">
      <c r="A19" s="55">
        <v>45457.458333333336</v>
      </c>
      <c r="B19" s="56">
        <v>9.15</v>
      </c>
      <c r="C19" s="56">
        <v>4.07</v>
      </c>
      <c r="D19" s="56">
        <v>13.91</v>
      </c>
      <c r="E19" s="56">
        <v>15.59</v>
      </c>
      <c r="F19" s="56">
        <v>44.85</v>
      </c>
      <c r="G19" s="56">
        <v>41.76</v>
      </c>
      <c r="H19" s="56">
        <v>13.43</v>
      </c>
      <c r="I19" s="56">
        <v>6.81</v>
      </c>
      <c r="J19" s="56">
        <v>1.1499999999999999</v>
      </c>
      <c r="K19" s="56">
        <v>293.8</v>
      </c>
      <c r="L19" s="56">
        <v>36.15</v>
      </c>
      <c r="M19" s="56">
        <v>50.45</v>
      </c>
      <c r="N19" s="56">
        <v>336.3</v>
      </c>
      <c r="O19" s="56">
        <v>0</v>
      </c>
      <c r="P19" s="56">
        <v>0.41</v>
      </c>
      <c r="Q19" s="56">
        <v>3.99</v>
      </c>
    </row>
    <row r="20" spans="1:17" customFormat="1">
      <c r="A20" s="55">
        <v>45457.5</v>
      </c>
      <c r="B20" s="56">
        <v>9.14</v>
      </c>
      <c r="C20" s="56">
        <v>4.09</v>
      </c>
      <c r="D20" s="56">
        <v>13.91</v>
      </c>
      <c r="E20" s="56">
        <v>12.71</v>
      </c>
      <c r="F20" s="56">
        <v>39.71</v>
      </c>
      <c r="G20" s="56">
        <v>45.7</v>
      </c>
      <c r="H20" s="56">
        <v>14.2</v>
      </c>
      <c r="I20" s="56">
        <v>5.96</v>
      </c>
      <c r="J20" s="56">
        <v>1.43</v>
      </c>
      <c r="K20" s="56">
        <v>315.79000000000002</v>
      </c>
      <c r="L20" s="56">
        <v>37.07</v>
      </c>
      <c r="M20" s="56">
        <v>41.3</v>
      </c>
      <c r="N20" s="56">
        <v>344.1</v>
      </c>
      <c r="O20" s="56">
        <v>0</v>
      </c>
      <c r="P20" s="56">
        <v>0.42</v>
      </c>
      <c r="Q20" s="56">
        <v>3.99</v>
      </c>
    </row>
    <row r="21" spans="1:17" customFormat="1">
      <c r="A21" s="55">
        <v>45457.541666666664</v>
      </c>
      <c r="B21" s="56">
        <v>9.14</v>
      </c>
      <c r="C21" s="56">
        <v>4.09</v>
      </c>
      <c r="D21" s="56">
        <v>13.91</v>
      </c>
      <c r="E21" s="56">
        <v>10.99</v>
      </c>
      <c r="F21" s="56">
        <v>43.66</v>
      </c>
      <c r="G21" s="56">
        <v>46.73</v>
      </c>
      <c r="H21" s="56">
        <v>14.83</v>
      </c>
      <c r="I21" s="56">
        <v>5.74</v>
      </c>
      <c r="J21" s="56">
        <v>0.96</v>
      </c>
      <c r="K21" s="56">
        <v>348.77</v>
      </c>
      <c r="L21" s="56">
        <v>38.75</v>
      </c>
      <c r="M21" s="56">
        <v>38.44</v>
      </c>
      <c r="N21" s="56">
        <v>683.4</v>
      </c>
      <c r="O21" s="56">
        <v>0</v>
      </c>
      <c r="P21" s="56">
        <v>0.42</v>
      </c>
      <c r="Q21" s="56">
        <v>4.01</v>
      </c>
    </row>
    <row r="22" spans="1:17" customFormat="1">
      <c r="A22" s="55">
        <v>45457.583333333336</v>
      </c>
      <c r="B22" s="56">
        <v>9.1300000000000008</v>
      </c>
      <c r="C22" s="56">
        <v>4.0999999999999996</v>
      </c>
      <c r="D22" s="56">
        <v>13.9</v>
      </c>
      <c r="E22" s="56">
        <v>11.36</v>
      </c>
      <c r="F22" s="56">
        <v>32.82</v>
      </c>
      <c r="G22" s="56">
        <v>48.49</v>
      </c>
      <c r="H22" s="56">
        <v>16.829999999999998</v>
      </c>
      <c r="I22" s="56">
        <v>5.75</v>
      </c>
      <c r="J22" s="56">
        <v>1.46</v>
      </c>
      <c r="K22" s="56">
        <v>300.88</v>
      </c>
      <c r="L22" s="56">
        <v>40.15</v>
      </c>
      <c r="M22" s="56">
        <v>35.950000000000003</v>
      </c>
      <c r="N22" s="56">
        <v>775</v>
      </c>
      <c r="O22" s="56">
        <v>0</v>
      </c>
      <c r="P22" s="56">
        <v>0.43</v>
      </c>
      <c r="Q22" s="56">
        <v>4.0199999999999996</v>
      </c>
    </row>
    <row r="23" spans="1:17" customFormat="1">
      <c r="A23" s="55">
        <v>45457.625</v>
      </c>
      <c r="B23" s="56">
        <v>9.1300000000000008</v>
      </c>
      <c r="C23" s="56">
        <v>4.07</v>
      </c>
      <c r="D23" s="56">
        <v>13.89</v>
      </c>
      <c r="E23" s="56">
        <v>15.33</v>
      </c>
      <c r="F23" s="56">
        <v>51.74</v>
      </c>
      <c r="G23" s="56">
        <v>49.81</v>
      </c>
      <c r="H23" s="56">
        <v>18.690000000000001</v>
      </c>
      <c r="I23" s="56">
        <v>5.84</v>
      </c>
      <c r="J23" s="56">
        <v>0.73</v>
      </c>
      <c r="K23" s="56">
        <v>261.54000000000002</v>
      </c>
      <c r="L23" s="56">
        <v>40.08</v>
      </c>
      <c r="M23" s="56">
        <v>36.6</v>
      </c>
      <c r="N23" s="56">
        <v>442.7</v>
      </c>
      <c r="O23" s="56">
        <v>0</v>
      </c>
      <c r="P23" s="56">
        <v>0.46</v>
      </c>
      <c r="Q23" s="56">
        <v>4.01</v>
      </c>
    </row>
    <row r="24" spans="1:17" customFormat="1">
      <c r="A24" s="55">
        <v>45457.666666666664</v>
      </c>
      <c r="B24" s="56">
        <v>9.1300000000000008</v>
      </c>
      <c r="C24" s="56">
        <v>4.0599999999999996</v>
      </c>
      <c r="D24" s="56">
        <v>13.88</v>
      </c>
      <c r="E24" s="56">
        <v>16.53</v>
      </c>
      <c r="F24" s="56">
        <v>52.61</v>
      </c>
      <c r="G24" s="56">
        <v>54.98</v>
      </c>
      <c r="H24" s="56">
        <v>18.350000000000001</v>
      </c>
      <c r="I24" s="56">
        <v>5.52</v>
      </c>
      <c r="J24" s="56">
        <v>1.35</v>
      </c>
      <c r="K24" s="56">
        <v>307.56</v>
      </c>
      <c r="L24" s="56">
        <v>40.25</v>
      </c>
      <c r="M24" s="56">
        <v>37.24</v>
      </c>
      <c r="N24" s="56">
        <v>239.8</v>
      </c>
      <c r="O24" s="56">
        <v>0</v>
      </c>
      <c r="P24" s="56">
        <v>0.47</v>
      </c>
      <c r="Q24" s="56">
        <v>4.01</v>
      </c>
    </row>
    <row r="25" spans="1:17" customFormat="1">
      <c r="A25" s="55">
        <v>45457.708333333336</v>
      </c>
      <c r="B25" s="56">
        <v>9.14</v>
      </c>
      <c r="C25" s="56">
        <v>4.09</v>
      </c>
      <c r="D25" s="56">
        <v>13.9</v>
      </c>
      <c r="E25" s="56">
        <v>35.020000000000003</v>
      </c>
      <c r="F25" s="56">
        <v>34.229999999999997</v>
      </c>
      <c r="G25" s="56">
        <v>64.930000000000007</v>
      </c>
      <c r="H25" s="56">
        <v>19.2</v>
      </c>
      <c r="I25" s="56">
        <v>5.86</v>
      </c>
      <c r="J25" s="56">
        <v>1.08</v>
      </c>
      <c r="K25" s="56">
        <v>47.32</v>
      </c>
      <c r="L25" s="56">
        <v>36.74</v>
      </c>
      <c r="M25" s="56">
        <v>38.71</v>
      </c>
      <c r="N25" s="56">
        <v>95.1</v>
      </c>
      <c r="O25" s="56">
        <v>0</v>
      </c>
      <c r="P25" s="56">
        <v>0.56000000000000005</v>
      </c>
      <c r="Q25" s="56">
        <v>4</v>
      </c>
    </row>
    <row r="26" spans="1:17" customFormat="1">
      <c r="A26" s="55">
        <v>45457.75</v>
      </c>
      <c r="B26" s="56">
        <v>9.26</v>
      </c>
      <c r="C26" s="56">
        <v>4.12</v>
      </c>
      <c r="D26" s="56">
        <v>13.99</v>
      </c>
      <c r="E26" s="56">
        <v>42.72</v>
      </c>
      <c r="F26" s="56">
        <v>47.23</v>
      </c>
      <c r="G26" s="56">
        <v>67.760000000000005</v>
      </c>
      <c r="H26" s="56">
        <v>18.850000000000001</v>
      </c>
      <c r="I26" s="56">
        <v>5.42</v>
      </c>
      <c r="J26" s="56">
        <v>0.35</v>
      </c>
      <c r="K26" s="56">
        <v>213.75</v>
      </c>
      <c r="L26" s="56">
        <v>37.26</v>
      </c>
      <c r="M26" s="56">
        <v>40.81</v>
      </c>
      <c r="N26" s="56">
        <v>91.2</v>
      </c>
      <c r="O26" s="56">
        <v>0</v>
      </c>
      <c r="P26" s="56">
        <v>0.48</v>
      </c>
      <c r="Q26" s="56">
        <v>3.98</v>
      </c>
    </row>
    <row r="27" spans="1:17" customFormat="1">
      <c r="A27" s="55">
        <v>45457.791666666664</v>
      </c>
      <c r="B27" s="56">
        <v>9.24</v>
      </c>
      <c r="C27" s="56">
        <v>4.09</v>
      </c>
      <c r="D27" s="56">
        <v>13.99</v>
      </c>
      <c r="E27" s="56">
        <v>29.04</v>
      </c>
      <c r="F27" s="56">
        <v>45.97</v>
      </c>
      <c r="G27" s="56">
        <v>67.97</v>
      </c>
      <c r="H27" s="56">
        <v>19.87</v>
      </c>
      <c r="I27" s="56">
        <v>4.8499999999999996</v>
      </c>
      <c r="J27" s="56">
        <v>0.22</v>
      </c>
      <c r="K27" s="56">
        <v>200.69</v>
      </c>
      <c r="L27" s="56">
        <v>36.03</v>
      </c>
      <c r="M27" s="56">
        <v>47.04</v>
      </c>
      <c r="N27" s="56">
        <v>13.9</v>
      </c>
      <c r="O27" s="56">
        <v>0</v>
      </c>
      <c r="P27" s="56">
        <v>0.54</v>
      </c>
      <c r="Q27" s="56">
        <v>3.97</v>
      </c>
    </row>
    <row r="28" spans="1:17" customFormat="1">
      <c r="A28" s="55">
        <v>45457.833333333336</v>
      </c>
      <c r="B28" s="56">
        <v>9.23</v>
      </c>
      <c r="C28" s="56">
        <v>4.1100000000000003</v>
      </c>
      <c r="D28" s="56">
        <v>13.99</v>
      </c>
      <c r="E28" s="56">
        <v>19.010000000000002</v>
      </c>
      <c r="F28" s="56">
        <v>50.81</v>
      </c>
      <c r="G28" s="56">
        <v>68.48</v>
      </c>
      <c r="H28" s="56">
        <v>20.95</v>
      </c>
      <c r="I28" s="56">
        <v>6.08</v>
      </c>
      <c r="J28" s="56">
        <v>0.21</v>
      </c>
      <c r="K28" s="56">
        <v>261.75</v>
      </c>
      <c r="L28" s="56">
        <v>35.11</v>
      </c>
      <c r="M28" s="56">
        <v>46.56</v>
      </c>
      <c r="N28" s="56">
        <v>2</v>
      </c>
      <c r="O28" s="56">
        <v>0</v>
      </c>
      <c r="P28" s="56">
        <v>0.54</v>
      </c>
      <c r="Q28" s="56">
        <v>3.99</v>
      </c>
    </row>
    <row r="29" spans="1:17" customFormat="1">
      <c r="A29" s="55">
        <v>45457.875</v>
      </c>
      <c r="B29" s="56">
        <v>9.2200000000000006</v>
      </c>
      <c r="C29" s="56">
        <v>4.0999999999999996</v>
      </c>
      <c r="D29" s="56">
        <v>13.98</v>
      </c>
      <c r="E29" s="56">
        <v>9.43</v>
      </c>
      <c r="F29" s="56">
        <v>39.83</v>
      </c>
      <c r="G29" s="56">
        <v>63.03</v>
      </c>
      <c r="H29" s="56">
        <v>21.19</v>
      </c>
      <c r="I29" s="56">
        <v>4.95</v>
      </c>
      <c r="J29" s="56">
        <v>0.95</v>
      </c>
      <c r="K29" s="56">
        <v>264.2</v>
      </c>
      <c r="L29" s="56">
        <v>34.21</v>
      </c>
      <c r="M29" s="56">
        <v>47.42</v>
      </c>
      <c r="N29" s="56">
        <v>2.2000000000000002</v>
      </c>
      <c r="O29" s="56">
        <v>0</v>
      </c>
      <c r="P29" s="56">
        <v>0.41</v>
      </c>
      <c r="Q29" s="56">
        <v>3.99</v>
      </c>
    </row>
    <row r="30" spans="1:17" customFormat="1">
      <c r="A30" s="55">
        <v>45457.916666666664</v>
      </c>
      <c r="B30" s="56">
        <v>9.2100000000000009</v>
      </c>
      <c r="C30" s="56">
        <v>4.0999999999999996</v>
      </c>
      <c r="D30" s="56">
        <v>13.97</v>
      </c>
      <c r="E30" s="56">
        <v>8.27</v>
      </c>
      <c r="F30" s="56">
        <v>22.19</v>
      </c>
      <c r="G30" s="56">
        <v>58.59</v>
      </c>
      <c r="H30" s="56">
        <v>17.420000000000002</v>
      </c>
      <c r="I30" s="56">
        <v>5.18</v>
      </c>
      <c r="J30" s="56">
        <v>0.88</v>
      </c>
      <c r="K30" s="56">
        <v>266.07</v>
      </c>
      <c r="L30" s="56">
        <v>32.97</v>
      </c>
      <c r="M30" s="56">
        <v>54.18</v>
      </c>
      <c r="N30" s="56">
        <v>2.6</v>
      </c>
      <c r="O30" s="56">
        <v>0</v>
      </c>
      <c r="P30" s="56">
        <v>0.41</v>
      </c>
      <c r="Q30" s="56">
        <v>4</v>
      </c>
    </row>
    <row r="31" spans="1:17" customFormat="1">
      <c r="A31" s="55">
        <v>45457.958333333336</v>
      </c>
      <c r="B31" s="56">
        <v>9.17</v>
      </c>
      <c r="C31" s="56">
        <v>4.1100000000000003</v>
      </c>
      <c r="D31" s="56">
        <v>13.94</v>
      </c>
      <c r="E31" s="56">
        <v>8.4700000000000006</v>
      </c>
      <c r="F31" s="56">
        <v>16.32</v>
      </c>
      <c r="G31" s="56">
        <v>52.31</v>
      </c>
      <c r="H31" s="56">
        <v>17.07</v>
      </c>
      <c r="I31" s="56">
        <v>4.99</v>
      </c>
      <c r="J31" s="56">
        <v>1.31</v>
      </c>
      <c r="K31" s="56">
        <v>263.57</v>
      </c>
      <c r="L31" s="56">
        <v>31.9</v>
      </c>
      <c r="M31" s="56">
        <v>52.07</v>
      </c>
      <c r="N31" s="56">
        <v>2.2000000000000002</v>
      </c>
      <c r="O31" s="56">
        <v>0</v>
      </c>
      <c r="P31" s="56">
        <v>0.4</v>
      </c>
      <c r="Q31" s="56">
        <v>3.99</v>
      </c>
    </row>
    <row r="32" spans="1:17" customFormat="1">
      <c r="A32" s="55">
        <v>45458</v>
      </c>
      <c r="B32" s="56">
        <v>9.17</v>
      </c>
      <c r="C32" s="56">
        <v>4.09</v>
      </c>
      <c r="D32" s="56">
        <v>13.94</v>
      </c>
      <c r="E32" s="56">
        <v>8.24</v>
      </c>
      <c r="F32" s="56">
        <v>11.59</v>
      </c>
      <c r="G32" s="56">
        <v>35.74</v>
      </c>
      <c r="H32" s="56">
        <v>12.65</v>
      </c>
      <c r="I32" s="56">
        <v>4.7300000000000004</v>
      </c>
      <c r="J32" s="56">
        <v>1.69</v>
      </c>
      <c r="K32" s="56">
        <v>266.36</v>
      </c>
      <c r="L32" s="56">
        <v>30.38</v>
      </c>
      <c r="M32" s="56">
        <v>63.33</v>
      </c>
      <c r="N32" s="56">
        <v>3</v>
      </c>
      <c r="O32" s="56">
        <v>0</v>
      </c>
      <c r="P32" s="56">
        <v>0.37</v>
      </c>
      <c r="Q32" s="56">
        <v>4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9.1300000000000008</v>
      </c>
      <c r="C34" s="41">
        <f t="shared" si="0"/>
        <v>4.0599999999999996</v>
      </c>
      <c r="D34" s="41">
        <f t="shared" si="0"/>
        <v>13.88</v>
      </c>
      <c r="E34" s="41">
        <f t="shared" si="0"/>
        <v>8.24</v>
      </c>
      <c r="F34" s="41">
        <f t="shared" si="0"/>
        <v>10.35</v>
      </c>
      <c r="G34" s="41">
        <f t="shared" si="0"/>
        <v>23.35</v>
      </c>
      <c r="H34" s="41">
        <f t="shared" si="0"/>
        <v>10.16</v>
      </c>
      <c r="I34" s="41">
        <f t="shared" si="0"/>
        <v>4.7300000000000004</v>
      </c>
      <c r="J34" s="41">
        <f t="shared" si="0"/>
        <v>0.21</v>
      </c>
      <c r="K34" s="41">
        <f t="shared" si="0"/>
        <v>47.32</v>
      </c>
      <c r="L34" s="41">
        <f t="shared" si="0"/>
        <v>30.38</v>
      </c>
      <c r="M34" s="41">
        <f t="shared" si="0"/>
        <v>35.950000000000003</v>
      </c>
      <c r="N34" s="41">
        <f t="shared" si="0"/>
        <v>1.7</v>
      </c>
      <c r="O34" s="41">
        <f t="shared" si="0"/>
        <v>0</v>
      </c>
      <c r="P34" s="41">
        <f t="shared" si="0"/>
        <v>0.31</v>
      </c>
      <c r="Q34" s="41">
        <f t="shared" si="0"/>
        <v>3.97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9.26</v>
      </c>
      <c r="C35" s="33">
        <f t="shared" si="1"/>
        <v>4.12</v>
      </c>
      <c r="D35" s="33">
        <f t="shared" si="1"/>
        <v>13.99</v>
      </c>
      <c r="E35" s="33">
        <f t="shared" si="1"/>
        <v>42.72</v>
      </c>
      <c r="F35" s="33">
        <f t="shared" si="1"/>
        <v>52.61</v>
      </c>
      <c r="G35" s="33">
        <f t="shared" si="1"/>
        <v>68.48</v>
      </c>
      <c r="H35" s="33">
        <f t="shared" si="1"/>
        <v>21.19</v>
      </c>
      <c r="I35" s="33">
        <f t="shared" si="1"/>
        <v>10.42</v>
      </c>
      <c r="J35" s="33">
        <f t="shared" si="1"/>
        <v>1.69</v>
      </c>
      <c r="K35" s="33">
        <f t="shared" si="1"/>
        <v>348.77</v>
      </c>
      <c r="L35" s="33">
        <f t="shared" si="1"/>
        <v>40.25</v>
      </c>
      <c r="M35" s="33">
        <f t="shared" si="1"/>
        <v>63.33</v>
      </c>
      <c r="N35" s="33">
        <f t="shared" si="1"/>
        <v>775</v>
      </c>
      <c r="O35" s="33">
        <f t="shared" si="1"/>
        <v>0</v>
      </c>
      <c r="P35" s="33">
        <f t="shared" si="1"/>
        <v>0.56000000000000005</v>
      </c>
      <c r="Q35" s="33">
        <f t="shared" si="1"/>
        <v>4.0199999999999996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9.1895833333333332</v>
      </c>
      <c r="C36" s="41">
        <f t="shared" si="2"/>
        <v>4.0870833333333332</v>
      </c>
      <c r="D36" s="41">
        <f t="shared" si="2"/>
        <v>13.942500000000003</v>
      </c>
      <c r="E36" s="41">
        <f t="shared" si="2"/>
        <v>15.666250000000003</v>
      </c>
      <c r="F36" s="41">
        <f t="shared" si="2"/>
        <v>32.129166666666677</v>
      </c>
      <c r="G36" s="41">
        <f t="shared" si="2"/>
        <v>45.251666666666672</v>
      </c>
      <c r="H36" s="41">
        <f t="shared" si="2"/>
        <v>15.538333333333332</v>
      </c>
      <c r="I36" s="41">
        <f t="shared" si="2"/>
        <v>6.7058333333333335</v>
      </c>
      <c r="J36" s="41">
        <f t="shared" si="2"/>
        <v>0.98375000000000001</v>
      </c>
      <c r="K36" s="41">
        <f t="shared" si="2"/>
        <v>263.30333333333328</v>
      </c>
      <c r="L36" s="41">
        <f t="shared" si="2"/>
        <v>34.501666666666665</v>
      </c>
      <c r="M36" s="41">
        <f t="shared" si="2"/>
        <v>49.677083333333321</v>
      </c>
      <c r="N36" s="41">
        <f t="shared" si="2"/>
        <v>151.04583333333332</v>
      </c>
      <c r="O36" s="41">
        <f t="shared" si="2"/>
        <v>0</v>
      </c>
      <c r="P36" s="41">
        <f t="shared" si="2"/>
        <v>0.41291666666666665</v>
      </c>
      <c r="Q36" s="41">
        <f t="shared" si="2"/>
        <v>3.9999999999999987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4.4864934178493646E-2</v>
      </c>
      <c r="C37" s="41">
        <f t="shared" ref="C37:Q37" si="3">STDEV(C9:C32)</f>
        <v>1.5174110293140954E-2</v>
      </c>
      <c r="D37" s="41">
        <f t="shared" si="3"/>
        <v>3.5416773230871265E-2</v>
      </c>
      <c r="E37" s="41">
        <f t="shared" si="3"/>
        <v>8.9417228242222606</v>
      </c>
      <c r="F37" s="41">
        <f t="shared" si="3"/>
        <v>15.254307137064053</v>
      </c>
      <c r="G37" s="41">
        <f t="shared" si="3"/>
        <v>14.37259671151609</v>
      </c>
      <c r="H37" s="41">
        <f t="shared" si="3"/>
        <v>3.331342158906855</v>
      </c>
      <c r="I37" s="41">
        <f t="shared" si="3"/>
        <v>1.7785556344763389</v>
      </c>
      <c r="J37" s="41">
        <f t="shared" si="3"/>
        <v>0.37754138845959656</v>
      </c>
      <c r="K37" s="41">
        <f t="shared" si="3"/>
        <v>55.094419875785064</v>
      </c>
      <c r="L37" s="41">
        <f t="shared" si="3"/>
        <v>3.1540735105804099</v>
      </c>
      <c r="M37" s="41">
        <f t="shared" si="3"/>
        <v>8.3413832025560737</v>
      </c>
      <c r="N37" s="41">
        <f t="shared" si="3"/>
        <v>219.37667621887383</v>
      </c>
      <c r="O37" s="41">
        <f t="shared" si="3"/>
        <v>0</v>
      </c>
      <c r="P37" s="41">
        <f t="shared" si="3"/>
        <v>7.4919038427095047E-2</v>
      </c>
      <c r="Q37" s="41">
        <f t="shared" si="3"/>
        <v>1.3187609467915562E-2</v>
      </c>
      <c r="R37" s="41"/>
      <c r="S37" s="41"/>
      <c r="T37" s="41"/>
      <c r="U37" s="41"/>
    </row>
    <row r="38" spans="1:21" s="1" customFormat="1">
      <c r="A38" s="48" t="s">
        <v>52</v>
      </c>
      <c r="B38" s="49">
        <f t="shared" ref="B38:Q38" si="4">COUNT(B9:B32)</f>
        <v>24</v>
      </c>
      <c r="C38" s="49">
        <f t="shared" si="4"/>
        <v>24</v>
      </c>
      <c r="D38" s="49">
        <f t="shared" si="4"/>
        <v>24</v>
      </c>
      <c r="E38" s="49">
        <f t="shared" si="4"/>
        <v>24</v>
      </c>
      <c r="F38" s="49">
        <f t="shared" si="4"/>
        <v>24</v>
      </c>
      <c r="G38" s="49">
        <f t="shared" si="4"/>
        <v>24</v>
      </c>
      <c r="H38" s="49">
        <f t="shared" si="4"/>
        <v>24</v>
      </c>
      <c r="I38" s="49">
        <f t="shared" si="4"/>
        <v>24</v>
      </c>
      <c r="J38" s="49">
        <f t="shared" si="4"/>
        <v>24</v>
      </c>
      <c r="K38" s="49">
        <f t="shared" si="4"/>
        <v>24</v>
      </c>
      <c r="L38" s="49">
        <f t="shared" si="4"/>
        <v>24</v>
      </c>
      <c r="M38" s="49">
        <f t="shared" si="4"/>
        <v>24</v>
      </c>
      <c r="N38" s="49">
        <f t="shared" si="4"/>
        <v>24</v>
      </c>
      <c r="O38" s="49">
        <f t="shared" si="4"/>
        <v>24</v>
      </c>
      <c r="P38" s="49">
        <f t="shared" si="4"/>
        <v>24</v>
      </c>
      <c r="Q38" s="49">
        <f t="shared" si="4"/>
        <v>24</v>
      </c>
      <c r="R38" s="49"/>
      <c r="S38" s="49"/>
      <c r="T38" s="49"/>
      <c r="U38" s="49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52"/>
      <c r="O41" s="52"/>
      <c r="P41" s="52"/>
      <c r="Q41" s="52"/>
      <c r="R41" s="52"/>
      <c r="S41" s="52"/>
      <c r="T41" s="52"/>
      <c r="U41" s="52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50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7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45458.041666666664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5">
        <v>45458.041666666664</v>
      </c>
      <c r="B9" s="56">
        <v>9.3000000000000007</v>
      </c>
      <c r="C9" s="56">
        <v>4.08</v>
      </c>
      <c r="D9" s="56">
        <v>14.04</v>
      </c>
      <c r="E9" s="56">
        <v>8.75</v>
      </c>
      <c r="F9" s="56">
        <v>9.3800000000000008</v>
      </c>
      <c r="G9" s="56">
        <v>36.33</v>
      </c>
      <c r="H9" s="56">
        <v>12.56</v>
      </c>
      <c r="I9" s="56">
        <v>4.4800000000000004</v>
      </c>
      <c r="J9" s="56">
        <v>1.23</v>
      </c>
      <c r="K9" s="56">
        <v>269.69</v>
      </c>
      <c r="L9" s="56">
        <v>29.57</v>
      </c>
      <c r="M9" s="56">
        <v>62.71</v>
      </c>
      <c r="N9" s="56">
        <v>1.7</v>
      </c>
      <c r="O9" s="56">
        <v>0</v>
      </c>
      <c r="P9" s="56">
        <v>0.34</v>
      </c>
      <c r="Q9" s="56">
        <v>3.99</v>
      </c>
    </row>
    <row r="10" spans="1:21" customFormat="1">
      <c r="A10" s="55">
        <v>45458.083333333336</v>
      </c>
      <c r="B10" s="56">
        <v>9.2799999999999994</v>
      </c>
      <c r="C10" s="56">
        <v>4.09</v>
      </c>
      <c r="D10" s="56">
        <v>14.03</v>
      </c>
      <c r="E10" s="56">
        <v>9.4499999999999993</v>
      </c>
      <c r="F10" s="56">
        <v>10.32</v>
      </c>
      <c r="G10" s="56">
        <v>32.799999999999997</v>
      </c>
      <c r="H10" s="56">
        <v>10.73</v>
      </c>
      <c r="I10" s="56">
        <v>4.13</v>
      </c>
      <c r="J10" s="56">
        <v>1.01</v>
      </c>
      <c r="K10" s="56">
        <v>299.52</v>
      </c>
      <c r="L10" s="56">
        <v>29.47</v>
      </c>
      <c r="M10" s="56">
        <v>58.7</v>
      </c>
      <c r="N10" s="56">
        <v>1.9</v>
      </c>
      <c r="O10" s="56">
        <v>0</v>
      </c>
      <c r="P10" s="56">
        <v>0.36</v>
      </c>
      <c r="Q10" s="56">
        <v>4</v>
      </c>
    </row>
    <row r="11" spans="1:21" customFormat="1">
      <c r="A11" s="55">
        <v>45458.125</v>
      </c>
      <c r="B11" s="56">
        <v>9.2899999999999991</v>
      </c>
      <c r="C11" s="56">
        <v>4.0999999999999996</v>
      </c>
      <c r="D11" s="56">
        <v>14.05</v>
      </c>
      <c r="E11" s="56">
        <v>11.19</v>
      </c>
      <c r="F11" s="56">
        <v>21.01</v>
      </c>
      <c r="G11" s="56">
        <v>27.25</v>
      </c>
      <c r="H11" s="56">
        <v>10.62</v>
      </c>
      <c r="I11" s="56">
        <v>4.74</v>
      </c>
      <c r="J11" s="56">
        <v>0.7</v>
      </c>
      <c r="K11" s="56">
        <v>268.02</v>
      </c>
      <c r="L11" s="56">
        <v>29.18</v>
      </c>
      <c r="M11" s="56">
        <v>60.99</v>
      </c>
      <c r="N11" s="56">
        <v>2</v>
      </c>
      <c r="O11" s="56">
        <v>0</v>
      </c>
      <c r="P11" s="56">
        <v>0.39</v>
      </c>
      <c r="Q11" s="56">
        <v>4</v>
      </c>
    </row>
    <row r="12" spans="1:21" customFormat="1">
      <c r="A12" s="55">
        <v>45458.166666666664</v>
      </c>
      <c r="B12" s="56">
        <v>9.32</v>
      </c>
      <c r="C12" s="56">
        <v>4.09</v>
      </c>
      <c r="D12" s="56">
        <v>14.05</v>
      </c>
      <c r="E12" s="56">
        <v>8.81</v>
      </c>
      <c r="F12" s="56">
        <v>26.95</v>
      </c>
      <c r="G12" s="56">
        <v>24.54</v>
      </c>
      <c r="H12" s="56">
        <v>8.77</v>
      </c>
      <c r="I12" s="56">
        <v>4.74</v>
      </c>
      <c r="J12" s="56">
        <v>0.4</v>
      </c>
      <c r="K12" s="56">
        <v>248.23</v>
      </c>
      <c r="L12" s="56">
        <v>28.57</v>
      </c>
      <c r="M12" s="56">
        <v>63.77</v>
      </c>
      <c r="N12" s="56">
        <v>1.9</v>
      </c>
      <c r="O12" s="56">
        <v>0</v>
      </c>
      <c r="P12" s="56">
        <v>0.3</v>
      </c>
      <c r="Q12" s="56">
        <v>3.98</v>
      </c>
    </row>
    <row r="13" spans="1:21" customFormat="1">
      <c r="A13" s="55">
        <v>45458.208333333336</v>
      </c>
      <c r="B13" s="56">
        <v>9.3800000000000008</v>
      </c>
      <c r="C13" s="56">
        <v>4.09</v>
      </c>
      <c r="D13" s="56">
        <v>14.08</v>
      </c>
      <c r="E13" s="56">
        <v>7.84</v>
      </c>
      <c r="F13" s="56">
        <v>28.6</v>
      </c>
      <c r="G13" s="56">
        <v>20.81</v>
      </c>
      <c r="H13" s="56">
        <v>7.8</v>
      </c>
      <c r="I13" s="56">
        <v>3.87</v>
      </c>
      <c r="J13" s="56">
        <v>0.42</v>
      </c>
      <c r="K13" s="56">
        <v>254.24</v>
      </c>
      <c r="L13" s="56">
        <v>28.28</v>
      </c>
      <c r="M13" s="56">
        <v>66.09</v>
      </c>
      <c r="N13" s="56">
        <v>1.9</v>
      </c>
      <c r="O13" s="56">
        <v>0</v>
      </c>
      <c r="P13" s="56">
        <v>0.24</v>
      </c>
      <c r="Q13" s="56">
        <v>3.98</v>
      </c>
    </row>
    <row r="14" spans="1:21" customFormat="1">
      <c r="A14" s="55">
        <v>45458.25</v>
      </c>
      <c r="B14" s="56">
        <v>9.32</v>
      </c>
      <c r="C14" s="56">
        <v>4.07</v>
      </c>
      <c r="D14" s="56">
        <v>14.05</v>
      </c>
      <c r="E14" s="56">
        <v>7.84</v>
      </c>
      <c r="F14" s="56">
        <v>23.12</v>
      </c>
      <c r="G14" s="56">
        <v>20.59</v>
      </c>
      <c r="H14" s="56">
        <v>8.19</v>
      </c>
      <c r="I14" s="56">
        <v>3.92</v>
      </c>
      <c r="J14" s="56">
        <v>0.52</v>
      </c>
      <c r="K14" s="56">
        <v>266.99</v>
      </c>
      <c r="L14" s="56">
        <v>28.43</v>
      </c>
      <c r="M14" s="56">
        <v>67.010000000000005</v>
      </c>
      <c r="N14" s="56">
        <v>33.799999999999997</v>
      </c>
      <c r="O14" s="56">
        <v>0</v>
      </c>
      <c r="P14" s="56">
        <v>0.25</v>
      </c>
      <c r="Q14" s="56">
        <v>4</v>
      </c>
    </row>
    <row r="15" spans="1:21" customFormat="1">
      <c r="A15" s="55">
        <v>45458.291666666664</v>
      </c>
      <c r="B15" s="56">
        <v>9.31</v>
      </c>
      <c r="C15" s="56">
        <v>4.09</v>
      </c>
      <c r="D15" s="56">
        <v>14.04</v>
      </c>
      <c r="E15" s="56">
        <v>9.6</v>
      </c>
      <c r="F15" s="56">
        <v>13.66</v>
      </c>
      <c r="G15" s="56">
        <v>21.05</v>
      </c>
      <c r="H15" s="56">
        <v>8.6</v>
      </c>
      <c r="I15" s="56">
        <v>4.53</v>
      </c>
      <c r="J15" s="56">
        <v>1.01</v>
      </c>
      <c r="K15" s="56">
        <v>269.67</v>
      </c>
      <c r="L15" s="56">
        <v>29.5</v>
      </c>
      <c r="M15" s="56">
        <v>64.89</v>
      </c>
      <c r="N15" s="56">
        <v>114.5</v>
      </c>
      <c r="O15" s="56">
        <v>0</v>
      </c>
      <c r="P15" s="56">
        <v>0.34</v>
      </c>
      <c r="Q15" s="56">
        <v>3.99</v>
      </c>
    </row>
    <row r="16" spans="1:21" customFormat="1">
      <c r="A16" s="55">
        <v>45458.333333333336</v>
      </c>
      <c r="B16" s="56">
        <v>9.35</v>
      </c>
      <c r="C16" s="56">
        <v>4.07</v>
      </c>
      <c r="D16" s="56">
        <v>14.07</v>
      </c>
      <c r="E16" s="56">
        <v>9.3699999999999992</v>
      </c>
      <c r="F16" s="56">
        <v>10.130000000000001</v>
      </c>
      <c r="G16" s="56">
        <v>23.63</v>
      </c>
      <c r="H16" s="56">
        <v>8.8800000000000008</v>
      </c>
      <c r="I16" s="56">
        <v>5.17</v>
      </c>
      <c r="J16" s="56">
        <v>0.91</v>
      </c>
      <c r="K16" s="56">
        <v>276.31</v>
      </c>
      <c r="L16" s="56">
        <v>30.76</v>
      </c>
      <c r="M16" s="56">
        <v>61.22</v>
      </c>
      <c r="N16" s="56">
        <v>143.9</v>
      </c>
      <c r="O16" s="56">
        <v>0</v>
      </c>
      <c r="P16" s="56">
        <v>0.45</v>
      </c>
      <c r="Q16" s="56">
        <v>3.96</v>
      </c>
    </row>
    <row r="17" spans="1:17" customFormat="1">
      <c r="A17" s="55">
        <v>45458.375</v>
      </c>
      <c r="B17" s="56">
        <v>9.3000000000000007</v>
      </c>
      <c r="C17" s="56">
        <v>4.0999999999999996</v>
      </c>
      <c r="D17" s="56">
        <v>14.04</v>
      </c>
      <c r="E17" s="56">
        <v>11.16</v>
      </c>
      <c r="F17" s="56">
        <v>10.94</v>
      </c>
      <c r="G17" s="56">
        <v>33.979999999999997</v>
      </c>
      <c r="H17" s="56">
        <v>10.67</v>
      </c>
      <c r="I17" s="56">
        <v>6.31</v>
      </c>
      <c r="J17" s="56">
        <v>1.08</v>
      </c>
      <c r="K17" s="56">
        <v>277.64</v>
      </c>
      <c r="L17" s="56">
        <v>32.880000000000003</v>
      </c>
      <c r="M17" s="56">
        <v>56.18</v>
      </c>
      <c r="N17" s="56">
        <v>252.9</v>
      </c>
      <c r="O17" s="56">
        <v>0</v>
      </c>
      <c r="P17" s="56">
        <v>0.59</v>
      </c>
      <c r="Q17" s="56">
        <v>3.95</v>
      </c>
    </row>
    <row r="18" spans="1:17" customFormat="1">
      <c r="A18" s="55">
        <v>45458.416666666664</v>
      </c>
      <c r="B18" s="56">
        <v>9.31</v>
      </c>
      <c r="C18" s="56">
        <v>4.09</v>
      </c>
      <c r="D18" s="56">
        <v>14.04</v>
      </c>
      <c r="E18" s="56">
        <v>11.78</v>
      </c>
      <c r="F18" s="56">
        <v>13.32</v>
      </c>
      <c r="G18" s="56">
        <v>40.200000000000003</v>
      </c>
      <c r="H18" s="56">
        <v>13.01</v>
      </c>
      <c r="I18" s="56">
        <v>7.77</v>
      </c>
      <c r="J18" s="56">
        <v>1.1100000000000001</v>
      </c>
      <c r="K18" s="56">
        <v>276.56</v>
      </c>
      <c r="L18" s="56">
        <v>33.92</v>
      </c>
      <c r="M18" s="56">
        <v>49.2</v>
      </c>
      <c r="N18" s="56">
        <v>308.2</v>
      </c>
      <c r="O18" s="56">
        <v>0</v>
      </c>
      <c r="P18" s="56">
        <v>0.66</v>
      </c>
      <c r="Q18" s="56">
        <v>3.98</v>
      </c>
    </row>
    <row r="19" spans="1:17" customFormat="1">
      <c r="A19" s="55">
        <v>45458.458333333336</v>
      </c>
      <c r="B19" s="56">
        <v>9.31</v>
      </c>
      <c r="C19" s="56">
        <v>4.08</v>
      </c>
      <c r="D19" s="56">
        <v>14.05</v>
      </c>
      <c r="E19" s="56">
        <v>13.8</v>
      </c>
      <c r="F19" s="56">
        <v>15.45</v>
      </c>
      <c r="G19" s="56">
        <v>43.22</v>
      </c>
      <c r="H19" s="56">
        <v>14.16</v>
      </c>
      <c r="I19" s="56">
        <v>8.68</v>
      </c>
      <c r="J19" s="56">
        <v>1.04</v>
      </c>
      <c r="K19" s="56">
        <v>274.89</v>
      </c>
      <c r="L19" s="56">
        <v>36.06</v>
      </c>
      <c r="M19" s="56">
        <v>45.91</v>
      </c>
      <c r="N19" s="56">
        <v>331.3</v>
      </c>
      <c r="O19" s="56">
        <v>0</v>
      </c>
      <c r="P19" s="56">
        <v>0.71</v>
      </c>
      <c r="Q19" s="56">
        <v>3.98</v>
      </c>
    </row>
    <row r="20" spans="1:17" customFormat="1">
      <c r="A20" s="55">
        <v>45458.5</v>
      </c>
      <c r="B20" s="56">
        <v>9.31</v>
      </c>
      <c r="C20" s="56">
        <v>4.1100000000000003</v>
      </c>
      <c r="D20" s="56">
        <v>14.05</v>
      </c>
      <c r="E20" s="56">
        <v>19.55</v>
      </c>
      <c r="F20" s="56">
        <v>41.5</v>
      </c>
      <c r="G20" s="56">
        <v>46.23</v>
      </c>
      <c r="H20" s="56">
        <v>14.68</v>
      </c>
      <c r="I20" s="56">
        <v>8.9</v>
      </c>
      <c r="J20" s="56">
        <v>1.1399999999999999</v>
      </c>
      <c r="K20" s="56">
        <v>290.52</v>
      </c>
      <c r="L20" s="56">
        <v>38.28</v>
      </c>
      <c r="M20" s="56">
        <v>40.26</v>
      </c>
      <c r="N20" s="56">
        <v>578.79999999999995</v>
      </c>
      <c r="O20" s="56">
        <v>0</v>
      </c>
      <c r="P20" s="56">
        <v>0.68</v>
      </c>
      <c r="Q20" s="56">
        <v>3.99</v>
      </c>
    </row>
    <row r="21" spans="1:17" customFormat="1">
      <c r="A21" s="55">
        <v>45458.541666666664</v>
      </c>
      <c r="B21" s="56">
        <v>9.3699999999999992</v>
      </c>
      <c r="C21" s="56">
        <v>4.12</v>
      </c>
      <c r="D21" s="56">
        <v>14.11</v>
      </c>
      <c r="E21" s="56">
        <v>20.28</v>
      </c>
      <c r="F21" s="56">
        <v>32.31</v>
      </c>
      <c r="G21" s="56">
        <v>46.46</v>
      </c>
      <c r="H21" s="56">
        <v>15.95</v>
      </c>
      <c r="I21" s="56">
        <v>8.1199999999999992</v>
      </c>
      <c r="J21" s="56">
        <v>1.1399999999999999</v>
      </c>
      <c r="K21" s="56">
        <v>258.49</v>
      </c>
      <c r="L21" s="56">
        <v>39.36</v>
      </c>
      <c r="M21" s="56">
        <v>38.01</v>
      </c>
      <c r="N21" s="56">
        <v>743.8</v>
      </c>
      <c r="O21" s="56">
        <v>0</v>
      </c>
      <c r="P21" s="56">
        <v>0.66</v>
      </c>
      <c r="Q21" s="56">
        <v>3.94</v>
      </c>
    </row>
    <row r="22" spans="1:17" customFormat="1">
      <c r="A22" s="55">
        <v>45458.583333333336</v>
      </c>
      <c r="B22" s="56">
        <v>9.3699999999999992</v>
      </c>
      <c r="C22" s="56">
        <v>4.1100000000000003</v>
      </c>
      <c r="D22" s="56">
        <v>14.09</v>
      </c>
      <c r="E22" s="56">
        <v>16.75</v>
      </c>
      <c r="F22" s="56">
        <v>34.61</v>
      </c>
      <c r="G22" s="56">
        <v>44.29</v>
      </c>
      <c r="H22" s="56">
        <v>17.36</v>
      </c>
      <c r="I22" s="56">
        <v>7.82</v>
      </c>
      <c r="J22" s="56">
        <v>1.08</v>
      </c>
      <c r="K22" s="56">
        <v>265.66000000000003</v>
      </c>
      <c r="L22" s="56">
        <v>40.19</v>
      </c>
      <c r="M22" s="56">
        <v>38.5</v>
      </c>
      <c r="N22" s="56">
        <v>611.29999999999995</v>
      </c>
      <c r="O22" s="56">
        <v>0</v>
      </c>
      <c r="P22" s="56">
        <v>0.61</v>
      </c>
      <c r="Q22" s="56">
        <v>3.94</v>
      </c>
    </row>
    <row r="23" spans="1:17" customFormat="1">
      <c r="A23" s="55">
        <v>45458.625</v>
      </c>
      <c r="B23" s="56">
        <v>9.31</v>
      </c>
      <c r="C23" s="56">
        <v>4.0999999999999996</v>
      </c>
      <c r="D23" s="56">
        <v>14.05</v>
      </c>
      <c r="E23" s="56">
        <v>16.62</v>
      </c>
      <c r="F23" s="56">
        <v>34.4</v>
      </c>
      <c r="G23" s="56">
        <v>40.68</v>
      </c>
      <c r="H23" s="56">
        <v>18.260000000000002</v>
      </c>
      <c r="I23" s="56">
        <v>6.92</v>
      </c>
      <c r="J23" s="56">
        <v>1.24</v>
      </c>
      <c r="K23" s="56">
        <v>271.2</v>
      </c>
      <c r="L23" s="56">
        <v>40.619999999999997</v>
      </c>
      <c r="M23" s="56">
        <v>35.520000000000003</v>
      </c>
      <c r="N23" s="56">
        <v>652.1</v>
      </c>
      <c r="O23" s="56">
        <v>0</v>
      </c>
      <c r="P23" s="56">
        <v>0.55000000000000004</v>
      </c>
      <c r="Q23" s="56">
        <v>3.94</v>
      </c>
    </row>
    <row r="24" spans="1:17" customFormat="1">
      <c r="A24" s="55">
        <v>45458.666666666664</v>
      </c>
      <c r="B24" s="56">
        <v>9.36</v>
      </c>
      <c r="C24" s="56">
        <v>4.08</v>
      </c>
      <c r="D24" s="56">
        <v>14.08</v>
      </c>
      <c r="E24" s="56">
        <v>15.12</v>
      </c>
      <c r="F24" s="56">
        <v>29.03</v>
      </c>
      <c r="G24" s="56">
        <v>41.74</v>
      </c>
      <c r="H24" s="56">
        <v>14.05</v>
      </c>
      <c r="I24" s="56">
        <v>6.24</v>
      </c>
      <c r="J24" s="56">
        <v>2.19</v>
      </c>
      <c r="K24" s="56">
        <v>299.51</v>
      </c>
      <c r="L24" s="56">
        <v>40.380000000000003</v>
      </c>
      <c r="M24" s="56">
        <v>36.9</v>
      </c>
      <c r="N24" s="56">
        <v>483.7</v>
      </c>
      <c r="O24" s="56">
        <v>0</v>
      </c>
      <c r="P24" s="56">
        <v>0.54</v>
      </c>
      <c r="Q24" s="56">
        <v>3.92</v>
      </c>
    </row>
    <row r="25" spans="1:17" customFormat="1">
      <c r="A25" s="55">
        <v>45458.708333333336</v>
      </c>
      <c r="B25" s="56">
        <v>9.42</v>
      </c>
      <c r="C25" s="56">
        <v>4.0999999999999996</v>
      </c>
      <c r="D25" s="56">
        <v>14.14</v>
      </c>
      <c r="E25" s="56">
        <v>12.93</v>
      </c>
      <c r="F25" s="56">
        <v>16.62</v>
      </c>
      <c r="G25" s="56">
        <v>49.94</v>
      </c>
      <c r="H25" s="56">
        <v>15.36</v>
      </c>
      <c r="I25" s="56">
        <v>6.35</v>
      </c>
      <c r="J25" s="56">
        <v>2.21</v>
      </c>
      <c r="K25" s="56">
        <v>312.5</v>
      </c>
      <c r="L25" s="56">
        <v>37.57</v>
      </c>
      <c r="M25" s="56">
        <v>38.64</v>
      </c>
      <c r="N25" s="56">
        <v>214.7</v>
      </c>
      <c r="O25" s="56">
        <v>0</v>
      </c>
      <c r="P25" s="56">
        <v>0.53</v>
      </c>
      <c r="Q25" s="56">
        <v>3.98</v>
      </c>
    </row>
    <row r="26" spans="1:17" customFormat="1">
      <c r="A26" s="55">
        <v>45458.75</v>
      </c>
      <c r="B26" s="56">
        <v>9.4</v>
      </c>
      <c r="C26" s="56">
        <v>4.08</v>
      </c>
      <c r="D26" s="56">
        <v>14.12</v>
      </c>
      <c r="E26" s="56">
        <v>23.81</v>
      </c>
      <c r="F26" s="56">
        <v>28.38</v>
      </c>
      <c r="G26" s="56">
        <v>53.25</v>
      </c>
      <c r="H26" s="56">
        <v>15.75</v>
      </c>
      <c r="I26" s="56">
        <v>5.58</v>
      </c>
      <c r="J26" s="56">
        <v>1.42</v>
      </c>
      <c r="K26" s="56">
        <v>354.89</v>
      </c>
      <c r="L26" s="56">
        <v>36.909999999999997</v>
      </c>
      <c r="M26" s="56">
        <v>40</v>
      </c>
      <c r="N26" s="56">
        <v>96</v>
      </c>
      <c r="O26" s="56">
        <v>0</v>
      </c>
      <c r="P26" s="56">
        <v>0.53</v>
      </c>
      <c r="Q26" s="56">
        <v>3.97</v>
      </c>
    </row>
    <row r="27" spans="1:17" customFormat="1">
      <c r="A27" s="55">
        <v>45458.791666666664</v>
      </c>
      <c r="B27" s="56">
        <v>9.33</v>
      </c>
      <c r="C27" s="56">
        <v>4.0999999999999996</v>
      </c>
      <c r="D27" s="56">
        <v>14.07</v>
      </c>
      <c r="E27" s="56">
        <v>21.83</v>
      </c>
      <c r="F27" s="56">
        <v>21.72</v>
      </c>
      <c r="G27" s="56">
        <v>56.55</v>
      </c>
      <c r="H27" s="56">
        <v>16.38</v>
      </c>
      <c r="I27" s="56">
        <v>5.89</v>
      </c>
      <c r="J27" s="56">
        <v>0.66</v>
      </c>
      <c r="K27" s="56">
        <v>349.77</v>
      </c>
      <c r="L27" s="56">
        <v>35.06</v>
      </c>
      <c r="M27" s="56">
        <v>42.66</v>
      </c>
      <c r="N27" s="56">
        <v>16.5</v>
      </c>
      <c r="O27" s="56">
        <v>0</v>
      </c>
      <c r="P27" s="56">
        <v>0.7</v>
      </c>
      <c r="Q27" s="56">
        <v>3.98</v>
      </c>
    </row>
    <row r="28" spans="1:17" customFormat="1">
      <c r="A28" s="55">
        <v>45458.833333333336</v>
      </c>
      <c r="B28" s="56">
        <v>9.32</v>
      </c>
      <c r="C28" s="56">
        <v>4.1100000000000003</v>
      </c>
      <c r="D28" s="56">
        <v>14.06</v>
      </c>
      <c r="E28" s="56">
        <v>34.94</v>
      </c>
      <c r="F28" s="56">
        <v>15.22</v>
      </c>
      <c r="G28" s="56">
        <v>68.790000000000006</v>
      </c>
      <c r="H28" s="56">
        <v>18.7</v>
      </c>
      <c r="I28" s="56">
        <v>7.11</v>
      </c>
      <c r="J28" s="56">
        <v>0.71</v>
      </c>
      <c r="K28" s="56">
        <v>320</v>
      </c>
      <c r="L28" s="56">
        <v>34.520000000000003</v>
      </c>
      <c r="M28" s="56">
        <v>45.98</v>
      </c>
      <c r="N28" s="56">
        <v>1.7</v>
      </c>
      <c r="O28" s="56">
        <v>0</v>
      </c>
      <c r="P28" s="56">
        <v>0.72</v>
      </c>
      <c r="Q28" s="56">
        <v>3.99</v>
      </c>
    </row>
    <row r="29" spans="1:17" customFormat="1">
      <c r="A29" s="55">
        <v>45458.875</v>
      </c>
      <c r="B29" s="56">
        <v>9.27</v>
      </c>
      <c r="C29" s="56">
        <v>4.0999999999999996</v>
      </c>
      <c r="D29" s="56">
        <v>14.02</v>
      </c>
      <c r="E29" s="56">
        <v>32.64</v>
      </c>
      <c r="F29" s="56">
        <v>20.23</v>
      </c>
      <c r="G29" s="56">
        <v>78.53</v>
      </c>
      <c r="H29" s="56">
        <v>20.7</v>
      </c>
      <c r="I29" s="56">
        <v>7.1</v>
      </c>
      <c r="J29" s="56">
        <v>0.41</v>
      </c>
      <c r="K29" s="56">
        <v>260.98</v>
      </c>
      <c r="L29" s="56">
        <v>34.200000000000003</v>
      </c>
      <c r="M29" s="56">
        <v>48.41</v>
      </c>
      <c r="N29" s="56">
        <v>1.8</v>
      </c>
      <c r="O29" s="56">
        <v>0</v>
      </c>
      <c r="P29" s="56">
        <v>0.69</v>
      </c>
      <c r="Q29" s="56">
        <v>3.98</v>
      </c>
    </row>
    <row r="30" spans="1:17" customFormat="1">
      <c r="A30" s="55">
        <v>45458.916666666664</v>
      </c>
      <c r="B30" s="56">
        <v>9.32</v>
      </c>
      <c r="C30" s="56">
        <v>4.08</v>
      </c>
      <c r="D30" s="56">
        <v>14.05</v>
      </c>
      <c r="E30" s="56">
        <v>16.41</v>
      </c>
      <c r="F30" s="56">
        <v>25.02</v>
      </c>
      <c r="G30" s="56">
        <v>74.239999999999995</v>
      </c>
      <c r="H30" s="56">
        <v>20.22</v>
      </c>
      <c r="I30" s="56">
        <v>6.42</v>
      </c>
      <c r="J30" s="56">
        <v>0.46</v>
      </c>
      <c r="K30" s="56">
        <v>254.37</v>
      </c>
      <c r="L30" s="56">
        <v>33.520000000000003</v>
      </c>
      <c r="M30" s="56">
        <v>51.06</v>
      </c>
      <c r="N30" s="56">
        <v>1.7</v>
      </c>
      <c r="O30" s="56">
        <v>0</v>
      </c>
      <c r="P30" s="56">
        <v>0.63</v>
      </c>
      <c r="Q30" s="56">
        <v>3.96</v>
      </c>
    </row>
    <row r="31" spans="1:17" customFormat="1">
      <c r="A31" s="55">
        <v>45458.958333333336</v>
      </c>
      <c r="B31" s="56">
        <v>9.33</v>
      </c>
      <c r="C31" s="56">
        <v>4.0999999999999996</v>
      </c>
      <c r="D31" s="56">
        <v>14.06</v>
      </c>
      <c r="E31" s="56">
        <v>14.38</v>
      </c>
      <c r="F31" s="56">
        <v>25.93</v>
      </c>
      <c r="G31" s="56">
        <v>61.55</v>
      </c>
      <c r="H31" s="56">
        <v>21.22</v>
      </c>
      <c r="I31" s="56">
        <v>6.45</v>
      </c>
      <c r="J31" s="56">
        <v>0.69</v>
      </c>
      <c r="K31" s="56">
        <v>265.66000000000003</v>
      </c>
      <c r="L31" s="56">
        <v>33.159999999999997</v>
      </c>
      <c r="M31" s="56">
        <v>52.27</v>
      </c>
      <c r="N31" s="56">
        <v>2</v>
      </c>
      <c r="O31" s="56">
        <v>0</v>
      </c>
      <c r="P31" s="56">
        <v>0.59</v>
      </c>
      <c r="Q31" s="56">
        <v>3.96</v>
      </c>
    </row>
    <row r="32" spans="1:17" customFormat="1">
      <c r="A32" s="55">
        <v>45459</v>
      </c>
      <c r="B32" s="56">
        <v>9.34</v>
      </c>
      <c r="C32" s="56">
        <v>4.1100000000000003</v>
      </c>
      <c r="D32" s="56">
        <v>14.07</v>
      </c>
      <c r="E32" s="56">
        <v>10.06</v>
      </c>
      <c r="F32" s="56">
        <v>37.17</v>
      </c>
      <c r="G32" s="56">
        <v>57.79</v>
      </c>
      <c r="H32" s="56">
        <v>17.350000000000001</v>
      </c>
      <c r="I32" s="56">
        <v>5.8</v>
      </c>
      <c r="J32" s="56">
        <v>0.84</v>
      </c>
      <c r="K32" s="56">
        <v>264.3</v>
      </c>
      <c r="L32" s="56">
        <v>32.950000000000003</v>
      </c>
      <c r="M32" s="56">
        <v>51.12</v>
      </c>
      <c r="N32" s="56">
        <v>2</v>
      </c>
      <c r="O32" s="56">
        <v>0</v>
      </c>
      <c r="P32" s="56">
        <v>0.49</v>
      </c>
      <c r="Q32" s="56">
        <v>3.95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9.27</v>
      </c>
      <c r="C34" s="41">
        <f t="shared" si="0"/>
        <v>4.07</v>
      </c>
      <c r="D34" s="41">
        <f t="shared" si="0"/>
        <v>14.02</v>
      </c>
      <c r="E34" s="41">
        <f t="shared" si="0"/>
        <v>7.84</v>
      </c>
      <c r="F34" s="41">
        <f t="shared" si="0"/>
        <v>9.3800000000000008</v>
      </c>
      <c r="G34" s="41">
        <f t="shared" si="0"/>
        <v>20.59</v>
      </c>
      <c r="H34" s="41">
        <f t="shared" si="0"/>
        <v>7.8</v>
      </c>
      <c r="I34" s="41">
        <f t="shared" si="0"/>
        <v>3.87</v>
      </c>
      <c r="J34" s="41">
        <f t="shared" si="0"/>
        <v>0.4</v>
      </c>
      <c r="K34" s="41">
        <f t="shared" si="0"/>
        <v>248.23</v>
      </c>
      <c r="L34" s="41">
        <f t="shared" si="0"/>
        <v>28.28</v>
      </c>
      <c r="M34" s="41">
        <f t="shared" si="0"/>
        <v>35.520000000000003</v>
      </c>
      <c r="N34" s="41">
        <f t="shared" si="0"/>
        <v>1.7</v>
      </c>
      <c r="O34" s="41">
        <f t="shared" si="0"/>
        <v>0</v>
      </c>
      <c r="P34" s="41">
        <f t="shared" si="0"/>
        <v>0.24</v>
      </c>
      <c r="Q34" s="41">
        <f t="shared" si="0"/>
        <v>3.92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9.42</v>
      </c>
      <c r="C35" s="33">
        <f t="shared" si="1"/>
        <v>4.12</v>
      </c>
      <c r="D35" s="33">
        <f t="shared" si="1"/>
        <v>14.14</v>
      </c>
      <c r="E35" s="33">
        <f t="shared" si="1"/>
        <v>34.94</v>
      </c>
      <c r="F35" s="33">
        <f t="shared" si="1"/>
        <v>41.5</v>
      </c>
      <c r="G35" s="33">
        <f t="shared" si="1"/>
        <v>78.53</v>
      </c>
      <c r="H35" s="33">
        <f t="shared" si="1"/>
        <v>21.22</v>
      </c>
      <c r="I35" s="33">
        <f t="shared" si="1"/>
        <v>8.9</v>
      </c>
      <c r="J35" s="33">
        <f t="shared" si="1"/>
        <v>2.21</v>
      </c>
      <c r="K35" s="33">
        <f t="shared" si="1"/>
        <v>354.89</v>
      </c>
      <c r="L35" s="33">
        <f t="shared" si="1"/>
        <v>40.619999999999997</v>
      </c>
      <c r="M35" s="33">
        <f t="shared" si="1"/>
        <v>67.010000000000005</v>
      </c>
      <c r="N35" s="33">
        <f t="shared" si="1"/>
        <v>743.8</v>
      </c>
      <c r="O35" s="33">
        <f t="shared" si="1"/>
        <v>0</v>
      </c>
      <c r="P35" s="33">
        <f t="shared" si="1"/>
        <v>0.72</v>
      </c>
      <c r="Q35" s="33">
        <f t="shared" si="1"/>
        <v>4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9.33</v>
      </c>
      <c r="C36" s="41">
        <f t="shared" si="2"/>
        <v>4.0937499999999991</v>
      </c>
      <c r="D36" s="41">
        <f t="shared" si="2"/>
        <v>14.062916666666666</v>
      </c>
      <c r="E36" s="41">
        <f t="shared" si="2"/>
        <v>15.204583333333334</v>
      </c>
      <c r="F36" s="41">
        <f t="shared" si="2"/>
        <v>22.709166666666672</v>
      </c>
      <c r="G36" s="41">
        <f t="shared" si="2"/>
        <v>43.518333333333324</v>
      </c>
      <c r="H36" s="41">
        <f t="shared" si="2"/>
        <v>14.165416666666667</v>
      </c>
      <c r="I36" s="41">
        <f t="shared" si="2"/>
        <v>6.126666666666666</v>
      </c>
      <c r="J36" s="41">
        <f t="shared" si="2"/>
        <v>0.98416666666666686</v>
      </c>
      <c r="K36" s="41">
        <f t="shared" si="2"/>
        <v>281.23374999999993</v>
      </c>
      <c r="L36" s="41">
        <f t="shared" si="2"/>
        <v>33.889166666666668</v>
      </c>
      <c r="M36" s="41">
        <f t="shared" si="2"/>
        <v>50.666666666666657</v>
      </c>
      <c r="N36" s="41">
        <f t="shared" si="2"/>
        <v>191.67083333333332</v>
      </c>
      <c r="O36" s="41">
        <f t="shared" si="2"/>
        <v>0</v>
      </c>
      <c r="P36" s="41">
        <f t="shared" si="2"/>
        <v>0.52291666666666659</v>
      </c>
      <c r="Q36" s="41">
        <f t="shared" si="2"/>
        <v>3.9712499999999995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3.73001923296125E-2</v>
      </c>
      <c r="C37" s="41">
        <f t="shared" ref="C37:Q37" si="3">STDEV(C9:C32)</f>
        <v>1.3452816094393192E-2</v>
      </c>
      <c r="D37" s="41">
        <f t="shared" si="3"/>
        <v>2.8814121940264083E-2</v>
      </c>
      <c r="E37" s="41">
        <f t="shared" si="3"/>
        <v>7.3129313572760841</v>
      </c>
      <c r="F37" s="41">
        <f t="shared" si="3"/>
        <v>9.3882363564227429</v>
      </c>
      <c r="G37" s="41">
        <f t="shared" si="3"/>
        <v>16.818628043790088</v>
      </c>
      <c r="H37" s="41">
        <f t="shared" si="3"/>
        <v>4.1903231992881809</v>
      </c>
      <c r="I37" s="41">
        <f t="shared" si="3"/>
        <v>1.4893058396642276</v>
      </c>
      <c r="J37" s="41">
        <f t="shared" si="3"/>
        <v>0.47607924684380215</v>
      </c>
      <c r="K37" s="41">
        <f t="shared" si="3"/>
        <v>28.315605286086193</v>
      </c>
      <c r="L37" s="41">
        <f t="shared" si="3"/>
        <v>4.1027137537156362</v>
      </c>
      <c r="M37" s="41">
        <f t="shared" si="3"/>
        <v>10.528743955257113</v>
      </c>
      <c r="N37" s="41">
        <f t="shared" si="3"/>
        <v>246.60432923871267</v>
      </c>
      <c r="O37" s="41">
        <f t="shared" si="3"/>
        <v>0</v>
      </c>
      <c r="P37" s="41">
        <f t="shared" si="3"/>
        <v>0.1541168152851051</v>
      </c>
      <c r="Q37" s="41">
        <f t="shared" si="3"/>
        <v>2.2128576841800734E-2</v>
      </c>
      <c r="R37" s="41"/>
      <c r="S37" s="41"/>
      <c r="T37" s="41"/>
      <c r="U37" s="41"/>
    </row>
    <row r="38" spans="1:21" s="1" customFormat="1">
      <c r="A38" s="48" t="s">
        <v>52</v>
      </c>
      <c r="B38" s="49">
        <f t="shared" ref="B38:Q38" si="4">COUNT(B9:B32)</f>
        <v>24</v>
      </c>
      <c r="C38" s="49">
        <f t="shared" si="4"/>
        <v>24</v>
      </c>
      <c r="D38" s="49">
        <f t="shared" si="4"/>
        <v>24</v>
      </c>
      <c r="E38" s="49">
        <f t="shared" si="4"/>
        <v>24</v>
      </c>
      <c r="F38" s="49">
        <f t="shared" si="4"/>
        <v>24</v>
      </c>
      <c r="G38" s="49">
        <f t="shared" si="4"/>
        <v>24</v>
      </c>
      <c r="H38" s="49">
        <f t="shared" si="4"/>
        <v>24</v>
      </c>
      <c r="I38" s="49">
        <f t="shared" si="4"/>
        <v>24</v>
      </c>
      <c r="J38" s="49">
        <f t="shared" si="4"/>
        <v>24</v>
      </c>
      <c r="K38" s="49">
        <f t="shared" si="4"/>
        <v>24</v>
      </c>
      <c r="L38" s="49">
        <f t="shared" si="4"/>
        <v>24</v>
      </c>
      <c r="M38" s="49">
        <f t="shared" si="4"/>
        <v>24</v>
      </c>
      <c r="N38" s="49">
        <f t="shared" si="4"/>
        <v>24</v>
      </c>
      <c r="O38" s="49">
        <f t="shared" si="4"/>
        <v>24</v>
      </c>
      <c r="P38" s="49">
        <f t="shared" si="4"/>
        <v>24</v>
      </c>
      <c r="Q38" s="49">
        <f t="shared" si="4"/>
        <v>24</v>
      </c>
      <c r="R38" s="49"/>
      <c r="S38" s="49"/>
      <c r="T38" s="49"/>
      <c r="U38" s="49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52"/>
      <c r="O41" s="52"/>
      <c r="P41" s="52"/>
      <c r="Q41" s="52"/>
      <c r="R41" s="52"/>
      <c r="S41" s="52"/>
      <c r="T41" s="52"/>
      <c r="U41" s="52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50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9" activePane="bottomRight" state="frozen"/>
      <selection activeCell="A9" sqref="A9"/>
      <selection pane="topRight" activeCell="A9" sqref="A9"/>
      <selection pane="bottomLeft" activeCell="A9" sqref="A9"/>
      <selection pane="bottomRight" activeCell="Q32" sqref="Q9:Q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45459.041666666664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5">
        <v>45459.041666666664</v>
      </c>
      <c r="B9" s="56">
        <v>9.19</v>
      </c>
      <c r="C9" s="56">
        <v>4.13</v>
      </c>
      <c r="D9" s="56">
        <v>13.97</v>
      </c>
      <c r="E9" s="56">
        <v>9.92</v>
      </c>
      <c r="F9" s="56">
        <v>41.71</v>
      </c>
      <c r="G9" s="56">
        <v>47.23</v>
      </c>
      <c r="H9" s="56">
        <v>15.34</v>
      </c>
      <c r="I9" s="56">
        <v>5.0599999999999996</v>
      </c>
      <c r="J9" s="56">
        <v>0.44</v>
      </c>
      <c r="K9" s="56">
        <v>271.88</v>
      </c>
      <c r="L9" s="56">
        <v>32.78</v>
      </c>
      <c r="M9" s="56">
        <v>53.56</v>
      </c>
      <c r="N9" s="56">
        <v>1.9</v>
      </c>
      <c r="O9" s="56">
        <v>0</v>
      </c>
      <c r="P9" s="56">
        <v>0.37</v>
      </c>
      <c r="Q9" s="56">
        <v>3.97</v>
      </c>
    </row>
    <row r="10" spans="1:21" customFormat="1">
      <c r="A10" s="55">
        <v>45459.083333333336</v>
      </c>
      <c r="B10" s="56">
        <v>9.18</v>
      </c>
      <c r="C10" s="56">
        <v>4.1100000000000003</v>
      </c>
      <c r="D10" s="56">
        <v>13.94</v>
      </c>
      <c r="E10" s="56">
        <v>10.64</v>
      </c>
      <c r="F10" s="56">
        <v>41.1</v>
      </c>
      <c r="G10" s="56">
        <v>43.98</v>
      </c>
      <c r="H10" s="56">
        <v>16.170000000000002</v>
      </c>
      <c r="I10" s="56">
        <v>4.1500000000000004</v>
      </c>
      <c r="J10" s="56">
        <v>0.59</v>
      </c>
      <c r="K10" s="56">
        <v>284.39999999999998</v>
      </c>
      <c r="L10" s="56">
        <v>32.97</v>
      </c>
      <c r="M10" s="56">
        <v>53.64</v>
      </c>
      <c r="N10" s="56">
        <v>1.7</v>
      </c>
      <c r="O10" s="56">
        <v>0</v>
      </c>
      <c r="P10" s="56">
        <v>0.39</v>
      </c>
      <c r="Q10" s="56">
        <v>3.97</v>
      </c>
    </row>
    <row r="11" spans="1:21" customFormat="1">
      <c r="A11" s="55">
        <v>45459.125</v>
      </c>
      <c r="B11" s="56">
        <v>9.15</v>
      </c>
      <c r="C11" s="56">
        <v>4.13</v>
      </c>
      <c r="D11" s="56">
        <v>13.93</v>
      </c>
      <c r="E11" s="56">
        <v>10.19</v>
      </c>
      <c r="F11" s="56">
        <v>21.36</v>
      </c>
      <c r="G11" s="56">
        <v>42.29</v>
      </c>
      <c r="H11" s="56">
        <v>16.78</v>
      </c>
      <c r="I11" s="56">
        <v>4.3</v>
      </c>
      <c r="J11" s="56">
        <v>0.27</v>
      </c>
      <c r="K11" s="56">
        <v>187.78</v>
      </c>
      <c r="L11" s="56">
        <v>32.590000000000003</v>
      </c>
      <c r="M11" s="56">
        <v>57.83</v>
      </c>
      <c r="N11" s="56">
        <v>2.1</v>
      </c>
      <c r="O11" s="56">
        <v>0</v>
      </c>
      <c r="P11" s="56">
        <v>0.4</v>
      </c>
      <c r="Q11" s="56">
        <v>3.95</v>
      </c>
    </row>
    <row r="12" spans="1:21" customFormat="1">
      <c r="A12" s="55">
        <v>45459.166666666664</v>
      </c>
      <c r="B12" s="56">
        <v>9.15</v>
      </c>
      <c r="C12" s="56">
        <v>4.0999999999999996</v>
      </c>
      <c r="D12" s="56">
        <v>13.93</v>
      </c>
      <c r="E12" s="56">
        <v>12.68</v>
      </c>
      <c r="F12" s="56">
        <v>12.65</v>
      </c>
      <c r="G12" s="56">
        <v>40.869999999999997</v>
      </c>
      <c r="H12" s="56">
        <v>15.67</v>
      </c>
      <c r="I12" s="56">
        <v>5.64</v>
      </c>
      <c r="J12" s="56">
        <v>0.76</v>
      </c>
      <c r="K12" s="56">
        <v>134.5</v>
      </c>
      <c r="L12" s="56">
        <v>32.020000000000003</v>
      </c>
      <c r="M12" s="56">
        <v>58.2</v>
      </c>
      <c r="N12" s="56">
        <v>2.1</v>
      </c>
      <c r="O12" s="56">
        <v>0</v>
      </c>
      <c r="P12" s="56">
        <v>0.51</v>
      </c>
      <c r="Q12" s="56">
        <v>3.95</v>
      </c>
    </row>
    <row r="13" spans="1:21" customFormat="1">
      <c r="A13" s="55">
        <v>45459.208333333336</v>
      </c>
      <c r="B13" s="56">
        <v>9.15</v>
      </c>
      <c r="C13" s="56">
        <v>4.0999999999999996</v>
      </c>
      <c r="D13" s="56">
        <v>13.92</v>
      </c>
      <c r="E13" s="56">
        <v>12.21</v>
      </c>
      <c r="F13" s="56">
        <v>6.82</v>
      </c>
      <c r="G13" s="56">
        <v>43.72</v>
      </c>
      <c r="H13" s="56">
        <v>17.32</v>
      </c>
      <c r="I13" s="56">
        <v>5.79</v>
      </c>
      <c r="J13" s="56">
        <v>0.17</v>
      </c>
      <c r="K13" s="56">
        <v>189.01</v>
      </c>
      <c r="L13" s="56">
        <v>31.48</v>
      </c>
      <c r="M13" s="56">
        <v>62.16</v>
      </c>
      <c r="N13" s="56">
        <v>2.1</v>
      </c>
      <c r="O13" s="56">
        <v>0</v>
      </c>
      <c r="P13" s="56">
        <v>0.51</v>
      </c>
      <c r="Q13" s="56">
        <v>3.97</v>
      </c>
    </row>
    <row r="14" spans="1:21" customFormat="1">
      <c r="A14" s="55">
        <v>45459.25</v>
      </c>
      <c r="B14" s="56">
        <v>9.14</v>
      </c>
      <c r="C14" s="56">
        <v>4.08</v>
      </c>
      <c r="D14" s="56">
        <v>13.91</v>
      </c>
      <c r="E14" s="56">
        <v>11.33</v>
      </c>
      <c r="F14" s="56">
        <v>9.5299999999999994</v>
      </c>
      <c r="G14" s="56">
        <v>46.19</v>
      </c>
      <c r="H14" s="56">
        <v>17.77</v>
      </c>
      <c r="I14" s="56">
        <v>5.77</v>
      </c>
      <c r="J14" s="56">
        <v>0.95</v>
      </c>
      <c r="K14" s="56">
        <v>163.71</v>
      </c>
      <c r="L14" s="56">
        <v>31.32</v>
      </c>
      <c r="M14" s="56">
        <v>63.12</v>
      </c>
      <c r="N14" s="56">
        <v>11.8</v>
      </c>
      <c r="O14" s="56">
        <v>0</v>
      </c>
      <c r="P14" s="56">
        <v>0.49</v>
      </c>
      <c r="Q14" s="56">
        <v>3.97</v>
      </c>
    </row>
    <row r="15" spans="1:21" customFormat="1">
      <c r="A15" s="55">
        <v>45459.291666666664</v>
      </c>
      <c r="B15" s="56">
        <v>9.15</v>
      </c>
      <c r="C15" s="56">
        <v>4.07</v>
      </c>
      <c r="D15" s="56">
        <v>13.9</v>
      </c>
      <c r="E15" s="56">
        <v>9.91</v>
      </c>
      <c r="F15" s="56">
        <v>8.49</v>
      </c>
      <c r="G15" s="56">
        <v>48.37</v>
      </c>
      <c r="H15" s="56">
        <v>17.27</v>
      </c>
      <c r="I15" s="56">
        <v>5.91</v>
      </c>
      <c r="J15" s="56">
        <v>0.72</v>
      </c>
      <c r="K15" s="56">
        <v>110.58</v>
      </c>
      <c r="L15" s="56">
        <v>30.9</v>
      </c>
      <c r="M15" s="56">
        <v>72.14</v>
      </c>
      <c r="N15" s="56">
        <v>22.9</v>
      </c>
      <c r="O15" s="56">
        <v>0</v>
      </c>
      <c r="P15" s="56">
        <v>0.48</v>
      </c>
      <c r="Q15" s="56">
        <v>3.98</v>
      </c>
    </row>
    <row r="16" spans="1:21" customFormat="1">
      <c r="A16" s="55">
        <v>45459.333333333336</v>
      </c>
      <c r="B16" s="56">
        <v>9.17</v>
      </c>
      <c r="C16" s="56">
        <v>4.07</v>
      </c>
      <c r="D16" s="56">
        <v>13.92</v>
      </c>
      <c r="E16" s="56">
        <v>8.52</v>
      </c>
      <c r="F16" s="56">
        <v>26.42</v>
      </c>
      <c r="G16" s="56">
        <v>45.62</v>
      </c>
      <c r="H16" s="56">
        <v>16.55</v>
      </c>
      <c r="I16" s="56">
        <v>5.49</v>
      </c>
      <c r="J16" s="56">
        <v>0.33</v>
      </c>
      <c r="K16" s="56">
        <v>125.83</v>
      </c>
      <c r="L16" s="56">
        <v>29.65</v>
      </c>
      <c r="M16" s="56">
        <v>72.3</v>
      </c>
      <c r="N16" s="56">
        <v>85.2</v>
      </c>
      <c r="O16" s="56">
        <v>0</v>
      </c>
      <c r="P16" s="56">
        <v>0.41</v>
      </c>
      <c r="Q16" s="56">
        <v>3.97</v>
      </c>
    </row>
    <row r="17" spans="1:17" customFormat="1">
      <c r="A17" s="55">
        <v>45459.375</v>
      </c>
      <c r="B17" s="56">
        <v>9.1999999999999993</v>
      </c>
      <c r="C17" s="56">
        <v>4.0599999999999996</v>
      </c>
      <c r="D17" s="56">
        <v>13.95</v>
      </c>
      <c r="E17" s="56">
        <v>8.5399999999999991</v>
      </c>
      <c r="F17" s="56">
        <v>29.16</v>
      </c>
      <c r="G17" s="56">
        <v>40.99</v>
      </c>
      <c r="H17" s="56">
        <v>13.96</v>
      </c>
      <c r="I17" s="56">
        <v>4.57</v>
      </c>
      <c r="J17" s="56">
        <v>0.49</v>
      </c>
      <c r="K17" s="56">
        <v>133.77000000000001</v>
      </c>
      <c r="L17" s="56">
        <v>31.83</v>
      </c>
      <c r="M17" s="56">
        <v>69.59</v>
      </c>
      <c r="N17" s="56">
        <v>213.7</v>
      </c>
      <c r="O17" s="56">
        <v>0</v>
      </c>
      <c r="P17" s="56">
        <v>0.34</v>
      </c>
      <c r="Q17" s="56">
        <v>4.01</v>
      </c>
    </row>
    <row r="18" spans="1:17" customFormat="1">
      <c r="A18" s="55">
        <v>45459.416666666664</v>
      </c>
      <c r="B18" s="56">
        <v>9.19</v>
      </c>
      <c r="C18" s="56">
        <v>4.08</v>
      </c>
      <c r="D18" s="56">
        <v>13.94</v>
      </c>
      <c r="E18" s="56">
        <v>8.83</v>
      </c>
      <c r="F18" s="56">
        <v>38.28</v>
      </c>
      <c r="G18" s="56">
        <v>40.82</v>
      </c>
      <c r="H18" s="56">
        <v>11</v>
      </c>
      <c r="I18" s="56">
        <v>4.5199999999999996</v>
      </c>
      <c r="J18" s="56">
        <v>0.78</v>
      </c>
      <c r="K18" s="56">
        <v>82.95</v>
      </c>
      <c r="L18" s="56">
        <v>33.340000000000003</v>
      </c>
      <c r="M18" s="56">
        <v>61.36</v>
      </c>
      <c r="N18" s="56">
        <v>298.5</v>
      </c>
      <c r="O18" s="56">
        <v>0</v>
      </c>
      <c r="P18" s="56">
        <v>0.33</v>
      </c>
      <c r="Q18" s="56">
        <v>4.01</v>
      </c>
    </row>
    <row r="19" spans="1:17" customFormat="1">
      <c r="A19" s="55">
        <v>45459.458333333336</v>
      </c>
      <c r="B19" s="56">
        <v>9.16</v>
      </c>
      <c r="C19" s="56">
        <v>4.1100000000000003</v>
      </c>
      <c r="D19" s="56">
        <v>13.93</v>
      </c>
      <c r="E19" s="56">
        <v>9.7899999999999991</v>
      </c>
      <c r="F19" s="56">
        <v>43.63</v>
      </c>
      <c r="G19" s="56">
        <v>33.29</v>
      </c>
      <c r="H19" s="56">
        <v>12.42</v>
      </c>
      <c r="I19" s="56">
        <v>4.16</v>
      </c>
      <c r="J19" s="56">
        <v>0.81</v>
      </c>
      <c r="K19" s="56">
        <v>335.64</v>
      </c>
      <c r="L19" s="56">
        <v>34.17</v>
      </c>
      <c r="M19" s="56">
        <v>55.37</v>
      </c>
      <c r="N19" s="56">
        <v>340</v>
      </c>
      <c r="O19" s="56">
        <v>0</v>
      </c>
      <c r="P19" s="56">
        <v>0.36</v>
      </c>
      <c r="Q19" s="56">
        <v>3.97</v>
      </c>
    </row>
    <row r="20" spans="1:17" customFormat="1">
      <c r="A20" s="55">
        <v>45459.5</v>
      </c>
      <c r="B20" s="56">
        <v>9.15</v>
      </c>
      <c r="C20" s="56">
        <v>4.08</v>
      </c>
      <c r="D20" s="56">
        <v>13.92</v>
      </c>
      <c r="E20" s="56">
        <v>17.899999999999999</v>
      </c>
      <c r="F20" s="56">
        <v>30.16</v>
      </c>
      <c r="G20" s="56">
        <v>35.770000000000003</v>
      </c>
      <c r="H20" s="56">
        <v>13.52</v>
      </c>
      <c r="I20" s="56">
        <v>4.67</v>
      </c>
      <c r="J20" s="56">
        <v>0.95</v>
      </c>
      <c r="K20" s="56">
        <v>312.27</v>
      </c>
      <c r="L20" s="56">
        <v>35.26</v>
      </c>
      <c r="M20" s="56">
        <v>51.79</v>
      </c>
      <c r="N20" s="56">
        <v>410.1</v>
      </c>
      <c r="O20" s="56">
        <v>0</v>
      </c>
      <c r="P20" s="56">
        <v>0.45</v>
      </c>
      <c r="Q20" s="56">
        <v>3.98</v>
      </c>
    </row>
    <row r="21" spans="1:17" customFormat="1">
      <c r="A21" s="55">
        <v>45459.541666666664</v>
      </c>
      <c r="B21" s="56">
        <v>9.1</v>
      </c>
      <c r="C21" s="56">
        <v>4.07</v>
      </c>
      <c r="D21" s="56">
        <v>13.87</v>
      </c>
      <c r="E21" s="56">
        <v>27.97</v>
      </c>
      <c r="F21" s="56">
        <v>41.11</v>
      </c>
      <c r="G21" s="56">
        <v>50.28</v>
      </c>
      <c r="H21" s="56">
        <v>18.47</v>
      </c>
      <c r="I21" s="56">
        <v>5.19</v>
      </c>
      <c r="J21" s="56">
        <v>0.84</v>
      </c>
      <c r="K21" s="56">
        <v>314.83999999999997</v>
      </c>
      <c r="L21" s="56">
        <v>36.35</v>
      </c>
      <c r="M21" s="56">
        <v>49.7</v>
      </c>
      <c r="N21" s="56">
        <v>535.1</v>
      </c>
      <c r="O21" s="56">
        <v>0</v>
      </c>
      <c r="P21" s="56">
        <v>0.51</v>
      </c>
      <c r="Q21" s="56">
        <v>3.97</v>
      </c>
    </row>
    <row r="22" spans="1:17" customFormat="1">
      <c r="A22" s="55">
        <v>45459.583333333336</v>
      </c>
      <c r="B22" s="56">
        <v>9.1300000000000008</v>
      </c>
      <c r="C22" s="56">
        <v>4.08</v>
      </c>
      <c r="D22" s="56">
        <v>13.89</v>
      </c>
      <c r="E22" s="56">
        <v>24.14</v>
      </c>
      <c r="F22" s="56">
        <v>60.44</v>
      </c>
      <c r="G22" s="56">
        <v>69.010000000000005</v>
      </c>
      <c r="H22" s="56">
        <v>24.5</v>
      </c>
      <c r="I22" s="56">
        <v>5.55</v>
      </c>
      <c r="J22" s="56">
        <v>1.17</v>
      </c>
      <c r="K22" s="56">
        <v>51.78</v>
      </c>
      <c r="L22" s="56">
        <v>37.6</v>
      </c>
      <c r="M22" s="56">
        <v>43.33</v>
      </c>
      <c r="N22" s="56">
        <v>578.20000000000005</v>
      </c>
      <c r="O22" s="56">
        <v>0</v>
      </c>
      <c r="P22" s="56">
        <v>0.54</v>
      </c>
      <c r="Q22" s="56">
        <v>3.98</v>
      </c>
    </row>
    <row r="23" spans="1:17" customFormat="1">
      <c r="A23" s="55">
        <v>45459.625</v>
      </c>
      <c r="B23" s="56">
        <v>9.14</v>
      </c>
      <c r="C23" s="56">
        <v>4.0999999999999996</v>
      </c>
      <c r="D23" s="56">
        <v>13.91</v>
      </c>
      <c r="E23" s="56">
        <v>24.35</v>
      </c>
      <c r="F23" s="56">
        <v>47.57</v>
      </c>
      <c r="G23" s="56">
        <v>74.36</v>
      </c>
      <c r="H23" s="56">
        <v>28.31</v>
      </c>
      <c r="I23" s="56">
        <v>5.46</v>
      </c>
      <c r="J23" s="56">
        <v>1.25</v>
      </c>
      <c r="K23" s="56">
        <v>338.55</v>
      </c>
      <c r="L23" s="56">
        <v>38.31</v>
      </c>
      <c r="M23" s="56">
        <v>40.159999999999997</v>
      </c>
      <c r="N23" s="56">
        <v>722.4</v>
      </c>
      <c r="O23" s="56">
        <v>0</v>
      </c>
      <c r="P23" s="56">
        <v>0.53</v>
      </c>
      <c r="Q23" s="56">
        <v>3.97</v>
      </c>
    </row>
    <row r="24" spans="1:17" customFormat="1">
      <c r="A24" s="55">
        <v>45459.666666666664</v>
      </c>
      <c r="B24" s="56">
        <v>9.16</v>
      </c>
      <c r="C24" s="56">
        <v>4.12</v>
      </c>
      <c r="D24" s="56">
        <v>13.93</v>
      </c>
      <c r="E24" s="56">
        <v>35.450000000000003</v>
      </c>
      <c r="F24" s="56">
        <v>36.39</v>
      </c>
      <c r="G24" s="56">
        <v>77.349999999999994</v>
      </c>
      <c r="H24" s="56">
        <v>30.83</v>
      </c>
      <c r="I24" s="56">
        <v>6.38</v>
      </c>
      <c r="J24" s="56">
        <v>1.18</v>
      </c>
      <c r="K24" s="56">
        <v>347.62</v>
      </c>
      <c r="L24" s="56">
        <v>38.22</v>
      </c>
      <c r="M24" s="56">
        <v>46.45</v>
      </c>
      <c r="N24" s="56">
        <v>441.4</v>
      </c>
      <c r="O24" s="56">
        <v>0</v>
      </c>
      <c r="P24" s="56">
        <v>0.64</v>
      </c>
      <c r="Q24" s="56">
        <v>3.98</v>
      </c>
    </row>
    <row r="25" spans="1:17" customFormat="1">
      <c r="A25" s="55">
        <v>45459.708333333336</v>
      </c>
      <c r="B25" s="56">
        <v>9.2200000000000006</v>
      </c>
      <c r="C25" s="56">
        <v>4.08</v>
      </c>
      <c r="D25" s="56">
        <v>13.97</v>
      </c>
      <c r="E25" s="56">
        <v>53.18</v>
      </c>
      <c r="F25" s="56">
        <v>43.25</v>
      </c>
      <c r="G25" s="56">
        <v>89.17</v>
      </c>
      <c r="H25" s="56">
        <v>33.770000000000003</v>
      </c>
      <c r="I25" s="56">
        <v>6.66</v>
      </c>
      <c r="J25" s="56">
        <v>1.19</v>
      </c>
      <c r="K25" s="56">
        <v>42.3</v>
      </c>
      <c r="L25" s="56">
        <v>35.5</v>
      </c>
      <c r="M25" s="56">
        <v>48.85</v>
      </c>
      <c r="N25" s="56">
        <v>83.1</v>
      </c>
      <c r="O25" s="56">
        <v>0</v>
      </c>
      <c r="P25" s="56">
        <v>0.66</v>
      </c>
      <c r="Q25" s="56">
        <v>3.94</v>
      </c>
    </row>
    <row r="26" spans="1:17" customFormat="1">
      <c r="A26" s="55">
        <v>45459.75</v>
      </c>
      <c r="B26" s="56">
        <v>9.2200000000000006</v>
      </c>
      <c r="C26" s="56">
        <v>4.08</v>
      </c>
      <c r="D26" s="56">
        <v>13.96</v>
      </c>
      <c r="E26" s="56">
        <v>35.229999999999997</v>
      </c>
      <c r="F26" s="56">
        <v>42.45</v>
      </c>
      <c r="G26" s="56">
        <v>95.22</v>
      </c>
      <c r="H26" s="56">
        <v>34.19</v>
      </c>
      <c r="I26" s="56">
        <v>6.29</v>
      </c>
      <c r="J26" s="56">
        <v>1.1499999999999999</v>
      </c>
      <c r="K26" s="56">
        <v>52.92</v>
      </c>
      <c r="L26" s="56">
        <v>34.74</v>
      </c>
      <c r="M26" s="56">
        <v>46.82</v>
      </c>
      <c r="N26" s="56">
        <v>38.700000000000003</v>
      </c>
      <c r="O26" s="56">
        <v>0</v>
      </c>
      <c r="P26" s="56">
        <v>0.68</v>
      </c>
      <c r="Q26" s="56">
        <v>3.94</v>
      </c>
    </row>
    <row r="27" spans="1:17" customFormat="1">
      <c r="A27" s="55">
        <v>45459.791666666664</v>
      </c>
      <c r="B27" s="56">
        <v>9.17</v>
      </c>
      <c r="C27" s="56">
        <v>4.12</v>
      </c>
      <c r="D27" s="56">
        <v>13.95</v>
      </c>
      <c r="E27" s="56">
        <v>79.489999999999995</v>
      </c>
      <c r="F27" s="56">
        <v>30.55</v>
      </c>
      <c r="G27" s="56">
        <v>96.07</v>
      </c>
      <c r="H27" s="56">
        <v>30.71</v>
      </c>
      <c r="I27" s="56">
        <v>7.3</v>
      </c>
      <c r="J27" s="56">
        <v>0.72</v>
      </c>
      <c r="K27" s="56">
        <v>54.83</v>
      </c>
      <c r="L27" s="56">
        <v>34.729999999999997</v>
      </c>
      <c r="M27" s="56">
        <v>49.32</v>
      </c>
      <c r="N27" s="56">
        <v>12</v>
      </c>
      <c r="O27" s="56">
        <v>0</v>
      </c>
      <c r="P27" s="56">
        <v>0.97</v>
      </c>
      <c r="Q27" s="56">
        <v>3.95</v>
      </c>
    </row>
    <row r="28" spans="1:17" customFormat="1">
      <c r="A28" s="55">
        <v>45459.833333333336</v>
      </c>
      <c r="B28" s="56">
        <v>9.17</v>
      </c>
      <c r="C28" s="56">
        <v>4.1100000000000003</v>
      </c>
      <c r="D28" s="56">
        <v>13.95</v>
      </c>
      <c r="E28" s="56">
        <v>73.77</v>
      </c>
      <c r="F28" s="56">
        <v>27.07</v>
      </c>
      <c r="G28" s="56">
        <v>106.75</v>
      </c>
      <c r="H28" s="56">
        <v>35.119999999999997</v>
      </c>
      <c r="I28" s="56">
        <v>8.73</v>
      </c>
      <c r="J28" s="56">
        <v>0.27</v>
      </c>
      <c r="K28" s="56">
        <v>199.23</v>
      </c>
      <c r="L28" s="56">
        <v>34.07</v>
      </c>
      <c r="M28" s="56">
        <v>56.19</v>
      </c>
      <c r="N28" s="56">
        <v>2</v>
      </c>
      <c r="O28" s="56">
        <v>0</v>
      </c>
      <c r="P28" s="56">
        <v>0.81</v>
      </c>
      <c r="Q28" s="56">
        <v>3.98</v>
      </c>
    </row>
    <row r="29" spans="1:17" customFormat="1">
      <c r="A29" s="55">
        <v>45459.875</v>
      </c>
      <c r="B29" s="56">
        <v>9.18</v>
      </c>
      <c r="C29" s="56">
        <v>4.1100000000000003</v>
      </c>
      <c r="D29" s="56">
        <v>13.95</v>
      </c>
      <c r="E29" s="56">
        <v>68.27</v>
      </c>
      <c r="F29" s="56">
        <v>24.87</v>
      </c>
      <c r="G29" s="56">
        <v>108.67</v>
      </c>
      <c r="H29" s="56">
        <v>37.979999999999997</v>
      </c>
      <c r="I29" s="56">
        <v>7.69</v>
      </c>
      <c r="J29" s="56">
        <v>0.19</v>
      </c>
      <c r="K29" s="56">
        <v>189.46</v>
      </c>
      <c r="L29" s="56">
        <v>33.119999999999997</v>
      </c>
      <c r="M29" s="56">
        <v>58.17</v>
      </c>
      <c r="N29" s="56">
        <v>1.9</v>
      </c>
      <c r="O29" s="56">
        <v>0</v>
      </c>
      <c r="P29" s="56">
        <v>0.78</v>
      </c>
      <c r="Q29" s="56">
        <v>3.96</v>
      </c>
    </row>
    <row r="30" spans="1:17" customFormat="1">
      <c r="A30" s="55">
        <v>45459.916666666664</v>
      </c>
      <c r="B30" s="56">
        <v>9.14</v>
      </c>
      <c r="C30" s="56">
        <v>4.12</v>
      </c>
      <c r="D30" s="56">
        <v>13.93</v>
      </c>
      <c r="E30" s="56">
        <v>51.19</v>
      </c>
      <c r="F30" s="56">
        <v>10.59</v>
      </c>
      <c r="G30" s="56">
        <v>107.58</v>
      </c>
      <c r="H30" s="56">
        <v>38.380000000000003</v>
      </c>
      <c r="I30" s="56">
        <v>8</v>
      </c>
      <c r="J30" s="56">
        <v>0.15</v>
      </c>
      <c r="K30" s="56">
        <v>232.18</v>
      </c>
      <c r="L30" s="56">
        <v>32.78</v>
      </c>
      <c r="M30" s="56">
        <v>57.92</v>
      </c>
      <c r="N30" s="56">
        <v>1.9</v>
      </c>
      <c r="O30" s="56">
        <v>0</v>
      </c>
      <c r="P30" s="56">
        <v>0.82</v>
      </c>
      <c r="Q30" s="56">
        <v>3.96</v>
      </c>
    </row>
    <row r="31" spans="1:17" customFormat="1">
      <c r="A31" s="55">
        <v>45459.958333333336</v>
      </c>
      <c r="B31" s="56">
        <v>9.14</v>
      </c>
      <c r="C31" s="56">
        <v>4.12</v>
      </c>
      <c r="D31" s="56">
        <v>13.91</v>
      </c>
      <c r="E31" s="56">
        <v>33.5</v>
      </c>
      <c r="F31" s="56">
        <v>18.850000000000001</v>
      </c>
      <c r="G31" s="56">
        <v>111.6</v>
      </c>
      <c r="H31" s="56">
        <v>37.53</v>
      </c>
      <c r="I31" s="56">
        <v>8.43</v>
      </c>
      <c r="J31" s="56">
        <v>0.22</v>
      </c>
      <c r="K31" s="56">
        <v>232.49</v>
      </c>
      <c r="L31" s="56">
        <v>32.64</v>
      </c>
      <c r="M31" s="56">
        <v>56.99</v>
      </c>
      <c r="N31" s="56">
        <v>1.6</v>
      </c>
      <c r="O31" s="56">
        <v>0</v>
      </c>
      <c r="P31" s="56">
        <v>0.8</v>
      </c>
      <c r="Q31" s="56">
        <v>3.97</v>
      </c>
    </row>
    <row r="32" spans="1:17" customFormat="1">
      <c r="A32" s="55">
        <v>45460</v>
      </c>
      <c r="B32" s="56">
        <v>9.15</v>
      </c>
      <c r="C32" s="56">
        <v>4.0999999999999996</v>
      </c>
      <c r="D32" s="56">
        <v>13.92</v>
      </c>
      <c r="E32" s="56">
        <v>17.47</v>
      </c>
      <c r="F32" s="56">
        <v>17.91</v>
      </c>
      <c r="G32" s="56">
        <v>96.98</v>
      </c>
      <c r="H32" s="56">
        <v>35.119999999999997</v>
      </c>
      <c r="I32" s="56">
        <v>7.34</v>
      </c>
      <c r="J32" s="56">
        <v>0.64</v>
      </c>
      <c r="K32" s="56">
        <v>253.29</v>
      </c>
      <c r="L32" s="56">
        <v>32.64</v>
      </c>
      <c r="M32" s="56">
        <v>55.58</v>
      </c>
      <c r="N32" s="56">
        <v>1.9</v>
      </c>
      <c r="O32" s="56">
        <v>0</v>
      </c>
      <c r="P32" s="56">
        <v>0.68</v>
      </c>
      <c r="Q32" s="56">
        <v>3.97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9.1</v>
      </c>
      <c r="C34" s="41">
        <f t="shared" si="0"/>
        <v>4.0599999999999996</v>
      </c>
      <c r="D34" s="41">
        <f t="shared" si="0"/>
        <v>13.87</v>
      </c>
      <c r="E34" s="41">
        <f t="shared" si="0"/>
        <v>8.52</v>
      </c>
      <c r="F34" s="41">
        <f t="shared" si="0"/>
        <v>6.82</v>
      </c>
      <c r="G34" s="41">
        <f t="shared" si="0"/>
        <v>33.29</v>
      </c>
      <c r="H34" s="41">
        <f t="shared" si="0"/>
        <v>11</v>
      </c>
      <c r="I34" s="41">
        <f t="shared" si="0"/>
        <v>4.1500000000000004</v>
      </c>
      <c r="J34" s="41">
        <f t="shared" si="0"/>
        <v>0.15</v>
      </c>
      <c r="K34" s="41">
        <f t="shared" si="0"/>
        <v>42.3</v>
      </c>
      <c r="L34" s="41">
        <f t="shared" si="0"/>
        <v>29.65</v>
      </c>
      <c r="M34" s="41">
        <f t="shared" si="0"/>
        <v>40.159999999999997</v>
      </c>
      <c r="N34" s="41">
        <f t="shared" si="0"/>
        <v>1.6</v>
      </c>
      <c r="O34" s="41">
        <f t="shared" si="0"/>
        <v>0</v>
      </c>
      <c r="P34" s="41">
        <f t="shared" si="0"/>
        <v>0.33</v>
      </c>
      <c r="Q34" s="41">
        <f t="shared" si="0"/>
        <v>3.94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9.2200000000000006</v>
      </c>
      <c r="C35" s="33">
        <f t="shared" si="1"/>
        <v>4.13</v>
      </c>
      <c r="D35" s="33">
        <f t="shared" si="1"/>
        <v>13.97</v>
      </c>
      <c r="E35" s="33">
        <f t="shared" si="1"/>
        <v>79.489999999999995</v>
      </c>
      <c r="F35" s="33">
        <f t="shared" si="1"/>
        <v>60.44</v>
      </c>
      <c r="G35" s="33">
        <f t="shared" si="1"/>
        <v>111.6</v>
      </c>
      <c r="H35" s="33">
        <f t="shared" si="1"/>
        <v>38.380000000000003</v>
      </c>
      <c r="I35" s="33">
        <f t="shared" si="1"/>
        <v>8.73</v>
      </c>
      <c r="J35" s="33">
        <f t="shared" si="1"/>
        <v>1.25</v>
      </c>
      <c r="K35" s="33">
        <f t="shared" si="1"/>
        <v>347.62</v>
      </c>
      <c r="L35" s="33">
        <f t="shared" si="1"/>
        <v>38.31</v>
      </c>
      <c r="M35" s="33">
        <f t="shared" si="1"/>
        <v>72.3</v>
      </c>
      <c r="N35" s="33">
        <f t="shared" si="1"/>
        <v>722.4</v>
      </c>
      <c r="O35" s="33">
        <f t="shared" si="1"/>
        <v>0</v>
      </c>
      <c r="P35" s="33">
        <f t="shared" si="1"/>
        <v>0.97</v>
      </c>
      <c r="Q35" s="33">
        <f t="shared" si="1"/>
        <v>4.01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9.1624999999999996</v>
      </c>
      <c r="C36" s="41">
        <f t="shared" si="2"/>
        <v>4.097083333333333</v>
      </c>
      <c r="D36" s="41">
        <f t="shared" si="2"/>
        <v>13.929166666666669</v>
      </c>
      <c r="E36" s="41">
        <f t="shared" si="2"/>
        <v>27.269583333333333</v>
      </c>
      <c r="F36" s="41">
        <f t="shared" si="2"/>
        <v>29.59833333333334</v>
      </c>
      <c r="G36" s="41">
        <f t="shared" si="2"/>
        <v>66.340833333333322</v>
      </c>
      <c r="H36" s="41">
        <f t="shared" si="2"/>
        <v>23.694999999999997</v>
      </c>
      <c r="I36" s="41">
        <f t="shared" si="2"/>
        <v>5.9604166666666663</v>
      </c>
      <c r="J36" s="41">
        <f t="shared" si="2"/>
        <v>0.67625000000000002</v>
      </c>
      <c r="K36" s="41">
        <f t="shared" si="2"/>
        <v>193.40875000000003</v>
      </c>
      <c r="L36" s="41">
        <f t="shared" si="2"/>
        <v>33.708750000000002</v>
      </c>
      <c r="M36" s="41">
        <f t="shared" si="2"/>
        <v>55.855833333333344</v>
      </c>
      <c r="N36" s="41">
        <f t="shared" si="2"/>
        <v>158.84583333333333</v>
      </c>
      <c r="O36" s="41">
        <f t="shared" si="2"/>
        <v>0</v>
      </c>
      <c r="P36" s="41">
        <f t="shared" si="2"/>
        <v>0.56083333333333341</v>
      </c>
      <c r="Q36" s="41">
        <f t="shared" si="2"/>
        <v>3.9695833333333321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2.8168746171414138E-2</v>
      </c>
      <c r="C37" s="41">
        <f t="shared" ref="C37:Q37" si="3">STDEV(C9:C32)</f>
        <v>2.1157621027332721E-2</v>
      </c>
      <c r="D37" s="41">
        <f t="shared" si="3"/>
        <v>2.4301845817651976E-2</v>
      </c>
      <c r="E37" s="41">
        <f t="shared" si="3"/>
        <v>22.261098937514227</v>
      </c>
      <c r="F37" s="41">
        <f t="shared" si="3"/>
        <v>14.343004859714606</v>
      </c>
      <c r="G37" s="41">
        <f t="shared" si="3"/>
        <v>27.886004424327698</v>
      </c>
      <c r="H37" s="41">
        <f t="shared" si="3"/>
        <v>9.615458116107046</v>
      </c>
      <c r="I37" s="41">
        <f t="shared" si="3"/>
        <v>1.3602572620061966</v>
      </c>
      <c r="J37" s="41">
        <f t="shared" si="3"/>
        <v>0.36465364746385781</v>
      </c>
      <c r="K37" s="41">
        <f t="shared" si="3"/>
        <v>99.668083431414033</v>
      </c>
      <c r="L37" s="41">
        <f t="shared" si="3"/>
        <v>2.2785642170683156</v>
      </c>
      <c r="M37" s="41">
        <f t="shared" si="3"/>
        <v>8.3340938928291362</v>
      </c>
      <c r="N37" s="41">
        <f t="shared" si="3"/>
        <v>225.23746498763919</v>
      </c>
      <c r="O37" s="41">
        <f t="shared" si="3"/>
        <v>0</v>
      </c>
      <c r="P37" s="41">
        <f t="shared" si="3"/>
        <v>0.17888341276462399</v>
      </c>
      <c r="Q37" s="41">
        <f t="shared" si="3"/>
        <v>1.7315277663950645E-2</v>
      </c>
      <c r="R37" s="41"/>
      <c r="S37" s="41"/>
      <c r="T37" s="41"/>
      <c r="U37" s="41"/>
    </row>
    <row r="38" spans="1:21" s="1" customFormat="1">
      <c r="A38" s="48" t="s">
        <v>52</v>
      </c>
      <c r="B38" s="49">
        <f t="shared" ref="B38:Q38" si="4">COUNT(B9:B32)</f>
        <v>24</v>
      </c>
      <c r="C38" s="49">
        <f t="shared" si="4"/>
        <v>24</v>
      </c>
      <c r="D38" s="49">
        <f t="shared" si="4"/>
        <v>24</v>
      </c>
      <c r="E38" s="49">
        <f t="shared" si="4"/>
        <v>24</v>
      </c>
      <c r="F38" s="49">
        <f t="shared" si="4"/>
        <v>24</v>
      </c>
      <c r="G38" s="49">
        <f t="shared" si="4"/>
        <v>24</v>
      </c>
      <c r="H38" s="49">
        <f t="shared" si="4"/>
        <v>24</v>
      </c>
      <c r="I38" s="49">
        <f t="shared" si="4"/>
        <v>24</v>
      </c>
      <c r="J38" s="49">
        <f t="shared" si="4"/>
        <v>24</v>
      </c>
      <c r="K38" s="49">
        <f t="shared" si="4"/>
        <v>24</v>
      </c>
      <c r="L38" s="49">
        <f t="shared" si="4"/>
        <v>24</v>
      </c>
      <c r="M38" s="49">
        <f t="shared" si="4"/>
        <v>24</v>
      </c>
      <c r="N38" s="49">
        <f t="shared" si="4"/>
        <v>24</v>
      </c>
      <c r="O38" s="49">
        <f t="shared" si="4"/>
        <v>24</v>
      </c>
      <c r="P38" s="49">
        <f t="shared" si="4"/>
        <v>24</v>
      </c>
      <c r="Q38" s="49">
        <f t="shared" si="4"/>
        <v>24</v>
      </c>
      <c r="R38" s="49"/>
      <c r="S38" s="49"/>
      <c r="T38" s="49"/>
      <c r="U38" s="49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52"/>
      <c r="O41" s="52"/>
      <c r="P41" s="52"/>
      <c r="Q41" s="52"/>
      <c r="R41" s="52"/>
      <c r="S41" s="52"/>
      <c r="T41" s="52"/>
      <c r="U41" s="52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50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5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45460.041666666664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5">
        <v>45460.041666666664</v>
      </c>
      <c r="B9" s="56">
        <v>9.1999999999999993</v>
      </c>
      <c r="C9" s="56">
        <v>4.09</v>
      </c>
      <c r="D9" s="56">
        <v>13.97</v>
      </c>
      <c r="E9" s="56">
        <v>11.5</v>
      </c>
      <c r="F9" s="56">
        <v>11.43</v>
      </c>
      <c r="G9" s="56">
        <v>65.95</v>
      </c>
      <c r="H9" s="56">
        <v>28.21</v>
      </c>
      <c r="I9" s="56">
        <v>6.8</v>
      </c>
      <c r="J9" s="56">
        <v>1.23</v>
      </c>
      <c r="K9" s="56">
        <v>267.57</v>
      </c>
      <c r="L9" s="56">
        <v>32.130000000000003</v>
      </c>
      <c r="M9" s="56">
        <v>54.38</v>
      </c>
      <c r="N9" s="56">
        <v>2.1</v>
      </c>
      <c r="O9" s="56">
        <v>0</v>
      </c>
      <c r="P9" s="56">
        <v>0.63</v>
      </c>
      <c r="Q9" s="56">
        <v>3.99</v>
      </c>
    </row>
    <row r="10" spans="1:21" customFormat="1">
      <c r="A10" s="55">
        <v>45460.083333333336</v>
      </c>
      <c r="B10" s="56">
        <v>9.2200000000000006</v>
      </c>
      <c r="C10" s="56">
        <v>4.0999999999999996</v>
      </c>
      <c r="D10" s="56">
        <v>13.98</v>
      </c>
      <c r="E10" s="56">
        <v>9.9700000000000006</v>
      </c>
      <c r="F10" s="56">
        <v>17.12</v>
      </c>
      <c r="G10" s="56">
        <v>49.84</v>
      </c>
      <c r="H10" s="56">
        <v>18.25</v>
      </c>
      <c r="I10" s="56">
        <v>6.42</v>
      </c>
      <c r="J10" s="56">
        <v>0.94</v>
      </c>
      <c r="K10" s="56">
        <v>266.89999999999998</v>
      </c>
      <c r="L10" s="56">
        <v>31.16</v>
      </c>
      <c r="M10" s="56">
        <v>58.6</v>
      </c>
      <c r="N10" s="56">
        <v>2</v>
      </c>
      <c r="O10" s="56">
        <v>0</v>
      </c>
      <c r="P10" s="56">
        <v>0.55000000000000004</v>
      </c>
      <c r="Q10" s="56">
        <v>3.97</v>
      </c>
    </row>
    <row r="11" spans="1:21" customFormat="1">
      <c r="A11" s="55">
        <v>45460.125</v>
      </c>
      <c r="B11" s="56">
        <v>9.24</v>
      </c>
      <c r="C11" s="56">
        <v>4.09</v>
      </c>
      <c r="D11" s="56">
        <v>13.98</v>
      </c>
      <c r="E11" s="56">
        <v>9.73</v>
      </c>
      <c r="F11" s="56">
        <v>24.02</v>
      </c>
      <c r="G11" s="56">
        <v>29.54</v>
      </c>
      <c r="H11" s="56">
        <v>14.94</v>
      </c>
      <c r="I11" s="56">
        <v>5.45</v>
      </c>
      <c r="J11" s="56">
        <v>0.98</v>
      </c>
      <c r="K11" s="56">
        <v>270.33</v>
      </c>
      <c r="L11" s="56">
        <v>30.51</v>
      </c>
      <c r="M11" s="56">
        <v>59.17</v>
      </c>
      <c r="N11" s="56">
        <v>1.8</v>
      </c>
      <c r="O11" s="56">
        <v>0</v>
      </c>
      <c r="P11" s="56">
        <v>0.43</v>
      </c>
      <c r="Q11" s="56">
        <v>3.97</v>
      </c>
    </row>
    <row r="12" spans="1:21" customFormat="1">
      <c r="A12" s="55">
        <v>45460.166666666664</v>
      </c>
      <c r="B12" s="56">
        <v>9.2799999999999994</v>
      </c>
      <c r="C12" s="56">
        <v>4.08</v>
      </c>
      <c r="D12" s="56">
        <v>14.01</v>
      </c>
      <c r="E12" s="56">
        <v>8.84</v>
      </c>
      <c r="F12" s="56">
        <v>32.270000000000003</v>
      </c>
      <c r="G12" s="56">
        <v>19.05</v>
      </c>
      <c r="H12" s="56">
        <v>10.14</v>
      </c>
      <c r="I12" s="56">
        <v>4.62</v>
      </c>
      <c r="J12" s="56">
        <v>0.84</v>
      </c>
      <c r="K12" s="56">
        <v>265.23</v>
      </c>
      <c r="L12" s="56">
        <v>30.48</v>
      </c>
      <c r="M12" s="56">
        <v>58.88</v>
      </c>
      <c r="N12" s="56">
        <v>1.9</v>
      </c>
      <c r="O12" s="56">
        <v>0</v>
      </c>
      <c r="P12" s="56">
        <v>0.33</v>
      </c>
      <c r="Q12" s="56">
        <v>3.99</v>
      </c>
    </row>
    <row r="13" spans="1:21" customFormat="1">
      <c r="A13" s="55">
        <v>45460.208333333336</v>
      </c>
      <c r="B13" s="56">
        <v>9.25</v>
      </c>
      <c r="C13" s="56">
        <v>4.08</v>
      </c>
      <c r="D13" s="56">
        <v>14</v>
      </c>
      <c r="E13" s="56">
        <v>12.43</v>
      </c>
      <c r="F13" s="56">
        <v>29.95</v>
      </c>
      <c r="G13" s="56">
        <v>16.62</v>
      </c>
      <c r="H13" s="56">
        <v>10.14</v>
      </c>
      <c r="I13" s="56">
        <v>3.74</v>
      </c>
      <c r="J13" s="56">
        <v>0.9</v>
      </c>
      <c r="K13" s="56">
        <v>272.83</v>
      </c>
      <c r="L13" s="56">
        <v>30.43</v>
      </c>
      <c r="M13" s="56">
        <v>58.17</v>
      </c>
      <c r="N13" s="56">
        <v>2.1</v>
      </c>
      <c r="O13" s="56">
        <v>0</v>
      </c>
      <c r="P13" s="56">
        <v>0.27</v>
      </c>
      <c r="Q13" s="56">
        <v>4</v>
      </c>
    </row>
    <row r="14" spans="1:21" customFormat="1">
      <c r="A14" s="55">
        <v>45460.25</v>
      </c>
      <c r="B14" s="56">
        <v>9.2200000000000006</v>
      </c>
      <c r="C14" s="56">
        <v>4.09</v>
      </c>
      <c r="D14" s="56">
        <v>13.97</v>
      </c>
      <c r="E14" s="56">
        <v>10.77</v>
      </c>
      <c r="F14" s="56">
        <v>25.21</v>
      </c>
      <c r="G14" s="56">
        <v>12.67</v>
      </c>
      <c r="H14" s="56">
        <v>8.6</v>
      </c>
      <c r="I14" s="56">
        <v>3.93</v>
      </c>
      <c r="J14" s="56">
        <v>0.99</v>
      </c>
      <c r="K14" s="56">
        <v>267.43</v>
      </c>
      <c r="L14" s="56">
        <v>29.92</v>
      </c>
      <c r="M14" s="56">
        <v>58.85</v>
      </c>
      <c r="N14" s="56">
        <v>19.600000000000001</v>
      </c>
      <c r="O14" s="56">
        <v>0</v>
      </c>
      <c r="P14" s="56">
        <v>0.28000000000000003</v>
      </c>
      <c r="Q14" s="56">
        <v>3.98</v>
      </c>
    </row>
    <row r="15" spans="1:21" customFormat="1">
      <c r="A15" s="55">
        <v>45460.291666666664</v>
      </c>
      <c r="B15" s="56">
        <v>9.23</v>
      </c>
      <c r="C15" s="56">
        <v>4.08</v>
      </c>
      <c r="D15" s="56">
        <v>13.98</v>
      </c>
      <c r="E15" s="56">
        <v>9.07</v>
      </c>
      <c r="F15" s="56">
        <v>11.42</v>
      </c>
      <c r="G15" s="56">
        <v>16.600000000000001</v>
      </c>
      <c r="H15" s="56">
        <v>10.039999999999999</v>
      </c>
      <c r="I15" s="56">
        <v>4.55</v>
      </c>
      <c r="J15" s="56">
        <v>1.02</v>
      </c>
      <c r="K15" s="56">
        <v>265.89999999999998</v>
      </c>
      <c r="L15" s="56">
        <v>29.83</v>
      </c>
      <c r="M15" s="56">
        <v>61.72</v>
      </c>
      <c r="N15" s="56">
        <v>62.5</v>
      </c>
      <c r="O15" s="56">
        <v>0</v>
      </c>
      <c r="P15" s="56">
        <v>0.34</v>
      </c>
      <c r="Q15" s="56">
        <v>3.96</v>
      </c>
    </row>
    <row r="16" spans="1:21" customFormat="1">
      <c r="A16" s="55">
        <v>45460.333333333336</v>
      </c>
      <c r="B16" s="56">
        <v>9.23</v>
      </c>
      <c r="C16" s="56">
        <v>4.08</v>
      </c>
      <c r="D16" s="56">
        <v>13.97</v>
      </c>
      <c r="E16" s="56">
        <v>10.34</v>
      </c>
      <c r="F16" s="56">
        <v>10.78</v>
      </c>
      <c r="G16" s="56">
        <v>20.170000000000002</v>
      </c>
      <c r="H16" s="56">
        <v>11.09</v>
      </c>
      <c r="I16" s="56">
        <v>4.25</v>
      </c>
      <c r="J16" s="56">
        <v>1.25</v>
      </c>
      <c r="K16" s="56">
        <v>265.93</v>
      </c>
      <c r="L16" s="56">
        <v>30.54</v>
      </c>
      <c r="M16" s="56">
        <v>61.33</v>
      </c>
      <c r="N16" s="56">
        <v>108.6</v>
      </c>
      <c r="O16" s="56">
        <v>0</v>
      </c>
      <c r="P16" s="56">
        <v>0.34</v>
      </c>
      <c r="Q16" s="56">
        <v>3.96</v>
      </c>
    </row>
    <row r="17" spans="1:17" customFormat="1">
      <c r="A17" s="55">
        <v>45460.375</v>
      </c>
      <c r="B17" s="56">
        <v>9.19</v>
      </c>
      <c r="C17" s="56">
        <v>4.09</v>
      </c>
      <c r="D17" s="56">
        <v>13.95</v>
      </c>
      <c r="E17" s="56">
        <v>11.91</v>
      </c>
      <c r="F17" s="56">
        <v>9.07</v>
      </c>
      <c r="G17" s="56">
        <v>22.43</v>
      </c>
      <c r="H17" s="56">
        <v>10.91</v>
      </c>
      <c r="I17" s="56">
        <v>4.16</v>
      </c>
      <c r="J17" s="56">
        <v>1.32</v>
      </c>
      <c r="K17" s="56">
        <v>274.41000000000003</v>
      </c>
      <c r="L17" s="56">
        <v>31.58</v>
      </c>
      <c r="M17" s="56">
        <v>59.88</v>
      </c>
      <c r="N17" s="56">
        <v>137.4</v>
      </c>
      <c r="O17" s="56">
        <v>0</v>
      </c>
      <c r="P17" s="56">
        <v>0.37</v>
      </c>
      <c r="Q17" s="56">
        <v>3.98</v>
      </c>
    </row>
    <row r="18" spans="1:17" customFormat="1">
      <c r="A18" s="55">
        <v>45460.416666666664</v>
      </c>
      <c r="B18" s="56">
        <v>9.1999999999999993</v>
      </c>
      <c r="C18" s="56">
        <v>4.08</v>
      </c>
      <c r="D18" s="56">
        <v>13.95</v>
      </c>
      <c r="E18" s="56">
        <v>12.42</v>
      </c>
      <c r="F18" s="56">
        <v>10.51</v>
      </c>
      <c r="G18" s="56">
        <v>23.87</v>
      </c>
      <c r="H18" s="56">
        <v>9.52</v>
      </c>
      <c r="I18" s="56">
        <v>4.18</v>
      </c>
      <c r="J18" s="56">
        <v>1.52</v>
      </c>
      <c r="K18" s="56">
        <v>278.79000000000002</v>
      </c>
      <c r="L18" s="56">
        <v>32.56</v>
      </c>
      <c r="M18" s="56">
        <v>56.67</v>
      </c>
      <c r="N18" s="56">
        <v>179.9</v>
      </c>
      <c r="O18" s="56">
        <v>0</v>
      </c>
      <c r="P18" s="56">
        <v>0.38</v>
      </c>
      <c r="Q18" s="56">
        <v>3.96</v>
      </c>
    </row>
    <row r="19" spans="1:17" customFormat="1">
      <c r="A19" s="55">
        <v>45460.458333333336</v>
      </c>
      <c r="B19" s="56">
        <v>9.19</v>
      </c>
      <c r="C19" s="56">
        <v>4.09</v>
      </c>
      <c r="D19" s="56">
        <v>13.96</v>
      </c>
      <c r="E19" s="56">
        <v>11.16</v>
      </c>
      <c r="F19" s="56">
        <v>18.72</v>
      </c>
      <c r="G19" s="56">
        <v>25.85</v>
      </c>
      <c r="H19" s="56">
        <v>10.45</v>
      </c>
      <c r="I19" s="56">
        <v>4.2</v>
      </c>
      <c r="J19" s="56">
        <v>1.06</v>
      </c>
      <c r="K19" s="56">
        <v>285.44</v>
      </c>
      <c r="L19" s="56">
        <v>33.090000000000003</v>
      </c>
      <c r="M19" s="56">
        <v>54.88</v>
      </c>
      <c r="N19" s="56">
        <v>170.3</v>
      </c>
      <c r="O19" s="56">
        <v>0</v>
      </c>
      <c r="P19" s="56">
        <v>0.38</v>
      </c>
      <c r="Q19" s="56">
        <v>3.97</v>
      </c>
    </row>
    <row r="20" spans="1:17" customFormat="1">
      <c r="A20" s="55">
        <v>45460.5</v>
      </c>
      <c r="B20" s="56">
        <v>9.1999999999999993</v>
      </c>
      <c r="C20" s="56">
        <v>4.09</v>
      </c>
      <c r="D20" s="56">
        <v>13.95</v>
      </c>
      <c r="E20" s="56">
        <v>13.69</v>
      </c>
      <c r="F20" s="56">
        <v>26.38</v>
      </c>
      <c r="G20" s="56">
        <v>26.76</v>
      </c>
      <c r="H20" s="56">
        <v>10.79</v>
      </c>
      <c r="I20" s="56">
        <v>4.2</v>
      </c>
      <c r="J20" s="56">
        <v>1.01</v>
      </c>
      <c r="K20" s="56">
        <v>268.27</v>
      </c>
      <c r="L20" s="56">
        <v>35.18</v>
      </c>
      <c r="M20" s="56">
        <v>53.81</v>
      </c>
      <c r="N20" s="56">
        <v>309.10000000000002</v>
      </c>
      <c r="O20" s="56">
        <v>0</v>
      </c>
      <c r="P20" s="56">
        <v>0.38</v>
      </c>
      <c r="Q20" s="56">
        <v>3.95</v>
      </c>
    </row>
    <row r="21" spans="1:17" customFormat="1">
      <c r="A21" s="55">
        <v>45460.541666666664</v>
      </c>
      <c r="B21" s="56">
        <v>9.16</v>
      </c>
      <c r="C21" s="56">
        <v>4.0999999999999996</v>
      </c>
      <c r="D21" s="56">
        <v>13.93</v>
      </c>
      <c r="E21" s="56">
        <v>11.41</v>
      </c>
      <c r="F21" s="56">
        <v>31.9</v>
      </c>
      <c r="G21" s="56">
        <v>26.65</v>
      </c>
      <c r="H21" s="56">
        <v>10.92</v>
      </c>
      <c r="I21" s="56">
        <v>3.81</v>
      </c>
      <c r="J21" s="56">
        <v>0.84</v>
      </c>
      <c r="K21" s="56">
        <v>270.41000000000003</v>
      </c>
      <c r="L21" s="56">
        <v>36.020000000000003</v>
      </c>
      <c r="M21" s="56">
        <v>48.8</v>
      </c>
      <c r="N21" s="56">
        <v>325.10000000000002</v>
      </c>
      <c r="O21" s="56">
        <v>0</v>
      </c>
      <c r="P21" s="56">
        <v>0.35</v>
      </c>
      <c r="Q21" s="56">
        <v>3.94</v>
      </c>
    </row>
    <row r="22" spans="1:17" customFormat="1">
      <c r="A22" s="55">
        <v>45460.583333333336</v>
      </c>
      <c r="B22" s="56">
        <v>9.17</v>
      </c>
      <c r="C22" s="56">
        <v>4.08</v>
      </c>
      <c r="D22" s="56">
        <v>13.93</v>
      </c>
      <c r="E22" s="56">
        <v>13.74</v>
      </c>
      <c r="F22" s="56">
        <v>39.99</v>
      </c>
      <c r="G22" s="56">
        <v>25.45</v>
      </c>
      <c r="H22" s="56">
        <v>13.92</v>
      </c>
      <c r="I22" s="56">
        <v>3.61</v>
      </c>
      <c r="J22" s="56">
        <v>0.74</v>
      </c>
      <c r="K22" s="56">
        <v>253.47</v>
      </c>
      <c r="L22" s="56">
        <v>37.270000000000003</v>
      </c>
      <c r="M22" s="56">
        <v>46.94</v>
      </c>
      <c r="N22" s="56">
        <v>443.8</v>
      </c>
      <c r="O22" s="56">
        <v>0</v>
      </c>
      <c r="P22" s="56">
        <v>0.35</v>
      </c>
      <c r="Q22" s="56">
        <v>3.94</v>
      </c>
    </row>
    <row r="23" spans="1:17" customFormat="1">
      <c r="A23" s="55">
        <v>45460.625</v>
      </c>
      <c r="B23" s="56">
        <v>9.18</v>
      </c>
      <c r="C23" s="56">
        <v>4.07</v>
      </c>
      <c r="D23" s="56">
        <v>13.93</v>
      </c>
      <c r="E23" s="56">
        <v>12.1</v>
      </c>
      <c r="F23" s="56">
        <v>33.15</v>
      </c>
      <c r="G23" s="56">
        <v>26.21</v>
      </c>
      <c r="H23" s="56">
        <v>16.36</v>
      </c>
      <c r="I23" s="56">
        <v>3.67</v>
      </c>
      <c r="J23" s="56">
        <v>0.97</v>
      </c>
      <c r="K23" s="56">
        <v>280.51</v>
      </c>
      <c r="L23" s="56">
        <v>36.619999999999997</v>
      </c>
      <c r="M23" s="56">
        <v>47.46</v>
      </c>
      <c r="N23" s="56">
        <v>302.2</v>
      </c>
      <c r="O23" s="56">
        <v>0</v>
      </c>
      <c r="P23" s="56">
        <v>0.35</v>
      </c>
      <c r="Q23" s="56">
        <v>3.95</v>
      </c>
    </row>
    <row r="24" spans="1:17" customFormat="1">
      <c r="A24" s="55">
        <v>45460.666666666664</v>
      </c>
      <c r="B24" s="56">
        <v>9.16</v>
      </c>
      <c r="C24" s="56">
        <v>4.09</v>
      </c>
      <c r="D24" s="56">
        <v>13.93</v>
      </c>
      <c r="E24" s="56">
        <v>12.05</v>
      </c>
      <c r="F24" s="56">
        <v>29.71</v>
      </c>
      <c r="G24" s="56">
        <v>27.23</v>
      </c>
      <c r="H24" s="56">
        <v>13.87</v>
      </c>
      <c r="I24" s="56">
        <v>3.92</v>
      </c>
      <c r="J24" s="56">
        <v>1.4</v>
      </c>
      <c r="K24" s="56">
        <v>285.60000000000002</v>
      </c>
      <c r="L24" s="56">
        <v>37.64</v>
      </c>
      <c r="M24" s="56">
        <v>47.25</v>
      </c>
      <c r="N24" s="56">
        <v>415.6</v>
      </c>
      <c r="O24" s="56">
        <v>0</v>
      </c>
      <c r="P24" s="56">
        <v>0.36</v>
      </c>
      <c r="Q24" s="56">
        <v>3.96</v>
      </c>
    </row>
    <row r="25" spans="1:17" customFormat="1">
      <c r="A25" s="55">
        <v>45460.708333333336</v>
      </c>
      <c r="B25" s="56">
        <v>9.23</v>
      </c>
      <c r="C25" s="56">
        <v>4.0999999999999996</v>
      </c>
      <c r="D25" s="56">
        <v>13.98</v>
      </c>
      <c r="E25" s="56">
        <v>16.23</v>
      </c>
      <c r="F25" s="56">
        <v>40.22</v>
      </c>
      <c r="G25" s="56">
        <v>25.45</v>
      </c>
      <c r="H25" s="56">
        <v>12.89</v>
      </c>
      <c r="I25" s="56">
        <v>3.64</v>
      </c>
      <c r="J25" s="56">
        <v>0.9</v>
      </c>
      <c r="K25" s="56">
        <v>280.08999999999997</v>
      </c>
      <c r="L25" s="56">
        <v>37.729999999999997</v>
      </c>
      <c r="M25" s="56">
        <v>43.82</v>
      </c>
      <c r="N25" s="56">
        <v>310.39999999999998</v>
      </c>
      <c r="O25" s="56">
        <v>0</v>
      </c>
      <c r="P25" s="56">
        <v>0.38</v>
      </c>
      <c r="Q25" s="56">
        <v>3.98</v>
      </c>
    </row>
    <row r="26" spans="1:17" customFormat="1">
      <c r="A26" s="55">
        <v>45460.75</v>
      </c>
      <c r="B26" s="56">
        <v>9.2100000000000009</v>
      </c>
      <c r="C26" s="56">
        <v>4.08</v>
      </c>
      <c r="D26" s="56">
        <v>13.96</v>
      </c>
      <c r="E26" s="56">
        <v>22.86</v>
      </c>
      <c r="F26" s="56">
        <v>48.61</v>
      </c>
      <c r="G26" s="56">
        <v>29.38</v>
      </c>
      <c r="H26" s="56">
        <v>13.14</v>
      </c>
      <c r="I26" s="56">
        <v>5.09</v>
      </c>
      <c r="J26" s="56">
        <v>0.7</v>
      </c>
      <c r="K26" s="56">
        <v>274.91000000000003</v>
      </c>
      <c r="L26" s="56">
        <v>36.340000000000003</v>
      </c>
      <c r="M26" s="56">
        <v>44.91</v>
      </c>
      <c r="N26" s="56">
        <v>65.400000000000006</v>
      </c>
      <c r="O26" s="56">
        <v>0</v>
      </c>
      <c r="P26" s="56">
        <v>0.47</v>
      </c>
      <c r="Q26" s="56">
        <v>3.96</v>
      </c>
    </row>
    <row r="27" spans="1:17" customFormat="1">
      <c r="A27" s="55">
        <v>45460.791666666664</v>
      </c>
      <c r="B27" s="56">
        <v>9.2200000000000006</v>
      </c>
      <c r="C27" s="56">
        <v>4.0999999999999996</v>
      </c>
      <c r="D27" s="56">
        <v>13.97</v>
      </c>
      <c r="E27" s="56">
        <v>21.23</v>
      </c>
      <c r="F27" s="56">
        <v>36.65</v>
      </c>
      <c r="G27" s="56">
        <v>33.61</v>
      </c>
      <c r="H27" s="56">
        <v>15.19</v>
      </c>
      <c r="I27" s="56">
        <v>5.45</v>
      </c>
      <c r="J27" s="56">
        <v>0.45</v>
      </c>
      <c r="K27" s="56">
        <v>264.87</v>
      </c>
      <c r="L27" s="56">
        <v>35.39</v>
      </c>
      <c r="M27" s="56">
        <v>46.9</v>
      </c>
      <c r="N27" s="56">
        <v>19.5</v>
      </c>
      <c r="O27" s="56">
        <v>0</v>
      </c>
      <c r="P27" s="56">
        <v>0.74</v>
      </c>
      <c r="Q27" s="56">
        <v>3.96</v>
      </c>
    </row>
    <row r="28" spans="1:17" customFormat="1">
      <c r="A28" s="55">
        <v>45460.833333333336</v>
      </c>
      <c r="B28" s="56">
        <v>9.1999999999999993</v>
      </c>
      <c r="C28" s="56">
        <v>4.08</v>
      </c>
      <c r="D28" s="56">
        <v>13.94</v>
      </c>
      <c r="E28" s="56">
        <v>22.24</v>
      </c>
      <c r="F28" s="56">
        <v>30.59</v>
      </c>
      <c r="G28" s="56">
        <v>37.54</v>
      </c>
      <c r="H28" s="56">
        <v>15.96</v>
      </c>
      <c r="I28" s="56">
        <v>7.88</v>
      </c>
      <c r="J28" s="56">
        <v>0.27</v>
      </c>
      <c r="K28" s="56">
        <v>251.96</v>
      </c>
      <c r="L28" s="56">
        <v>34.42</v>
      </c>
      <c r="M28" s="56">
        <v>51.02</v>
      </c>
      <c r="N28" s="56">
        <v>1.8</v>
      </c>
      <c r="O28" s="56">
        <v>0</v>
      </c>
      <c r="P28" s="56">
        <v>0.73</v>
      </c>
      <c r="Q28" s="56">
        <v>3.96</v>
      </c>
    </row>
    <row r="29" spans="1:17" customFormat="1">
      <c r="A29" s="55">
        <v>45460.875</v>
      </c>
      <c r="B29" s="56">
        <v>9.19</v>
      </c>
      <c r="C29" s="56">
        <v>4.09</v>
      </c>
      <c r="D29" s="56">
        <v>13.94</v>
      </c>
      <c r="E29" s="56">
        <v>10.02</v>
      </c>
      <c r="F29" s="56">
        <v>38.200000000000003</v>
      </c>
      <c r="G29" s="56">
        <v>38.700000000000003</v>
      </c>
      <c r="H29" s="56">
        <v>14.22</v>
      </c>
      <c r="I29" s="56">
        <v>5.26</v>
      </c>
      <c r="J29" s="56">
        <v>0.31</v>
      </c>
      <c r="K29" s="56">
        <v>252.56</v>
      </c>
      <c r="L29" s="56">
        <v>33.68</v>
      </c>
      <c r="M29" s="56">
        <v>52.89</v>
      </c>
      <c r="N29" s="56">
        <v>1.8</v>
      </c>
      <c r="O29" s="56">
        <v>0</v>
      </c>
      <c r="P29" s="56">
        <v>0.48</v>
      </c>
      <c r="Q29" s="56">
        <v>3.96</v>
      </c>
    </row>
    <row r="30" spans="1:17" customFormat="1">
      <c r="A30" s="55">
        <v>45460.916666666664</v>
      </c>
      <c r="B30" s="56">
        <v>9.14</v>
      </c>
      <c r="C30" s="56">
        <v>4.09</v>
      </c>
      <c r="D30" s="56">
        <v>13.91</v>
      </c>
      <c r="E30" s="56">
        <v>9.14</v>
      </c>
      <c r="F30" s="56">
        <v>39.92</v>
      </c>
      <c r="G30" s="56">
        <v>35.42</v>
      </c>
      <c r="H30" s="56">
        <v>10.61</v>
      </c>
      <c r="I30" s="56">
        <v>4.6500000000000004</v>
      </c>
      <c r="J30" s="56">
        <v>0.34</v>
      </c>
      <c r="K30" s="56">
        <v>263.07</v>
      </c>
      <c r="L30" s="56">
        <v>32.700000000000003</v>
      </c>
      <c r="M30" s="56">
        <v>58.44</v>
      </c>
      <c r="N30" s="56">
        <v>1.8</v>
      </c>
      <c r="O30" s="56">
        <v>0</v>
      </c>
      <c r="P30" s="56">
        <v>0.44</v>
      </c>
      <c r="Q30" s="56">
        <v>3.95</v>
      </c>
    </row>
    <row r="31" spans="1:17" customFormat="1">
      <c r="A31" s="55">
        <v>45460.958333333336</v>
      </c>
      <c r="B31" s="56">
        <v>9.2100000000000009</v>
      </c>
      <c r="C31" s="56">
        <v>4.12</v>
      </c>
      <c r="D31" s="56">
        <v>13.97</v>
      </c>
      <c r="E31" s="56">
        <v>9.02</v>
      </c>
      <c r="F31" s="56">
        <v>39.090000000000003</v>
      </c>
      <c r="G31" s="56">
        <v>31.17</v>
      </c>
      <c r="H31" s="56">
        <v>11.61</v>
      </c>
      <c r="I31" s="56">
        <v>4.03</v>
      </c>
      <c r="J31" s="56">
        <v>0.5</v>
      </c>
      <c r="K31" s="56">
        <v>265.36</v>
      </c>
      <c r="L31" s="56">
        <v>32.520000000000003</v>
      </c>
      <c r="M31" s="56">
        <v>61.15</v>
      </c>
      <c r="N31" s="56">
        <v>1.8</v>
      </c>
      <c r="O31" s="56">
        <v>0</v>
      </c>
      <c r="P31" s="56">
        <v>0.4</v>
      </c>
      <c r="Q31" s="56">
        <v>3.96</v>
      </c>
    </row>
    <row r="32" spans="1:17" customFormat="1">
      <c r="A32" s="55">
        <v>45461</v>
      </c>
      <c r="B32" s="56">
        <v>9.3000000000000007</v>
      </c>
      <c r="C32" s="56">
        <v>4.09</v>
      </c>
      <c r="D32" s="56">
        <v>14.03</v>
      </c>
      <c r="E32" s="56">
        <v>8.9499999999999993</v>
      </c>
      <c r="F32" s="56">
        <v>34.74</v>
      </c>
      <c r="G32" s="56">
        <v>30.96</v>
      </c>
      <c r="H32" s="56">
        <v>11.95</v>
      </c>
      <c r="I32" s="56">
        <v>4.29</v>
      </c>
      <c r="J32" s="56">
        <v>0.67</v>
      </c>
      <c r="K32" s="56">
        <v>266.12</v>
      </c>
      <c r="L32" s="56">
        <v>32.229999999999997</v>
      </c>
      <c r="M32" s="56">
        <v>61.88</v>
      </c>
      <c r="N32" s="56">
        <v>1.8</v>
      </c>
      <c r="O32" s="56">
        <v>0</v>
      </c>
      <c r="P32" s="56">
        <v>0.39</v>
      </c>
      <c r="Q32" s="56">
        <v>3.98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9.14</v>
      </c>
      <c r="C34" s="41">
        <f t="shared" si="0"/>
        <v>4.07</v>
      </c>
      <c r="D34" s="41">
        <f t="shared" si="0"/>
        <v>13.91</v>
      </c>
      <c r="E34" s="41">
        <f t="shared" si="0"/>
        <v>8.84</v>
      </c>
      <c r="F34" s="41">
        <f t="shared" si="0"/>
        <v>9.07</v>
      </c>
      <c r="G34" s="41">
        <f t="shared" si="0"/>
        <v>12.67</v>
      </c>
      <c r="H34" s="41">
        <f t="shared" si="0"/>
        <v>8.6</v>
      </c>
      <c r="I34" s="41">
        <f t="shared" si="0"/>
        <v>3.61</v>
      </c>
      <c r="J34" s="41">
        <f t="shared" si="0"/>
        <v>0.27</v>
      </c>
      <c r="K34" s="41">
        <f t="shared" si="0"/>
        <v>251.96</v>
      </c>
      <c r="L34" s="41">
        <f t="shared" si="0"/>
        <v>29.83</v>
      </c>
      <c r="M34" s="41">
        <f t="shared" si="0"/>
        <v>43.82</v>
      </c>
      <c r="N34" s="41">
        <f t="shared" si="0"/>
        <v>1.8</v>
      </c>
      <c r="O34" s="41">
        <f t="shared" si="0"/>
        <v>0</v>
      </c>
      <c r="P34" s="41">
        <f t="shared" si="0"/>
        <v>0.27</v>
      </c>
      <c r="Q34" s="41">
        <f t="shared" si="0"/>
        <v>3.94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9.3000000000000007</v>
      </c>
      <c r="C35" s="33">
        <f t="shared" si="1"/>
        <v>4.12</v>
      </c>
      <c r="D35" s="33">
        <f t="shared" si="1"/>
        <v>14.03</v>
      </c>
      <c r="E35" s="33">
        <f t="shared" si="1"/>
        <v>22.86</v>
      </c>
      <c r="F35" s="33">
        <f t="shared" si="1"/>
        <v>48.61</v>
      </c>
      <c r="G35" s="33">
        <f t="shared" si="1"/>
        <v>65.95</v>
      </c>
      <c r="H35" s="33">
        <f t="shared" si="1"/>
        <v>28.21</v>
      </c>
      <c r="I35" s="33">
        <f t="shared" si="1"/>
        <v>7.88</v>
      </c>
      <c r="J35" s="33">
        <f t="shared" si="1"/>
        <v>1.52</v>
      </c>
      <c r="K35" s="33">
        <f t="shared" si="1"/>
        <v>285.60000000000002</v>
      </c>
      <c r="L35" s="33">
        <f t="shared" si="1"/>
        <v>37.729999999999997</v>
      </c>
      <c r="M35" s="33">
        <f t="shared" si="1"/>
        <v>61.88</v>
      </c>
      <c r="N35" s="33">
        <f t="shared" si="1"/>
        <v>443.8</v>
      </c>
      <c r="O35" s="33">
        <f t="shared" si="1"/>
        <v>0</v>
      </c>
      <c r="P35" s="33">
        <f t="shared" si="1"/>
        <v>0.74</v>
      </c>
      <c r="Q35" s="33">
        <f t="shared" si="1"/>
        <v>4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9.2091666666666665</v>
      </c>
      <c r="C36" s="41">
        <f t="shared" si="2"/>
        <v>4.0887500000000001</v>
      </c>
      <c r="D36" s="41">
        <f t="shared" si="2"/>
        <v>13.962083333333334</v>
      </c>
      <c r="E36" s="41">
        <f t="shared" si="2"/>
        <v>12.534166666666664</v>
      </c>
      <c r="F36" s="41">
        <f t="shared" si="2"/>
        <v>27.902083333333334</v>
      </c>
      <c r="G36" s="41">
        <f t="shared" si="2"/>
        <v>29.046666666666663</v>
      </c>
      <c r="H36" s="41">
        <f t="shared" si="2"/>
        <v>13.071666666666665</v>
      </c>
      <c r="I36" s="41">
        <f t="shared" si="2"/>
        <v>4.6583333333333341</v>
      </c>
      <c r="J36" s="41">
        <f t="shared" si="2"/>
        <v>0.88124999999999998</v>
      </c>
      <c r="K36" s="41">
        <f t="shared" si="2"/>
        <v>269.08166666666665</v>
      </c>
      <c r="L36" s="41">
        <f t="shared" si="2"/>
        <v>33.332083333333337</v>
      </c>
      <c r="M36" s="41">
        <f t="shared" si="2"/>
        <v>54.491666666666681</v>
      </c>
      <c r="N36" s="41">
        <f t="shared" si="2"/>
        <v>120.34583333333337</v>
      </c>
      <c r="O36" s="41">
        <f t="shared" si="2"/>
        <v>0</v>
      </c>
      <c r="P36" s="41">
        <f t="shared" si="2"/>
        <v>0.42166666666666663</v>
      </c>
      <c r="Q36" s="41">
        <f t="shared" si="2"/>
        <v>3.9658333333333324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3.6702880667263293E-2</v>
      </c>
      <c r="C37" s="41">
        <f t="shared" ref="C37:Q37" si="3">STDEV(C9:C32)</f>
        <v>1.0347232354175787E-2</v>
      </c>
      <c r="D37" s="41">
        <f t="shared" si="3"/>
        <v>2.8126912173322607E-2</v>
      </c>
      <c r="E37" s="41">
        <f t="shared" si="3"/>
        <v>4.1125469910535077</v>
      </c>
      <c r="F37" s="41">
        <f t="shared" si="3"/>
        <v>11.461412758797943</v>
      </c>
      <c r="G37" s="41">
        <f t="shared" si="3"/>
        <v>11.257390873349046</v>
      </c>
      <c r="H37" s="41">
        <f t="shared" si="3"/>
        <v>4.0624726531967017</v>
      </c>
      <c r="I37" s="41">
        <f t="shared" si="3"/>
        <v>1.0880843424256563</v>
      </c>
      <c r="J37" s="41">
        <f t="shared" si="3"/>
        <v>0.33967135651211833</v>
      </c>
      <c r="K37" s="41">
        <f t="shared" si="3"/>
        <v>9.0838852378539432</v>
      </c>
      <c r="L37" s="41">
        <f t="shared" si="3"/>
        <v>2.6195634869799989</v>
      </c>
      <c r="M37" s="41">
        <f t="shared" si="3"/>
        <v>5.9261019277404809</v>
      </c>
      <c r="N37" s="41">
        <f t="shared" si="3"/>
        <v>149.20299268232628</v>
      </c>
      <c r="O37" s="41">
        <f t="shared" si="3"/>
        <v>0</v>
      </c>
      <c r="P37" s="41">
        <f t="shared" si="3"/>
        <v>0.12467929874775495</v>
      </c>
      <c r="Q37" s="41">
        <f t="shared" si="3"/>
        <v>1.5580552724098282E-2</v>
      </c>
      <c r="R37" s="41"/>
      <c r="S37" s="41"/>
      <c r="T37" s="41"/>
      <c r="U37" s="41"/>
    </row>
    <row r="38" spans="1:21" s="1" customFormat="1">
      <c r="A38" s="48" t="s">
        <v>52</v>
      </c>
      <c r="B38" s="49">
        <f t="shared" ref="B38:Q38" si="4">COUNT(B9:B32)</f>
        <v>24</v>
      </c>
      <c r="C38" s="49">
        <f t="shared" si="4"/>
        <v>24</v>
      </c>
      <c r="D38" s="49">
        <f t="shared" si="4"/>
        <v>24</v>
      </c>
      <c r="E38" s="49">
        <f t="shared" si="4"/>
        <v>24</v>
      </c>
      <c r="F38" s="49">
        <f t="shared" si="4"/>
        <v>24</v>
      </c>
      <c r="G38" s="49">
        <f t="shared" si="4"/>
        <v>24</v>
      </c>
      <c r="H38" s="49">
        <f t="shared" si="4"/>
        <v>24</v>
      </c>
      <c r="I38" s="49">
        <f t="shared" si="4"/>
        <v>24</v>
      </c>
      <c r="J38" s="49">
        <f t="shared" si="4"/>
        <v>24</v>
      </c>
      <c r="K38" s="49">
        <f t="shared" si="4"/>
        <v>24</v>
      </c>
      <c r="L38" s="49">
        <f t="shared" si="4"/>
        <v>24</v>
      </c>
      <c r="M38" s="49">
        <f t="shared" si="4"/>
        <v>24</v>
      </c>
      <c r="N38" s="49">
        <f t="shared" si="4"/>
        <v>24</v>
      </c>
      <c r="O38" s="49">
        <f t="shared" si="4"/>
        <v>24</v>
      </c>
      <c r="P38" s="49">
        <f t="shared" si="4"/>
        <v>24</v>
      </c>
      <c r="Q38" s="49">
        <f t="shared" si="4"/>
        <v>24</v>
      </c>
      <c r="R38" s="49"/>
      <c r="S38" s="49"/>
      <c r="T38" s="49"/>
      <c r="U38" s="49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52"/>
      <c r="O41" s="52"/>
      <c r="P41" s="52"/>
      <c r="Q41" s="52"/>
      <c r="R41" s="52"/>
      <c r="S41" s="52"/>
      <c r="T41" s="52"/>
      <c r="U41" s="52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50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16" activePane="bottomRight" state="frozen"/>
      <selection activeCell="A9" sqref="A9"/>
      <selection pane="topRight" activeCell="A9" sqref="A9"/>
      <selection pane="bottomLeft" activeCell="A9" sqref="A9"/>
      <selection pane="bottomRight" activeCell="Q23" sqref="Q23:Q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45461.041666666664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5">
        <v>45461.041666666664</v>
      </c>
      <c r="B9" s="56">
        <v>9.17</v>
      </c>
      <c r="C9" s="56">
        <v>4.07</v>
      </c>
      <c r="D9" s="56">
        <v>13.92</v>
      </c>
      <c r="E9" s="56">
        <v>20.76</v>
      </c>
      <c r="F9" s="56">
        <v>33.369999999999997</v>
      </c>
      <c r="G9" s="56">
        <v>31.56</v>
      </c>
      <c r="H9" s="56">
        <v>12.06</v>
      </c>
      <c r="I9" s="56">
        <v>7.62</v>
      </c>
      <c r="J9" s="56">
        <v>0.93</v>
      </c>
      <c r="K9" s="56">
        <v>275.63</v>
      </c>
      <c r="L9" s="56">
        <v>32.03</v>
      </c>
      <c r="M9" s="56">
        <v>62.14</v>
      </c>
      <c r="N9" s="56">
        <v>1.8</v>
      </c>
      <c r="O9" s="56">
        <v>0</v>
      </c>
      <c r="P9" s="56">
        <v>0.73</v>
      </c>
      <c r="Q9" s="56">
        <v>3.97</v>
      </c>
    </row>
    <row r="10" spans="1:21" customFormat="1">
      <c r="A10" s="55">
        <v>45461.083333333336</v>
      </c>
      <c r="B10" s="56">
        <v>9.09</v>
      </c>
      <c r="C10" s="56">
        <v>4.0599999999999996</v>
      </c>
      <c r="D10" s="56">
        <v>13.86</v>
      </c>
      <c r="E10" s="56">
        <v>14.83</v>
      </c>
      <c r="F10" s="56">
        <v>10.92</v>
      </c>
      <c r="G10" s="56">
        <v>34</v>
      </c>
      <c r="H10" s="56">
        <v>12.17</v>
      </c>
      <c r="I10" s="56">
        <v>6.39</v>
      </c>
      <c r="J10" s="56">
        <v>1.44</v>
      </c>
      <c r="K10" s="56">
        <v>270.95999999999998</v>
      </c>
      <c r="L10" s="56">
        <v>31.66</v>
      </c>
      <c r="M10" s="56">
        <v>56.38</v>
      </c>
      <c r="N10" s="56">
        <v>2.1</v>
      </c>
      <c r="O10" s="56">
        <v>0</v>
      </c>
      <c r="P10" s="56">
        <v>0.54</v>
      </c>
      <c r="Q10" s="56">
        <v>3.95</v>
      </c>
    </row>
    <row r="11" spans="1:21" customFormat="1">
      <c r="A11" s="55">
        <v>45461.125</v>
      </c>
      <c r="B11" s="56">
        <v>9.08</v>
      </c>
      <c r="C11" s="56">
        <v>4.07</v>
      </c>
      <c r="D11" s="56">
        <v>13.85</v>
      </c>
      <c r="E11" s="56">
        <v>14.77</v>
      </c>
      <c r="F11" s="56">
        <v>9.94</v>
      </c>
      <c r="G11" s="56">
        <v>34.659999999999997</v>
      </c>
      <c r="H11" s="56">
        <v>11.87</v>
      </c>
      <c r="I11" s="56">
        <v>5.77</v>
      </c>
      <c r="J11" s="56">
        <v>1.54</v>
      </c>
      <c r="K11" s="56">
        <v>270.27999999999997</v>
      </c>
      <c r="L11" s="56">
        <v>30.75</v>
      </c>
      <c r="M11" s="56">
        <v>60.49</v>
      </c>
      <c r="N11" s="56">
        <v>2.1</v>
      </c>
      <c r="O11" s="56">
        <v>0</v>
      </c>
      <c r="P11" s="56">
        <v>0.54</v>
      </c>
      <c r="Q11" s="56">
        <v>3.94</v>
      </c>
    </row>
    <row r="12" spans="1:21" customFormat="1">
      <c r="A12" s="55">
        <v>45461.166666666664</v>
      </c>
      <c r="B12" s="56">
        <v>9.08</v>
      </c>
      <c r="C12" s="56">
        <v>4.08</v>
      </c>
      <c r="D12" s="56">
        <v>13.86</v>
      </c>
      <c r="E12" s="56">
        <v>11.54</v>
      </c>
      <c r="F12" s="56">
        <v>9.31</v>
      </c>
      <c r="G12" s="56">
        <v>34.159999999999997</v>
      </c>
      <c r="H12" s="56">
        <v>11.23</v>
      </c>
      <c r="I12" s="56">
        <v>5.68</v>
      </c>
      <c r="J12" s="56">
        <v>1.22</v>
      </c>
      <c r="K12" s="56">
        <v>274.81</v>
      </c>
      <c r="L12" s="56">
        <v>29.89</v>
      </c>
      <c r="M12" s="56">
        <v>61.83</v>
      </c>
      <c r="N12" s="56">
        <v>2</v>
      </c>
      <c r="O12" s="56">
        <v>0</v>
      </c>
      <c r="P12" s="56">
        <v>0.51</v>
      </c>
      <c r="Q12" s="56">
        <v>3.95</v>
      </c>
    </row>
    <row r="13" spans="1:21" customFormat="1">
      <c r="A13" s="55">
        <v>45461.208333333336</v>
      </c>
      <c r="B13" s="56">
        <v>9.08</v>
      </c>
      <c r="C13" s="56">
        <v>4.0999999999999996</v>
      </c>
      <c r="D13" s="56">
        <v>13.87</v>
      </c>
      <c r="E13" s="56">
        <v>11.32</v>
      </c>
      <c r="F13" s="56">
        <v>8.67</v>
      </c>
      <c r="G13" s="56">
        <v>27.32</v>
      </c>
      <c r="H13" s="56">
        <v>11.52</v>
      </c>
      <c r="I13" s="56">
        <v>5.13</v>
      </c>
      <c r="J13" s="56">
        <v>0.87</v>
      </c>
      <c r="K13" s="56">
        <v>268.89999999999998</v>
      </c>
      <c r="L13" s="56">
        <v>29.79</v>
      </c>
      <c r="M13" s="56">
        <v>63.95</v>
      </c>
      <c r="N13" s="56">
        <v>2</v>
      </c>
      <c r="O13" s="56">
        <v>0</v>
      </c>
      <c r="P13" s="56">
        <v>0.48</v>
      </c>
      <c r="Q13" s="56">
        <v>3.96</v>
      </c>
    </row>
    <row r="14" spans="1:21" customFormat="1">
      <c r="A14" s="55">
        <v>45461.25</v>
      </c>
      <c r="B14" s="56">
        <v>9.09</v>
      </c>
      <c r="C14" s="56">
        <v>4.08</v>
      </c>
      <c r="D14" s="56">
        <v>13.88</v>
      </c>
      <c r="E14" s="56">
        <v>10.59</v>
      </c>
      <c r="F14" s="56">
        <v>9.27</v>
      </c>
      <c r="G14" s="56">
        <v>24.24</v>
      </c>
      <c r="H14" s="56">
        <v>9.81</v>
      </c>
      <c r="I14" s="56">
        <v>4.87</v>
      </c>
      <c r="J14" s="56">
        <v>0.71</v>
      </c>
      <c r="K14" s="56">
        <v>265.89</v>
      </c>
      <c r="L14" s="56">
        <v>29.39</v>
      </c>
      <c r="M14" s="56">
        <v>64.36</v>
      </c>
      <c r="N14" s="56">
        <v>34.200000000000003</v>
      </c>
      <c r="O14" s="56">
        <v>0</v>
      </c>
      <c r="P14" s="56">
        <v>0.45</v>
      </c>
      <c r="Q14" s="56">
        <v>3.97</v>
      </c>
    </row>
    <row r="15" spans="1:21" customFormat="1">
      <c r="A15" s="55">
        <v>45461.291666666664</v>
      </c>
      <c r="B15" s="56">
        <v>9.11</v>
      </c>
      <c r="C15" s="56">
        <v>4.08</v>
      </c>
      <c r="D15" s="56">
        <v>13.89</v>
      </c>
      <c r="E15" s="56">
        <v>10.81</v>
      </c>
      <c r="F15" s="56">
        <v>13.08</v>
      </c>
      <c r="G15" s="56">
        <v>23.23</v>
      </c>
      <c r="H15" s="56">
        <v>9.82</v>
      </c>
      <c r="I15" s="56">
        <v>4.45</v>
      </c>
      <c r="J15" s="56">
        <v>0.81</v>
      </c>
      <c r="K15" s="56">
        <v>268.77</v>
      </c>
      <c r="L15" s="56">
        <v>30.05</v>
      </c>
      <c r="M15" s="56">
        <v>65.03</v>
      </c>
      <c r="N15" s="56">
        <v>113</v>
      </c>
      <c r="O15" s="56">
        <v>0</v>
      </c>
      <c r="P15" s="56">
        <v>0.4</v>
      </c>
      <c r="Q15" s="17">
        <v>3.96</v>
      </c>
    </row>
    <row r="16" spans="1:21" customFormat="1">
      <c r="A16" s="55">
        <v>45461.333333333336</v>
      </c>
      <c r="B16" s="56">
        <v>9.1300000000000008</v>
      </c>
      <c r="C16" s="56">
        <v>4.08</v>
      </c>
      <c r="D16" s="56">
        <v>13.9</v>
      </c>
      <c r="E16" s="56">
        <v>13.64</v>
      </c>
      <c r="F16" s="56">
        <v>16.64</v>
      </c>
      <c r="G16" s="56">
        <v>18.72</v>
      </c>
      <c r="H16" s="56">
        <v>7.79</v>
      </c>
      <c r="I16" s="56">
        <v>4.21</v>
      </c>
      <c r="J16" s="56">
        <v>1.1100000000000001</v>
      </c>
      <c r="K16" s="56">
        <v>261.24</v>
      </c>
      <c r="L16" s="56">
        <v>31.48</v>
      </c>
      <c r="M16" s="56">
        <v>60.77</v>
      </c>
      <c r="N16" s="56">
        <v>136.4</v>
      </c>
      <c r="O16" s="56">
        <v>0</v>
      </c>
      <c r="P16" s="56">
        <v>0.34</v>
      </c>
      <c r="Q16" s="17">
        <v>3.96</v>
      </c>
    </row>
    <row r="17" spans="1:17" customFormat="1">
      <c r="A17" s="55">
        <v>45461.375</v>
      </c>
      <c r="B17" s="56">
        <v>9.14</v>
      </c>
      <c r="C17" s="56">
        <v>4.09</v>
      </c>
      <c r="D17" s="56">
        <v>13.92</v>
      </c>
      <c r="E17" s="56">
        <v>17.600000000000001</v>
      </c>
      <c r="F17" s="56">
        <v>20.29</v>
      </c>
      <c r="G17" s="56">
        <v>18.739999999999998</v>
      </c>
      <c r="H17" s="56">
        <v>7.53</v>
      </c>
      <c r="I17" s="56">
        <v>4.1399999999999997</v>
      </c>
      <c r="J17" s="56">
        <v>1.35</v>
      </c>
      <c r="K17" s="56">
        <v>279.45999999999998</v>
      </c>
      <c r="L17" s="56">
        <v>33.21</v>
      </c>
      <c r="M17" s="56">
        <v>55.54</v>
      </c>
      <c r="N17" s="56">
        <v>161.4</v>
      </c>
      <c r="O17" s="56">
        <v>0</v>
      </c>
      <c r="P17" s="56">
        <v>0.3</v>
      </c>
      <c r="Q17" s="17">
        <v>3.97</v>
      </c>
    </row>
    <row r="18" spans="1:17" customFormat="1">
      <c r="A18" s="55">
        <v>45461.416666666664</v>
      </c>
      <c r="B18" s="56">
        <v>9.1300000000000008</v>
      </c>
      <c r="C18" s="56">
        <v>4.07</v>
      </c>
      <c r="D18" s="56">
        <v>13.89</v>
      </c>
      <c r="E18" s="56">
        <v>17.23</v>
      </c>
      <c r="F18" s="56">
        <v>16.68</v>
      </c>
      <c r="G18" s="56">
        <v>19.36</v>
      </c>
      <c r="H18" s="56">
        <v>7.02</v>
      </c>
      <c r="I18" s="56">
        <v>4.5199999999999996</v>
      </c>
      <c r="J18" s="56">
        <v>1.65</v>
      </c>
      <c r="K18" s="56">
        <v>279.66000000000003</v>
      </c>
      <c r="L18" s="56">
        <v>34.75</v>
      </c>
      <c r="M18" s="56">
        <v>49.79</v>
      </c>
      <c r="N18" s="56">
        <v>216.4</v>
      </c>
      <c r="O18" s="56">
        <v>0</v>
      </c>
      <c r="P18" s="56">
        <v>0.38</v>
      </c>
      <c r="Q18" s="17">
        <v>3.9733333333333301</v>
      </c>
    </row>
    <row r="19" spans="1:17" customFormat="1">
      <c r="A19" s="55">
        <v>45461.458333333336</v>
      </c>
      <c r="B19" s="56">
        <v>9.11</v>
      </c>
      <c r="C19" s="56">
        <v>4.0999999999999996</v>
      </c>
      <c r="D19" s="56">
        <v>13.88</v>
      </c>
      <c r="E19" s="56">
        <v>18.100000000000001</v>
      </c>
      <c r="F19" s="56">
        <v>19.25</v>
      </c>
      <c r="G19" s="56">
        <v>25.62</v>
      </c>
      <c r="H19" s="56">
        <v>9.74</v>
      </c>
      <c r="I19" s="56">
        <v>5.24</v>
      </c>
      <c r="J19" s="56">
        <v>1.72</v>
      </c>
      <c r="K19" s="56">
        <v>284.35000000000002</v>
      </c>
      <c r="L19" s="56">
        <v>36.1</v>
      </c>
      <c r="M19" s="56">
        <v>46.14</v>
      </c>
      <c r="N19" s="56">
        <v>266.39999999999998</v>
      </c>
      <c r="O19" s="56">
        <v>0</v>
      </c>
      <c r="P19" s="56">
        <v>0.54</v>
      </c>
      <c r="Q19" s="17">
        <v>3.9783333333333299</v>
      </c>
    </row>
    <row r="20" spans="1:17" customFormat="1">
      <c r="A20" s="55">
        <v>45461.5</v>
      </c>
      <c r="B20" s="56">
        <v>9.11</v>
      </c>
      <c r="C20" s="56">
        <v>4.08</v>
      </c>
      <c r="D20" s="56">
        <v>13.88</v>
      </c>
      <c r="E20" s="56">
        <v>16.36</v>
      </c>
      <c r="F20" s="56">
        <v>18.96</v>
      </c>
      <c r="G20" s="56">
        <v>32.96</v>
      </c>
      <c r="H20" s="56">
        <v>10.66</v>
      </c>
      <c r="I20" s="56">
        <v>6.11</v>
      </c>
      <c r="J20" s="56">
        <v>1.95</v>
      </c>
      <c r="K20" s="56">
        <v>295.89</v>
      </c>
      <c r="L20" s="56">
        <v>37.83</v>
      </c>
      <c r="M20" s="56">
        <v>41.35</v>
      </c>
      <c r="N20" s="56">
        <v>738.1</v>
      </c>
      <c r="O20" s="56">
        <v>0</v>
      </c>
      <c r="P20" s="56">
        <v>0.53</v>
      </c>
      <c r="Q20" s="17">
        <v>3.9833333333333298</v>
      </c>
    </row>
    <row r="21" spans="1:17" customFormat="1">
      <c r="A21" s="55">
        <v>45461.541666666664</v>
      </c>
      <c r="B21" s="56">
        <v>9.07</v>
      </c>
      <c r="C21" s="56">
        <v>4.07</v>
      </c>
      <c r="D21" s="56">
        <v>13.84</v>
      </c>
      <c r="E21" s="56">
        <v>12.87</v>
      </c>
      <c r="F21" s="56">
        <v>19.89</v>
      </c>
      <c r="G21" s="56">
        <v>36.25</v>
      </c>
      <c r="H21" s="56">
        <v>11.71</v>
      </c>
      <c r="I21" s="56">
        <v>5.89</v>
      </c>
      <c r="J21" s="56">
        <v>1.61</v>
      </c>
      <c r="K21" s="56">
        <v>282.63</v>
      </c>
      <c r="L21" s="56">
        <v>39.22</v>
      </c>
      <c r="M21" s="56">
        <v>37.200000000000003</v>
      </c>
      <c r="N21" s="56">
        <v>737.7</v>
      </c>
      <c r="O21" s="56">
        <v>0</v>
      </c>
      <c r="P21" s="56">
        <v>0.48</v>
      </c>
      <c r="Q21" s="56">
        <v>3.96</v>
      </c>
    </row>
    <row r="22" spans="1:17" customFormat="1">
      <c r="A22" s="55">
        <v>45461.583333333336</v>
      </c>
      <c r="B22" s="56">
        <v>9.0500000000000007</v>
      </c>
      <c r="C22" s="56">
        <v>4.08</v>
      </c>
      <c r="D22" s="56">
        <v>13.83</v>
      </c>
      <c r="E22" s="56">
        <v>14.13</v>
      </c>
      <c r="F22" s="56">
        <v>25.37</v>
      </c>
      <c r="G22" s="56">
        <v>37.549999999999997</v>
      </c>
      <c r="H22" s="56">
        <v>14.37</v>
      </c>
      <c r="I22" s="56">
        <v>5.22</v>
      </c>
      <c r="J22" s="56">
        <v>1.59</v>
      </c>
      <c r="K22" s="56">
        <v>295.95</v>
      </c>
      <c r="L22" s="56">
        <v>40.18</v>
      </c>
      <c r="M22" s="56">
        <v>35.31</v>
      </c>
      <c r="N22" s="56">
        <v>691.1</v>
      </c>
      <c r="O22" s="56">
        <v>0</v>
      </c>
      <c r="P22" s="56">
        <v>0.46</v>
      </c>
      <c r="Q22" s="56">
        <v>3.96</v>
      </c>
    </row>
    <row r="23" spans="1:17" customFormat="1">
      <c r="A23" s="55">
        <v>45461.625</v>
      </c>
      <c r="B23" s="56">
        <v>9.0299999999999994</v>
      </c>
      <c r="C23" s="56">
        <v>4.07</v>
      </c>
      <c r="D23" s="56">
        <v>13.81</v>
      </c>
      <c r="E23" s="56">
        <v>16.920000000000002</v>
      </c>
      <c r="F23" s="56">
        <v>29.16</v>
      </c>
      <c r="G23" s="56">
        <v>38.049999999999997</v>
      </c>
      <c r="H23" s="56">
        <v>16</v>
      </c>
      <c r="I23" s="56">
        <v>4.93</v>
      </c>
      <c r="J23" s="56">
        <v>1.26</v>
      </c>
      <c r="K23" s="56">
        <v>280.98</v>
      </c>
      <c r="L23" s="56">
        <v>40.869999999999997</v>
      </c>
      <c r="M23" s="56">
        <v>32.24</v>
      </c>
      <c r="N23" s="56">
        <v>651.6</v>
      </c>
      <c r="O23" s="56">
        <v>0</v>
      </c>
      <c r="P23" s="56">
        <v>0.42</v>
      </c>
      <c r="Q23" s="17">
        <v>3.97</v>
      </c>
    </row>
    <row r="24" spans="1:17" customFormat="1">
      <c r="A24" s="55">
        <v>45461.666666666664</v>
      </c>
      <c r="B24" s="56">
        <v>9.08</v>
      </c>
      <c r="C24" s="56">
        <v>4.0999999999999996</v>
      </c>
      <c r="D24" s="56">
        <v>13.85</v>
      </c>
      <c r="E24" s="56">
        <v>15.74</v>
      </c>
      <c r="F24" s="56">
        <v>28.14</v>
      </c>
      <c r="G24" s="56">
        <v>35</v>
      </c>
      <c r="H24" s="56">
        <v>16.02</v>
      </c>
      <c r="I24" s="56">
        <v>4.75</v>
      </c>
      <c r="J24" s="56">
        <v>1.1499999999999999</v>
      </c>
      <c r="K24" s="56">
        <v>275.45999999999998</v>
      </c>
      <c r="L24" s="56">
        <v>40.729999999999997</v>
      </c>
      <c r="M24" s="56">
        <v>31.47</v>
      </c>
      <c r="N24" s="56">
        <v>545.79999999999995</v>
      </c>
      <c r="O24" s="56">
        <v>0</v>
      </c>
      <c r="P24" s="56">
        <v>0.41</v>
      </c>
      <c r="Q24" s="17">
        <v>3.96</v>
      </c>
    </row>
    <row r="25" spans="1:17" customFormat="1">
      <c r="A25" s="55">
        <v>45461.708333333336</v>
      </c>
      <c r="B25" s="56">
        <v>9.1199999999999992</v>
      </c>
      <c r="C25" s="56">
        <v>4.1100000000000003</v>
      </c>
      <c r="D25" s="56">
        <v>13.91</v>
      </c>
      <c r="E25" s="56">
        <v>25.38</v>
      </c>
      <c r="F25" s="56">
        <v>26.3</v>
      </c>
      <c r="G25" s="56">
        <v>45.14</v>
      </c>
      <c r="H25" s="56">
        <v>14.55</v>
      </c>
      <c r="I25" s="56">
        <v>5.01</v>
      </c>
      <c r="J25" s="56">
        <v>2.2200000000000002</v>
      </c>
      <c r="K25" s="56">
        <v>286.61</v>
      </c>
      <c r="L25" s="56">
        <v>40.39</v>
      </c>
      <c r="M25" s="56">
        <v>50.63</v>
      </c>
      <c r="N25" s="56">
        <v>226.2</v>
      </c>
      <c r="O25" s="56">
        <v>0</v>
      </c>
      <c r="P25" s="56">
        <v>0.46</v>
      </c>
      <c r="Q25" s="17">
        <v>3.93</v>
      </c>
    </row>
    <row r="26" spans="1:17" customFormat="1">
      <c r="A26" s="55">
        <v>45461.75</v>
      </c>
      <c r="B26" s="56">
        <v>9.11</v>
      </c>
      <c r="C26" s="56">
        <v>4.0999999999999996</v>
      </c>
      <c r="D26" s="56">
        <v>13.89</v>
      </c>
      <c r="E26" s="56">
        <v>39.630000000000003</v>
      </c>
      <c r="F26" s="56">
        <v>20.03</v>
      </c>
      <c r="G26" s="56">
        <v>59.74</v>
      </c>
      <c r="H26" s="56">
        <v>16.75</v>
      </c>
      <c r="I26" s="56">
        <v>5.51</v>
      </c>
      <c r="J26" s="56">
        <v>1.64</v>
      </c>
      <c r="K26" s="56">
        <v>352.31</v>
      </c>
      <c r="L26" s="56">
        <v>33.659999999999997</v>
      </c>
      <c r="M26" s="56">
        <v>56.7</v>
      </c>
      <c r="N26" s="56">
        <v>13.9</v>
      </c>
      <c r="O26" s="56">
        <v>0</v>
      </c>
      <c r="P26" s="56">
        <v>0.49</v>
      </c>
      <c r="Q26" s="17">
        <v>3.91</v>
      </c>
    </row>
    <row r="27" spans="1:17" customFormat="1">
      <c r="A27" s="55">
        <v>45461.791666666664</v>
      </c>
      <c r="B27" s="56">
        <v>9.09</v>
      </c>
      <c r="C27" s="56">
        <v>4.08</v>
      </c>
      <c r="D27" s="56">
        <v>13.86</v>
      </c>
      <c r="E27" s="56">
        <v>9.6300000000000008</v>
      </c>
      <c r="F27" s="56">
        <v>16.829999999999998</v>
      </c>
      <c r="G27" s="56">
        <v>66.12</v>
      </c>
      <c r="H27" s="56">
        <v>18.39</v>
      </c>
      <c r="I27" s="56">
        <v>4.95</v>
      </c>
      <c r="J27" s="56">
        <v>2.37</v>
      </c>
      <c r="K27" s="56">
        <v>340.5</v>
      </c>
      <c r="L27" s="56">
        <v>30.85</v>
      </c>
      <c r="M27" s="56">
        <v>97.02</v>
      </c>
      <c r="N27" s="56">
        <v>7.4</v>
      </c>
      <c r="O27" s="56">
        <v>11.8</v>
      </c>
      <c r="P27" s="56">
        <v>0.44</v>
      </c>
      <c r="Q27" s="17">
        <v>3.89</v>
      </c>
    </row>
    <row r="28" spans="1:17" customFormat="1">
      <c r="A28" s="55">
        <v>45461.833333333336</v>
      </c>
      <c r="B28" s="56">
        <v>9.11</v>
      </c>
      <c r="C28" s="56">
        <v>4.09</v>
      </c>
      <c r="D28" s="56">
        <v>13.89</v>
      </c>
      <c r="E28" s="56">
        <v>7.65</v>
      </c>
      <c r="F28" s="56">
        <v>14.29</v>
      </c>
      <c r="G28" s="56">
        <v>63.68</v>
      </c>
      <c r="H28" s="56">
        <v>18.73</v>
      </c>
      <c r="I28" s="56">
        <v>4.6900000000000004</v>
      </c>
      <c r="J28" s="56">
        <v>1.35</v>
      </c>
      <c r="K28" s="56">
        <v>293</v>
      </c>
      <c r="L28" s="56">
        <v>24.39</v>
      </c>
      <c r="M28" s="56">
        <v>102.81</v>
      </c>
      <c r="N28" s="56">
        <v>3.1</v>
      </c>
      <c r="O28" s="56">
        <v>9.4</v>
      </c>
      <c r="P28" s="56">
        <v>0.38</v>
      </c>
      <c r="Q28" s="17">
        <v>3.8690000000000002</v>
      </c>
    </row>
    <row r="29" spans="1:17" customFormat="1">
      <c r="A29" s="55">
        <v>45461.875</v>
      </c>
      <c r="B29" s="56">
        <v>9.11</v>
      </c>
      <c r="C29" s="56">
        <v>4.09</v>
      </c>
      <c r="D29" s="56">
        <v>13.89</v>
      </c>
      <c r="E29" s="56">
        <v>7.36</v>
      </c>
      <c r="F29" s="56">
        <v>9.39</v>
      </c>
      <c r="G29" s="56">
        <v>48.63</v>
      </c>
      <c r="H29" s="56">
        <v>12.18</v>
      </c>
      <c r="I29" s="56">
        <v>4.55</v>
      </c>
      <c r="J29" s="56">
        <v>0.89</v>
      </c>
      <c r="K29" s="56">
        <v>276.54000000000002</v>
      </c>
      <c r="L29" s="56">
        <v>25.4</v>
      </c>
      <c r="M29" s="56">
        <v>104.85</v>
      </c>
      <c r="N29" s="56">
        <v>2.4</v>
      </c>
      <c r="O29" s="56">
        <v>0.4</v>
      </c>
      <c r="P29" s="56">
        <v>0.43</v>
      </c>
      <c r="Q29" s="17">
        <v>3.8479999999999999</v>
      </c>
    </row>
    <row r="30" spans="1:17" customFormat="1">
      <c r="A30" s="55">
        <v>45461.916666666664</v>
      </c>
      <c r="B30" s="56">
        <v>9.0500000000000007</v>
      </c>
      <c r="C30" s="56">
        <v>4.1100000000000003</v>
      </c>
      <c r="D30" s="56">
        <v>13.84</v>
      </c>
      <c r="E30" s="56">
        <v>7.52</v>
      </c>
      <c r="F30" s="56">
        <v>6.38</v>
      </c>
      <c r="G30" s="56">
        <v>33.200000000000003</v>
      </c>
      <c r="H30" s="56">
        <v>9.52</v>
      </c>
      <c r="I30" s="56">
        <v>4.7</v>
      </c>
      <c r="J30" s="56">
        <v>0.92</v>
      </c>
      <c r="K30" s="56">
        <v>342.54</v>
      </c>
      <c r="L30" s="56">
        <v>26.26</v>
      </c>
      <c r="M30" s="56">
        <v>103.5</v>
      </c>
      <c r="N30" s="56">
        <v>2.6</v>
      </c>
      <c r="O30" s="56">
        <v>0.4</v>
      </c>
      <c r="P30" s="56">
        <v>0.49</v>
      </c>
      <c r="Q30" s="17">
        <v>3.827</v>
      </c>
    </row>
    <row r="31" spans="1:17" customFormat="1">
      <c r="A31" s="55">
        <v>45461.958333333336</v>
      </c>
      <c r="B31" s="56">
        <v>9.01</v>
      </c>
      <c r="C31" s="56">
        <v>4.08</v>
      </c>
      <c r="D31" s="56">
        <v>13.8</v>
      </c>
      <c r="E31" s="56">
        <v>8.5399999999999991</v>
      </c>
      <c r="F31" s="56">
        <v>6.84</v>
      </c>
      <c r="G31" s="56">
        <v>29.26</v>
      </c>
      <c r="H31" s="56">
        <v>8.6300000000000008</v>
      </c>
      <c r="I31" s="56">
        <v>4.8499999999999996</v>
      </c>
      <c r="J31" s="56">
        <v>0.72</v>
      </c>
      <c r="K31" s="56">
        <v>275.55</v>
      </c>
      <c r="L31" s="56">
        <v>26.79</v>
      </c>
      <c r="M31" s="56">
        <v>98.24</v>
      </c>
      <c r="N31" s="56">
        <v>3.1</v>
      </c>
      <c r="O31" s="56">
        <v>0</v>
      </c>
      <c r="P31" s="56">
        <v>0.48</v>
      </c>
      <c r="Q31" s="17">
        <v>3.806</v>
      </c>
    </row>
    <row r="32" spans="1:17" customFormat="1">
      <c r="A32" s="55">
        <v>45462</v>
      </c>
      <c r="B32" s="56">
        <v>9.02</v>
      </c>
      <c r="C32" s="56">
        <v>4.0599999999999996</v>
      </c>
      <c r="D32" s="56">
        <v>13.8</v>
      </c>
      <c r="E32" s="56">
        <v>8.84</v>
      </c>
      <c r="F32" s="56">
        <v>4.93</v>
      </c>
      <c r="G32" s="56">
        <v>32.82</v>
      </c>
      <c r="H32" s="56">
        <v>8.56</v>
      </c>
      <c r="I32" s="56">
        <v>4.88</v>
      </c>
      <c r="J32" s="56">
        <v>0.4</v>
      </c>
      <c r="K32" s="56">
        <v>250.53</v>
      </c>
      <c r="L32" s="56">
        <v>26.51</v>
      </c>
      <c r="M32" s="56">
        <v>97.52</v>
      </c>
      <c r="N32" s="56">
        <v>3.1</v>
      </c>
      <c r="O32" s="56">
        <v>0</v>
      </c>
      <c r="P32" s="56">
        <v>0.48</v>
      </c>
      <c r="Q32" s="17">
        <v>3.7850000000000001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9.01</v>
      </c>
      <c r="C34" s="41">
        <f t="shared" si="0"/>
        <v>4.0599999999999996</v>
      </c>
      <c r="D34" s="41">
        <f t="shared" si="0"/>
        <v>13.8</v>
      </c>
      <c r="E34" s="41">
        <f t="shared" si="0"/>
        <v>7.36</v>
      </c>
      <c r="F34" s="41">
        <f t="shared" si="0"/>
        <v>4.93</v>
      </c>
      <c r="G34" s="41">
        <f t="shared" si="0"/>
        <v>18.72</v>
      </c>
      <c r="H34" s="41">
        <f t="shared" si="0"/>
        <v>7.02</v>
      </c>
      <c r="I34" s="41">
        <f t="shared" si="0"/>
        <v>4.1399999999999997</v>
      </c>
      <c r="J34" s="41">
        <f t="shared" si="0"/>
        <v>0.4</v>
      </c>
      <c r="K34" s="41">
        <f t="shared" si="0"/>
        <v>250.53</v>
      </c>
      <c r="L34" s="41">
        <f t="shared" si="0"/>
        <v>24.39</v>
      </c>
      <c r="M34" s="41">
        <f t="shared" si="0"/>
        <v>31.47</v>
      </c>
      <c r="N34" s="41">
        <f t="shared" si="0"/>
        <v>1.8</v>
      </c>
      <c r="O34" s="41">
        <f t="shared" si="0"/>
        <v>0</v>
      </c>
      <c r="P34" s="41">
        <f t="shared" si="0"/>
        <v>0.3</v>
      </c>
      <c r="Q34" s="41">
        <f t="shared" si="0"/>
        <v>3.7850000000000001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9.17</v>
      </c>
      <c r="C35" s="33">
        <f t="shared" si="1"/>
        <v>4.1100000000000003</v>
      </c>
      <c r="D35" s="33">
        <f t="shared" si="1"/>
        <v>13.92</v>
      </c>
      <c r="E35" s="33">
        <f t="shared" si="1"/>
        <v>39.630000000000003</v>
      </c>
      <c r="F35" s="33">
        <f t="shared" si="1"/>
        <v>33.369999999999997</v>
      </c>
      <c r="G35" s="33">
        <f t="shared" si="1"/>
        <v>66.12</v>
      </c>
      <c r="H35" s="33">
        <f t="shared" si="1"/>
        <v>18.73</v>
      </c>
      <c r="I35" s="33">
        <f t="shared" si="1"/>
        <v>7.62</v>
      </c>
      <c r="J35" s="33">
        <f t="shared" si="1"/>
        <v>2.37</v>
      </c>
      <c r="K35" s="33">
        <f t="shared" si="1"/>
        <v>352.31</v>
      </c>
      <c r="L35" s="33">
        <f t="shared" si="1"/>
        <v>40.869999999999997</v>
      </c>
      <c r="M35" s="33">
        <f t="shared" si="1"/>
        <v>104.85</v>
      </c>
      <c r="N35" s="33">
        <f t="shared" si="1"/>
        <v>738.1</v>
      </c>
      <c r="O35" s="33">
        <f t="shared" si="1"/>
        <v>11.8</v>
      </c>
      <c r="P35" s="33">
        <f t="shared" si="1"/>
        <v>0.73</v>
      </c>
      <c r="Q35" s="33">
        <f t="shared" si="1"/>
        <v>3.9833333333333298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9.0904166666666661</v>
      </c>
      <c r="C36" s="41">
        <f t="shared" si="2"/>
        <v>4.083333333333333</v>
      </c>
      <c r="D36" s="41">
        <f t="shared" si="2"/>
        <v>13.867083333333333</v>
      </c>
      <c r="E36" s="41">
        <f t="shared" si="2"/>
        <v>14.656666666666666</v>
      </c>
      <c r="F36" s="41">
        <f t="shared" si="2"/>
        <v>16.413749999999997</v>
      </c>
      <c r="G36" s="41">
        <f t="shared" si="2"/>
        <v>35.417083333333338</v>
      </c>
      <c r="H36" s="41">
        <f t="shared" si="2"/>
        <v>11.942916666666664</v>
      </c>
      <c r="I36" s="41">
        <f t="shared" si="2"/>
        <v>5.1691666666666674</v>
      </c>
      <c r="J36" s="41">
        <f t="shared" si="2"/>
        <v>1.3091666666666668</v>
      </c>
      <c r="K36" s="41">
        <f t="shared" si="2"/>
        <v>285.35166666666663</v>
      </c>
      <c r="L36" s="41">
        <f t="shared" si="2"/>
        <v>32.590833333333329</v>
      </c>
      <c r="M36" s="41">
        <f t="shared" si="2"/>
        <v>63.969166666666666</v>
      </c>
      <c r="N36" s="41">
        <f t="shared" si="2"/>
        <v>190.16250000000002</v>
      </c>
      <c r="O36" s="41">
        <f t="shared" si="2"/>
        <v>0.91666666666666663</v>
      </c>
      <c r="P36" s="41">
        <f t="shared" si="2"/>
        <v>0.46500000000000008</v>
      </c>
      <c r="Q36" s="41">
        <f t="shared" si="2"/>
        <v>3.9283333333333328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3.8615064267793195E-2</v>
      </c>
      <c r="C37" s="41">
        <f t="shared" ref="C37:Q37" si="3">STDEV(C9:C32)</f>
        <v>1.434563004713541E-2</v>
      </c>
      <c r="D37" s="41">
        <f t="shared" si="3"/>
        <v>3.4575584080283515E-2</v>
      </c>
      <c r="E37" s="41">
        <f t="shared" si="3"/>
        <v>6.9743515619837337</v>
      </c>
      <c r="F37" s="41">
        <f t="shared" si="3"/>
        <v>7.9212646182395563</v>
      </c>
      <c r="G37" s="41">
        <f t="shared" si="3"/>
        <v>13.086539210749818</v>
      </c>
      <c r="H37" s="41">
        <f t="shared" si="3"/>
        <v>3.3762359787280971</v>
      </c>
      <c r="I37" s="41">
        <f t="shared" si="3"/>
        <v>0.77966501539563682</v>
      </c>
      <c r="J37" s="41">
        <f t="shared" si="3"/>
        <v>0.49008354803846527</v>
      </c>
      <c r="K37" s="41">
        <f t="shared" si="3"/>
        <v>25.369543134250112</v>
      </c>
      <c r="L37" s="41">
        <f t="shared" si="3"/>
        <v>5.1644789430903391</v>
      </c>
      <c r="M37" s="41">
        <f t="shared" si="3"/>
        <v>23.917823428067859</v>
      </c>
      <c r="N37" s="41">
        <f t="shared" si="3"/>
        <v>267.76668756100196</v>
      </c>
      <c r="O37" s="41">
        <f t="shared" si="3"/>
        <v>3.0054539795492472</v>
      </c>
      <c r="P37" s="41">
        <f t="shared" si="3"/>
        <v>8.4493375094042353E-2</v>
      </c>
      <c r="Q37" s="41">
        <f t="shared" si="3"/>
        <v>5.8661396337709268E-2</v>
      </c>
      <c r="R37" s="41"/>
      <c r="S37" s="41"/>
      <c r="T37" s="41"/>
      <c r="U37" s="41"/>
    </row>
    <row r="38" spans="1:21" s="1" customFormat="1">
      <c r="A38" s="48" t="s">
        <v>52</v>
      </c>
      <c r="B38" s="49">
        <f t="shared" ref="B38:Q38" si="4">COUNT(B9:B32)</f>
        <v>24</v>
      </c>
      <c r="C38" s="49">
        <f t="shared" si="4"/>
        <v>24</v>
      </c>
      <c r="D38" s="49">
        <f t="shared" si="4"/>
        <v>24</v>
      </c>
      <c r="E38" s="49">
        <f t="shared" si="4"/>
        <v>24</v>
      </c>
      <c r="F38" s="49">
        <f t="shared" si="4"/>
        <v>24</v>
      </c>
      <c r="G38" s="49">
        <f t="shared" si="4"/>
        <v>24</v>
      </c>
      <c r="H38" s="49">
        <f t="shared" si="4"/>
        <v>24</v>
      </c>
      <c r="I38" s="49">
        <f t="shared" si="4"/>
        <v>24</v>
      </c>
      <c r="J38" s="49">
        <f t="shared" si="4"/>
        <v>24</v>
      </c>
      <c r="K38" s="49">
        <f t="shared" si="4"/>
        <v>24</v>
      </c>
      <c r="L38" s="49">
        <f t="shared" si="4"/>
        <v>24</v>
      </c>
      <c r="M38" s="49">
        <f t="shared" si="4"/>
        <v>24</v>
      </c>
      <c r="N38" s="49">
        <f t="shared" si="4"/>
        <v>24</v>
      </c>
      <c r="O38" s="49">
        <f t="shared" si="4"/>
        <v>24</v>
      </c>
      <c r="P38" s="49">
        <f t="shared" si="4"/>
        <v>24</v>
      </c>
      <c r="Q38" s="49">
        <f t="shared" si="4"/>
        <v>24</v>
      </c>
      <c r="R38" s="49"/>
      <c r="S38" s="49"/>
      <c r="T38" s="49"/>
      <c r="U38" s="49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52"/>
      <c r="O41" s="52"/>
      <c r="P41" s="52"/>
      <c r="Q41" s="52"/>
      <c r="R41" s="52"/>
      <c r="S41" s="52"/>
      <c r="T41" s="52"/>
      <c r="U41" s="52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50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13" activePane="bottomRight" state="frozen"/>
      <selection activeCell="A9" sqref="A9"/>
      <selection pane="topRight" activeCell="A9" sqref="A9"/>
      <selection pane="bottomLeft" activeCell="A9" sqref="A9"/>
      <selection pane="bottomRight" activeCell="Q9" sqref="Q9:Q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45462.041666666664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5">
        <v>45462.041666666664</v>
      </c>
      <c r="B9" s="56">
        <v>9.34</v>
      </c>
      <c r="C9" s="56">
        <v>4.09</v>
      </c>
      <c r="D9" s="56">
        <v>14.08</v>
      </c>
      <c r="E9" s="56">
        <v>8.98</v>
      </c>
      <c r="F9" s="56">
        <v>5.85</v>
      </c>
      <c r="G9" s="56">
        <v>23.09</v>
      </c>
      <c r="H9" s="56">
        <v>9.74</v>
      </c>
      <c r="I9" s="56">
        <v>5.13</v>
      </c>
      <c r="J9" s="56">
        <v>1.05</v>
      </c>
      <c r="K9" s="56">
        <v>269.56</v>
      </c>
      <c r="L9" s="56">
        <v>26.51</v>
      </c>
      <c r="M9" s="56">
        <v>95.37</v>
      </c>
      <c r="N9" s="56">
        <v>3</v>
      </c>
      <c r="O9" s="56">
        <v>0</v>
      </c>
      <c r="P9" s="56">
        <v>0.49</v>
      </c>
      <c r="Q9" s="56">
        <v>6.76</v>
      </c>
    </row>
    <row r="10" spans="1:21" customFormat="1">
      <c r="A10" s="55">
        <v>45462.083333333336</v>
      </c>
      <c r="B10" s="56">
        <v>9.3699999999999992</v>
      </c>
      <c r="C10" s="56">
        <v>4.12</v>
      </c>
      <c r="D10" s="56">
        <v>14.11</v>
      </c>
      <c r="E10" s="56">
        <v>8.48</v>
      </c>
      <c r="F10" s="56">
        <v>16.34</v>
      </c>
      <c r="G10" s="56">
        <v>22.55</v>
      </c>
      <c r="H10" s="56">
        <v>10.14</v>
      </c>
      <c r="I10" s="56">
        <v>5.24</v>
      </c>
      <c r="J10" s="56">
        <v>0.74</v>
      </c>
      <c r="K10" s="56">
        <v>271.27999999999997</v>
      </c>
      <c r="L10" s="56">
        <v>26.92</v>
      </c>
      <c r="M10" s="56">
        <v>87.54</v>
      </c>
      <c r="N10" s="56">
        <v>2.2999999999999998</v>
      </c>
      <c r="O10" s="56">
        <v>0</v>
      </c>
      <c r="P10" s="56">
        <v>0.44</v>
      </c>
      <c r="Q10" s="56">
        <v>6.08</v>
      </c>
    </row>
    <row r="11" spans="1:21" customFormat="1">
      <c r="A11" s="55">
        <v>45462.125</v>
      </c>
      <c r="B11" s="56">
        <v>9.44</v>
      </c>
      <c r="C11" s="56">
        <v>4.0999999999999996</v>
      </c>
      <c r="D11" s="56">
        <v>14.16</v>
      </c>
      <c r="E11" s="56">
        <v>11.28</v>
      </c>
      <c r="F11" s="56">
        <v>17.420000000000002</v>
      </c>
      <c r="G11" s="56">
        <v>19.53</v>
      </c>
      <c r="H11" s="56">
        <v>9.57</v>
      </c>
      <c r="I11" s="56">
        <v>4.45</v>
      </c>
      <c r="J11" s="56">
        <v>0.76</v>
      </c>
      <c r="K11" s="56">
        <v>269.95</v>
      </c>
      <c r="L11" s="56">
        <v>27.42</v>
      </c>
      <c r="M11" s="56">
        <v>85.59</v>
      </c>
      <c r="N11" s="56">
        <v>2.1</v>
      </c>
      <c r="O11" s="56">
        <v>0</v>
      </c>
      <c r="P11" s="56">
        <v>0.56000000000000005</v>
      </c>
      <c r="Q11" s="56">
        <v>5.29</v>
      </c>
    </row>
    <row r="12" spans="1:21" customFormat="1">
      <c r="A12" s="55">
        <v>45462.166666666664</v>
      </c>
      <c r="B12" s="56">
        <v>9.4499999999999993</v>
      </c>
      <c r="C12" s="56">
        <v>4.1100000000000003</v>
      </c>
      <c r="D12" s="56">
        <v>14.16</v>
      </c>
      <c r="E12" s="56">
        <v>12.69</v>
      </c>
      <c r="F12" s="56">
        <v>13.54</v>
      </c>
      <c r="G12" s="56">
        <v>19.78</v>
      </c>
      <c r="H12" s="56">
        <v>10.210000000000001</v>
      </c>
      <c r="I12" s="56">
        <v>7.46</v>
      </c>
      <c r="J12" s="56">
        <v>0.2</v>
      </c>
      <c r="K12" s="56">
        <v>248.97</v>
      </c>
      <c r="L12" s="56">
        <v>27.16</v>
      </c>
      <c r="M12" s="56">
        <v>87.33</v>
      </c>
      <c r="N12" s="56">
        <v>2.4</v>
      </c>
      <c r="O12" s="56">
        <v>0</v>
      </c>
      <c r="P12" s="56">
        <v>0.64</v>
      </c>
      <c r="Q12" s="56">
        <v>4.42</v>
      </c>
    </row>
    <row r="13" spans="1:21" customFormat="1">
      <c r="A13" s="55">
        <v>45462.208333333336</v>
      </c>
      <c r="B13" s="56">
        <v>9.5</v>
      </c>
      <c r="C13" s="56">
        <v>4.09</v>
      </c>
      <c r="D13" s="56">
        <v>14.19</v>
      </c>
      <c r="E13" s="56">
        <v>13.28</v>
      </c>
      <c r="F13" s="56">
        <v>12.16</v>
      </c>
      <c r="G13" s="56">
        <v>25.53</v>
      </c>
      <c r="H13" s="56">
        <v>7.67</v>
      </c>
      <c r="I13" s="56">
        <v>8.68</v>
      </c>
      <c r="J13" s="56">
        <v>0.23</v>
      </c>
      <c r="K13" s="56">
        <v>239.59</v>
      </c>
      <c r="L13" s="56">
        <v>26.82</v>
      </c>
      <c r="M13" s="56">
        <v>91.63</v>
      </c>
      <c r="N13" s="56">
        <v>2.1</v>
      </c>
      <c r="O13" s="56">
        <v>0</v>
      </c>
      <c r="P13" s="56">
        <v>0.57999999999999996</v>
      </c>
      <c r="Q13" s="56">
        <v>5.08</v>
      </c>
    </row>
    <row r="14" spans="1:21" customFormat="1">
      <c r="A14" s="55">
        <v>45462.25</v>
      </c>
      <c r="B14" s="56">
        <v>9.5</v>
      </c>
      <c r="C14" s="56">
        <v>4.1100000000000003</v>
      </c>
      <c r="D14" s="56">
        <v>14.22</v>
      </c>
      <c r="E14" s="56">
        <v>10.039999999999999</v>
      </c>
      <c r="F14" s="56">
        <v>11.4</v>
      </c>
      <c r="G14" s="56">
        <v>21.48</v>
      </c>
      <c r="H14" s="56">
        <v>9.81</v>
      </c>
      <c r="I14" s="56">
        <v>5.71</v>
      </c>
      <c r="J14" s="56">
        <v>0.41</v>
      </c>
      <c r="K14" s="56">
        <v>253.6</v>
      </c>
      <c r="L14" s="56">
        <v>26.97</v>
      </c>
      <c r="M14" s="56">
        <v>89.25</v>
      </c>
      <c r="N14" s="56">
        <v>28.6</v>
      </c>
      <c r="O14" s="56">
        <v>0</v>
      </c>
      <c r="P14" s="56">
        <v>0.45</v>
      </c>
      <c r="Q14" s="56">
        <v>4.08</v>
      </c>
    </row>
    <row r="15" spans="1:21" customFormat="1">
      <c r="A15" s="55">
        <v>45462.291666666664</v>
      </c>
      <c r="B15" s="56">
        <v>9.44</v>
      </c>
      <c r="C15" s="56">
        <v>4.08</v>
      </c>
      <c r="D15" s="56">
        <v>14.16</v>
      </c>
      <c r="E15" s="56">
        <v>9.31</v>
      </c>
      <c r="F15" s="56">
        <v>7.97</v>
      </c>
      <c r="G15" s="56">
        <v>19.170000000000002</v>
      </c>
      <c r="H15" s="56">
        <v>10.74</v>
      </c>
      <c r="I15" s="56">
        <v>5.69</v>
      </c>
      <c r="J15" s="56">
        <v>0.92</v>
      </c>
      <c r="K15" s="56">
        <v>269.14</v>
      </c>
      <c r="L15" s="56">
        <v>27.75</v>
      </c>
      <c r="M15" s="56">
        <v>83.31</v>
      </c>
      <c r="N15" s="56">
        <v>104.7</v>
      </c>
      <c r="O15" s="56">
        <v>0</v>
      </c>
      <c r="P15" s="56">
        <v>0.45</v>
      </c>
      <c r="Q15" s="56">
        <v>4.0199999999999996</v>
      </c>
    </row>
    <row r="16" spans="1:21" customFormat="1">
      <c r="A16" s="55">
        <v>45462.333333333336</v>
      </c>
      <c r="B16" s="56">
        <v>9.43</v>
      </c>
      <c r="C16" s="56">
        <v>4.0999999999999996</v>
      </c>
      <c r="D16" s="56">
        <v>14.14</v>
      </c>
      <c r="E16" s="56">
        <v>9.8800000000000008</v>
      </c>
      <c r="F16" s="56">
        <v>7.06</v>
      </c>
      <c r="G16" s="56">
        <v>18.77</v>
      </c>
      <c r="H16" s="56">
        <v>8.49</v>
      </c>
      <c r="I16" s="56">
        <v>5.37</v>
      </c>
      <c r="J16" s="56">
        <v>0.98</v>
      </c>
      <c r="K16" s="56">
        <v>266.01</v>
      </c>
      <c r="L16" s="56">
        <v>28.19</v>
      </c>
      <c r="M16" s="56">
        <v>78.47</v>
      </c>
      <c r="N16" s="56">
        <v>149</v>
      </c>
      <c r="O16" s="56">
        <v>0</v>
      </c>
      <c r="P16" s="56">
        <v>0.43</v>
      </c>
      <c r="Q16" s="56">
        <v>4.01</v>
      </c>
    </row>
    <row r="17" spans="1:17" customFormat="1">
      <c r="A17" s="55">
        <v>45462.375</v>
      </c>
      <c r="B17" s="56">
        <v>9.42</v>
      </c>
      <c r="C17" s="56">
        <v>4.09</v>
      </c>
      <c r="D17" s="56">
        <v>14.14</v>
      </c>
      <c r="E17" s="56">
        <v>9.6199999999999992</v>
      </c>
      <c r="F17" s="56">
        <v>6.55</v>
      </c>
      <c r="G17" s="56">
        <v>15.46</v>
      </c>
      <c r="H17" s="56">
        <v>6.2</v>
      </c>
      <c r="I17" s="56">
        <v>5.01</v>
      </c>
      <c r="J17" s="56">
        <v>1.01</v>
      </c>
      <c r="K17" s="56">
        <v>266.89999999999998</v>
      </c>
      <c r="L17" s="56">
        <v>28.48</v>
      </c>
      <c r="M17" s="56">
        <v>77.45</v>
      </c>
      <c r="N17" s="56">
        <v>162.80000000000001</v>
      </c>
      <c r="O17" s="56">
        <v>0</v>
      </c>
      <c r="P17" s="56">
        <v>0.4</v>
      </c>
      <c r="Q17" s="56">
        <v>4.03</v>
      </c>
    </row>
    <row r="18" spans="1:17" customFormat="1">
      <c r="A18" s="55">
        <v>45462.416666666664</v>
      </c>
      <c r="B18" s="56">
        <v>9.43</v>
      </c>
      <c r="C18" s="56">
        <v>4.1100000000000003</v>
      </c>
      <c r="D18" s="56">
        <v>14.15</v>
      </c>
      <c r="E18" s="56">
        <v>10.09</v>
      </c>
      <c r="F18" s="56">
        <v>8.42</v>
      </c>
      <c r="G18" s="56">
        <v>11.97</v>
      </c>
      <c r="H18" s="56">
        <v>6.28</v>
      </c>
      <c r="I18" s="56">
        <v>4.72</v>
      </c>
      <c r="J18" s="56">
        <v>0.88</v>
      </c>
      <c r="K18" s="56">
        <v>268.41000000000003</v>
      </c>
      <c r="L18" s="56">
        <v>29.29</v>
      </c>
      <c r="M18" s="56">
        <v>76.930000000000007</v>
      </c>
      <c r="N18" s="56">
        <v>244.7</v>
      </c>
      <c r="O18" s="56">
        <v>0</v>
      </c>
      <c r="P18" s="56">
        <v>0.37</v>
      </c>
      <c r="Q18" s="56">
        <v>4.13</v>
      </c>
    </row>
    <row r="19" spans="1:17" customFormat="1">
      <c r="A19" s="55">
        <v>45462.458333333336</v>
      </c>
      <c r="B19" s="56">
        <v>9.44</v>
      </c>
      <c r="C19" s="56">
        <v>4.1100000000000003</v>
      </c>
      <c r="D19" s="56">
        <v>14.15</v>
      </c>
      <c r="E19" s="56">
        <v>12.22</v>
      </c>
      <c r="F19" s="56">
        <v>12.58</v>
      </c>
      <c r="G19" s="56">
        <v>13.37</v>
      </c>
      <c r="H19" s="56">
        <v>7.58</v>
      </c>
      <c r="I19" s="56">
        <v>4.4800000000000004</v>
      </c>
      <c r="J19" s="56">
        <v>1.1599999999999999</v>
      </c>
      <c r="K19" s="56">
        <v>276.76</v>
      </c>
      <c r="L19" s="56">
        <v>30.73</v>
      </c>
      <c r="M19" s="56">
        <v>74.48</v>
      </c>
      <c r="N19" s="56">
        <v>299.10000000000002</v>
      </c>
      <c r="O19" s="56">
        <v>0</v>
      </c>
      <c r="P19" s="56">
        <v>0.36</v>
      </c>
      <c r="Q19" s="56">
        <v>4.29</v>
      </c>
    </row>
    <row r="20" spans="1:17" customFormat="1">
      <c r="A20" s="55">
        <v>45462.5</v>
      </c>
      <c r="B20" s="56">
        <v>9.39</v>
      </c>
      <c r="C20" s="56">
        <v>4.12</v>
      </c>
      <c r="D20" s="56">
        <v>14.13</v>
      </c>
      <c r="E20" s="56">
        <v>22.09</v>
      </c>
      <c r="F20" s="56">
        <v>21.89</v>
      </c>
      <c r="G20" s="56">
        <v>19.37</v>
      </c>
      <c r="H20" s="56">
        <v>8.73</v>
      </c>
      <c r="I20" s="56">
        <v>4.68</v>
      </c>
      <c r="J20" s="56">
        <v>1.19</v>
      </c>
      <c r="K20" s="56">
        <v>298.06</v>
      </c>
      <c r="L20" s="56">
        <v>32.64</v>
      </c>
      <c r="M20" s="56">
        <v>70.099999999999994</v>
      </c>
      <c r="N20" s="56">
        <v>560</v>
      </c>
      <c r="O20" s="56">
        <v>0</v>
      </c>
      <c r="P20" s="56">
        <v>0.45</v>
      </c>
      <c r="Q20" s="56">
        <v>4.12</v>
      </c>
    </row>
    <row r="21" spans="1:17" customFormat="1">
      <c r="A21" s="55">
        <v>45462.541666666664</v>
      </c>
      <c r="B21" s="56">
        <v>9.41</v>
      </c>
      <c r="C21" s="56">
        <v>4.13</v>
      </c>
      <c r="D21" s="56">
        <v>14.15</v>
      </c>
      <c r="E21" s="56">
        <v>18.309999999999999</v>
      </c>
      <c r="F21" s="56">
        <v>32.51</v>
      </c>
      <c r="G21" s="56">
        <v>30.04</v>
      </c>
      <c r="H21" s="56">
        <v>9.89</v>
      </c>
      <c r="I21" s="56">
        <v>5.37</v>
      </c>
      <c r="J21" s="56">
        <v>1.33</v>
      </c>
      <c r="K21" s="56">
        <v>301.02</v>
      </c>
      <c r="L21" s="56">
        <v>34.32</v>
      </c>
      <c r="M21" s="56">
        <v>64</v>
      </c>
      <c r="N21" s="56">
        <v>677.9</v>
      </c>
      <c r="O21" s="56">
        <v>0</v>
      </c>
      <c r="P21" s="56">
        <v>0.47</v>
      </c>
      <c r="Q21" s="56">
        <v>4</v>
      </c>
    </row>
    <row r="22" spans="1:17" customFormat="1">
      <c r="A22" s="55">
        <v>45462.583333333336</v>
      </c>
      <c r="B22" s="56">
        <v>9.3800000000000008</v>
      </c>
      <c r="C22" s="56">
        <v>4.0999999999999996</v>
      </c>
      <c r="D22" s="56">
        <v>14.1</v>
      </c>
      <c r="E22" s="56">
        <v>12.89</v>
      </c>
      <c r="F22" s="56">
        <v>35.200000000000003</v>
      </c>
      <c r="G22" s="56">
        <v>35.53</v>
      </c>
      <c r="H22" s="56">
        <v>11.72</v>
      </c>
      <c r="I22" s="56">
        <v>5.4</v>
      </c>
      <c r="J22" s="56">
        <v>2.02</v>
      </c>
      <c r="K22" s="56">
        <v>310.92</v>
      </c>
      <c r="L22" s="56">
        <v>35.659999999999997</v>
      </c>
      <c r="M22" s="56">
        <v>58.58</v>
      </c>
      <c r="N22" s="56">
        <v>688.2</v>
      </c>
      <c r="O22" s="56">
        <v>0</v>
      </c>
      <c r="P22" s="56">
        <v>0.45</v>
      </c>
      <c r="Q22" s="56">
        <v>4.96</v>
      </c>
    </row>
    <row r="23" spans="1:17" customFormat="1">
      <c r="A23" s="55">
        <v>45462.625</v>
      </c>
      <c r="B23" s="56">
        <v>9.39</v>
      </c>
      <c r="C23" s="56">
        <v>4.08</v>
      </c>
      <c r="D23" s="56">
        <v>14.11</v>
      </c>
      <c r="E23" s="56">
        <v>13.71</v>
      </c>
      <c r="F23" s="56">
        <v>29.47</v>
      </c>
      <c r="G23" s="56">
        <v>32.630000000000003</v>
      </c>
      <c r="H23" s="56">
        <v>13.02</v>
      </c>
      <c r="I23" s="56">
        <v>5.28</v>
      </c>
      <c r="J23" s="56">
        <v>1.28</v>
      </c>
      <c r="K23" s="56">
        <v>310.89</v>
      </c>
      <c r="L23" s="56">
        <v>36.299999999999997</v>
      </c>
      <c r="M23" s="56">
        <v>55.37</v>
      </c>
      <c r="N23" s="56">
        <v>725.1</v>
      </c>
      <c r="O23" s="56">
        <v>0</v>
      </c>
      <c r="P23" s="56">
        <v>0.54</v>
      </c>
      <c r="Q23" s="56">
        <v>4.46</v>
      </c>
    </row>
    <row r="24" spans="1:17" customFormat="1">
      <c r="A24" s="55">
        <v>45462.666666666664</v>
      </c>
      <c r="B24" s="56">
        <v>9.41</v>
      </c>
      <c r="C24" s="56">
        <v>4.1100000000000003</v>
      </c>
      <c r="D24" s="56">
        <v>14.13</v>
      </c>
      <c r="E24" s="56">
        <v>11.44</v>
      </c>
      <c r="F24" s="56">
        <v>29.71</v>
      </c>
      <c r="G24" s="56">
        <v>32.51</v>
      </c>
      <c r="H24" s="56">
        <v>11.29</v>
      </c>
      <c r="I24" s="56">
        <v>5.0199999999999996</v>
      </c>
      <c r="J24" s="56">
        <v>1.24</v>
      </c>
      <c r="K24" s="56">
        <v>309.8</v>
      </c>
      <c r="L24" s="56">
        <v>36.479999999999997</v>
      </c>
      <c r="M24" s="56">
        <v>52.21</v>
      </c>
      <c r="N24" s="56">
        <v>484.6</v>
      </c>
      <c r="O24" s="56">
        <v>0</v>
      </c>
      <c r="P24" s="56">
        <v>0.51</v>
      </c>
      <c r="Q24" s="56">
        <v>4.0999999999999996</v>
      </c>
    </row>
    <row r="25" spans="1:17" customFormat="1">
      <c r="A25" s="55">
        <v>45462.708333333336</v>
      </c>
      <c r="B25" s="56">
        <v>9.41</v>
      </c>
      <c r="C25" s="56">
        <v>4.1100000000000003</v>
      </c>
      <c r="D25" s="56">
        <v>14.13</v>
      </c>
      <c r="E25" s="56">
        <v>11.93</v>
      </c>
      <c r="F25" s="56">
        <v>37.5</v>
      </c>
      <c r="G25" s="56">
        <v>30.71</v>
      </c>
      <c r="H25" s="56">
        <v>12.17</v>
      </c>
      <c r="I25" s="56">
        <v>4.5599999999999996</v>
      </c>
      <c r="J25" s="56">
        <v>1.26</v>
      </c>
      <c r="K25" s="56">
        <v>313.39999999999998</v>
      </c>
      <c r="L25" s="56">
        <v>36.26</v>
      </c>
      <c r="M25" s="56">
        <v>53.18</v>
      </c>
      <c r="N25" s="56">
        <v>224.8</v>
      </c>
      <c r="O25" s="56">
        <v>0</v>
      </c>
      <c r="P25" s="56">
        <v>0.52</v>
      </c>
      <c r="Q25" s="56">
        <v>4.59</v>
      </c>
    </row>
    <row r="26" spans="1:17" customFormat="1">
      <c r="A26" s="55">
        <v>45462.75</v>
      </c>
      <c r="B26" s="56">
        <v>9.4</v>
      </c>
      <c r="C26" s="56">
        <v>4.0999999999999996</v>
      </c>
      <c r="D26" s="56">
        <v>14.12</v>
      </c>
      <c r="E26" s="56">
        <v>13.24</v>
      </c>
      <c r="F26" s="56">
        <v>30.28</v>
      </c>
      <c r="G26" s="56">
        <v>34.47</v>
      </c>
      <c r="H26" s="56">
        <v>13.58</v>
      </c>
      <c r="I26" s="56">
        <v>4.97</v>
      </c>
      <c r="J26" s="56">
        <v>1</v>
      </c>
      <c r="K26" s="56">
        <v>304.16000000000003</v>
      </c>
      <c r="L26" s="56">
        <v>35.24</v>
      </c>
      <c r="M26" s="56">
        <v>53.54</v>
      </c>
      <c r="N26" s="56">
        <v>78.2</v>
      </c>
      <c r="O26" s="56">
        <v>0</v>
      </c>
      <c r="P26" s="56">
        <v>0.61</v>
      </c>
      <c r="Q26" s="56">
        <v>4.0199999999999996</v>
      </c>
    </row>
    <row r="27" spans="1:17" customFormat="1">
      <c r="A27" s="55">
        <v>45462.791666666664</v>
      </c>
      <c r="B27" s="56">
        <v>9.41</v>
      </c>
      <c r="C27" s="56">
        <v>4.0999999999999996</v>
      </c>
      <c r="D27" s="56">
        <v>14.12</v>
      </c>
      <c r="E27" s="56">
        <v>9.32</v>
      </c>
      <c r="F27" s="56">
        <v>13.44</v>
      </c>
      <c r="G27" s="56">
        <v>42.22</v>
      </c>
      <c r="H27" s="56">
        <v>14.17</v>
      </c>
      <c r="I27" s="56">
        <v>5.0999999999999996</v>
      </c>
      <c r="J27" s="56">
        <v>2.4900000000000002</v>
      </c>
      <c r="K27" s="56">
        <v>281.3</v>
      </c>
      <c r="L27" s="56">
        <v>33.409999999999997</v>
      </c>
      <c r="M27" s="56">
        <v>78.94</v>
      </c>
      <c r="N27" s="56">
        <v>19</v>
      </c>
      <c r="O27" s="56">
        <v>0</v>
      </c>
      <c r="P27" s="56">
        <v>0.59</v>
      </c>
      <c r="Q27" s="56">
        <v>4</v>
      </c>
    </row>
    <row r="28" spans="1:17" customFormat="1">
      <c r="A28" s="55">
        <v>45462.833333333336</v>
      </c>
      <c r="B28" s="56">
        <v>9.39</v>
      </c>
      <c r="C28" s="56">
        <v>4.1100000000000003</v>
      </c>
      <c r="D28" s="56">
        <v>14.11</v>
      </c>
      <c r="E28" s="56">
        <v>8.93</v>
      </c>
      <c r="F28" s="56">
        <v>13.45</v>
      </c>
      <c r="G28" s="56">
        <v>47.9</v>
      </c>
      <c r="H28" s="56">
        <v>13.77</v>
      </c>
      <c r="I28" s="56">
        <v>5.18</v>
      </c>
      <c r="J28" s="56">
        <v>0.83</v>
      </c>
      <c r="K28" s="56">
        <v>265.01</v>
      </c>
      <c r="L28" s="56">
        <v>27.99</v>
      </c>
      <c r="M28" s="56">
        <v>82.64</v>
      </c>
      <c r="N28" s="56">
        <v>2.1</v>
      </c>
      <c r="O28" s="56">
        <v>0</v>
      </c>
      <c r="P28" s="56">
        <v>0.55000000000000004</v>
      </c>
      <c r="Q28" s="56">
        <v>4.01</v>
      </c>
    </row>
    <row r="29" spans="1:17" customFormat="1">
      <c r="A29" s="55">
        <v>45462.875</v>
      </c>
      <c r="B29" s="56">
        <v>9.4</v>
      </c>
      <c r="C29" s="56">
        <v>4.09</v>
      </c>
      <c r="D29" s="56">
        <v>14.12</v>
      </c>
      <c r="E29" s="56">
        <v>10.34</v>
      </c>
      <c r="F29" s="56">
        <v>22.46</v>
      </c>
      <c r="G29" s="56">
        <v>33.409999999999997</v>
      </c>
      <c r="H29" s="56">
        <v>13.34</v>
      </c>
      <c r="I29" s="56">
        <v>4.96</v>
      </c>
      <c r="J29" s="56">
        <v>0.47</v>
      </c>
      <c r="K29" s="56">
        <v>270.14999999999998</v>
      </c>
      <c r="L29" s="56">
        <v>27.87</v>
      </c>
      <c r="M29" s="56">
        <v>85.02</v>
      </c>
      <c r="N29" s="56">
        <v>1.8</v>
      </c>
      <c r="O29" s="56">
        <v>0</v>
      </c>
      <c r="P29" s="56">
        <v>0.53</v>
      </c>
      <c r="Q29" s="56">
        <v>4.01</v>
      </c>
    </row>
    <row r="30" spans="1:17" customFormat="1">
      <c r="A30" s="55">
        <v>45462.916666666664</v>
      </c>
      <c r="B30" s="56">
        <v>9.43</v>
      </c>
      <c r="C30" s="56">
        <v>4.08</v>
      </c>
      <c r="D30" s="56">
        <v>14.14</v>
      </c>
      <c r="E30" s="56">
        <v>10.95</v>
      </c>
      <c r="F30" s="56">
        <v>21.7</v>
      </c>
      <c r="G30" s="56">
        <v>25.55</v>
      </c>
      <c r="H30" s="56">
        <v>10.98</v>
      </c>
      <c r="I30" s="56">
        <v>5.1100000000000003</v>
      </c>
      <c r="J30" s="56">
        <v>0.59</v>
      </c>
      <c r="K30" s="56">
        <v>263.74</v>
      </c>
      <c r="L30" s="56">
        <v>27.75</v>
      </c>
      <c r="M30" s="56">
        <v>84.15</v>
      </c>
      <c r="N30" s="56">
        <v>2</v>
      </c>
      <c r="O30" s="56">
        <v>0</v>
      </c>
      <c r="P30" s="56">
        <v>0.47</v>
      </c>
      <c r="Q30" s="56">
        <v>4.01</v>
      </c>
    </row>
    <row r="31" spans="1:17" customFormat="1">
      <c r="A31" s="55">
        <v>45462.958333333336</v>
      </c>
      <c r="B31" s="56">
        <v>9.41</v>
      </c>
      <c r="C31" s="56">
        <v>4.1100000000000003</v>
      </c>
      <c r="D31" s="56">
        <v>14.14</v>
      </c>
      <c r="E31" s="56">
        <v>7.88</v>
      </c>
      <c r="F31" s="56">
        <v>21.59</v>
      </c>
      <c r="G31" s="56">
        <v>24.15</v>
      </c>
      <c r="H31" s="56">
        <v>8.82</v>
      </c>
      <c r="I31" s="56">
        <v>4.4800000000000004</v>
      </c>
      <c r="J31" s="56">
        <v>0.74</v>
      </c>
      <c r="K31" s="56">
        <v>261.35000000000002</v>
      </c>
      <c r="L31" s="56">
        <v>27.34</v>
      </c>
      <c r="M31" s="56">
        <v>82.09</v>
      </c>
      <c r="N31" s="56">
        <v>2.1</v>
      </c>
      <c r="O31" s="56">
        <v>0</v>
      </c>
      <c r="P31" s="56">
        <v>0.38</v>
      </c>
      <c r="Q31" s="56">
        <v>4</v>
      </c>
    </row>
    <row r="32" spans="1:17" customFormat="1">
      <c r="A32" s="55">
        <v>45463</v>
      </c>
      <c r="B32" s="56">
        <v>9.3800000000000008</v>
      </c>
      <c r="C32" s="56">
        <v>4.1100000000000003</v>
      </c>
      <c r="D32" s="56">
        <v>14.11</v>
      </c>
      <c r="E32" s="56">
        <v>6.66</v>
      </c>
      <c r="F32" s="56">
        <v>19.89</v>
      </c>
      <c r="G32" s="56">
        <v>17.2</v>
      </c>
      <c r="H32" s="56">
        <v>8.84</v>
      </c>
      <c r="I32" s="56">
        <v>4.3499999999999996</v>
      </c>
      <c r="J32" s="56">
        <v>0.72</v>
      </c>
      <c r="K32" s="56">
        <v>263.31</v>
      </c>
      <c r="L32" s="56">
        <v>27.08</v>
      </c>
      <c r="M32" s="56">
        <v>84.12</v>
      </c>
      <c r="N32" s="56">
        <v>2.1</v>
      </c>
      <c r="O32" s="56">
        <v>0</v>
      </c>
      <c r="P32" s="56">
        <v>0.37</v>
      </c>
      <c r="Q32" s="56">
        <v>4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9.34</v>
      </c>
      <c r="C34" s="41">
        <f t="shared" si="0"/>
        <v>4.08</v>
      </c>
      <c r="D34" s="41">
        <f t="shared" si="0"/>
        <v>14.08</v>
      </c>
      <c r="E34" s="41">
        <f t="shared" si="0"/>
        <v>6.66</v>
      </c>
      <c r="F34" s="41">
        <f t="shared" si="0"/>
        <v>5.85</v>
      </c>
      <c r="G34" s="41">
        <f t="shared" si="0"/>
        <v>11.97</v>
      </c>
      <c r="H34" s="41">
        <f t="shared" si="0"/>
        <v>6.2</v>
      </c>
      <c r="I34" s="41">
        <f t="shared" si="0"/>
        <v>4.3499999999999996</v>
      </c>
      <c r="J34" s="41">
        <f t="shared" si="0"/>
        <v>0.2</v>
      </c>
      <c r="K34" s="41">
        <f t="shared" si="0"/>
        <v>239.59</v>
      </c>
      <c r="L34" s="41">
        <f t="shared" si="0"/>
        <v>26.51</v>
      </c>
      <c r="M34" s="41">
        <f t="shared" si="0"/>
        <v>52.21</v>
      </c>
      <c r="N34" s="41">
        <f t="shared" si="0"/>
        <v>1.8</v>
      </c>
      <c r="O34" s="41">
        <f t="shared" si="0"/>
        <v>0</v>
      </c>
      <c r="P34" s="41">
        <f t="shared" si="0"/>
        <v>0.36</v>
      </c>
      <c r="Q34" s="41">
        <f t="shared" si="0"/>
        <v>4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9.5</v>
      </c>
      <c r="C35" s="33">
        <f t="shared" si="1"/>
        <v>4.13</v>
      </c>
      <c r="D35" s="33">
        <f t="shared" si="1"/>
        <v>14.22</v>
      </c>
      <c r="E35" s="33">
        <f t="shared" si="1"/>
        <v>22.09</v>
      </c>
      <c r="F35" s="33">
        <f t="shared" si="1"/>
        <v>37.5</v>
      </c>
      <c r="G35" s="33">
        <f t="shared" si="1"/>
        <v>47.9</v>
      </c>
      <c r="H35" s="33">
        <f t="shared" si="1"/>
        <v>14.17</v>
      </c>
      <c r="I35" s="33">
        <f t="shared" si="1"/>
        <v>8.68</v>
      </c>
      <c r="J35" s="33">
        <f t="shared" si="1"/>
        <v>2.4900000000000002</v>
      </c>
      <c r="K35" s="33">
        <f t="shared" si="1"/>
        <v>313.39999999999998</v>
      </c>
      <c r="L35" s="33">
        <f t="shared" si="1"/>
        <v>36.479999999999997</v>
      </c>
      <c r="M35" s="33">
        <f t="shared" si="1"/>
        <v>95.37</v>
      </c>
      <c r="N35" s="33">
        <f t="shared" si="1"/>
        <v>725.1</v>
      </c>
      <c r="O35" s="33">
        <f t="shared" si="1"/>
        <v>0</v>
      </c>
      <c r="P35" s="33">
        <f t="shared" si="1"/>
        <v>0.64</v>
      </c>
      <c r="Q35" s="33">
        <f t="shared" si="1"/>
        <v>6.76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9.4154166666666654</v>
      </c>
      <c r="C36" s="41">
        <f t="shared" si="2"/>
        <v>4.1025</v>
      </c>
      <c r="D36" s="41">
        <f t="shared" si="2"/>
        <v>14.136249999999999</v>
      </c>
      <c r="E36" s="41">
        <f t="shared" si="2"/>
        <v>11.398333333333335</v>
      </c>
      <c r="F36" s="41">
        <f t="shared" si="2"/>
        <v>18.682499999999997</v>
      </c>
      <c r="G36" s="41">
        <f t="shared" si="2"/>
        <v>25.68291666666666</v>
      </c>
      <c r="H36" s="41">
        <f t="shared" si="2"/>
        <v>10.28125</v>
      </c>
      <c r="I36" s="41">
        <f t="shared" si="2"/>
        <v>5.2666666666666666</v>
      </c>
      <c r="J36" s="41">
        <f t="shared" si="2"/>
        <v>0.97916666666666641</v>
      </c>
      <c r="K36" s="41">
        <f t="shared" si="2"/>
        <v>277.21999999999997</v>
      </c>
      <c r="L36" s="41">
        <f t="shared" si="2"/>
        <v>30.190833333333341</v>
      </c>
      <c r="M36" s="41">
        <f t="shared" si="2"/>
        <v>76.303750000000022</v>
      </c>
      <c r="N36" s="41">
        <f t="shared" si="2"/>
        <v>186.19583333333341</v>
      </c>
      <c r="O36" s="41">
        <f t="shared" si="2"/>
        <v>0</v>
      </c>
      <c r="P36" s="41">
        <f t="shared" si="2"/>
        <v>0.48375000000000007</v>
      </c>
      <c r="Q36" s="41">
        <f t="shared" si="2"/>
        <v>4.4362499999999994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3.659165581607788E-2</v>
      </c>
      <c r="C37" s="41">
        <f t="shared" ref="C37:Q37" si="3">STDEV(C9:C32)</f>
        <v>1.3269776053940837E-2</v>
      </c>
      <c r="D37" s="41">
        <f t="shared" si="3"/>
        <v>2.9754429703096906E-2</v>
      </c>
      <c r="E37" s="41">
        <f t="shared" si="3"/>
        <v>3.3201658767711173</v>
      </c>
      <c r="F37" s="41">
        <f t="shared" si="3"/>
        <v>9.6061928621253454</v>
      </c>
      <c r="G37" s="41">
        <f t="shared" si="3"/>
        <v>9.0783121775335456</v>
      </c>
      <c r="H37" s="41">
        <f t="shared" si="3"/>
        <v>2.286009076972348</v>
      </c>
      <c r="I37" s="41">
        <f t="shared" si="3"/>
        <v>0.95898345937890039</v>
      </c>
      <c r="J37" s="41">
        <f t="shared" si="3"/>
        <v>0.50982449381405193</v>
      </c>
      <c r="K37" s="41">
        <f t="shared" si="3"/>
        <v>21.369588508988382</v>
      </c>
      <c r="L37" s="41">
        <f t="shared" si="3"/>
        <v>3.6910972996335221</v>
      </c>
      <c r="M37" s="41">
        <f t="shared" si="3"/>
        <v>13.210232138466353</v>
      </c>
      <c r="N37" s="41">
        <f t="shared" si="3"/>
        <v>250.40887517117432</v>
      </c>
      <c r="O37" s="41">
        <f t="shared" si="3"/>
        <v>0</v>
      </c>
      <c r="P37" s="41">
        <f t="shared" si="3"/>
        <v>7.9989809133522299E-2</v>
      </c>
      <c r="Q37" s="41">
        <f t="shared" si="3"/>
        <v>0.72227185355293477</v>
      </c>
      <c r="R37" s="41"/>
      <c r="S37" s="41"/>
      <c r="T37" s="41"/>
      <c r="U37" s="41"/>
    </row>
    <row r="38" spans="1:21" s="1" customFormat="1">
      <c r="A38" s="48" t="s">
        <v>52</v>
      </c>
      <c r="B38" s="49">
        <f t="shared" ref="B38:Q38" si="4">COUNT(B9:B32)</f>
        <v>24</v>
      </c>
      <c r="C38" s="49">
        <f t="shared" si="4"/>
        <v>24</v>
      </c>
      <c r="D38" s="49">
        <f t="shared" si="4"/>
        <v>24</v>
      </c>
      <c r="E38" s="49">
        <f t="shared" si="4"/>
        <v>24</v>
      </c>
      <c r="F38" s="49">
        <f t="shared" si="4"/>
        <v>24</v>
      </c>
      <c r="G38" s="49">
        <f t="shared" si="4"/>
        <v>24</v>
      </c>
      <c r="H38" s="49">
        <f t="shared" si="4"/>
        <v>24</v>
      </c>
      <c r="I38" s="49">
        <f t="shared" si="4"/>
        <v>24</v>
      </c>
      <c r="J38" s="49">
        <f t="shared" si="4"/>
        <v>24</v>
      </c>
      <c r="K38" s="49">
        <f t="shared" si="4"/>
        <v>24</v>
      </c>
      <c r="L38" s="49">
        <f t="shared" si="4"/>
        <v>24</v>
      </c>
      <c r="M38" s="49">
        <f t="shared" si="4"/>
        <v>24</v>
      </c>
      <c r="N38" s="49">
        <f t="shared" si="4"/>
        <v>24</v>
      </c>
      <c r="O38" s="49">
        <f t="shared" si="4"/>
        <v>24</v>
      </c>
      <c r="P38" s="49">
        <f t="shared" si="4"/>
        <v>24</v>
      </c>
      <c r="Q38" s="49">
        <f t="shared" si="4"/>
        <v>24</v>
      </c>
      <c r="R38" s="49"/>
      <c r="S38" s="49"/>
      <c r="T38" s="49"/>
      <c r="U38" s="49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52"/>
      <c r="O41" s="52"/>
      <c r="P41" s="52"/>
      <c r="Q41" s="52"/>
      <c r="R41" s="52"/>
      <c r="S41" s="52"/>
      <c r="T41" s="52"/>
      <c r="U41" s="52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50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30" activePane="bottomRight" state="frozen"/>
      <selection activeCell="A9" sqref="A9"/>
      <selection pane="topRight" activeCell="A9" sqref="A9"/>
      <selection pane="bottomLeft" activeCell="A9" sqref="A9"/>
      <selection pane="bottomRight" activeCell="Q9" sqref="Q9:Q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45463.041666666664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5">
        <v>45463.041666666664</v>
      </c>
      <c r="B9" s="56">
        <v>9.1</v>
      </c>
      <c r="C9" s="56">
        <v>4.07</v>
      </c>
      <c r="D9" s="56">
        <v>13.87</v>
      </c>
      <c r="E9" s="56">
        <v>6.29</v>
      </c>
      <c r="F9" s="56">
        <v>12.89</v>
      </c>
      <c r="G9" s="56">
        <v>15.49</v>
      </c>
      <c r="H9" s="56">
        <v>8.08</v>
      </c>
      <c r="I9" s="56">
        <v>4.2300000000000004</v>
      </c>
      <c r="J9" s="56">
        <v>0.73</v>
      </c>
      <c r="K9" s="56">
        <v>256.5</v>
      </c>
      <c r="L9" s="56">
        <v>27.37</v>
      </c>
      <c r="M9" s="56">
        <v>80.67</v>
      </c>
      <c r="N9" s="56">
        <v>1.9</v>
      </c>
      <c r="O9" s="56">
        <v>0</v>
      </c>
      <c r="P9" s="56">
        <v>0.41</v>
      </c>
      <c r="Q9" s="56">
        <v>3.97</v>
      </c>
    </row>
    <row r="10" spans="1:21" customFormat="1">
      <c r="A10" s="55">
        <v>45463.083333333336</v>
      </c>
      <c r="B10" s="56">
        <v>9.1199999999999992</v>
      </c>
      <c r="C10" s="56">
        <v>4.09</v>
      </c>
      <c r="D10" s="56">
        <v>13.89</v>
      </c>
      <c r="E10" s="56">
        <v>6.86</v>
      </c>
      <c r="F10" s="56">
        <v>9.0399999999999991</v>
      </c>
      <c r="G10" s="56">
        <v>12.65</v>
      </c>
      <c r="H10" s="56">
        <v>5.79</v>
      </c>
      <c r="I10" s="56">
        <v>4.0999999999999996</v>
      </c>
      <c r="J10" s="56">
        <v>0.4</v>
      </c>
      <c r="K10" s="56">
        <v>253.59</v>
      </c>
      <c r="L10" s="56">
        <v>27.4</v>
      </c>
      <c r="M10" s="56">
        <v>84.45</v>
      </c>
      <c r="N10" s="56">
        <v>2</v>
      </c>
      <c r="O10" s="56">
        <v>0</v>
      </c>
      <c r="P10" s="56">
        <v>0.41</v>
      </c>
      <c r="Q10" s="56">
        <v>3.97</v>
      </c>
    </row>
    <row r="11" spans="1:21" customFormat="1">
      <c r="A11" s="55">
        <v>45463.125</v>
      </c>
      <c r="B11" s="56">
        <v>9.06</v>
      </c>
      <c r="C11" s="56">
        <v>4.07</v>
      </c>
      <c r="D11" s="56">
        <v>13.83</v>
      </c>
      <c r="E11" s="56">
        <v>11.11</v>
      </c>
      <c r="F11" s="56">
        <v>8.41</v>
      </c>
      <c r="G11" s="56">
        <v>12.35</v>
      </c>
      <c r="H11" s="56">
        <v>5.38</v>
      </c>
      <c r="I11" s="56">
        <v>3.88</v>
      </c>
      <c r="J11" s="56">
        <v>0.34</v>
      </c>
      <c r="K11" s="56">
        <v>248.08</v>
      </c>
      <c r="L11" s="56">
        <v>27.15</v>
      </c>
      <c r="M11" s="56">
        <v>86.4</v>
      </c>
      <c r="N11" s="56">
        <v>2.1</v>
      </c>
      <c r="O11" s="56">
        <v>0</v>
      </c>
      <c r="P11" s="56">
        <v>0.4</v>
      </c>
      <c r="Q11" s="56">
        <v>3.95</v>
      </c>
    </row>
    <row r="12" spans="1:21" customFormat="1">
      <c r="A12" s="55">
        <v>45463.166666666664</v>
      </c>
      <c r="B12" s="56">
        <v>9.06</v>
      </c>
      <c r="C12" s="56">
        <v>4.07</v>
      </c>
      <c r="D12" s="56">
        <v>13.84</v>
      </c>
      <c r="E12" s="56">
        <v>11.14</v>
      </c>
      <c r="F12" s="56">
        <v>5.9</v>
      </c>
      <c r="G12" s="56">
        <v>8.6999999999999993</v>
      </c>
      <c r="H12" s="56">
        <v>3.92</v>
      </c>
      <c r="I12" s="56">
        <v>3.84</v>
      </c>
      <c r="J12" s="56">
        <v>0.48</v>
      </c>
      <c r="K12" s="56">
        <v>256.27</v>
      </c>
      <c r="L12" s="56">
        <v>27.21</v>
      </c>
      <c r="M12" s="56">
        <v>84.27</v>
      </c>
      <c r="N12" s="56">
        <v>2.1</v>
      </c>
      <c r="O12" s="56">
        <v>0</v>
      </c>
      <c r="P12" s="56">
        <v>0.4</v>
      </c>
      <c r="Q12" s="56">
        <v>3.95</v>
      </c>
    </row>
    <row r="13" spans="1:21" customFormat="1">
      <c r="A13" s="55">
        <v>45463.208333333336</v>
      </c>
      <c r="B13" s="56">
        <v>9.09</v>
      </c>
      <c r="C13" s="56">
        <v>4.08</v>
      </c>
      <c r="D13" s="56">
        <v>13.85</v>
      </c>
      <c r="E13" s="56">
        <v>11.49</v>
      </c>
      <c r="F13" s="56">
        <v>5.73</v>
      </c>
      <c r="G13" s="56">
        <v>9.2200000000000006</v>
      </c>
      <c r="H13" s="56">
        <v>3.01</v>
      </c>
      <c r="I13" s="56">
        <v>3.79</v>
      </c>
      <c r="J13" s="56">
        <v>0.34</v>
      </c>
      <c r="K13" s="56">
        <v>250.46</v>
      </c>
      <c r="L13" s="56">
        <v>27.27</v>
      </c>
      <c r="M13" s="56">
        <v>85.32</v>
      </c>
      <c r="N13" s="56">
        <v>2.1</v>
      </c>
      <c r="O13" s="56">
        <v>0</v>
      </c>
      <c r="P13" s="56">
        <v>0.39</v>
      </c>
      <c r="Q13" s="56">
        <v>3.97</v>
      </c>
    </row>
    <row r="14" spans="1:21" customFormat="1">
      <c r="A14" s="55">
        <v>45463.25</v>
      </c>
      <c r="B14" s="56">
        <v>9.07</v>
      </c>
      <c r="C14" s="56">
        <v>4.07</v>
      </c>
      <c r="D14" s="56">
        <v>13.85</v>
      </c>
      <c r="E14" s="56">
        <v>11.35</v>
      </c>
      <c r="F14" s="56">
        <v>9.65</v>
      </c>
      <c r="G14" s="56">
        <v>9.8000000000000007</v>
      </c>
      <c r="H14" s="56">
        <v>3.46</v>
      </c>
      <c r="I14" s="56">
        <v>3.74</v>
      </c>
      <c r="J14" s="56">
        <v>0.33</v>
      </c>
      <c r="K14" s="56">
        <v>278.33</v>
      </c>
      <c r="L14" s="56">
        <v>27.24</v>
      </c>
      <c r="M14" s="56">
        <v>85.48</v>
      </c>
      <c r="N14" s="56">
        <v>43.5</v>
      </c>
      <c r="O14" s="56">
        <v>0</v>
      </c>
      <c r="P14" s="56">
        <v>0.37</v>
      </c>
      <c r="Q14" s="56">
        <v>3.97</v>
      </c>
    </row>
    <row r="15" spans="1:21" customFormat="1">
      <c r="A15" s="55">
        <v>45463.291666666664</v>
      </c>
      <c r="B15" s="56">
        <v>9.06</v>
      </c>
      <c r="C15" s="56">
        <v>4.0599999999999996</v>
      </c>
      <c r="D15" s="56">
        <v>13.83</v>
      </c>
      <c r="E15" s="56">
        <v>9.74</v>
      </c>
      <c r="F15" s="56">
        <v>12.38</v>
      </c>
      <c r="G15" s="56">
        <v>8.85</v>
      </c>
      <c r="H15" s="56">
        <v>4.04</v>
      </c>
      <c r="I15" s="56">
        <v>3.48</v>
      </c>
      <c r="J15" s="56">
        <v>0.78</v>
      </c>
      <c r="K15" s="56">
        <v>270.49</v>
      </c>
      <c r="L15" s="56">
        <v>28.62</v>
      </c>
      <c r="M15" s="56">
        <v>82.07</v>
      </c>
      <c r="N15" s="56">
        <v>106.3</v>
      </c>
      <c r="O15" s="56">
        <v>0</v>
      </c>
      <c r="P15" s="56">
        <v>0.32</v>
      </c>
      <c r="Q15" s="56">
        <v>3.98</v>
      </c>
    </row>
    <row r="16" spans="1:21" customFormat="1">
      <c r="A16" s="55">
        <v>45463.333333333336</v>
      </c>
      <c r="B16" s="56">
        <v>9.09</v>
      </c>
      <c r="C16" s="56">
        <v>4.0599999999999996</v>
      </c>
      <c r="D16" s="56">
        <v>13.85</v>
      </c>
      <c r="E16" s="56">
        <v>9.66</v>
      </c>
      <c r="F16" s="56">
        <v>14.38</v>
      </c>
      <c r="G16" s="56">
        <v>10.84</v>
      </c>
      <c r="H16" s="56">
        <v>4.18</v>
      </c>
      <c r="I16" s="56">
        <v>3.58</v>
      </c>
      <c r="J16" s="56">
        <v>1.32</v>
      </c>
      <c r="K16" s="56">
        <v>265.07</v>
      </c>
      <c r="L16" s="56">
        <v>30.5</v>
      </c>
      <c r="M16" s="56">
        <v>75.510000000000005</v>
      </c>
      <c r="N16" s="56">
        <v>228.6</v>
      </c>
      <c r="O16" s="56">
        <v>0</v>
      </c>
      <c r="P16" s="56">
        <v>0.28000000000000003</v>
      </c>
      <c r="Q16" s="56">
        <v>3.97</v>
      </c>
    </row>
    <row r="17" spans="1:17" customFormat="1">
      <c r="A17" s="55">
        <v>45463.375</v>
      </c>
      <c r="B17" s="56">
        <v>9.06</v>
      </c>
      <c r="C17" s="56">
        <v>4.08</v>
      </c>
      <c r="D17" s="56">
        <v>13.84</v>
      </c>
      <c r="E17" s="56">
        <v>9.4499999999999993</v>
      </c>
      <c r="F17" s="56">
        <v>11.64</v>
      </c>
      <c r="G17" s="56">
        <v>11.62</v>
      </c>
      <c r="H17" s="56">
        <v>2.93</v>
      </c>
      <c r="I17" s="56">
        <v>3.65</v>
      </c>
      <c r="J17" s="56">
        <v>1.23</v>
      </c>
      <c r="K17" s="56">
        <v>274.57</v>
      </c>
      <c r="L17" s="56">
        <v>31.14</v>
      </c>
      <c r="M17" s="56">
        <v>69.12</v>
      </c>
      <c r="N17" s="56">
        <v>254.2</v>
      </c>
      <c r="O17" s="56">
        <v>0</v>
      </c>
      <c r="P17" s="56">
        <v>0.28000000000000003</v>
      </c>
      <c r="Q17" s="56">
        <v>4.01</v>
      </c>
    </row>
    <row r="18" spans="1:17" customFormat="1">
      <c r="A18" s="55">
        <v>45463.416666666664</v>
      </c>
      <c r="B18" s="56">
        <v>9.06</v>
      </c>
      <c r="C18" s="56">
        <v>4.08</v>
      </c>
      <c r="D18" s="56">
        <v>13.85</v>
      </c>
      <c r="E18" s="56">
        <v>11.17</v>
      </c>
      <c r="F18" s="56">
        <v>11.41</v>
      </c>
      <c r="G18" s="56">
        <v>12.86</v>
      </c>
      <c r="H18" s="56">
        <v>4.7300000000000004</v>
      </c>
      <c r="I18" s="56">
        <v>3.73</v>
      </c>
      <c r="J18" s="56">
        <v>1.83</v>
      </c>
      <c r="K18" s="56">
        <v>287.14</v>
      </c>
      <c r="L18" s="56">
        <v>31.12</v>
      </c>
      <c r="M18" s="56">
        <v>68.650000000000006</v>
      </c>
      <c r="N18" s="56">
        <v>268.10000000000002</v>
      </c>
      <c r="O18" s="56">
        <v>0</v>
      </c>
      <c r="P18" s="56">
        <v>0.35</v>
      </c>
      <c r="Q18" s="56">
        <v>4.01</v>
      </c>
    </row>
    <row r="19" spans="1:17" customFormat="1">
      <c r="A19" s="55">
        <v>45463.458333333336</v>
      </c>
      <c r="B19" s="56">
        <v>9.11</v>
      </c>
      <c r="C19" s="56">
        <v>4.07</v>
      </c>
      <c r="D19" s="56">
        <v>13.87</v>
      </c>
      <c r="E19" s="56">
        <v>9.4600000000000009</v>
      </c>
      <c r="F19" s="56">
        <v>10.130000000000001</v>
      </c>
      <c r="G19" s="56">
        <v>17.64</v>
      </c>
      <c r="H19" s="56">
        <v>6.64</v>
      </c>
      <c r="I19" s="56">
        <v>3.84</v>
      </c>
      <c r="J19" s="56">
        <v>1.64</v>
      </c>
      <c r="K19" s="56">
        <v>286.13</v>
      </c>
      <c r="L19" s="56">
        <v>32.799999999999997</v>
      </c>
      <c r="M19" s="56">
        <v>67.709999999999994</v>
      </c>
      <c r="N19" s="56">
        <v>368.5</v>
      </c>
      <c r="O19" s="56">
        <v>0</v>
      </c>
      <c r="P19" s="56">
        <v>0.41</v>
      </c>
      <c r="Q19" s="56">
        <v>3.97</v>
      </c>
    </row>
    <row r="20" spans="1:17" customFormat="1">
      <c r="A20" s="55">
        <v>45463.5</v>
      </c>
      <c r="B20" s="56">
        <v>8.99</v>
      </c>
      <c r="C20" s="56">
        <v>4.08</v>
      </c>
      <c r="D20" s="56">
        <v>13.78</v>
      </c>
      <c r="E20" s="56">
        <v>9.34</v>
      </c>
      <c r="F20" s="56">
        <v>10.32</v>
      </c>
      <c r="G20" s="56">
        <v>19.399999999999999</v>
      </c>
      <c r="H20" s="56">
        <v>7.11</v>
      </c>
      <c r="I20" s="56">
        <v>3.79</v>
      </c>
      <c r="J20" s="56">
        <v>1.75</v>
      </c>
      <c r="K20" s="56">
        <v>311.38</v>
      </c>
      <c r="L20" s="56">
        <v>33.549999999999997</v>
      </c>
      <c r="M20" s="56">
        <v>63.37</v>
      </c>
      <c r="N20" s="56">
        <v>713.4</v>
      </c>
      <c r="O20" s="56">
        <v>0</v>
      </c>
      <c r="P20" s="56">
        <v>0.41</v>
      </c>
      <c r="Q20" s="56">
        <v>3.98</v>
      </c>
    </row>
    <row r="21" spans="1:17" customFormat="1">
      <c r="A21" s="55">
        <v>45463.541666666664</v>
      </c>
      <c r="B21" s="56">
        <v>9.02</v>
      </c>
      <c r="C21" s="56">
        <v>4.0599999999999996</v>
      </c>
      <c r="D21" s="56">
        <v>13.79</v>
      </c>
      <c r="E21" s="56">
        <v>10.33</v>
      </c>
      <c r="F21" s="56">
        <v>12.23</v>
      </c>
      <c r="G21" s="56">
        <v>19.649999999999999</v>
      </c>
      <c r="H21" s="56">
        <v>7.13</v>
      </c>
      <c r="I21" s="56">
        <v>3.81</v>
      </c>
      <c r="J21" s="56">
        <v>1.49</v>
      </c>
      <c r="K21" s="56">
        <v>298.77999999999997</v>
      </c>
      <c r="L21" s="56">
        <v>34.11</v>
      </c>
      <c r="M21" s="56">
        <v>59.48</v>
      </c>
      <c r="N21" s="56">
        <v>773.7</v>
      </c>
      <c r="O21" s="56">
        <v>0</v>
      </c>
      <c r="P21" s="56">
        <v>0.43</v>
      </c>
      <c r="Q21" s="56">
        <v>3.97</v>
      </c>
    </row>
    <row r="22" spans="1:17" customFormat="1">
      <c r="A22" s="55">
        <v>45463.583333333336</v>
      </c>
      <c r="B22" s="56">
        <v>9.01</v>
      </c>
      <c r="C22" s="56">
        <v>4.07</v>
      </c>
      <c r="D22" s="56">
        <v>13.8</v>
      </c>
      <c r="E22" s="56">
        <v>11.34</v>
      </c>
      <c r="F22" s="56">
        <v>12.18</v>
      </c>
      <c r="G22" s="56">
        <v>20.86</v>
      </c>
      <c r="H22" s="56">
        <v>9.11</v>
      </c>
      <c r="I22" s="56">
        <v>4.08</v>
      </c>
      <c r="J22" s="56">
        <v>1.97</v>
      </c>
      <c r="K22" s="56">
        <v>301.32</v>
      </c>
      <c r="L22" s="56">
        <v>34.61</v>
      </c>
      <c r="M22" s="56">
        <v>58.48</v>
      </c>
      <c r="N22" s="56">
        <v>509.7</v>
      </c>
      <c r="O22" s="56">
        <v>0</v>
      </c>
      <c r="P22" s="56">
        <v>0.47</v>
      </c>
      <c r="Q22" s="56">
        <v>3.98</v>
      </c>
    </row>
    <row r="23" spans="1:17" customFormat="1">
      <c r="A23" s="55">
        <v>45463.625</v>
      </c>
      <c r="B23" s="56">
        <v>9.02</v>
      </c>
      <c r="C23" s="56">
        <v>4.07</v>
      </c>
      <c r="D23" s="56">
        <v>13.8</v>
      </c>
      <c r="E23" s="56">
        <v>12.46</v>
      </c>
      <c r="F23" s="56">
        <v>14.21</v>
      </c>
      <c r="G23" s="56">
        <v>23.45</v>
      </c>
      <c r="H23" s="56">
        <v>10.94</v>
      </c>
      <c r="I23" s="56">
        <v>4.5599999999999996</v>
      </c>
      <c r="J23" s="56">
        <v>2.09</v>
      </c>
      <c r="K23" s="56">
        <v>299.48</v>
      </c>
      <c r="L23" s="56">
        <v>34.93</v>
      </c>
      <c r="M23" s="56">
        <v>56.55</v>
      </c>
      <c r="N23" s="56">
        <v>723.5</v>
      </c>
      <c r="O23" s="56">
        <v>0</v>
      </c>
      <c r="P23" s="56">
        <v>0.5</v>
      </c>
      <c r="Q23" s="56">
        <v>3.97</v>
      </c>
    </row>
    <row r="24" spans="1:17" customFormat="1">
      <c r="A24" s="55">
        <v>45463.666666666664</v>
      </c>
      <c r="B24" s="56">
        <v>9.0500000000000007</v>
      </c>
      <c r="C24" s="56">
        <v>4.1100000000000003</v>
      </c>
      <c r="D24" s="56">
        <v>13.84</v>
      </c>
      <c r="E24" s="56">
        <v>11.16</v>
      </c>
      <c r="F24" s="56">
        <v>15.26</v>
      </c>
      <c r="G24" s="56">
        <v>25.03</v>
      </c>
      <c r="H24" s="56">
        <v>10.98</v>
      </c>
      <c r="I24" s="56">
        <v>4.62</v>
      </c>
      <c r="J24" s="56">
        <v>1.77</v>
      </c>
      <c r="K24" s="56">
        <v>284.41000000000003</v>
      </c>
      <c r="L24" s="56">
        <v>34.18</v>
      </c>
      <c r="M24" s="56">
        <v>55.84</v>
      </c>
      <c r="N24" s="56">
        <v>305.10000000000002</v>
      </c>
      <c r="O24" s="56">
        <v>0</v>
      </c>
      <c r="P24" s="56">
        <v>0.48</v>
      </c>
      <c r="Q24" s="56">
        <v>3.98</v>
      </c>
    </row>
    <row r="25" spans="1:17" customFormat="1">
      <c r="A25" s="55">
        <v>45463.708333333336</v>
      </c>
      <c r="B25" s="56">
        <v>9</v>
      </c>
      <c r="C25" s="56">
        <v>4.08</v>
      </c>
      <c r="D25" s="56">
        <v>13.79</v>
      </c>
      <c r="E25" s="56">
        <v>12.18</v>
      </c>
      <c r="F25" s="56">
        <v>16.649999999999999</v>
      </c>
      <c r="G25" s="56">
        <v>22.56</v>
      </c>
      <c r="H25" s="56">
        <v>8.24</v>
      </c>
      <c r="I25" s="56">
        <v>4.47</v>
      </c>
      <c r="J25" s="56">
        <v>1.1299999999999999</v>
      </c>
      <c r="K25" s="56">
        <v>275.33</v>
      </c>
      <c r="L25" s="56">
        <v>33.1</v>
      </c>
      <c r="M25" s="56">
        <v>59.12</v>
      </c>
      <c r="N25" s="56">
        <v>75.599999999999994</v>
      </c>
      <c r="O25" s="56">
        <v>0</v>
      </c>
      <c r="P25" s="56">
        <v>0.47</v>
      </c>
      <c r="Q25" s="56">
        <v>3.94</v>
      </c>
    </row>
    <row r="26" spans="1:17" customFormat="1">
      <c r="A26" s="55">
        <v>45463.75</v>
      </c>
      <c r="B26" s="56">
        <v>9.11</v>
      </c>
      <c r="C26" s="56">
        <v>4.08</v>
      </c>
      <c r="D26" s="56">
        <v>13.88</v>
      </c>
      <c r="E26" s="56">
        <v>11.49</v>
      </c>
      <c r="F26" s="56">
        <v>15.99</v>
      </c>
      <c r="G26" s="56">
        <v>23.96</v>
      </c>
      <c r="H26" s="56">
        <v>7.46</v>
      </c>
      <c r="I26" s="56">
        <v>4.51</v>
      </c>
      <c r="J26" s="56">
        <v>3.16</v>
      </c>
      <c r="K26" s="56">
        <v>46.51</v>
      </c>
      <c r="L26" s="56">
        <v>32.22</v>
      </c>
      <c r="M26" s="56">
        <v>85.79</v>
      </c>
      <c r="N26" s="56">
        <v>9.3000000000000007</v>
      </c>
      <c r="O26" s="56">
        <v>0</v>
      </c>
      <c r="P26" s="56">
        <v>0.49</v>
      </c>
      <c r="Q26" s="56">
        <v>3.94</v>
      </c>
    </row>
    <row r="27" spans="1:17" customFormat="1">
      <c r="A27" s="55">
        <v>45463.791666666664</v>
      </c>
      <c r="B27" s="56">
        <v>9.14</v>
      </c>
      <c r="C27" s="56">
        <v>4.07</v>
      </c>
      <c r="D27" s="56">
        <v>13.9</v>
      </c>
      <c r="E27" s="56">
        <v>11.77</v>
      </c>
      <c r="F27" s="56">
        <v>14.41</v>
      </c>
      <c r="G27" s="56">
        <v>25.25</v>
      </c>
      <c r="H27" s="56">
        <v>8.99</v>
      </c>
      <c r="I27" s="56">
        <v>4.22</v>
      </c>
      <c r="J27" s="56">
        <v>2.1</v>
      </c>
      <c r="K27" s="56">
        <v>331.52</v>
      </c>
      <c r="L27" s="56">
        <v>24.97</v>
      </c>
      <c r="M27" s="56">
        <v>100.85</v>
      </c>
      <c r="N27" s="56">
        <v>3.8</v>
      </c>
      <c r="O27" s="56">
        <v>10.4</v>
      </c>
      <c r="P27" s="56">
        <v>0.39</v>
      </c>
      <c r="Q27" s="56">
        <v>3.95</v>
      </c>
    </row>
    <row r="28" spans="1:17" customFormat="1">
      <c r="A28" s="55">
        <v>45463.833333333336</v>
      </c>
      <c r="B28" s="56">
        <v>9.1199999999999992</v>
      </c>
      <c r="C28" s="56">
        <v>4.09</v>
      </c>
      <c r="D28" s="56">
        <v>13.9</v>
      </c>
      <c r="E28" s="56">
        <v>8.24</v>
      </c>
      <c r="F28" s="56">
        <v>7.73</v>
      </c>
      <c r="G28" s="56">
        <v>20</v>
      </c>
      <c r="H28" s="56">
        <v>10.18</v>
      </c>
      <c r="I28" s="56">
        <v>3.97</v>
      </c>
      <c r="J28" s="56">
        <v>2.0699999999999998</v>
      </c>
      <c r="K28" s="56">
        <v>312.95999999999998</v>
      </c>
      <c r="L28" s="56">
        <v>24.16</v>
      </c>
      <c r="M28" s="56">
        <v>102.43</v>
      </c>
      <c r="N28" s="56">
        <v>2.4</v>
      </c>
      <c r="O28" s="56">
        <v>4.2</v>
      </c>
      <c r="P28" s="56">
        <v>0.43</v>
      </c>
      <c r="Q28" s="56">
        <v>3.98</v>
      </c>
    </row>
    <row r="29" spans="1:17" customFormat="1">
      <c r="A29" s="55">
        <v>45463.875</v>
      </c>
      <c r="B29" s="56">
        <v>9.06</v>
      </c>
      <c r="C29" s="56">
        <v>4.08</v>
      </c>
      <c r="D29" s="56">
        <v>13.83</v>
      </c>
      <c r="E29" s="56">
        <v>9.06</v>
      </c>
      <c r="F29" s="56">
        <v>6.31</v>
      </c>
      <c r="G29" s="56">
        <v>17.53</v>
      </c>
      <c r="H29" s="56">
        <v>8.26</v>
      </c>
      <c r="I29" s="56">
        <v>3.98</v>
      </c>
      <c r="J29" s="56">
        <v>0.66</v>
      </c>
      <c r="K29" s="56">
        <v>324.16000000000003</v>
      </c>
      <c r="L29" s="56">
        <v>24.61</v>
      </c>
      <c r="M29" s="56">
        <v>103.03</v>
      </c>
      <c r="N29" s="56">
        <v>2.2000000000000002</v>
      </c>
      <c r="O29" s="56">
        <v>0.8</v>
      </c>
      <c r="P29" s="56">
        <v>0.48</v>
      </c>
      <c r="Q29" s="56">
        <v>3.96</v>
      </c>
    </row>
    <row r="30" spans="1:17" customFormat="1">
      <c r="A30" s="55">
        <v>45463.916666666664</v>
      </c>
      <c r="B30" s="56">
        <v>9.0399999999999991</v>
      </c>
      <c r="C30" s="56">
        <v>4.07</v>
      </c>
      <c r="D30" s="56">
        <v>13.82</v>
      </c>
      <c r="E30" s="56">
        <v>9.5</v>
      </c>
      <c r="F30" s="56">
        <v>4.88</v>
      </c>
      <c r="G30" s="56">
        <v>14.85</v>
      </c>
      <c r="H30" s="56">
        <v>8.1</v>
      </c>
      <c r="I30" s="56">
        <v>4.1900000000000004</v>
      </c>
      <c r="J30" s="56">
        <v>0.27</v>
      </c>
      <c r="K30" s="56">
        <v>212.34</v>
      </c>
      <c r="L30" s="56">
        <v>25.04</v>
      </c>
      <c r="M30" s="56">
        <v>104.22</v>
      </c>
      <c r="N30" s="56">
        <v>2.2000000000000002</v>
      </c>
      <c r="O30" s="56">
        <v>0.2</v>
      </c>
      <c r="P30" s="56">
        <v>0.51</v>
      </c>
      <c r="Q30" s="56">
        <v>3.96</v>
      </c>
    </row>
    <row r="31" spans="1:17" customFormat="1">
      <c r="A31" s="55">
        <v>45463.958333333336</v>
      </c>
      <c r="B31" s="56">
        <v>9.06</v>
      </c>
      <c r="C31" s="56">
        <v>4.07</v>
      </c>
      <c r="D31" s="56">
        <v>13.84</v>
      </c>
      <c r="E31" s="56">
        <v>10</v>
      </c>
      <c r="F31" s="56">
        <v>4.42</v>
      </c>
      <c r="G31" s="56">
        <v>13.85</v>
      </c>
      <c r="H31" s="56">
        <v>7.37</v>
      </c>
      <c r="I31" s="56">
        <v>4.25</v>
      </c>
      <c r="J31" s="56">
        <v>0.19</v>
      </c>
      <c r="K31" s="56">
        <v>258.83</v>
      </c>
      <c r="L31" s="56">
        <v>25.09</v>
      </c>
      <c r="M31" s="56">
        <v>104.53</v>
      </c>
      <c r="N31" s="56">
        <v>2.4</v>
      </c>
      <c r="O31" s="56">
        <v>0</v>
      </c>
      <c r="P31" s="56">
        <v>0.51</v>
      </c>
      <c r="Q31" s="56">
        <v>3.97</v>
      </c>
    </row>
    <row r="32" spans="1:17" customFormat="1">
      <c r="A32" s="55">
        <v>45464</v>
      </c>
      <c r="B32" s="56">
        <v>9.1199999999999992</v>
      </c>
      <c r="C32" s="56">
        <v>4.08</v>
      </c>
      <c r="D32" s="56">
        <v>13.89</v>
      </c>
      <c r="E32" s="56">
        <v>11.07</v>
      </c>
      <c r="F32" s="56">
        <v>5.34</v>
      </c>
      <c r="G32" s="56">
        <v>15.38</v>
      </c>
      <c r="H32" s="56">
        <v>7.25</v>
      </c>
      <c r="I32" s="56">
        <v>4.17</v>
      </c>
      <c r="J32" s="56">
        <v>0.19</v>
      </c>
      <c r="K32" s="56">
        <v>258.83</v>
      </c>
      <c r="L32" s="56">
        <v>24.95</v>
      </c>
      <c r="M32" s="56">
        <v>101.99</v>
      </c>
      <c r="N32" s="56">
        <v>2.4</v>
      </c>
      <c r="O32" s="56">
        <v>0</v>
      </c>
      <c r="P32" s="56">
        <v>0.5</v>
      </c>
      <c r="Q32" s="56">
        <v>3.97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8.99</v>
      </c>
      <c r="C34" s="41">
        <f t="shared" si="0"/>
        <v>4.0599999999999996</v>
      </c>
      <c r="D34" s="41">
        <f t="shared" si="0"/>
        <v>13.78</v>
      </c>
      <c r="E34" s="41">
        <f t="shared" si="0"/>
        <v>6.29</v>
      </c>
      <c r="F34" s="41">
        <f t="shared" si="0"/>
        <v>4.42</v>
      </c>
      <c r="G34" s="41">
        <f t="shared" si="0"/>
        <v>8.6999999999999993</v>
      </c>
      <c r="H34" s="41">
        <f t="shared" si="0"/>
        <v>2.93</v>
      </c>
      <c r="I34" s="41">
        <f t="shared" si="0"/>
        <v>3.48</v>
      </c>
      <c r="J34" s="41">
        <f t="shared" si="0"/>
        <v>0.19</v>
      </c>
      <c r="K34" s="41">
        <f t="shared" si="0"/>
        <v>46.51</v>
      </c>
      <c r="L34" s="41">
        <f t="shared" si="0"/>
        <v>24.16</v>
      </c>
      <c r="M34" s="41">
        <f t="shared" si="0"/>
        <v>55.84</v>
      </c>
      <c r="N34" s="41">
        <f t="shared" si="0"/>
        <v>1.9</v>
      </c>
      <c r="O34" s="41">
        <f t="shared" si="0"/>
        <v>0</v>
      </c>
      <c r="P34" s="41">
        <f t="shared" si="0"/>
        <v>0.28000000000000003</v>
      </c>
      <c r="Q34" s="41">
        <f t="shared" si="0"/>
        <v>3.94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9.14</v>
      </c>
      <c r="C35" s="33">
        <f t="shared" si="1"/>
        <v>4.1100000000000003</v>
      </c>
      <c r="D35" s="33">
        <f t="shared" si="1"/>
        <v>13.9</v>
      </c>
      <c r="E35" s="33">
        <f t="shared" si="1"/>
        <v>12.46</v>
      </c>
      <c r="F35" s="33">
        <f t="shared" si="1"/>
        <v>16.649999999999999</v>
      </c>
      <c r="G35" s="33">
        <f t="shared" si="1"/>
        <v>25.25</v>
      </c>
      <c r="H35" s="33">
        <f t="shared" si="1"/>
        <v>10.98</v>
      </c>
      <c r="I35" s="33">
        <f t="shared" si="1"/>
        <v>4.62</v>
      </c>
      <c r="J35" s="33">
        <f t="shared" si="1"/>
        <v>3.16</v>
      </c>
      <c r="K35" s="33">
        <f t="shared" si="1"/>
        <v>331.52</v>
      </c>
      <c r="L35" s="33">
        <f t="shared" si="1"/>
        <v>34.93</v>
      </c>
      <c r="M35" s="33">
        <f t="shared" si="1"/>
        <v>104.53</v>
      </c>
      <c r="N35" s="33">
        <f t="shared" si="1"/>
        <v>773.7</v>
      </c>
      <c r="O35" s="33">
        <f t="shared" si="1"/>
        <v>10.4</v>
      </c>
      <c r="P35" s="33">
        <f t="shared" si="1"/>
        <v>0.51</v>
      </c>
      <c r="Q35" s="33">
        <f t="shared" si="1"/>
        <v>4.01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9.0675000000000008</v>
      </c>
      <c r="C36" s="41">
        <f t="shared" si="2"/>
        <v>4.0754166666666665</v>
      </c>
      <c r="D36" s="41">
        <f t="shared" si="2"/>
        <v>13.842916666666662</v>
      </c>
      <c r="E36" s="41">
        <f t="shared" si="2"/>
        <v>10.235833333333334</v>
      </c>
      <c r="F36" s="41">
        <f t="shared" si="2"/>
        <v>10.47875</v>
      </c>
      <c r="G36" s="41">
        <f t="shared" si="2"/>
        <v>16.324583333333333</v>
      </c>
      <c r="H36" s="41">
        <f t="shared" si="2"/>
        <v>6.8033333333333319</v>
      </c>
      <c r="I36" s="41">
        <f t="shared" si="2"/>
        <v>4.0200000000000005</v>
      </c>
      <c r="J36" s="41">
        <f t="shared" si="2"/>
        <v>1.1775000000000002</v>
      </c>
      <c r="K36" s="41">
        <f t="shared" si="2"/>
        <v>268.43666666666667</v>
      </c>
      <c r="L36" s="41">
        <f t="shared" si="2"/>
        <v>29.305833333333339</v>
      </c>
      <c r="M36" s="41">
        <f t="shared" si="2"/>
        <v>80.222083333333316</v>
      </c>
      <c r="N36" s="41">
        <f t="shared" si="2"/>
        <v>183.54583333333332</v>
      </c>
      <c r="O36" s="41">
        <f t="shared" si="2"/>
        <v>0.65</v>
      </c>
      <c r="P36" s="41">
        <f t="shared" si="2"/>
        <v>0.42041666666666666</v>
      </c>
      <c r="Q36" s="41">
        <f t="shared" si="2"/>
        <v>3.9695833333333321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4.1204685254913803E-2</v>
      </c>
      <c r="C37" s="41">
        <f t="shared" ref="C37:Q37" si="3">STDEV(C9:C32)</f>
        <v>1.1025333147551315E-2</v>
      </c>
      <c r="D37" s="41">
        <f t="shared" si="3"/>
        <v>3.5074971463828979E-2</v>
      </c>
      <c r="E37" s="41">
        <f t="shared" si="3"/>
        <v>1.5635548033850233</v>
      </c>
      <c r="F37" s="41">
        <f t="shared" si="3"/>
        <v>3.7510303656925847</v>
      </c>
      <c r="G37" s="41">
        <f t="shared" si="3"/>
        <v>5.4038239111132071</v>
      </c>
      <c r="H37" s="41">
        <f t="shared" si="3"/>
        <v>2.4271107652240933</v>
      </c>
      <c r="I37" s="41">
        <f t="shared" si="3"/>
        <v>0.31729837829646013</v>
      </c>
      <c r="J37" s="41">
        <f t="shared" si="3"/>
        <v>0.81004696589550973</v>
      </c>
      <c r="K37" s="41">
        <f t="shared" si="3"/>
        <v>54.70263555105798</v>
      </c>
      <c r="L37" s="41">
        <f t="shared" si="3"/>
        <v>3.7029411537864414</v>
      </c>
      <c r="M37" s="41">
        <f t="shared" si="3"/>
        <v>16.763341728479983</v>
      </c>
      <c r="N37" s="41">
        <f t="shared" si="3"/>
        <v>256.98480242523334</v>
      </c>
      <c r="O37" s="41">
        <f t="shared" si="3"/>
        <v>2.2490577737277486</v>
      </c>
      <c r="P37" s="41">
        <f t="shared" si="3"/>
        <v>6.7854009952740643E-2</v>
      </c>
      <c r="Q37" s="41">
        <f t="shared" si="3"/>
        <v>1.7315277663950645E-2</v>
      </c>
      <c r="R37" s="41"/>
      <c r="S37" s="41"/>
      <c r="T37" s="41"/>
      <c r="U37" s="41"/>
    </row>
    <row r="38" spans="1:21" s="1" customFormat="1">
      <c r="A38" s="48" t="s">
        <v>52</v>
      </c>
      <c r="B38" s="49">
        <f t="shared" ref="B38:Q38" si="4">COUNT(B9:B32)</f>
        <v>24</v>
      </c>
      <c r="C38" s="49">
        <f t="shared" si="4"/>
        <v>24</v>
      </c>
      <c r="D38" s="49">
        <f t="shared" si="4"/>
        <v>24</v>
      </c>
      <c r="E38" s="49">
        <f t="shared" si="4"/>
        <v>24</v>
      </c>
      <c r="F38" s="49">
        <f t="shared" si="4"/>
        <v>24</v>
      </c>
      <c r="G38" s="49">
        <f t="shared" si="4"/>
        <v>24</v>
      </c>
      <c r="H38" s="49">
        <f t="shared" si="4"/>
        <v>24</v>
      </c>
      <c r="I38" s="49">
        <f t="shared" si="4"/>
        <v>24</v>
      </c>
      <c r="J38" s="49">
        <f t="shared" si="4"/>
        <v>24</v>
      </c>
      <c r="K38" s="49">
        <f t="shared" si="4"/>
        <v>24</v>
      </c>
      <c r="L38" s="49">
        <f t="shared" si="4"/>
        <v>24</v>
      </c>
      <c r="M38" s="49">
        <f t="shared" si="4"/>
        <v>24</v>
      </c>
      <c r="N38" s="49">
        <f t="shared" si="4"/>
        <v>24</v>
      </c>
      <c r="O38" s="49">
        <f t="shared" si="4"/>
        <v>24</v>
      </c>
      <c r="P38" s="49">
        <f t="shared" si="4"/>
        <v>24</v>
      </c>
      <c r="Q38" s="49">
        <f t="shared" si="4"/>
        <v>24</v>
      </c>
      <c r="R38" s="49"/>
      <c r="S38" s="49"/>
      <c r="T38" s="49"/>
      <c r="U38" s="49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52"/>
      <c r="O41" s="52"/>
      <c r="P41" s="52"/>
      <c r="Q41" s="52"/>
      <c r="R41" s="52"/>
      <c r="S41" s="52"/>
      <c r="T41" s="52"/>
      <c r="U41" s="52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50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12" activePane="bottomRight" state="frozen"/>
      <selection activeCell="A9" sqref="A9"/>
      <selection pane="topRight" activeCell="A9" sqref="A9"/>
      <selection pane="bottomLeft" activeCell="A9" sqref="A9"/>
      <selection pane="bottomRight" activeCell="Q9" sqref="Q9:Q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45464.041666666664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5">
        <v>45464.041666666664</v>
      </c>
      <c r="B9" s="56">
        <v>9.1999999999999993</v>
      </c>
      <c r="C9" s="56">
        <v>4.0599999999999996</v>
      </c>
      <c r="D9" s="56">
        <v>13.95</v>
      </c>
      <c r="E9" s="56">
        <v>10.89</v>
      </c>
      <c r="F9" s="56">
        <v>12.64</v>
      </c>
      <c r="G9" s="56">
        <v>11.56</v>
      </c>
      <c r="H9" s="56">
        <v>7.49</v>
      </c>
      <c r="I9" s="56">
        <v>3.94</v>
      </c>
      <c r="J9" s="56">
        <v>0.2</v>
      </c>
      <c r="K9" s="56">
        <v>275.27</v>
      </c>
      <c r="L9" s="56">
        <v>25.09</v>
      </c>
      <c r="M9" s="56">
        <v>99.82</v>
      </c>
      <c r="N9" s="56">
        <v>2.5</v>
      </c>
      <c r="O9" s="56">
        <v>0</v>
      </c>
      <c r="P9" s="56">
        <v>0.46</v>
      </c>
      <c r="Q9" s="56">
        <v>4.0199999999999996</v>
      </c>
    </row>
    <row r="10" spans="1:21" customFormat="1">
      <c r="A10" s="55">
        <v>45464.083333333336</v>
      </c>
      <c r="B10" s="56">
        <v>9.23</v>
      </c>
      <c r="C10" s="56">
        <v>4.0599999999999996</v>
      </c>
      <c r="D10" s="56">
        <v>13.96</v>
      </c>
      <c r="E10" s="56">
        <v>9.01</v>
      </c>
      <c r="F10" s="56">
        <v>15.42</v>
      </c>
      <c r="G10" s="56">
        <v>12.21</v>
      </c>
      <c r="H10" s="56">
        <v>5.5</v>
      </c>
      <c r="I10" s="56">
        <v>3.76</v>
      </c>
      <c r="J10" s="56">
        <v>0.21</v>
      </c>
      <c r="K10" s="56">
        <v>224.99</v>
      </c>
      <c r="L10" s="56">
        <v>24.83</v>
      </c>
      <c r="M10" s="56">
        <v>100.4</v>
      </c>
      <c r="N10" s="56">
        <v>2.2999999999999998</v>
      </c>
      <c r="O10" s="56">
        <v>0</v>
      </c>
      <c r="P10" s="56">
        <v>0.34</v>
      </c>
      <c r="Q10" s="56">
        <v>4.03</v>
      </c>
    </row>
    <row r="11" spans="1:21" customFormat="1">
      <c r="A11" s="55">
        <v>45464.125</v>
      </c>
      <c r="B11" s="56">
        <v>9.2100000000000009</v>
      </c>
      <c r="C11" s="56">
        <v>4.08</v>
      </c>
      <c r="D11" s="56">
        <v>13.95</v>
      </c>
      <c r="E11" s="56">
        <v>8.43</v>
      </c>
      <c r="F11" s="56">
        <v>12.18</v>
      </c>
      <c r="G11" s="56">
        <v>11.06</v>
      </c>
      <c r="H11" s="56">
        <v>4.04</v>
      </c>
      <c r="I11" s="56">
        <v>3.12</v>
      </c>
      <c r="J11" s="56">
        <v>0.24</v>
      </c>
      <c r="K11" s="56">
        <v>229.31</v>
      </c>
      <c r="L11" s="56">
        <v>24.82</v>
      </c>
      <c r="M11" s="56">
        <v>100.93</v>
      </c>
      <c r="N11" s="56">
        <v>2.2000000000000002</v>
      </c>
      <c r="O11" s="56">
        <v>0.2</v>
      </c>
      <c r="P11" s="56">
        <v>0.31</v>
      </c>
      <c r="Q11" s="56">
        <v>4.0199999999999996</v>
      </c>
    </row>
    <row r="12" spans="1:21" customFormat="1">
      <c r="A12" s="55">
        <v>45464.166666666664</v>
      </c>
      <c r="B12" s="56">
        <v>9.15</v>
      </c>
      <c r="C12" s="56">
        <v>4.0999999999999996</v>
      </c>
      <c r="D12" s="56">
        <v>13.92</v>
      </c>
      <c r="E12" s="56">
        <v>8.6199999999999992</v>
      </c>
      <c r="F12" s="56">
        <v>10.99</v>
      </c>
      <c r="G12" s="56">
        <v>8.1</v>
      </c>
      <c r="H12" s="56">
        <v>3.06</v>
      </c>
      <c r="I12" s="56">
        <v>3.16</v>
      </c>
      <c r="J12" s="56">
        <v>0.19</v>
      </c>
      <c r="K12" s="56">
        <v>223.21</v>
      </c>
      <c r="L12" s="56">
        <v>24.95</v>
      </c>
      <c r="M12" s="56">
        <v>101.84</v>
      </c>
      <c r="N12" s="56">
        <v>2.2000000000000002</v>
      </c>
      <c r="O12" s="56">
        <v>0</v>
      </c>
      <c r="P12" s="56">
        <v>0.32</v>
      </c>
      <c r="Q12" s="56">
        <v>4.0199999999999996</v>
      </c>
    </row>
    <row r="13" spans="1:21" customFormat="1">
      <c r="A13" s="55">
        <v>45464.208333333336</v>
      </c>
      <c r="B13" s="56">
        <v>9.15</v>
      </c>
      <c r="C13" s="56">
        <v>4.09</v>
      </c>
      <c r="D13" s="56">
        <v>13.91</v>
      </c>
      <c r="E13" s="56">
        <v>9.16</v>
      </c>
      <c r="F13" s="56">
        <v>9.99</v>
      </c>
      <c r="G13" s="56">
        <v>8.1</v>
      </c>
      <c r="H13" s="56">
        <v>2.97</v>
      </c>
      <c r="I13" s="56">
        <v>3.04</v>
      </c>
      <c r="J13" s="56">
        <v>0.15</v>
      </c>
      <c r="K13" s="56">
        <v>241.57</v>
      </c>
      <c r="L13" s="56">
        <v>25.03</v>
      </c>
      <c r="M13" s="56">
        <v>102.01</v>
      </c>
      <c r="N13" s="56">
        <v>2.2000000000000002</v>
      </c>
      <c r="O13" s="56">
        <v>0</v>
      </c>
      <c r="P13" s="56">
        <v>0.33</v>
      </c>
      <c r="Q13" s="56">
        <v>4.04</v>
      </c>
    </row>
    <row r="14" spans="1:21" customFormat="1">
      <c r="A14" s="55">
        <v>45464.25</v>
      </c>
      <c r="B14" s="56">
        <v>9.2100000000000009</v>
      </c>
      <c r="C14" s="56">
        <v>4.09</v>
      </c>
      <c r="D14" s="56">
        <v>13.97</v>
      </c>
      <c r="E14" s="56">
        <v>8.91</v>
      </c>
      <c r="F14" s="56">
        <v>7.19</v>
      </c>
      <c r="G14" s="56">
        <v>6.76</v>
      </c>
      <c r="H14" s="56">
        <v>3.14</v>
      </c>
      <c r="I14" s="56">
        <v>3.34</v>
      </c>
      <c r="J14" s="56">
        <v>0.13</v>
      </c>
      <c r="K14" s="56">
        <v>231.45</v>
      </c>
      <c r="L14" s="56">
        <v>25.24</v>
      </c>
      <c r="M14" s="56">
        <v>100.19</v>
      </c>
      <c r="N14" s="56">
        <v>14.8</v>
      </c>
      <c r="O14" s="56">
        <v>0</v>
      </c>
      <c r="P14" s="56">
        <v>0.37</v>
      </c>
      <c r="Q14" s="56">
        <v>4.05</v>
      </c>
    </row>
    <row r="15" spans="1:21" customFormat="1">
      <c r="A15" s="55">
        <v>45464.291666666664</v>
      </c>
      <c r="B15" s="56">
        <v>9.19</v>
      </c>
      <c r="C15" s="56">
        <v>4.0999999999999996</v>
      </c>
      <c r="D15" s="56">
        <v>13.96</v>
      </c>
      <c r="E15" s="56">
        <v>9.65</v>
      </c>
      <c r="F15" s="56">
        <v>5.76</v>
      </c>
      <c r="G15" s="56">
        <v>6.1</v>
      </c>
      <c r="H15" s="56">
        <v>2.61</v>
      </c>
      <c r="I15" s="56">
        <v>3.09</v>
      </c>
      <c r="J15" s="56">
        <v>0.2</v>
      </c>
      <c r="K15" s="56">
        <v>172.63</v>
      </c>
      <c r="L15" s="56">
        <v>26.25</v>
      </c>
      <c r="M15" s="56">
        <v>98.25</v>
      </c>
      <c r="N15" s="56">
        <v>64.900000000000006</v>
      </c>
      <c r="O15" s="56">
        <v>0</v>
      </c>
      <c r="P15" s="56">
        <v>0.37</v>
      </c>
      <c r="Q15" s="56">
        <v>4.05</v>
      </c>
    </row>
    <row r="16" spans="1:21" customFormat="1">
      <c r="A16" s="55">
        <v>45464.333333333336</v>
      </c>
      <c r="B16" s="56">
        <v>9.16</v>
      </c>
      <c r="C16" s="56">
        <v>4.09</v>
      </c>
      <c r="D16" s="56">
        <v>13.93</v>
      </c>
      <c r="E16" s="56">
        <v>9.7799999999999994</v>
      </c>
      <c r="F16" s="56">
        <v>4.99</v>
      </c>
      <c r="G16" s="56">
        <v>6.58</v>
      </c>
      <c r="H16" s="56">
        <v>2.63</v>
      </c>
      <c r="I16" s="56">
        <v>3.35</v>
      </c>
      <c r="J16" s="56">
        <v>0.15</v>
      </c>
      <c r="K16" s="56">
        <v>204.8</v>
      </c>
      <c r="L16" s="56">
        <v>26.56</v>
      </c>
      <c r="M16" s="56">
        <v>94.92</v>
      </c>
      <c r="N16" s="56">
        <v>55.1</v>
      </c>
      <c r="O16" s="56">
        <v>0</v>
      </c>
      <c r="P16" s="56">
        <v>0.37</v>
      </c>
      <c r="Q16" s="56">
        <v>4.03</v>
      </c>
    </row>
    <row r="17" spans="1:17" customFormat="1">
      <c r="A17" s="55">
        <v>45464.375</v>
      </c>
      <c r="B17" s="56">
        <v>9.16</v>
      </c>
      <c r="C17" s="56">
        <v>4.07</v>
      </c>
      <c r="D17" s="56">
        <v>13.92</v>
      </c>
      <c r="E17" s="56">
        <v>10.89</v>
      </c>
      <c r="F17" s="56">
        <v>4.82</v>
      </c>
      <c r="G17" s="56">
        <v>8.61</v>
      </c>
      <c r="H17" s="56">
        <v>2.13</v>
      </c>
      <c r="I17" s="56">
        <v>3.45</v>
      </c>
      <c r="J17" s="56">
        <v>0.24</v>
      </c>
      <c r="K17" s="56">
        <v>232.76</v>
      </c>
      <c r="L17" s="56">
        <v>27.37</v>
      </c>
      <c r="M17" s="56">
        <v>92.22</v>
      </c>
      <c r="N17" s="56">
        <v>139.69999999999999</v>
      </c>
      <c r="O17" s="56">
        <v>0</v>
      </c>
      <c r="P17" s="56">
        <v>0.38</v>
      </c>
      <c r="Q17" s="56">
        <v>4.0199999999999996</v>
      </c>
    </row>
    <row r="18" spans="1:17" customFormat="1">
      <c r="A18" s="55">
        <v>45464.416666666664</v>
      </c>
      <c r="B18" s="56">
        <v>9.16</v>
      </c>
      <c r="C18" s="56">
        <v>4.0599999999999996</v>
      </c>
      <c r="D18" s="56">
        <v>13.9</v>
      </c>
      <c r="E18" s="56">
        <v>11.13</v>
      </c>
      <c r="F18" s="56">
        <v>10.220000000000001</v>
      </c>
      <c r="G18" s="56">
        <v>7.48</v>
      </c>
      <c r="H18" s="56">
        <v>2.36</v>
      </c>
      <c r="I18" s="56">
        <v>3.61</v>
      </c>
      <c r="J18" s="56">
        <v>0.59</v>
      </c>
      <c r="K18" s="56">
        <v>275.45</v>
      </c>
      <c r="L18" s="56">
        <v>28.7</v>
      </c>
      <c r="M18" s="56">
        <v>89.7</v>
      </c>
      <c r="N18" s="56">
        <v>282.39999999999998</v>
      </c>
      <c r="O18" s="56">
        <v>0</v>
      </c>
      <c r="P18" s="56">
        <v>0.4</v>
      </c>
      <c r="Q18" s="56">
        <v>4.0199999999999996</v>
      </c>
    </row>
    <row r="19" spans="1:17" customFormat="1">
      <c r="A19" s="55">
        <v>45464.458333333336</v>
      </c>
      <c r="B19" s="56">
        <v>9.17</v>
      </c>
      <c r="C19" s="56">
        <v>4.0599999999999996</v>
      </c>
      <c r="D19" s="56">
        <v>13.91</v>
      </c>
      <c r="E19" s="56">
        <v>12.03</v>
      </c>
      <c r="F19" s="56">
        <v>10.94</v>
      </c>
      <c r="G19" s="56">
        <v>10.81</v>
      </c>
      <c r="H19" s="56">
        <v>3.83</v>
      </c>
      <c r="I19" s="56">
        <v>4.43</v>
      </c>
      <c r="J19" s="56">
        <v>0.87</v>
      </c>
      <c r="K19" s="56">
        <v>282.04000000000002</v>
      </c>
      <c r="L19" s="56">
        <v>31.43</v>
      </c>
      <c r="M19" s="56">
        <v>81.489999999999995</v>
      </c>
      <c r="N19" s="56">
        <v>462.9</v>
      </c>
      <c r="O19" s="56">
        <v>0</v>
      </c>
      <c r="P19" s="56">
        <v>0.43</v>
      </c>
      <c r="Q19" s="56">
        <v>4.03</v>
      </c>
    </row>
    <row r="20" spans="1:17" customFormat="1">
      <c r="A20" s="55">
        <v>45464.5</v>
      </c>
      <c r="B20" s="56">
        <v>9.15</v>
      </c>
      <c r="C20" s="56">
        <v>4.1100000000000003</v>
      </c>
      <c r="D20" s="56">
        <v>13.93</v>
      </c>
      <c r="E20" s="56">
        <v>14.94</v>
      </c>
      <c r="F20" s="56">
        <v>28.01</v>
      </c>
      <c r="G20" s="56">
        <v>15.17</v>
      </c>
      <c r="H20" s="56">
        <v>6.16</v>
      </c>
      <c r="I20" s="56">
        <v>5.63</v>
      </c>
      <c r="J20" s="56">
        <v>0.76</v>
      </c>
      <c r="K20" s="56">
        <v>292.58</v>
      </c>
      <c r="L20" s="56">
        <v>31.46</v>
      </c>
      <c r="M20" s="56">
        <v>72.53</v>
      </c>
      <c r="N20" s="56">
        <v>453.1</v>
      </c>
      <c r="O20" s="56">
        <v>0</v>
      </c>
      <c r="P20" s="56">
        <v>0.52</v>
      </c>
      <c r="Q20" s="56">
        <v>4.0199999999999996</v>
      </c>
    </row>
    <row r="21" spans="1:17" customFormat="1">
      <c r="A21" s="55">
        <v>45464.541666666664</v>
      </c>
      <c r="B21" s="56">
        <v>9.16</v>
      </c>
      <c r="C21" s="56">
        <v>4.09</v>
      </c>
      <c r="D21" s="56">
        <v>13.93</v>
      </c>
      <c r="E21" s="56">
        <v>17.39</v>
      </c>
      <c r="F21" s="56">
        <v>28.36</v>
      </c>
      <c r="G21" s="56">
        <v>17.16</v>
      </c>
      <c r="H21" s="56">
        <v>7.01</v>
      </c>
      <c r="I21" s="56">
        <v>6.02</v>
      </c>
      <c r="J21" s="56">
        <v>0.67</v>
      </c>
      <c r="K21" s="56">
        <v>288.27</v>
      </c>
      <c r="L21" s="56">
        <v>31.75</v>
      </c>
      <c r="M21" s="56">
        <v>71.33</v>
      </c>
      <c r="N21" s="56">
        <v>351.1</v>
      </c>
      <c r="O21" s="56">
        <v>0</v>
      </c>
      <c r="P21" s="56">
        <v>0.52</v>
      </c>
      <c r="Q21" s="56">
        <v>4.03</v>
      </c>
    </row>
    <row r="22" spans="1:17" customFormat="1">
      <c r="A22" s="55">
        <v>45464.583333333336</v>
      </c>
      <c r="B22" s="56">
        <v>9.17</v>
      </c>
      <c r="C22" s="56">
        <v>4.0999999999999996</v>
      </c>
      <c r="D22" s="56">
        <v>13.94</v>
      </c>
      <c r="E22" s="56">
        <v>16.75</v>
      </c>
      <c r="F22" s="56">
        <v>42.16</v>
      </c>
      <c r="G22" s="56">
        <v>28.17</v>
      </c>
      <c r="H22" s="56">
        <v>10.02</v>
      </c>
      <c r="I22" s="56">
        <v>6.12</v>
      </c>
      <c r="J22" s="56">
        <v>0.67</v>
      </c>
      <c r="K22" s="56">
        <v>305.72000000000003</v>
      </c>
      <c r="L22" s="56">
        <v>33.46</v>
      </c>
      <c r="M22" s="56">
        <v>70.22</v>
      </c>
      <c r="N22" s="56">
        <v>528.6</v>
      </c>
      <c r="O22" s="56">
        <v>0</v>
      </c>
      <c r="P22" s="56">
        <v>0.55000000000000004</v>
      </c>
      <c r="Q22" s="56">
        <v>4.01</v>
      </c>
    </row>
    <row r="23" spans="1:17" customFormat="1">
      <c r="A23" s="55">
        <v>45464.625</v>
      </c>
      <c r="B23" s="56">
        <v>9.17</v>
      </c>
      <c r="C23" s="56">
        <v>4.07</v>
      </c>
      <c r="D23" s="56">
        <v>13.92</v>
      </c>
      <c r="E23" s="56">
        <v>17.57</v>
      </c>
      <c r="F23" s="56">
        <v>27.53</v>
      </c>
      <c r="G23" s="56">
        <v>30.12</v>
      </c>
      <c r="H23" s="56">
        <v>11.66</v>
      </c>
      <c r="I23" s="56">
        <v>6.64</v>
      </c>
      <c r="J23" s="56">
        <v>0.95</v>
      </c>
      <c r="K23" s="56">
        <v>292.20999999999998</v>
      </c>
      <c r="L23" s="56">
        <v>33.78</v>
      </c>
      <c r="M23" s="56">
        <v>65.319999999999993</v>
      </c>
      <c r="N23" s="56">
        <v>514.5</v>
      </c>
      <c r="O23" s="56">
        <v>0</v>
      </c>
      <c r="P23" s="56">
        <v>0.59</v>
      </c>
      <c r="Q23" s="56">
        <v>3.99</v>
      </c>
    </row>
    <row r="24" spans="1:17" customFormat="1">
      <c r="A24" s="55">
        <v>45464.666666666664</v>
      </c>
      <c r="B24" s="56">
        <v>9.17</v>
      </c>
      <c r="C24" s="56">
        <v>4.0999999999999996</v>
      </c>
      <c r="D24" s="56">
        <v>13.94</v>
      </c>
      <c r="E24" s="56">
        <v>13.63</v>
      </c>
      <c r="F24" s="56">
        <v>25.65</v>
      </c>
      <c r="G24" s="56">
        <v>30.35</v>
      </c>
      <c r="H24" s="56">
        <v>12.07</v>
      </c>
      <c r="I24" s="56">
        <v>6.45</v>
      </c>
      <c r="J24" s="56">
        <v>0.39</v>
      </c>
      <c r="K24" s="56">
        <v>234.19</v>
      </c>
      <c r="L24" s="56">
        <v>34.83</v>
      </c>
      <c r="M24" s="56">
        <v>63.75</v>
      </c>
      <c r="N24" s="56">
        <v>454.5</v>
      </c>
      <c r="O24" s="56">
        <v>0</v>
      </c>
      <c r="P24" s="56">
        <v>0.56999999999999995</v>
      </c>
      <c r="Q24" s="56">
        <v>3.98</v>
      </c>
    </row>
    <row r="25" spans="1:17" customFormat="1">
      <c r="A25" s="55">
        <v>45464.708333333336</v>
      </c>
      <c r="B25" s="56">
        <v>9.16</v>
      </c>
      <c r="C25" s="56">
        <v>4.09</v>
      </c>
      <c r="D25" s="56">
        <v>13.92</v>
      </c>
      <c r="E25" s="56">
        <v>13.79</v>
      </c>
      <c r="F25" s="56">
        <v>31.92</v>
      </c>
      <c r="G25" s="56">
        <v>30.5</v>
      </c>
      <c r="H25" s="56">
        <v>15.08</v>
      </c>
      <c r="I25" s="56">
        <v>6.05</v>
      </c>
      <c r="J25" s="56">
        <v>0.37</v>
      </c>
      <c r="K25" s="56">
        <v>245.46</v>
      </c>
      <c r="L25" s="56">
        <v>33.94</v>
      </c>
      <c r="M25" s="56">
        <v>63.76</v>
      </c>
      <c r="N25" s="56">
        <v>178</v>
      </c>
      <c r="O25" s="56">
        <v>0</v>
      </c>
      <c r="P25" s="56">
        <v>0.56000000000000005</v>
      </c>
      <c r="Q25" s="56">
        <v>3.98</v>
      </c>
    </row>
    <row r="26" spans="1:17" customFormat="1">
      <c r="A26" s="55">
        <v>45464.75</v>
      </c>
      <c r="B26" s="56">
        <v>9.17</v>
      </c>
      <c r="C26" s="56">
        <v>4.08</v>
      </c>
      <c r="D26" s="56">
        <v>13.91</v>
      </c>
      <c r="E26" s="56">
        <v>13.01</v>
      </c>
      <c r="F26" s="56">
        <v>27.56</v>
      </c>
      <c r="G26" s="56">
        <v>30.43</v>
      </c>
      <c r="H26" s="56">
        <v>16.46</v>
      </c>
      <c r="I26" s="56">
        <v>5.67</v>
      </c>
      <c r="J26" s="56">
        <v>1.43</v>
      </c>
      <c r="K26" s="56">
        <v>334.62</v>
      </c>
      <c r="L26" s="56">
        <v>33.1</v>
      </c>
      <c r="M26" s="56">
        <v>66.09</v>
      </c>
      <c r="N26" s="56">
        <v>97.4</v>
      </c>
      <c r="O26" s="56">
        <v>0</v>
      </c>
      <c r="P26" s="56">
        <v>0.54</v>
      </c>
      <c r="Q26" s="56">
        <v>4.01</v>
      </c>
    </row>
    <row r="27" spans="1:17" customFormat="1">
      <c r="A27" s="55">
        <v>45464.791666666664</v>
      </c>
      <c r="B27" s="56">
        <v>9.15</v>
      </c>
      <c r="C27" s="56">
        <v>4.1100000000000003</v>
      </c>
      <c r="D27" s="56">
        <v>13.93</v>
      </c>
      <c r="E27" s="56">
        <v>11.05</v>
      </c>
      <c r="F27" s="56">
        <v>10.56</v>
      </c>
      <c r="G27" s="56">
        <v>31.31</v>
      </c>
      <c r="H27" s="56">
        <v>14.78</v>
      </c>
      <c r="I27" s="56">
        <v>5.6</v>
      </c>
      <c r="J27" s="56">
        <v>2.86</v>
      </c>
      <c r="K27" s="56">
        <v>204.97</v>
      </c>
      <c r="L27" s="56">
        <v>29.14</v>
      </c>
      <c r="M27" s="56">
        <v>96.6</v>
      </c>
      <c r="N27" s="56">
        <v>9.1</v>
      </c>
      <c r="O27" s="56">
        <v>1</v>
      </c>
      <c r="P27" s="56">
        <v>0.53</v>
      </c>
      <c r="Q27" s="56">
        <v>4.0599999999999996</v>
      </c>
    </row>
    <row r="28" spans="1:17" customFormat="1">
      <c r="A28" s="55">
        <v>45464.833333333336</v>
      </c>
      <c r="B28" s="56">
        <v>9.17</v>
      </c>
      <c r="C28" s="56">
        <v>4.07</v>
      </c>
      <c r="D28" s="56">
        <v>13.92</v>
      </c>
      <c r="E28" s="56">
        <v>10.36</v>
      </c>
      <c r="F28" s="56">
        <v>17.32</v>
      </c>
      <c r="G28" s="56">
        <v>31.32</v>
      </c>
      <c r="H28" s="56">
        <v>11.11</v>
      </c>
      <c r="I28" s="56">
        <v>5.24</v>
      </c>
      <c r="J28" s="56">
        <v>0.24</v>
      </c>
      <c r="K28" s="56">
        <v>270.02</v>
      </c>
      <c r="L28" s="56">
        <v>25.96</v>
      </c>
      <c r="M28" s="56">
        <v>99.86</v>
      </c>
      <c r="N28" s="56">
        <v>2.5</v>
      </c>
      <c r="O28" s="56">
        <v>0.4</v>
      </c>
      <c r="P28" s="56">
        <v>0.51</v>
      </c>
      <c r="Q28" s="56">
        <v>4.08</v>
      </c>
    </row>
    <row r="29" spans="1:17" customFormat="1">
      <c r="A29" s="55">
        <v>45464.875</v>
      </c>
      <c r="B29" s="56">
        <v>9.19</v>
      </c>
      <c r="C29" s="56">
        <v>4.09</v>
      </c>
      <c r="D29" s="56">
        <v>13.95</v>
      </c>
      <c r="E29" s="56">
        <v>7.65</v>
      </c>
      <c r="F29" s="56">
        <v>19.649999999999999</v>
      </c>
      <c r="G29" s="56">
        <v>24.94</v>
      </c>
      <c r="H29" s="56">
        <v>11.54</v>
      </c>
      <c r="I29" s="56">
        <v>4.82</v>
      </c>
      <c r="J29" s="56">
        <v>0.62</v>
      </c>
      <c r="K29" s="56">
        <v>269.13</v>
      </c>
      <c r="L29" s="56">
        <v>25.62</v>
      </c>
      <c r="M29" s="56">
        <v>100.17</v>
      </c>
      <c r="N29" s="56">
        <v>2.6</v>
      </c>
      <c r="O29" s="56">
        <v>1.2</v>
      </c>
      <c r="P29" s="56">
        <v>0.4</v>
      </c>
      <c r="Q29" s="56">
        <v>4.0199999999999996</v>
      </c>
    </row>
    <row r="30" spans="1:17" customFormat="1">
      <c r="A30" s="55">
        <v>45464.916666666664</v>
      </c>
      <c r="B30" s="56">
        <v>9.1999999999999993</v>
      </c>
      <c r="C30" s="56">
        <v>4.08</v>
      </c>
      <c r="D30" s="56">
        <v>13.94</v>
      </c>
      <c r="E30" s="56">
        <v>7.39</v>
      </c>
      <c r="F30" s="56">
        <v>21.87</v>
      </c>
      <c r="G30" s="56">
        <v>16.510000000000002</v>
      </c>
      <c r="H30" s="56">
        <v>8.41</v>
      </c>
      <c r="I30" s="56">
        <v>4.51</v>
      </c>
      <c r="J30" s="56">
        <v>0.76</v>
      </c>
      <c r="K30" s="56">
        <v>253.72</v>
      </c>
      <c r="L30" s="56">
        <v>25.06</v>
      </c>
      <c r="M30" s="56">
        <v>101.91</v>
      </c>
      <c r="N30" s="56">
        <v>3</v>
      </c>
      <c r="O30" s="56">
        <v>1</v>
      </c>
      <c r="P30" s="56">
        <v>0.37</v>
      </c>
      <c r="Q30" s="56">
        <v>4.08</v>
      </c>
    </row>
    <row r="31" spans="1:17" customFormat="1">
      <c r="A31" s="55">
        <v>45464.958333333336</v>
      </c>
      <c r="B31" s="56">
        <v>9.11</v>
      </c>
      <c r="C31" s="56">
        <v>4.07</v>
      </c>
      <c r="D31" s="56">
        <v>13.87</v>
      </c>
      <c r="E31" s="56">
        <v>7.36</v>
      </c>
      <c r="F31" s="56">
        <v>23.11</v>
      </c>
      <c r="G31" s="56">
        <v>13.51</v>
      </c>
      <c r="H31" s="56">
        <v>5.89</v>
      </c>
      <c r="I31" s="56">
        <v>4.32</v>
      </c>
      <c r="J31" s="56">
        <v>0.2</v>
      </c>
      <c r="K31" s="56">
        <v>227.66</v>
      </c>
      <c r="L31" s="56">
        <v>24.99</v>
      </c>
      <c r="M31" s="56">
        <v>103.29</v>
      </c>
      <c r="N31" s="56">
        <v>2.4</v>
      </c>
      <c r="O31" s="56">
        <v>1.2</v>
      </c>
      <c r="P31" s="56">
        <v>0.34</v>
      </c>
      <c r="Q31" s="56">
        <v>4.03</v>
      </c>
    </row>
    <row r="32" spans="1:17" customFormat="1">
      <c r="A32" s="55">
        <v>45465</v>
      </c>
      <c r="B32" s="56">
        <v>9.11</v>
      </c>
      <c r="C32" s="56">
        <v>4.08</v>
      </c>
      <c r="D32" s="56">
        <v>13.88</v>
      </c>
      <c r="E32" s="56">
        <v>8.11</v>
      </c>
      <c r="F32" s="56">
        <v>21.36</v>
      </c>
      <c r="G32" s="56">
        <v>11.57</v>
      </c>
      <c r="H32" s="56">
        <v>4.49</v>
      </c>
      <c r="I32" s="56">
        <v>3.47</v>
      </c>
      <c r="J32" s="56">
        <v>0.47</v>
      </c>
      <c r="K32" s="56">
        <v>263.48</v>
      </c>
      <c r="L32" s="56">
        <v>24.72</v>
      </c>
      <c r="M32" s="56">
        <v>104.3</v>
      </c>
      <c r="N32" s="56">
        <v>2.8</v>
      </c>
      <c r="O32" s="56">
        <v>0.6</v>
      </c>
      <c r="P32" s="56">
        <v>0.37</v>
      </c>
      <c r="Q32" s="56">
        <v>4.05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9.11</v>
      </c>
      <c r="C34" s="41">
        <f t="shared" si="0"/>
        <v>4.0599999999999996</v>
      </c>
      <c r="D34" s="41">
        <f t="shared" si="0"/>
        <v>13.87</v>
      </c>
      <c r="E34" s="41">
        <f t="shared" si="0"/>
        <v>7.36</v>
      </c>
      <c r="F34" s="41">
        <f t="shared" si="0"/>
        <v>4.82</v>
      </c>
      <c r="G34" s="41">
        <f t="shared" si="0"/>
        <v>6.1</v>
      </c>
      <c r="H34" s="41">
        <f t="shared" si="0"/>
        <v>2.13</v>
      </c>
      <c r="I34" s="41">
        <f t="shared" si="0"/>
        <v>3.04</v>
      </c>
      <c r="J34" s="41">
        <f t="shared" si="0"/>
        <v>0.13</v>
      </c>
      <c r="K34" s="41">
        <f t="shared" si="0"/>
        <v>172.63</v>
      </c>
      <c r="L34" s="41">
        <f t="shared" si="0"/>
        <v>24.72</v>
      </c>
      <c r="M34" s="41">
        <f t="shared" si="0"/>
        <v>63.75</v>
      </c>
      <c r="N34" s="41">
        <f t="shared" si="0"/>
        <v>2.2000000000000002</v>
      </c>
      <c r="O34" s="41">
        <f t="shared" si="0"/>
        <v>0</v>
      </c>
      <c r="P34" s="41">
        <f t="shared" si="0"/>
        <v>0.31</v>
      </c>
      <c r="Q34" s="41">
        <f t="shared" si="0"/>
        <v>3.98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9.23</v>
      </c>
      <c r="C35" s="33">
        <f t="shared" si="1"/>
        <v>4.1100000000000003</v>
      </c>
      <c r="D35" s="33">
        <f t="shared" si="1"/>
        <v>13.97</v>
      </c>
      <c r="E35" s="33">
        <f t="shared" si="1"/>
        <v>17.57</v>
      </c>
      <c r="F35" s="33">
        <f t="shared" si="1"/>
        <v>42.16</v>
      </c>
      <c r="G35" s="33">
        <f t="shared" si="1"/>
        <v>31.32</v>
      </c>
      <c r="H35" s="33">
        <f t="shared" si="1"/>
        <v>16.46</v>
      </c>
      <c r="I35" s="33">
        <f t="shared" si="1"/>
        <v>6.64</v>
      </c>
      <c r="J35" s="33">
        <f t="shared" si="1"/>
        <v>2.86</v>
      </c>
      <c r="K35" s="33">
        <f t="shared" si="1"/>
        <v>334.62</v>
      </c>
      <c r="L35" s="33">
        <f t="shared" si="1"/>
        <v>34.83</v>
      </c>
      <c r="M35" s="33">
        <f t="shared" si="1"/>
        <v>104.3</v>
      </c>
      <c r="N35" s="33">
        <f t="shared" si="1"/>
        <v>528.6</v>
      </c>
      <c r="O35" s="33">
        <f t="shared" si="1"/>
        <v>1.2</v>
      </c>
      <c r="P35" s="33">
        <f t="shared" si="1"/>
        <v>0.59</v>
      </c>
      <c r="Q35" s="33">
        <f t="shared" si="1"/>
        <v>4.08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9.1695833333333301</v>
      </c>
      <c r="C36" s="41">
        <f t="shared" si="2"/>
        <v>4.0833333333333339</v>
      </c>
      <c r="D36" s="41">
        <f t="shared" si="2"/>
        <v>13.9275</v>
      </c>
      <c r="E36" s="41">
        <f t="shared" si="2"/>
        <v>11.14583333333333</v>
      </c>
      <c r="F36" s="41">
        <f t="shared" si="2"/>
        <v>17.925000000000001</v>
      </c>
      <c r="G36" s="41">
        <f t="shared" si="2"/>
        <v>17.017916666666665</v>
      </c>
      <c r="H36" s="41">
        <f t="shared" si="2"/>
        <v>7.2683333333333335</v>
      </c>
      <c r="I36" s="41">
        <f t="shared" si="2"/>
        <v>4.534583333333333</v>
      </c>
      <c r="J36" s="41">
        <f t="shared" si="2"/>
        <v>0.56499999999999995</v>
      </c>
      <c r="K36" s="41">
        <f t="shared" si="2"/>
        <v>253.14624999999992</v>
      </c>
      <c r="L36" s="41">
        <f t="shared" si="2"/>
        <v>28.253333333333334</v>
      </c>
      <c r="M36" s="41">
        <f t="shared" si="2"/>
        <v>89.204166666666652</v>
      </c>
      <c r="N36" s="41">
        <f t="shared" si="2"/>
        <v>151.28333333333333</v>
      </c>
      <c r="O36" s="41">
        <f t="shared" si="2"/>
        <v>0.23333333333333331</v>
      </c>
      <c r="P36" s="41">
        <f t="shared" si="2"/>
        <v>0.43541666666666656</v>
      </c>
      <c r="Q36" s="41">
        <f t="shared" si="2"/>
        <v>4.027916666666667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2.8510740412002373E-2</v>
      </c>
      <c r="C37" s="41">
        <f t="shared" ref="C37:Q37" si="3">STDEV(C9:C32)</f>
        <v>1.5788456616111699E-2</v>
      </c>
      <c r="D37" s="41">
        <f t="shared" si="3"/>
        <v>2.4182278815191357E-2</v>
      </c>
      <c r="E37" s="41">
        <f t="shared" si="3"/>
        <v>3.1310380507688453</v>
      </c>
      <c r="F37" s="41">
        <f t="shared" si="3"/>
        <v>9.8667152368565567</v>
      </c>
      <c r="G37" s="41">
        <f t="shared" si="3"/>
        <v>9.6317378355042536</v>
      </c>
      <c r="H37" s="41">
        <f t="shared" si="3"/>
        <v>4.5177386288762413</v>
      </c>
      <c r="I37" s="41">
        <f t="shared" si="3"/>
        <v>1.2254262050641718</v>
      </c>
      <c r="J37" s="41">
        <f t="shared" si="3"/>
        <v>0.58802543571131205</v>
      </c>
      <c r="K37" s="41">
        <f t="shared" si="3"/>
        <v>37.108731166726777</v>
      </c>
      <c r="L37" s="41">
        <f t="shared" si="3"/>
        <v>3.6558608891175872</v>
      </c>
      <c r="M37" s="41">
        <f t="shared" si="3"/>
        <v>15.090171842357757</v>
      </c>
      <c r="N37" s="41">
        <f t="shared" si="3"/>
        <v>196.96769911016787</v>
      </c>
      <c r="O37" s="41">
        <f t="shared" si="3"/>
        <v>0.42392233360314513</v>
      </c>
      <c r="P37" s="41">
        <f t="shared" si="3"/>
        <v>9.240643524864714E-2</v>
      </c>
      <c r="Q37" s="41">
        <f t="shared" si="3"/>
        <v>2.5703859745125873E-2</v>
      </c>
      <c r="R37" s="41"/>
      <c r="S37" s="41"/>
      <c r="T37" s="41"/>
      <c r="U37" s="41"/>
    </row>
    <row r="38" spans="1:21" s="1" customFormat="1">
      <c r="A38" s="48" t="s">
        <v>52</v>
      </c>
      <c r="B38" s="49">
        <f t="shared" ref="B38:Q38" si="4">COUNT(B9:B32)</f>
        <v>24</v>
      </c>
      <c r="C38" s="49">
        <f t="shared" si="4"/>
        <v>24</v>
      </c>
      <c r="D38" s="49">
        <f t="shared" si="4"/>
        <v>24</v>
      </c>
      <c r="E38" s="49">
        <f t="shared" si="4"/>
        <v>24</v>
      </c>
      <c r="F38" s="49">
        <f t="shared" si="4"/>
        <v>24</v>
      </c>
      <c r="G38" s="49">
        <f t="shared" si="4"/>
        <v>24</v>
      </c>
      <c r="H38" s="49">
        <f t="shared" si="4"/>
        <v>24</v>
      </c>
      <c r="I38" s="49">
        <f t="shared" si="4"/>
        <v>24</v>
      </c>
      <c r="J38" s="49">
        <f t="shared" si="4"/>
        <v>24</v>
      </c>
      <c r="K38" s="49">
        <f t="shared" si="4"/>
        <v>24</v>
      </c>
      <c r="L38" s="49">
        <f t="shared" si="4"/>
        <v>24</v>
      </c>
      <c r="M38" s="49">
        <f t="shared" si="4"/>
        <v>24</v>
      </c>
      <c r="N38" s="49">
        <f t="shared" si="4"/>
        <v>24</v>
      </c>
      <c r="O38" s="49">
        <f t="shared" si="4"/>
        <v>24</v>
      </c>
      <c r="P38" s="49">
        <f t="shared" si="4"/>
        <v>24</v>
      </c>
      <c r="Q38" s="49">
        <f t="shared" si="4"/>
        <v>24</v>
      </c>
      <c r="R38" s="49"/>
      <c r="S38" s="49"/>
      <c r="T38" s="49"/>
      <c r="U38" s="49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52"/>
      <c r="O41" s="52"/>
      <c r="P41" s="52"/>
      <c r="Q41" s="52"/>
      <c r="R41" s="52"/>
      <c r="S41" s="52"/>
      <c r="T41" s="52"/>
      <c r="U41" s="52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50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19"/>
  <sheetViews>
    <sheetView tabSelected="1" zoomScale="85" zoomScaleNormal="85" workbookViewId="0">
      <pane xSplit="1" ySplit="8" topLeftCell="B33" activePane="bottomRight" state="frozen"/>
      <selection activeCell="A9" sqref="A9"/>
      <selection pane="topRight" activeCell="A9" sqref="A9"/>
      <selection pane="bottomLeft" activeCell="A9" sqref="A9"/>
      <selection pane="bottomRight" activeCell="Q32" sqref="Q9:Q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45465.041666666664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5">
        <v>45465.041666666664</v>
      </c>
      <c r="B9" s="56">
        <v>9.2799999999999994</v>
      </c>
      <c r="C9" s="56">
        <v>4.1100000000000003</v>
      </c>
      <c r="D9" s="56">
        <v>14.03</v>
      </c>
      <c r="E9" s="56">
        <v>8.42</v>
      </c>
      <c r="F9" s="56">
        <v>8.98</v>
      </c>
      <c r="G9" s="56">
        <v>13.69</v>
      </c>
      <c r="H9" s="56">
        <v>4.2300000000000004</v>
      </c>
      <c r="I9" s="56">
        <v>4.1399999999999997</v>
      </c>
      <c r="J9" s="56">
        <v>0.5</v>
      </c>
      <c r="K9" s="56">
        <v>267.39</v>
      </c>
      <c r="L9" s="56">
        <v>24.64</v>
      </c>
      <c r="M9" s="56">
        <v>104.03</v>
      </c>
      <c r="N9" s="56">
        <v>2.4</v>
      </c>
      <c r="O9" s="56">
        <v>0.2</v>
      </c>
      <c r="P9" s="56">
        <v>0.4</v>
      </c>
      <c r="Q9" s="56">
        <v>4.8099999999999996</v>
      </c>
    </row>
    <row r="10" spans="1:21" customFormat="1">
      <c r="A10" s="55">
        <v>45465.083333333336</v>
      </c>
      <c r="B10" s="56">
        <v>9.26</v>
      </c>
      <c r="C10" s="56">
        <v>4.09</v>
      </c>
      <c r="D10" s="56">
        <v>14.01</v>
      </c>
      <c r="E10" s="56">
        <v>8.2799999999999994</v>
      </c>
      <c r="F10" s="56">
        <v>6.54</v>
      </c>
      <c r="G10" s="56">
        <v>9.6999999999999993</v>
      </c>
      <c r="H10" s="56">
        <v>4.62</v>
      </c>
      <c r="I10" s="56">
        <v>3.86</v>
      </c>
      <c r="J10" s="56">
        <v>0.56000000000000005</v>
      </c>
      <c r="K10" s="56">
        <v>256</v>
      </c>
      <c r="L10" s="56">
        <v>24.71</v>
      </c>
      <c r="M10" s="56">
        <v>103.38</v>
      </c>
      <c r="N10" s="56">
        <v>2.4</v>
      </c>
      <c r="O10" s="56">
        <v>0</v>
      </c>
      <c r="P10" s="56">
        <v>0.4</v>
      </c>
      <c r="Q10" s="56">
        <v>4.8099999999999996</v>
      </c>
    </row>
    <row r="11" spans="1:21" customFormat="1">
      <c r="A11" s="55">
        <v>45465.125</v>
      </c>
      <c r="B11" s="56">
        <v>9.25</v>
      </c>
      <c r="C11" s="56">
        <v>4.09</v>
      </c>
      <c r="D11" s="56">
        <v>14</v>
      </c>
      <c r="E11" s="56">
        <v>9.31</v>
      </c>
      <c r="F11" s="56">
        <v>6.05</v>
      </c>
      <c r="G11" s="56">
        <v>6.84</v>
      </c>
      <c r="H11" s="56">
        <v>4.4400000000000004</v>
      </c>
      <c r="I11" s="56">
        <v>3.74</v>
      </c>
      <c r="J11" s="56">
        <v>0.34</v>
      </c>
      <c r="K11" s="56">
        <v>266.55</v>
      </c>
      <c r="L11" s="56">
        <v>24.59</v>
      </c>
      <c r="M11" s="56">
        <v>101.29</v>
      </c>
      <c r="N11" s="56">
        <v>2.5</v>
      </c>
      <c r="O11" s="56">
        <v>0</v>
      </c>
      <c r="P11" s="56">
        <v>0.38</v>
      </c>
      <c r="Q11" s="56">
        <v>4.82</v>
      </c>
    </row>
    <row r="12" spans="1:21" customFormat="1">
      <c r="A12" s="55">
        <v>45465.166666666664</v>
      </c>
      <c r="B12" s="56">
        <v>9.27</v>
      </c>
      <c r="C12" s="56">
        <v>4.09</v>
      </c>
      <c r="D12" s="56">
        <v>14</v>
      </c>
      <c r="E12" s="56">
        <v>9.91</v>
      </c>
      <c r="F12" s="56">
        <v>4.4000000000000004</v>
      </c>
      <c r="G12" s="56">
        <v>5.14</v>
      </c>
      <c r="H12" s="56">
        <v>3.2</v>
      </c>
      <c r="I12" s="56">
        <v>3.41</v>
      </c>
      <c r="J12" s="56">
        <v>0.25</v>
      </c>
      <c r="K12" s="56">
        <v>263.07</v>
      </c>
      <c r="L12" s="56">
        <v>24.78</v>
      </c>
      <c r="M12" s="56">
        <v>100.72</v>
      </c>
      <c r="N12" s="56">
        <v>2.6</v>
      </c>
      <c r="O12" s="56">
        <v>0</v>
      </c>
      <c r="P12" s="56">
        <v>0.37</v>
      </c>
      <c r="Q12" s="56">
        <v>4.8099999999999996</v>
      </c>
    </row>
    <row r="13" spans="1:21" customFormat="1">
      <c r="A13" s="55">
        <v>45465.208333333336</v>
      </c>
      <c r="B13" s="56">
        <v>9.27</v>
      </c>
      <c r="C13" s="56">
        <v>4.08</v>
      </c>
      <c r="D13" s="56">
        <v>13.99</v>
      </c>
      <c r="E13" s="56">
        <v>10.35</v>
      </c>
      <c r="F13" s="56">
        <v>7.36</v>
      </c>
      <c r="G13" s="56">
        <v>5.34</v>
      </c>
      <c r="H13" s="56">
        <v>2.48</v>
      </c>
      <c r="I13" s="56">
        <v>3.33</v>
      </c>
      <c r="J13" s="56">
        <v>0.26</v>
      </c>
      <c r="K13" s="56">
        <v>217.89</v>
      </c>
      <c r="L13" s="56">
        <v>24.97</v>
      </c>
      <c r="M13" s="56">
        <v>99.54</v>
      </c>
      <c r="N13" s="56">
        <v>2.7</v>
      </c>
      <c r="O13" s="56">
        <v>0</v>
      </c>
      <c r="P13" s="56">
        <v>0.37</v>
      </c>
      <c r="Q13" s="56">
        <v>4.8</v>
      </c>
    </row>
    <row r="14" spans="1:21" customFormat="1">
      <c r="A14" s="55">
        <v>45465.25</v>
      </c>
      <c r="B14" s="56">
        <v>9.35</v>
      </c>
      <c r="C14" s="56">
        <v>4.0999999999999996</v>
      </c>
      <c r="D14" s="56">
        <v>14.08</v>
      </c>
      <c r="E14" s="56">
        <v>8.9600000000000009</v>
      </c>
      <c r="F14" s="56">
        <v>15.44</v>
      </c>
      <c r="G14" s="56">
        <v>6.66</v>
      </c>
      <c r="H14" s="56">
        <v>2.0499999999999998</v>
      </c>
      <c r="I14" s="56">
        <v>3.37</v>
      </c>
      <c r="J14" s="56">
        <v>0.21</v>
      </c>
      <c r="K14" s="56">
        <v>207.41</v>
      </c>
      <c r="L14" s="56">
        <v>25.06</v>
      </c>
      <c r="M14" s="56">
        <v>101.08</v>
      </c>
      <c r="N14" s="56">
        <v>28.8</v>
      </c>
      <c r="O14" s="56">
        <v>0</v>
      </c>
      <c r="P14" s="56">
        <v>0.34</v>
      </c>
      <c r="Q14" s="56">
        <v>4.8099999999999996</v>
      </c>
    </row>
    <row r="15" spans="1:21" customFormat="1">
      <c r="A15" s="55">
        <v>45465.291666666664</v>
      </c>
      <c r="B15" s="56">
        <v>9.41</v>
      </c>
      <c r="C15" s="56">
        <v>4.07</v>
      </c>
      <c r="D15" s="56">
        <v>14.12</v>
      </c>
      <c r="E15" s="56">
        <v>8.0500000000000007</v>
      </c>
      <c r="F15" s="56">
        <v>15.84</v>
      </c>
      <c r="G15" s="56">
        <v>9.3000000000000007</v>
      </c>
      <c r="H15" s="56">
        <v>1.59</v>
      </c>
      <c r="I15" s="56">
        <v>3.05</v>
      </c>
      <c r="J15" s="56">
        <v>0.14000000000000001</v>
      </c>
      <c r="K15" s="56">
        <v>239.57</v>
      </c>
      <c r="L15" s="56">
        <v>25.82</v>
      </c>
      <c r="M15" s="56">
        <v>101.41</v>
      </c>
      <c r="N15" s="56">
        <v>110</v>
      </c>
      <c r="O15" s="56">
        <v>0</v>
      </c>
      <c r="P15" s="56">
        <v>0.32</v>
      </c>
      <c r="Q15" s="56">
        <v>4.83</v>
      </c>
    </row>
    <row r="16" spans="1:21" customFormat="1">
      <c r="A16" s="55">
        <v>45465.333333333336</v>
      </c>
      <c r="B16" s="56">
        <v>9.33</v>
      </c>
      <c r="C16" s="56">
        <v>4.08</v>
      </c>
      <c r="D16" s="56">
        <v>14.06</v>
      </c>
      <c r="E16" s="56">
        <v>8.66</v>
      </c>
      <c r="F16" s="56">
        <v>17.809999999999999</v>
      </c>
      <c r="G16" s="56">
        <v>7.89</v>
      </c>
      <c r="H16" s="56">
        <v>2.2000000000000002</v>
      </c>
      <c r="I16" s="56">
        <v>3.39</v>
      </c>
      <c r="J16" s="56">
        <v>0.19</v>
      </c>
      <c r="K16" s="56">
        <v>245.78</v>
      </c>
      <c r="L16" s="56">
        <v>26.46</v>
      </c>
      <c r="M16" s="56">
        <v>96.46</v>
      </c>
      <c r="N16" s="56">
        <v>121.4</v>
      </c>
      <c r="O16" s="56">
        <v>0</v>
      </c>
      <c r="P16" s="56">
        <v>0.33</v>
      </c>
      <c r="Q16" s="56">
        <v>4.83</v>
      </c>
    </row>
    <row r="17" spans="1:17" customFormat="1">
      <c r="A17" s="55">
        <v>45465.375</v>
      </c>
      <c r="B17" s="56">
        <v>9.33</v>
      </c>
      <c r="C17" s="56">
        <v>4.1100000000000003</v>
      </c>
      <c r="D17" s="56">
        <v>14.08</v>
      </c>
      <c r="E17" s="56">
        <v>8.48</v>
      </c>
      <c r="F17" s="56">
        <v>15.76</v>
      </c>
      <c r="G17" s="56">
        <v>8.0299999999999994</v>
      </c>
      <c r="H17" s="56">
        <v>3.92</v>
      </c>
      <c r="I17" s="56">
        <v>3.83</v>
      </c>
      <c r="J17" s="56">
        <v>0.46</v>
      </c>
      <c r="K17" s="56">
        <v>259.32</v>
      </c>
      <c r="L17" s="56">
        <v>27.42</v>
      </c>
      <c r="M17" s="56">
        <v>95.14</v>
      </c>
      <c r="N17" s="56">
        <v>215.2</v>
      </c>
      <c r="O17" s="56">
        <v>0</v>
      </c>
      <c r="P17" s="56">
        <v>0.35</v>
      </c>
      <c r="Q17" s="56">
        <v>4.82</v>
      </c>
    </row>
    <row r="18" spans="1:17" customFormat="1">
      <c r="A18" s="55">
        <v>45465.416666666664</v>
      </c>
      <c r="B18" s="56">
        <v>9.33</v>
      </c>
      <c r="C18" s="56">
        <v>4.08</v>
      </c>
      <c r="D18" s="56">
        <v>14.06</v>
      </c>
      <c r="E18" s="56">
        <v>9.6300000000000008</v>
      </c>
      <c r="F18" s="56">
        <v>9.68</v>
      </c>
      <c r="G18" s="56">
        <v>9.6</v>
      </c>
      <c r="H18" s="56">
        <v>6.65</v>
      </c>
      <c r="I18" s="56">
        <v>4.12</v>
      </c>
      <c r="J18" s="56">
        <v>0.57999999999999996</v>
      </c>
      <c r="K18" s="56">
        <v>261.22000000000003</v>
      </c>
      <c r="L18" s="56">
        <v>28.04</v>
      </c>
      <c r="M18" s="56">
        <v>90.11</v>
      </c>
      <c r="N18" s="56">
        <v>275</v>
      </c>
      <c r="O18" s="56">
        <v>0</v>
      </c>
      <c r="P18" s="56">
        <v>0.48</v>
      </c>
      <c r="Q18" s="56">
        <v>4.82</v>
      </c>
    </row>
    <row r="19" spans="1:17" customFormat="1">
      <c r="A19" s="55">
        <v>45465.458333333336</v>
      </c>
      <c r="B19" s="56">
        <v>9.3000000000000007</v>
      </c>
      <c r="C19" s="56">
        <v>4.0999999999999996</v>
      </c>
      <c r="D19" s="56">
        <v>14.05</v>
      </c>
      <c r="E19" s="56">
        <v>10.29</v>
      </c>
      <c r="F19" s="56">
        <v>6.75</v>
      </c>
      <c r="G19" s="56">
        <v>11.54</v>
      </c>
      <c r="H19" s="56">
        <v>7.7</v>
      </c>
      <c r="I19" s="56">
        <v>4.55</v>
      </c>
      <c r="J19" s="56">
        <v>0.69</v>
      </c>
      <c r="K19" s="56">
        <v>257.91000000000003</v>
      </c>
      <c r="L19" s="56">
        <v>28.22</v>
      </c>
      <c r="M19" s="56">
        <v>87.94</v>
      </c>
      <c r="N19" s="56">
        <v>233.4</v>
      </c>
      <c r="O19" s="56">
        <v>0</v>
      </c>
      <c r="P19" s="56">
        <v>0.47</v>
      </c>
      <c r="Q19" s="56">
        <v>4.8099999999999996</v>
      </c>
    </row>
    <row r="20" spans="1:17" customFormat="1">
      <c r="A20" s="55">
        <v>45465.5</v>
      </c>
      <c r="B20" s="56">
        <v>9.2899999999999991</v>
      </c>
      <c r="C20" s="56">
        <v>4.09</v>
      </c>
      <c r="D20" s="56">
        <v>14.03</v>
      </c>
      <c r="E20" s="56">
        <v>10.31</v>
      </c>
      <c r="F20" s="56">
        <v>6.29</v>
      </c>
      <c r="G20" s="56">
        <v>11.72</v>
      </c>
      <c r="H20" s="56">
        <v>6.42</v>
      </c>
      <c r="I20" s="56">
        <v>4.46</v>
      </c>
      <c r="J20" s="56">
        <v>0.88</v>
      </c>
      <c r="K20" s="56">
        <v>280.13</v>
      </c>
      <c r="L20" s="56">
        <v>28.79</v>
      </c>
      <c r="M20" s="56">
        <v>84.58</v>
      </c>
      <c r="N20" s="56">
        <v>410.8</v>
      </c>
      <c r="O20" s="56">
        <v>0</v>
      </c>
      <c r="P20" s="56">
        <v>0.48</v>
      </c>
      <c r="Q20" s="56">
        <v>4.82</v>
      </c>
    </row>
    <row r="21" spans="1:17" customFormat="1">
      <c r="A21" s="55">
        <v>45465.541666666664</v>
      </c>
      <c r="B21" s="56">
        <v>9.2799999999999994</v>
      </c>
      <c r="C21" s="56">
        <v>4.0999999999999996</v>
      </c>
      <c r="D21" s="56">
        <v>14.03</v>
      </c>
      <c r="E21" s="56">
        <v>10.99</v>
      </c>
      <c r="F21" s="56">
        <v>7.65</v>
      </c>
      <c r="G21" s="56">
        <v>16.36</v>
      </c>
      <c r="H21" s="56">
        <v>7.69</v>
      </c>
      <c r="I21" s="56">
        <v>4.6100000000000003</v>
      </c>
      <c r="J21" s="56">
        <v>0.94</v>
      </c>
      <c r="K21" s="56">
        <v>279.37</v>
      </c>
      <c r="L21" s="56">
        <v>31.11</v>
      </c>
      <c r="M21" s="56">
        <v>77.48</v>
      </c>
      <c r="N21" s="56">
        <v>735.8</v>
      </c>
      <c r="O21" s="56">
        <v>0</v>
      </c>
      <c r="P21" s="56">
        <v>0.51</v>
      </c>
      <c r="Q21" s="56">
        <v>4.8099999999999996</v>
      </c>
    </row>
    <row r="22" spans="1:17" customFormat="1">
      <c r="A22" s="55">
        <v>45465.583333333336</v>
      </c>
      <c r="B22" s="56">
        <v>9.2799999999999994</v>
      </c>
      <c r="C22" s="56">
        <v>4.08</v>
      </c>
      <c r="D22" s="56">
        <v>14.02</v>
      </c>
      <c r="E22" s="56">
        <v>11.44</v>
      </c>
      <c r="F22" s="56">
        <v>9.23</v>
      </c>
      <c r="G22" s="56">
        <v>19.79</v>
      </c>
      <c r="H22" s="56">
        <v>8.31</v>
      </c>
      <c r="I22" s="56">
        <v>4.8</v>
      </c>
      <c r="J22" s="56">
        <v>0.79</v>
      </c>
      <c r="K22" s="56">
        <v>270.72000000000003</v>
      </c>
      <c r="L22" s="56">
        <v>31.74</v>
      </c>
      <c r="M22" s="56">
        <v>77.900000000000006</v>
      </c>
      <c r="N22" s="56">
        <v>466.4</v>
      </c>
      <c r="O22" s="56">
        <v>0</v>
      </c>
      <c r="P22" s="56">
        <v>0.53</v>
      </c>
      <c r="Q22" s="56">
        <v>4.82</v>
      </c>
    </row>
    <row r="23" spans="1:17" customFormat="1">
      <c r="A23" s="55">
        <v>45465.625</v>
      </c>
      <c r="B23" s="56">
        <v>9.2799999999999994</v>
      </c>
      <c r="C23" s="56">
        <v>4.08</v>
      </c>
      <c r="D23" s="56">
        <v>14.01</v>
      </c>
      <c r="E23" s="56">
        <v>13</v>
      </c>
      <c r="F23" s="56">
        <v>12.71</v>
      </c>
      <c r="G23" s="56">
        <v>20.32</v>
      </c>
      <c r="H23" s="56">
        <v>8.49</v>
      </c>
      <c r="I23" s="56">
        <v>4.96</v>
      </c>
      <c r="J23" s="56">
        <v>1.1200000000000001</v>
      </c>
      <c r="K23" s="56">
        <v>295.45999999999998</v>
      </c>
      <c r="L23" s="56">
        <v>30.87</v>
      </c>
      <c r="M23" s="56">
        <v>77.989999999999995</v>
      </c>
      <c r="N23" s="56">
        <v>412.8</v>
      </c>
      <c r="O23" s="56">
        <v>0</v>
      </c>
      <c r="P23" s="56">
        <v>0.46</v>
      </c>
      <c r="Q23" s="56">
        <v>4.83</v>
      </c>
    </row>
    <row r="24" spans="1:17" customFormat="1">
      <c r="A24" s="55">
        <v>45465.666666666664</v>
      </c>
      <c r="B24" s="56">
        <v>9.2799999999999994</v>
      </c>
      <c r="C24" s="56">
        <v>4.07</v>
      </c>
      <c r="D24" s="56">
        <v>14.01</v>
      </c>
      <c r="E24" s="56">
        <v>12.11</v>
      </c>
      <c r="F24" s="56">
        <v>22.71</v>
      </c>
      <c r="G24" s="56">
        <v>20.65</v>
      </c>
      <c r="H24" s="56">
        <v>8.08</v>
      </c>
      <c r="I24" s="56">
        <v>5.04</v>
      </c>
      <c r="J24" s="56">
        <v>0.64</v>
      </c>
      <c r="K24" s="56">
        <v>251.93</v>
      </c>
      <c r="L24" s="56">
        <v>30.54</v>
      </c>
      <c r="M24" s="56">
        <v>82.15</v>
      </c>
      <c r="N24" s="56">
        <v>291.39999999999998</v>
      </c>
      <c r="O24" s="56">
        <v>0</v>
      </c>
      <c r="P24" s="56">
        <v>0.42</v>
      </c>
      <c r="Q24" s="56">
        <v>4.82</v>
      </c>
    </row>
    <row r="25" spans="1:17" customFormat="1">
      <c r="A25" s="55">
        <v>45465.708333333336</v>
      </c>
      <c r="B25" s="56">
        <v>9.3000000000000007</v>
      </c>
      <c r="C25" s="56">
        <v>4.0999999999999996</v>
      </c>
      <c r="D25" s="56">
        <v>14.03</v>
      </c>
      <c r="E25" s="56">
        <v>11.59</v>
      </c>
      <c r="F25" s="56">
        <v>30.65</v>
      </c>
      <c r="G25" s="56">
        <v>22.24</v>
      </c>
      <c r="H25" s="56">
        <v>8.86</v>
      </c>
      <c r="I25" s="56">
        <v>4.49</v>
      </c>
      <c r="J25" s="56">
        <v>0.49</v>
      </c>
      <c r="K25" s="56">
        <v>255.91</v>
      </c>
      <c r="L25" s="56">
        <v>31.45</v>
      </c>
      <c r="M25" s="56">
        <v>76.47</v>
      </c>
      <c r="N25" s="56">
        <v>333.9</v>
      </c>
      <c r="O25" s="56">
        <v>0</v>
      </c>
      <c r="P25" s="56">
        <v>0.38</v>
      </c>
      <c r="Q25" s="56">
        <v>4.8</v>
      </c>
    </row>
    <row r="26" spans="1:17" customFormat="1">
      <c r="A26" s="55">
        <v>45465.75</v>
      </c>
      <c r="B26" s="56">
        <v>9.3000000000000007</v>
      </c>
      <c r="C26" s="56">
        <v>4.08</v>
      </c>
      <c r="D26" s="56">
        <v>14.04</v>
      </c>
      <c r="E26" s="56">
        <v>10.35</v>
      </c>
      <c r="F26" s="56">
        <v>44.17</v>
      </c>
      <c r="G26" s="56">
        <v>22.73</v>
      </c>
      <c r="H26" s="56">
        <v>9.31</v>
      </c>
      <c r="I26" s="56">
        <v>4.1500000000000004</v>
      </c>
      <c r="J26" s="56">
        <v>0.28999999999999998</v>
      </c>
      <c r="K26" s="56">
        <v>248</v>
      </c>
      <c r="L26" s="56">
        <v>30.99</v>
      </c>
      <c r="M26" s="56">
        <v>78.88</v>
      </c>
      <c r="N26" s="56">
        <v>120.3</v>
      </c>
      <c r="O26" s="56">
        <v>0</v>
      </c>
      <c r="P26" s="56">
        <v>0.33</v>
      </c>
      <c r="Q26" s="56">
        <v>4.8</v>
      </c>
    </row>
    <row r="27" spans="1:17" customFormat="1">
      <c r="A27" s="55">
        <v>45465.791666666664</v>
      </c>
      <c r="B27" s="56">
        <v>9.2899999999999991</v>
      </c>
      <c r="C27" s="56">
        <v>4.08</v>
      </c>
      <c r="D27" s="56">
        <v>14.01</v>
      </c>
      <c r="E27" s="56">
        <v>9.1</v>
      </c>
      <c r="F27" s="56">
        <v>44.82</v>
      </c>
      <c r="G27" s="56">
        <v>17.91</v>
      </c>
      <c r="H27" s="56">
        <v>8.82</v>
      </c>
      <c r="I27" s="56">
        <v>3.36</v>
      </c>
      <c r="J27" s="56">
        <v>0.19</v>
      </c>
      <c r="K27" s="56">
        <v>230.56</v>
      </c>
      <c r="L27" s="56">
        <v>30.08</v>
      </c>
      <c r="M27" s="56">
        <v>84.63</v>
      </c>
      <c r="N27" s="56">
        <v>37</v>
      </c>
      <c r="O27" s="56">
        <v>0</v>
      </c>
      <c r="P27" s="56">
        <v>0.33</v>
      </c>
      <c r="Q27" s="56">
        <v>4.8099999999999996</v>
      </c>
    </row>
    <row r="28" spans="1:17" customFormat="1">
      <c r="A28" s="55">
        <v>45465.833333333336</v>
      </c>
      <c r="B28" s="56">
        <v>9.3000000000000007</v>
      </c>
      <c r="C28" s="56">
        <v>4.08</v>
      </c>
      <c r="D28" s="56">
        <v>14.04</v>
      </c>
      <c r="E28" s="56">
        <v>9.1</v>
      </c>
      <c r="F28" s="56">
        <v>20.88</v>
      </c>
      <c r="G28" s="56">
        <v>18.91</v>
      </c>
      <c r="H28" s="56">
        <v>8.43</v>
      </c>
      <c r="I28" s="56">
        <v>3.96</v>
      </c>
      <c r="J28" s="56">
        <v>0.24</v>
      </c>
      <c r="K28" s="56">
        <v>241.96</v>
      </c>
      <c r="L28" s="56">
        <v>28.89</v>
      </c>
      <c r="M28" s="56">
        <v>86.79</v>
      </c>
      <c r="N28" s="56">
        <v>2.2000000000000002</v>
      </c>
      <c r="O28" s="56">
        <v>0</v>
      </c>
      <c r="P28" s="56">
        <v>0.41</v>
      </c>
      <c r="Q28" s="56">
        <v>4.8099999999999996</v>
      </c>
    </row>
    <row r="29" spans="1:17" customFormat="1">
      <c r="A29" s="55">
        <v>45465.875</v>
      </c>
      <c r="B29" s="56">
        <v>9.31</v>
      </c>
      <c r="C29" s="56">
        <v>4.07</v>
      </c>
      <c r="D29" s="56">
        <v>14.04</v>
      </c>
      <c r="E29" s="56">
        <v>9.34</v>
      </c>
      <c r="F29" s="56">
        <v>13.03</v>
      </c>
      <c r="G29" s="56">
        <v>23.64</v>
      </c>
      <c r="H29" s="56">
        <v>8.91</v>
      </c>
      <c r="I29" s="56">
        <v>4.59</v>
      </c>
      <c r="J29" s="56">
        <v>0.2</v>
      </c>
      <c r="K29" s="56">
        <v>200.42</v>
      </c>
      <c r="L29" s="56">
        <v>28.11</v>
      </c>
      <c r="M29" s="56">
        <v>90.27</v>
      </c>
      <c r="N29" s="56">
        <v>2.1</v>
      </c>
      <c r="O29" s="56">
        <v>0</v>
      </c>
      <c r="P29" s="56">
        <v>0.44</v>
      </c>
      <c r="Q29" s="56">
        <v>4.83</v>
      </c>
    </row>
    <row r="30" spans="1:17" customFormat="1">
      <c r="A30" s="55">
        <v>45465.916666666664</v>
      </c>
      <c r="B30" s="56">
        <v>9.3000000000000007</v>
      </c>
      <c r="C30" s="56">
        <v>4.1100000000000003</v>
      </c>
      <c r="D30" s="56">
        <v>14.04</v>
      </c>
      <c r="E30" s="56">
        <v>9.92</v>
      </c>
      <c r="F30" s="56">
        <v>10.93</v>
      </c>
      <c r="G30" s="56">
        <v>25.5</v>
      </c>
      <c r="H30" s="56">
        <v>8.89</v>
      </c>
      <c r="I30" s="56">
        <v>4.8099999999999996</v>
      </c>
      <c r="J30" s="56">
        <v>0.31</v>
      </c>
      <c r="K30" s="56">
        <v>246.88</v>
      </c>
      <c r="L30" s="56">
        <v>28.17</v>
      </c>
      <c r="M30" s="56">
        <v>88.62</v>
      </c>
      <c r="N30" s="56">
        <v>2.1</v>
      </c>
      <c r="O30" s="56">
        <v>0</v>
      </c>
      <c r="P30" s="56">
        <v>0.45</v>
      </c>
      <c r="Q30" s="56">
        <v>4.82</v>
      </c>
    </row>
    <row r="31" spans="1:17" customFormat="1">
      <c r="A31" s="55">
        <v>45465.958333333336</v>
      </c>
      <c r="B31" s="56">
        <v>9.3000000000000007</v>
      </c>
      <c r="C31" s="56">
        <v>4.09</v>
      </c>
      <c r="D31" s="56">
        <v>14.03</v>
      </c>
      <c r="E31" s="56">
        <v>10.81</v>
      </c>
      <c r="F31" s="56">
        <v>11.12</v>
      </c>
      <c r="G31" s="56">
        <v>23.01</v>
      </c>
      <c r="H31" s="56">
        <v>10.01</v>
      </c>
      <c r="I31" s="56">
        <v>4.63</v>
      </c>
      <c r="J31" s="56">
        <v>0.2</v>
      </c>
      <c r="K31" s="56">
        <v>260.83</v>
      </c>
      <c r="L31" s="56">
        <v>28.15</v>
      </c>
      <c r="M31" s="56">
        <v>88.06</v>
      </c>
      <c r="N31" s="56">
        <v>2.1</v>
      </c>
      <c r="O31" s="56">
        <v>0</v>
      </c>
      <c r="P31" s="56">
        <v>0.42</v>
      </c>
      <c r="Q31" s="56">
        <v>4.82</v>
      </c>
    </row>
    <row r="32" spans="1:17" customFormat="1">
      <c r="A32" s="55">
        <v>45466</v>
      </c>
      <c r="B32" s="56">
        <v>9.3000000000000007</v>
      </c>
      <c r="C32" s="56">
        <v>4.0999999999999996</v>
      </c>
      <c r="D32" s="56">
        <v>14.04</v>
      </c>
      <c r="E32" s="56">
        <v>10.9</v>
      </c>
      <c r="F32" s="56">
        <v>15.43</v>
      </c>
      <c r="G32" s="56">
        <v>23.55</v>
      </c>
      <c r="H32" s="56">
        <v>10.35</v>
      </c>
      <c r="I32" s="56">
        <v>4.46</v>
      </c>
      <c r="J32" s="56">
        <v>0.2</v>
      </c>
      <c r="K32" s="56">
        <v>234.28</v>
      </c>
      <c r="L32" s="56">
        <v>27.99</v>
      </c>
      <c r="M32" s="56">
        <v>90.98</v>
      </c>
      <c r="N32" s="56">
        <v>2.1</v>
      </c>
      <c r="O32" s="56">
        <v>0</v>
      </c>
      <c r="P32" s="56">
        <v>0.42</v>
      </c>
      <c r="Q32" s="56">
        <v>4.82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9.25</v>
      </c>
      <c r="C34" s="41">
        <f t="shared" si="0"/>
        <v>4.07</v>
      </c>
      <c r="D34" s="41">
        <f t="shared" si="0"/>
        <v>13.99</v>
      </c>
      <c r="E34" s="41">
        <f t="shared" si="0"/>
        <v>8.0500000000000007</v>
      </c>
      <c r="F34" s="41">
        <f t="shared" si="0"/>
        <v>4.4000000000000004</v>
      </c>
      <c r="G34" s="41">
        <f t="shared" si="0"/>
        <v>5.14</v>
      </c>
      <c r="H34" s="41">
        <f t="shared" si="0"/>
        <v>1.59</v>
      </c>
      <c r="I34" s="41">
        <f t="shared" si="0"/>
        <v>3.05</v>
      </c>
      <c r="J34" s="41">
        <f t="shared" si="0"/>
        <v>0.14000000000000001</v>
      </c>
      <c r="K34" s="41">
        <f t="shared" si="0"/>
        <v>200.42</v>
      </c>
      <c r="L34" s="41">
        <f t="shared" si="0"/>
        <v>24.59</v>
      </c>
      <c r="M34" s="41">
        <f t="shared" si="0"/>
        <v>76.47</v>
      </c>
      <c r="N34" s="41">
        <f t="shared" si="0"/>
        <v>2.1</v>
      </c>
      <c r="O34" s="41">
        <f t="shared" si="0"/>
        <v>0</v>
      </c>
      <c r="P34" s="41">
        <f t="shared" si="0"/>
        <v>0.32</v>
      </c>
      <c r="Q34" s="41">
        <f t="shared" si="0"/>
        <v>4.8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9.41</v>
      </c>
      <c r="C35" s="33">
        <f t="shared" si="1"/>
        <v>4.1100000000000003</v>
      </c>
      <c r="D35" s="33">
        <f t="shared" si="1"/>
        <v>14.12</v>
      </c>
      <c r="E35" s="33">
        <f t="shared" si="1"/>
        <v>13</v>
      </c>
      <c r="F35" s="33">
        <f t="shared" si="1"/>
        <v>44.82</v>
      </c>
      <c r="G35" s="33">
        <f t="shared" si="1"/>
        <v>25.5</v>
      </c>
      <c r="H35" s="33">
        <f t="shared" si="1"/>
        <v>10.35</v>
      </c>
      <c r="I35" s="33">
        <f t="shared" si="1"/>
        <v>5.04</v>
      </c>
      <c r="J35" s="33">
        <f t="shared" si="1"/>
        <v>1.1200000000000001</v>
      </c>
      <c r="K35" s="33">
        <f t="shared" si="1"/>
        <v>295.45999999999998</v>
      </c>
      <c r="L35" s="33">
        <f t="shared" si="1"/>
        <v>31.74</v>
      </c>
      <c r="M35" s="33">
        <f t="shared" si="1"/>
        <v>104.03</v>
      </c>
      <c r="N35" s="33">
        <f t="shared" si="1"/>
        <v>735.8</v>
      </c>
      <c r="O35" s="33">
        <f t="shared" si="1"/>
        <v>0.2</v>
      </c>
      <c r="P35" s="33">
        <f t="shared" si="1"/>
        <v>0.53</v>
      </c>
      <c r="Q35" s="33">
        <f t="shared" si="1"/>
        <v>4.83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9.2995833333333362</v>
      </c>
      <c r="C36" s="41">
        <f t="shared" si="2"/>
        <v>4.0887499999999992</v>
      </c>
      <c r="D36" s="41">
        <f t="shared" si="2"/>
        <v>14.03541666666667</v>
      </c>
      <c r="E36" s="41">
        <f t="shared" si="2"/>
        <v>9.9708333333333332</v>
      </c>
      <c r="F36" s="41">
        <f t="shared" si="2"/>
        <v>15.176250000000001</v>
      </c>
      <c r="G36" s="41">
        <f t="shared" si="2"/>
        <v>15.0025</v>
      </c>
      <c r="H36" s="41">
        <f t="shared" si="2"/>
        <v>6.4854166666666666</v>
      </c>
      <c r="I36" s="41">
        <f t="shared" si="2"/>
        <v>4.1295833333333327</v>
      </c>
      <c r="J36" s="41">
        <f t="shared" si="2"/>
        <v>0.44458333333333327</v>
      </c>
      <c r="K36" s="41">
        <f t="shared" si="2"/>
        <v>251.60666666666668</v>
      </c>
      <c r="L36" s="41">
        <f t="shared" si="2"/>
        <v>27.982916666666668</v>
      </c>
      <c r="M36" s="41">
        <f t="shared" si="2"/>
        <v>90.245833333333337</v>
      </c>
      <c r="N36" s="41">
        <f t="shared" si="2"/>
        <v>158.97499999999999</v>
      </c>
      <c r="O36" s="41">
        <f t="shared" si="2"/>
        <v>8.3333333333333332E-3</v>
      </c>
      <c r="P36" s="41">
        <f t="shared" si="2"/>
        <v>0.40791666666666654</v>
      </c>
      <c r="Q36" s="41">
        <f t="shared" si="2"/>
        <v>4.815833333333333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3.3294361275651975E-2</v>
      </c>
      <c r="C37" s="41">
        <f t="shared" ref="C37:Q37" si="3">STDEV(C9:C32)</f>
        <v>1.2618998788920645E-2</v>
      </c>
      <c r="D37" s="41">
        <f t="shared" si="3"/>
        <v>2.9632409793078365E-2</v>
      </c>
      <c r="E37" s="41">
        <f t="shared" si="3"/>
        <v>1.2859235106966156</v>
      </c>
      <c r="F37" s="41">
        <f t="shared" si="3"/>
        <v>10.928238973650666</v>
      </c>
      <c r="G37" s="41">
        <f t="shared" si="3"/>
        <v>6.8623194519688173</v>
      </c>
      <c r="H37" s="41">
        <f t="shared" si="3"/>
        <v>2.819856578478487</v>
      </c>
      <c r="I37" s="41">
        <f t="shared" si="3"/>
        <v>0.59092763602195653</v>
      </c>
      <c r="J37" s="41">
        <f t="shared" si="3"/>
        <v>0.27737871092670835</v>
      </c>
      <c r="K37" s="41">
        <f t="shared" si="3"/>
        <v>22.4111083998569</v>
      </c>
      <c r="L37" s="41">
        <f t="shared" si="3"/>
        <v>2.4176443424678635</v>
      </c>
      <c r="M37" s="41">
        <f t="shared" si="3"/>
        <v>9.1464590043818781</v>
      </c>
      <c r="N37" s="41">
        <f t="shared" si="3"/>
        <v>198.68211720145365</v>
      </c>
      <c r="O37" s="41">
        <f t="shared" si="3"/>
        <v>4.0824829046386311E-2</v>
      </c>
      <c r="P37" s="41">
        <f t="shared" si="3"/>
        <v>6.0431719763906287E-2</v>
      </c>
      <c r="Q37" s="41">
        <f t="shared" si="3"/>
        <v>9.2861124297509232E-3</v>
      </c>
      <c r="R37" s="41"/>
      <c r="S37" s="41"/>
      <c r="T37" s="41"/>
      <c r="U37" s="41"/>
    </row>
    <row r="38" spans="1:21" s="1" customFormat="1">
      <c r="A38" s="48" t="s">
        <v>52</v>
      </c>
      <c r="B38" s="49">
        <f t="shared" ref="B38:Q38" si="4">COUNT(B9:B32)</f>
        <v>24</v>
      </c>
      <c r="C38" s="49">
        <f t="shared" si="4"/>
        <v>24</v>
      </c>
      <c r="D38" s="49">
        <f t="shared" si="4"/>
        <v>24</v>
      </c>
      <c r="E38" s="49">
        <f t="shared" si="4"/>
        <v>24</v>
      </c>
      <c r="F38" s="49">
        <f t="shared" si="4"/>
        <v>24</v>
      </c>
      <c r="G38" s="49">
        <f t="shared" si="4"/>
        <v>24</v>
      </c>
      <c r="H38" s="49">
        <f t="shared" si="4"/>
        <v>24</v>
      </c>
      <c r="I38" s="49">
        <f t="shared" si="4"/>
        <v>24</v>
      </c>
      <c r="J38" s="49">
        <f t="shared" si="4"/>
        <v>24</v>
      </c>
      <c r="K38" s="49">
        <f t="shared" si="4"/>
        <v>24</v>
      </c>
      <c r="L38" s="49">
        <f t="shared" si="4"/>
        <v>24</v>
      </c>
      <c r="M38" s="49">
        <f t="shared" si="4"/>
        <v>24</v>
      </c>
      <c r="N38" s="49">
        <f t="shared" si="4"/>
        <v>24</v>
      </c>
      <c r="O38" s="49">
        <f t="shared" si="4"/>
        <v>24</v>
      </c>
      <c r="P38" s="49">
        <f t="shared" si="4"/>
        <v>24</v>
      </c>
      <c r="Q38" s="49">
        <f t="shared" si="4"/>
        <v>24</v>
      </c>
      <c r="R38" s="49"/>
      <c r="S38" s="49"/>
      <c r="T38" s="49"/>
      <c r="U38" s="49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52"/>
      <c r="O41" s="52"/>
      <c r="P41" s="52"/>
      <c r="Q41" s="52"/>
      <c r="R41" s="52"/>
      <c r="S41" s="52"/>
      <c r="T41" s="52"/>
      <c r="U41" s="52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50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36" activePane="bottomRight" state="frozen"/>
      <selection activeCell="A9" sqref="A9"/>
      <selection pane="topRight" activeCell="A9" sqref="A9"/>
      <selection pane="bottomLeft" activeCell="A9" sqref="A9"/>
      <selection pane="bottomRight" activeCell="A9" sqref="A9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5"/>
      <c r="B9" s="46"/>
      <c r="C9" s="46"/>
      <c r="D9" s="46"/>
      <c r="E9" s="46"/>
      <c r="F9" s="46"/>
      <c r="G9" s="47"/>
      <c r="H9" s="46"/>
      <c r="I9" s="46"/>
      <c r="J9" s="46"/>
      <c r="K9" s="46"/>
      <c r="L9" s="46"/>
      <c r="M9" s="46"/>
      <c r="N9" s="46"/>
      <c r="O9" s="46"/>
      <c r="P9" s="46"/>
      <c r="Q9" s="46"/>
      <c r="R9" s="53"/>
      <c r="S9" s="53"/>
      <c r="T9" s="53"/>
      <c r="U9" s="53"/>
    </row>
    <row r="10" spans="1:21" customFormat="1">
      <c r="A10" s="45"/>
      <c r="B10" s="46"/>
      <c r="C10" s="46"/>
      <c r="D10" s="46"/>
      <c r="E10" s="46"/>
      <c r="F10" s="46"/>
      <c r="G10" s="47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53"/>
      <c r="S10" s="53"/>
      <c r="T10" s="53"/>
      <c r="U10" s="53"/>
    </row>
    <row r="11" spans="1:21" customFormat="1">
      <c r="A11" s="45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53"/>
      <c r="S11" s="53"/>
      <c r="T11" s="53"/>
      <c r="U11" s="53"/>
    </row>
    <row r="12" spans="1:21" customFormat="1">
      <c r="A12" s="45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53"/>
      <c r="S12" s="53"/>
      <c r="T12" s="53"/>
      <c r="U12" s="53"/>
    </row>
    <row r="13" spans="1:21" customFormat="1">
      <c r="A13" s="45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53"/>
      <c r="S13" s="53"/>
      <c r="T13" s="53"/>
      <c r="U13" s="53"/>
    </row>
    <row r="14" spans="1:21" customFormat="1">
      <c r="A14" s="45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53"/>
      <c r="S14" s="53"/>
      <c r="T14" s="53"/>
      <c r="U14" s="53"/>
    </row>
    <row r="15" spans="1:21" customFormat="1">
      <c r="A15" s="45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53"/>
      <c r="S15" s="53"/>
      <c r="T15" s="53"/>
      <c r="U15" s="53"/>
    </row>
    <row r="16" spans="1:21" customFormat="1">
      <c r="A16" s="45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53"/>
      <c r="S16" s="53"/>
      <c r="T16" s="53"/>
      <c r="U16" s="53"/>
    </row>
    <row r="17" spans="1:21" customFormat="1">
      <c r="A17" s="45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53"/>
      <c r="S17" s="53"/>
      <c r="T17" s="53"/>
      <c r="U17" s="53"/>
    </row>
    <row r="18" spans="1:21" customFormat="1">
      <c r="A18" s="45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53"/>
      <c r="S18" s="53"/>
      <c r="T18" s="53"/>
      <c r="U18" s="53"/>
    </row>
    <row r="19" spans="1:21" customFormat="1">
      <c r="A19" s="45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53"/>
      <c r="S19" s="53"/>
      <c r="T19" s="53"/>
      <c r="U19" s="53"/>
    </row>
    <row r="20" spans="1:21" customFormat="1">
      <c r="A20" s="45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53"/>
      <c r="S20" s="53"/>
      <c r="T20" s="53"/>
      <c r="U20" s="53"/>
    </row>
    <row r="21" spans="1:21" customFormat="1">
      <c r="A21" s="45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53"/>
      <c r="S21" s="53"/>
      <c r="T21" s="53"/>
      <c r="U21" s="53"/>
    </row>
    <row r="22" spans="1:21" customFormat="1">
      <c r="A22" s="45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53"/>
      <c r="S22" s="53"/>
      <c r="T22" s="53"/>
      <c r="U22" s="53"/>
    </row>
    <row r="23" spans="1:21" customFormat="1">
      <c r="A23" s="45"/>
      <c r="B23" s="46"/>
      <c r="C23" s="46"/>
      <c r="D23" s="46"/>
      <c r="E23" s="46"/>
      <c r="F23" s="46"/>
      <c r="G23" s="47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53"/>
      <c r="S23" s="53"/>
      <c r="T23" s="53"/>
      <c r="U23" s="53"/>
    </row>
    <row r="24" spans="1:21" customFormat="1">
      <c r="A24" s="45"/>
      <c r="B24" s="46"/>
      <c r="C24" s="46"/>
      <c r="D24" s="46"/>
      <c r="E24" s="46"/>
      <c r="F24" s="46"/>
      <c r="G24" s="47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53"/>
      <c r="S24" s="53"/>
      <c r="T24" s="53"/>
      <c r="U24" s="53"/>
    </row>
    <row r="25" spans="1:21" customFormat="1">
      <c r="A25" s="45"/>
      <c r="B25" s="46"/>
      <c r="C25" s="46"/>
      <c r="D25" s="46"/>
      <c r="E25" s="46"/>
      <c r="F25" s="46"/>
      <c r="G25" s="47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53"/>
      <c r="S25" s="53"/>
      <c r="T25" s="53"/>
      <c r="U25" s="53"/>
    </row>
    <row r="26" spans="1:21" customFormat="1">
      <c r="A26" s="45"/>
      <c r="B26" s="46"/>
      <c r="C26" s="46"/>
      <c r="D26" s="46"/>
      <c r="E26" s="46"/>
      <c r="F26" s="46"/>
      <c r="G26" s="47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53"/>
      <c r="S26" s="53"/>
      <c r="T26" s="53"/>
      <c r="U26" s="53"/>
    </row>
    <row r="27" spans="1:21" customFormat="1">
      <c r="A27" s="45"/>
      <c r="B27" s="46"/>
      <c r="C27" s="46"/>
      <c r="D27" s="46"/>
      <c r="E27" s="46"/>
      <c r="F27" s="46"/>
      <c r="G27" s="47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53"/>
      <c r="S27" s="53"/>
      <c r="T27" s="53"/>
      <c r="U27" s="53"/>
    </row>
    <row r="28" spans="1:21" customFormat="1">
      <c r="A28" s="45"/>
      <c r="B28" s="46"/>
      <c r="C28" s="46"/>
      <c r="D28" s="46"/>
      <c r="E28" s="46"/>
      <c r="F28" s="46"/>
      <c r="G28" s="47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53"/>
      <c r="S28" s="53"/>
      <c r="T28" s="53"/>
      <c r="U28" s="53"/>
    </row>
    <row r="29" spans="1:21" customFormat="1">
      <c r="A29" s="45"/>
      <c r="B29" s="46"/>
      <c r="C29" s="46"/>
      <c r="D29" s="46"/>
      <c r="E29" s="46"/>
      <c r="F29" s="46"/>
      <c r="G29" s="47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53"/>
      <c r="S29" s="53"/>
      <c r="T29" s="53"/>
      <c r="U29" s="53"/>
    </row>
    <row r="30" spans="1:21" customFormat="1">
      <c r="A30" s="45"/>
      <c r="B30" s="46"/>
      <c r="C30" s="46"/>
      <c r="D30" s="46"/>
      <c r="E30" s="46"/>
      <c r="F30" s="46"/>
      <c r="G30" s="47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53"/>
      <c r="S30" s="53"/>
      <c r="T30" s="53"/>
      <c r="U30" s="53"/>
    </row>
    <row r="31" spans="1:21" customFormat="1">
      <c r="A31" s="45"/>
      <c r="B31" s="46"/>
      <c r="C31" s="46"/>
      <c r="D31" s="46"/>
      <c r="E31" s="46"/>
      <c r="F31" s="46"/>
      <c r="G31" s="47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53"/>
      <c r="S31" s="53"/>
      <c r="T31" s="53"/>
      <c r="U31" s="53"/>
    </row>
    <row r="32" spans="1:21" customFormat="1">
      <c r="A32" s="45"/>
      <c r="B32" s="46"/>
      <c r="C32" s="46"/>
      <c r="D32" s="46"/>
      <c r="E32" s="46"/>
      <c r="F32" s="46"/>
      <c r="G32" s="47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53"/>
      <c r="S32" s="53"/>
      <c r="T32" s="53"/>
      <c r="U32" s="53"/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0</v>
      </c>
      <c r="C34" s="41">
        <f t="shared" si="0"/>
        <v>0</v>
      </c>
      <c r="D34" s="41">
        <f t="shared" si="0"/>
        <v>0</v>
      </c>
      <c r="E34" s="41">
        <f t="shared" si="0"/>
        <v>0</v>
      </c>
      <c r="F34" s="41">
        <f t="shared" si="0"/>
        <v>0</v>
      </c>
      <c r="G34" s="41">
        <f t="shared" si="0"/>
        <v>0</v>
      </c>
      <c r="H34" s="41">
        <f t="shared" si="0"/>
        <v>0</v>
      </c>
      <c r="I34" s="41">
        <f t="shared" si="0"/>
        <v>0</v>
      </c>
      <c r="J34" s="41">
        <f t="shared" si="0"/>
        <v>0</v>
      </c>
      <c r="K34" s="41">
        <f t="shared" si="0"/>
        <v>0</v>
      </c>
      <c r="L34" s="41">
        <f t="shared" si="0"/>
        <v>0</v>
      </c>
      <c r="M34" s="41">
        <f t="shared" si="0"/>
        <v>0</v>
      </c>
      <c r="N34" s="41">
        <f t="shared" si="0"/>
        <v>0</v>
      </c>
      <c r="O34" s="41">
        <f t="shared" si="0"/>
        <v>0</v>
      </c>
      <c r="P34" s="41">
        <f t="shared" si="0"/>
        <v>0</v>
      </c>
      <c r="Q34" s="41">
        <f t="shared" si="0"/>
        <v>0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0</v>
      </c>
      <c r="C35" s="33">
        <f t="shared" si="1"/>
        <v>0</v>
      </c>
      <c r="D35" s="33">
        <f t="shared" si="1"/>
        <v>0</v>
      </c>
      <c r="E35" s="33">
        <f t="shared" si="1"/>
        <v>0</v>
      </c>
      <c r="F35" s="33">
        <f t="shared" si="1"/>
        <v>0</v>
      </c>
      <c r="G35" s="33">
        <f t="shared" si="1"/>
        <v>0</v>
      </c>
      <c r="H35" s="33">
        <f t="shared" si="1"/>
        <v>0</v>
      </c>
      <c r="I35" s="33">
        <f t="shared" si="1"/>
        <v>0</v>
      </c>
      <c r="J35" s="33">
        <f t="shared" si="1"/>
        <v>0</v>
      </c>
      <c r="K35" s="33">
        <f t="shared" si="1"/>
        <v>0</v>
      </c>
      <c r="L35" s="33">
        <f t="shared" si="1"/>
        <v>0</v>
      </c>
      <c r="M35" s="33">
        <f t="shared" si="1"/>
        <v>0</v>
      </c>
      <c r="N35" s="33">
        <f t="shared" si="1"/>
        <v>0</v>
      </c>
      <c r="O35" s="33">
        <f t="shared" si="1"/>
        <v>0</v>
      </c>
      <c r="P35" s="33">
        <f t="shared" si="1"/>
        <v>0</v>
      </c>
      <c r="Q35" s="33">
        <f t="shared" si="1"/>
        <v>0</v>
      </c>
      <c r="R35" s="33"/>
      <c r="S35" s="33"/>
      <c r="T35" s="33"/>
      <c r="U35" s="33"/>
    </row>
    <row r="36" spans="1:21" s="1" customFormat="1">
      <c r="A36" s="32" t="s">
        <v>50</v>
      </c>
      <c r="B36" s="41" t="e">
        <f t="shared" ref="B36:Q36" si="2">AVERAGE(B9:B32)</f>
        <v>#DIV/0!</v>
      </c>
      <c r="C36" s="41" t="e">
        <f t="shared" si="2"/>
        <v>#DIV/0!</v>
      </c>
      <c r="D36" s="41" t="e">
        <f t="shared" si="2"/>
        <v>#DIV/0!</v>
      </c>
      <c r="E36" s="41" t="e">
        <f t="shared" si="2"/>
        <v>#DIV/0!</v>
      </c>
      <c r="F36" s="41" t="e">
        <f t="shared" si="2"/>
        <v>#DIV/0!</v>
      </c>
      <c r="G36" s="41" t="e">
        <f t="shared" si="2"/>
        <v>#DIV/0!</v>
      </c>
      <c r="H36" s="41" t="e">
        <f t="shared" si="2"/>
        <v>#DIV/0!</v>
      </c>
      <c r="I36" s="41" t="e">
        <f t="shared" si="2"/>
        <v>#DIV/0!</v>
      </c>
      <c r="J36" s="41" t="e">
        <f t="shared" si="2"/>
        <v>#DIV/0!</v>
      </c>
      <c r="K36" s="41" t="e">
        <f t="shared" si="2"/>
        <v>#DIV/0!</v>
      </c>
      <c r="L36" s="41" t="e">
        <f t="shared" si="2"/>
        <v>#DIV/0!</v>
      </c>
      <c r="M36" s="41" t="e">
        <f t="shared" si="2"/>
        <v>#DIV/0!</v>
      </c>
      <c r="N36" s="41" t="e">
        <f t="shared" si="2"/>
        <v>#DIV/0!</v>
      </c>
      <c r="O36" s="41" t="e">
        <f t="shared" si="2"/>
        <v>#DIV/0!</v>
      </c>
      <c r="P36" s="41" t="e">
        <f t="shared" si="2"/>
        <v>#DIV/0!</v>
      </c>
      <c r="Q36" s="41" t="e">
        <f t="shared" si="2"/>
        <v>#DIV/0!</v>
      </c>
      <c r="R36" s="41"/>
      <c r="S36" s="41"/>
      <c r="T36" s="41"/>
      <c r="U36" s="41"/>
    </row>
    <row r="37" spans="1:21" s="1" customFormat="1">
      <c r="A37" s="32" t="s">
        <v>51</v>
      </c>
      <c r="B37" s="41" t="e">
        <f>STDEV(B9:B32)</f>
        <v>#DIV/0!</v>
      </c>
      <c r="C37" s="41" t="e">
        <f t="shared" ref="C37:Q37" si="3">STDEV(C9:C32)</f>
        <v>#DIV/0!</v>
      </c>
      <c r="D37" s="41" t="e">
        <f t="shared" si="3"/>
        <v>#DIV/0!</v>
      </c>
      <c r="E37" s="41" t="e">
        <f t="shared" si="3"/>
        <v>#DIV/0!</v>
      </c>
      <c r="F37" s="41" t="e">
        <f t="shared" si="3"/>
        <v>#DIV/0!</v>
      </c>
      <c r="G37" s="41" t="e">
        <f t="shared" si="3"/>
        <v>#DIV/0!</v>
      </c>
      <c r="H37" s="41" t="e">
        <f t="shared" si="3"/>
        <v>#DIV/0!</v>
      </c>
      <c r="I37" s="41" t="e">
        <f t="shared" si="3"/>
        <v>#DIV/0!</v>
      </c>
      <c r="J37" s="41" t="e">
        <f t="shared" si="3"/>
        <v>#DIV/0!</v>
      </c>
      <c r="K37" s="41" t="e">
        <f t="shared" si="3"/>
        <v>#DIV/0!</v>
      </c>
      <c r="L37" s="41" t="e">
        <f t="shared" si="3"/>
        <v>#DIV/0!</v>
      </c>
      <c r="M37" s="41" t="e">
        <f t="shared" si="3"/>
        <v>#DIV/0!</v>
      </c>
      <c r="N37" s="41" t="e">
        <f t="shared" si="3"/>
        <v>#DIV/0!</v>
      </c>
      <c r="O37" s="41" t="e">
        <f t="shared" si="3"/>
        <v>#DIV/0!</v>
      </c>
      <c r="P37" s="41" t="e">
        <f t="shared" si="3"/>
        <v>#DIV/0!</v>
      </c>
      <c r="Q37" s="41" t="e">
        <f t="shared" si="3"/>
        <v>#DIV/0!</v>
      </c>
      <c r="R37" s="41"/>
      <c r="S37" s="41"/>
      <c r="T37" s="41"/>
      <c r="U37" s="41"/>
    </row>
    <row r="38" spans="1:21" s="1" customFormat="1">
      <c r="A38" s="48" t="s">
        <v>52</v>
      </c>
      <c r="B38" s="49">
        <f t="shared" ref="B38:Q38" si="4">COUNT(B9:B32)</f>
        <v>0</v>
      </c>
      <c r="C38" s="49">
        <f t="shared" si="4"/>
        <v>0</v>
      </c>
      <c r="D38" s="49">
        <f t="shared" si="4"/>
        <v>0</v>
      </c>
      <c r="E38" s="49">
        <f t="shared" si="4"/>
        <v>0</v>
      </c>
      <c r="F38" s="49">
        <f t="shared" si="4"/>
        <v>0</v>
      </c>
      <c r="G38" s="49">
        <f t="shared" si="4"/>
        <v>0</v>
      </c>
      <c r="H38" s="49">
        <f t="shared" si="4"/>
        <v>0</v>
      </c>
      <c r="I38" s="49">
        <f t="shared" si="4"/>
        <v>0</v>
      </c>
      <c r="J38" s="49">
        <f t="shared" si="4"/>
        <v>0</v>
      </c>
      <c r="K38" s="49">
        <f t="shared" si="4"/>
        <v>0</v>
      </c>
      <c r="L38" s="49">
        <f t="shared" si="4"/>
        <v>0</v>
      </c>
      <c r="M38" s="49">
        <f t="shared" si="4"/>
        <v>0</v>
      </c>
      <c r="N38" s="49">
        <f t="shared" si="4"/>
        <v>0</v>
      </c>
      <c r="O38" s="49">
        <f t="shared" si="4"/>
        <v>0</v>
      </c>
      <c r="P38" s="49">
        <f t="shared" si="4"/>
        <v>0</v>
      </c>
      <c r="Q38" s="49">
        <f t="shared" si="4"/>
        <v>0</v>
      </c>
      <c r="R38" s="49"/>
      <c r="S38" s="49"/>
      <c r="T38" s="49"/>
      <c r="U38" s="49"/>
    </row>
    <row r="39" spans="1:21" s="1" customFormat="1">
      <c r="A39" s="32" t="s">
        <v>53</v>
      </c>
      <c r="B39" s="33" t="str">
        <f>IF(B38&gt;=22,"&gt;90%",IF(B38&lt;=22,"&lt;90%"))</f>
        <v>&lt;90%</v>
      </c>
      <c r="C39" s="33" t="str">
        <f t="shared" ref="C39:Q39" si="5">IF(C38&gt;=22,"&gt;90%",IF(C38&lt;=22,"&lt;90%"))</f>
        <v>&lt;90%</v>
      </c>
      <c r="D39" s="33" t="str">
        <f t="shared" si="5"/>
        <v>&lt;90%</v>
      </c>
      <c r="E39" s="33" t="str">
        <f t="shared" si="5"/>
        <v>&lt;90%</v>
      </c>
      <c r="F39" s="33" t="str">
        <f t="shared" si="5"/>
        <v>&lt;90%</v>
      </c>
      <c r="G39" s="33" t="str">
        <f t="shared" si="5"/>
        <v>&lt;90%</v>
      </c>
      <c r="H39" s="33" t="str">
        <f t="shared" si="5"/>
        <v>&lt;90%</v>
      </c>
      <c r="I39" s="33" t="str">
        <f t="shared" si="5"/>
        <v>&lt;90%</v>
      </c>
      <c r="J39" s="33" t="str">
        <f t="shared" si="5"/>
        <v>&lt;90%</v>
      </c>
      <c r="K39" s="33" t="str">
        <f t="shared" si="5"/>
        <v>&lt;90%</v>
      </c>
      <c r="L39" s="33" t="str">
        <f t="shared" si="5"/>
        <v>&lt;90%</v>
      </c>
      <c r="M39" s="33" t="str">
        <f t="shared" si="5"/>
        <v>&lt;90%</v>
      </c>
      <c r="N39" s="33" t="str">
        <f t="shared" si="5"/>
        <v>&lt;90%</v>
      </c>
      <c r="O39" s="33" t="str">
        <f t="shared" si="5"/>
        <v>&lt;90%</v>
      </c>
      <c r="P39" s="33" t="str">
        <f t="shared" si="5"/>
        <v>&lt;90%</v>
      </c>
      <c r="Q39" s="33" t="str">
        <f t="shared" si="5"/>
        <v>&lt;90%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LESS</v>
      </c>
      <c r="C40" s="33" t="str">
        <f t="shared" ref="C40:Q40" si="6">IF(C38&gt;=22,"OK",IF(C38&lt;=22,"LESS"))</f>
        <v>LESS</v>
      </c>
      <c r="D40" s="33" t="str">
        <f t="shared" si="6"/>
        <v>LESS</v>
      </c>
      <c r="E40" s="33" t="str">
        <f t="shared" si="6"/>
        <v>LESS</v>
      </c>
      <c r="F40" s="33" t="str">
        <f t="shared" si="6"/>
        <v>LESS</v>
      </c>
      <c r="G40" s="33" t="str">
        <f t="shared" si="6"/>
        <v>LESS</v>
      </c>
      <c r="H40" s="33" t="str">
        <f t="shared" si="6"/>
        <v>LESS</v>
      </c>
      <c r="I40" s="33" t="str">
        <f t="shared" si="6"/>
        <v>LESS</v>
      </c>
      <c r="J40" s="33" t="str">
        <f t="shared" si="6"/>
        <v>LESS</v>
      </c>
      <c r="K40" s="33" t="str">
        <f t="shared" si="6"/>
        <v>LESS</v>
      </c>
      <c r="L40" s="33" t="str">
        <f t="shared" si="6"/>
        <v>LESS</v>
      </c>
      <c r="M40" s="33" t="str">
        <f t="shared" si="6"/>
        <v>LESS</v>
      </c>
      <c r="N40" s="33" t="str">
        <f t="shared" si="6"/>
        <v>LESS</v>
      </c>
      <c r="O40" s="33" t="str">
        <f t="shared" si="6"/>
        <v>LESS</v>
      </c>
      <c r="P40" s="33" t="str">
        <f t="shared" si="6"/>
        <v>LESS</v>
      </c>
      <c r="Q40" s="33" t="str">
        <f t="shared" si="6"/>
        <v>LESS</v>
      </c>
      <c r="R40" s="33"/>
      <c r="S40" s="33"/>
      <c r="T40" s="33"/>
      <c r="U40" s="33"/>
    </row>
    <row r="41" spans="1:21" s="1" customFormat="1">
      <c r="A41" s="22"/>
      <c r="L41" s="22"/>
      <c r="N41" s="52"/>
      <c r="O41" s="52"/>
      <c r="P41" s="52"/>
      <c r="Q41" s="52"/>
      <c r="R41" s="52"/>
      <c r="S41" s="52"/>
      <c r="T41" s="52"/>
      <c r="U41" s="52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50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33" activePane="bottomRight" state="frozen"/>
      <selection activeCell="A9" sqref="A9"/>
      <selection pane="topRight" activeCell="A9" sqref="A9"/>
      <selection pane="bottomLeft" activeCell="A9" sqref="A9"/>
      <selection pane="bottomRight" activeCell="A9" sqref="A9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5"/>
      <c r="B9" s="46"/>
      <c r="C9" s="46"/>
      <c r="D9" s="46"/>
      <c r="E9" s="46"/>
      <c r="F9" s="46"/>
      <c r="G9" s="47"/>
      <c r="H9" s="46"/>
      <c r="I9" s="46"/>
      <c r="J9" s="46"/>
      <c r="K9" s="46"/>
      <c r="L9" s="46"/>
      <c r="M9" s="46"/>
      <c r="N9" s="46"/>
      <c r="O9" s="46"/>
      <c r="P9" s="46"/>
      <c r="Q9" s="46"/>
      <c r="R9" s="53"/>
      <c r="S9" s="53"/>
      <c r="T9" s="53"/>
      <c r="U9" s="53"/>
    </row>
    <row r="10" spans="1:21" customFormat="1">
      <c r="A10" s="45"/>
      <c r="B10" s="46"/>
      <c r="C10" s="46"/>
      <c r="D10" s="46"/>
      <c r="E10" s="46"/>
      <c r="F10" s="46"/>
      <c r="G10" s="47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53"/>
      <c r="S10" s="53"/>
      <c r="T10" s="53"/>
      <c r="U10" s="53"/>
    </row>
    <row r="11" spans="1:21" customFormat="1">
      <c r="A11" s="45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53"/>
      <c r="S11" s="53"/>
      <c r="T11" s="53"/>
      <c r="U11" s="53"/>
    </row>
    <row r="12" spans="1:21" customFormat="1">
      <c r="A12" s="45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53"/>
      <c r="S12" s="53"/>
      <c r="T12" s="53"/>
      <c r="U12" s="53"/>
    </row>
    <row r="13" spans="1:21" customFormat="1">
      <c r="A13" s="45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53"/>
      <c r="S13" s="53"/>
      <c r="T13" s="53"/>
      <c r="U13" s="53"/>
    </row>
    <row r="14" spans="1:21" customFormat="1">
      <c r="A14" s="45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53"/>
      <c r="S14" s="53"/>
      <c r="T14" s="53"/>
      <c r="U14" s="53"/>
    </row>
    <row r="15" spans="1:21" customFormat="1">
      <c r="A15" s="45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53"/>
      <c r="S15" s="53"/>
      <c r="T15" s="53"/>
      <c r="U15" s="53"/>
    </row>
    <row r="16" spans="1:21" customFormat="1">
      <c r="A16" s="45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53"/>
      <c r="S16" s="53"/>
      <c r="T16" s="53"/>
      <c r="U16" s="53"/>
    </row>
    <row r="17" spans="1:21" customFormat="1">
      <c r="A17" s="45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53"/>
      <c r="S17" s="53"/>
      <c r="T17" s="53"/>
      <c r="U17" s="53"/>
    </row>
    <row r="18" spans="1:21" customFormat="1">
      <c r="A18" s="45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53"/>
      <c r="S18" s="53"/>
      <c r="T18" s="53"/>
      <c r="U18" s="53"/>
    </row>
    <row r="19" spans="1:21" customFormat="1">
      <c r="A19" s="45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53"/>
      <c r="S19" s="53"/>
      <c r="T19" s="53"/>
      <c r="U19" s="53"/>
    </row>
    <row r="20" spans="1:21" customFormat="1">
      <c r="A20" s="45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53"/>
      <c r="S20" s="53"/>
      <c r="T20" s="53"/>
      <c r="U20" s="53"/>
    </row>
    <row r="21" spans="1:21" customFormat="1">
      <c r="A21" s="45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53"/>
      <c r="S21" s="53"/>
      <c r="T21" s="53"/>
      <c r="U21" s="53"/>
    </row>
    <row r="22" spans="1:21" customFormat="1">
      <c r="A22" s="45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53"/>
      <c r="S22" s="53"/>
      <c r="T22" s="53"/>
      <c r="U22" s="53"/>
    </row>
    <row r="23" spans="1:21" customFormat="1">
      <c r="A23" s="45"/>
      <c r="B23" s="46"/>
      <c r="C23" s="46"/>
      <c r="D23" s="46"/>
      <c r="E23" s="46"/>
      <c r="F23" s="46"/>
      <c r="G23" s="47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53"/>
      <c r="S23" s="53"/>
      <c r="T23" s="53"/>
      <c r="U23" s="53"/>
    </row>
    <row r="24" spans="1:21" customFormat="1">
      <c r="A24" s="45"/>
      <c r="B24" s="46"/>
      <c r="C24" s="46"/>
      <c r="D24" s="46"/>
      <c r="E24" s="46"/>
      <c r="F24" s="46"/>
      <c r="G24" s="47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53"/>
      <c r="S24" s="53"/>
      <c r="T24" s="53"/>
      <c r="U24" s="53"/>
    </row>
    <row r="25" spans="1:21" customFormat="1">
      <c r="A25" s="45"/>
      <c r="B25" s="46"/>
      <c r="C25" s="46"/>
      <c r="D25" s="46"/>
      <c r="E25" s="46"/>
      <c r="F25" s="46"/>
      <c r="G25" s="47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53"/>
      <c r="S25" s="53"/>
      <c r="T25" s="53"/>
      <c r="U25" s="53"/>
    </row>
    <row r="26" spans="1:21" customFormat="1">
      <c r="A26" s="45"/>
      <c r="B26" s="46"/>
      <c r="C26" s="46"/>
      <c r="D26" s="46"/>
      <c r="E26" s="46"/>
      <c r="F26" s="46"/>
      <c r="G26" s="47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53"/>
      <c r="S26" s="53"/>
      <c r="T26" s="53"/>
      <c r="U26" s="53"/>
    </row>
    <row r="27" spans="1:21" customFormat="1">
      <c r="A27" s="45"/>
      <c r="B27" s="46"/>
      <c r="C27" s="46"/>
      <c r="D27" s="46"/>
      <c r="E27" s="46"/>
      <c r="F27" s="46"/>
      <c r="G27" s="47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53"/>
      <c r="S27" s="53"/>
      <c r="T27" s="53"/>
      <c r="U27" s="53"/>
    </row>
    <row r="28" spans="1:21" customFormat="1">
      <c r="A28" s="45"/>
      <c r="B28" s="46"/>
      <c r="C28" s="46"/>
      <c r="D28" s="46"/>
      <c r="E28" s="46"/>
      <c r="F28" s="46"/>
      <c r="G28" s="47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53"/>
      <c r="S28" s="53"/>
      <c r="T28" s="53"/>
      <c r="U28" s="53"/>
    </row>
    <row r="29" spans="1:21" customFormat="1">
      <c r="A29" s="45"/>
      <c r="B29" s="46"/>
      <c r="C29" s="46"/>
      <c r="D29" s="46"/>
      <c r="E29" s="46"/>
      <c r="F29" s="46"/>
      <c r="G29" s="47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53"/>
      <c r="S29" s="53"/>
      <c r="T29" s="53"/>
      <c r="U29" s="53"/>
    </row>
    <row r="30" spans="1:21" customFormat="1">
      <c r="A30" s="45"/>
      <c r="B30" s="46"/>
      <c r="C30" s="46"/>
      <c r="D30" s="46"/>
      <c r="E30" s="46"/>
      <c r="F30" s="46"/>
      <c r="G30" s="47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53"/>
      <c r="S30" s="53"/>
      <c r="T30" s="53"/>
      <c r="U30" s="53"/>
    </row>
    <row r="31" spans="1:21" customFormat="1">
      <c r="A31" s="45"/>
      <c r="B31" s="46"/>
      <c r="C31" s="46"/>
      <c r="D31" s="46"/>
      <c r="E31" s="46"/>
      <c r="F31" s="46"/>
      <c r="G31" s="47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53"/>
      <c r="S31" s="53"/>
      <c r="T31" s="53"/>
      <c r="U31" s="53"/>
    </row>
    <row r="32" spans="1:21" customFormat="1">
      <c r="A32" s="45"/>
      <c r="B32" s="46"/>
      <c r="C32" s="46"/>
      <c r="D32" s="46"/>
      <c r="E32" s="46"/>
      <c r="F32" s="46"/>
      <c r="G32" s="47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53"/>
      <c r="S32" s="53"/>
      <c r="T32" s="53"/>
      <c r="U32" s="53"/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0</v>
      </c>
      <c r="C34" s="41">
        <f t="shared" si="0"/>
        <v>0</v>
      </c>
      <c r="D34" s="41">
        <f t="shared" si="0"/>
        <v>0</v>
      </c>
      <c r="E34" s="41">
        <f t="shared" si="0"/>
        <v>0</v>
      </c>
      <c r="F34" s="41">
        <f t="shared" si="0"/>
        <v>0</v>
      </c>
      <c r="G34" s="41">
        <f t="shared" si="0"/>
        <v>0</v>
      </c>
      <c r="H34" s="41">
        <f t="shared" si="0"/>
        <v>0</v>
      </c>
      <c r="I34" s="41">
        <f t="shared" si="0"/>
        <v>0</v>
      </c>
      <c r="J34" s="41">
        <f t="shared" si="0"/>
        <v>0</v>
      </c>
      <c r="K34" s="41">
        <f t="shared" si="0"/>
        <v>0</v>
      </c>
      <c r="L34" s="41">
        <f t="shared" si="0"/>
        <v>0</v>
      </c>
      <c r="M34" s="41">
        <f t="shared" si="0"/>
        <v>0</v>
      </c>
      <c r="N34" s="41">
        <f t="shared" si="0"/>
        <v>0</v>
      </c>
      <c r="O34" s="41">
        <f t="shared" si="0"/>
        <v>0</v>
      </c>
      <c r="P34" s="41">
        <f t="shared" si="0"/>
        <v>0</v>
      </c>
      <c r="Q34" s="41">
        <f t="shared" si="0"/>
        <v>0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0</v>
      </c>
      <c r="C35" s="33">
        <f t="shared" si="1"/>
        <v>0</v>
      </c>
      <c r="D35" s="33">
        <f t="shared" si="1"/>
        <v>0</v>
      </c>
      <c r="E35" s="33">
        <f t="shared" si="1"/>
        <v>0</v>
      </c>
      <c r="F35" s="33">
        <f t="shared" si="1"/>
        <v>0</v>
      </c>
      <c r="G35" s="33">
        <f t="shared" si="1"/>
        <v>0</v>
      </c>
      <c r="H35" s="33">
        <f t="shared" si="1"/>
        <v>0</v>
      </c>
      <c r="I35" s="33">
        <f t="shared" si="1"/>
        <v>0</v>
      </c>
      <c r="J35" s="33">
        <f t="shared" si="1"/>
        <v>0</v>
      </c>
      <c r="K35" s="33">
        <f t="shared" si="1"/>
        <v>0</v>
      </c>
      <c r="L35" s="33">
        <f t="shared" si="1"/>
        <v>0</v>
      </c>
      <c r="M35" s="33">
        <f t="shared" si="1"/>
        <v>0</v>
      </c>
      <c r="N35" s="33">
        <f t="shared" si="1"/>
        <v>0</v>
      </c>
      <c r="O35" s="33">
        <f t="shared" si="1"/>
        <v>0</v>
      </c>
      <c r="P35" s="33">
        <f t="shared" si="1"/>
        <v>0</v>
      </c>
      <c r="Q35" s="33">
        <f t="shared" si="1"/>
        <v>0</v>
      </c>
      <c r="R35" s="33"/>
      <c r="S35" s="33"/>
      <c r="T35" s="33"/>
      <c r="U35" s="33"/>
    </row>
    <row r="36" spans="1:21" s="1" customFormat="1">
      <c r="A36" s="32" t="s">
        <v>50</v>
      </c>
      <c r="B36" s="41" t="e">
        <f t="shared" ref="B36:Q36" si="2">AVERAGE(B9:B32)</f>
        <v>#DIV/0!</v>
      </c>
      <c r="C36" s="41" t="e">
        <f t="shared" si="2"/>
        <v>#DIV/0!</v>
      </c>
      <c r="D36" s="41" t="e">
        <f t="shared" si="2"/>
        <v>#DIV/0!</v>
      </c>
      <c r="E36" s="41" t="e">
        <f t="shared" si="2"/>
        <v>#DIV/0!</v>
      </c>
      <c r="F36" s="41" t="e">
        <f t="shared" si="2"/>
        <v>#DIV/0!</v>
      </c>
      <c r="G36" s="41" t="e">
        <f t="shared" si="2"/>
        <v>#DIV/0!</v>
      </c>
      <c r="H36" s="41" t="e">
        <f t="shared" si="2"/>
        <v>#DIV/0!</v>
      </c>
      <c r="I36" s="41" t="e">
        <f t="shared" si="2"/>
        <v>#DIV/0!</v>
      </c>
      <c r="J36" s="41" t="e">
        <f t="shared" si="2"/>
        <v>#DIV/0!</v>
      </c>
      <c r="K36" s="41" t="e">
        <f t="shared" si="2"/>
        <v>#DIV/0!</v>
      </c>
      <c r="L36" s="41" t="e">
        <f t="shared" si="2"/>
        <v>#DIV/0!</v>
      </c>
      <c r="M36" s="41" t="e">
        <f t="shared" si="2"/>
        <v>#DIV/0!</v>
      </c>
      <c r="N36" s="41" t="e">
        <f t="shared" si="2"/>
        <v>#DIV/0!</v>
      </c>
      <c r="O36" s="41" t="e">
        <f t="shared" si="2"/>
        <v>#DIV/0!</v>
      </c>
      <c r="P36" s="41" t="e">
        <f t="shared" si="2"/>
        <v>#DIV/0!</v>
      </c>
      <c r="Q36" s="41" t="e">
        <f t="shared" si="2"/>
        <v>#DIV/0!</v>
      </c>
      <c r="R36" s="41"/>
      <c r="S36" s="41"/>
      <c r="T36" s="41"/>
      <c r="U36" s="41"/>
    </row>
    <row r="37" spans="1:21" s="1" customFormat="1">
      <c r="A37" s="32" t="s">
        <v>51</v>
      </c>
      <c r="B37" s="41" t="e">
        <f>STDEV(B9:B32)</f>
        <v>#DIV/0!</v>
      </c>
      <c r="C37" s="41" t="e">
        <f t="shared" ref="C37:Q37" si="3">STDEV(C9:C32)</f>
        <v>#DIV/0!</v>
      </c>
      <c r="D37" s="41" t="e">
        <f t="shared" si="3"/>
        <v>#DIV/0!</v>
      </c>
      <c r="E37" s="41" t="e">
        <f t="shared" si="3"/>
        <v>#DIV/0!</v>
      </c>
      <c r="F37" s="41" t="e">
        <f t="shared" si="3"/>
        <v>#DIV/0!</v>
      </c>
      <c r="G37" s="41" t="e">
        <f t="shared" si="3"/>
        <v>#DIV/0!</v>
      </c>
      <c r="H37" s="41" t="e">
        <f t="shared" si="3"/>
        <v>#DIV/0!</v>
      </c>
      <c r="I37" s="41" t="e">
        <f t="shared" si="3"/>
        <v>#DIV/0!</v>
      </c>
      <c r="J37" s="41" t="e">
        <f t="shared" si="3"/>
        <v>#DIV/0!</v>
      </c>
      <c r="K37" s="41" t="e">
        <f t="shared" si="3"/>
        <v>#DIV/0!</v>
      </c>
      <c r="L37" s="41" t="e">
        <f t="shared" si="3"/>
        <v>#DIV/0!</v>
      </c>
      <c r="M37" s="41" t="e">
        <f t="shared" si="3"/>
        <v>#DIV/0!</v>
      </c>
      <c r="N37" s="41" t="e">
        <f t="shared" si="3"/>
        <v>#DIV/0!</v>
      </c>
      <c r="O37" s="41" t="e">
        <f t="shared" si="3"/>
        <v>#DIV/0!</v>
      </c>
      <c r="P37" s="41" t="e">
        <f t="shared" si="3"/>
        <v>#DIV/0!</v>
      </c>
      <c r="Q37" s="41" t="e">
        <f t="shared" si="3"/>
        <v>#DIV/0!</v>
      </c>
      <c r="R37" s="41"/>
      <c r="S37" s="41"/>
      <c r="T37" s="41"/>
      <c r="U37" s="41"/>
    </row>
    <row r="38" spans="1:21" s="1" customFormat="1">
      <c r="A38" s="48" t="s">
        <v>52</v>
      </c>
      <c r="B38" s="49">
        <f t="shared" ref="B38:Q38" si="4">COUNT(B9:B32)</f>
        <v>0</v>
      </c>
      <c r="C38" s="49">
        <f t="shared" si="4"/>
        <v>0</v>
      </c>
      <c r="D38" s="49">
        <f t="shared" si="4"/>
        <v>0</v>
      </c>
      <c r="E38" s="49">
        <f t="shared" si="4"/>
        <v>0</v>
      </c>
      <c r="F38" s="49">
        <f t="shared" si="4"/>
        <v>0</v>
      </c>
      <c r="G38" s="49">
        <f t="shared" si="4"/>
        <v>0</v>
      </c>
      <c r="H38" s="49">
        <f t="shared" si="4"/>
        <v>0</v>
      </c>
      <c r="I38" s="49">
        <f t="shared" si="4"/>
        <v>0</v>
      </c>
      <c r="J38" s="49">
        <f t="shared" si="4"/>
        <v>0</v>
      </c>
      <c r="K38" s="49">
        <f t="shared" si="4"/>
        <v>0</v>
      </c>
      <c r="L38" s="49">
        <f t="shared" si="4"/>
        <v>0</v>
      </c>
      <c r="M38" s="49">
        <f t="shared" si="4"/>
        <v>0</v>
      </c>
      <c r="N38" s="49">
        <f t="shared" si="4"/>
        <v>0</v>
      </c>
      <c r="O38" s="49">
        <f t="shared" si="4"/>
        <v>0</v>
      </c>
      <c r="P38" s="49">
        <f t="shared" si="4"/>
        <v>0</v>
      </c>
      <c r="Q38" s="49">
        <f t="shared" si="4"/>
        <v>0</v>
      </c>
      <c r="R38" s="49"/>
      <c r="S38" s="49"/>
      <c r="T38" s="49"/>
      <c r="U38" s="49"/>
    </row>
    <row r="39" spans="1:21" s="1" customFormat="1">
      <c r="A39" s="32" t="s">
        <v>53</v>
      </c>
      <c r="B39" s="33" t="str">
        <f>IF(B38&gt;=22,"&gt;90%",IF(B38&lt;=22,"&lt;90%"))</f>
        <v>&lt;90%</v>
      </c>
      <c r="C39" s="33" t="str">
        <f t="shared" ref="C39:Q39" si="5">IF(C38&gt;=22,"&gt;90%",IF(C38&lt;=22,"&lt;90%"))</f>
        <v>&lt;90%</v>
      </c>
      <c r="D39" s="33" t="str">
        <f t="shared" si="5"/>
        <v>&lt;90%</v>
      </c>
      <c r="E39" s="33" t="str">
        <f t="shared" si="5"/>
        <v>&lt;90%</v>
      </c>
      <c r="F39" s="33" t="str">
        <f t="shared" si="5"/>
        <v>&lt;90%</v>
      </c>
      <c r="G39" s="33" t="str">
        <f t="shared" si="5"/>
        <v>&lt;90%</v>
      </c>
      <c r="H39" s="33" t="str">
        <f t="shared" si="5"/>
        <v>&lt;90%</v>
      </c>
      <c r="I39" s="33" t="str">
        <f t="shared" si="5"/>
        <v>&lt;90%</v>
      </c>
      <c r="J39" s="33" t="str">
        <f t="shared" si="5"/>
        <v>&lt;90%</v>
      </c>
      <c r="K39" s="33" t="str">
        <f t="shared" si="5"/>
        <v>&lt;90%</v>
      </c>
      <c r="L39" s="33" t="str">
        <f t="shared" si="5"/>
        <v>&lt;90%</v>
      </c>
      <c r="M39" s="33" t="str">
        <f t="shared" si="5"/>
        <v>&lt;90%</v>
      </c>
      <c r="N39" s="33" t="str">
        <f t="shared" si="5"/>
        <v>&lt;90%</v>
      </c>
      <c r="O39" s="33" t="str">
        <f t="shared" si="5"/>
        <v>&lt;90%</v>
      </c>
      <c r="P39" s="33" t="str">
        <f t="shared" si="5"/>
        <v>&lt;90%</v>
      </c>
      <c r="Q39" s="33" t="str">
        <f t="shared" si="5"/>
        <v>&lt;90%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LESS</v>
      </c>
      <c r="C40" s="33" t="str">
        <f t="shared" ref="C40:Q40" si="6">IF(C38&gt;=22,"OK",IF(C38&lt;=22,"LESS"))</f>
        <v>LESS</v>
      </c>
      <c r="D40" s="33" t="str">
        <f t="shared" si="6"/>
        <v>LESS</v>
      </c>
      <c r="E40" s="33" t="str">
        <f t="shared" si="6"/>
        <v>LESS</v>
      </c>
      <c r="F40" s="33" t="str">
        <f t="shared" si="6"/>
        <v>LESS</v>
      </c>
      <c r="G40" s="33" t="str">
        <f t="shared" si="6"/>
        <v>LESS</v>
      </c>
      <c r="H40" s="33" t="str">
        <f t="shared" si="6"/>
        <v>LESS</v>
      </c>
      <c r="I40" s="33" t="str">
        <f t="shared" si="6"/>
        <v>LESS</v>
      </c>
      <c r="J40" s="33" t="str">
        <f t="shared" si="6"/>
        <v>LESS</v>
      </c>
      <c r="K40" s="33" t="str">
        <f t="shared" si="6"/>
        <v>LESS</v>
      </c>
      <c r="L40" s="33" t="str">
        <f t="shared" si="6"/>
        <v>LESS</v>
      </c>
      <c r="M40" s="33" t="str">
        <f t="shared" si="6"/>
        <v>LESS</v>
      </c>
      <c r="N40" s="33" t="str">
        <f t="shared" si="6"/>
        <v>LESS</v>
      </c>
      <c r="O40" s="33" t="str">
        <f t="shared" si="6"/>
        <v>LESS</v>
      </c>
      <c r="P40" s="33" t="str">
        <f t="shared" si="6"/>
        <v>LESS</v>
      </c>
      <c r="Q40" s="33" t="str">
        <f t="shared" si="6"/>
        <v>LESS</v>
      </c>
      <c r="R40" s="33"/>
      <c r="S40" s="33"/>
      <c r="T40" s="33"/>
      <c r="U40" s="33"/>
    </row>
    <row r="41" spans="1:21" s="1" customFormat="1">
      <c r="A41" s="22"/>
      <c r="L41" s="22"/>
      <c r="N41" s="52"/>
      <c r="O41" s="52"/>
      <c r="P41" s="52"/>
      <c r="Q41" s="52"/>
      <c r="R41" s="52"/>
      <c r="S41" s="52"/>
      <c r="T41" s="52"/>
      <c r="U41" s="52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50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36" activePane="bottomRight" state="frozen"/>
      <selection activeCell="A9" sqref="A9"/>
      <selection pane="topRight" activeCell="A9" sqref="A9"/>
      <selection pane="bottomLeft" activeCell="A9" sqref="A9"/>
      <selection pane="bottomRight" activeCell="A9" sqref="A9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5"/>
      <c r="B9" s="46"/>
      <c r="C9" s="46"/>
      <c r="D9" s="46"/>
      <c r="E9" s="46"/>
      <c r="F9" s="46"/>
      <c r="G9" s="47"/>
      <c r="H9" s="46"/>
      <c r="I9" s="46"/>
      <c r="J9" s="46"/>
      <c r="K9" s="46"/>
      <c r="L9" s="46"/>
      <c r="M9" s="46"/>
      <c r="N9" s="46"/>
      <c r="O9" s="46"/>
      <c r="P9" s="46"/>
      <c r="Q9" s="46"/>
      <c r="R9" s="53"/>
      <c r="S9" s="53"/>
      <c r="T9" s="53"/>
      <c r="U9" s="53"/>
    </row>
    <row r="10" spans="1:21" customFormat="1">
      <c r="A10" s="45"/>
      <c r="B10" s="46"/>
      <c r="C10" s="46"/>
      <c r="D10" s="46"/>
      <c r="E10" s="46"/>
      <c r="F10" s="46"/>
      <c r="G10" s="47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53"/>
      <c r="S10" s="53"/>
      <c r="T10" s="53"/>
      <c r="U10" s="53"/>
    </row>
    <row r="11" spans="1:21" customFormat="1">
      <c r="A11" s="45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53"/>
      <c r="S11" s="53"/>
      <c r="T11" s="53"/>
      <c r="U11" s="53"/>
    </row>
    <row r="12" spans="1:21" customFormat="1">
      <c r="A12" s="45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53"/>
      <c r="S12" s="53"/>
      <c r="T12" s="53"/>
      <c r="U12" s="53"/>
    </row>
    <row r="13" spans="1:21" customFormat="1">
      <c r="A13" s="45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53"/>
      <c r="S13" s="53"/>
      <c r="T13" s="53"/>
      <c r="U13" s="53"/>
    </row>
    <row r="14" spans="1:21" customFormat="1">
      <c r="A14" s="45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53"/>
      <c r="S14" s="53"/>
      <c r="T14" s="53"/>
      <c r="U14" s="53"/>
    </row>
    <row r="15" spans="1:21" customFormat="1">
      <c r="A15" s="45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53"/>
      <c r="S15" s="53"/>
      <c r="T15" s="53"/>
      <c r="U15" s="53"/>
    </row>
    <row r="16" spans="1:21" customFormat="1">
      <c r="A16" s="45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53"/>
      <c r="S16" s="53"/>
      <c r="T16" s="53"/>
      <c r="U16" s="53"/>
    </row>
    <row r="17" spans="1:21" customFormat="1">
      <c r="A17" s="45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53"/>
      <c r="S17" s="53"/>
      <c r="T17" s="53"/>
      <c r="U17" s="53"/>
    </row>
    <row r="18" spans="1:21" customFormat="1">
      <c r="A18" s="45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53"/>
      <c r="S18" s="53"/>
      <c r="T18" s="53"/>
      <c r="U18" s="53"/>
    </row>
    <row r="19" spans="1:21" customFormat="1">
      <c r="A19" s="45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53"/>
      <c r="S19" s="53"/>
      <c r="T19" s="53"/>
      <c r="U19" s="53"/>
    </row>
    <row r="20" spans="1:21" customFormat="1">
      <c r="A20" s="45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53"/>
      <c r="S20" s="53"/>
      <c r="T20" s="53"/>
      <c r="U20" s="53"/>
    </row>
    <row r="21" spans="1:21" customFormat="1">
      <c r="A21" s="45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53"/>
      <c r="S21" s="53"/>
      <c r="T21" s="53"/>
      <c r="U21" s="53"/>
    </row>
    <row r="22" spans="1:21" customFormat="1">
      <c r="A22" s="45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53"/>
      <c r="S22" s="53"/>
      <c r="T22" s="53"/>
      <c r="U22" s="53"/>
    </row>
    <row r="23" spans="1:21" customFormat="1">
      <c r="A23" s="45"/>
      <c r="B23" s="46"/>
      <c r="C23" s="46"/>
      <c r="D23" s="46"/>
      <c r="E23" s="46"/>
      <c r="F23" s="46"/>
      <c r="G23" s="47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53"/>
      <c r="S23" s="53"/>
      <c r="T23" s="53"/>
      <c r="U23" s="53"/>
    </row>
    <row r="24" spans="1:21" customFormat="1">
      <c r="A24" s="45"/>
      <c r="B24" s="46"/>
      <c r="C24" s="46"/>
      <c r="D24" s="46"/>
      <c r="E24" s="46"/>
      <c r="F24" s="46"/>
      <c r="G24" s="47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53"/>
      <c r="S24" s="53"/>
      <c r="T24" s="53"/>
      <c r="U24" s="53"/>
    </row>
    <row r="25" spans="1:21" customFormat="1">
      <c r="A25" s="45"/>
      <c r="B25" s="46"/>
      <c r="C25" s="46"/>
      <c r="D25" s="46"/>
      <c r="E25" s="46"/>
      <c r="F25" s="46"/>
      <c r="G25" s="47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53"/>
      <c r="S25" s="53"/>
      <c r="T25" s="53"/>
      <c r="U25" s="53"/>
    </row>
    <row r="26" spans="1:21" customFormat="1">
      <c r="A26" s="45"/>
      <c r="B26" s="46"/>
      <c r="C26" s="46"/>
      <c r="D26" s="46"/>
      <c r="E26" s="46"/>
      <c r="F26" s="46"/>
      <c r="G26" s="47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53"/>
      <c r="S26" s="53"/>
      <c r="T26" s="53"/>
      <c r="U26" s="53"/>
    </row>
    <row r="27" spans="1:21" customFormat="1">
      <c r="A27" s="45"/>
      <c r="B27" s="46"/>
      <c r="C27" s="46"/>
      <c r="D27" s="46"/>
      <c r="E27" s="46"/>
      <c r="F27" s="46"/>
      <c r="G27" s="47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53"/>
      <c r="S27" s="53"/>
      <c r="T27" s="53"/>
      <c r="U27" s="53"/>
    </row>
    <row r="28" spans="1:21" customFormat="1">
      <c r="A28" s="45"/>
      <c r="B28" s="46"/>
      <c r="C28" s="46"/>
      <c r="D28" s="46"/>
      <c r="E28" s="46"/>
      <c r="F28" s="46"/>
      <c r="G28" s="47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53"/>
      <c r="S28" s="53"/>
      <c r="T28" s="53"/>
      <c r="U28" s="53"/>
    </row>
    <row r="29" spans="1:21" customFormat="1">
      <c r="A29" s="45"/>
      <c r="B29" s="46"/>
      <c r="C29" s="46"/>
      <c r="D29" s="46"/>
      <c r="E29" s="46"/>
      <c r="F29" s="46"/>
      <c r="G29" s="47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53"/>
      <c r="S29" s="53"/>
      <c r="T29" s="53"/>
      <c r="U29" s="53"/>
    </row>
    <row r="30" spans="1:21" customFormat="1">
      <c r="A30" s="45"/>
      <c r="B30" s="46"/>
      <c r="C30" s="46"/>
      <c r="D30" s="46"/>
      <c r="E30" s="46"/>
      <c r="F30" s="46"/>
      <c r="G30" s="47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53"/>
      <c r="S30" s="53"/>
      <c r="T30" s="53"/>
      <c r="U30" s="53"/>
    </row>
    <row r="31" spans="1:21" customFormat="1">
      <c r="A31" s="45"/>
      <c r="B31" s="46"/>
      <c r="C31" s="46"/>
      <c r="D31" s="46"/>
      <c r="E31" s="46"/>
      <c r="F31" s="46"/>
      <c r="G31" s="47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53"/>
      <c r="S31" s="53"/>
      <c r="T31" s="53"/>
      <c r="U31" s="53"/>
    </row>
    <row r="32" spans="1:21" customFormat="1">
      <c r="A32" s="45"/>
      <c r="B32" s="46"/>
      <c r="C32" s="46"/>
      <c r="D32" s="46"/>
      <c r="E32" s="46"/>
      <c r="F32" s="46"/>
      <c r="G32" s="47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53"/>
      <c r="S32" s="53"/>
      <c r="T32" s="53"/>
      <c r="U32" s="53"/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0</v>
      </c>
      <c r="C34" s="41">
        <f t="shared" si="0"/>
        <v>0</v>
      </c>
      <c r="D34" s="41">
        <f t="shared" si="0"/>
        <v>0</v>
      </c>
      <c r="E34" s="41">
        <f t="shared" si="0"/>
        <v>0</v>
      </c>
      <c r="F34" s="41">
        <f t="shared" si="0"/>
        <v>0</v>
      </c>
      <c r="G34" s="41">
        <f t="shared" si="0"/>
        <v>0</v>
      </c>
      <c r="H34" s="41">
        <f t="shared" si="0"/>
        <v>0</v>
      </c>
      <c r="I34" s="41">
        <f t="shared" si="0"/>
        <v>0</v>
      </c>
      <c r="J34" s="41">
        <f t="shared" si="0"/>
        <v>0</v>
      </c>
      <c r="K34" s="41">
        <f t="shared" si="0"/>
        <v>0</v>
      </c>
      <c r="L34" s="41">
        <f t="shared" si="0"/>
        <v>0</v>
      </c>
      <c r="M34" s="41">
        <f t="shared" si="0"/>
        <v>0</v>
      </c>
      <c r="N34" s="41">
        <f t="shared" si="0"/>
        <v>0</v>
      </c>
      <c r="O34" s="41">
        <f t="shared" si="0"/>
        <v>0</v>
      </c>
      <c r="P34" s="41">
        <f t="shared" si="0"/>
        <v>0</v>
      </c>
      <c r="Q34" s="41">
        <f t="shared" si="0"/>
        <v>0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0</v>
      </c>
      <c r="C35" s="33">
        <f t="shared" si="1"/>
        <v>0</v>
      </c>
      <c r="D35" s="33">
        <f t="shared" si="1"/>
        <v>0</v>
      </c>
      <c r="E35" s="33">
        <f t="shared" si="1"/>
        <v>0</v>
      </c>
      <c r="F35" s="33">
        <f t="shared" si="1"/>
        <v>0</v>
      </c>
      <c r="G35" s="33">
        <f t="shared" si="1"/>
        <v>0</v>
      </c>
      <c r="H35" s="33">
        <f t="shared" si="1"/>
        <v>0</v>
      </c>
      <c r="I35" s="33">
        <f t="shared" si="1"/>
        <v>0</v>
      </c>
      <c r="J35" s="33">
        <f t="shared" si="1"/>
        <v>0</v>
      </c>
      <c r="K35" s="33">
        <f t="shared" si="1"/>
        <v>0</v>
      </c>
      <c r="L35" s="33">
        <f t="shared" si="1"/>
        <v>0</v>
      </c>
      <c r="M35" s="33">
        <f t="shared" si="1"/>
        <v>0</v>
      </c>
      <c r="N35" s="33">
        <f t="shared" si="1"/>
        <v>0</v>
      </c>
      <c r="O35" s="33">
        <f t="shared" si="1"/>
        <v>0</v>
      </c>
      <c r="P35" s="33">
        <f t="shared" si="1"/>
        <v>0</v>
      </c>
      <c r="Q35" s="33">
        <f t="shared" si="1"/>
        <v>0</v>
      </c>
      <c r="R35" s="33"/>
      <c r="S35" s="33"/>
      <c r="T35" s="33"/>
      <c r="U35" s="33"/>
    </row>
    <row r="36" spans="1:21" s="1" customFormat="1">
      <c r="A36" s="32" t="s">
        <v>50</v>
      </c>
      <c r="B36" s="41" t="e">
        <f t="shared" ref="B36:Q36" si="2">AVERAGE(B9:B32)</f>
        <v>#DIV/0!</v>
      </c>
      <c r="C36" s="41" t="e">
        <f t="shared" si="2"/>
        <v>#DIV/0!</v>
      </c>
      <c r="D36" s="41" t="e">
        <f t="shared" si="2"/>
        <v>#DIV/0!</v>
      </c>
      <c r="E36" s="41" t="e">
        <f t="shared" si="2"/>
        <v>#DIV/0!</v>
      </c>
      <c r="F36" s="41" t="e">
        <f t="shared" si="2"/>
        <v>#DIV/0!</v>
      </c>
      <c r="G36" s="41" t="e">
        <f t="shared" si="2"/>
        <v>#DIV/0!</v>
      </c>
      <c r="H36" s="41" t="e">
        <f t="shared" si="2"/>
        <v>#DIV/0!</v>
      </c>
      <c r="I36" s="41" t="e">
        <f t="shared" si="2"/>
        <v>#DIV/0!</v>
      </c>
      <c r="J36" s="41" t="e">
        <f t="shared" si="2"/>
        <v>#DIV/0!</v>
      </c>
      <c r="K36" s="41" t="e">
        <f t="shared" si="2"/>
        <v>#DIV/0!</v>
      </c>
      <c r="L36" s="41" t="e">
        <f t="shared" si="2"/>
        <v>#DIV/0!</v>
      </c>
      <c r="M36" s="41" t="e">
        <f t="shared" si="2"/>
        <v>#DIV/0!</v>
      </c>
      <c r="N36" s="41" t="e">
        <f t="shared" si="2"/>
        <v>#DIV/0!</v>
      </c>
      <c r="O36" s="41" t="e">
        <f t="shared" si="2"/>
        <v>#DIV/0!</v>
      </c>
      <c r="P36" s="41" t="e">
        <f t="shared" si="2"/>
        <v>#DIV/0!</v>
      </c>
      <c r="Q36" s="41" t="e">
        <f t="shared" si="2"/>
        <v>#DIV/0!</v>
      </c>
      <c r="R36" s="41"/>
      <c r="S36" s="41"/>
      <c r="T36" s="41"/>
      <c r="U36" s="41"/>
    </row>
    <row r="37" spans="1:21" s="1" customFormat="1">
      <c r="A37" s="32" t="s">
        <v>51</v>
      </c>
      <c r="B37" s="41" t="e">
        <f>STDEV(B9:B32)</f>
        <v>#DIV/0!</v>
      </c>
      <c r="C37" s="41" t="e">
        <f t="shared" ref="C37:Q37" si="3">STDEV(C9:C32)</f>
        <v>#DIV/0!</v>
      </c>
      <c r="D37" s="41" t="e">
        <f t="shared" si="3"/>
        <v>#DIV/0!</v>
      </c>
      <c r="E37" s="41" t="e">
        <f t="shared" si="3"/>
        <v>#DIV/0!</v>
      </c>
      <c r="F37" s="41" t="e">
        <f t="shared" si="3"/>
        <v>#DIV/0!</v>
      </c>
      <c r="G37" s="41" t="e">
        <f t="shared" si="3"/>
        <v>#DIV/0!</v>
      </c>
      <c r="H37" s="41" t="e">
        <f t="shared" si="3"/>
        <v>#DIV/0!</v>
      </c>
      <c r="I37" s="41" t="e">
        <f t="shared" si="3"/>
        <v>#DIV/0!</v>
      </c>
      <c r="J37" s="41" t="e">
        <f t="shared" si="3"/>
        <v>#DIV/0!</v>
      </c>
      <c r="K37" s="41" t="e">
        <f t="shared" si="3"/>
        <v>#DIV/0!</v>
      </c>
      <c r="L37" s="41" t="e">
        <f t="shared" si="3"/>
        <v>#DIV/0!</v>
      </c>
      <c r="M37" s="41" t="e">
        <f t="shared" si="3"/>
        <v>#DIV/0!</v>
      </c>
      <c r="N37" s="41" t="e">
        <f t="shared" si="3"/>
        <v>#DIV/0!</v>
      </c>
      <c r="O37" s="41" t="e">
        <f t="shared" si="3"/>
        <v>#DIV/0!</v>
      </c>
      <c r="P37" s="41" t="e">
        <f t="shared" si="3"/>
        <v>#DIV/0!</v>
      </c>
      <c r="Q37" s="41" t="e">
        <f t="shared" si="3"/>
        <v>#DIV/0!</v>
      </c>
      <c r="R37" s="41"/>
      <c r="S37" s="41"/>
      <c r="T37" s="41"/>
      <c r="U37" s="41"/>
    </row>
    <row r="38" spans="1:21" s="1" customFormat="1">
      <c r="A38" s="48" t="s">
        <v>52</v>
      </c>
      <c r="B38" s="49">
        <f t="shared" ref="B38:Q38" si="4">COUNT(B9:B32)</f>
        <v>0</v>
      </c>
      <c r="C38" s="49">
        <f t="shared" si="4"/>
        <v>0</v>
      </c>
      <c r="D38" s="49">
        <f t="shared" si="4"/>
        <v>0</v>
      </c>
      <c r="E38" s="49">
        <f t="shared" si="4"/>
        <v>0</v>
      </c>
      <c r="F38" s="49">
        <f t="shared" si="4"/>
        <v>0</v>
      </c>
      <c r="G38" s="49">
        <f t="shared" si="4"/>
        <v>0</v>
      </c>
      <c r="H38" s="49">
        <f t="shared" si="4"/>
        <v>0</v>
      </c>
      <c r="I38" s="49">
        <f t="shared" si="4"/>
        <v>0</v>
      </c>
      <c r="J38" s="49">
        <f t="shared" si="4"/>
        <v>0</v>
      </c>
      <c r="K38" s="49">
        <f t="shared" si="4"/>
        <v>0</v>
      </c>
      <c r="L38" s="49">
        <f t="shared" si="4"/>
        <v>0</v>
      </c>
      <c r="M38" s="49">
        <f t="shared" si="4"/>
        <v>0</v>
      </c>
      <c r="N38" s="49">
        <f t="shared" si="4"/>
        <v>0</v>
      </c>
      <c r="O38" s="49">
        <f t="shared" si="4"/>
        <v>0</v>
      </c>
      <c r="P38" s="49">
        <f t="shared" si="4"/>
        <v>0</v>
      </c>
      <c r="Q38" s="49">
        <f t="shared" si="4"/>
        <v>0</v>
      </c>
      <c r="R38" s="49"/>
      <c r="S38" s="49"/>
      <c r="T38" s="49"/>
      <c r="U38" s="49"/>
    </row>
    <row r="39" spans="1:21" s="1" customFormat="1">
      <c r="A39" s="32" t="s">
        <v>53</v>
      </c>
      <c r="B39" s="33" t="str">
        <f>IF(B38&gt;=22,"&gt;90%",IF(B38&lt;=22,"&lt;90%"))</f>
        <v>&lt;90%</v>
      </c>
      <c r="C39" s="33" t="str">
        <f t="shared" ref="C39:Q39" si="5">IF(C38&gt;=22,"&gt;90%",IF(C38&lt;=22,"&lt;90%"))</f>
        <v>&lt;90%</v>
      </c>
      <c r="D39" s="33" t="str">
        <f t="shared" si="5"/>
        <v>&lt;90%</v>
      </c>
      <c r="E39" s="33" t="str">
        <f t="shared" si="5"/>
        <v>&lt;90%</v>
      </c>
      <c r="F39" s="33" t="str">
        <f t="shared" si="5"/>
        <v>&lt;90%</v>
      </c>
      <c r="G39" s="33" t="str">
        <f t="shared" si="5"/>
        <v>&lt;90%</v>
      </c>
      <c r="H39" s="33" t="str">
        <f t="shared" si="5"/>
        <v>&lt;90%</v>
      </c>
      <c r="I39" s="33" t="str">
        <f t="shared" si="5"/>
        <v>&lt;90%</v>
      </c>
      <c r="J39" s="33" t="str">
        <f t="shared" si="5"/>
        <v>&lt;90%</v>
      </c>
      <c r="K39" s="33" t="str">
        <f t="shared" si="5"/>
        <v>&lt;90%</v>
      </c>
      <c r="L39" s="33" t="str">
        <f t="shared" si="5"/>
        <v>&lt;90%</v>
      </c>
      <c r="M39" s="33" t="str">
        <f t="shared" si="5"/>
        <v>&lt;90%</v>
      </c>
      <c r="N39" s="33" t="str">
        <f t="shared" si="5"/>
        <v>&lt;90%</v>
      </c>
      <c r="O39" s="33" t="str">
        <f t="shared" si="5"/>
        <v>&lt;90%</v>
      </c>
      <c r="P39" s="33" t="str">
        <f t="shared" si="5"/>
        <v>&lt;90%</v>
      </c>
      <c r="Q39" s="33" t="str">
        <f t="shared" si="5"/>
        <v>&lt;90%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LESS</v>
      </c>
      <c r="C40" s="33" t="str">
        <f t="shared" ref="C40:Q40" si="6">IF(C38&gt;=22,"OK",IF(C38&lt;=22,"LESS"))</f>
        <v>LESS</v>
      </c>
      <c r="D40" s="33" t="str">
        <f t="shared" si="6"/>
        <v>LESS</v>
      </c>
      <c r="E40" s="33" t="str">
        <f t="shared" si="6"/>
        <v>LESS</v>
      </c>
      <c r="F40" s="33" t="str">
        <f t="shared" si="6"/>
        <v>LESS</v>
      </c>
      <c r="G40" s="33" t="str">
        <f t="shared" si="6"/>
        <v>LESS</v>
      </c>
      <c r="H40" s="33" t="str">
        <f t="shared" si="6"/>
        <v>LESS</v>
      </c>
      <c r="I40" s="33" t="str">
        <f t="shared" si="6"/>
        <v>LESS</v>
      </c>
      <c r="J40" s="33" t="str">
        <f t="shared" si="6"/>
        <v>LESS</v>
      </c>
      <c r="K40" s="33" t="str">
        <f t="shared" si="6"/>
        <v>LESS</v>
      </c>
      <c r="L40" s="33" t="str">
        <f t="shared" si="6"/>
        <v>LESS</v>
      </c>
      <c r="M40" s="33" t="str">
        <f t="shared" si="6"/>
        <v>LESS</v>
      </c>
      <c r="N40" s="33" t="str">
        <f t="shared" si="6"/>
        <v>LESS</v>
      </c>
      <c r="O40" s="33" t="str">
        <f t="shared" si="6"/>
        <v>LESS</v>
      </c>
      <c r="P40" s="33" t="str">
        <f t="shared" si="6"/>
        <v>LESS</v>
      </c>
      <c r="Q40" s="33" t="str">
        <f t="shared" si="6"/>
        <v>LESS</v>
      </c>
      <c r="R40" s="33"/>
      <c r="S40" s="33"/>
      <c r="T40" s="33"/>
      <c r="U40" s="33"/>
    </row>
    <row r="41" spans="1:21" s="1" customFormat="1">
      <c r="A41" s="22"/>
      <c r="L41" s="22"/>
      <c r="N41" s="52"/>
      <c r="O41" s="52"/>
      <c r="P41" s="52"/>
      <c r="Q41" s="52"/>
      <c r="R41" s="52"/>
      <c r="S41" s="52"/>
      <c r="T41" s="52"/>
      <c r="U41" s="52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50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7" activePane="bottomRight" state="frozen"/>
      <selection activeCell="A9" sqref="A9"/>
      <selection pane="topRight" activeCell="A9" sqref="A9"/>
      <selection pane="bottomLeft" activeCell="A9" sqref="A9"/>
      <selection pane="bottomRight" activeCell="A9" sqref="A9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5"/>
      <c r="B9" s="46"/>
      <c r="C9" s="46"/>
      <c r="D9" s="46"/>
      <c r="E9" s="46"/>
      <c r="F9" s="46"/>
      <c r="G9" s="47"/>
      <c r="H9" s="46"/>
      <c r="I9" s="46"/>
      <c r="J9" s="46"/>
      <c r="K9" s="46"/>
      <c r="L9" s="46"/>
      <c r="M9" s="46"/>
      <c r="N9" s="46"/>
      <c r="O9" s="46"/>
      <c r="P9" s="46"/>
      <c r="Q9" s="46"/>
      <c r="R9" s="53"/>
      <c r="S9" s="53"/>
      <c r="T9" s="53"/>
      <c r="U9" s="53"/>
    </row>
    <row r="10" spans="1:21" customFormat="1">
      <c r="A10" s="45"/>
      <c r="B10" s="46"/>
      <c r="C10" s="46"/>
      <c r="D10" s="46"/>
      <c r="E10" s="46"/>
      <c r="F10" s="46"/>
      <c r="G10" s="47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53"/>
      <c r="S10" s="53"/>
      <c r="T10" s="53"/>
      <c r="U10" s="53"/>
    </row>
    <row r="11" spans="1:21" customFormat="1">
      <c r="A11" s="45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53"/>
      <c r="S11" s="53"/>
      <c r="T11" s="53"/>
      <c r="U11" s="53"/>
    </row>
    <row r="12" spans="1:21" customFormat="1">
      <c r="A12" s="45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53"/>
      <c r="S12" s="53"/>
      <c r="T12" s="53"/>
      <c r="U12" s="53"/>
    </row>
    <row r="13" spans="1:21" customFormat="1">
      <c r="A13" s="45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53"/>
      <c r="S13" s="53"/>
      <c r="T13" s="53"/>
      <c r="U13" s="53"/>
    </row>
    <row r="14" spans="1:21" customFormat="1">
      <c r="A14" s="45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53"/>
      <c r="S14" s="53"/>
      <c r="T14" s="53"/>
      <c r="U14" s="53"/>
    </row>
    <row r="15" spans="1:21" customFormat="1">
      <c r="A15" s="45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53"/>
      <c r="S15" s="53"/>
      <c r="T15" s="53"/>
      <c r="U15" s="53"/>
    </row>
    <row r="16" spans="1:21" customFormat="1">
      <c r="A16" s="45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53"/>
      <c r="S16" s="53"/>
      <c r="T16" s="53"/>
      <c r="U16" s="53"/>
    </row>
    <row r="17" spans="1:21" customFormat="1">
      <c r="A17" s="45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53"/>
      <c r="S17" s="53"/>
      <c r="T17" s="53"/>
      <c r="U17" s="53"/>
    </row>
    <row r="18" spans="1:21" customFormat="1">
      <c r="A18" s="45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53"/>
      <c r="S18" s="53"/>
      <c r="T18" s="53"/>
      <c r="U18" s="53"/>
    </row>
    <row r="19" spans="1:21" customFormat="1">
      <c r="A19" s="45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53"/>
      <c r="S19" s="53"/>
      <c r="T19" s="53"/>
      <c r="U19" s="53"/>
    </row>
    <row r="20" spans="1:21" customFormat="1">
      <c r="A20" s="45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53"/>
      <c r="S20" s="53"/>
      <c r="T20" s="53"/>
      <c r="U20" s="53"/>
    </row>
    <row r="21" spans="1:21" customFormat="1">
      <c r="A21" s="45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53"/>
      <c r="S21" s="53"/>
      <c r="T21" s="53"/>
      <c r="U21" s="53"/>
    </row>
    <row r="22" spans="1:21" customFormat="1">
      <c r="A22" s="45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53"/>
      <c r="S22" s="53"/>
      <c r="T22" s="53"/>
      <c r="U22" s="53"/>
    </row>
    <row r="23" spans="1:21" customFormat="1">
      <c r="A23" s="45"/>
      <c r="B23" s="46"/>
      <c r="C23" s="46"/>
      <c r="D23" s="46"/>
      <c r="E23" s="46"/>
      <c r="F23" s="46"/>
      <c r="G23" s="47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53"/>
      <c r="S23" s="53"/>
      <c r="T23" s="53"/>
      <c r="U23" s="53"/>
    </row>
    <row r="24" spans="1:21" customFormat="1">
      <c r="A24" s="45"/>
      <c r="B24" s="46"/>
      <c r="C24" s="46"/>
      <c r="D24" s="46"/>
      <c r="E24" s="46"/>
      <c r="F24" s="46"/>
      <c r="G24" s="47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53"/>
      <c r="S24" s="53"/>
      <c r="T24" s="53"/>
      <c r="U24" s="53"/>
    </row>
    <row r="25" spans="1:21" customFormat="1">
      <c r="A25" s="45"/>
      <c r="B25" s="46"/>
      <c r="C25" s="46"/>
      <c r="D25" s="46"/>
      <c r="E25" s="46"/>
      <c r="F25" s="46"/>
      <c r="G25" s="47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53"/>
      <c r="S25" s="53"/>
      <c r="T25" s="53"/>
      <c r="U25" s="53"/>
    </row>
    <row r="26" spans="1:21" customFormat="1">
      <c r="A26" s="45"/>
      <c r="B26" s="46"/>
      <c r="C26" s="46"/>
      <c r="D26" s="46"/>
      <c r="E26" s="46"/>
      <c r="F26" s="46"/>
      <c r="G26" s="47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53"/>
      <c r="S26" s="53"/>
      <c r="T26" s="53"/>
      <c r="U26" s="53"/>
    </row>
    <row r="27" spans="1:21" customFormat="1">
      <c r="A27" s="45"/>
      <c r="B27" s="46"/>
      <c r="C27" s="46"/>
      <c r="D27" s="46"/>
      <c r="E27" s="46"/>
      <c r="F27" s="46"/>
      <c r="G27" s="47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53"/>
      <c r="S27" s="53"/>
      <c r="T27" s="53"/>
      <c r="U27" s="53"/>
    </row>
    <row r="28" spans="1:21" customFormat="1">
      <c r="A28" s="45"/>
      <c r="B28" s="46"/>
      <c r="C28" s="46"/>
      <c r="D28" s="46"/>
      <c r="E28" s="46"/>
      <c r="F28" s="46"/>
      <c r="G28" s="47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53"/>
      <c r="S28" s="53"/>
      <c r="T28" s="53"/>
      <c r="U28" s="53"/>
    </row>
    <row r="29" spans="1:21" customFormat="1">
      <c r="A29" s="45"/>
      <c r="B29" s="46"/>
      <c r="C29" s="46"/>
      <c r="D29" s="46"/>
      <c r="E29" s="46"/>
      <c r="F29" s="46"/>
      <c r="G29" s="47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53"/>
      <c r="S29" s="53"/>
      <c r="T29" s="53"/>
      <c r="U29" s="53"/>
    </row>
    <row r="30" spans="1:21" customFormat="1">
      <c r="A30" s="45"/>
      <c r="B30" s="46"/>
      <c r="C30" s="46"/>
      <c r="D30" s="46"/>
      <c r="E30" s="46"/>
      <c r="F30" s="46"/>
      <c r="G30" s="47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53"/>
      <c r="S30" s="53"/>
      <c r="T30" s="53"/>
      <c r="U30" s="53"/>
    </row>
    <row r="31" spans="1:21" customFormat="1">
      <c r="A31" s="45"/>
      <c r="B31" s="46"/>
      <c r="C31" s="46"/>
      <c r="D31" s="46"/>
      <c r="E31" s="46"/>
      <c r="F31" s="46"/>
      <c r="G31" s="47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53"/>
      <c r="S31" s="53"/>
      <c r="T31" s="53"/>
      <c r="U31" s="53"/>
    </row>
    <row r="32" spans="1:21" customFormat="1">
      <c r="A32" s="45"/>
      <c r="B32" s="46"/>
      <c r="C32" s="46"/>
      <c r="D32" s="46"/>
      <c r="E32" s="46"/>
      <c r="F32" s="46"/>
      <c r="G32" s="47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53"/>
      <c r="S32" s="53"/>
      <c r="T32" s="53"/>
      <c r="U32" s="53"/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0</v>
      </c>
      <c r="C34" s="41">
        <f t="shared" si="0"/>
        <v>0</v>
      </c>
      <c r="D34" s="41">
        <f t="shared" si="0"/>
        <v>0</v>
      </c>
      <c r="E34" s="41">
        <f t="shared" si="0"/>
        <v>0</v>
      </c>
      <c r="F34" s="41">
        <f t="shared" si="0"/>
        <v>0</v>
      </c>
      <c r="G34" s="41">
        <f t="shared" si="0"/>
        <v>0</v>
      </c>
      <c r="H34" s="41">
        <f t="shared" si="0"/>
        <v>0</v>
      </c>
      <c r="I34" s="41">
        <f t="shared" si="0"/>
        <v>0</v>
      </c>
      <c r="J34" s="41">
        <f t="shared" si="0"/>
        <v>0</v>
      </c>
      <c r="K34" s="41">
        <f t="shared" si="0"/>
        <v>0</v>
      </c>
      <c r="L34" s="41">
        <f t="shared" si="0"/>
        <v>0</v>
      </c>
      <c r="M34" s="41">
        <f t="shared" si="0"/>
        <v>0</v>
      </c>
      <c r="N34" s="41">
        <f t="shared" si="0"/>
        <v>0</v>
      </c>
      <c r="O34" s="41">
        <f t="shared" si="0"/>
        <v>0</v>
      </c>
      <c r="P34" s="41">
        <f t="shared" si="0"/>
        <v>0</v>
      </c>
      <c r="Q34" s="41">
        <f t="shared" si="0"/>
        <v>0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0</v>
      </c>
      <c r="C35" s="33">
        <f t="shared" si="1"/>
        <v>0</v>
      </c>
      <c r="D35" s="33">
        <f t="shared" si="1"/>
        <v>0</v>
      </c>
      <c r="E35" s="33">
        <f t="shared" si="1"/>
        <v>0</v>
      </c>
      <c r="F35" s="33">
        <f t="shared" si="1"/>
        <v>0</v>
      </c>
      <c r="G35" s="33">
        <f t="shared" si="1"/>
        <v>0</v>
      </c>
      <c r="H35" s="33">
        <f t="shared" si="1"/>
        <v>0</v>
      </c>
      <c r="I35" s="33">
        <f t="shared" si="1"/>
        <v>0</v>
      </c>
      <c r="J35" s="33">
        <f t="shared" si="1"/>
        <v>0</v>
      </c>
      <c r="K35" s="33">
        <f t="shared" si="1"/>
        <v>0</v>
      </c>
      <c r="L35" s="33">
        <f t="shared" si="1"/>
        <v>0</v>
      </c>
      <c r="M35" s="33">
        <f t="shared" si="1"/>
        <v>0</v>
      </c>
      <c r="N35" s="33">
        <f t="shared" si="1"/>
        <v>0</v>
      </c>
      <c r="O35" s="33">
        <f t="shared" si="1"/>
        <v>0</v>
      </c>
      <c r="P35" s="33">
        <f t="shared" si="1"/>
        <v>0</v>
      </c>
      <c r="Q35" s="33">
        <f t="shared" si="1"/>
        <v>0</v>
      </c>
      <c r="R35" s="33"/>
      <c r="S35" s="33"/>
      <c r="T35" s="33"/>
      <c r="U35" s="33"/>
    </row>
    <row r="36" spans="1:21" s="1" customFormat="1">
      <c r="A36" s="32" t="s">
        <v>50</v>
      </c>
      <c r="B36" s="41" t="e">
        <f t="shared" ref="B36:Q36" si="2">AVERAGE(B9:B32)</f>
        <v>#DIV/0!</v>
      </c>
      <c r="C36" s="41" t="e">
        <f t="shared" si="2"/>
        <v>#DIV/0!</v>
      </c>
      <c r="D36" s="41" t="e">
        <f t="shared" si="2"/>
        <v>#DIV/0!</v>
      </c>
      <c r="E36" s="41" t="e">
        <f t="shared" si="2"/>
        <v>#DIV/0!</v>
      </c>
      <c r="F36" s="41" t="e">
        <f t="shared" si="2"/>
        <v>#DIV/0!</v>
      </c>
      <c r="G36" s="41" t="e">
        <f t="shared" si="2"/>
        <v>#DIV/0!</v>
      </c>
      <c r="H36" s="41" t="e">
        <f t="shared" si="2"/>
        <v>#DIV/0!</v>
      </c>
      <c r="I36" s="41" t="e">
        <f t="shared" si="2"/>
        <v>#DIV/0!</v>
      </c>
      <c r="J36" s="41" t="e">
        <f t="shared" si="2"/>
        <v>#DIV/0!</v>
      </c>
      <c r="K36" s="41" t="e">
        <f t="shared" si="2"/>
        <v>#DIV/0!</v>
      </c>
      <c r="L36" s="41" t="e">
        <f t="shared" si="2"/>
        <v>#DIV/0!</v>
      </c>
      <c r="M36" s="41" t="e">
        <f t="shared" si="2"/>
        <v>#DIV/0!</v>
      </c>
      <c r="N36" s="41" t="e">
        <f t="shared" si="2"/>
        <v>#DIV/0!</v>
      </c>
      <c r="O36" s="41" t="e">
        <f t="shared" si="2"/>
        <v>#DIV/0!</v>
      </c>
      <c r="P36" s="41" t="e">
        <f t="shared" si="2"/>
        <v>#DIV/0!</v>
      </c>
      <c r="Q36" s="41" t="e">
        <f t="shared" si="2"/>
        <v>#DIV/0!</v>
      </c>
      <c r="R36" s="41"/>
      <c r="S36" s="41"/>
      <c r="T36" s="41"/>
      <c r="U36" s="41"/>
    </row>
    <row r="37" spans="1:21" s="1" customFormat="1">
      <c r="A37" s="32" t="s">
        <v>51</v>
      </c>
      <c r="B37" s="41" t="e">
        <f>STDEV(B9:B32)</f>
        <v>#DIV/0!</v>
      </c>
      <c r="C37" s="41" t="e">
        <f t="shared" ref="C37:Q37" si="3">STDEV(C9:C32)</f>
        <v>#DIV/0!</v>
      </c>
      <c r="D37" s="41" t="e">
        <f t="shared" si="3"/>
        <v>#DIV/0!</v>
      </c>
      <c r="E37" s="41" t="e">
        <f t="shared" si="3"/>
        <v>#DIV/0!</v>
      </c>
      <c r="F37" s="41" t="e">
        <f t="shared" si="3"/>
        <v>#DIV/0!</v>
      </c>
      <c r="G37" s="41" t="e">
        <f t="shared" si="3"/>
        <v>#DIV/0!</v>
      </c>
      <c r="H37" s="41" t="e">
        <f t="shared" si="3"/>
        <v>#DIV/0!</v>
      </c>
      <c r="I37" s="41" t="e">
        <f t="shared" si="3"/>
        <v>#DIV/0!</v>
      </c>
      <c r="J37" s="41" t="e">
        <f t="shared" si="3"/>
        <v>#DIV/0!</v>
      </c>
      <c r="K37" s="41" t="e">
        <f t="shared" si="3"/>
        <v>#DIV/0!</v>
      </c>
      <c r="L37" s="41" t="e">
        <f t="shared" si="3"/>
        <v>#DIV/0!</v>
      </c>
      <c r="M37" s="41" t="e">
        <f t="shared" si="3"/>
        <v>#DIV/0!</v>
      </c>
      <c r="N37" s="41" t="e">
        <f t="shared" si="3"/>
        <v>#DIV/0!</v>
      </c>
      <c r="O37" s="41" t="e">
        <f t="shared" si="3"/>
        <v>#DIV/0!</v>
      </c>
      <c r="P37" s="41" t="e">
        <f t="shared" si="3"/>
        <v>#DIV/0!</v>
      </c>
      <c r="Q37" s="41" t="e">
        <f t="shared" si="3"/>
        <v>#DIV/0!</v>
      </c>
      <c r="R37" s="41"/>
      <c r="S37" s="41"/>
      <c r="T37" s="41"/>
      <c r="U37" s="41"/>
    </row>
    <row r="38" spans="1:21" s="1" customFormat="1">
      <c r="A38" s="48" t="s">
        <v>52</v>
      </c>
      <c r="B38" s="49">
        <f t="shared" ref="B38:Q38" si="4">COUNT(B9:B32)</f>
        <v>0</v>
      </c>
      <c r="C38" s="49">
        <f t="shared" si="4"/>
        <v>0</v>
      </c>
      <c r="D38" s="49">
        <f t="shared" si="4"/>
        <v>0</v>
      </c>
      <c r="E38" s="49">
        <f t="shared" si="4"/>
        <v>0</v>
      </c>
      <c r="F38" s="49">
        <f t="shared" si="4"/>
        <v>0</v>
      </c>
      <c r="G38" s="49">
        <f t="shared" si="4"/>
        <v>0</v>
      </c>
      <c r="H38" s="49">
        <f t="shared" si="4"/>
        <v>0</v>
      </c>
      <c r="I38" s="49">
        <f t="shared" si="4"/>
        <v>0</v>
      </c>
      <c r="J38" s="49">
        <f t="shared" si="4"/>
        <v>0</v>
      </c>
      <c r="K38" s="49">
        <f t="shared" si="4"/>
        <v>0</v>
      </c>
      <c r="L38" s="49">
        <f t="shared" si="4"/>
        <v>0</v>
      </c>
      <c r="M38" s="49">
        <f t="shared" si="4"/>
        <v>0</v>
      </c>
      <c r="N38" s="49">
        <f t="shared" si="4"/>
        <v>0</v>
      </c>
      <c r="O38" s="49">
        <f t="shared" si="4"/>
        <v>0</v>
      </c>
      <c r="P38" s="49">
        <f t="shared" si="4"/>
        <v>0</v>
      </c>
      <c r="Q38" s="49">
        <f t="shared" si="4"/>
        <v>0</v>
      </c>
      <c r="R38" s="49"/>
      <c r="S38" s="49"/>
      <c r="T38" s="49"/>
      <c r="U38" s="49"/>
    </row>
    <row r="39" spans="1:21" s="1" customFormat="1">
      <c r="A39" s="32" t="s">
        <v>53</v>
      </c>
      <c r="B39" s="33" t="str">
        <f>IF(B38&gt;=22,"&gt;90%",IF(B38&lt;=22,"&lt;90%"))</f>
        <v>&lt;90%</v>
      </c>
      <c r="C39" s="33" t="str">
        <f t="shared" ref="C39:Q39" si="5">IF(C38&gt;=22,"&gt;90%",IF(C38&lt;=22,"&lt;90%"))</f>
        <v>&lt;90%</v>
      </c>
      <c r="D39" s="33" t="str">
        <f t="shared" si="5"/>
        <v>&lt;90%</v>
      </c>
      <c r="E39" s="33" t="str">
        <f t="shared" si="5"/>
        <v>&lt;90%</v>
      </c>
      <c r="F39" s="33" t="str">
        <f t="shared" si="5"/>
        <v>&lt;90%</v>
      </c>
      <c r="G39" s="33" t="str">
        <f t="shared" si="5"/>
        <v>&lt;90%</v>
      </c>
      <c r="H39" s="33" t="str">
        <f t="shared" si="5"/>
        <v>&lt;90%</v>
      </c>
      <c r="I39" s="33" t="str">
        <f t="shared" si="5"/>
        <v>&lt;90%</v>
      </c>
      <c r="J39" s="33" t="str">
        <f t="shared" si="5"/>
        <v>&lt;90%</v>
      </c>
      <c r="K39" s="33" t="str">
        <f t="shared" si="5"/>
        <v>&lt;90%</v>
      </c>
      <c r="L39" s="33" t="str">
        <f t="shared" si="5"/>
        <v>&lt;90%</v>
      </c>
      <c r="M39" s="33" t="str">
        <f t="shared" si="5"/>
        <v>&lt;90%</v>
      </c>
      <c r="N39" s="33" t="str">
        <f t="shared" si="5"/>
        <v>&lt;90%</v>
      </c>
      <c r="O39" s="33" t="str">
        <f t="shared" si="5"/>
        <v>&lt;90%</v>
      </c>
      <c r="P39" s="33" t="str">
        <f t="shared" si="5"/>
        <v>&lt;90%</v>
      </c>
      <c r="Q39" s="33" t="str">
        <f t="shared" si="5"/>
        <v>&lt;90%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LESS</v>
      </c>
      <c r="C40" s="33" t="str">
        <f t="shared" ref="C40:Q40" si="6">IF(C38&gt;=22,"OK",IF(C38&lt;=22,"LESS"))</f>
        <v>LESS</v>
      </c>
      <c r="D40" s="33" t="str">
        <f t="shared" si="6"/>
        <v>LESS</v>
      </c>
      <c r="E40" s="33" t="str">
        <f t="shared" si="6"/>
        <v>LESS</v>
      </c>
      <c r="F40" s="33" t="str">
        <f t="shared" si="6"/>
        <v>LESS</v>
      </c>
      <c r="G40" s="33" t="str">
        <f t="shared" si="6"/>
        <v>LESS</v>
      </c>
      <c r="H40" s="33" t="str">
        <f t="shared" si="6"/>
        <v>LESS</v>
      </c>
      <c r="I40" s="33" t="str">
        <f t="shared" si="6"/>
        <v>LESS</v>
      </c>
      <c r="J40" s="33" t="str">
        <f t="shared" si="6"/>
        <v>LESS</v>
      </c>
      <c r="K40" s="33" t="str">
        <f t="shared" si="6"/>
        <v>LESS</v>
      </c>
      <c r="L40" s="33" t="str">
        <f t="shared" si="6"/>
        <v>LESS</v>
      </c>
      <c r="M40" s="33" t="str">
        <f t="shared" si="6"/>
        <v>LESS</v>
      </c>
      <c r="N40" s="33" t="str">
        <f t="shared" si="6"/>
        <v>LESS</v>
      </c>
      <c r="O40" s="33" t="str">
        <f t="shared" si="6"/>
        <v>LESS</v>
      </c>
      <c r="P40" s="33" t="str">
        <f t="shared" si="6"/>
        <v>LESS</v>
      </c>
      <c r="Q40" s="33" t="str">
        <f t="shared" si="6"/>
        <v>LESS</v>
      </c>
      <c r="R40" s="33"/>
      <c r="S40" s="33"/>
      <c r="T40" s="33"/>
      <c r="U40" s="33"/>
    </row>
    <row r="41" spans="1:21" s="1" customFormat="1">
      <c r="A41" s="22"/>
      <c r="L41" s="22"/>
      <c r="N41" s="52"/>
      <c r="O41" s="52"/>
      <c r="P41" s="52"/>
      <c r="Q41" s="52"/>
      <c r="R41" s="52"/>
      <c r="S41" s="52"/>
      <c r="T41" s="52"/>
      <c r="U41" s="52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50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4" activePane="bottomRight" state="frozen"/>
      <selection activeCell="A9" sqref="A9"/>
      <selection pane="topRight" activeCell="A9" sqref="A9"/>
      <selection pane="bottomLeft" activeCell="A9" sqref="A9"/>
      <selection pane="bottomRight" activeCell="A9" sqref="A9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5"/>
      <c r="B9" s="46"/>
      <c r="C9" s="46"/>
      <c r="D9" s="46"/>
      <c r="E9" s="46"/>
      <c r="F9" s="46"/>
      <c r="G9" s="47"/>
      <c r="H9" s="46"/>
      <c r="I9" s="46"/>
      <c r="J9" s="46"/>
      <c r="K9" s="46"/>
      <c r="L9" s="46"/>
      <c r="M9" s="46"/>
      <c r="N9" s="46"/>
      <c r="O9" s="46"/>
      <c r="P9" s="46"/>
      <c r="Q9" s="46"/>
      <c r="R9" s="53"/>
      <c r="S9" s="53"/>
      <c r="T9" s="53"/>
      <c r="U9" s="53"/>
    </row>
    <row r="10" spans="1:21" customFormat="1">
      <c r="A10" s="45"/>
      <c r="B10" s="46"/>
      <c r="C10" s="46"/>
      <c r="D10" s="46"/>
      <c r="E10" s="46"/>
      <c r="F10" s="46"/>
      <c r="G10" s="47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53"/>
      <c r="S10" s="53"/>
      <c r="T10" s="53"/>
      <c r="U10" s="53"/>
    </row>
    <row r="11" spans="1:21" customFormat="1">
      <c r="A11" s="45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53"/>
      <c r="S11" s="53"/>
      <c r="T11" s="53"/>
      <c r="U11" s="53"/>
    </row>
    <row r="12" spans="1:21" customFormat="1">
      <c r="A12" s="45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53"/>
      <c r="S12" s="53"/>
      <c r="T12" s="53"/>
      <c r="U12" s="53"/>
    </row>
    <row r="13" spans="1:21" customFormat="1">
      <c r="A13" s="45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53"/>
      <c r="S13" s="53"/>
      <c r="T13" s="53"/>
      <c r="U13" s="53"/>
    </row>
    <row r="14" spans="1:21" customFormat="1">
      <c r="A14" s="45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53"/>
      <c r="S14" s="53"/>
      <c r="T14" s="53"/>
      <c r="U14" s="53"/>
    </row>
    <row r="15" spans="1:21" customFormat="1">
      <c r="A15" s="45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53"/>
      <c r="S15" s="53"/>
      <c r="T15" s="53"/>
      <c r="U15" s="53"/>
    </row>
    <row r="16" spans="1:21" customFormat="1">
      <c r="A16" s="45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53"/>
      <c r="S16" s="53"/>
      <c r="T16" s="53"/>
      <c r="U16" s="53"/>
    </row>
    <row r="17" spans="1:21" customFormat="1">
      <c r="A17" s="45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53"/>
      <c r="S17" s="53"/>
      <c r="T17" s="53"/>
      <c r="U17" s="53"/>
    </row>
    <row r="18" spans="1:21" customFormat="1">
      <c r="A18" s="45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53"/>
      <c r="S18" s="53"/>
      <c r="T18" s="53"/>
      <c r="U18" s="53"/>
    </row>
    <row r="19" spans="1:21" customFormat="1">
      <c r="A19" s="45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53"/>
      <c r="S19" s="53"/>
      <c r="T19" s="53"/>
      <c r="U19" s="53"/>
    </row>
    <row r="20" spans="1:21" customFormat="1">
      <c r="A20" s="45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53"/>
      <c r="S20" s="53"/>
      <c r="T20" s="53"/>
      <c r="U20" s="53"/>
    </row>
    <row r="21" spans="1:21" customFormat="1">
      <c r="A21" s="45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53"/>
      <c r="S21" s="53"/>
      <c r="T21" s="53"/>
      <c r="U21" s="53"/>
    </row>
    <row r="22" spans="1:21" customFormat="1">
      <c r="A22" s="45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53"/>
      <c r="S22" s="53"/>
      <c r="T22" s="53"/>
      <c r="U22" s="53"/>
    </row>
    <row r="23" spans="1:21" customFormat="1">
      <c r="A23" s="45"/>
      <c r="B23" s="46"/>
      <c r="C23" s="46"/>
      <c r="D23" s="46"/>
      <c r="E23" s="46"/>
      <c r="F23" s="46"/>
      <c r="G23" s="47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53"/>
      <c r="S23" s="53"/>
      <c r="T23" s="53"/>
      <c r="U23" s="53"/>
    </row>
    <row r="24" spans="1:21" customFormat="1">
      <c r="A24" s="45"/>
      <c r="B24" s="46"/>
      <c r="C24" s="46"/>
      <c r="D24" s="46"/>
      <c r="E24" s="46"/>
      <c r="F24" s="46"/>
      <c r="G24" s="47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53"/>
      <c r="S24" s="53"/>
      <c r="T24" s="53"/>
      <c r="U24" s="53"/>
    </row>
    <row r="25" spans="1:21" customFormat="1">
      <c r="A25" s="45"/>
      <c r="B25" s="46"/>
      <c r="C25" s="46"/>
      <c r="D25" s="46"/>
      <c r="E25" s="46"/>
      <c r="F25" s="46"/>
      <c r="G25" s="47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53"/>
      <c r="S25" s="53"/>
      <c r="T25" s="53"/>
      <c r="U25" s="53"/>
    </row>
    <row r="26" spans="1:21" customFormat="1">
      <c r="A26" s="45"/>
      <c r="B26" s="46"/>
      <c r="C26" s="46"/>
      <c r="D26" s="46"/>
      <c r="E26" s="46"/>
      <c r="F26" s="46"/>
      <c r="G26" s="47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53"/>
      <c r="S26" s="53"/>
      <c r="T26" s="53"/>
      <c r="U26" s="53"/>
    </row>
    <row r="27" spans="1:21" customFormat="1">
      <c r="A27" s="45"/>
      <c r="B27" s="46"/>
      <c r="C27" s="46"/>
      <c r="D27" s="46"/>
      <c r="E27" s="46"/>
      <c r="F27" s="46"/>
      <c r="G27" s="47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53"/>
      <c r="S27" s="53"/>
      <c r="T27" s="53"/>
      <c r="U27" s="53"/>
    </row>
    <row r="28" spans="1:21" customFormat="1">
      <c r="A28" s="45"/>
      <c r="B28" s="46"/>
      <c r="C28" s="46"/>
      <c r="D28" s="46"/>
      <c r="E28" s="46"/>
      <c r="F28" s="46"/>
      <c r="G28" s="47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53"/>
      <c r="S28" s="53"/>
      <c r="T28" s="53"/>
      <c r="U28" s="53"/>
    </row>
    <row r="29" spans="1:21" customFormat="1">
      <c r="A29" s="45"/>
      <c r="B29" s="46"/>
      <c r="C29" s="46"/>
      <c r="D29" s="46"/>
      <c r="E29" s="46"/>
      <c r="F29" s="46"/>
      <c r="G29" s="47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53"/>
      <c r="S29" s="53"/>
      <c r="T29" s="53"/>
      <c r="U29" s="53"/>
    </row>
    <row r="30" spans="1:21" customFormat="1">
      <c r="A30" s="45"/>
      <c r="B30" s="46"/>
      <c r="C30" s="46"/>
      <c r="D30" s="46"/>
      <c r="E30" s="46"/>
      <c r="F30" s="46"/>
      <c r="G30" s="47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53"/>
      <c r="S30" s="53"/>
      <c r="T30" s="53"/>
      <c r="U30" s="53"/>
    </row>
    <row r="31" spans="1:21" customFormat="1">
      <c r="A31" s="45"/>
      <c r="B31" s="46"/>
      <c r="C31" s="46"/>
      <c r="D31" s="46"/>
      <c r="E31" s="46"/>
      <c r="F31" s="46"/>
      <c r="G31" s="47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53"/>
      <c r="S31" s="53"/>
      <c r="T31" s="53"/>
      <c r="U31" s="53"/>
    </row>
    <row r="32" spans="1:21" customFormat="1">
      <c r="A32" s="45"/>
      <c r="B32" s="46"/>
      <c r="C32" s="46"/>
      <c r="D32" s="46"/>
      <c r="E32" s="46"/>
      <c r="F32" s="46"/>
      <c r="G32" s="47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53"/>
      <c r="S32" s="53"/>
      <c r="T32" s="53"/>
      <c r="U32" s="53"/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0</v>
      </c>
      <c r="C34" s="41">
        <f t="shared" si="0"/>
        <v>0</v>
      </c>
      <c r="D34" s="41">
        <f t="shared" si="0"/>
        <v>0</v>
      </c>
      <c r="E34" s="41">
        <f t="shared" si="0"/>
        <v>0</v>
      </c>
      <c r="F34" s="41">
        <f t="shared" si="0"/>
        <v>0</v>
      </c>
      <c r="G34" s="41">
        <f t="shared" si="0"/>
        <v>0</v>
      </c>
      <c r="H34" s="41">
        <f t="shared" si="0"/>
        <v>0</v>
      </c>
      <c r="I34" s="41">
        <f t="shared" si="0"/>
        <v>0</v>
      </c>
      <c r="J34" s="41">
        <f t="shared" si="0"/>
        <v>0</v>
      </c>
      <c r="K34" s="41">
        <f t="shared" si="0"/>
        <v>0</v>
      </c>
      <c r="L34" s="41">
        <f t="shared" si="0"/>
        <v>0</v>
      </c>
      <c r="M34" s="41">
        <f t="shared" si="0"/>
        <v>0</v>
      </c>
      <c r="N34" s="41">
        <f t="shared" si="0"/>
        <v>0</v>
      </c>
      <c r="O34" s="41">
        <f t="shared" si="0"/>
        <v>0</v>
      </c>
      <c r="P34" s="41">
        <f t="shared" si="0"/>
        <v>0</v>
      </c>
      <c r="Q34" s="41">
        <f t="shared" si="0"/>
        <v>0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0</v>
      </c>
      <c r="C35" s="33">
        <f t="shared" si="1"/>
        <v>0</v>
      </c>
      <c r="D35" s="33">
        <f t="shared" si="1"/>
        <v>0</v>
      </c>
      <c r="E35" s="33">
        <f t="shared" si="1"/>
        <v>0</v>
      </c>
      <c r="F35" s="33">
        <f t="shared" si="1"/>
        <v>0</v>
      </c>
      <c r="G35" s="33">
        <f t="shared" si="1"/>
        <v>0</v>
      </c>
      <c r="H35" s="33">
        <f t="shared" si="1"/>
        <v>0</v>
      </c>
      <c r="I35" s="33">
        <f t="shared" si="1"/>
        <v>0</v>
      </c>
      <c r="J35" s="33">
        <f t="shared" si="1"/>
        <v>0</v>
      </c>
      <c r="K35" s="33">
        <f t="shared" si="1"/>
        <v>0</v>
      </c>
      <c r="L35" s="33">
        <f t="shared" si="1"/>
        <v>0</v>
      </c>
      <c r="M35" s="33">
        <f t="shared" si="1"/>
        <v>0</v>
      </c>
      <c r="N35" s="33">
        <f t="shared" si="1"/>
        <v>0</v>
      </c>
      <c r="O35" s="33">
        <f t="shared" si="1"/>
        <v>0</v>
      </c>
      <c r="P35" s="33">
        <f t="shared" si="1"/>
        <v>0</v>
      </c>
      <c r="Q35" s="33">
        <f t="shared" si="1"/>
        <v>0</v>
      </c>
      <c r="R35" s="33"/>
      <c r="S35" s="33"/>
      <c r="T35" s="33"/>
      <c r="U35" s="33"/>
    </row>
    <row r="36" spans="1:21" s="1" customFormat="1">
      <c r="A36" s="32" t="s">
        <v>50</v>
      </c>
      <c r="B36" s="41" t="e">
        <f t="shared" ref="B36:Q36" si="2">AVERAGE(B9:B32)</f>
        <v>#DIV/0!</v>
      </c>
      <c r="C36" s="41" t="e">
        <f t="shared" si="2"/>
        <v>#DIV/0!</v>
      </c>
      <c r="D36" s="41" t="e">
        <f t="shared" si="2"/>
        <v>#DIV/0!</v>
      </c>
      <c r="E36" s="41" t="e">
        <f t="shared" si="2"/>
        <v>#DIV/0!</v>
      </c>
      <c r="F36" s="41" t="e">
        <f t="shared" si="2"/>
        <v>#DIV/0!</v>
      </c>
      <c r="G36" s="41" t="e">
        <f t="shared" si="2"/>
        <v>#DIV/0!</v>
      </c>
      <c r="H36" s="41" t="e">
        <f t="shared" si="2"/>
        <v>#DIV/0!</v>
      </c>
      <c r="I36" s="41" t="e">
        <f t="shared" si="2"/>
        <v>#DIV/0!</v>
      </c>
      <c r="J36" s="41" t="e">
        <f t="shared" si="2"/>
        <v>#DIV/0!</v>
      </c>
      <c r="K36" s="41" t="e">
        <f t="shared" si="2"/>
        <v>#DIV/0!</v>
      </c>
      <c r="L36" s="41" t="e">
        <f t="shared" si="2"/>
        <v>#DIV/0!</v>
      </c>
      <c r="M36" s="41" t="e">
        <f t="shared" si="2"/>
        <v>#DIV/0!</v>
      </c>
      <c r="N36" s="41" t="e">
        <f t="shared" si="2"/>
        <v>#DIV/0!</v>
      </c>
      <c r="O36" s="41" t="e">
        <f t="shared" si="2"/>
        <v>#DIV/0!</v>
      </c>
      <c r="P36" s="41" t="e">
        <f t="shared" si="2"/>
        <v>#DIV/0!</v>
      </c>
      <c r="Q36" s="41" t="e">
        <f t="shared" si="2"/>
        <v>#DIV/0!</v>
      </c>
      <c r="R36" s="41"/>
      <c r="S36" s="41"/>
      <c r="T36" s="41"/>
      <c r="U36" s="41"/>
    </row>
    <row r="37" spans="1:21" s="1" customFormat="1">
      <c r="A37" s="32" t="s">
        <v>51</v>
      </c>
      <c r="B37" s="41" t="e">
        <f>STDEV(B9:B32)</f>
        <v>#DIV/0!</v>
      </c>
      <c r="C37" s="41" t="e">
        <f t="shared" ref="C37:Q37" si="3">STDEV(C9:C32)</f>
        <v>#DIV/0!</v>
      </c>
      <c r="D37" s="41" t="e">
        <f t="shared" si="3"/>
        <v>#DIV/0!</v>
      </c>
      <c r="E37" s="41" t="e">
        <f t="shared" si="3"/>
        <v>#DIV/0!</v>
      </c>
      <c r="F37" s="41" t="e">
        <f t="shared" si="3"/>
        <v>#DIV/0!</v>
      </c>
      <c r="G37" s="41" t="e">
        <f t="shared" si="3"/>
        <v>#DIV/0!</v>
      </c>
      <c r="H37" s="41" t="e">
        <f t="shared" si="3"/>
        <v>#DIV/0!</v>
      </c>
      <c r="I37" s="41" t="e">
        <f t="shared" si="3"/>
        <v>#DIV/0!</v>
      </c>
      <c r="J37" s="41" t="e">
        <f t="shared" si="3"/>
        <v>#DIV/0!</v>
      </c>
      <c r="K37" s="41" t="e">
        <f t="shared" si="3"/>
        <v>#DIV/0!</v>
      </c>
      <c r="L37" s="41" t="e">
        <f t="shared" si="3"/>
        <v>#DIV/0!</v>
      </c>
      <c r="M37" s="41" t="e">
        <f t="shared" si="3"/>
        <v>#DIV/0!</v>
      </c>
      <c r="N37" s="41" t="e">
        <f t="shared" si="3"/>
        <v>#DIV/0!</v>
      </c>
      <c r="O37" s="41" t="e">
        <f t="shared" si="3"/>
        <v>#DIV/0!</v>
      </c>
      <c r="P37" s="41" t="e">
        <f t="shared" si="3"/>
        <v>#DIV/0!</v>
      </c>
      <c r="Q37" s="41" t="e">
        <f t="shared" si="3"/>
        <v>#DIV/0!</v>
      </c>
      <c r="R37" s="41"/>
      <c r="S37" s="41"/>
      <c r="T37" s="41"/>
      <c r="U37" s="41"/>
    </row>
    <row r="38" spans="1:21" s="1" customFormat="1">
      <c r="A38" s="48" t="s">
        <v>52</v>
      </c>
      <c r="B38" s="49">
        <f t="shared" ref="B38:Q38" si="4">COUNT(B9:B32)</f>
        <v>0</v>
      </c>
      <c r="C38" s="49">
        <f t="shared" si="4"/>
        <v>0</v>
      </c>
      <c r="D38" s="49">
        <f t="shared" si="4"/>
        <v>0</v>
      </c>
      <c r="E38" s="49">
        <f t="shared" si="4"/>
        <v>0</v>
      </c>
      <c r="F38" s="49">
        <f t="shared" si="4"/>
        <v>0</v>
      </c>
      <c r="G38" s="49">
        <f t="shared" si="4"/>
        <v>0</v>
      </c>
      <c r="H38" s="49">
        <f t="shared" si="4"/>
        <v>0</v>
      </c>
      <c r="I38" s="49">
        <f t="shared" si="4"/>
        <v>0</v>
      </c>
      <c r="J38" s="49">
        <f t="shared" si="4"/>
        <v>0</v>
      </c>
      <c r="K38" s="49">
        <f t="shared" si="4"/>
        <v>0</v>
      </c>
      <c r="L38" s="49">
        <f t="shared" si="4"/>
        <v>0</v>
      </c>
      <c r="M38" s="49">
        <f t="shared" si="4"/>
        <v>0</v>
      </c>
      <c r="N38" s="49">
        <f t="shared" si="4"/>
        <v>0</v>
      </c>
      <c r="O38" s="49">
        <f t="shared" si="4"/>
        <v>0</v>
      </c>
      <c r="P38" s="49">
        <f t="shared" si="4"/>
        <v>0</v>
      </c>
      <c r="Q38" s="49">
        <f t="shared" si="4"/>
        <v>0</v>
      </c>
      <c r="R38" s="49"/>
      <c r="S38" s="49"/>
      <c r="T38" s="49"/>
      <c r="U38" s="49"/>
    </row>
    <row r="39" spans="1:21" s="1" customFormat="1">
      <c r="A39" s="32" t="s">
        <v>53</v>
      </c>
      <c r="B39" s="33" t="str">
        <f>IF(B38&gt;=22,"&gt;90%",IF(B38&lt;=22,"&lt;90%"))</f>
        <v>&lt;90%</v>
      </c>
      <c r="C39" s="33" t="str">
        <f t="shared" ref="C39:Q39" si="5">IF(C38&gt;=22,"&gt;90%",IF(C38&lt;=22,"&lt;90%"))</f>
        <v>&lt;90%</v>
      </c>
      <c r="D39" s="33" t="str">
        <f t="shared" si="5"/>
        <v>&lt;90%</v>
      </c>
      <c r="E39" s="33" t="str">
        <f t="shared" si="5"/>
        <v>&lt;90%</v>
      </c>
      <c r="F39" s="33" t="str">
        <f t="shared" si="5"/>
        <v>&lt;90%</v>
      </c>
      <c r="G39" s="33" t="str">
        <f t="shared" si="5"/>
        <v>&lt;90%</v>
      </c>
      <c r="H39" s="33" t="str">
        <f t="shared" si="5"/>
        <v>&lt;90%</v>
      </c>
      <c r="I39" s="33" t="str">
        <f t="shared" si="5"/>
        <v>&lt;90%</v>
      </c>
      <c r="J39" s="33" t="str">
        <f t="shared" si="5"/>
        <v>&lt;90%</v>
      </c>
      <c r="K39" s="33" t="str">
        <f t="shared" si="5"/>
        <v>&lt;90%</v>
      </c>
      <c r="L39" s="33" t="str">
        <f t="shared" si="5"/>
        <v>&lt;90%</v>
      </c>
      <c r="M39" s="33" t="str">
        <f t="shared" si="5"/>
        <v>&lt;90%</v>
      </c>
      <c r="N39" s="33" t="str">
        <f t="shared" si="5"/>
        <v>&lt;90%</v>
      </c>
      <c r="O39" s="33" t="str">
        <f t="shared" si="5"/>
        <v>&lt;90%</v>
      </c>
      <c r="P39" s="33" t="str">
        <f t="shared" si="5"/>
        <v>&lt;90%</v>
      </c>
      <c r="Q39" s="33" t="str">
        <f t="shared" si="5"/>
        <v>&lt;90%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LESS</v>
      </c>
      <c r="C40" s="33" t="str">
        <f t="shared" ref="C40:Q40" si="6">IF(C38&gt;=22,"OK",IF(C38&lt;=22,"LESS"))</f>
        <v>LESS</v>
      </c>
      <c r="D40" s="33" t="str">
        <f t="shared" si="6"/>
        <v>LESS</v>
      </c>
      <c r="E40" s="33" t="str">
        <f t="shared" si="6"/>
        <v>LESS</v>
      </c>
      <c r="F40" s="33" t="str">
        <f t="shared" si="6"/>
        <v>LESS</v>
      </c>
      <c r="G40" s="33" t="str">
        <f t="shared" si="6"/>
        <v>LESS</v>
      </c>
      <c r="H40" s="33" t="str">
        <f t="shared" si="6"/>
        <v>LESS</v>
      </c>
      <c r="I40" s="33" t="str">
        <f t="shared" si="6"/>
        <v>LESS</v>
      </c>
      <c r="J40" s="33" t="str">
        <f t="shared" si="6"/>
        <v>LESS</v>
      </c>
      <c r="K40" s="33" t="str">
        <f t="shared" si="6"/>
        <v>LESS</v>
      </c>
      <c r="L40" s="33" t="str">
        <f t="shared" si="6"/>
        <v>LESS</v>
      </c>
      <c r="M40" s="33" t="str">
        <f t="shared" si="6"/>
        <v>LESS</v>
      </c>
      <c r="N40" s="33" t="str">
        <f t="shared" si="6"/>
        <v>LESS</v>
      </c>
      <c r="O40" s="33" t="str">
        <f t="shared" si="6"/>
        <v>LESS</v>
      </c>
      <c r="P40" s="33" t="str">
        <f t="shared" si="6"/>
        <v>LESS</v>
      </c>
      <c r="Q40" s="33" t="str">
        <f t="shared" si="6"/>
        <v>LESS</v>
      </c>
      <c r="R40" s="33"/>
      <c r="S40" s="33"/>
      <c r="T40" s="33"/>
      <c r="U40" s="33"/>
    </row>
    <row r="41" spans="1:21" s="1" customFormat="1">
      <c r="A41" s="22"/>
      <c r="L41" s="22"/>
      <c r="N41" s="52"/>
      <c r="O41" s="52"/>
      <c r="P41" s="52"/>
      <c r="Q41" s="52"/>
      <c r="R41" s="52"/>
      <c r="S41" s="52"/>
      <c r="T41" s="52"/>
      <c r="U41" s="52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50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66929133858267698" right="2.63779527559055" top="0.196850393700787" bottom="2.0866141732283499" header="0.31496062992126" footer="0.15748031496063"/>
  <pageSetup paperSize="9" scale="90" orientation="landscape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7" activePane="bottomRight" state="frozen"/>
      <selection activeCell="A9" sqref="A9"/>
      <selection pane="topRight" activeCell="A9" sqref="A9"/>
      <selection pane="bottomLeft" activeCell="A9" sqref="A9"/>
      <selection pane="bottomRight" activeCell="A9" sqref="A9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5"/>
      <c r="B9" s="46"/>
      <c r="C9" s="46"/>
      <c r="D9" s="46"/>
      <c r="E9" s="46"/>
      <c r="F9" s="46"/>
      <c r="G9" s="47"/>
      <c r="H9" s="46"/>
      <c r="I9" s="46"/>
      <c r="J9" s="46"/>
      <c r="K9" s="46"/>
      <c r="L9" s="46"/>
      <c r="M9" s="46"/>
      <c r="N9" s="46"/>
      <c r="O9" s="46"/>
      <c r="P9" s="46"/>
      <c r="Q9" s="46"/>
      <c r="R9" s="53"/>
      <c r="S9" s="53"/>
      <c r="T9" s="53"/>
      <c r="U9" s="53"/>
    </row>
    <row r="10" spans="1:21" customFormat="1">
      <c r="A10" s="45"/>
      <c r="B10" s="46"/>
      <c r="C10" s="46"/>
      <c r="D10" s="46"/>
      <c r="E10" s="46"/>
      <c r="F10" s="46"/>
      <c r="G10" s="47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53"/>
      <c r="S10" s="53"/>
      <c r="T10" s="53"/>
      <c r="U10" s="53"/>
    </row>
    <row r="11" spans="1:21" customFormat="1">
      <c r="A11" s="45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53"/>
      <c r="S11" s="53"/>
      <c r="T11" s="53"/>
      <c r="U11" s="53"/>
    </row>
    <row r="12" spans="1:21" customFormat="1">
      <c r="A12" s="45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53"/>
      <c r="S12" s="53"/>
      <c r="T12" s="53"/>
      <c r="U12" s="53"/>
    </row>
    <row r="13" spans="1:21" customFormat="1">
      <c r="A13" s="45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53"/>
      <c r="S13" s="53"/>
      <c r="T13" s="53"/>
      <c r="U13" s="53"/>
    </row>
    <row r="14" spans="1:21" customFormat="1">
      <c r="A14" s="45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53"/>
      <c r="S14" s="53"/>
      <c r="T14" s="53"/>
      <c r="U14" s="53"/>
    </row>
    <row r="15" spans="1:21" customFormat="1">
      <c r="A15" s="45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53"/>
      <c r="S15" s="53"/>
      <c r="T15" s="53"/>
      <c r="U15" s="53"/>
    </row>
    <row r="16" spans="1:21" customFormat="1">
      <c r="A16" s="45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53"/>
      <c r="S16" s="53"/>
      <c r="T16" s="53"/>
      <c r="U16" s="53"/>
    </row>
    <row r="17" spans="1:21" customFormat="1">
      <c r="A17" s="45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53"/>
      <c r="S17" s="53"/>
      <c r="T17" s="53"/>
      <c r="U17" s="53"/>
    </row>
    <row r="18" spans="1:21" customFormat="1">
      <c r="A18" s="45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53"/>
      <c r="S18" s="53"/>
      <c r="T18" s="53"/>
      <c r="U18" s="53"/>
    </row>
    <row r="19" spans="1:21" customFormat="1">
      <c r="A19" s="45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53"/>
      <c r="S19" s="53"/>
      <c r="T19" s="53"/>
      <c r="U19" s="53"/>
    </row>
    <row r="20" spans="1:21" customFormat="1">
      <c r="A20" s="45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53"/>
      <c r="S20" s="53"/>
      <c r="T20" s="53"/>
      <c r="U20" s="53"/>
    </row>
    <row r="21" spans="1:21" customFormat="1">
      <c r="A21" s="45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53"/>
      <c r="S21" s="53"/>
      <c r="T21" s="53"/>
      <c r="U21" s="53"/>
    </row>
    <row r="22" spans="1:21" customFormat="1">
      <c r="A22" s="45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53"/>
      <c r="S22" s="53"/>
      <c r="T22" s="53"/>
      <c r="U22" s="53"/>
    </row>
    <row r="23" spans="1:21" customFormat="1">
      <c r="A23" s="45"/>
      <c r="B23" s="46"/>
      <c r="C23" s="46"/>
      <c r="D23" s="46"/>
      <c r="E23" s="46"/>
      <c r="F23" s="46"/>
      <c r="G23" s="47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53"/>
      <c r="S23" s="53"/>
      <c r="T23" s="53"/>
      <c r="U23" s="53"/>
    </row>
    <row r="24" spans="1:21" customFormat="1">
      <c r="A24" s="45"/>
      <c r="B24" s="46"/>
      <c r="C24" s="46"/>
      <c r="D24" s="46"/>
      <c r="E24" s="46"/>
      <c r="F24" s="46"/>
      <c r="G24" s="47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53"/>
      <c r="S24" s="53"/>
      <c r="T24" s="53"/>
      <c r="U24" s="53"/>
    </row>
    <row r="25" spans="1:21" customFormat="1">
      <c r="A25" s="45"/>
      <c r="B25" s="46"/>
      <c r="C25" s="46"/>
      <c r="D25" s="46"/>
      <c r="E25" s="46"/>
      <c r="F25" s="46"/>
      <c r="G25" s="47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53"/>
      <c r="S25" s="53"/>
      <c r="T25" s="53"/>
      <c r="U25" s="53"/>
    </row>
    <row r="26" spans="1:21" customFormat="1">
      <c r="A26" s="45"/>
      <c r="B26" s="46"/>
      <c r="C26" s="46"/>
      <c r="D26" s="46"/>
      <c r="E26" s="46"/>
      <c r="F26" s="46"/>
      <c r="G26" s="47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53"/>
      <c r="S26" s="53"/>
      <c r="T26" s="53"/>
      <c r="U26" s="53"/>
    </row>
    <row r="27" spans="1:21" customFormat="1">
      <c r="A27" s="45"/>
      <c r="B27" s="46"/>
      <c r="C27" s="46"/>
      <c r="D27" s="46"/>
      <c r="E27" s="46"/>
      <c r="F27" s="46"/>
      <c r="G27" s="47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53"/>
      <c r="S27" s="53"/>
      <c r="T27" s="53"/>
      <c r="U27" s="53"/>
    </row>
    <row r="28" spans="1:21" customFormat="1">
      <c r="A28" s="45"/>
      <c r="B28" s="46"/>
      <c r="C28" s="46"/>
      <c r="D28" s="46"/>
      <c r="E28" s="46"/>
      <c r="F28" s="46"/>
      <c r="G28" s="47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53"/>
      <c r="S28" s="53"/>
      <c r="T28" s="53"/>
      <c r="U28" s="53"/>
    </row>
    <row r="29" spans="1:21" customFormat="1">
      <c r="A29" s="45"/>
      <c r="B29" s="46"/>
      <c r="C29" s="46"/>
      <c r="D29" s="46"/>
      <c r="E29" s="46"/>
      <c r="F29" s="46"/>
      <c r="G29" s="47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53"/>
      <c r="S29" s="53"/>
      <c r="T29" s="53"/>
      <c r="U29" s="53"/>
    </row>
    <row r="30" spans="1:21" customFormat="1">
      <c r="A30" s="45"/>
      <c r="B30" s="46"/>
      <c r="C30" s="46"/>
      <c r="D30" s="46"/>
      <c r="E30" s="46"/>
      <c r="F30" s="46"/>
      <c r="G30" s="47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53"/>
      <c r="S30" s="53"/>
      <c r="T30" s="53"/>
      <c r="U30" s="53"/>
    </row>
    <row r="31" spans="1:21" customFormat="1">
      <c r="A31" s="45"/>
      <c r="B31" s="46"/>
      <c r="C31" s="46"/>
      <c r="D31" s="46"/>
      <c r="E31" s="46"/>
      <c r="F31" s="46"/>
      <c r="G31" s="47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53"/>
      <c r="S31" s="53"/>
      <c r="T31" s="53"/>
      <c r="U31" s="53"/>
    </row>
    <row r="32" spans="1:21" customFormat="1">
      <c r="A32" s="45"/>
      <c r="B32" s="46"/>
      <c r="C32" s="46"/>
      <c r="D32" s="46"/>
      <c r="E32" s="46"/>
      <c r="F32" s="46"/>
      <c r="G32" s="47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53"/>
      <c r="S32" s="53"/>
      <c r="T32" s="53"/>
      <c r="U32" s="53"/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0</v>
      </c>
      <c r="C34" s="41">
        <f t="shared" si="0"/>
        <v>0</v>
      </c>
      <c r="D34" s="41">
        <f t="shared" si="0"/>
        <v>0</v>
      </c>
      <c r="E34" s="41">
        <f t="shared" si="0"/>
        <v>0</v>
      </c>
      <c r="F34" s="41">
        <f t="shared" si="0"/>
        <v>0</v>
      </c>
      <c r="G34" s="41">
        <f t="shared" si="0"/>
        <v>0</v>
      </c>
      <c r="H34" s="41">
        <f t="shared" si="0"/>
        <v>0</v>
      </c>
      <c r="I34" s="41">
        <f t="shared" si="0"/>
        <v>0</v>
      </c>
      <c r="J34" s="41">
        <f t="shared" si="0"/>
        <v>0</v>
      </c>
      <c r="K34" s="41">
        <f t="shared" si="0"/>
        <v>0</v>
      </c>
      <c r="L34" s="41">
        <f t="shared" si="0"/>
        <v>0</v>
      </c>
      <c r="M34" s="41">
        <f t="shared" si="0"/>
        <v>0</v>
      </c>
      <c r="N34" s="41">
        <f t="shared" si="0"/>
        <v>0</v>
      </c>
      <c r="O34" s="41">
        <f t="shared" si="0"/>
        <v>0</v>
      </c>
      <c r="P34" s="41">
        <f t="shared" si="0"/>
        <v>0</v>
      </c>
      <c r="Q34" s="41">
        <f t="shared" si="0"/>
        <v>0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0</v>
      </c>
      <c r="C35" s="33">
        <f t="shared" si="1"/>
        <v>0</v>
      </c>
      <c r="D35" s="33">
        <f t="shared" si="1"/>
        <v>0</v>
      </c>
      <c r="E35" s="33">
        <f t="shared" si="1"/>
        <v>0</v>
      </c>
      <c r="F35" s="33">
        <f t="shared" si="1"/>
        <v>0</v>
      </c>
      <c r="G35" s="33">
        <f t="shared" si="1"/>
        <v>0</v>
      </c>
      <c r="H35" s="33">
        <f t="shared" si="1"/>
        <v>0</v>
      </c>
      <c r="I35" s="33">
        <f t="shared" si="1"/>
        <v>0</v>
      </c>
      <c r="J35" s="33">
        <f t="shared" si="1"/>
        <v>0</v>
      </c>
      <c r="K35" s="33">
        <f t="shared" si="1"/>
        <v>0</v>
      </c>
      <c r="L35" s="33">
        <f t="shared" si="1"/>
        <v>0</v>
      </c>
      <c r="M35" s="33">
        <f t="shared" si="1"/>
        <v>0</v>
      </c>
      <c r="N35" s="33">
        <f t="shared" si="1"/>
        <v>0</v>
      </c>
      <c r="O35" s="33">
        <f t="shared" si="1"/>
        <v>0</v>
      </c>
      <c r="P35" s="33">
        <f t="shared" si="1"/>
        <v>0</v>
      </c>
      <c r="Q35" s="33">
        <f t="shared" si="1"/>
        <v>0</v>
      </c>
      <c r="R35" s="33"/>
      <c r="S35" s="33"/>
      <c r="T35" s="33"/>
      <c r="U35" s="33"/>
    </row>
    <row r="36" spans="1:21" s="1" customFormat="1">
      <c r="A36" s="32" t="s">
        <v>50</v>
      </c>
      <c r="B36" s="41" t="e">
        <f t="shared" ref="B36:Q36" si="2">AVERAGE(B9:B32)</f>
        <v>#DIV/0!</v>
      </c>
      <c r="C36" s="41" t="e">
        <f t="shared" si="2"/>
        <v>#DIV/0!</v>
      </c>
      <c r="D36" s="41" t="e">
        <f t="shared" si="2"/>
        <v>#DIV/0!</v>
      </c>
      <c r="E36" s="41" t="e">
        <f t="shared" si="2"/>
        <v>#DIV/0!</v>
      </c>
      <c r="F36" s="41" t="e">
        <f t="shared" si="2"/>
        <v>#DIV/0!</v>
      </c>
      <c r="G36" s="41" t="e">
        <f t="shared" si="2"/>
        <v>#DIV/0!</v>
      </c>
      <c r="H36" s="41" t="e">
        <f t="shared" si="2"/>
        <v>#DIV/0!</v>
      </c>
      <c r="I36" s="41" t="e">
        <f t="shared" si="2"/>
        <v>#DIV/0!</v>
      </c>
      <c r="J36" s="41" t="e">
        <f t="shared" si="2"/>
        <v>#DIV/0!</v>
      </c>
      <c r="K36" s="41" t="e">
        <f t="shared" si="2"/>
        <v>#DIV/0!</v>
      </c>
      <c r="L36" s="41" t="e">
        <f t="shared" si="2"/>
        <v>#DIV/0!</v>
      </c>
      <c r="M36" s="41" t="e">
        <f t="shared" si="2"/>
        <v>#DIV/0!</v>
      </c>
      <c r="N36" s="41" t="e">
        <f t="shared" si="2"/>
        <v>#DIV/0!</v>
      </c>
      <c r="O36" s="41" t="e">
        <f t="shared" si="2"/>
        <v>#DIV/0!</v>
      </c>
      <c r="P36" s="41" t="e">
        <f t="shared" si="2"/>
        <v>#DIV/0!</v>
      </c>
      <c r="Q36" s="41" t="e">
        <f t="shared" si="2"/>
        <v>#DIV/0!</v>
      </c>
      <c r="R36" s="41"/>
      <c r="S36" s="41"/>
      <c r="T36" s="41"/>
      <c r="U36" s="41"/>
    </row>
    <row r="37" spans="1:21" s="1" customFormat="1">
      <c r="A37" s="32" t="s">
        <v>51</v>
      </c>
      <c r="B37" s="41" t="e">
        <f>STDEV(B9:B32)</f>
        <v>#DIV/0!</v>
      </c>
      <c r="C37" s="41" t="e">
        <f t="shared" ref="C37:Q37" si="3">STDEV(C9:C32)</f>
        <v>#DIV/0!</v>
      </c>
      <c r="D37" s="41" t="e">
        <f t="shared" si="3"/>
        <v>#DIV/0!</v>
      </c>
      <c r="E37" s="41" t="e">
        <f t="shared" si="3"/>
        <v>#DIV/0!</v>
      </c>
      <c r="F37" s="41" t="e">
        <f t="shared" si="3"/>
        <v>#DIV/0!</v>
      </c>
      <c r="G37" s="41" t="e">
        <f t="shared" si="3"/>
        <v>#DIV/0!</v>
      </c>
      <c r="H37" s="41" t="e">
        <f t="shared" si="3"/>
        <v>#DIV/0!</v>
      </c>
      <c r="I37" s="41" t="e">
        <f t="shared" si="3"/>
        <v>#DIV/0!</v>
      </c>
      <c r="J37" s="41" t="e">
        <f t="shared" si="3"/>
        <v>#DIV/0!</v>
      </c>
      <c r="K37" s="41" t="e">
        <f t="shared" si="3"/>
        <v>#DIV/0!</v>
      </c>
      <c r="L37" s="41" t="e">
        <f t="shared" si="3"/>
        <v>#DIV/0!</v>
      </c>
      <c r="M37" s="41" t="e">
        <f t="shared" si="3"/>
        <v>#DIV/0!</v>
      </c>
      <c r="N37" s="41" t="e">
        <f t="shared" si="3"/>
        <v>#DIV/0!</v>
      </c>
      <c r="O37" s="41" t="e">
        <f t="shared" si="3"/>
        <v>#DIV/0!</v>
      </c>
      <c r="P37" s="41" t="e">
        <f t="shared" si="3"/>
        <v>#DIV/0!</v>
      </c>
      <c r="Q37" s="41" t="e">
        <f t="shared" si="3"/>
        <v>#DIV/0!</v>
      </c>
      <c r="R37" s="41"/>
      <c r="S37" s="41"/>
      <c r="T37" s="41"/>
      <c r="U37" s="41"/>
    </row>
    <row r="38" spans="1:21" s="1" customFormat="1">
      <c r="A38" s="48" t="s">
        <v>52</v>
      </c>
      <c r="B38" s="49">
        <f t="shared" ref="B38:Q38" si="4">COUNT(B9:B32)</f>
        <v>0</v>
      </c>
      <c r="C38" s="49">
        <f t="shared" si="4"/>
        <v>0</v>
      </c>
      <c r="D38" s="49">
        <f t="shared" si="4"/>
        <v>0</v>
      </c>
      <c r="E38" s="49">
        <f t="shared" si="4"/>
        <v>0</v>
      </c>
      <c r="F38" s="49">
        <f t="shared" si="4"/>
        <v>0</v>
      </c>
      <c r="G38" s="49">
        <f t="shared" si="4"/>
        <v>0</v>
      </c>
      <c r="H38" s="49">
        <f t="shared" si="4"/>
        <v>0</v>
      </c>
      <c r="I38" s="49">
        <f t="shared" si="4"/>
        <v>0</v>
      </c>
      <c r="J38" s="49">
        <f t="shared" si="4"/>
        <v>0</v>
      </c>
      <c r="K38" s="49">
        <f t="shared" si="4"/>
        <v>0</v>
      </c>
      <c r="L38" s="49">
        <f t="shared" si="4"/>
        <v>0</v>
      </c>
      <c r="M38" s="49">
        <f t="shared" si="4"/>
        <v>0</v>
      </c>
      <c r="N38" s="49">
        <f t="shared" si="4"/>
        <v>0</v>
      </c>
      <c r="O38" s="49">
        <f t="shared" si="4"/>
        <v>0</v>
      </c>
      <c r="P38" s="49">
        <f t="shared" si="4"/>
        <v>0</v>
      </c>
      <c r="Q38" s="49">
        <f t="shared" si="4"/>
        <v>0</v>
      </c>
      <c r="R38" s="49"/>
      <c r="S38" s="49"/>
      <c r="T38" s="49"/>
      <c r="U38" s="49"/>
    </row>
    <row r="39" spans="1:21" s="1" customFormat="1">
      <c r="A39" s="32" t="s">
        <v>53</v>
      </c>
      <c r="B39" s="33" t="str">
        <f>IF(B38&gt;=22,"&gt;90%",IF(B38&lt;=22,"&lt;90%"))</f>
        <v>&lt;90%</v>
      </c>
      <c r="C39" s="33" t="str">
        <f t="shared" ref="C39:Q39" si="5">IF(C38&gt;=22,"&gt;90%",IF(C38&lt;=22,"&lt;90%"))</f>
        <v>&lt;90%</v>
      </c>
      <c r="D39" s="33" t="str">
        <f t="shared" si="5"/>
        <v>&lt;90%</v>
      </c>
      <c r="E39" s="33" t="str">
        <f t="shared" si="5"/>
        <v>&lt;90%</v>
      </c>
      <c r="F39" s="33" t="str">
        <f t="shared" si="5"/>
        <v>&lt;90%</v>
      </c>
      <c r="G39" s="33" t="str">
        <f t="shared" si="5"/>
        <v>&lt;90%</v>
      </c>
      <c r="H39" s="33" t="str">
        <f t="shared" si="5"/>
        <v>&lt;90%</v>
      </c>
      <c r="I39" s="33" t="str">
        <f t="shared" si="5"/>
        <v>&lt;90%</v>
      </c>
      <c r="J39" s="33" t="str">
        <f t="shared" si="5"/>
        <v>&lt;90%</v>
      </c>
      <c r="K39" s="33" t="str">
        <f t="shared" si="5"/>
        <v>&lt;90%</v>
      </c>
      <c r="L39" s="33" t="str">
        <f t="shared" si="5"/>
        <v>&lt;90%</v>
      </c>
      <c r="M39" s="33" t="str">
        <f t="shared" si="5"/>
        <v>&lt;90%</v>
      </c>
      <c r="N39" s="33" t="str">
        <f t="shared" si="5"/>
        <v>&lt;90%</v>
      </c>
      <c r="O39" s="33" t="str">
        <f t="shared" si="5"/>
        <v>&lt;90%</v>
      </c>
      <c r="P39" s="33" t="str">
        <f t="shared" si="5"/>
        <v>&lt;90%</v>
      </c>
      <c r="Q39" s="33" t="str">
        <f t="shared" si="5"/>
        <v>&lt;90%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LESS</v>
      </c>
      <c r="C40" s="33" t="str">
        <f t="shared" ref="C40:Q40" si="6">IF(C38&gt;=22,"OK",IF(C38&lt;=22,"LESS"))</f>
        <v>LESS</v>
      </c>
      <c r="D40" s="33" t="str">
        <f t="shared" si="6"/>
        <v>LESS</v>
      </c>
      <c r="E40" s="33" t="str">
        <f t="shared" si="6"/>
        <v>LESS</v>
      </c>
      <c r="F40" s="33" t="str">
        <f t="shared" si="6"/>
        <v>LESS</v>
      </c>
      <c r="G40" s="33" t="str">
        <f t="shared" si="6"/>
        <v>LESS</v>
      </c>
      <c r="H40" s="33" t="str">
        <f t="shared" si="6"/>
        <v>LESS</v>
      </c>
      <c r="I40" s="33" t="str">
        <f t="shared" si="6"/>
        <v>LESS</v>
      </c>
      <c r="J40" s="33" t="str">
        <f t="shared" si="6"/>
        <v>LESS</v>
      </c>
      <c r="K40" s="33" t="str">
        <f t="shared" si="6"/>
        <v>LESS</v>
      </c>
      <c r="L40" s="33" t="str">
        <f t="shared" si="6"/>
        <v>LESS</v>
      </c>
      <c r="M40" s="33" t="str">
        <f t="shared" si="6"/>
        <v>LESS</v>
      </c>
      <c r="N40" s="33" t="str">
        <f t="shared" si="6"/>
        <v>LESS</v>
      </c>
      <c r="O40" s="33" t="str">
        <f t="shared" si="6"/>
        <v>LESS</v>
      </c>
      <c r="P40" s="33" t="str">
        <f t="shared" si="6"/>
        <v>LESS</v>
      </c>
      <c r="Q40" s="33" t="str">
        <f t="shared" si="6"/>
        <v>LESS</v>
      </c>
      <c r="R40" s="33"/>
      <c r="S40" s="33"/>
      <c r="T40" s="33"/>
      <c r="U40" s="33"/>
    </row>
    <row r="41" spans="1:21" s="1" customFormat="1">
      <c r="A41" s="22"/>
      <c r="L41" s="22"/>
      <c r="N41" s="52"/>
      <c r="O41" s="52"/>
      <c r="P41" s="52"/>
      <c r="Q41" s="52"/>
      <c r="R41" s="52"/>
      <c r="S41" s="52"/>
      <c r="T41" s="52"/>
      <c r="U41" s="52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50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45"/>
  <sheetViews>
    <sheetView topLeftCell="A6" workbookViewId="0">
      <selection activeCell="A9" sqref="A9"/>
    </sheetView>
  </sheetViews>
  <sheetFormatPr defaultColWidth="9" defaultRowHeight="15"/>
  <cols>
    <col min="1" max="1" width="12.85546875" customWidth="1"/>
    <col min="2" max="2" width="14.42578125" customWidth="1"/>
  </cols>
  <sheetData>
    <row r="1" spans="1:21" ht="27.75" customHeight="1">
      <c r="A1" s="3" t="s">
        <v>0</v>
      </c>
      <c r="B1" s="6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>
      <c r="A2" s="3" t="s">
        <v>2</v>
      </c>
      <c r="B2" s="7">
        <f>$A$9</f>
        <v>0</v>
      </c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O2" s="1"/>
      <c r="P2" s="26" t="s">
        <v>7</v>
      </c>
      <c r="Q2" s="6"/>
      <c r="R2" s="30" t="s">
        <v>8</v>
      </c>
    </row>
    <row r="3" spans="1:21">
      <c r="A3" s="3" t="s">
        <v>9</v>
      </c>
      <c r="B3" s="6" t="s">
        <v>10</v>
      </c>
      <c r="D3" s="8" t="s">
        <v>11</v>
      </c>
      <c r="E3" s="8"/>
      <c r="F3" s="8"/>
      <c r="G3" s="11" t="s">
        <v>12</v>
      </c>
      <c r="H3" s="10"/>
      <c r="I3" s="10"/>
      <c r="J3" s="10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</row>
    <row r="4" spans="1:21">
      <c r="A4" s="3" t="s">
        <v>16</v>
      </c>
      <c r="B4" s="6" t="s">
        <v>17</v>
      </c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</row>
    <row r="5" spans="1:2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1:2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>
      <c r="A9" s="45"/>
      <c r="B9" s="46"/>
      <c r="C9" s="46"/>
      <c r="D9" s="46"/>
      <c r="E9" s="46"/>
      <c r="F9" s="46"/>
      <c r="G9" s="47"/>
      <c r="H9" s="46"/>
      <c r="I9" s="46"/>
      <c r="J9" s="46"/>
      <c r="K9" s="46"/>
      <c r="L9" s="46"/>
      <c r="M9" s="46"/>
      <c r="N9" s="46"/>
      <c r="O9" s="46"/>
      <c r="P9" s="46"/>
      <c r="Q9" s="46"/>
      <c r="R9" s="53"/>
      <c r="S9" s="53"/>
      <c r="T9" s="53"/>
      <c r="U9" s="53"/>
    </row>
    <row r="10" spans="1:21">
      <c r="A10" s="45"/>
      <c r="B10" s="46"/>
      <c r="C10" s="46"/>
      <c r="D10" s="46"/>
      <c r="E10" s="46"/>
      <c r="F10" s="46"/>
      <c r="G10" s="47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53"/>
      <c r="S10" s="53"/>
      <c r="T10" s="53"/>
      <c r="U10" s="53"/>
    </row>
    <row r="11" spans="1:21">
      <c r="A11" s="45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53"/>
      <c r="S11" s="53"/>
      <c r="T11" s="53"/>
      <c r="U11" s="53"/>
    </row>
    <row r="12" spans="1:21">
      <c r="A12" s="45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53"/>
      <c r="S12" s="53"/>
      <c r="T12" s="53"/>
      <c r="U12" s="53"/>
    </row>
    <row r="13" spans="1:21">
      <c r="A13" s="45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53"/>
      <c r="S13" s="53"/>
      <c r="T13" s="53"/>
      <c r="U13" s="53"/>
    </row>
    <row r="14" spans="1:21">
      <c r="A14" s="45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53"/>
      <c r="S14" s="53"/>
      <c r="T14" s="53"/>
      <c r="U14" s="53"/>
    </row>
    <row r="15" spans="1:21">
      <c r="A15" s="45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53"/>
      <c r="S15" s="53"/>
      <c r="T15" s="53"/>
      <c r="U15" s="53"/>
    </row>
    <row r="16" spans="1:21">
      <c r="A16" s="45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53"/>
      <c r="S16" s="53"/>
      <c r="T16" s="53"/>
      <c r="U16" s="53"/>
    </row>
    <row r="17" spans="1:21">
      <c r="A17" s="45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53"/>
      <c r="S17" s="53"/>
      <c r="T17" s="53"/>
      <c r="U17" s="53"/>
    </row>
    <row r="18" spans="1:21">
      <c r="A18" s="45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53"/>
      <c r="S18" s="53"/>
      <c r="T18" s="53"/>
      <c r="U18" s="53"/>
    </row>
    <row r="19" spans="1:21">
      <c r="A19" s="45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53"/>
      <c r="S19" s="53"/>
      <c r="T19" s="53"/>
      <c r="U19" s="53"/>
    </row>
    <row r="20" spans="1:21">
      <c r="A20" s="45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53"/>
      <c r="S20" s="53"/>
      <c r="T20" s="53"/>
      <c r="U20" s="53"/>
    </row>
    <row r="21" spans="1:21">
      <c r="A21" s="45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53"/>
      <c r="S21" s="53"/>
      <c r="T21" s="53"/>
      <c r="U21" s="53"/>
    </row>
    <row r="22" spans="1:21">
      <c r="A22" s="45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53"/>
      <c r="S22" s="53"/>
      <c r="T22" s="53"/>
      <c r="U22" s="53"/>
    </row>
    <row r="23" spans="1:21">
      <c r="A23" s="45"/>
      <c r="B23" s="46"/>
      <c r="C23" s="46"/>
      <c r="D23" s="46"/>
      <c r="E23" s="46"/>
      <c r="F23" s="46"/>
      <c r="G23" s="47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53"/>
      <c r="S23" s="53"/>
      <c r="T23" s="53"/>
      <c r="U23" s="53"/>
    </row>
    <row r="24" spans="1:21">
      <c r="A24" s="45"/>
      <c r="B24" s="46"/>
      <c r="C24" s="46"/>
      <c r="D24" s="46"/>
      <c r="E24" s="46"/>
      <c r="F24" s="46"/>
      <c r="G24" s="47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53"/>
      <c r="S24" s="53"/>
      <c r="T24" s="53"/>
      <c r="U24" s="53"/>
    </row>
    <row r="25" spans="1:21">
      <c r="A25" s="45"/>
      <c r="B25" s="46"/>
      <c r="C25" s="46"/>
      <c r="D25" s="46"/>
      <c r="E25" s="46"/>
      <c r="F25" s="46"/>
      <c r="G25" s="47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53"/>
      <c r="S25" s="53"/>
      <c r="T25" s="53"/>
      <c r="U25" s="53"/>
    </row>
    <row r="26" spans="1:21">
      <c r="A26" s="45"/>
      <c r="B26" s="46"/>
      <c r="C26" s="46"/>
      <c r="D26" s="46"/>
      <c r="E26" s="46"/>
      <c r="F26" s="46"/>
      <c r="G26" s="47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53"/>
      <c r="S26" s="53"/>
      <c r="T26" s="53"/>
      <c r="U26" s="53"/>
    </row>
    <row r="27" spans="1:21">
      <c r="A27" s="45"/>
      <c r="B27" s="46"/>
      <c r="C27" s="46"/>
      <c r="D27" s="46"/>
      <c r="E27" s="46"/>
      <c r="F27" s="46"/>
      <c r="G27" s="47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53"/>
      <c r="S27" s="53"/>
      <c r="T27" s="53"/>
      <c r="U27" s="53"/>
    </row>
    <row r="28" spans="1:21">
      <c r="A28" s="45"/>
      <c r="B28" s="46"/>
      <c r="C28" s="46"/>
      <c r="D28" s="46"/>
      <c r="E28" s="46"/>
      <c r="F28" s="46"/>
      <c r="G28" s="47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53"/>
      <c r="S28" s="53"/>
      <c r="T28" s="53"/>
      <c r="U28" s="53"/>
    </row>
    <row r="29" spans="1:21">
      <c r="A29" s="45"/>
      <c r="B29" s="46"/>
      <c r="C29" s="46"/>
      <c r="D29" s="46"/>
      <c r="E29" s="46"/>
      <c r="F29" s="46"/>
      <c r="G29" s="47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53"/>
      <c r="S29" s="53"/>
      <c r="T29" s="53"/>
      <c r="U29" s="53"/>
    </row>
    <row r="30" spans="1:21">
      <c r="A30" s="45"/>
      <c r="B30" s="46"/>
      <c r="C30" s="46"/>
      <c r="D30" s="46"/>
      <c r="E30" s="46"/>
      <c r="F30" s="46"/>
      <c r="G30" s="47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53"/>
      <c r="S30" s="53"/>
      <c r="T30" s="53"/>
      <c r="U30" s="53"/>
    </row>
    <row r="31" spans="1:21">
      <c r="A31" s="45"/>
      <c r="B31" s="46"/>
      <c r="C31" s="46"/>
      <c r="D31" s="46"/>
      <c r="E31" s="46"/>
      <c r="F31" s="46"/>
      <c r="G31" s="47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53"/>
      <c r="S31" s="53"/>
      <c r="T31" s="53"/>
      <c r="U31" s="53"/>
    </row>
    <row r="32" spans="1:21">
      <c r="A32" s="45"/>
      <c r="B32" s="46"/>
      <c r="C32" s="46"/>
      <c r="D32" s="46"/>
      <c r="E32" s="46"/>
      <c r="F32" s="46"/>
      <c r="G32" s="47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53"/>
      <c r="S32" s="53"/>
      <c r="T32" s="53"/>
      <c r="U32" s="53"/>
    </row>
    <row r="33" spans="1:2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>
      <c r="A34" s="32" t="s">
        <v>48</v>
      </c>
      <c r="B34" s="41">
        <f t="shared" ref="B34:Q34" si="0">MIN(B9:B32)</f>
        <v>0</v>
      </c>
      <c r="C34" s="41">
        <f t="shared" si="0"/>
        <v>0</v>
      </c>
      <c r="D34" s="41">
        <f t="shared" si="0"/>
        <v>0</v>
      </c>
      <c r="E34" s="41">
        <f t="shared" si="0"/>
        <v>0</v>
      </c>
      <c r="F34" s="41">
        <f t="shared" si="0"/>
        <v>0</v>
      </c>
      <c r="G34" s="41">
        <f t="shared" si="0"/>
        <v>0</v>
      </c>
      <c r="H34" s="41">
        <f t="shared" si="0"/>
        <v>0</v>
      </c>
      <c r="I34" s="41">
        <f t="shared" si="0"/>
        <v>0</v>
      </c>
      <c r="J34" s="41">
        <f t="shared" si="0"/>
        <v>0</v>
      </c>
      <c r="K34" s="41">
        <f t="shared" si="0"/>
        <v>0</v>
      </c>
      <c r="L34" s="41">
        <f t="shared" si="0"/>
        <v>0</v>
      </c>
      <c r="M34" s="41">
        <f t="shared" si="0"/>
        <v>0</v>
      </c>
      <c r="N34" s="41">
        <f t="shared" si="0"/>
        <v>0</v>
      </c>
      <c r="O34" s="41">
        <f t="shared" si="0"/>
        <v>0</v>
      </c>
      <c r="P34" s="41">
        <f t="shared" si="0"/>
        <v>0</v>
      </c>
      <c r="Q34" s="41">
        <f t="shared" si="0"/>
        <v>0</v>
      </c>
      <c r="R34" s="41"/>
      <c r="S34" s="41"/>
      <c r="T34" s="41"/>
      <c r="U34" s="41"/>
    </row>
    <row r="35" spans="1:21">
      <c r="A35" s="32" t="s">
        <v>49</v>
      </c>
      <c r="B35" s="33">
        <f t="shared" ref="B35:Q35" si="1">MAX(B9:B32)</f>
        <v>0</v>
      </c>
      <c r="C35" s="33">
        <f t="shared" si="1"/>
        <v>0</v>
      </c>
      <c r="D35" s="33">
        <f t="shared" si="1"/>
        <v>0</v>
      </c>
      <c r="E35" s="33">
        <f t="shared" si="1"/>
        <v>0</v>
      </c>
      <c r="F35" s="33">
        <f t="shared" si="1"/>
        <v>0</v>
      </c>
      <c r="G35" s="33">
        <f t="shared" si="1"/>
        <v>0</v>
      </c>
      <c r="H35" s="33">
        <f t="shared" si="1"/>
        <v>0</v>
      </c>
      <c r="I35" s="33">
        <f t="shared" si="1"/>
        <v>0</v>
      </c>
      <c r="J35" s="33">
        <f t="shared" si="1"/>
        <v>0</v>
      </c>
      <c r="K35" s="33">
        <f t="shared" si="1"/>
        <v>0</v>
      </c>
      <c r="L35" s="33">
        <f t="shared" si="1"/>
        <v>0</v>
      </c>
      <c r="M35" s="33">
        <f t="shared" si="1"/>
        <v>0</v>
      </c>
      <c r="N35" s="33">
        <f t="shared" si="1"/>
        <v>0</v>
      </c>
      <c r="O35" s="33">
        <f t="shared" si="1"/>
        <v>0</v>
      </c>
      <c r="P35" s="33">
        <f t="shared" si="1"/>
        <v>0</v>
      </c>
      <c r="Q35" s="33">
        <f t="shared" si="1"/>
        <v>0</v>
      </c>
      <c r="R35" s="33"/>
      <c r="S35" s="33"/>
      <c r="T35" s="33"/>
      <c r="U35" s="33"/>
    </row>
    <row r="36" spans="1:21">
      <c r="A36" s="32" t="s">
        <v>50</v>
      </c>
      <c r="B36" s="41" t="e">
        <f t="shared" ref="B36:Q36" si="2">AVERAGE(B9:B32)</f>
        <v>#DIV/0!</v>
      </c>
      <c r="C36" s="41" t="e">
        <f t="shared" si="2"/>
        <v>#DIV/0!</v>
      </c>
      <c r="D36" s="41" t="e">
        <f t="shared" si="2"/>
        <v>#DIV/0!</v>
      </c>
      <c r="E36" s="41" t="e">
        <f t="shared" si="2"/>
        <v>#DIV/0!</v>
      </c>
      <c r="F36" s="41" t="e">
        <f t="shared" si="2"/>
        <v>#DIV/0!</v>
      </c>
      <c r="G36" s="41" t="e">
        <f t="shared" si="2"/>
        <v>#DIV/0!</v>
      </c>
      <c r="H36" s="41" t="e">
        <f t="shared" si="2"/>
        <v>#DIV/0!</v>
      </c>
      <c r="I36" s="41" t="e">
        <f t="shared" si="2"/>
        <v>#DIV/0!</v>
      </c>
      <c r="J36" s="41" t="e">
        <f t="shared" si="2"/>
        <v>#DIV/0!</v>
      </c>
      <c r="K36" s="41" t="e">
        <f t="shared" si="2"/>
        <v>#DIV/0!</v>
      </c>
      <c r="L36" s="41" t="e">
        <f t="shared" si="2"/>
        <v>#DIV/0!</v>
      </c>
      <c r="M36" s="41" t="e">
        <f t="shared" si="2"/>
        <v>#DIV/0!</v>
      </c>
      <c r="N36" s="41" t="e">
        <f t="shared" si="2"/>
        <v>#DIV/0!</v>
      </c>
      <c r="O36" s="41" t="e">
        <f t="shared" si="2"/>
        <v>#DIV/0!</v>
      </c>
      <c r="P36" s="41" t="e">
        <f t="shared" si="2"/>
        <v>#DIV/0!</v>
      </c>
      <c r="Q36" s="41" t="e">
        <f t="shared" si="2"/>
        <v>#DIV/0!</v>
      </c>
      <c r="R36" s="41"/>
      <c r="S36" s="41"/>
      <c r="T36" s="41"/>
      <c r="U36" s="41"/>
    </row>
    <row r="37" spans="1:21">
      <c r="A37" s="32" t="s">
        <v>51</v>
      </c>
      <c r="B37" s="41" t="e">
        <f>STDEV(B9:B32)</f>
        <v>#DIV/0!</v>
      </c>
      <c r="C37" s="41" t="e">
        <f t="shared" ref="C37:Q37" si="3">STDEV(C9:C32)</f>
        <v>#DIV/0!</v>
      </c>
      <c r="D37" s="41" t="e">
        <f t="shared" si="3"/>
        <v>#DIV/0!</v>
      </c>
      <c r="E37" s="41" t="e">
        <f t="shared" si="3"/>
        <v>#DIV/0!</v>
      </c>
      <c r="F37" s="41" t="e">
        <f t="shared" si="3"/>
        <v>#DIV/0!</v>
      </c>
      <c r="G37" s="41" t="e">
        <f t="shared" si="3"/>
        <v>#DIV/0!</v>
      </c>
      <c r="H37" s="41" t="e">
        <f t="shared" si="3"/>
        <v>#DIV/0!</v>
      </c>
      <c r="I37" s="41" t="e">
        <f t="shared" si="3"/>
        <v>#DIV/0!</v>
      </c>
      <c r="J37" s="41" t="e">
        <f t="shared" si="3"/>
        <v>#DIV/0!</v>
      </c>
      <c r="K37" s="41" t="e">
        <f t="shared" si="3"/>
        <v>#DIV/0!</v>
      </c>
      <c r="L37" s="41" t="e">
        <f t="shared" si="3"/>
        <v>#DIV/0!</v>
      </c>
      <c r="M37" s="41" t="e">
        <f t="shared" si="3"/>
        <v>#DIV/0!</v>
      </c>
      <c r="N37" s="41" t="e">
        <f t="shared" si="3"/>
        <v>#DIV/0!</v>
      </c>
      <c r="O37" s="41" t="e">
        <f t="shared" si="3"/>
        <v>#DIV/0!</v>
      </c>
      <c r="P37" s="41" t="e">
        <f t="shared" si="3"/>
        <v>#DIV/0!</v>
      </c>
      <c r="Q37" s="41" t="e">
        <f t="shared" si="3"/>
        <v>#DIV/0!</v>
      </c>
      <c r="R37" s="41"/>
      <c r="S37" s="41"/>
      <c r="T37" s="41"/>
      <c r="U37" s="41"/>
    </row>
    <row r="38" spans="1:21">
      <c r="A38" s="48" t="s">
        <v>52</v>
      </c>
      <c r="B38" s="49">
        <f t="shared" ref="B38:Q38" si="4">COUNT(B9:B32)</f>
        <v>0</v>
      </c>
      <c r="C38" s="49">
        <f t="shared" si="4"/>
        <v>0</v>
      </c>
      <c r="D38" s="49">
        <f t="shared" si="4"/>
        <v>0</v>
      </c>
      <c r="E38" s="49">
        <f t="shared" si="4"/>
        <v>0</v>
      </c>
      <c r="F38" s="49">
        <f t="shared" si="4"/>
        <v>0</v>
      </c>
      <c r="G38" s="49">
        <f t="shared" si="4"/>
        <v>0</v>
      </c>
      <c r="H38" s="49">
        <f t="shared" si="4"/>
        <v>0</v>
      </c>
      <c r="I38" s="49">
        <f t="shared" si="4"/>
        <v>0</v>
      </c>
      <c r="J38" s="49">
        <f t="shared" si="4"/>
        <v>0</v>
      </c>
      <c r="K38" s="49">
        <f t="shared" si="4"/>
        <v>0</v>
      </c>
      <c r="L38" s="49">
        <f t="shared" si="4"/>
        <v>0</v>
      </c>
      <c r="M38" s="49">
        <f t="shared" si="4"/>
        <v>0</v>
      </c>
      <c r="N38" s="49">
        <f t="shared" si="4"/>
        <v>0</v>
      </c>
      <c r="O38" s="49">
        <f t="shared" si="4"/>
        <v>0</v>
      </c>
      <c r="P38" s="49">
        <f t="shared" si="4"/>
        <v>0</v>
      </c>
      <c r="Q38" s="49">
        <f t="shared" si="4"/>
        <v>0</v>
      </c>
      <c r="R38" s="49"/>
      <c r="S38" s="49"/>
      <c r="T38" s="49"/>
      <c r="U38" s="49"/>
    </row>
    <row r="39" spans="1:21">
      <c r="A39" s="32" t="s">
        <v>53</v>
      </c>
      <c r="B39" s="33" t="str">
        <f>IF(B38&gt;=22,"&gt;90%",IF(B38&lt;=22,"&lt;90%"))</f>
        <v>&lt;90%</v>
      </c>
      <c r="C39" s="33" t="str">
        <f t="shared" ref="C39:Q39" si="5">IF(C38&gt;=22,"&gt;90%",IF(C38&lt;=22,"&lt;90%"))</f>
        <v>&lt;90%</v>
      </c>
      <c r="D39" s="33" t="str">
        <f t="shared" si="5"/>
        <v>&lt;90%</v>
      </c>
      <c r="E39" s="33" t="str">
        <f t="shared" si="5"/>
        <v>&lt;90%</v>
      </c>
      <c r="F39" s="33" t="str">
        <f t="shared" si="5"/>
        <v>&lt;90%</v>
      </c>
      <c r="G39" s="33" t="str">
        <f t="shared" si="5"/>
        <v>&lt;90%</v>
      </c>
      <c r="H39" s="33" t="str">
        <f t="shared" si="5"/>
        <v>&lt;90%</v>
      </c>
      <c r="I39" s="33" t="str">
        <f t="shared" si="5"/>
        <v>&lt;90%</v>
      </c>
      <c r="J39" s="33" t="str">
        <f t="shared" si="5"/>
        <v>&lt;90%</v>
      </c>
      <c r="K39" s="33" t="str">
        <f t="shared" si="5"/>
        <v>&lt;90%</v>
      </c>
      <c r="L39" s="33" t="str">
        <f t="shared" si="5"/>
        <v>&lt;90%</v>
      </c>
      <c r="M39" s="33" t="str">
        <f t="shared" si="5"/>
        <v>&lt;90%</v>
      </c>
      <c r="N39" s="33" t="str">
        <f t="shared" si="5"/>
        <v>&lt;90%</v>
      </c>
      <c r="O39" s="33" t="str">
        <f t="shared" si="5"/>
        <v>&lt;90%</v>
      </c>
      <c r="P39" s="33" t="str">
        <f t="shared" si="5"/>
        <v>&lt;90%</v>
      </c>
      <c r="Q39" s="33" t="str">
        <f t="shared" si="5"/>
        <v>&lt;90%</v>
      </c>
      <c r="R39" s="33"/>
      <c r="S39" s="33"/>
      <c r="T39" s="33"/>
      <c r="U39" s="33"/>
    </row>
    <row r="40" spans="1:21">
      <c r="A40" s="32" t="s">
        <v>54</v>
      </c>
      <c r="B40" s="33" t="str">
        <f>IF(B38&gt;=22,"OK",IF(B38&lt;=22,"LESS"))</f>
        <v>LESS</v>
      </c>
      <c r="C40" s="33" t="str">
        <f t="shared" ref="C40:Q40" si="6">IF(C38&gt;=22,"OK",IF(C38&lt;=22,"LESS"))</f>
        <v>LESS</v>
      </c>
      <c r="D40" s="33" t="str">
        <f t="shared" si="6"/>
        <v>LESS</v>
      </c>
      <c r="E40" s="33" t="str">
        <f t="shared" si="6"/>
        <v>LESS</v>
      </c>
      <c r="F40" s="33" t="str">
        <f t="shared" si="6"/>
        <v>LESS</v>
      </c>
      <c r="G40" s="33" t="str">
        <f t="shared" si="6"/>
        <v>LESS</v>
      </c>
      <c r="H40" s="33" t="str">
        <f t="shared" si="6"/>
        <v>LESS</v>
      </c>
      <c r="I40" s="33" t="str">
        <f t="shared" si="6"/>
        <v>LESS</v>
      </c>
      <c r="J40" s="33" t="str">
        <f t="shared" si="6"/>
        <v>LESS</v>
      </c>
      <c r="K40" s="33" t="str">
        <f t="shared" si="6"/>
        <v>LESS</v>
      </c>
      <c r="L40" s="33" t="str">
        <f t="shared" si="6"/>
        <v>LESS</v>
      </c>
      <c r="M40" s="33" t="str">
        <f t="shared" si="6"/>
        <v>LESS</v>
      </c>
      <c r="N40" s="33" t="str">
        <f t="shared" si="6"/>
        <v>LESS</v>
      </c>
      <c r="O40" s="33" t="str">
        <f t="shared" si="6"/>
        <v>LESS</v>
      </c>
      <c r="P40" s="33" t="str">
        <f t="shared" si="6"/>
        <v>LESS</v>
      </c>
      <c r="Q40" s="33" t="str">
        <f t="shared" si="6"/>
        <v>LESS</v>
      </c>
      <c r="R40" s="33"/>
      <c r="S40" s="33"/>
      <c r="T40" s="33"/>
      <c r="U40" s="33"/>
    </row>
    <row r="41" spans="1:21">
      <c r="A41" s="22"/>
      <c r="B41" s="1"/>
      <c r="C41" s="1"/>
      <c r="D41" s="1"/>
      <c r="E41" s="1"/>
      <c r="F41" s="1"/>
      <c r="G41" s="1"/>
      <c r="H41" s="1"/>
      <c r="I41" s="1"/>
      <c r="J41" s="1"/>
      <c r="K41" s="1"/>
      <c r="L41" s="22"/>
      <c r="M41" s="1"/>
      <c r="N41" s="52"/>
      <c r="O41" s="52"/>
      <c r="P41" s="52"/>
      <c r="Q41" s="52"/>
      <c r="R41" s="52"/>
      <c r="S41" s="52"/>
      <c r="T41" s="52"/>
      <c r="U41" s="52"/>
    </row>
    <row r="42" spans="1:21">
      <c r="A42" s="22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>
      <c r="A43" s="3" t="s">
        <v>55</v>
      </c>
      <c r="B43" s="21" t="s">
        <v>56</v>
      </c>
      <c r="C43" s="50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>
      <c r="A44" s="22"/>
      <c r="B44" s="1"/>
      <c r="C44" s="1"/>
      <c r="D44" s="23"/>
      <c r="E44" s="23"/>
      <c r="F44" s="23"/>
      <c r="G44" s="23"/>
      <c r="H44" s="23"/>
      <c r="I44" s="23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ht="15.75">
      <c r="A45" s="24" t="s">
        <v>57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selection activeCell="A9" sqref="A9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5"/>
      <c r="B9" s="46"/>
      <c r="C9" s="46"/>
      <c r="D9" s="46"/>
      <c r="E9" s="46"/>
      <c r="F9" s="46"/>
      <c r="G9" s="47"/>
      <c r="H9" s="46"/>
      <c r="I9" s="46"/>
      <c r="J9" s="46"/>
      <c r="K9" s="46"/>
      <c r="L9" s="46"/>
      <c r="M9" s="46"/>
      <c r="N9" s="46"/>
      <c r="O9" s="46"/>
      <c r="P9" s="46"/>
      <c r="Q9" s="46"/>
      <c r="R9" s="53"/>
      <c r="S9" s="53"/>
      <c r="T9" s="53"/>
      <c r="U9" s="53"/>
    </row>
    <row r="10" spans="1:21" customFormat="1">
      <c r="A10" s="45"/>
      <c r="B10" s="46"/>
      <c r="C10" s="46"/>
      <c r="D10" s="46"/>
      <c r="E10" s="46"/>
      <c r="F10" s="46"/>
      <c r="G10" s="47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53"/>
      <c r="S10" s="53"/>
      <c r="T10" s="53"/>
      <c r="U10" s="53"/>
    </row>
    <row r="11" spans="1:21" customFormat="1">
      <c r="A11" s="45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53"/>
      <c r="S11" s="53"/>
      <c r="T11" s="53"/>
      <c r="U11" s="53"/>
    </row>
    <row r="12" spans="1:21" customFormat="1">
      <c r="A12" s="45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53"/>
      <c r="S12" s="53"/>
      <c r="T12" s="53"/>
      <c r="U12" s="53"/>
    </row>
    <row r="13" spans="1:21" customFormat="1">
      <c r="A13" s="45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53"/>
      <c r="S13" s="53"/>
      <c r="T13" s="53"/>
      <c r="U13" s="53"/>
    </row>
    <row r="14" spans="1:21" customFormat="1">
      <c r="A14" s="45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53"/>
      <c r="S14" s="53"/>
      <c r="T14" s="53"/>
      <c r="U14" s="53"/>
    </row>
    <row r="15" spans="1:21" customFormat="1">
      <c r="A15" s="45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53"/>
      <c r="S15" s="53"/>
      <c r="T15" s="53"/>
      <c r="U15" s="53"/>
    </row>
    <row r="16" spans="1:21" customFormat="1">
      <c r="A16" s="45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53"/>
      <c r="S16" s="53"/>
      <c r="T16" s="53"/>
      <c r="U16" s="53"/>
    </row>
    <row r="17" spans="1:21" customFormat="1">
      <c r="A17" s="45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53"/>
      <c r="S17" s="53"/>
      <c r="T17" s="53"/>
      <c r="U17" s="53"/>
    </row>
    <row r="18" spans="1:21" customFormat="1">
      <c r="A18" s="45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53"/>
      <c r="S18" s="53"/>
      <c r="T18" s="53"/>
      <c r="U18" s="53"/>
    </row>
    <row r="19" spans="1:21" customFormat="1">
      <c r="A19" s="45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53"/>
      <c r="S19" s="53"/>
      <c r="T19" s="53"/>
      <c r="U19" s="53"/>
    </row>
    <row r="20" spans="1:21" customFormat="1">
      <c r="A20" s="45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53"/>
      <c r="S20" s="53"/>
      <c r="T20" s="53"/>
      <c r="U20" s="53"/>
    </row>
    <row r="21" spans="1:21" customFormat="1">
      <c r="A21" s="45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53"/>
      <c r="S21" s="53"/>
      <c r="T21" s="53"/>
      <c r="U21" s="53"/>
    </row>
    <row r="22" spans="1:21" customFormat="1">
      <c r="A22" s="45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53"/>
      <c r="S22" s="53"/>
      <c r="T22" s="53"/>
      <c r="U22" s="53"/>
    </row>
    <row r="23" spans="1:21" customFormat="1">
      <c r="A23" s="45"/>
      <c r="B23" s="46"/>
      <c r="C23" s="46"/>
      <c r="D23" s="46"/>
      <c r="E23" s="46"/>
      <c r="F23" s="46"/>
      <c r="G23" s="47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53"/>
      <c r="S23" s="53"/>
      <c r="T23" s="53"/>
      <c r="U23" s="53"/>
    </row>
    <row r="24" spans="1:21" customFormat="1">
      <c r="A24" s="45"/>
      <c r="B24" s="46"/>
      <c r="C24" s="46"/>
      <c r="D24" s="46"/>
      <c r="E24" s="46"/>
      <c r="F24" s="46"/>
      <c r="G24" s="47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53"/>
      <c r="S24" s="53"/>
      <c r="T24" s="53"/>
      <c r="U24" s="53"/>
    </row>
    <row r="25" spans="1:21" customFormat="1">
      <c r="A25" s="45"/>
      <c r="B25" s="46"/>
      <c r="C25" s="46"/>
      <c r="D25" s="46"/>
      <c r="E25" s="46"/>
      <c r="F25" s="46"/>
      <c r="G25" s="47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53"/>
      <c r="S25" s="53"/>
      <c r="T25" s="53"/>
      <c r="U25" s="53"/>
    </row>
    <row r="26" spans="1:21" customFormat="1">
      <c r="A26" s="45"/>
      <c r="B26" s="46"/>
      <c r="C26" s="46"/>
      <c r="D26" s="46"/>
      <c r="E26" s="46"/>
      <c r="F26" s="46"/>
      <c r="G26" s="47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53"/>
      <c r="S26" s="53"/>
      <c r="T26" s="53"/>
      <c r="U26" s="53"/>
    </row>
    <row r="27" spans="1:21" customFormat="1">
      <c r="A27" s="45"/>
      <c r="B27" s="46"/>
      <c r="C27" s="46"/>
      <c r="D27" s="46"/>
      <c r="E27" s="46"/>
      <c r="F27" s="46"/>
      <c r="G27" s="47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53"/>
      <c r="S27" s="53"/>
      <c r="T27" s="53"/>
      <c r="U27" s="53"/>
    </row>
    <row r="28" spans="1:21" customFormat="1">
      <c r="A28" s="45"/>
      <c r="B28" s="46"/>
      <c r="C28" s="46"/>
      <c r="D28" s="46"/>
      <c r="E28" s="46"/>
      <c r="F28" s="46"/>
      <c r="G28" s="47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53"/>
      <c r="S28" s="53"/>
      <c r="T28" s="53"/>
      <c r="U28" s="53"/>
    </row>
    <row r="29" spans="1:21" customFormat="1">
      <c r="A29" s="45"/>
      <c r="B29" s="46"/>
      <c r="C29" s="46"/>
      <c r="D29" s="46"/>
      <c r="E29" s="46"/>
      <c r="F29" s="46"/>
      <c r="G29" s="47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53"/>
      <c r="S29" s="53"/>
      <c r="T29" s="53"/>
      <c r="U29" s="53"/>
    </row>
    <row r="30" spans="1:21" customFormat="1">
      <c r="A30" s="45"/>
      <c r="B30" s="46"/>
      <c r="C30" s="46"/>
      <c r="D30" s="46"/>
      <c r="E30" s="46"/>
      <c r="F30" s="46"/>
      <c r="G30" s="47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53"/>
      <c r="S30" s="53"/>
      <c r="T30" s="53"/>
      <c r="U30" s="53"/>
    </row>
    <row r="31" spans="1:21" customFormat="1">
      <c r="A31" s="45"/>
      <c r="B31" s="46"/>
      <c r="C31" s="46"/>
      <c r="D31" s="46"/>
      <c r="E31" s="46"/>
      <c r="F31" s="46"/>
      <c r="G31" s="47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53"/>
      <c r="S31" s="53"/>
      <c r="T31" s="53"/>
      <c r="U31" s="53"/>
    </row>
    <row r="32" spans="1:21" customFormat="1">
      <c r="A32" s="45"/>
      <c r="B32" s="46"/>
      <c r="C32" s="46"/>
      <c r="D32" s="46"/>
      <c r="E32" s="46"/>
      <c r="F32" s="46"/>
      <c r="G32" s="47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53"/>
      <c r="S32" s="53"/>
      <c r="T32" s="53"/>
      <c r="U32" s="53"/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0</v>
      </c>
      <c r="C34" s="41">
        <f t="shared" si="0"/>
        <v>0</v>
      </c>
      <c r="D34" s="41">
        <f t="shared" si="0"/>
        <v>0</v>
      </c>
      <c r="E34" s="41">
        <f t="shared" si="0"/>
        <v>0</v>
      </c>
      <c r="F34" s="41">
        <f t="shared" si="0"/>
        <v>0</v>
      </c>
      <c r="G34" s="41">
        <f t="shared" si="0"/>
        <v>0</v>
      </c>
      <c r="H34" s="41">
        <f t="shared" si="0"/>
        <v>0</v>
      </c>
      <c r="I34" s="41">
        <f t="shared" si="0"/>
        <v>0</v>
      </c>
      <c r="J34" s="41">
        <f t="shared" si="0"/>
        <v>0</v>
      </c>
      <c r="K34" s="41">
        <f t="shared" si="0"/>
        <v>0</v>
      </c>
      <c r="L34" s="41">
        <f t="shared" si="0"/>
        <v>0</v>
      </c>
      <c r="M34" s="41">
        <f t="shared" si="0"/>
        <v>0</v>
      </c>
      <c r="N34" s="41">
        <f t="shared" si="0"/>
        <v>0</v>
      </c>
      <c r="O34" s="41">
        <f t="shared" si="0"/>
        <v>0</v>
      </c>
      <c r="P34" s="41">
        <f t="shared" si="0"/>
        <v>0</v>
      </c>
      <c r="Q34" s="41">
        <f t="shared" si="0"/>
        <v>0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0</v>
      </c>
      <c r="C35" s="33">
        <f t="shared" si="1"/>
        <v>0</v>
      </c>
      <c r="D35" s="33">
        <f t="shared" si="1"/>
        <v>0</v>
      </c>
      <c r="E35" s="33">
        <f t="shared" si="1"/>
        <v>0</v>
      </c>
      <c r="F35" s="33">
        <f t="shared" si="1"/>
        <v>0</v>
      </c>
      <c r="G35" s="33">
        <f t="shared" si="1"/>
        <v>0</v>
      </c>
      <c r="H35" s="33">
        <f t="shared" si="1"/>
        <v>0</v>
      </c>
      <c r="I35" s="33">
        <f t="shared" si="1"/>
        <v>0</v>
      </c>
      <c r="J35" s="33">
        <f t="shared" si="1"/>
        <v>0</v>
      </c>
      <c r="K35" s="33">
        <f t="shared" si="1"/>
        <v>0</v>
      </c>
      <c r="L35" s="33">
        <f t="shared" si="1"/>
        <v>0</v>
      </c>
      <c r="M35" s="33">
        <f t="shared" si="1"/>
        <v>0</v>
      </c>
      <c r="N35" s="33">
        <f t="shared" si="1"/>
        <v>0</v>
      </c>
      <c r="O35" s="33">
        <f t="shared" si="1"/>
        <v>0</v>
      </c>
      <c r="P35" s="33">
        <f t="shared" si="1"/>
        <v>0</v>
      </c>
      <c r="Q35" s="33">
        <f t="shared" si="1"/>
        <v>0</v>
      </c>
      <c r="R35" s="33"/>
      <c r="S35" s="33"/>
      <c r="T35" s="33"/>
      <c r="U35" s="33"/>
    </row>
    <row r="36" spans="1:21" s="1" customFormat="1">
      <c r="A36" s="32" t="s">
        <v>50</v>
      </c>
      <c r="B36" s="41" t="e">
        <f t="shared" ref="B36:Q36" si="2">AVERAGE(B9:B32)</f>
        <v>#DIV/0!</v>
      </c>
      <c r="C36" s="41" t="e">
        <f t="shared" si="2"/>
        <v>#DIV/0!</v>
      </c>
      <c r="D36" s="41" t="e">
        <f t="shared" si="2"/>
        <v>#DIV/0!</v>
      </c>
      <c r="E36" s="41" t="e">
        <f t="shared" si="2"/>
        <v>#DIV/0!</v>
      </c>
      <c r="F36" s="41" t="e">
        <f t="shared" si="2"/>
        <v>#DIV/0!</v>
      </c>
      <c r="G36" s="41" t="e">
        <f t="shared" si="2"/>
        <v>#DIV/0!</v>
      </c>
      <c r="H36" s="41" t="e">
        <f t="shared" si="2"/>
        <v>#DIV/0!</v>
      </c>
      <c r="I36" s="41" t="e">
        <f t="shared" si="2"/>
        <v>#DIV/0!</v>
      </c>
      <c r="J36" s="41" t="e">
        <f t="shared" si="2"/>
        <v>#DIV/0!</v>
      </c>
      <c r="K36" s="41" t="e">
        <f t="shared" si="2"/>
        <v>#DIV/0!</v>
      </c>
      <c r="L36" s="41" t="e">
        <f t="shared" si="2"/>
        <v>#DIV/0!</v>
      </c>
      <c r="M36" s="41" t="e">
        <f t="shared" si="2"/>
        <v>#DIV/0!</v>
      </c>
      <c r="N36" s="41" t="e">
        <f t="shared" si="2"/>
        <v>#DIV/0!</v>
      </c>
      <c r="O36" s="41" t="e">
        <f t="shared" si="2"/>
        <v>#DIV/0!</v>
      </c>
      <c r="P36" s="41" t="e">
        <f t="shared" si="2"/>
        <v>#DIV/0!</v>
      </c>
      <c r="Q36" s="41" t="e">
        <f t="shared" si="2"/>
        <v>#DIV/0!</v>
      </c>
      <c r="R36" s="41"/>
      <c r="S36" s="41"/>
      <c r="T36" s="41"/>
      <c r="U36" s="41"/>
    </row>
    <row r="37" spans="1:21" s="1" customFormat="1">
      <c r="A37" s="32" t="s">
        <v>51</v>
      </c>
      <c r="B37" s="41" t="e">
        <f>STDEV(B9:B32)</f>
        <v>#DIV/0!</v>
      </c>
      <c r="C37" s="41" t="e">
        <f t="shared" ref="C37:Q37" si="3">STDEV(C9:C32)</f>
        <v>#DIV/0!</v>
      </c>
      <c r="D37" s="41" t="e">
        <f t="shared" si="3"/>
        <v>#DIV/0!</v>
      </c>
      <c r="E37" s="41" t="e">
        <f t="shared" si="3"/>
        <v>#DIV/0!</v>
      </c>
      <c r="F37" s="41" t="e">
        <f t="shared" si="3"/>
        <v>#DIV/0!</v>
      </c>
      <c r="G37" s="41" t="e">
        <f t="shared" si="3"/>
        <v>#DIV/0!</v>
      </c>
      <c r="H37" s="41" t="e">
        <f t="shared" si="3"/>
        <v>#DIV/0!</v>
      </c>
      <c r="I37" s="41" t="e">
        <f t="shared" si="3"/>
        <v>#DIV/0!</v>
      </c>
      <c r="J37" s="41" t="e">
        <f t="shared" si="3"/>
        <v>#DIV/0!</v>
      </c>
      <c r="K37" s="41" t="e">
        <f t="shared" si="3"/>
        <v>#DIV/0!</v>
      </c>
      <c r="L37" s="41" t="e">
        <f t="shared" si="3"/>
        <v>#DIV/0!</v>
      </c>
      <c r="M37" s="41" t="e">
        <f t="shared" si="3"/>
        <v>#DIV/0!</v>
      </c>
      <c r="N37" s="41" t="e">
        <f t="shared" si="3"/>
        <v>#DIV/0!</v>
      </c>
      <c r="O37" s="41" t="e">
        <f t="shared" si="3"/>
        <v>#DIV/0!</v>
      </c>
      <c r="P37" s="41" t="e">
        <f t="shared" si="3"/>
        <v>#DIV/0!</v>
      </c>
      <c r="Q37" s="41" t="e">
        <f t="shared" si="3"/>
        <v>#DIV/0!</v>
      </c>
      <c r="R37" s="41"/>
      <c r="S37" s="41"/>
      <c r="T37" s="41"/>
      <c r="U37" s="41"/>
    </row>
    <row r="38" spans="1:21" s="1" customFormat="1">
      <c r="A38" s="48" t="s">
        <v>52</v>
      </c>
      <c r="B38" s="49">
        <f t="shared" ref="B38:Q38" si="4">COUNT(B9:B32)</f>
        <v>0</v>
      </c>
      <c r="C38" s="49">
        <f t="shared" si="4"/>
        <v>0</v>
      </c>
      <c r="D38" s="49">
        <f t="shared" si="4"/>
        <v>0</v>
      </c>
      <c r="E38" s="49">
        <f t="shared" si="4"/>
        <v>0</v>
      </c>
      <c r="F38" s="49">
        <f t="shared" si="4"/>
        <v>0</v>
      </c>
      <c r="G38" s="49">
        <f t="shared" si="4"/>
        <v>0</v>
      </c>
      <c r="H38" s="49">
        <f t="shared" si="4"/>
        <v>0</v>
      </c>
      <c r="I38" s="49">
        <f t="shared" si="4"/>
        <v>0</v>
      </c>
      <c r="J38" s="49">
        <f t="shared" si="4"/>
        <v>0</v>
      </c>
      <c r="K38" s="49">
        <f t="shared" si="4"/>
        <v>0</v>
      </c>
      <c r="L38" s="49">
        <f t="shared" si="4"/>
        <v>0</v>
      </c>
      <c r="M38" s="49">
        <f t="shared" si="4"/>
        <v>0</v>
      </c>
      <c r="N38" s="49">
        <f t="shared" si="4"/>
        <v>0</v>
      </c>
      <c r="O38" s="49">
        <f t="shared" si="4"/>
        <v>0</v>
      </c>
      <c r="P38" s="49">
        <f t="shared" si="4"/>
        <v>0</v>
      </c>
      <c r="Q38" s="49">
        <f t="shared" si="4"/>
        <v>0</v>
      </c>
      <c r="R38" s="49"/>
      <c r="S38" s="49"/>
      <c r="T38" s="49"/>
      <c r="U38" s="49"/>
    </row>
    <row r="39" spans="1:21" s="1" customFormat="1">
      <c r="A39" s="32" t="s">
        <v>53</v>
      </c>
      <c r="B39" s="33" t="str">
        <f>IF(B38&gt;=22,"&gt;90%",IF(B38&lt;=22,"&lt;90%"))</f>
        <v>&lt;90%</v>
      </c>
      <c r="C39" s="33" t="str">
        <f t="shared" ref="C39:Q39" si="5">IF(C38&gt;=22,"&gt;90%",IF(C38&lt;=22,"&lt;90%"))</f>
        <v>&lt;90%</v>
      </c>
      <c r="D39" s="33" t="str">
        <f t="shared" si="5"/>
        <v>&lt;90%</v>
      </c>
      <c r="E39" s="33" t="str">
        <f t="shared" si="5"/>
        <v>&lt;90%</v>
      </c>
      <c r="F39" s="33" t="str">
        <f t="shared" si="5"/>
        <v>&lt;90%</v>
      </c>
      <c r="G39" s="33" t="str">
        <f t="shared" si="5"/>
        <v>&lt;90%</v>
      </c>
      <c r="H39" s="33" t="str">
        <f t="shared" si="5"/>
        <v>&lt;90%</v>
      </c>
      <c r="I39" s="33" t="str">
        <f t="shared" si="5"/>
        <v>&lt;90%</v>
      </c>
      <c r="J39" s="33" t="str">
        <f t="shared" si="5"/>
        <v>&lt;90%</v>
      </c>
      <c r="K39" s="33" t="str">
        <f t="shared" si="5"/>
        <v>&lt;90%</v>
      </c>
      <c r="L39" s="33" t="str">
        <f t="shared" si="5"/>
        <v>&lt;90%</v>
      </c>
      <c r="M39" s="33" t="str">
        <f t="shared" si="5"/>
        <v>&lt;90%</v>
      </c>
      <c r="N39" s="33" t="str">
        <f t="shared" si="5"/>
        <v>&lt;90%</v>
      </c>
      <c r="O39" s="33" t="str">
        <f t="shared" si="5"/>
        <v>&lt;90%</v>
      </c>
      <c r="P39" s="33" t="str">
        <f t="shared" si="5"/>
        <v>&lt;90%</v>
      </c>
      <c r="Q39" s="33" t="str">
        <f t="shared" si="5"/>
        <v>&lt;90%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LESS</v>
      </c>
      <c r="C40" s="33" t="str">
        <f t="shared" ref="C40:Q40" si="6">IF(C38&gt;=22,"OK",IF(C38&lt;=22,"LESS"))</f>
        <v>LESS</v>
      </c>
      <c r="D40" s="33" t="str">
        <f t="shared" si="6"/>
        <v>LESS</v>
      </c>
      <c r="E40" s="33" t="str">
        <f t="shared" si="6"/>
        <v>LESS</v>
      </c>
      <c r="F40" s="33" t="str">
        <f t="shared" si="6"/>
        <v>LESS</v>
      </c>
      <c r="G40" s="33" t="str">
        <f t="shared" si="6"/>
        <v>LESS</v>
      </c>
      <c r="H40" s="33" t="str">
        <f t="shared" si="6"/>
        <v>LESS</v>
      </c>
      <c r="I40" s="33" t="str">
        <f t="shared" si="6"/>
        <v>LESS</v>
      </c>
      <c r="J40" s="33" t="str">
        <f t="shared" si="6"/>
        <v>LESS</v>
      </c>
      <c r="K40" s="33" t="str">
        <f t="shared" si="6"/>
        <v>LESS</v>
      </c>
      <c r="L40" s="33" t="str">
        <f t="shared" si="6"/>
        <v>LESS</v>
      </c>
      <c r="M40" s="33" t="str">
        <f t="shared" si="6"/>
        <v>LESS</v>
      </c>
      <c r="N40" s="33" t="str">
        <f t="shared" si="6"/>
        <v>LESS</v>
      </c>
      <c r="O40" s="33" t="str">
        <f t="shared" si="6"/>
        <v>LESS</v>
      </c>
      <c r="P40" s="33" t="str">
        <f t="shared" si="6"/>
        <v>LESS</v>
      </c>
      <c r="Q40" s="33" t="str">
        <f t="shared" si="6"/>
        <v>LESS</v>
      </c>
      <c r="R40" s="33"/>
      <c r="S40" s="33"/>
      <c r="T40" s="33"/>
      <c r="U40" s="33"/>
    </row>
    <row r="41" spans="1:21" s="1" customFormat="1">
      <c r="A41" s="22"/>
      <c r="L41" s="22"/>
      <c r="N41" s="52"/>
      <c r="O41" s="52"/>
      <c r="P41" s="52"/>
      <c r="Q41" s="52"/>
      <c r="R41" s="52"/>
      <c r="S41" s="52"/>
      <c r="T41" s="52"/>
      <c r="U41" s="52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50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selection activeCell="A9" sqref="A9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6" width="9.140625" style="39" customWidth="1"/>
    <col min="17" max="17" width="16.42578125" style="39" customWidth="1"/>
    <col min="18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0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45"/>
      <c r="B9" s="46"/>
      <c r="C9" s="46"/>
      <c r="D9" s="46"/>
      <c r="E9" s="46"/>
      <c r="F9" s="46"/>
      <c r="G9" s="47"/>
      <c r="H9" s="46"/>
      <c r="I9" s="46"/>
      <c r="J9" s="46"/>
      <c r="K9" s="46"/>
      <c r="L9" s="46"/>
      <c r="M9" s="46"/>
      <c r="N9" s="46"/>
      <c r="O9" s="46"/>
      <c r="P9" s="46"/>
      <c r="Q9" s="46"/>
      <c r="R9" s="53"/>
      <c r="S9" s="53"/>
      <c r="T9" s="53"/>
      <c r="U9" s="53"/>
    </row>
    <row r="10" spans="1:21" customFormat="1">
      <c r="A10" s="45"/>
      <c r="B10" s="46"/>
      <c r="C10" s="46"/>
      <c r="D10" s="46"/>
      <c r="E10" s="46"/>
      <c r="F10" s="46"/>
      <c r="G10" s="47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53"/>
      <c r="S10" s="53"/>
      <c r="T10" s="53"/>
      <c r="U10" s="53"/>
    </row>
    <row r="11" spans="1:21" customFormat="1">
      <c r="A11" s="45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53"/>
      <c r="S11" s="53"/>
      <c r="T11" s="53"/>
      <c r="U11" s="53"/>
    </row>
    <row r="12" spans="1:21" customFormat="1">
      <c r="A12" s="45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53"/>
      <c r="S12" s="53"/>
      <c r="T12" s="53"/>
      <c r="U12" s="53"/>
    </row>
    <row r="13" spans="1:21" customFormat="1">
      <c r="A13" s="45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53"/>
      <c r="S13" s="53"/>
      <c r="T13" s="53"/>
      <c r="U13" s="53"/>
    </row>
    <row r="14" spans="1:21" customFormat="1">
      <c r="A14" s="45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53"/>
      <c r="S14" s="53"/>
      <c r="T14" s="53"/>
      <c r="U14" s="53"/>
    </row>
    <row r="15" spans="1:21" customFormat="1">
      <c r="A15" s="45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53"/>
      <c r="S15" s="53"/>
      <c r="T15" s="53"/>
      <c r="U15" s="53"/>
    </row>
    <row r="16" spans="1:21" customFormat="1">
      <c r="A16" s="45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53"/>
      <c r="S16" s="53"/>
      <c r="T16" s="53"/>
      <c r="U16" s="53"/>
    </row>
    <row r="17" spans="1:21" customFormat="1">
      <c r="A17" s="45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53"/>
      <c r="S17" s="53"/>
      <c r="T17" s="53"/>
      <c r="U17" s="53"/>
    </row>
    <row r="18" spans="1:21" customFormat="1">
      <c r="A18" s="45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53"/>
      <c r="S18" s="53"/>
      <c r="T18" s="53"/>
      <c r="U18" s="53"/>
    </row>
    <row r="19" spans="1:21" customFormat="1">
      <c r="A19" s="45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53"/>
      <c r="S19" s="53"/>
      <c r="T19" s="53"/>
      <c r="U19" s="53"/>
    </row>
    <row r="20" spans="1:21" customFormat="1">
      <c r="A20" s="45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53"/>
      <c r="S20" s="53"/>
      <c r="T20" s="53"/>
      <c r="U20" s="53"/>
    </row>
    <row r="21" spans="1:21" customFormat="1">
      <c r="A21" s="45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53"/>
      <c r="S21" s="53"/>
      <c r="T21" s="53"/>
      <c r="U21" s="53"/>
    </row>
    <row r="22" spans="1:21" customFormat="1">
      <c r="A22" s="45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53"/>
      <c r="S22" s="53"/>
      <c r="T22" s="53"/>
      <c r="U22" s="53"/>
    </row>
    <row r="23" spans="1:21" customFormat="1">
      <c r="A23" s="45"/>
      <c r="B23" s="46"/>
      <c r="C23" s="46"/>
      <c r="D23" s="46"/>
      <c r="E23" s="46"/>
      <c r="F23" s="46"/>
      <c r="G23" s="47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53"/>
      <c r="S23" s="53"/>
      <c r="T23" s="53"/>
      <c r="U23" s="53"/>
    </row>
    <row r="24" spans="1:21" customFormat="1">
      <c r="A24" s="45"/>
      <c r="B24" s="46"/>
      <c r="C24" s="46"/>
      <c r="D24" s="46"/>
      <c r="E24" s="46"/>
      <c r="F24" s="46"/>
      <c r="G24" s="47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53"/>
      <c r="S24" s="53"/>
      <c r="T24" s="53"/>
      <c r="U24" s="53"/>
    </row>
    <row r="25" spans="1:21" customFormat="1">
      <c r="A25" s="45"/>
      <c r="B25" s="46"/>
      <c r="C25" s="46"/>
      <c r="D25" s="46"/>
      <c r="E25" s="46"/>
      <c r="F25" s="46"/>
      <c r="G25" s="47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53"/>
      <c r="S25" s="53"/>
      <c r="T25" s="53"/>
      <c r="U25" s="53"/>
    </row>
    <row r="26" spans="1:21" customFormat="1">
      <c r="A26" s="45"/>
      <c r="B26" s="46"/>
      <c r="C26" s="46"/>
      <c r="D26" s="46"/>
      <c r="E26" s="46"/>
      <c r="F26" s="46"/>
      <c r="G26" s="47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53"/>
      <c r="S26" s="53"/>
      <c r="T26" s="53"/>
      <c r="U26" s="53"/>
    </row>
    <row r="27" spans="1:21" customFormat="1">
      <c r="A27" s="45"/>
      <c r="B27" s="46"/>
      <c r="C27" s="46"/>
      <c r="D27" s="46"/>
      <c r="E27" s="46"/>
      <c r="F27" s="46"/>
      <c r="G27" s="47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53"/>
      <c r="S27" s="53"/>
      <c r="T27" s="53"/>
      <c r="U27" s="53"/>
    </row>
    <row r="28" spans="1:21" customFormat="1">
      <c r="A28" s="45"/>
      <c r="B28" s="46"/>
      <c r="C28" s="46"/>
      <c r="D28" s="46"/>
      <c r="E28" s="46"/>
      <c r="F28" s="46"/>
      <c r="G28" s="47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53"/>
      <c r="S28" s="53"/>
      <c r="T28" s="53"/>
      <c r="U28" s="53"/>
    </row>
    <row r="29" spans="1:21" customFormat="1">
      <c r="A29" s="45"/>
      <c r="B29" s="46"/>
      <c r="C29" s="46"/>
      <c r="D29" s="46"/>
      <c r="E29" s="46"/>
      <c r="F29" s="46"/>
      <c r="G29" s="47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53"/>
      <c r="S29" s="53"/>
      <c r="T29" s="53"/>
      <c r="U29" s="53"/>
    </row>
    <row r="30" spans="1:21" customFormat="1">
      <c r="A30" s="45"/>
      <c r="B30" s="46"/>
      <c r="C30" s="46"/>
      <c r="D30" s="46"/>
      <c r="E30" s="46"/>
      <c r="F30" s="46"/>
      <c r="G30" s="47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53"/>
      <c r="S30" s="53"/>
      <c r="T30" s="53"/>
      <c r="U30" s="53"/>
    </row>
    <row r="31" spans="1:21" customFormat="1">
      <c r="A31" s="45"/>
      <c r="B31" s="46"/>
      <c r="C31" s="46"/>
      <c r="D31" s="46"/>
      <c r="E31" s="46"/>
      <c r="F31" s="46"/>
      <c r="G31" s="47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53"/>
      <c r="S31" s="53"/>
      <c r="T31" s="53"/>
      <c r="U31" s="53"/>
    </row>
    <row r="32" spans="1:21" customFormat="1">
      <c r="A32" s="45"/>
      <c r="B32" s="46"/>
      <c r="C32" s="46"/>
      <c r="D32" s="46"/>
      <c r="E32" s="46"/>
      <c r="F32" s="46"/>
      <c r="G32" s="47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53"/>
      <c r="S32" s="53"/>
      <c r="T32" s="53"/>
      <c r="U32" s="53"/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0</v>
      </c>
      <c r="C34" s="41">
        <f t="shared" si="0"/>
        <v>0</v>
      </c>
      <c r="D34" s="41">
        <f t="shared" si="0"/>
        <v>0</v>
      </c>
      <c r="E34" s="41">
        <f t="shared" si="0"/>
        <v>0</v>
      </c>
      <c r="F34" s="41">
        <f t="shared" si="0"/>
        <v>0</v>
      </c>
      <c r="G34" s="41">
        <f t="shared" si="0"/>
        <v>0</v>
      </c>
      <c r="H34" s="41">
        <f t="shared" si="0"/>
        <v>0</v>
      </c>
      <c r="I34" s="41">
        <f t="shared" si="0"/>
        <v>0</v>
      </c>
      <c r="J34" s="41">
        <f t="shared" si="0"/>
        <v>0</v>
      </c>
      <c r="K34" s="41">
        <f t="shared" si="0"/>
        <v>0</v>
      </c>
      <c r="L34" s="41">
        <f t="shared" si="0"/>
        <v>0</v>
      </c>
      <c r="M34" s="41">
        <f t="shared" si="0"/>
        <v>0</v>
      </c>
      <c r="N34" s="41">
        <f t="shared" si="0"/>
        <v>0</v>
      </c>
      <c r="O34" s="41">
        <f t="shared" si="0"/>
        <v>0</v>
      </c>
      <c r="P34" s="41">
        <f t="shared" si="0"/>
        <v>0</v>
      </c>
      <c r="Q34" s="41">
        <f t="shared" si="0"/>
        <v>0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0</v>
      </c>
      <c r="C35" s="33">
        <f t="shared" si="1"/>
        <v>0</v>
      </c>
      <c r="D35" s="33">
        <f t="shared" si="1"/>
        <v>0</v>
      </c>
      <c r="E35" s="33">
        <f t="shared" si="1"/>
        <v>0</v>
      </c>
      <c r="F35" s="33">
        <f t="shared" si="1"/>
        <v>0</v>
      </c>
      <c r="G35" s="33">
        <f t="shared" si="1"/>
        <v>0</v>
      </c>
      <c r="H35" s="33">
        <f t="shared" si="1"/>
        <v>0</v>
      </c>
      <c r="I35" s="33">
        <f t="shared" si="1"/>
        <v>0</v>
      </c>
      <c r="J35" s="33">
        <f t="shared" si="1"/>
        <v>0</v>
      </c>
      <c r="K35" s="33">
        <f t="shared" si="1"/>
        <v>0</v>
      </c>
      <c r="L35" s="33">
        <f t="shared" si="1"/>
        <v>0</v>
      </c>
      <c r="M35" s="33">
        <f t="shared" si="1"/>
        <v>0</v>
      </c>
      <c r="N35" s="33">
        <f t="shared" si="1"/>
        <v>0</v>
      </c>
      <c r="O35" s="33">
        <f t="shared" si="1"/>
        <v>0</v>
      </c>
      <c r="P35" s="33">
        <f t="shared" si="1"/>
        <v>0</v>
      </c>
      <c r="Q35" s="33">
        <f t="shared" si="1"/>
        <v>0</v>
      </c>
      <c r="R35" s="33"/>
      <c r="S35" s="33"/>
      <c r="T35" s="33"/>
      <c r="U35" s="33"/>
    </row>
    <row r="36" spans="1:21" s="1" customFormat="1">
      <c r="A36" s="32" t="s">
        <v>50</v>
      </c>
      <c r="B36" s="41" t="e">
        <f t="shared" ref="B36:Q36" si="2">AVERAGE(B9:B32)</f>
        <v>#DIV/0!</v>
      </c>
      <c r="C36" s="41" t="e">
        <f t="shared" si="2"/>
        <v>#DIV/0!</v>
      </c>
      <c r="D36" s="41" t="e">
        <f t="shared" si="2"/>
        <v>#DIV/0!</v>
      </c>
      <c r="E36" s="41" t="e">
        <f t="shared" si="2"/>
        <v>#DIV/0!</v>
      </c>
      <c r="F36" s="41" t="e">
        <f t="shared" si="2"/>
        <v>#DIV/0!</v>
      </c>
      <c r="G36" s="41" t="e">
        <f t="shared" si="2"/>
        <v>#DIV/0!</v>
      </c>
      <c r="H36" s="41" t="e">
        <f t="shared" si="2"/>
        <v>#DIV/0!</v>
      </c>
      <c r="I36" s="41" t="e">
        <f t="shared" si="2"/>
        <v>#DIV/0!</v>
      </c>
      <c r="J36" s="41" t="e">
        <f t="shared" si="2"/>
        <v>#DIV/0!</v>
      </c>
      <c r="K36" s="41" t="e">
        <f t="shared" si="2"/>
        <v>#DIV/0!</v>
      </c>
      <c r="L36" s="41" t="e">
        <f t="shared" si="2"/>
        <v>#DIV/0!</v>
      </c>
      <c r="M36" s="41" t="e">
        <f t="shared" si="2"/>
        <v>#DIV/0!</v>
      </c>
      <c r="N36" s="41" t="e">
        <f t="shared" si="2"/>
        <v>#DIV/0!</v>
      </c>
      <c r="O36" s="41" t="e">
        <f t="shared" si="2"/>
        <v>#DIV/0!</v>
      </c>
      <c r="P36" s="41" t="e">
        <f t="shared" si="2"/>
        <v>#DIV/0!</v>
      </c>
      <c r="Q36" s="41" t="e">
        <f t="shared" si="2"/>
        <v>#DIV/0!</v>
      </c>
      <c r="R36" s="41"/>
      <c r="S36" s="41"/>
      <c r="T36" s="41"/>
      <c r="U36" s="41"/>
    </row>
    <row r="37" spans="1:21" s="1" customFormat="1">
      <c r="A37" s="32" t="s">
        <v>51</v>
      </c>
      <c r="B37" s="41" t="e">
        <f>STDEV(B9:B32)</f>
        <v>#DIV/0!</v>
      </c>
      <c r="C37" s="41" t="e">
        <f t="shared" ref="C37:Q37" si="3">STDEV(C9:C32)</f>
        <v>#DIV/0!</v>
      </c>
      <c r="D37" s="41" t="e">
        <f t="shared" si="3"/>
        <v>#DIV/0!</v>
      </c>
      <c r="E37" s="41" t="e">
        <f t="shared" si="3"/>
        <v>#DIV/0!</v>
      </c>
      <c r="F37" s="41" t="e">
        <f t="shared" si="3"/>
        <v>#DIV/0!</v>
      </c>
      <c r="G37" s="41" t="e">
        <f t="shared" si="3"/>
        <v>#DIV/0!</v>
      </c>
      <c r="H37" s="41" t="e">
        <f t="shared" si="3"/>
        <v>#DIV/0!</v>
      </c>
      <c r="I37" s="41" t="e">
        <f t="shared" si="3"/>
        <v>#DIV/0!</v>
      </c>
      <c r="J37" s="41" t="e">
        <f t="shared" si="3"/>
        <v>#DIV/0!</v>
      </c>
      <c r="K37" s="41" t="e">
        <f t="shared" si="3"/>
        <v>#DIV/0!</v>
      </c>
      <c r="L37" s="41" t="e">
        <f t="shared" si="3"/>
        <v>#DIV/0!</v>
      </c>
      <c r="M37" s="41" t="e">
        <f t="shared" si="3"/>
        <v>#DIV/0!</v>
      </c>
      <c r="N37" s="41" t="e">
        <f t="shared" si="3"/>
        <v>#DIV/0!</v>
      </c>
      <c r="O37" s="41" t="e">
        <f t="shared" si="3"/>
        <v>#DIV/0!</v>
      </c>
      <c r="P37" s="41" t="e">
        <f t="shared" si="3"/>
        <v>#DIV/0!</v>
      </c>
      <c r="Q37" s="41" t="e">
        <f t="shared" si="3"/>
        <v>#DIV/0!</v>
      </c>
      <c r="R37" s="41"/>
      <c r="S37" s="41"/>
      <c r="T37" s="41"/>
      <c r="U37" s="41"/>
    </row>
    <row r="38" spans="1:21" s="1" customFormat="1">
      <c r="A38" s="48" t="s">
        <v>52</v>
      </c>
      <c r="B38" s="49">
        <f t="shared" ref="B38:Q38" si="4">COUNT(B9:B32)</f>
        <v>0</v>
      </c>
      <c r="C38" s="49">
        <f t="shared" si="4"/>
        <v>0</v>
      </c>
      <c r="D38" s="49">
        <f t="shared" si="4"/>
        <v>0</v>
      </c>
      <c r="E38" s="49">
        <f t="shared" si="4"/>
        <v>0</v>
      </c>
      <c r="F38" s="49">
        <f t="shared" si="4"/>
        <v>0</v>
      </c>
      <c r="G38" s="49">
        <f t="shared" si="4"/>
        <v>0</v>
      </c>
      <c r="H38" s="49">
        <f t="shared" si="4"/>
        <v>0</v>
      </c>
      <c r="I38" s="49">
        <f t="shared" si="4"/>
        <v>0</v>
      </c>
      <c r="J38" s="49">
        <f t="shared" si="4"/>
        <v>0</v>
      </c>
      <c r="K38" s="49">
        <f t="shared" si="4"/>
        <v>0</v>
      </c>
      <c r="L38" s="49">
        <f t="shared" si="4"/>
        <v>0</v>
      </c>
      <c r="M38" s="49">
        <f t="shared" si="4"/>
        <v>0</v>
      </c>
      <c r="N38" s="49">
        <f t="shared" si="4"/>
        <v>0</v>
      </c>
      <c r="O38" s="49">
        <f t="shared" si="4"/>
        <v>0</v>
      </c>
      <c r="P38" s="49">
        <f t="shared" si="4"/>
        <v>0</v>
      </c>
      <c r="Q38" s="49">
        <f t="shared" si="4"/>
        <v>0</v>
      </c>
      <c r="R38" s="49"/>
      <c r="S38" s="49"/>
      <c r="T38" s="49"/>
      <c r="U38" s="49"/>
    </row>
    <row r="39" spans="1:21" s="1" customFormat="1">
      <c r="A39" s="32" t="s">
        <v>53</v>
      </c>
      <c r="B39" s="33" t="str">
        <f>IF(B38&gt;=22,"&gt;90%",IF(B38&lt;=22,"&lt;90%"))</f>
        <v>&lt;90%</v>
      </c>
      <c r="C39" s="33" t="str">
        <f t="shared" ref="C39:Q39" si="5">IF(C38&gt;=22,"&gt;90%",IF(C38&lt;=22,"&lt;90%"))</f>
        <v>&lt;90%</v>
      </c>
      <c r="D39" s="33" t="str">
        <f t="shared" si="5"/>
        <v>&lt;90%</v>
      </c>
      <c r="E39" s="33" t="str">
        <f t="shared" si="5"/>
        <v>&lt;90%</v>
      </c>
      <c r="F39" s="33" t="str">
        <f t="shared" si="5"/>
        <v>&lt;90%</v>
      </c>
      <c r="G39" s="33" t="str">
        <f t="shared" si="5"/>
        <v>&lt;90%</v>
      </c>
      <c r="H39" s="33" t="str">
        <f t="shared" si="5"/>
        <v>&lt;90%</v>
      </c>
      <c r="I39" s="33" t="str">
        <f t="shared" si="5"/>
        <v>&lt;90%</v>
      </c>
      <c r="J39" s="33" t="str">
        <f t="shared" si="5"/>
        <v>&lt;90%</v>
      </c>
      <c r="K39" s="33" t="str">
        <f t="shared" si="5"/>
        <v>&lt;90%</v>
      </c>
      <c r="L39" s="33" t="str">
        <f t="shared" si="5"/>
        <v>&lt;90%</v>
      </c>
      <c r="M39" s="33" t="str">
        <f t="shared" si="5"/>
        <v>&lt;90%</v>
      </c>
      <c r="N39" s="33" t="str">
        <f t="shared" si="5"/>
        <v>&lt;90%</v>
      </c>
      <c r="O39" s="33" t="str">
        <f t="shared" si="5"/>
        <v>&lt;90%</v>
      </c>
      <c r="P39" s="33" t="str">
        <f t="shared" si="5"/>
        <v>&lt;90%</v>
      </c>
      <c r="Q39" s="33" t="str">
        <f t="shared" si="5"/>
        <v>&lt;90%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LESS</v>
      </c>
      <c r="C40" s="33" t="str">
        <f t="shared" ref="C40:Q40" si="6">IF(C38&gt;=22,"OK",IF(C38&lt;=22,"LESS"))</f>
        <v>LESS</v>
      </c>
      <c r="D40" s="33" t="str">
        <f t="shared" si="6"/>
        <v>LESS</v>
      </c>
      <c r="E40" s="33" t="str">
        <f t="shared" si="6"/>
        <v>LESS</v>
      </c>
      <c r="F40" s="33" t="str">
        <f t="shared" si="6"/>
        <v>LESS</v>
      </c>
      <c r="G40" s="33" t="str">
        <f t="shared" si="6"/>
        <v>LESS</v>
      </c>
      <c r="H40" s="33" t="str">
        <f t="shared" si="6"/>
        <v>LESS</v>
      </c>
      <c r="I40" s="33" t="str">
        <f t="shared" si="6"/>
        <v>LESS</v>
      </c>
      <c r="J40" s="33" t="str">
        <f t="shared" si="6"/>
        <v>LESS</v>
      </c>
      <c r="K40" s="33" t="str">
        <f t="shared" si="6"/>
        <v>LESS</v>
      </c>
      <c r="L40" s="33" t="str">
        <f t="shared" si="6"/>
        <v>LESS</v>
      </c>
      <c r="M40" s="33" t="str">
        <f t="shared" si="6"/>
        <v>LESS</v>
      </c>
      <c r="N40" s="33" t="str">
        <f t="shared" si="6"/>
        <v>LESS</v>
      </c>
      <c r="O40" s="33" t="str">
        <f t="shared" si="6"/>
        <v>LESS</v>
      </c>
      <c r="P40" s="33" t="str">
        <f t="shared" si="6"/>
        <v>LESS</v>
      </c>
      <c r="Q40" s="33" t="str">
        <f t="shared" si="6"/>
        <v>LESS</v>
      </c>
      <c r="R40" s="33"/>
      <c r="S40" s="33"/>
      <c r="T40" s="33"/>
      <c r="U40" s="33"/>
    </row>
    <row r="41" spans="1:21" s="1" customFormat="1">
      <c r="A41" s="22"/>
      <c r="L41" s="22"/>
      <c r="N41" s="52"/>
      <c r="O41" s="52"/>
      <c r="P41" s="52"/>
      <c r="Q41" s="52"/>
      <c r="R41" s="52"/>
      <c r="S41" s="52"/>
      <c r="T41" s="52"/>
      <c r="U41" s="52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50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>
  <dimension ref="A1:X55"/>
  <sheetViews>
    <sheetView zoomScale="85" zoomScaleNormal="85" workbookViewId="0">
      <pane xSplit="1" ySplit="8" topLeftCell="B15" activePane="bottomRight" state="frozen"/>
      <selection activeCell="G19" sqref="G19"/>
      <selection pane="topRight" activeCell="G19" sqref="G19"/>
      <selection pane="bottomLeft" activeCell="G19" sqref="G19"/>
      <selection pane="bottomRight" activeCell="Q26" sqref="Q26"/>
    </sheetView>
  </sheetViews>
  <sheetFormatPr defaultColWidth="8.85546875" defaultRowHeight="15"/>
  <cols>
    <col min="1" max="1" width="17.42578125" customWidth="1"/>
    <col min="2" max="2" width="14.42578125" customWidth="1"/>
    <col min="3" max="3" width="11.7109375" customWidth="1"/>
    <col min="4" max="4" width="14.42578125" customWidth="1"/>
    <col min="5" max="5" width="10.7109375" customWidth="1"/>
    <col min="7" max="7" width="11.28515625" customWidth="1"/>
    <col min="8" max="8" width="12.42578125" customWidth="1"/>
    <col min="9" max="9" width="13" customWidth="1"/>
    <col min="11" max="11" width="9.7109375" customWidth="1"/>
    <col min="12" max="12" width="11" customWidth="1"/>
    <col min="13" max="13" width="10" customWidth="1"/>
    <col min="17" max="17" width="9.7109375" customWidth="1"/>
    <col min="19" max="19" width="12.140625" customWidth="1"/>
    <col min="20" max="20" width="12.7109375" customWidth="1"/>
  </cols>
  <sheetData>
    <row r="1" spans="1:21" s="1" customFormat="1" ht="27.75" customHeight="1">
      <c r="A1" s="3" t="s">
        <v>0</v>
      </c>
      <c r="B1" s="4" t="s">
        <v>58</v>
      </c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45444.041666666664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59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14" t="s">
        <v>24</v>
      </c>
      <c r="D7" s="14" t="s">
        <v>25</v>
      </c>
      <c r="E7" s="14" t="s">
        <v>26</v>
      </c>
      <c r="F7" s="14" t="s">
        <v>27</v>
      </c>
      <c r="G7" s="14" t="s">
        <v>28</v>
      </c>
      <c r="H7" s="14" t="s">
        <v>29</v>
      </c>
      <c r="I7" s="14" t="s">
        <v>30</v>
      </c>
      <c r="J7" s="14" t="s">
        <v>31</v>
      </c>
      <c r="K7" s="14" t="s">
        <v>32</v>
      </c>
      <c r="L7" s="14" t="s">
        <v>33</v>
      </c>
      <c r="M7" s="14" t="s">
        <v>34</v>
      </c>
      <c r="N7" s="14" t="s">
        <v>35</v>
      </c>
      <c r="O7" s="14" t="s">
        <v>36</v>
      </c>
      <c r="P7" s="14" t="s">
        <v>37</v>
      </c>
      <c r="Q7" s="1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>
      <c r="A9" s="16">
        <f>'01'!$B$2</f>
        <v>45444.041666666664</v>
      </c>
      <c r="B9" s="17">
        <f>'01'!B36</f>
        <v>7.3604166666666684</v>
      </c>
      <c r="C9" s="17">
        <f>'01'!C36</f>
        <v>6.1266666666666678</v>
      </c>
      <c r="D9" s="17">
        <f>'01'!D36</f>
        <v>14.099166666666664</v>
      </c>
      <c r="E9" s="17">
        <f>'01'!E36</f>
        <v>27.771666666666665</v>
      </c>
      <c r="F9" s="17">
        <f>'01'!F36</f>
        <v>26.200833333333335</v>
      </c>
      <c r="G9" s="17">
        <f>'01'!G36</f>
        <v>102.51625</v>
      </c>
      <c r="H9" s="17">
        <f>'01'!H36</f>
        <v>33.316250000000011</v>
      </c>
      <c r="I9" s="17">
        <f>'01'!I36</f>
        <v>9.0433333333333348</v>
      </c>
      <c r="J9" s="17">
        <f>'01'!J36</f>
        <v>0.86041666666666672</v>
      </c>
      <c r="K9" s="17">
        <f>'01'!K36</f>
        <v>255.43666666666661</v>
      </c>
      <c r="L9" s="17">
        <f>'01'!L36</f>
        <v>38.793333333333337</v>
      </c>
      <c r="M9" s="17">
        <f>'01'!M36</f>
        <v>31.039583333333329</v>
      </c>
      <c r="N9" s="17">
        <f>'01'!N36</f>
        <v>177.77083333333337</v>
      </c>
      <c r="O9" s="17">
        <f>'01'!O36</f>
        <v>0</v>
      </c>
      <c r="P9" s="17">
        <f>'01'!P36</f>
        <v>0.74833333333333341</v>
      </c>
      <c r="Q9" s="17">
        <f>'01'!Q36</f>
        <v>4.9908333333333337</v>
      </c>
      <c r="R9" s="34"/>
      <c r="S9" s="34"/>
      <c r="T9" s="34"/>
      <c r="U9" s="35"/>
    </row>
    <row r="10" spans="1:21" s="2" customFormat="1">
      <c r="A10" s="16">
        <f>'02'!$B$2</f>
        <v>45445.041666666664</v>
      </c>
      <c r="B10" s="17">
        <f>'02'!B36</f>
        <v>7.1000000000000005</v>
      </c>
      <c r="C10" s="17">
        <f>'02'!C36</f>
        <v>6.0879166666666658</v>
      </c>
      <c r="D10" s="17">
        <f>'02'!D36</f>
        <v>13.873750000000001</v>
      </c>
      <c r="E10" s="17">
        <f>'02'!E36</f>
        <v>13.19791666666667</v>
      </c>
      <c r="F10" s="17">
        <f>'02'!F36</f>
        <v>28.911250000000006</v>
      </c>
      <c r="G10" s="17">
        <f>'02'!G36</f>
        <v>66.165416666666673</v>
      </c>
      <c r="H10" s="17">
        <f>'02'!H36</f>
        <v>22.780416666666667</v>
      </c>
      <c r="I10" s="17">
        <f>'02'!I36</f>
        <v>5.1837499999999999</v>
      </c>
      <c r="J10" s="17">
        <f>'02'!J36</f>
        <v>0.89708333333333334</v>
      </c>
      <c r="K10" s="17">
        <f>'02'!K36</f>
        <v>211.04375000000005</v>
      </c>
      <c r="L10" s="17">
        <f>'02'!L36</f>
        <v>36.149583333333332</v>
      </c>
      <c r="M10" s="17">
        <f>'02'!M36</f>
        <v>49.192499999999988</v>
      </c>
      <c r="N10" s="17">
        <f>'02'!N36</f>
        <v>163.59583333333333</v>
      </c>
      <c r="O10" s="17">
        <f>'02'!O36</f>
        <v>0</v>
      </c>
      <c r="P10" s="17">
        <f>'02'!P36</f>
        <v>0.43083333333333335</v>
      </c>
      <c r="Q10" s="17">
        <f>'02'!Q36</f>
        <v>5.0095833333333326</v>
      </c>
      <c r="R10" s="36"/>
      <c r="S10" s="36"/>
      <c r="T10" s="36"/>
      <c r="U10" s="36"/>
    </row>
    <row r="11" spans="1:21" s="2" customFormat="1">
      <c r="A11" s="16">
        <f>'03'!$B$2</f>
        <v>45446.041666666664</v>
      </c>
      <c r="B11" s="17">
        <f>'03'!B36</f>
        <v>7.2283333333333317</v>
      </c>
      <c r="C11" s="17">
        <f>'03'!C36</f>
        <v>6.0891666666666664</v>
      </c>
      <c r="D11" s="17">
        <f>'03'!D36</f>
        <v>13.97916666666667</v>
      </c>
      <c r="E11" s="17">
        <f>'03'!E36</f>
        <v>15.161250000000001</v>
      </c>
      <c r="F11" s="17">
        <f>'03'!F36</f>
        <v>22.96541666666667</v>
      </c>
      <c r="G11" s="17">
        <f>'03'!G36</f>
        <v>42.694166666666668</v>
      </c>
      <c r="H11" s="17">
        <f>'03'!H36</f>
        <v>14.845416666666667</v>
      </c>
      <c r="I11" s="17">
        <f>'03'!I36</f>
        <v>4.7508333333333326</v>
      </c>
      <c r="J11" s="17">
        <f>'03'!J36</f>
        <v>1.0391666666666666</v>
      </c>
      <c r="K11" s="17">
        <f>'03'!K36</f>
        <v>265.8220833333333</v>
      </c>
      <c r="L11" s="17">
        <f>'03'!L36</f>
        <v>34.554583333333333</v>
      </c>
      <c r="M11" s="17">
        <f>'03'!M36</f>
        <v>49.252083333333331</v>
      </c>
      <c r="N11" s="17">
        <f>'03'!N36</f>
        <v>172.20000000000002</v>
      </c>
      <c r="O11" s="17">
        <f>'03'!O36</f>
        <v>0</v>
      </c>
      <c r="P11" s="17">
        <f>'03'!P36</f>
        <v>0.45</v>
      </c>
      <c r="Q11" s="17">
        <f>'03'!Q36</f>
        <v>5.01</v>
      </c>
      <c r="R11" s="36"/>
      <c r="S11" s="36"/>
      <c r="T11" s="36"/>
      <c r="U11" s="36"/>
    </row>
    <row r="12" spans="1:21" s="2" customFormat="1">
      <c r="A12" s="16">
        <f>'04'!$B$2</f>
        <v>45447.041666666664</v>
      </c>
      <c r="B12" s="17">
        <f>'04'!B36</f>
        <v>7.3124999999999991</v>
      </c>
      <c r="C12" s="17">
        <f>'04'!C36</f>
        <v>6.1029166666666663</v>
      </c>
      <c r="D12" s="17">
        <f>'04'!D36</f>
        <v>14.050416666666665</v>
      </c>
      <c r="E12" s="17">
        <f>'04'!E36</f>
        <v>12.668750000000003</v>
      </c>
      <c r="F12" s="17">
        <f>'04'!F36</f>
        <v>28.746666666666666</v>
      </c>
      <c r="G12" s="17">
        <f>'04'!G36</f>
        <v>44.601666666666667</v>
      </c>
      <c r="H12" s="17">
        <f>'04'!H36</f>
        <v>16.924166666666668</v>
      </c>
      <c r="I12" s="17">
        <f>'04'!I36</f>
        <v>4.8204166666666675</v>
      </c>
      <c r="J12" s="17">
        <f>'04'!J36</f>
        <v>1.1512499999999999</v>
      </c>
      <c r="K12" s="17">
        <f>'04'!K36</f>
        <v>256.30666666666667</v>
      </c>
      <c r="L12" s="17">
        <f>'04'!L36</f>
        <v>35.061666666666667</v>
      </c>
      <c r="M12" s="17">
        <f>'04'!M36</f>
        <v>48.5</v>
      </c>
      <c r="N12" s="17">
        <f>'04'!N36</f>
        <v>164.01666666666668</v>
      </c>
      <c r="O12" s="17">
        <f>'04'!O36</f>
        <v>0</v>
      </c>
      <c r="P12" s="17">
        <f>'04'!P36</f>
        <v>0.52541666666666675</v>
      </c>
      <c r="Q12" s="17">
        <f>'04'!Q36</f>
        <v>4.9636842105263153</v>
      </c>
      <c r="R12" s="36"/>
      <c r="S12" s="36"/>
      <c r="T12" s="36"/>
      <c r="U12" s="36"/>
    </row>
    <row r="13" spans="1:21" s="2" customFormat="1">
      <c r="A13" s="16">
        <f>'05'!$B$2</f>
        <v>45448.041666666664</v>
      </c>
      <c r="B13" s="17">
        <f>'05'!B36</f>
        <v>6.583846153846153</v>
      </c>
      <c r="C13" s="17">
        <f>'05'!C36</f>
        <v>6.0576923076923084</v>
      </c>
      <c r="D13" s="17">
        <f>'05'!D36</f>
        <v>13.450000000000001</v>
      </c>
      <c r="E13" s="17">
        <f>'05'!E36</f>
        <v>24.788461538461544</v>
      </c>
      <c r="F13" s="17">
        <f>'05'!F36</f>
        <v>34.97538461538462</v>
      </c>
      <c r="G13" s="17">
        <f>'05'!G36</f>
        <v>44.321538461538466</v>
      </c>
      <c r="H13" s="17">
        <f>'05'!H36</f>
        <v>14.49</v>
      </c>
      <c r="I13" s="17">
        <f>'05'!I36</f>
        <v>4.5323076923076924</v>
      </c>
      <c r="J13" s="17">
        <f>'05'!J36</f>
        <v>0.96461538461538487</v>
      </c>
      <c r="K13" s="17">
        <f>'05'!K36</f>
        <v>158.55230769230772</v>
      </c>
      <c r="L13" s="17">
        <f>'05'!L36</f>
        <v>34.386153846153846</v>
      </c>
      <c r="M13" s="17">
        <f>'05'!M36</f>
        <v>46.627692307692307</v>
      </c>
      <c r="N13" s="17">
        <f>'05'!N36</f>
        <v>114.78461538461539</v>
      </c>
      <c r="O13" s="17">
        <f>'05'!O36</f>
        <v>1.5384615384615385E-2</v>
      </c>
      <c r="P13" s="17">
        <f>'05'!P36</f>
        <v>0.47076923076923083</v>
      </c>
      <c r="Q13" s="17">
        <f>'05'!Q36</f>
        <v>7.1916666666666673</v>
      </c>
      <c r="R13" s="36"/>
      <c r="S13" s="36"/>
      <c r="T13" s="36"/>
      <c r="U13" s="36"/>
    </row>
    <row r="14" spans="1:21" s="2" customFormat="1">
      <c r="A14" s="16">
        <f>'06'!$B$2</f>
        <v>45449.041666666664</v>
      </c>
      <c r="B14" s="18">
        <f>'06'!B36</f>
        <v>7.1924999999999999</v>
      </c>
      <c r="C14" s="18">
        <f>'06'!C36</f>
        <v>6.0916666666666677</v>
      </c>
      <c r="D14" s="18">
        <f>'06'!D36</f>
        <v>13.950000000000001</v>
      </c>
      <c r="E14" s="18">
        <f>'06'!E36</f>
        <v>13.761666666666665</v>
      </c>
      <c r="F14" s="18">
        <f>'06'!F36</f>
        <v>29.056666666666668</v>
      </c>
      <c r="G14" s="18">
        <f>'06'!G36</f>
        <v>37.978750000000012</v>
      </c>
      <c r="H14" s="18">
        <f>'06'!H36</f>
        <v>15.984166666666667</v>
      </c>
      <c r="I14" s="18">
        <f>'06'!I36</f>
        <v>5.4020833333333327</v>
      </c>
      <c r="J14" s="18">
        <f>'06'!J36</f>
        <v>0.76416666666666677</v>
      </c>
      <c r="K14" s="18">
        <f>'06'!K36</f>
        <v>258.62875000000003</v>
      </c>
      <c r="L14" s="18">
        <f>'06'!L36</f>
        <v>34.778750000000002</v>
      </c>
      <c r="M14" s="18">
        <f>'06'!M36</f>
        <v>50.072083333333332</v>
      </c>
      <c r="N14" s="18">
        <f>'06'!N36</f>
        <v>185.67499999999995</v>
      </c>
      <c r="O14" s="18">
        <f>'06'!O36</f>
        <v>0</v>
      </c>
      <c r="P14" s="18">
        <f>'06'!P36</f>
        <v>0.6120833333333332</v>
      </c>
      <c r="Q14" s="18">
        <f>'06'!Q36</f>
        <v>4.815833333333333</v>
      </c>
      <c r="R14" s="36"/>
      <c r="S14" s="36"/>
      <c r="T14" s="36"/>
      <c r="U14" s="36"/>
    </row>
    <row r="15" spans="1:21" s="2" customFormat="1">
      <c r="A15" s="16">
        <f>'07'!$B$2</f>
        <v>45450.041666666664</v>
      </c>
      <c r="B15" s="18">
        <f>'07'!B36</f>
        <v>7.2087499999999984</v>
      </c>
      <c r="C15" s="18">
        <f>'07'!C36</f>
        <v>6.092083333333334</v>
      </c>
      <c r="D15" s="18">
        <f>'07'!D36</f>
        <v>13.964166666666666</v>
      </c>
      <c r="E15" s="18">
        <f>'07'!E36</f>
        <v>13.353333333333333</v>
      </c>
      <c r="F15" s="18">
        <f>'07'!F36</f>
        <v>24.135833333333338</v>
      </c>
      <c r="G15" s="18">
        <f>'07'!G36</f>
        <v>36.012916666666669</v>
      </c>
      <c r="H15" s="18">
        <f>'07'!H36</f>
        <v>15.977500000000004</v>
      </c>
      <c r="I15" s="18">
        <f>'07'!I36</f>
        <v>5.0983333333333336</v>
      </c>
      <c r="J15" s="18">
        <f>'07'!J36</f>
        <v>0.92708333333333337</v>
      </c>
      <c r="K15" s="18">
        <f>'07'!K36</f>
        <v>274.83791666666667</v>
      </c>
      <c r="L15" s="18">
        <f>'07'!L36</f>
        <v>34.032916666666658</v>
      </c>
      <c r="M15" s="18">
        <f>'07'!M36</f>
        <v>52.976250000000014</v>
      </c>
      <c r="N15" s="18">
        <f>'07'!N36</f>
        <v>186.44166666666669</v>
      </c>
      <c r="O15" s="18">
        <f>'07'!O36</f>
        <v>0</v>
      </c>
      <c r="P15" s="18">
        <f>'07'!P36</f>
        <v>0.73916666666666664</v>
      </c>
      <c r="Q15" s="18">
        <f>'07'!Q36</f>
        <v>4.8158333333333321</v>
      </c>
      <c r="R15" s="36"/>
      <c r="S15" s="36"/>
      <c r="T15" s="36"/>
      <c r="U15" s="36"/>
    </row>
    <row r="16" spans="1:21" s="2" customFormat="1">
      <c r="A16" s="16">
        <f>'08'!$B$2</f>
        <v>45451.041666666664</v>
      </c>
      <c r="B16" s="18">
        <f>'08'!B36</f>
        <v>7.2270833333333337</v>
      </c>
      <c r="C16" s="18">
        <f>'08'!C36</f>
        <v>5.2316666666666665</v>
      </c>
      <c r="D16" s="18">
        <f>'08'!D36</f>
        <v>13.284583333333332</v>
      </c>
      <c r="E16" s="18">
        <f>'08'!E36</f>
        <v>13.9625</v>
      </c>
      <c r="F16" s="18">
        <f>'08'!F36</f>
        <v>31.927916666666675</v>
      </c>
      <c r="G16" s="18">
        <f>'08'!G36</f>
        <v>33.183750000000003</v>
      </c>
      <c r="H16" s="18">
        <f>'08'!H36</f>
        <v>12.668333333333335</v>
      </c>
      <c r="I16" s="18">
        <f>'08'!I36</f>
        <v>9.4691666666666645</v>
      </c>
      <c r="J16" s="18">
        <f>'08'!J36</f>
        <v>0.97541666666666638</v>
      </c>
      <c r="K16" s="18">
        <f>'08'!K36</f>
        <v>246.67833333333337</v>
      </c>
      <c r="L16" s="18">
        <f>'08'!L36</f>
        <v>33.527499999999996</v>
      </c>
      <c r="M16" s="18">
        <f>'08'!M36</f>
        <v>54.757083333333327</v>
      </c>
      <c r="N16" s="18">
        <f>'08'!N36</f>
        <v>173.53749999999994</v>
      </c>
      <c r="O16" s="18">
        <f>'08'!O36</f>
        <v>0</v>
      </c>
      <c r="P16" s="18">
        <f>'08'!P36</f>
        <v>0.32124999999999998</v>
      </c>
      <c r="Q16" s="18">
        <f>'08'!Q36</f>
        <v>5.7969565217391308</v>
      </c>
      <c r="R16" s="36"/>
      <c r="S16" s="36"/>
      <c r="T16" s="36"/>
      <c r="U16" s="36"/>
    </row>
    <row r="17" spans="1:24" s="2" customFormat="1">
      <c r="A17" s="16">
        <f>'09'!$B$2</f>
        <v>45452.041666666664</v>
      </c>
      <c r="B17" s="18">
        <f>'09'!B36</f>
        <v>9.117647058823529</v>
      </c>
      <c r="C17" s="18">
        <f>'09'!C36</f>
        <v>4.0852941176470594</v>
      </c>
      <c r="D17" s="18">
        <f>'09'!D36</f>
        <v>13.888823529411766</v>
      </c>
      <c r="E17" s="18">
        <f>'09'!E36</f>
        <v>13.707647058823529</v>
      </c>
      <c r="F17" s="18">
        <f>'09'!F36</f>
        <v>33.794117647058826</v>
      </c>
      <c r="G17" s="18">
        <f>'09'!G36</f>
        <v>29.34470588235294</v>
      </c>
      <c r="H17" s="18">
        <f>'09'!H36</f>
        <v>13.281764705882354</v>
      </c>
      <c r="I17" s="18">
        <f>'09'!I36</f>
        <v>6.408235294117647</v>
      </c>
      <c r="J17" s="18">
        <f>'09'!J36</f>
        <v>0.90941176470588236</v>
      </c>
      <c r="K17" s="18">
        <f>'09'!K36</f>
        <v>291.62529411764706</v>
      </c>
      <c r="L17" s="18">
        <f>'09'!L36</f>
        <v>32.842941176470589</v>
      </c>
      <c r="M17" s="18">
        <f>'09'!M36</f>
        <v>63.318823529411766</v>
      </c>
      <c r="N17" s="18">
        <f>'09'!N36</f>
        <v>227.76470588235296</v>
      </c>
      <c r="O17" s="18">
        <f>'09'!O36</f>
        <v>1.0941176470588236</v>
      </c>
      <c r="P17" s="18">
        <f>'09'!P36</f>
        <v>0.20176470588235293</v>
      </c>
      <c r="Q17" s="18">
        <f>'09'!Q36</f>
        <v>4.6782352941176484</v>
      </c>
      <c r="R17" s="36"/>
      <c r="S17" s="36"/>
      <c r="T17" s="36"/>
      <c r="U17" s="36"/>
      <c r="V17" s="37"/>
      <c r="W17" s="37"/>
      <c r="X17" s="37"/>
    </row>
    <row r="18" spans="1:24" s="2" customFormat="1">
      <c r="A18" s="16">
        <f>'10'!$B$2</f>
        <v>45453.041666666664</v>
      </c>
      <c r="B18" s="18">
        <f>'10'!B36</f>
        <v>8.5791666666666657</v>
      </c>
      <c r="C18" s="18">
        <f>'10'!C36</f>
        <v>4.0483333333333329</v>
      </c>
      <c r="D18" s="18">
        <f>'10'!D36</f>
        <v>13.434166666666668</v>
      </c>
      <c r="E18" s="18">
        <f>'10'!E36</f>
        <v>11.5975</v>
      </c>
      <c r="F18" s="18">
        <f>'10'!F36</f>
        <v>43.511666666666677</v>
      </c>
      <c r="G18" s="18">
        <f>'10'!G36</f>
        <v>44.889999999999993</v>
      </c>
      <c r="H18" s="18">
        <f>'10'!H36</f>
        <v>16.071538461538463</v>
      </c>
      <c r="I18" s="18">
        <f>'10'!I36</f>
        <v>5.0500000000000007</v>
      </c>
      <c r="J18" s="18">
        <f>'10'!J36</f>
        <v>0.5576923076923076</v>
      </c>
      <c r="K18" s="18">
        <f>'10'!K36</f>
        <v>258.38230769230762</v>
      </c>
      <c r="L18" s="18">
        <f>'10'!L36</f>
        <v>37.042307692307695</v>
      </c>
      <c r="M18" s="18">
        <f>'10'!M36</f>
        <v>45.609230769230777</v>
      </c>
      <c r="N18" s="18">
        <f>'10'!N36</f>
        <v>311.09230769230771</v>
      </c>
      <c r="O18" s="18">
        <f>'10'!O36</f>
        <v>0</v>
      </c>
      <c r="P18" s="18">
        <f>'10'!P36</f>
        <v>0.47846153846153838</v>
      </c>
      <c r="Q18" s="18">
        <f>'10'!Q36</f>
        <v>4.1408333333333331</v>
      </c>
      <c r="R18" s="36"/>
      <c r="S18" s="36"/>
      <c r="T18" s="36"/>
      <c r="U18" s="36"/>
    </row>
    <row r="19" spans="1:24" s="2" customFormat="1">
      <c r="A19" s="16">
        <f>'11'!$B$2</f>
        <v>45454.041666666664</v>
      </c>
      <c r="B19" s="18">
        <f>'11'!B36</f>
        <v>9.4316666666666666</v>
      </c>
      <c r="C19" s="18">
        <f>'11'!C36</f>
        <v>4.1116666666666655</v>
      </c>
      <c r="D19" s="18">
        <f>'11'!D36</f>
        <v>14.154166666666663</v>
      </c>
      <c r="E19" s="18">
        <f>'11'!E36</f>
        <v>16.518750000000001</v>
      </c>
      <c r="F19" s="18">
        <f>'11'!F36</f>
        <v>24.814999999999998</v>
      </c>
      <c r="G19" s="18">
        <f>'11'!G36</f>
        <v>66.724166666666676</v>
      </c>
      <c r="H19" s="18">
        <f>'11'!H36</f>
        <v>23.220416666666665</v>
      </c>
      <c r="I19" s="18">
        <f>'11'!I36</f>
        <v>6.4129166666666668</v>
      </c>
      <c r="J19" s="18">
        <f>'11'!J36</f>
        <v>0.84416666666666673</v>
      </c>
      <c r="K19" s="18">
        <f>'11'!K36</f>
        <v>277.81166666666667</v>
      </c>
      <c r="L19" s="18">
        <f>'11'!L36</f>
        <v>34.146250000000002</v>
      </c>
      <c r="M19" s="18">
        <f>'11'!M36</f>
        <v>56.074166666666663</v>
      </c>
      <c r="N19" s="18">
        <f>'11'!N36</f>
        <v>161.7791666666667</v>
      </c>
      <c r="O19" s="18">
        <f>'11'!O36</f>
        <v>0</v>
      </c>
      <c r="P19" s="18">
        <f>'11'!P36</f>
        <v>0.55291666666666661</v>
      </c>
      <c r="Q19" s="18">
        <f>'11'!Q36</f>
        <v>4.027916666666667</v>
      </c>
      <c r="R19" s="36"/>
      <c r="S19" s="36"/>
      <c r="T19" s="36"/>
      <c r="U19" s="36"/>
    </row>
    <row r="20" spans="1:24" s="2" customFormat="1">
      <c r="A20" s="16">
        <f>'12'!$B$2</f>
        <v>45455.041666666664</v>
      </c>
      <c r="B20" s="18">
        <f>'12'!B36</f>
        <v>9.1950000000000003</v>
      </c>
      <c r="C20" s="18">
        <f>'12'!C36</f>
        <v>4.0937499999999991</v>
      </c>
      <c r="D20" s="18">
        <f>'12'!D36</f>
        <v>13.953749999999998</v>
      </c>
      <c r="E20" s="18">
        <f>'12'!E36</f>
        <v>15.993333333333334</v>
      </c>
      <c r="F20" s="18">
        <f>'12'!F36</f>
        <v>28.210416666666664</v>
      </c>
      <c r="G20" s="18">
        <f>'12'!G36</f>
        <v>47.506250000000001</v>
      </c>
      <c r="H20" s="18">
        <f>'12'!H36</f>
        <v>17.091250000000002</v>
      </c>
      <c r="I20" s="18">
        <f>'12'!I36</f>
        <v>4.7441666666666658</v>
      </c>
      <c r="J20" s="18">
        <f>'12'!J36</f>
        <v>1.2929166666666667</v>
      </c>
      <c r="K20" s="18">
        <f>'12'!K36</f>
        <v>300.15625</v>
      </c>
      <c r="L20" s="18">
        <f>'12'!L36</f>
        <v>34.172916666666666</v>
      </c>
      <c r="M20" s="18">
        <f>'12'!M36</f>
        <v>51.354166666666664</v>
      </c>
      <c r="N20" s="18">
        <f>'12'!N36</f>
        <v>186.02083333333334</v>
      </c>
      <c r="O20" s="18">
        <f>'12'!O36</f>
        <v>0</v>
      </c>
      <c r="P20" s="18">
        <f>'12'!P36</f>
        <v>0.44250000000000012</v>
      </c>
      <c r="Q20" s="18">
        <f>'12'!Q36</f>
        <v>4.8849999999999998</v>
      </c>
      <c r="R20" s="36"/>
      <c r="S20" s="36"/>
      <c r="T20" s="36"/>
      <c r="U20" s="36"/>
    </row>
    <row r="21" spans="1:24" s="2" customFormat="1">
      <c r="A21" s="16">
        <f>'13'!$B$2</f>
        <v>45456.041666666664</v>
      </c>
      <c r="B21" s="18">
        <f>'13'!B36</f>
        <v>9.4054166666666639</v>
      </c>
      <c r="C21" s="18">
        <f>'13'!C36</f>
        <v>4.1029166666666663</v>
      </c>
      <c r="D21" s="18">
        <f>'13'!D36</f>
        <v>14.127500000000003</v>
      </c>
      <c r="E21" s="18">
        <f>'13'!E36</f>
        <v>12.316521739130433</v>
      </c>
      <c r="F21" s="18">
        <f>'13'!F36</f>
        <v>34.355416666666677</v>
      </c>
      <c r="G21" s="18">
        <f>'13'!G36</f>
        <v>43.952500000000008</v>
      </c>
      <c r="H21" s="18">
        <f>'13'!H36</f>
        <v>15.179166666666667</v>
      </c>
      <c r="I21" s="18">
        <f>'13'!I36</f>
        <v>23.959166666666665</v>
      </c>
      <c r="J21" s="18">
        <f>'13'!J36</f>
        <v>1.01125</v>
      </c>
      <c r="K21" s="18">
        <f>'13'!K36</f>
        <v>270.63416666666666</v>
      </c>
      <c r="L21" s="18">
        <f>'13'!L36</f>
        <v>34.89083333333334</v>
      </c>
      <c r="M21" s="18">
        <f>'13'!M36</f>
        <v>52.550000000000004</v>
      </c>
      <c r="N21" s="18">
        <f>'13'!N36</f>
        <v>182.96249999999995</v>
      </c>
      <c r="O21" s="18">
        <f>'13'!O36</f>
        <v>0</v>
      </c>
      <c r="P21" s="18">
        <f>'13'!P36</f>
        <v>0.54083333333333339</v>
      </c>
      <c r="Q21" s="18">
        <f>'13'!Q36</f>
        <v>4.4362499999999994</v>
      </c>
      <c r="R21" s="36"/>
      <c r="S21" s="36"/>
      <c r="T21" s="36"/>
      <c r="U21" s="36"/>
    </row>
    <row r="22" spans="1:24" s="2" customFormat="1">
      <c r="A22" s="16">
        <f>'14'!$B$2</f>
        <v>45457.041666666664</v>
      </c>
      <c r="B22" s="18">
        <f>'14'!B36</f>
        <v>9.1895833333333332</v>
      </c>
      <c r="C22" s="18">
        <f>'14'!C36</f>
        <v>4.0870833333333332</v>
      </c>
      <c r="D22" s="18">
        <f>'14'!D36</f>
        <v>13.942500000000003</v>
      </c>
      <c r="E22" s="18">
        <f>'14'!E36</f>
        <v>15.666250000000003</v>
      </c>
      <c r="F22" s="18">
        <f>'14'!F36</f>
        <v>32.129166666666677</v>
      </c>
      <c r="G22" s="18">
        <f>'14'!G36</f>
        <v>45.251666666666672</v>
      </c>
      <c r="H22" s="18">
        <f>'14'!H36</f>
        <v>15.538333333333332</v>
      </c>
      <c r="I22" s="18">
        <f>'14'!I36</f>
        <v>6.7058333333333335</v>
      </c>
      <c r="J22" s="18">
        <f>'14'!J36</f>
        <v>0.98375000000000001</v>
      </c>
      <c r="K22" s="18">
        <f>'14'!K36</f>
        <v>263.30333333333328</v>
      </c>
      <c r="L22" s="18">
        <f>'14'!L36</f>
        <v>34.501666666666665</v>
      </c>
      <c r="M22" s="18">
        <f>'14'!M36</f>
        <v>49.677083333333321</v>
      </c>
      <c r="N22" s="18">
        <f>'14'!N36</f>
        <v>151.04583333333332</v>
      </c>
      <c r="O22" s="18">
        <f>'14'!O36</f>
        <v>0</v>
      </c>
      <c r="P22" s="18">
        <f>'14'!P36</f>
        <v>0.41291666666666665</v>
      </c>
      <c r="Q22" s="18">
        <f>'14'!Q36</f>
        <v>3.9999999999999987</v>
      </c>
      <c r="R22" s="38"/>
      <c r="S22" s="38"/>
      <c r="T22" s="38"/>
      <c r="U22" s="38"/>
    </row>
    <row r="23" spans="1:24" s="2" customFormat="1">
      <c r="A23" s="16">
        <f>'15'!$B$2</f>
        <v>45458.041666666664</v>
      </c>
      <c r="B23" s="19">
        <f>'15'!B36</f>
        <v>9.33</v>
      </c>
      <c r="C23" s="19">
        <f>'15'!C36</f>
        <v>4.0937499999999991</v>
      </c>
      <c r="D23" s="19">
        <f>'15'!D36</f>
        <v>14.062916666666666</v>
      </c>
      <c r="E23" s="19">
        <f>'15'!E36</f>
        <v>15.204583333333334</v>
      </c>
      <c r="F23" s="19">
        <f>'15'!F36</f>
        <v>22.709166666666672</v>
      </c>
      <c r="G23" s="19">
        <f>'15'!G36</f>
        <v>43.518333333333324</v>
      </c>
      <c r="H23" s="19">
        <f>'15'!H36</f>
        <v>14.165416666666667</v>
      </c>
      <c r="I23" s="19">
        <f>'15'!I36</f>
        <v>6.126666666666666</v>
      </c>
      <c r="J23" s="19">
        <f>'15'!J36</f>
        <v>0.98416666666666686</v>
      </c>
      <c r="K23" s="19">
        <f>'15'!K36</f>
        <v>281.23374999999993</v>
      </c>
      <c r="L23" s="19">
        <f>'15'!L36</f>
        <v>33.889166666666668</v>
      </c>
      <c r="M23" s="19">
        <f>'15'!M36</f>
        <v>50.666666666666657</v>
      </c>
      <c r="N23" s="19">
        <f>'15'!N36</f>
        <v>191.67083333333332</v>
      </c>
      <c r="O23" s="19">
        <f>'15'!O36</f>
        <v>0</v>
      </c>
      <c r="P23" s="19">
        <f>'15'!P36</f>
        <v>0.52291666666666659</v>
      </c>
      <c r="Q23" s="19">
        <f>'15'!Q36</f>
        <v>3.9712499999999995</v>
      </c>
      <c r="R23" s="38"/>
      <c r="S23" s="38"/>
      <c r="T23" s="38"/>
      <c r="U23" s="36"/>
    </row>
    <row r="24" spans="1:24" s="2" customFormat="1">
      <c r="A24" s="16">
        <f>'16'!$B$2</f>
        <v>45459.041666666664</v>
      </c>
      <c r="B24" s="18">
        <f>'16'!B36</f>
        <v>9.1624999999999996</v>
      </c>
      <c r="C24" s="18">
        <f>'16'!C36</f>
        <v>4.097083333333333</v>
      </c>
      <c r="D24" s="18">
        <f>'16'!D36</f>
        <v>13.929166666666669</v>
      </c>
      <c r="E24" s="18">
        <f>'16'!E36</f>
        <v>27.269583333333333</v>
      </c>
      <c r="F24" s="18">
        <f>'16'!F36</f>
        <v>29.59833333333334</v>
      </c>
      <c r="G24" s="18">
        <f>'16'!G36</f>
        <v>66.340833333333322</v>
      </c>
      <c r="H24" s="18">
        <f>'16'!H36</f>
        <v>23.694999999999997</v>
      </c>
      <c r="I24" s="18">
        <f>'16'!I36</f>
        <v>5.9604166666666663</v>
      </c>
      <c r="J24" s="18">
        <f>'16'!J36</f>
        <v>0.67625000000000002</v>
      </c>
      <c r="K24" s="18">
        <f>'16'!K36</f>
        <v>193.40875000000003</v>
      </c>
      <c r="L24" s="18">
        <f>'16'!L36</f>
        <v>33.708750000000002</v>
      </c>
      <c r="M24" s="18">
        <f>'16'!M36</f>
        <v>55.855833333333344</v>
      </c>
      <c r="N24" s="18">
        <f>'16'!N36</f>
        <v>158.84583333333333</v>
      </c>
      <c r="O24" s="18">
        <f>'16'!O36</f>
        <v>0</v>
      </c>
      <c r="P24" s="18">
        <f>'16'!P36</f>
        <v>0.56083333333333341</v>
      </c>
      <c r="Q24" s="18">
        <f>'16'!Q36</f>
        <v>3.9695833333333321</v>
      </c>
      <c r="R24" s="38"/>
      <c r="S24" s="38"/>
      <c r="T24" s="38"/>
      <c r="U24" s="36"/>
    </row>
    <row r="25" spans="1:24" s="2" customFormat="1">
      <c r="A25" s="16">
        <f>'17'!$B$2</f>
        <v>45460.041666666664</v>
      </c>
      <c r="B25" s="18">
        <f>'17'!B36</f>
        <v>9.2091666666666665</v>
      </c>
      <c r="C25" s="18">
        <f>'17'!C36</f>
        <v>4.0887500000000001</v>
      </c>
      <c r="D25" s="18">
        <f>'17'!D36</f>
        <v>13.962083333333334</v>
      </c>
      <c r="E25" s="18">
        <f>'17'!E36</f>
        <v>12.534166666666664</v>
      </c>
      <c r="F25" s="18">
        <f>'17'!F36</f>
        <v>27.902083333333334</v>
      </c>
      <c r="G25" s="18">
        <f>'17'!G36</f>
        <v>29.046666666666663</v>
      </c>
      <c r="H25" s="18">
        <f>'17'!H36</f>
        <v>13.071666666666665</v>
      </c>
      <c r="I25" s="18">
        <f>'17'!I36</f>
        <v>4.6583333333333341</v>
      </c>
      <c r="J25" s="18">
        <f>'17'!J36</f>
        <v>0.88124999999999998</v>
      </c>
      <c r="K25" s="18">
        <f>'17'!K36</f>
        <v>269.08166666666665</v>
      </c>
      <c r="L25" s="18">
        <f>'17'!L36</f>
        <v>33.332083333333337</v>
      </c>
      <c r="M25" s="18">
        <f>'17'!M36</f>
        <v>54.491666666666681</v>
      </c>
      <c r="N25" s="18">
        <f>'17'!N36</f>
        <v>120.34583333333337</v>
      </c>
      <c r="O25" s="18">
        <f>'17'!O36</f>
        <v>0</v>
      </c>
      <c r="P25" s="18">
        <f>'17'!P36</f>
        <v>0.42166666666666663</v>
      </c>
      <c r="Q25" s="18">
        <f>'17'!Q36</f>
        <v>3.9658333333333324</v>
      </c>
      <c r="R25" s="38"/>
      <c r="S25" s="38"/>
      <c r="T25" s="38"/>
      <c r="U25" s="36"/>
    </row>
    <row r="26" spans="1:24" s="2" customFormat="1">
      <c r="A26" s="16">
        <f>'18'!$B$2</f>
        <v>45461.041666666664</v>
      </c>
      <c r="B26" s="18">
        <f>'18'!B36</f>
        <v>9.0904166666666661</v>
      </c>
      <c r="C26" s="18">
        <f>'18'!C36</f>
        <v>4.083333333333333</v>
      </c>
      <c r="D26" s="18">
        <f>'18'!D36</f>
        <v>13.867083333333333</v>
      </c>
      <c r="E26" s="18">
        <f>'18'!E36</f>
        <v>14.656666666666666</v>
      </c>
      <c r="F26" s="18">
        <f>'18'!F36</f>
        <v>16.413749999999997</v>
      </c>
      <c r="G26" s="18">
        <f>'18'!G36</f>
        <v>35.417083333333338</v>
      </c>
      <c r="H26" s="18">
        <f>'18'!H36</f>
        <v>11.942916666666664</v>
      </c>
      <c r="I26" s="18">
        <f>'18'!I36</f>
        <v>5.1691666666666674</v>
      </c>
      <c r="J26" s="18">
        <f>'18'!J36</f>
        <v>1.3091666666666668</v>
      </c>
      <c r="K26" s="18">
        <f>'18'!K36</f>
        <v>285.35166666666663</v>
      </c>
      <c r="L26" s="18">
        <f>'18'!L36</f>
        <v>32.590833333333329</v>
      </c>
      <c r="M26" s="18">
        <f>'18'!M36</f>
        <v>63.969166666666666</v>
      </c>
      <c r="N26" s="18">
        <f>'18'!N36</f>
        <v>190.16250000000002</v>
      </c>
      <c r="O26" s="18">
        <f>'18'!O36</f>
        <v>0.91666666666666663</v>
      </c>
      <c r="P26" s="18">
        <f>'18'!P36</f>
        <v>0.46500000000000008</v>
      </c>
      <c r="Q26" s="18">
        <f>'18'!Q36</f>
        <v>3.9283333333333328</v>
      </c>
      <c r="R26" s="38"/>
      <c r="S26" s="38"/>
      <c r="T26" s="38"/>
      <c r="U26" s="36"/>
    </row>
    <row r="27" spans="1:24" s="2" customFormat="1">
      <c r="A27" s="16">
        <f>'19'!$B$2</f>
        <v>45462.041666666664</v>
      </c>
      <c r="B27" s="18">
        <f>'19'!B36</f>
        <v>9.4154166666666654</v>
      </c>
      <c r="C27" s="18">
        <f>'19'!C36</f>
        <v>4.1025</v>
      </c>
      <c r="D27" s="18">
        <f>'19'!D36</f>
        <v>14.136249999999999</v>
      </c>
      <c r="E27" s="18">
        <f>'19'!E36</f>
        <v>11.398333333333335</v>
      </c>
      <c r="F27" s="18">
        <f>'19'!F36</f>
        <v>18.682499999999997</v>
      </c>
      <c r="G27" s="18">
        <f>'19'!G36</f>
        <v>25.68291666666666</v>
      </c>
      <c r="H27" s="18">
        <f>'19'!H36</f>
        <v>10.28125</v>
      </c>
      <c r="I27" s="18">
        <f>'19'!I36</f>
        <v>5.2666666666666666</v>
      </c>
      <c r="J27" s="18">
        <f>'19'!J36</f>
        <v>0.97916666666666641</v>
      </c>
      <c r="K27" s="18">
        <f>'19'!K36</f>
        <v>277.21999999999997</v>
      </c>
      <c r="L27" s="18">
        <f>'19'!L36</f>
        <v>30.190833333333341</v>
      </c>
      <c r="M27" s="18">
        <f>'19'!M36</f>
        <v>76.303750000000022</v>
      </c>
      <c r="N27" s="18">
        <f>'19'!N36</f>
        <v>186.19583333333341</v>
      </c>
      <c r="O27" s="18">
        <f>'19'!O36</f>
        <v>0</v>
      </c>
      <c r="P27" s="18">
        <f>'19'!P36</f>
        <v>0.48375000000000007</v>
      </c>
      <c r="Q27" s="18">
        <f>'19'!Q36</f>
        <v>4.4362499999999994</v>
      </c>
      <c r="R27" s="38"/>
      <c r="S27" s="38"/>
      <c r="T27" s="38"/>
      <c r="U27" s="36"/>
    </row>
    <row r="28" spans="1:24" s="2" customFormat="1">
      <c r="A28" s="16">
        <f>'20'!$B$2</f>
        <v>45463.041666666664</v>
      </c>
      <c r="B28" s="18">
        <f>'20'!B36</f>
        <v>9.0675000000000008</v>
      </c>
      <c r="C28" s="18">
        <f>'20'!C36</f>
        <v>4.0754166666666665</v>
      </c>
      <c r="D28" s="18">
        <f>'20'!D36</f>
        <v>13.842916666666662</v>
      </c>
      <c r="E28" s="18">
        <f>'20'!E36</f>
        <v>10.235833333333334</v>
      </c>
      <c r="F28" s="18">
        <f>'20'!F36</f>
        <v>10.47875</v>
      </c>
      <c r="G28" s="18">
        <f>'20'!G36</f>
        <v>16.324583333333333</v>
      </c>
      <c r="H28" s="18">
        <f>'20'!H36</f>
        <v>6.8033333333333319</v>
      </c>
      <c r="I28" s="18">
        <f>'20'!I36</f>
        <v>4.0200000000000005</v>
      </c>
      <c r="J28" s="18">
        <f>'20'!J36</f>
        <v>1.1775000000000002</v>
      </c>
      <c r="K28" s="18">
        <f>'20'!K36</f>
        <v>268.43666666666667</v>
      </c>
      <c r="L28" s="18">
        <f>'20'!L36</f>
        <v>29.305833333333339</v>
      </c>
      <c r="M28" s="18">
        <f>'20'!M36</f>
        <v>80.222083333333316</v>
      </c>
      <c r="N28" s="18">
        <f>'20'!N36</f>
        <v>183.54583333333332</v>
      </c>
      <c r="O28" s="18">
        <f>'20'!O36</f>
        <v>0.65</v>
      </c>
      <c r="P28" s="18">
        <f>'20'!P36</f>
        <v>0.42041666666666666</v>
      </c>
      <c r="Q28" s="18">
        <f>'20'!Q36</f>
        <v>3.9695833333333321</v>
      </c>
      <c r="R28" s="38"/>
      <c r="S28" s="38"/>
      <c r="T28" s="38"/>
      <c r="U28" s="36"/>
    </row>
    <row r="29" spans="1:24" s="2" customFormat="1">
      <c r="A29" s="16">
        <f>'21'!$B$2</f>
        <v>45464.041666666664</v>
      </c>
      <c r="B29" s="18">
        <f>'21'!B36</f>
        <v>9.1695833333333301</v>
      </c>
      <c r="C29" s="18">
        <f>'21'!C36</f>
        <v>4.0833333333333339</v>
      </c>
      <c r="D29" s="18">
        <f>'21'!D36</f>
        <v>13.9275</v>
      </c>
      <c r="E29" s="18">
        <f>'21'!E36</f>
        <v>11.14583333333333</v>
      </c>
      <c r="F29" s="18">
        <f>'21'!F36</f>
        <v>17.925000000000001</v>
      </c>
      <c r="G29" s="18">
        <f>'21'!G36</f>
        <v>17.017916666666665</v>
      </c>
      <c r="H29" s="18">
        <f>'21'!H36</f>
        <v>7.2683333333333335</v>
      </c>
      <c r="I29" s="18">
        <f>'21'!I36</f>
        <v>4.534583333333333</v>
      </c>
      <c r="J29" s="18">
        <f>'21'!J36</f>
        <v>0.56499999999999995</v>
      </c>
      <c r="K29" s="18">
        <f>'21'!K36</f>
        <v>253.14624999999992</v>
      </c>
      <c r="L29" s="18">
        <f>'21'!L36</f>
        <v>28.253333333333334</v>
      </c>
      <c r="M29" s="18">
        <f>'21'!M36</f>
        <v>89.204166666666652</v>
      </c>
      <c r="N29" s="18">
        <f>'21'!N36</f>
        <v>151.28333333333333</v>
      </c>
      <c r="O29" s="18">
        <f>'21'!O36</f>
        <v>0.23333333333333331</v>
      </c>
      <c r="P29" s="18">
        <f>'21'!P36</f>
        <v>0.43541666666666656</v>
      </c>
      <c r="Q29" s="18">
        <f>'21'!Q36</f>
        <v>4.027916666666667</v>
      </c>
      <c r="R29" s="38"/>
      <c r="S29" s="38"/>
      <c r="T29" s="38"/>
      <c r="U29" s="36"/>
    </row>
    <row r="30" spans="1:24" s="2" customFormat="1">
      <c r="A30" s="16">
        <f>'22'!$B$2</f>
        <v>45465.041666666664</v>
      </c>
      <c r="B30" s="18">
        <f>'22'!B36</f>
        <v>9.2995833333333362</v>
      </c>
      <c r="C30" s="18">
        <f>'22'!C36</f>
        <v>4.0887499999999992</v>
      </c>
      <c r="D30" s="18">
        <f>'22'!D36</f>
        <v>14.03541666666667</v>
      </c>
      <c r="E30" s="18">
        <f>'22'!E36</f>
        <v>9.9708333333333332</v>
      </c>
      <c r="F30" s="18">
        <f>'22'!F36</f>
        <v>15.176250000000001</v>
      </c>
      <c r="G30" s="18">
        <f>'22'!G36</f>
        <v>15.0025</v>
      </c>
      <c r="H30" s="18">
        <f>'22'!H36</f>
        <v>6.4854166666666666</v>
      </c>
      <c r="I30" s="18">
        <f>'22'!I36</f>
        <v>4.1295833333333327</v>
      </c>
      <c r="J30" s="18">
        <f>'22'!J36</f>
        <v>0.44458333333333327</v>
      </c>
      <c r="K30" s="18">
        <f>'22'!K36</f>
        <v>251.60666666666668</v>
      </c>
      <c r="L30" s="18">
        <f>'22'!L36</f>
        <v>27.982916666666668</v>
      </c>
      <c r="M30" s="18">
        <f>'22'!M36</f>
        <v>90.245833333333337</v>
      </c>
      <c r="N30" s="18">
        <f>'22'!N36</f>
        <v>158.97499999999999</v>
      </c>
      <c r="O30" s="18">
        <f>'22'!O36</f>
        <v>8.3333333333333332E-3</v>
      </c>
      <c r="P30" s="18">
        <f>'22'!P36</f>
        <v>0.40791666666666654</v>
      </c>
      <c r="Q30" s="18">
        <f>'22'!Q36</f>
        <v>4.815833333333333</v>
      </c>
      <c r="R30" s="38"/>
      <c r="S30" s="36"/>
      <c r="T30" s="36"/>
      <c r="U30" s="36"/>
    </row>
    <row r="31" spans="1:24" s="2" customFormat="1">
      <c r="A31" s="16">
        <f>'23'!$B$2</f>
        <v>0</v>
      </c>
      <c r="B31" s="18" t="e">
        <f>'23'!B36</f>
        <v>#DIV/0!</v>
      </c>
      <c r="C31" s="18" t="e">
        <f>'23'!C36</f>
        <v>#DIV/0!</v>
      </c>
      <c r="D31" s="18" t="e">
        <f>'23'!D36</f>
        <v>#DIV/0!</v>
      </c>
      <c r="E31" s="18" t="e">
        <f>'23'!E36</f>
        <v>#DIV/0!</v>
      </c>
      <c r="F31" s="18" t="e">
        <f>'23'!F36</f>
        <v>#DIV/0!</v>
      </c>
      <c r="G31" s="18" t="e">
        <f>'23'!G36</f>
        <v>#DIV/0!</v>
      </c>
      <c r="H31" s="18" t="e">
        <f>'23'!H36</f>
        <v>#DIV/0!</v>
      </c>
      <c r="I31" s="18" t="e">
        <f>'23'!I36</f>
        <v>#DIV/0!</v>
      </c>
      <c r="J31" s="18" t="e">
        <f>'23'!J36</f>
        <v>#DIV/0!</v>
      </c>
      <c r="K31" s="18" t="e">
        <f>'23'!K36</f>
        <v>#DIV/0!</v>
      </c>
      <c r="L31" s="18" t="e">
        <f>'23'!L36</f>
        <v>#DIV/0!</v>
      </c>
      <c r="M31" s="18" t="e">
        <f>'23'!M36</f>
        <v>#DIV/0!</v>
      </c>
      <c r="N31" s="18" t="e">
        <f>'23'!N36</f>
        <v>#DIV/0!</v>
      </c>
      <c r="O31" s="18" t="e">
        <f>'23'!O36</f>
        <v>#DIV/0!</v>
      </c>
      <c r="P31" s="18" t="e">
        <f>'23'!P36</f>
        <v>#DIV/0!</v>
      </c>
      <c r="Q31" s="18" t="e">
        <f>'23'!Q36</f>
        <v>#DIV/0!</v>
      </c>
      <c r="R31" s="36"/>
      <c r="S31" s="36"/>
      <c r="T31" s="36"/>
      <c r="U31" s="36"/>
    </row>
    <row r="32" spans="1:24" s="2" customFormat="1">
      <c r="A32" s="16">
        <f>'24'!$B$2</f>
        <v>0</v>
      </c>
      <c r="B32" s="18" t="e">
        <f>'24'!B36</f>
        <v>#DIV/0!</v>
      </c>
      <c r="C32" s="18" t="e">
        <f>'24'!C36</f>
        <v>#DIV/0!</v>
      </c>
      <c r="D32" s="18" t="e">
        <f>'24'!D36</f>
        <v>#DIV/0!</v>
      </c>
      <c r="E32" s="18" t="e">
        <f>'24'!E36</f>
        <v>#DIV/0!</v>
      </c>
      <c r="F32" s="18" t="e">
        <f>'24'!F36</f>
        <v>#DIV/0!</v>
      </c>
      <c r="G32" s="18" t="e">
        <f>'24'!G36</f>
        <v>#DIV/0!</v>
      </c>
      <c r="H32" s="18" t="e">
        <f>'24'!H36</f>
        <v>#DIV/0!</v>
      </c>
      <c r="I32" s="18" t="e">
        <f>'24'!I36</f>
        <v>#DIV/0!</v>
      </c>
      <c r="J32" s="18" t="e">
        <f>'24'!J36</f>
        <v>#DIV/0!</v>
      </c>
      <c r="K32" s="18" t="e">
        <f>'24'!K36</f>
        <v>#DIV/0!</v>
      </c>
      <c r="L32" s="18" t="e">
        <f>'24'!L36</f>
        <v>#DIV/0!</v>
      </c>
      <c r="M32" s="18" t="e">
        <f>'24'!M36</f>
        <v>#DIV/0!</v>
      </c>
      <c r="N32" s="18" t="e">
        <f>'24'!N36</f>
        <v>#DIV/0!</v>
      </c>
      <c r="O32" s="18" t="e">
        <f>'24'!O36</f>
        <v>#DIV/0!</v>
      </c>
      <c r="P32" s="18" t="e">
        <f>'24'!P36</f>
        <v>#DIV/0!</v>
      </c>
      <c r="Q32" s="18" t="e">
        <f>'24'!Q36</f>
        <v>#DIV/0!</v>
      </c>
      <c r="R32" s="36"/>
      <c r="S32" s="36"/>
      <c r="T32" s="36"/>
      <c r="U32" s="36"/>
    </row>
    <row r="33" spans="1:21" s="2" customFormat="1">
      <c r="A33" s="16">
        <f>'25'!$B$2</f>
        <v>0</v>
      </c>
      <c r="B33" s="18" t="e">
        <f>'25'!B36</f>
        <v>#DIV/0!</v>
      </c>
      <c r="C33" s="18" t="e">
        <f>'25'!C36</f>
        <v>#DIV/0!</v>
      </c>
      <c r="D33" s="18" t="e">
        <f>'25'!D36</f>
        <v>#DIV/0!</v>
      </c>
      <c r="E33" s="18" t="e">
        <f>'25'!E36</f>
        <v>#DIV/0!</v>
      </c>
      <c r="F33" s="18" t="e">
        <f>'25'!F36</f>
        <v>#DIV/0!</v>
      </c>
      <c r="G33" s="18" t="e">
        <f>'25'!G36</f>
        <v>#DIV/0!</v>
      </c>
      <c r="H33" s="18" t="e">
        <f>'25'!H36</f>
        <v>#DIV/0!</v>
      </c>
      <c r="I33" s="18" t="e">
        <f>'25'!I36</f>
        <v>#DIV/0!</v>
      </c>
      <c r="J33" s="18" t="e">
        <f>'25'!J36</f>
        <v>#DIV/0!</v>
      </c>
      <c r="K33" s="18" t="e">
        <f>'25'!K36</f>
        <v>#DIV/0!</v>
      </c>
      <c r="L33" s="18" t="e">
        <f>'25'!L36</f>
        <v>#DIV/0!</v>
      </c>
      <c r="M33" s="18" t="e">
        <f>'25'!M36</f>
        <v>#DIV/0!</v>
      </c>
      <c r="N33" s="18" t="e">
        <f>'25'!N36</f>
        <v>#DIV/0!</v>
      </c>
      <c r="O33" s="18" t="e">
        <f>'25'!O36</f>
        <v>#DIV/0!</v>
      </c>
      <c r="P33" s="18" t="e">
        <f>'25'!P36</f>
        <v>#DIV/0!</v>
      </c>
      <c r="Q33" s="18" t="e">
        <f>'25'!Q36</f>
        <v>#DIV/0!</v>
      </c>
      <c r="R33" s="36"/>
      <c r="S33" s="36"/>
      <c r="T33" s="36"/>
      <c r="U33" s="36"/>
    </row>
    <row r="34" spans="1:21" s="2" customFormat="1">
      <c r="A34" s="16">
        <f>'26'!$B$2</f>
        <v>0</v>
      </c>
      <c r="B34" s="18" t="e">
        <f>'26'!B36</f>
        <v>#DIV/0!</v>
      </c>
      <c r="C34" s="18" t="e">
        <f>'26'!C36</f>
        <v>#DIV/0!</v>
      </c>
      <c r="D34" s="18" t="e">
        <f>'26'!D36</f>
        <v>#DIV/0!</v>
      </c>
      <c r="E34" s="18" t="e">
        <f>'26'!E36</f>
        <v>#DIV/0!</v>
      </c>
      <c r="F34" s="18" t="e">
        <f>'26'!F36</f>
        <v>#DIV/0!</v>
      </c>
      <c r="G34" s="18" t="e">
        <f>'26'!G36</f>
        <v>#DIV/0!</v>
      </c>
      <c r="H34" s="18" t="e">
        <f>'26'!H36</f>
        <v>#DIV/0!</v>
      </c>
      <c r="I34" s="18" t="e">
        <f>'26'!I36</f>
        <v>#DIV/0!</v>
      </c>
      <c r="J34" s="18" t="e">
        <f>'26'!J36</f>
        <v>#DIV/0!</v>
      </c>
      <c r="K34" s="18" t="e">
        <f>'26'!K36</f>
        <v>#DIV/0!</v>
      </c>
      <c r="L34" s="18" t="e">
        <f>'26'!L36</f>
        <v>#DIV/0!</v>
      </c>
      <c r="M34" s="18" t="e">
        <f>'26'!M36</f>
        <v>#DIV/0!</v>
      </c>
      <c r="N34" s="18" t="e">
        <f>'26'!N36</f>
        <v>#DIV/0!</v>
      </c>
      <c r="O34" s="18" t="e">
        <f>'26'!O36</f>
        <v>#DIV/0!</v>
      </c>
      <c r="P34" s="18" t="e">
        <f>'26'!P36</f>
        <v>#DIV/0!</v>
      </c>
      <c r="Q34" s="18" t="e">
        <f>'26'!Q36</f>
        <v>#DIV/0!</v>
      </c>
      <c r="R34" s="36"/>
      <c r="S34" s="36"/>
      <c r="T34" s="36"/>
      <c r="U34" s="36"/>
    </row>
    <row r="35" spans="1:21" s="2" customFormat="1">
      <c r="A35" s="16">
        <f>'27'!$B$2</f>
        <v>0</v>
      </c>
      <c r="B35" s="18" t="e">
        <f>'27'!B36</f>
        <v>#DIV/0!</v>
      </c>
      <c r="C35" s="18" t="e">
        <f>'27'!C36</f>
        <v>#DIV/0!</v>
      </c>
      <c r="D35" s="18" t="e">
        <f>'27'!D36</f>
        <v>#DIV/0!</v>
      </c>
      <c r="E35" s="18" t="e">
        <f>'27'!E36</f>
        <v>#DIV/0!</v>
      </c>
      <c r="F35" s="18" t="e">
        <f>'27'!F36</f>
        <v>#DIV/0!</v>
      </c>
      <c r="G35" s="18" t="e">
        <f>'27'!G36</f>
        <v>#DIV/0!</v>
      </c>
      <c r="H35" s="18" t="e">
        <f>'27'!H36</f>
        <v>#DIV/0!</v>
      </c>
      <c r="I35" s="18" t="e">
        <f>'27'!I36</f>
        <v>#DIV/0!</v>
      </c>
      <c r="J35" s="18" t="e">
        <f>'27'!J36</f>
        <v>#DIV/0!</v>
      </c>
      <c r="K35" s="18" t="e">
        <f>'27'!K36</f>
        <v>#DIV/0!</v>
      </c>
      <c r="L35" s="18" t="e">
        <f>'27'!L36</f>
        <v>#DIV/0!</v>
      </c>
      <c r="M35" s="18" t="e">
        <f>'27'!M36</f>
        <v>#DIV/0!</v>
      </c>
      <c r="N35" s="18" t="e">
        <f>'27'!N36</f>
        <v>#DIV/0!</v>
      </c>
      <c r="O35" s="18" t="e">
        <f>'27'!O36</f>
        <v>#DIV/0!</v>
      </c>
      <c r="P35" s="18" t="e">
        <f>'27'!P36</f>
        <v>#DIV/0!</v>
      </c>
      <c r="Q35" s="18" t="e">
        <f>'27'!Q36</f>
        <v>#DIV/0!</v>
      </c>
      <c r="R35" s="36"/>
      <c r="S35" s="36"/>
      <c r="T35" s="36"/>
      <c r="U35" s="36"/>
    </row>
    <row r="36" spans="1:21" s="2" customFormat="1">
      <c r="A36" s="16">
        <f>'28'!$B$2</f>
        <v>0</v>
      </c>
      <c r="B36" s="18" t="e">
        <f>'28'!B36</f>
        <v>#DIV/0!</v>
      </c>
      <c r="C36" s="18" t="e">
        <f>'28'!C36</f>
        <v>#DIV/0!</v>
      </c>
      <c r="D36" s="18" t="e">
        <f>'28'!D36</f>
        <v>#DIV/0!</v>
      </c>
      <c r="E36" s="18" t="e">
        <f>'28'!E36</f>
        <v>#DIV/0!</v>
      </c>
      <c r="F36" s="18" t="e">
        <f>'28'!F36</f>
        <v>#DIV/0!</v>
      </c>
      <c r="G36" s="18" t="e">
        <f>'28'!G36</f>
        <v>#DIV/0!</v>
      </c>
      <c r="H36" s="18" t="e">
        <f>'28'!H36</f>
        <v>#DIV/0!</v>
      </c>
      <c r="I36" s="18" t="e">
        <f>'28'!I36</f>
        <v>#DIV/0!</v>
      </c>
      <c r="J36" s="18" t="e">
        <f>'28'!J36</f>
        <v>#DIV/0!</v>
      </c>
      <c r="K36" s="18" t="e">
        <f>'28'!K36</f>
        <v>#DIV/0!</v>
      </c>
      <c r="L36" s="18" t="e">
        <f>'28'!L36</f>
        <v>#DIV/0!</v>
      </c>
      <c r="M36" s="18" t="e">
        <f>'28'!M36</f>
        <v>#DIV/0!</v>
      </c>
      <c r="N36" s="18" t="e">
        <f>'28'!N36</f>
        <v>#DIV/0!</v>
      </c>
      <c r="O36" s="18" t="e">
        <f>'28'!O36</f>
        <v>#DIV/0!</v>
      </c>
      <c r="P36" s="18" t="e">
        <f>'28'!P36</f>
        <v>#DIV/0!</v>
      </c>
      <c r="Q36" s="18" t="e">
        <f>'28'!Q36</f>
        <v>#DIV/0!</v>
      </c>
      <c r="R36" s="36"/>
      <c r="S36" s="36"/>
      <c r="T36" s="36"/>
      <c r="U36" s="36"/>
    </row>
    <row r="37" spans="1:21" s="2" customFormat="1">
      <c r="A37" s="16">
        <f>'29'!$B$2</f>
        <v>0</v>
      </c>
      <c r="B37" s="18" t="e">
        <f>'29'!B36</f>
        <v>#DIV/0!</v>
      </c>
      <c r="C37" s="18" t="e">
        <f>'29'!C36</f>
        <v>#DIV/0!</v>
      </c>
      <c r="D37" s="18" t="e">
        <f>'29'!D36</f>
        <v>#DIV/0!</v>
      </c>
      <c r="E37" s="18" t="e">
        <f>'29'!E36</f>
        <v>#DIV/0!</v>
      </c>
      <c r="F37" s="18" t="e">
        <f>'29'!F36</f>
        <v>#DIV/0!</v>
      </c>
      <c r="G37" s="18" t="e">
        <f>'29'!G36</f>
        <v>#DIV/0!</v>
      </c>
      <c r="H37" s="18" t="e">
        <f>'29'!H36</f>
        <v>#DIV/0!</v>
      </c>
      <c r="I37" s="18" t="e">
        <f>'29'!I36</f>
        <v>#DIV/0!</v>
      </c>
      <c r="J37" s="18" t="e">
        <f>'29'!J36</f>
        <v>#DIV/0!</v>
      </c>
      <c r="K37" s="18" t="e">
        <f>'29'!K36</f>
        <v>#DIV/0!</v>
      </c>
      <c r="L37" s="18" t="e">
        <f>'29'!L36</f>
        <v>#DIV/0!</v>
      </c>
      <c r="M37" s="18" t="e">
        <f>'29'!M36</f>
        <v>#DIV/0!</v>
      </c>
      <c r="N37" s="18" t="e">
        <f>'29'!N36</f>
        <v>#DIV/0!</v>
      </c>
      <c r="O37" s="18" t="e">
        <f>'29'!O36</f>
        <v>#DIV/0!</v>
      </c>
      <c r="P37" s="18" t="e">
        <f>'29'!P36</f>
        <v>#DIV/0!</v>
      </c>
      <c r="Q37" s="18" t="e">
        <f>'29'!Q36</f>
        <v>#DIV/0!</v>
      </c>
      <c r="R37" s="36"/>
      <c r="S37" s="36"/>
      <c r="T37" s="36"/>
      <c r="U37" s="36"/>
    </row>
    <row r="38" spans="1:21" s="2" customFormat="1">
      <c r="A38" s="16">
        <f>'30'!$B$2</f>
        <v>0</v>
      </c>
      <c r="B38" s="18" t="e">
        <f>'30'!B36</f>
        <v>#DIV/0!</v>
      </c>
      <c r="C38" s="18" t="e">
        <f>'30'!C36</f>
        <v>#DIV/0!</v>
      </c>
      <c r="D38" s="18" t="e">
        <f>'30'!D36</f>
        <v>#DIV/0!</v>
      </c>
      <c r="E38" s="18" t="e">
        <f>'30'!E36</f>
        <v>#DIV/0!</v>
      </c>
      <c r="F38" s="18" t="e">
        <f>'30'!F36</f>
        <v>#DIV/0!</v>
      </c>
      <c r="G38" s="18" t="e">
        <f>'30'!G36</f>
        <v>#DIV/0!</v>
      </c>
      <c r="H38" s="18" t="e">
        <f>'30'!H36</f>
        <v>#DIV/0!</v>
      </c>
      <c r="I38" s="18" t="e">
        <f>'30'!I36</f>
        <v>#DIV/0!</v>
      </c>
      <c r="J38" s="18" t="e">
        <f>'30'!J36</f>
        <v>#DIV/0!</v>
      </c>
      <c r="K38" s="18" t="e">
        <f>'30'!K36</f>
        <v>#DIV/0!</v>
      </c>
      <c r="L38" s="18" t="e">
        <f>'30'!L36</f>
        <v>#DIV/0!</v>
      </c>
      <c r="M38" s="18" t="e">
        <f>'30'!M36</f>
        <v>#DIV/0!</v>
      </c>
      <c r="N38" s="18" t="e">
        <f>'30'!N36</f>
        <v>#DIV/0!</v>
      </c>
      <c r="O38" s="18" t="e">
        <f>'30'!O36</f>
        <v>#DIV/0!</v>
      </c>
      <c r="P38" s="18" t="e">
        <f>'30'!P36</f>
        <v>#DIV/0!</v>
      </c>
      <c r="Q38" s="18" t="e">
        <f>'30'!Q36</f>
        <v>#DIV/0!</v>
      </c>
      <c r="R38" s="36"/>
      <c r="S38" s="36"/>
      <c r="T38" s="36"/>
      <c r="U38" s="36"/>
    </row>
    <row r="39" spans="1:21">
      <c r="A39" s="16">
        <f>'31'!$B$2</f>
        <v>0</v>
      </c>
      <c r="B39" s="18" t="e">
        <f>'31'!B36</f>
        <v>#DIV/0!</v>
      </c>
      <c r="C39" s="18" t="e">
        <f>'31'!C36</f>
        <v>#DIV/0!</v>
      </c>
      <c r="D39" s="18" t="e">
        <f>'31'!D36</f>
        <v>#DIV/0!</v>
      </c>
      <c r="E39" s="18" t="e">
        <f>'31'!E36</f>
        <v>#DIV/0!</v>
      </c>
      <c r="F39" s="18" t="e">
        <f>'31'!F36</f>
        <v>#DIV/0!</v>
      </c>
      <c r="G39" s="18" t="e">
        <f>'31'!G36</f>
        <v>#DIV/0!</v>
      </c>
      <c r="H39" s="18" t="e">
        <f>'31'!H36</f>
        <v>#DIV/0!</v>
      </c>
      <c r="I39" s="18" t="e">
        <f>'31'!I36</f>
        <v>#DIV/0!</v>
      </c>
      <c r="J39" s="18" t="e">
        <f>'31'!J36</f>
        <v>#DIV/0!</v>
      </c>
      <c r="K39" s="18" t="e">
        <f>'31'!K36</f>
        <v>#DIV/0!</v>
      </c>
      <c r="L39" s="18" t="e">
        <f>'31'!L36</f>
        <v>#DIV/0!</v>
      </c>
      <c r="M39" s="18" t="e">
        <f>'31'!M36</f>
        <v>#DIV/0!</v>
      </c>
      <c r="N39" s="18" t="e">
        <f>'31'!N36</f>
        <v>#DIV/0!</v>
      </c>
      <c r="O39" s="18" t="e">
        <f>'31'!O36</f>
        <v>#DIV/0!</v>
      </c>
      <c r="P39" s="18" t="e">
        <f>'31'!P36</f>
        <v>#DIV/0!</v>
      </c>
      <c r="Q39" s="18" t="e">
        <f>'31'!Q36</f>
        <v>#DIV/0!</v>
      </c>
      <c r="R39" s="39"/>
      <c r="S39" s="39"/>
      <c r="T39" s="39"/>
      <c r="U39" s="40"/>
    </row>
    <row r="40" spans="1:21" s="1" customFormat="1">
      <c r="A40"/>
      <c r="R40" s="41"/>
      <c r="S40" s="41"/>
      <c r="T40" s="41"/>
      <c r="U40" s="41"/>
    </row>
    <row r="41" spans="1:21" s="1" customFormat="1">
      <c r="A41" s="3" t="s">
        <v>48</v>
      </c>
      <c r="B41" s="20" t="e">
        <f t="shared" ref="B41:Q41" si="0">MIN(B9:B38)</f>
        <v>#DIV/0!</v>
      </c>
      <c r="C41" s="20" t="e">
        <f t="shared" si="0"/>
        <v>#DIV/0!</v>
      </c>
      <c r="D41" s="20" t="e">
        <f t="shared" si="0"/>
        <v>#DIV/0!</v>
      </c>
      <c r="E41" s="20" t="e">
        <f t="shared" si="0"/>
        <v>#DIV/0!</v>
      </c>
      <c r="F41" s="20" t="e">
        <f t="shared" si="0"/>
        <v>#DIV/0!</v>
      </c>
      <c r="G41" s="20" t="e">
        <f t="shared" si="0"/>
        <v>#DIV/0!</v>
      </c>
      <c r="H41" s="20" t="e">
        <f t="shared" si="0"/>
        <v>#DIV/0!</v>
      </c>
      <c r="I41" s="20" t="e">
        <f t="shared" si="0"/>
        <v>#DIV/0!</v>
      </c>
      <c r="J41" s="20" t="e">
        <f t="shared" si="0"/>
        <v>#DIV/0!</v>
      </c>
      <c r="K41" s="20" t="e">
        <f t="shared" si="0"/>
        <v>#DIV/0!</v>
      </c>
      <c r="L41" s="20" t="e">
        <f t="shared" si="0"/>
        <v>#DIV/0!</v>
      </c>
      <c r="M41" s="20" t="e">
        <f t="shared" si="0"/>
        <v>#DIV/0!</v>
      </c>
      <c r="N41" s="20" t="e">
        <f t="shared" si="0"/>
        <v>#DIV/0!</v>
      </c>
      <c r="O41" s="20" t="e">
        <f t="shared" si="0"/>
        <v>#DIV/0!</v>
      </c>
      <c r="P41" s="20" t="e">
        <f t="shared" si="0"/>
        <v>#DIV/0!</v>
      </c>
      <c r="Q41" s="20" t="e">
        <f t="shared" si="0"/>
        <v>#DIV/0!</v>
      </c>
      <c r="R41" s="41"/>
      <c r="S41" s="41"/>
      <c r="T41" s="41"/>
      <c r="U41" s="41"/>
    </row>
    <row r="42" spans="1:21" s="1" customFormat="1">
      <c r="A42" s="3" t="s">
        <v>49</v>
      </c>
      <c r="B42" s="20" t="e">
        <f t="shared" ref="B42:Q42" si="1">MAX(B9:B38)</f>
        <v>#DIV/0!</v>
      </c>
      <c r="C42" s="20" t="e">
        <f t="shared" si="1"/>
        <v>#DIV/0!</v>
      </c>
      <c r="D42" s="20" t="e">
        <f t="shared" si="1"/>
        <v>#DIV/0!</v>
      </c>
      <c r="E42" s="20" t="e">
        <f t="shared" si="1"/>
        <v>#DIV/0!</v>
      </c>
      <c r="F42" s="20" t="e">
        <f t="shared" si="1"/>
        <v>#DIV/0!</v>
      </c>
      <c r="G42" s="20" t="e">
        <f t="shared" si="1"/>
        <v>#DIV/0!</v>
      </c>
      <c r="H42" s="20" t="e">
        <f t="shared" si="1"/>
        <v>#DIV/0!</v>
      </c>
      <c r="I42" s="20" t="e">
        <f t="shared" si="1"/>
        <v>#DIV/0!</v>
      </c>
      <c r="J42" s="20" t="e">
        <f t="shared" si="1"/>
        <v>#DIV/0!</v>
      </c>
      <c r="K42" s="20" t="e">
        <f t="shared" si="1"/>
        <v>#DIV/0!</v>
      </c>
      <c r="L42" s="20" t="e">
        <f t="shared" si="1"/>
        <v>#DIV/0!</v>
      </c>
      <c r="M42" s="20" t="e">
        <f t="shared" si="1"/>
        <v>#DIV/0!</v>
      </c>
      <c r="N42" s="20" t="e">
        <f t="shared" si="1"/>
        <v>#DIV/0!</v>
      </c>
      <c r="O42" s="20" t="e">
        <f t="shared" si="1"/>
        <v>#DIV/0!</v>
      </c>
      <c r="P42" s="20" t="e">
        <f t="shared" si="1"/>
        <v>#DIV/0!</v>
      </c>
      <c r="Q42" s="20" t="e">
        <f t="shared" si="1"/>
        <v>#DIV/0!</v>
      </c>
      <c r="R42" s="41"/>
      <c r="S42" s="41"/>
      <c r="T42" s="41"/>
      <c r="U42" s="41"/>
    </row>
    <row r="43" spans="1:21" s="1" customFormat="1">
      <c r="A43" s="3" t="s">
        <v>50</v>
      </c>
      <c r="B43" s="20" t="e">
        <f t="shared" ref="B43:Q43" si="2">AVERAGE(B9:B38)</f>
        <v>#DIV/0!</v>
      </c>
      <c r="C43" s="20" t="e">
        <f t="shared" si="2"/>
        <v>#DIV/0!</v>
      </c>
      <c r="D43" s="20" t="e">
        <f t="shared" si="2"/>
        <v>#DIV/0!</v>
      </c>
      <c r="E43" s="20" t="e">
        <f t="shared" si="2"/>
        <v>#DIV/0!</v>
      </c>
      <c r="F43" s="20" t="e">
        <f t="shared" si="2"/>
        <v>#DIV/0!</v>
      </c>
      <c r="G43" s="20" t="e">
        <f t="shared" si="2"/>
        <v>#DIV/0!</v>
      </c>
      <c r="H43" s="20" t="e">
        <f t="shared" si="2"/>
        <v>#DIV/0!</v>
      </c>
      <c r="I43" s="20" t="e">
        <f t="shared" si="2"/>
        <v>#DIV/0!</v>
      </c>
      <c r="J43" s="20" t="e">
        <f t="shared" si="2"/>
        <v>#DIV/0!</v>
      </c>
      <c r="K43" s="20" t="e">
        <f t="shared" si="2"/>
        <v>#DIV/0!</v>
      </c>
      <c r="L43" s="20" t="e">
        <f t="shared" si="2"/>
        <v>#DIV/0!</v>
      </c>
      <c r="M43" s="20" t="e">
        <f t="shared" si="2"/>
        <v>#DIV/0!</v>
      </c>
      <c r="N43" s="20" t="e">
        <f t="shared" si="2"/>
        <v>#DIV/0!</v>
      </c>
      <c r="O43" s="20" t="e">
        <f t="shared" si="2"/>
        <v>#DIV/0!</v>
      </c>
      <c r="P43" s="20" t="e">
        <f t="shared" si="2"/>
        <v>#DIV/0!</v>
      </c>
      <c r="Q43" s="20" t="e">
        <f t="shared" si="2"/>
        <v>#DIV/0!</v>
      </c>
      <c r="R43" s="41"/>
      <c r="S43" s="41"/>
      <c r="T43" s="41"/>
      <c r="U43" s="41"/>
    </row>
    <row r="44" spans="1:21" s="1" customFormat="1">
      <c r="A44" s="3" t="s">
        <v>51</v>
      </c>
      <c r="B44" s="20" t="e">
        <f t="shared" ref="B44:Q44" si="3">STDEV(B9:B38)</f>
        <v>#DIV/0!</v>
      </c>
      <c r="C44" s="20" t="e">
        <f t="shared" si="3"/>
        <v>#DIV/0!</v>
      </c>
      <c r="D44" s="20" t="e">
        <f t="shared" si="3"/>
        <v>#DIV/0!</v>
      </c>
      <c r="E44" s="20" t="e">
        <f t="shared" si="3"/>
        <v>#DIV/0!</v>
      </c>
      <c r="F44" s="20" t="e">
        <f t="shared" si="3"/>
        <v>#DIV/0!</v>
      </c>
      <c r="G44" s="20" t="e">
        <f t="shared" si="3"/>
        <v>#DIV/0!</v>
      </c>
      <c r="H44" s="20" t="e">
        <f t="shared" si="3"/>
        <v>#DIV/0!</v>
      </c>
      <c r="I44" s="20" t="e">
        <f t="shared" si="3"/>
        <v>#DIV/0!</v>
      </c>
      <c r="J44" s="20" t="e">
        <f t="shared" si="3"/>
        <v>#DIV/0!</v>
      </c>
      <c r="K44" s="20" t="e">
        <f t="shared" si="3"/>
        <v>#DIV/0!</v>
      </c>
      <c r="L44" s="20" t="e">
        <f t="shared" si="3"/>
        <v>#DIV/0!</v>
      </c>
      <c r="M44" s="20" t="e">
        <f t="shared" si="3"/>
        <v>#DIV/0!</v>
      </c>
      <c r="N44" s="20" t="e">
        <f t="shared" si="3"/>
        <v>#DIV/0!</v>
      </c>
      <c r="O44" s="20" t="e">
        <f t="shared" si="3"/>
        <v>#DIV/0!</v>
      </c>
      <c r="P44" s="20" t="e">
        <f t="shared" si="3"/>
        <v>#DIV/0!</v>
      </c>
      <c r="Q44" s="20" t="e">
        <f t="shared" si="3"/>
        <v>#DIV/0!</v>
      </c>
      <c r="R44" s="33"/>
      <c r="S44" s="33"/>
      <c r="T44" s="33"/>
      <c r="U44" s="33"/>
    </row>
    <row r="45" spans="1:21" s="1" customFormat="1">
      <c r="A45" s="3" t="s">
        <v>52</v>
      </c>
      <c r="B45" s="6">
        <f t="shared" ref="B45:Q45" si="4">COUNT(B9:B38)</f>
        <v>22</v>
      </c>
      <c r="C45" s="6">
        <f t="shared" si="4"/>
        <v>22</v>
      </c>
      <c r="D45" s="6">
        <f t="shared" si="4"/>
        <v>22</v>
      </c>
      <c r="E45" s="6">
        <f t="shared" si="4"/>
        <v>22</v>
      </c>
      <c r="F45" s="6">
        <f t="shared" si="4"/>
        <v>22</v>
      </c>
      <c r="G45" s="6">
        <f t="shared" si="4"/>
        <v>22</v>
      </c>
      <c r="H45" s="6">
        <f t="shared" si="4"/>
        <v>22</v>
      </c>
      <c r="I45" s="6">
        <f t="shared" si="4"/>
        <v>22</v>
      </c>
      <c r="J45" s="6">
        <f t="shared" si="4"/>
        <v>22</v>
      </c>
      <c r="K45" s="6">
        <f t="shared" si="4"/>
        <v>22</v>
      </c>
      <c r="L45" s="6">
        <f t="shared" si="4"/>
        <v>22</v>
      </c>
      <c r="M45" s="6">
        <f t="shared" si="4"/>
        <v>22</v>
      </c>
      <c r="N45" s="6">
        <f t="shared" si="4"/>
        <v>22</v>
      </c>
      <c r="O45" s="6">
        <f t="shared" si="4"/>
        <v>22</v>
      </c>
      <c r="P45" s="6">
        <f t="shared" si="4"/>
        <v>22</v>
      </c>
      <c r="Q45" s="6">
        <f t="shared" si="4"/>
        <v>22</v>
      </c>
      <c r="R45" s="33"/>
      <c r="S45" s="33"/>
      <c r="T45" s="33"/>
      <c r="U45" s="33"/>
    </row>
    <row r="46" spans="1:21" s="1" customFormat="1">
      <c r="A46" s="3" t="s">
        <v>53</v>
      </c>
      <c r="B46" s="6" t="str">
        <f>IF(B45&gt;=28,"&gt;90%",IF(B45&lt;=28,"&lt;90%"))</f>
        <v>&lt;90%</v>
      </c>
      <c r="C46" s="6" t="str">
        <f t="shared" ref="C46:Q46" si="5">IF(C45&gt;=28,"&gt;90%",IF(C45&lt;=28,"&lt;90%"))</f>
        <v>&lt;90%</v>
      </c>
      <c r="D46" s="6" t="str">
        <f t="shared" si="5"/>
        <v>&lt;90%</v>
      </c>
      <c r="E46" s="6" t="str">
        <f t="shared" si="5"/>
        <v>&lt;90%</v>
      </c>
      <c r="F46" s="6" t="str">
        <f t="shared" si="5"/>
        <v>&lt;90%</v>
      </c>
      <c r="G46" s="6" t="str">
        <f t="shared" si="5"/>
        <v>&lt;90%</v>
      </c>
      <c r="H46" s="6" t="str">
        <f t="shared" si="5"/>
        <v>&lt;90%</v>
      </c>
      <c r="I46" s="6" t="str">
        <f t="shared" si="5"/>
        <v>&lt;90%</v>
      </c>
      <c r="J46" s="6" t="str">
        <f t="shared" si="5"/>
        <v>&lt;90%</v>
      </c>
      <c r="K46" s="6" t="str">
        <f t="shared" si="5"/>
        <v>&lt;90%</v>
      </c>
      <c r="L46" s="6" t="str">
        <f t="shared" si="5"/>
        <v>&lt;90%</v>
      </c>
      <c r="M46" s="6" t="str">
        <f t="shared" si="5"/>
        <v>&lt;90%</v>
      </c>
      <c r="N46" s="6" t="str">
        <f t="shared" si="5"/>
        <v>&lt;90%</v>
      </c>
      <c r="O46" s="6" t="str">
        <f t="shared" si="5"/>
        <v>&lt;90%</v>
      </c>
      <c r="P46" s="6" t="str">
        <f t="shared" si="5"/>
        <v>&lt;90%</v>
      </c>
      <c r="Q46" s="6" t="str">
        <f t="shared" si="5"/>
        <v>&lt;90%</v>
      </c>
      <c r="R46" s="33"/>
      <c r="S46" s="33"/>
      <c r="T46" s="33"/>
      <c r="U46" s="33"/>
    </row>
    <row r="47" spans="1:21">
      <c r="A47" s="3" t="s">
        <v>54</v>
      </c>
      <c r="B47" s="6" t="str">
        <f>IF(B45&gt;=28,"OK",IF(B45&lt;=28,"LESS"))</f>
        <v>LESS</v>
      </c>
      <c r="C47" s="6" t="str">
        <f t="shared" ref="C47:Q47" si="6">IF(C45&gt;=28,"OK",IF(C45&lt;=28,"LESS"))</f>
        <v>LESS</v>
      </c>
      <c r="D47" s="6" t="str">
        <f t="shared" si="6"/>
        <v>LESS</v>
      </c>
      <c r="E47" s="6" t="str">
        <f t="shared" si="6"/>
        <v>LESS</v>
      </c>
      <c r="F47" s="6" t="str">
        <f t="shared" si="6"/>
        <v>LESS</v>
      </c>
      <c r="G47" s="6" t="str">
        <f t="shared" si="6"/>
        <v>LESS</v>
      </c>
      <c r="H47" s="6" t="str">
        <f t="shared" si="6"/>
        <v>LESS</v>
      </c>
      <c r="I47" s="6" t="str">
        <f t="shared" si="6"/>
        <v>LESS</v>
      </c>
      <c r="J47" s="6" t="str">
        <f t="shared" si="6"/>
        <v>LESS</v>
      </c>
      <c r="K47" s="6" t="str">
        <f t="shared" si="6"/>
        <v>LESS</v>
      </c>
      <c r="L47" s="6" t="str">
        <f t="shared" si="6"/>
        <v>LESS</v>
      </c>
      <c r="M47" s="6" t="str">
        <f t="shared" si="6"/>
        <v>LESS</v>
      </c>
      <c r="N47" s="6" t="str">
        <f t="shared" si="6"/>
        <v>LESS</v>
      </c>
      <c r="O47" s="6" t="str">
        <f t="shared" si="6"/>
        <v>LESS</v>
      </c>
      <c r="P47" s="6" t="str">
        <f t="shared" si="6"/>
        <v>LESS</v>
      </c>
      <c r="Q47" s="6" t="str">
        <f t="shared" si="6"/>
        <v>LESS</v>
      </c>
      <c r="R47" s="1"/>
      <c r="S47" s="1"/>
      <c r="T47" s="1"/>
    </row>
    <row r="48" spans="1:21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50" spans="1:16">
      <c r="A50" s="3" t="s">
        <v>55</v>
      </c>
      <c r="B50" s="21" t="s">
        <v>56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22"/>
      <c r="B51" s="1"/>
      <c r="C51" s="1"/>
      <c r="D51" s="23"/>
      <c r="E51" s="23"/>
      <c r="F51" s="23"/>
      <c r="G51" s="23"/>
      <c r="H51" s="23"/>
      <c r="I51" s="23"/>
      <c r="J51" s="1"/>
      <c r="K51" s="1"/>
      <c r="L51" s="1"/>
      <c r="M51" s="1"/>
      <c r="N51" s="1"/>
      <c r="O51" s="1"/>
      <c r="P51" s="1"/>
    </row>
    <row r="52" spans="1:16" ht="15.75">
      <c r="A52" s="24" t="s">
        <v>57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</row>
    <row r="53" spans="1:16">
      <c r="A53" s="22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22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22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</sheetData>
  <mergeCells count="1">
    <mergeCell ref="B52:P5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31</vt:lpstr>
    </vt:vector>
  </TitlesOfParts>
  <Company>wbpcb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Lenovo</cp:lastModifiedBy>
  <cp:lastPrinted>2018-07-30T12:51:00Z</cp:lastPrinted>
  <dcterms:created xsi:type="dcterms:W3CDTF">2013-08-23T16:44:00Z</dcterms:created>
  <dcterms:modified xsi:type="dcterms:W3CDTF">2024-06-26T16:34:37Z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7EA9ECEE773C45D5B6E24CE40B3C9EEF</vt:lpwstr>
  </property>
  <property fmtid="{D5CDD505-2E9C-101B-9397-08002B2CF9AE}" pid="3" name="KSOProductBuildVer">
    <vt:lpwstr>1033-11.2.0.11219</vt:lpwstr>
  </property>
</Properties>
</file>