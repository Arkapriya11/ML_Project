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firstSheet="9" activeTab="32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MONTHLY 30" sheetId="39" r:id="rId31"/>
    <sheet name="CALIBRATION REPORT" sheetId="6" r:id="rId32"/>
    <sheet name="POWER OFF" sheetId="5" r:id="rId33"/>
    <sheet name="MUX SIGNALS" sheetId="43" r:id="rId34"/>
  </sheets>
  <calcPr calcId="124519"/>
</workbook>
</file>

<file path=xl/calcChain.xml><?xml version="1.0" encoding="utf-8"?>
<calcChain xmlns="http://schemas.openxmlformats.org/spreadsheetml/2006/main">
  <c r="B111" i="32"/>
  <c r="D23" i="5"/>
  <c r="D22"/>
  <c r="D21"/>
  <c r="D20"/>
  <c r="D19"/>
  <c r="D18"/>
  <c r="D17"/>
  <c r="D16"/>
  <c r="D15"/>
  <c r="D14"/>
  <c r="D13"/>
  <c r="D12"/>
  <c r="D11"/>
  <c r="D10"/>
  <c r="D9"/>
  <c r="D8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P38" i="39"/>
  <c r="H38"/>
  <c r="E38"/>
  <c r="E37"/>
  <c r="D37"/>
  <c r="N36"/>
  <c r="E36"/>
  <c r="M33"/>
  <c r="J33"/>
  <c r="I33"/>
  <c r="E33"/>
  <c r="B33"/>
  <c r="Q32"/>
  <c r="O32"/>
  <c r="J32"/>
  <c r="E32"/>
  <c r="D30"/>
  <c r="O29"/>
  <c r="L29"/>
  <c r="J29"/>
  <c r="H29"/>
  <c r="D29"/>
  <c r="D28"/>
  <c r="D27"/>
  <c r="D26"/>
  <c r="D25"/>
  <c r="D24"/>
  <c r="C24"/>
  <c r="D23"/>
  <c r="C23"/>
  <c r="D22"/>
  <c r="C22"/>
  <c r="D20"/>
  <c r="C20"/>
  <c r="D19"/>
  <c r="C19"/>
  <c r="B19"/>
  <c r="D15"/>
  <c r="D14"/>
  <c r="F12"/>
  <c r="F11"/>
  <c r="F10"/>
  <c r="K9"/>
  <c r="D9"/>
  <c r="Q110" i="4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8" i="39" s="1"/>
  <c r="P108" i="40"/>
  <c r="O108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G108"/>
  <c r="G38" i="39" s="1"/>
  <c r="F108" i="40"/>
  <c r="F38" i="39" s="1"/>
  <c r="E108" i="40"/>
  <c r="D108"/>
  <c r="D38" i="39" s="1"/>
  <c r="C108" i="40"/>
  <c r="C38" i="39" s="1"/>
  <c r="B108" i="40"/>
  <c r="B38" i="39" s="1"/>
  <c r="Q107" i="4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0" i="44"/>
  <c r="Q112" s="1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D108"/>
  <c r="C108"/>
  <c r="C37" i="39" s="1"/>
  <c r="B108" i="44"/>
  <c r="B37" i="39" s="1"/>
  <c r="Q107" i="4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Q110" i="3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6" i="39" s="1"/>
  <c r="P108" i="33"/>
  <c r="P36" i="39" s="1"/>
  <c r="O108" i="33"/>
  <c r="O36" i="39" s="1"/>
  <c r="N108" i="33"/>
  <c r="M108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D108"/>
  <c r="D36" i="39" s="1"/>
  <c r="C108" i="33"/>
  <c r="C36" i="39" s="1"/>
  <c r="B108" i="33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2" i="32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L112" i="31"/>
  <c r="Q112"/>
  <c r="P112"/>
  <c r="O112"/>
  <c r="N112"/>
  <c r="M111"/>
  <c r="L111"/>
  <c r="K111"/>
  <c r="J111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0" i="3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3" i="39" s="1"/>
  <c r="P108" i="30"/>
  <c r="P33" i="39" s="1"/>
  <c r="O108" i="30"/>
  <c r="O33" i="39" s="1"/>
  <c r="N108" i="30"/>
  <c r="N33" i="39" s="1"/>
  <c r="M108" i="30"/>
  <c r="L108"/>
  <c r="L33" i="39" s="1"/>
  <c r="K108" i="30"/>
  <c r="K33" i="39" s="1"/>
  <c r="J108" i="30"/>
  <c r="I108"/>
  <c r="H108"/>
  <c r="H33" i="39" s="1"/>
  <c r="G108" i="30"/>
  <c r="G33" i="39" s="1"/>
  <c r="F108" i="30"/>
  <c r="F33" i="39" s="1"/>
  <c r="E108" i="30"/>
  <c r="D108"/>
  <c r="D33" i="39" s="1"/>
  <c r="C108" i="30"/>
  <c r="C33" i="39" s="1"/>
  <c r="B108" i="30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Q110" i="2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32" i="39" s="1"/>
  <c r="O108" i="29"/>
  <c r="N108"/>
  <c r="N32" i="39" s="1"/>
  <c r="M108" i="29"/>
  <c r="M32" i="39" s="1"/>
  <c r="L108" i="29"/>
  <c r="L32" i="39" s="1"/>
  <c r="K108" i="29"/>
  <c r="K32" i="39" s="1"/>
  <c r="J108" i="29"/>
  <c r="I108"/>
  <c r="I32" i="39" s="1"/>
  <c r="H108" i="29"/>
  <c r="H32" i="39" s="1"/>
  <c r="G108" i="29"/>
  <c r="G32" i="39" s="1"/>
  <c r="F108" i="29"/>
  <c r="F32" i="39" s="1"/>
  <c r="E108" i="29"/>
  <c r="D108"/>
  <c r="D32" i="39" s="1"/>
  <c r="C108" i="29"/>
  <c r="C32" i="39" s="1"/>
  <c r="B108" i="29"/>
  <c r="B32" i="39" s="1"/>
  <c r="Q107" i="2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Q110" i="2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G112" i="27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1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C108"/>
  <c r="C30" i="39" s="1"/>
  <c r="B108" i="27"/>
  <c r="B30" i="39" s="1"/>
  <c r="Q107" i="2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0" i="2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9" i="39" s="1"/>
  <c r="P108" i="26"/>
  <c r="P29" i="39" s="1"/>
  <c r="O108" i="26"/>
  <c r="N108"/>
  <c r="N29" i="39" s="1"/>
  <c r="M108" i="26"/>
  <c r="M29" i="39" s="1"/>
  <c r="L108" i="26"/>
  <c r="K108"/>
  <c r="K29" i="39" s="1"/>
  <c r="J108" i="26"/>
  <c r="I108"/>
  <c r="I29" i="39" s="1"/>
  <c r="H108" i="26"/>
  <c r="G108"/>
  <c r="G29" i="39" s="1"/>
  <c r="F108" i="26"/>
  <c r="F29" i="39" s="1"/>
  <c r="E108" i="26"/>
  <c r="E29" i="39" s="1"/>
  <c r="D108" i="26"/>
  <c r="C108"/>
  <c r="C29" i="39" s="1"/>
  <c r="B108" i="26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0" i="2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C108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Q110" i="24"/>
  <c r="Q111" s="1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1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C108"/>
  <c r="C27" i="39" s="1"/>
  <c r="B108" i="24"/>
  <c r="B27" i="39" s="1"/>
  <c r="Q107" i="2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Q110" i="2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1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C108"/>
  <c r="C26" i="39" s="1"/>
  <c r="B108" i="23"/>
  <c r="B26" i="39" s="1"/>
  <c r="Q107" i="2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Q110" i="2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C108"/>
  <c r="C25" i="39" s="1"/>
  <c r="B108" i="22"/>
  <c r="B25" i="39" s="1"/>
  <c r="Q107" i="2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Q110" i="21"/>
  <c r="Q111" s="1"/>
  <c r="P110"/>
  <c r="P112" s="1"/>
  <c r="O110"/>
  <c r="O111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C108"/>
  <c r="B108"/>
  <c r="B24" i="39" s="1"/>
  <c r="Q107" i="2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0" i="20"/>
  <c r="Q112" s="1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C108"/>
  <c r="B108"/>
  <c r="B23" i="39" s="1"/>
  <c r="Q107" i="2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Q110" i="19"/>
  <c r="Q112" s="1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C108"/>
  <c r="B108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2" i="18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O111" i="17"/>
  <c r="Q110"/>
  <c r="Q112" s="1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C108"/>
  <c r="B108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Q112" i="15"/>
  <c r="P112"/>
  <c r="O111"/>
  <c r="N111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2" i="14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1" i="13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0" i="1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C108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C108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2" i="10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1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E108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Q110" i="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E108"/>
  <c r="E11" i="39" s="1"/>
  <c r="D108" i="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Q110" i="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E108"/>
  <c r="E10" i="39" s="1"/>
  <c r="D108" i="3"/>
  <c r="D10" i="39" s="1"/>
  <c r="C108" i="3"/>
  <c r="C10" i="39" s="1"/>
  <c r="B108" i="3"/>
  <c r="B10" i="39" s="1"/>
  <c r="Q107" i="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J108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C108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N111" i="40" l="1"/>
  <c r="M111"/>
  <c r="L111"/>
  <c r="K111"/>
  <c r="J111"/>
  <c r="I111"/>
  <c r="H111"/>
  <c r="G111"/>
  <c r="F111"/>
  <c r="E111"/>
  <c r="D111"/>
  <c r="C111"/>
  <c r="B111"/>
  <c r="Q111"/>
  <c r="P111"/>
  <c r="O111"/>
  <c r="K111" i="44"/>
  <c r="J111"/>
  <c r="I111"/>
  <c r="H111"/>
  <c r="G111"/>
  <c r="F111"/>
  <c r="L112"/>
  <c r="E111"/>
  <c r="D111"/>
  <c r="M111"/>
  <c r="C111"/>
  <c r="B111"/>
  <c r="Q111"/>
  <c r="P111"/>
  <c r="O111"/>
  <c r="N111"/>
  <c r="K111" i="33"/>
  <c r="L111"/>
  <c r="J111"/>
  <c r="I111"/>
  <c r="H111"/>
  <c r="G111"/>
  <c r="F111"/>
  <c r="E111"/>
  <c r="D111"/>
  <c r="C111"/>
  <c r="B111"/>
  <c r="Q111"/>
  <c r="P111"/>
  <c r="O111"/>
  <c r="N111"/>
  <c r="M111"/>
  <c r="K111" i="30"/>
  <c r="J111"/>
  <c r="I111"/>
  <c r="H111"/>
  <c r="G111"/>
  <c r="F111"/>
  <c r="E111"/>
  <c r="D111"/>
  <c r="C111"/>
  <c r="B111"/>
  <c r="Q111"/>
  <c r="P111"/>
  <c r="O111"/>
  <c r="N111"/>
  <c r="M111"/>
  <c r="L111"/>
  <c r="H111" i="29"/>
  <c r="G111"/>
  <c r="F111"/>
  <c r="E111"/>
  <c r="D111"/>
  <c r="C111"/>
  <c r="B111"/>
  <c r="Q111"/>
  <c r="P111"/>
  <c r="O111"/>
  <c r="N111"/>
  <c r="M111"/>
  <c r="L111"/>
  <c r="K111"/>
  <c r="J111"/>
  <c r="I111"/>
  <c r="I111" i="28"/>
  <c r="H111"/>
  <c r="G111"/>
  <c r="F111"/>
  <c r="E111"/>
  <c r="D111"/>
  <c r="C111"/>
  <c r="B111"/>
  <c r="Q111"/>
  <c r="P111"/>
  <c r="O111"/>
  <c r="N111"/>
  <c r="M111"/>
  <c r="L111"/>
  <c r="K111"/>
  <c r="J111"/>
  <c r="Q111" i="32"/>
  <c r="P111"/>
  <c r="O111"/>
  <c r="N111"/>
  <c r="M111"/>
  <c r="L111"/>
  <c r="K111"/>
  <c r="J111"/>
  <c r="I111"/>
  <c r="H111"/>
  <c r="G111"/>
  <c r="F111"/>
  <c r="C111"/>
  <c r="E111"/>
  <c r="D111"/>
  <c r="D111" i="31"/>
  <c r="C111"/>
  <c r="B111"/>
  <c r="Q111"/>
  <c r="P111"/>
  <c r="O111"/>
  <c r="N111"/>
  <c r="M112"/>
  <c r="K112"/>
  <c r="J112"/>
  <c r="I111"/>
  <c r="H111"/>
  <c r="G111"/>
  <c r="F111"/>
  <c r="E111"/>
  <c r="F111" i="27"/>
  <c r="E111"/>
  <c r="D111"/>
  <c r="C111"/>
  <c r="B111"/>
  <c r="Q111"/>
  <c r="P111"/>
  <c r="O111"/>
  <c r="N111"/>
  <c r="M111"/>
  <c r="L111"/>
  <c r="K111"/>
  <c r="J111"/>
  <c r="I111"/>
  <c r="H111"/>
  <c r="C111" i="26"/>
  <c r="B111"/>
  <c r="Q111"/>
  <c r="P111"/>
  <c r="O111"/>
  <c r="N111"/>
  <c r="M111"/>
  <c r="L111"/>
  <c r="K111"/>
  <c r="J111"/>
  <c r="I111"/>
  <c r="H111"/>
  <c r="G111"/>
  <c r="F111"/>
  <c r="E111"/>
  <c r="D111"/>
  <c r="B111" i="25"/>
  <c r="Q111"/>
  <c r="P111"/>
  <c r="O111"/>
  <c r="N111"/>
  <c r="C111"/>
  <c r="M111"/>
  <c r="L111"/>
  <c r="K111"/>
  <c r="J111"/>
  <c r="I111"/>
  <c r="H111"/>
  <c r="G111"/>
  <c r="F111"/>
  <c r="E111"/>
  <c r="D111"/>
  <c r="Q112" i="24"/>
  <c r="O111"/>
  <c r="N111"/>
  <c r="B112"/>
  <c r="M111"/>
  <c r="C112"/>
  <c r="L111"/>
  <c r="K111"/>
  <c r="J111"/>
  <c r="I111"/>
  <c r="H111"/>
  <c r="G111"/>
  <c r="F111"/>
  <c r="P112"/>
  <c r="E111"/>
  <c r="D111"/>
  <c r="C112" i="23"/>
  <c r="Q111"/>
  <c r="P111"/>
  <c r="O111"/>
  <c r="N111"/>
  <c r="B112"/>
  <c r="M111"/>
  <c r="L111"/>
  <c r="K111"/>
  <c r="J111"/>
  <c r="I111"/>
  <c r="H111"/>
  <c r="G111"/>
  <c r="F111"/>
  <c r="E111"/>
  <c r="D111"/>
  <c r="C111" i="22"/>
  <c r="B111"/>
  <c r="Q111"/>
  <c r="P111"/>
  <c r="O111"/>
  <c r="N111"/>
  <c r="M111"/>
  <c r="L111"/>
  <c r="K111"/>
  <c r="J111"/>
  <c r="I111"/>
  <c r="H111"/>
  <c r="G111"/>
  <c r="F111"/>
  <c r="E111"/>
  <c r="D111"/>
  <c r="B111" i="21"/>
  <c r="N111"/>
  <c r="M111"/>
  <c r="Q112"/>
  <c r="P111"/>
  <c r="L111"/>
  <c r="K111"/>
  <c r="J111"/>
  <c r="I111"/>
  <c r="H111"/>
  <c r="G111"/>
  <c r="O112"/>
  <c r="F111"/>
  <c r="E111"/>
  <c r="D111"/>
  <c r="C111"/>
  <c r="Q111" i="20"/>
  <c r="O111"/>
  <c r="N111"/>
  <c r="M111"/>
  <c r="L111"/>
  <c r="K111"/>
  <c r="J111"/>
  <c r="I111"/>
  <c r="P112"/>
  <c r="H111"/>
  <c r="G111"/>
  <c r="F111"/>
  <c r="E111"/>
  <c r="D111"/>
  <c r="C111"/>
  <c r="B111"/>
  <c r="N111" i="19"/>
  <c r="M111"/>
  <c r="L111"/>
  <c r="O111"/>
  <c r="K111"/>
  <c r="J111"/>
  <c r="P112"/>
  <c r="I111"/>
  <c r="H111"/>
  <c r="G111"/>
  <c r="F111"/>
  <c r="E111"/>
  <c r="D111"/>
  <c r="C111"/>
  <c r="B111"/>
  <c r="Q111"/>
  <c r="O111" i="18"/>
  <c r="Q111"/>
  <c r="N111"/>
  <c r="P111"/>
  <c r="M111"/>
  <c r="L111"/>
  <c r="K111"/>
  <c r="J111"/>
  <c r="I111"/>
  <c r="H111"/>
  <c r="G111"/>
  <c r="F111"/>
  <c r="E111"/>
  <c r="D111"/>
  <c r="C111"/>
  <c r="B111"/>
  <c r="N111" i="17"/>
  <c r="M111"/>
  <c r="L111"/>
  <c r="K111"/>
  <c r="P112"/>
  <c r="J111"/>
  <c r="I111"/>
  <c r="H111"/>
  <c r="G111"/>
  <c r="F111"/>
  <c r="E111"/>
  <c r="D111"/>
  <c r="C111"/>
  <c r="B111"/>
  <c r="Q111"/>
  <c r="L111" i="16"/>
  <c r="K111"/>
  <c r="J111"/>
  <c r="I111"/>
  <c r="H111"/>
  <c r="G111"/>
  <c r="F111"/>
  <c r="M111"/>
  <c r="E111"/>
  <c r="D111"/>
  <c r="C111"/>
  <c r="B111"/>
  <c r="N111"/>
  <c r="Q111"/>
  <c r="P111"/>
  <c r="O111"/>
  <c r="L111" i="15"/>
  <c r="K111"/>
  <c r="J111"/>
  <c r="I111"/>
  <c r="H111"/>
  <c r="O112"/>
  <c r="N112"/>
  <c r="G111"/>
  <c r="F111"/>
  <c r="M111"/>
  <c r="E111"/>
  <c r="D111"/>
  <c r="C111"/>
  <c r="B111"/>
  <c r="Q111"/>
  <c r="P111"/>
  <c r="P111" i="14"/>
  <c r="O111"/>
  <c r="N111"/>
  <c r="M111"/>
  <c r="L111"/>
  <c r="K111"/>
  <c r="J111"/>
  <c r="I111"/>
  <c r="H111"/>
  <c r="G111"/>
  <c r="F111"/>
  <c r="E111"/>
  <c r="D111"/>
  <c r="C111"/>
  <c r="B111"/>
  <c r="Q111"/>
  <c r="D24" i="5"/>
  <c r="D44" s="1"/>
  <c r="Q112" i="13"/>
  <c r="P111"/>
  <c r="O111"/>
  <c r="N111"/>
  <c r="M111"/>
  <c r="L111"/>
  <c r="K111"/>
  <c r="J111"/>
  <c r="I111"/>
  <c r="H111"/>
  <c r="G111"/>
  <c r="F111"/>
  <c r="E111"/>
  <c r="D111"/>
  <c r="C111"/>
  <c r="B111"/>
  <c r="P111" i="12"/>
  <c r="O111"/>
  <c r="N111"/>
  <c r="M111"/>
  <c r="L111"/>
  <c r="K111"/>
  <c r="J111"/>
  <c r="I111"/>
  <c r="H111"/>
  <c r="G111"/>
  <c r="F111"/>
  <c r="Q111"/>
  <c r="E111"/>
  <c r="D111"/>
  <c r="C111"/>
  <c r="B111"/>
  <c r="P111" i="11"/>
  <c r="O111"/>
  <c r="N111"/>
  <c r="M111"/>
  <c r="Q111"/>
  <c r="L111"/>
  <c r="K111"/>
  <c r="J111"/>
  <c r="I111"/>
  <c r="H111"/>
  <c r="G111"/>
  <c r="F111"/>
  <c r="E111"/>
  <c r="D111"/>
  <c r="C111"/>
  <c r="B111"/>
  <c r="D111" i="10"/>
  <c r="C111"/>
  <c r="B111"/>
  <c r="Q111"/>
  <c r="P111"/>
  <c r="O111"/>
  <c r="N111"/>
  <c r="M111"/>
  <c r="L111"/>
  <c r="K111"/>
  <c r="J111"/>
  <c r="I111"/>
  <c r="H111"/>
  <c r="G111"/>
  <c r="F111"/>
  <c r="E111"/>
  <c r="C111" i="9"/>
  <c r="B111"/>
  <c r="Q111"/>
  <c r="P111"/>
  <c r="O111"/>
  <c r="N111"/>
  <c r="M111"/>
  <c r="D112"/>
  <c r="L111"/>
  <c r="K111"/>
  <c r="J111"/>
  <c r="I111"/>
  <c r="H111"/>
  <c r="G111"/>
  <c r="F111"/>
  <c r="E111"/>
  <c r="C111" i="8"/>
  <c r="B111"/>
  <c r="Q111"/>
  <c r="P111"/>
  <c r="O111"/>
  <c r="N111"/>
  <c r="M111"/>
  <c r="L111"/>
  <c r="K111"/>
  <c r="J111"/>
  <c r="I111"/>
  <c r="D111"/>
  <c r="H111"/>
  <c r="G111"/>
  <c r="F111"/>
  <c r="E111"/>
  <c r="C111" i="3"/>
  <c r="C44" i="39"/>
  <c r="C46" s="1"/>
  <c r="B111" i="3"/>
  <c r="Q111"/>
  <c r="Q44" i="39"/>
  <c r="Q45" s="1"/>
  <c r="P111" i="3"/>
  <c r="B44" i="39"/>
  <c r="B45" s="1"/>
  <c r="P44"/>
  <c r="P45" s="1"/>
  <c r="O111" i="3"/>
  <c r="K44" i="39"/>
  <c r="K45" s="1"/>
  <c r="D111" i="3"/>
  <c r="O44" i="39"/>
  <c r="O46" s="1"/>
  <c r="N111" i="3"/>
  <c r="D44" i="39"/>
  <c r="D45" s="1"/>
  <c r="E44"/>
  <c r="E45" s="1"/>
  <c r="N44"/>
  <c r="N46" s="1"/>
  <c r="M111" i="3"/>
  <c r="L111"/>
  <c r="L44" i="39"/>
  <c r="L46" s="1"/>
  <c r="K111" i="3"/>
  <c r="J111"/>
  <c r="J44" i="39"/>
  <c r="J45" s="1"/>
  <c r="I111" i="3"/>
  <c r="H111"/>
  <c r="G111"/>
  <c r="M44" i="39"/>
  <c r="M46" s="1"/>
  <c r="I44"/>
  <c r="I45" s="1"/>
  <c r="H44"/>
  <c r="H45" s="1"/>
  <c r="G44"/>
  <c r="G46" s="1"/>
  <c r="F111" i="3"/>
  <c r="F44" i="39"/>
  <c r="F45" s="1"/>
  <c r="E111" i="3"/>
  <c r="H111" i="2"/>
  <c r="C111"/>
  <c r="B111"/>
  <c r="P111"/>
  <c r="O111"/>
  <c r="Q111"/>
  <c r="N111"/>
  <c r="M111"/>
  <c r="L111"/>
  <c r="K111"/>
  <c r="J111"/>
  <c r="I111"/>
  <c r="G111"/>
  <c r="F111"/>
  <c r="E111"/>
  <c r="D111"/>
  <c r="F40" i="39"/>
  <c r="F41"/>
  <c r="F42"/>
  <c r="F43"/>
  <c r="E40"/>
  <c r="E41"/>
  <c r="E42"/>
  <c r="E43"/>
  <c r="D40"/>
  <c r="D41"/>
  <c r="D42"/>
  <c r="D43"/>
  <c r="C40"/>
  <c r="C41"/>
  <c r="C42"/>
  <c r="C43"/>
  <c r="B40"/>
  <c r="B41"/>
  <c r="B42"/>
  <c r="B43"/>
  <c r="Q40"/>
  <c r="Q41"/>
  <c r="Q42"/>
  <c r="Q43"/>
  <c r="P40"/>
  <c r="P41"/>
  <c r="P42"/>
  <c r="P43"/>
  <c r="O40"/>
  <c r="O41"/>
  <c r="O42"/>
  <c r="O43"/>
  <c r="N40"/>
  <c r="N41"/>
  <c r="N42"/>
  <c r="N43"/>
  <c r="M40"/>
  <c r="M41"/>
  <c r="M42"/>
  <c r="M43"/>
  <c r="L40"/>
  <c r="L41"/>
  <c r="L42"/>
  <c r="L43"/>
  <c r="K40"/>
  <c r="K41"/>
  <c r="K42"/>
  <c r="K43"/>
  <c r="J40"/>
  <c r="J41"/>
  <c r="J42"/>
  <c r="J43"/>
  <c r="I40"/>
  <c r="I41"/>
  <c r="I42"/>
  <c r="I43"/>
  <c r="H40"/>
  <c r="H41"/>
  <c r="H42"/>
  <c r="H43"/>
  <c r="G40"/>
  <c r="G41"/>
  <c r="G42"/>
  <c r="G43"/>
  <c r="D46" l="1"/>
  <c r="E46"/>
  <c r="F46"/>
  <c r="O45"/>
  <c r="K46"/>
  <c r="P46"/>
  <c r="M45"/>
  <c r="G45"/>
  <c r="I46"/>
  <c r="H46"/>
  <c r="N45"/>
  <c r="L45"/>
  <c r="C45"/>
  <c r="J46"/>
  <c r="B46"/>
  <c r="Q46"/>
</calcChain>
</file>

<file path=xl/sharedStrings.xml><?xml version="1.0" encoding="utf-8"?>
<sst xmlns="http://schemas.openxmlformats.org/spreadsheetml/2006/main" count="6142" uniqueCount="815">
  <si>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</si>
  <si>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</si>
  <si>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</si>
  <si>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</si>
  <si>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</si>
  <si>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</si>
  <si>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</si>
  <si>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</si>
  <si>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</si>
  <si>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</si>
  <si>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</si>
  <si>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</si>
  <si>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</si>
  <si>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</si>
  <si>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</si>
  <si>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</si>
  <si>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</si>
  <si>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</si>
  <si>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</si>
  <si>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</si>
  <si>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</si>
  <si>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</si>
  <si>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</si>
  <si>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</si>
  <si>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</si>
  <si>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</si>
  <si>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</si>
  <si>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</si>
  <si>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</si>
  <si>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</si>
  <si>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</si>
  <si>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</si>
  <si>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</si>
  <si>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</si>
  <si>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</si>
  <si>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</si>
  <si>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</si>
  <si>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</si>
  <si>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</si>
  <si>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</si>
  <si>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</si>
  <si>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</si>
  <si>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</si>
  <si>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</si>
  <si>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</si>
  <si>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</si>
  <si>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</si>
  <si>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</si>
  <si>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</si>
  <si>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</si>
  <si>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</si>
  <si>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</si>
  <si>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</si>
  <si>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</si>
  <si>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</si>
  <si>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</si>
  <si>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</si>
  <si>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</si>
  <si>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</si>
  <si>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</si>
  <si>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</si>
  <si>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</si>
  <si>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</si>
  <si>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</si>
  <si>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</si>
  <si>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</si>
  <si>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</si>
  <si>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</si>
  <si>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</si>
  <si>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</si>
  <si>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</si>
  <si>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</si>
  <si>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</si>
  <si>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</si>
  <si>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</si>
  <si>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</si>
  <si>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</si>
  <si>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</si>
  <si>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</si>
  <si>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</si>
  <si>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</si>
  <si>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</si>
  <si>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family val="2"/>
      </rP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</si>
  <si>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</si>
  <si>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</si>
  <si>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</si>
  <si>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</si>
  <si>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family val="2"/>
      </rP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</si>
  <si>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</si>
  <si>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</si>
  <si>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CO</t>
    </r>
    <r>
      <rPr>
        <b/>
        <sz val="10"/>
        <color indexed="9"/>
        <rFont val="Arial"/>
        <family val="2"/>
      </rPr>
      <t xml:space="preserve"> ARE </t>
    </r>
  </si>
  <si>
    <t>VOC</t>
  </si>
  <si>
    <r>
      <rPr>
        <b/>
        <sz val="10"/>
        <color theme="0"/>
        <rFont val="Arial"/>
        <family val="2"/>
      </rP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</si>
  <si>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O3</t>
  </si>
  <si>
    <r>
      <rPr>
        <b/>
        <sz val="10"/>
        <color theme="0"/>
        <rFont val="Arial"/>
        <family val="2"/>
      </rP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</si>
  <si>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</si>
  <si>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</si>
  <si>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</si>
  <si>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</si>
  <si>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</si>
  <si>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</si>
  <si>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</si>
  <si>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</si>
  <si>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</si>
  <si>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</si>
  <si>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</si>
  <si>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</si>
  <si>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</si>
  <si>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</si>
  <si>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</si>
  <si>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</si>
  <si>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</si>
  <si>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</si>
  <si>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</si>
  <si>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</si>
  <si>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</si>
  <si>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</si>
  <si>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</si>
  <si>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</si>
  <si>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</si>
  <si>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</si>
  <si>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</si>
  <si>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</si>
  <si>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</si>
  <si>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</si>
  <si>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</si>
  <si>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</si>
  <si>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</si>
  <si>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</si>
  <si>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</si>
  <si>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</si>
  <si>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</si>
  <si>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</si>
  <si>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</si>
  <si>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</si>
  <si>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</si>
  <si>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</si>
  <si>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</si>
  <si>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</si>
  <si>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</si>
  <si>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</si>
  <si>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</si>
  <si>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</si>
  <si>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</si>
  <si>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</si>
  <si>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</si>
  <si>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</si>
  <si>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</si>
  <si>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</si>
  <si>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</si>
  <si>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</si>
  <si>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</si>
  <si>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</si>
  <si>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</si>
  <si>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</si>
  <si>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</si>
  <si>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</si>
  <si>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</si>
  <si>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</si>
  <si>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</si>
  <si>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</si>
  <si>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</si>
  <si>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</si>
  <si>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</si>
  <si>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</si>
  <si>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</si>
  <si>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</si>
  <si>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</si>
  <si>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</si>
  <si>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</si>
  <si>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</si>
  <si>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</si>
  <si>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</si>
  <si>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</si>
  <si>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</si>
  <si>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</si>
  <si>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</si>
  <si>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</si>
  <si>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</si>
  <si>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</si>
  <si>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</si>
  <si>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</si>
  <si>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</si>
  <si>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</si>
  <si>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</si>
  <si>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</si>
  <si>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</si>
  <si>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</si>
  <si>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</si>
  <si>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</si>
  <si>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</si>
  <si>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</si>
  <si>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</si>
  <si>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</si>
  <si>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</si>
  <si>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</si>
  <si>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</si>
  <si>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</si>
  <si>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</si>
  <si>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</si>
  <si>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</si>
  <si>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</si>
  <si>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</si>
  <si>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</si>
  <si>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</si>
  <si>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</si>
  <si>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</si>
  <si>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</si>
  <si>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</si>
  <si>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</si>
  <si>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</si>
  <si>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</si>
  <si>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</si>
  <si>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</si>
  <si>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</si>
  <si>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</si>
  <si>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</si>
  <si>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</si>
  <si>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</si>
  <si>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</si>
  <si>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</si>
  <si>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</si>
  <si>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</si>
  <si>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</si>
  <si>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</si>
  <si>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</si>
  <si>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</si>
  <si>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</si>
  <si>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</si>
  <si>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</si>
  <si>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</si>
  <si>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</si>
  <si>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</si>
  <si>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</si>
  <si>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</si>
  <si>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</si>
  <si>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</si>
  <si>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</si>
  <si>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01/06/2024 00:15 - 30/06/2024 00:00</t>
  </si>
  <si>
    <t>23/06/2024 00:15</t>
  </si>
  <si>
    <t>23/06/2024 00:30</t>
  </si>
  <si>
    <t>23/06/2024 00:45</t>
  </si>
  <si>
    <t>23/06/2024 01:00</t>
  </si>
  <si>
    <t>23/06/2024 01:15</t>
  </si>
  <si>
    <t>23/06/2024 01:30</t>
  </si>
  <si>
    <t>23/06/2024 01:45</t>
  </si>
  <si>
    <t>23/06/2024 02:00</t>
  </si>
  <si>
    <t>23/06/2024 02:15</t>
  </si>
  <si>
    <t>23/06/2024 02:30</t>
  </si>
  <si>
    <t>23/06/2024 02:45</t>
  </si>
  <si>
    <t>23/06/2024 03:00</t>
  </si>
  <si>
    <t>23/06/2024 03:15</t>
  </si>
  <si>
    <t>23/06/2024 03:30</t>
  </si>
  <si>
    <t>23/06/2024 03:45</t>
  </si>
  <si>
    <t>23/06/2024 04:00</t>
  </si>
  <si>
    <t>23/06/2024 04:15</t>
  </si>
  <si>
    <t>23/06/2024 04:30</t>
  </si>
  <si>
    <t>23/06/2024 04:45</t>
  </si>
  <si>
    <t>23/06/2024 05:00</t>
  </si>
  <si>
    <t>23/06/2024 05:15</t>
  </si>
  <si>
    <t>23/06/2024 05:30</t>
  </si>
  <si>
    <t>23/06/2024 05:45</t>
  </si>
  <si>
    <t>23/06/2024 06:00</t>
  </si>
  <si>
    <t>23/06/2024 06:15</t>
  </si>
  <si>
    <t>23/06/2024 06:30</t>
  </si>
  <si>
    <t>23/06/2024 06:45</t>
  </si>
  <si>
    <t>23/06/2024 07:00</t>
  </si>
  <si>
    <t>23/06/2024 07:15</t>
  </si>
  <si>
    <t>23/06/2024 07:30</t>
  </si>
  <si>
    <t>23/06/2024 07:45</t>
  </si>
  <si>
    <t>23/06/2024 08:00</t>
  </si>
  <si>
    <t>23/06/2024 08:15</t>
  </si>
  <si>
    <t>23/06/2024 08:30</t>
  </si>
  <si>
    <t>23/06/2024 08:45</t>
  </si>
  <si>
    <t>23/06/2024 09:00</t>
  </si>
  <si>
    <t>23/06/2024 09:15</t>
  </si>
  <si>
    <t>23/06/2024 09:30</t>
  </si>
  <si>
    <t>23/06/2024 09:45</t>
  </si>
  <si>
    <t>23/06/2024 10:00</t>
  </si>
  <si>
    <t>23/06/2024 10:15</t>
  </si>
  <si>
    <t>23/06/2024 10:30</t>
  </si>
  <si>
    <t>23/06/2024 10:45</t>
  </si>
  <si>
    <t>23/06/2024 11:00</t>
  </si>
  <si>
    <t>23/06/2024 11:15</t>
  </si>
  <si>
    <t>23/06/2024 11:30</t>
  </si>
  <si>
    <t>23/06/2024 11:45</t>
  </si>
  <si>
    <t>23/06/2024 12:00</t>
  </si>
  <si>
    <t>23/06/2024 12:15</t>
  </si>
  <si>
    <t>23/06/2024 12:30</t>
  </si>
  <si>
    <t>23/06/2024 12:45</t>
  </si>
  <si>
    <t>23/06/2024 13:00</t>
  </si>
  <si>
    <t>23/06/2024 13:15</t>
  </si>
  <si>
    <t>23/06/2024 13:30</t>
  </si>
  <si>
    <t>23/06/2024 13:45</t>
  </si>
  <si>
    <t>23/06/2024 14:00</t>
  </si>
  <si>
    <t>23/06/2024 14:15</t>
  </si>
  <si>
    <t>23/06/2024 14:30</t>
  </si>
  <si>
    <t>23/06/2024 14:45</t>
  </si>
  <si>
    <t>23/06/2024 15:00</t>
  </si>
  <si>
    <t>23/06/2024 15:15</t>
  </si>
  <si>
    <t>23/06/2024 15:30</t>
  </si>
  <si>
    <t>23/06/2024 15:45</t>
  </si>
  <si>
    <t>23/06/2024 16:00</t>
  </si>
  <si>
    <t>23/06/2024 16:15</t>
  </si>
  <si>
    <t>23/06/2024 16:30</t>
  </si>
  <si>
    <t>23/06/2024 16:45</t>
  </si>
  <si>
    <t>23/06/2024 17:00</t>
  </si>
  <si>
    <t>23/06/2024 17:15</t>
  </si>
  <si>
    <t>23/06/2024 17:30</t>
  </si>
  <si>
    <t>23/06/2024 17:45</t>
  </si>
  <si>
    <t>23/06/2024 18:00</t>
  </si>
  <si>
    <t>23/06/2024 18:15</t>
  </si>
  <si>
    <t>23/06/2024 18:30</t>
  </si>
  <si>
    <t>23/06/2024 18:45</t>
  </si>
  <si>
    <t>23/06/2024 19:00</t>
  </si>
  <si>
    <t>23/06/2024 19:15</t>
  </si>
  <si>
    <t>23/06/2024 19:30</t>
  </si>
  <si>
    <t>23/06/2024 19:45</t>
  </si>
  <si>
    <t>23/06/2024 20:00</t>
  </si>
  <si>
    <t>23/06/2024 20:15</t>
  </si>
  <si>
    <t>23/06/2024 20:30</t>
  </si>
  <si>
    <t>23/06/2024 20:45</t>
  </si>
  <si>
    <t>23/06/2024 21:00</t>
  </si>
  <si>
    <t>23/06/2024 21:15</t>
  </si>
  <si>
    <t>23/06/2024 21:30</t>
  </si>
  <si>
    <t>23/06/2024 21:45</t>
  </si>
  <si>
    <t>23/06/2024 22:00</t>
  </si>
  <si>
    <t>23/06/2024 22:15</t>
  </si>
  <si>
    <t>23/06/2024 22:30</t>
  </si>
  <si>
    <t>23/06/2024 22:45</t>
  </si>
  <si>
    <t>23/06/2024 23:00</t>
  </si>
  <si>
    <t>23/06/2024 23:15</t>
  </si>
  <si>
    <t>23/06/2024 23:30</t>
  </si>
  <si>
    <t>23/06/2024 23:45</t>
  </si>
  <si>
    <t>23/06/2024 24:00</t>
  </si>
  <si>
    <t>24/06/2024 00:15</t>
  </si>
  <si>
    <t>24/06/2024 00:30</t>
  </si>
  <si>
    <t>24/06/2024 00:45</t>
  </si>
  <si>
    <t>24/06/2024 01:00</t>
  </si>
  <si>
    <t>24/06/2024 01:15</t>
  </si>
  <si>
    <t>24/06/2024 01:30</t>
  </si>
  <si>
    <t>24/06/2024 01:45</t>
  </si>
  <si>
    <t>24/06/2024 02:00</t>
  </si>
  <si>
    <t>24/06/2024 02:15</t>
  </si>
  <si>
    <t>24/06/2024 02:30</t>
  </si>
  <si>
    <t>24/06/2024 02:45</t>
  </si>
  <si>
    <t>24/06/2024 03:00</t>
  </si>
  <si>
    <t>24/06/2024 03:15</t>
  </si>
  <si>
    <t>24/06/2024 03:30</t>
  </si>
  <si>
    <t>24/06/2024 03:45</t>
  </si>
  <si>
    <t>24/06/2024 04:00</t>
  </si>
  <si>
    <t>24/06/2024 04:15</t>
  </si>
  <si>
    <t>24/06/2024 04:30</t>
  </si>
  <si>
    <t>24/06/2024 04:45</t>
  </si>
  <si>
    <t>24/06/2024 05:00</t>
  </si>
  <si>
    <t>24/06/2024 05:15</t>
  </si>
  <si>
    <t>24/06/2024 05:30</t>
  </si>
  <si>
    <t>24/06/2024 05:45</t>
  </si>
  <si>
    <t>24/06/2024 06:00</t>
  </si>
  <si>
    <t>24/06/2024 06:15</t>
  </si>
  <si>
    <t>24/06/2024 06:30</t>
  </si>
  <si>
    <t>24/06/2024 06:45</t>
  </si>
  <si>
    <t>24/06/2024 07:00</t>
  </si>
  <si>
    <t>24/06/2024 07:15</t>
  </si>
  <si>
    <t>24/06/2024 07:30</t>
  </si>
  <si>
    <t>24/06/2024 07:45</t>
  </si>
  <si>
    <t>24/06/2024 08:00</t>
  </si>
  <si>
    <t>24/06/2024 08:15</t>
  </si>
  <si>
    <t>24/06/2024 08:30</t>
  </si>
  <si>
    <t>24/06/2024 08:45</t>
  </si>
  <si>
    <t>24/06/2024 09:00</t>
  </si>
  <si>
    <t>24/06/2024 09:15</t>
  </si>
  <si>
    <t>24/06/2024 09:30</t>
  </si>
  <si>
    <t>24/06/2024 09:45</t>
  </si>
  <si>
    <t>24/06/2024 10:00</t>
  </si>
  <si>
    <t>24/06/2024 10:15</t>
  </si>
  <si>
    <t>24/06/2024 10:30</t>
  </si>
  <si>
    <t>24/06/2024 10:45</t>
  </si>
  <si>
    <t>24/06/2024 11:00</t>
  </si>
  <si>
    <t>24/06/2024 11:15</t>
  </si>
  <si>
    <t>24/06/2024 11:30</t>
  </si>
  <si>
    <t>24/06/2024 11:45</t>
  </si>
  <si>
    <t>24/06/2024 12:00</t>
  </si>
  <si>
    <t>24/06/2024 12:15</t>
  </si>
  <si>
    <t>24/06/2024 12:30</t>
  </si>
  <si>
    <t>24/06/2024 12:45</t>
  </si>
  <si>
    <t>24/06/2024 13:00</t>
  </si>
  <si>
    <t>24/06/2024 13:15</t>
  </si>
  <si>
    <t>24/06/2024 13:30</t>
  </si>
  <si>
    <t>24/06/2024 13:45</t>
  </si>
  <si>
    <t>24/06/2024 14:00</t>
  </si>
  <si>
    <t>24/06/2024 14:15</t>
  </si>
  <si>
    <t>24/06/2024 14:30</t>
  </si>
  <si>
    <t>24/06/2024 14:45</t>
  </si>
  <si>
    <t>24/06/2024 15:00</t>
  </si>
  <si>
    <t>24/06/2024 15:15</t>
  </si>
  <si>
    <t>24/06/2024 15:30</t>
  </si>
  <si>
    <t>24/06/2024 15:45</t>
  </si>
  <si>
    <t>24/06/2024 16:00</t>
  </si>
  <si>
    <t>24/06/2024 16:15</t>
  </si>
  <si>
    <t>24/06/2024 16:30</t>
  </si>
  <si>
    <t>24/06/2024 16:45</t>
  </si>
  <si>
    <t>24/06/2024 17:00</t>
  </si>
  <si>
    <t>24/06/2024 17:15</t>
  </si>
  <si>
    <t>24/06/2024 17:30</t>
  </si>
  <si>
    <t>24/06/2024 17:45</t>
  </si>
  <si>
    <t>24/06/2024 18:00</t>
  </si>
  <si>
    <t>24/06/2024 18:15</t>
  </si>
  <si>
    <t>24/06/2024 18:30</t>
  </si>
  <si>
    <t>24/06/2024 18:45</t>
  </si>
  <si>
    <t>24/06/2024 19:00</t>
  </si>
  <si>
    <t>24/06/2024 19:15</t>
  </si>
  <si>
    <t>24/06/2024 19:30</t>
  </si>
  <si>
    <t>24/06/2024 19:45</t>
  </si>
  <si>
    <t>24/06/2024 20:00</t>
  </si>
  <si>
    <t>24/06/2024 20:15</t>
  </si>
  <si>
    <t>24/06/2024 20:30</t>
  </si>
  <si>
    <t>24/06/2024 20:45</t>
  </si>
  <si>
    <t>24/06/2024 21:00</t>
  </si>
  <si>
    <t>24/06/2024 21:15</t>
  </si>
  <si>
    <t>24/06/2024 21:30</t>
  </si>
  <si>
    <t>24/06/2024 21:45</t>
  </si>
  <si>
    <t>24/06/2024 22:00</t>
  </si>
  <si>
    <t>24/06/2024 22:15</t>
  </si>
  <si>
    <t>24/06/2024 22:30</t>
  </si>
  <si>
    <t>24/06/2024 22:45</t>
  </si>
  <si>
    <t>24/06/2024 23:00</t>
  </si>
  <si>
    <t>24/06/2024 23:15</t>
  </si>
  <si>
    <t>24/06/2024 23:30</t>
  </si>
  <si>
    <t>24/06/2024 23:45</t>
  </si>
  <si>
    <t>24/06/2024 24:00</t>
  </si>
  <si>
    <t>25/06/2024 00:15</t>
  </si>
  <si>
    <t>25/06/2024 00:30</t>
  </si>
  <si>
    <t>25/06/2024 00:45</t>
  </si>
  <si>
    <t>25/06/2024 01:00</t>
  </si>
  <si>
    <t>25/06/2024 01:15</t>
  </si>
  <si>
    <t>25/06/2024 01:30</t>
  </si>
  <si>
    <t>25/06/2024 01:45</t>
  </si>
  <si>
    <t>25/06/2024 02:00</t>
  </si>
  <si>
    <t>25/06/2024 02:15</t>
  </si>
  <si>
    <t>25/06/2024 02:30</t>
  </si>
  <si>
    <t>25/06/2024 02:45</t>
  </si>
  <si>
    <t>25/06/2024 03:00</t>
  </si>
  <si>
    <t>25/06/2024 03:15</t>
  </si>
  <si>
    <t>25/06/2024 03:30</t>
  </si>
  <si>
    <t>25/06/2024 03:45</t>
  </si>
  <si>
    <t>25/06/2024 04:00</t>
  </si>
  <si>
    <t>25/06/2024 04:15</t>
  </si>
  <si>
    <t>25/06/2024 04:30</t>
  </si>
  <si>
    <t>25/06/2024 04:45</t>
  </si>
  <si>
    <t>25/06/2024 05:00</t>
  </si>
  <si>
    <t>25/06/2024 05:15</t>
  </si>
  <si>
    <t>25/06/2024 05:30</t>
  </si>
  <si>
    <t>25/06/2024 05:45</t>
  </si>
  <si>
    <t>25/06/2024 06:00</t>
  </si>
  <si>
    <t>25/06/2024 06:15</t>
  </si>
  <si>
    <t>25/06/2024 06:30</t>
  </si>
  <si>
    <t>25/06/2024 06:45</t>
  </si>
  <si>
    <t>25/06/2024 07:00</t>
  </si>
  <si>
    <t>25/06/2024 07:15</t>
  </si>
  <si>
    <t>25/06/2024 07:30</t>
  </si>
  <si>
    <t>25/06/2024 07:45</t>
  </si>
  <si>
    <t>25/06/2024 08:00</t>
  </si>
  <si>
    <t>25/06/2024 08:15</t>
  </si>
  <si>
    <t>25/06/2024 08:30</t>
  </si>
  <si>
    <t>25/06/2024 08:45</t>
  </si>
  <si>
    <t>25/06/2024 09:00</t>
  </si>
  <si>
    <t>25/06/2024 09:15</t>
  </si>
  <si>
    <t>25/06/2024 09:30</t>
  </si>
  <si>
    <t>25/06/2024 09:45</t>
  </si>
  <si>
    <t>25/06/2024 10:00</t>
  </si>
  <si>
    <t>25/06/2024 10:15</t>
  </si>
  <si>
    <t>25/06/2024 10:30</t>
  </si>
  <si>
    <t>25/06/2024 10:45</t>
  </si>
  <si>
    <t>25/06/2024 11:00</t>
  </si>
  <si>
    <t>25/06/2024 11:15</t>
  </si>
  <si>
    <t>25/06/2024 11:30</t>
  </si>
  <si>
    <t>25/06/2024 11:45</t>
  </si>
  <si>
    <t>25/06/2024 12:00</t>
  </si>
  <si>
    <t>25/06/2024 12:15</t>
  </si>
  <si>
    <t>25/06/2024 12:30</t>
  </si>
  <si>
    <t>25/06/2024 12:45</t>
  </si>
  <si>
    <t>25/06/2024 13:00</t>
  </si>
  <si>
    <t>25/06/2024 13:15</t>
  </si>
  <si>
    <t>25/06/2024 13:30</t>
  </si>
  <si>
    <t>25/06/2024 13:45</t>
  </si>
  <si>
    <t>25/06/2024 14:00</t>
  </si>
  <si>
    <t>25/06/2024 14:15</t>
  </si>
  <si>
    <t>25/06/2024 14:30</t>
  </si>
  <si>
    <t>25/06/2024 14:45</t>
  </si>
  <si>
    <t>25/06/2024 15:00</t>
  </si>
  <si>
    <t>25/06/2024 15:15</t>
  </si>
  <si>
    <t>25/06/2024 15:30</t>
  </si>
  <si>
    <t>25/06/2024 15:45</t>
  </si>
  <si>
    <t>25/06/2024 16:00</t>
  </si>
  <si>
    <t>25/06/2024 16:15</t>
  </si>
  <si>
    <t>25/06/2024 16:30</t>
  </si>
  <si>
    <t>25/06/2024 16:45</t>
  </si>
  <si>
    <t>25/06/2024 17:00</t>
  </si>
  <si>
    <t>25/06/2024 17:15</t>
  </si>
  <si>
    <t>25/06/2024 17:30</t>
  </si>
  <si>
    <t>25/06/2024 17:45</t>
  </si>
  <si>
    <t>25/06/2024 18:00</t>
  </si>
  <si>
    <t>25/06/2024 18:15</t>
  </si>
  <si>
    <t>25/06/2024 18:30</t>
  </si>
  <si>
    <t>25/06/2024 18:45</t>
  </si>
  <si>
    <t>25/06/2024 19:00</t>
  </si>
  <si>
    <t>25/06/2024 19:15</t>
  </si>
  <si>
    <t>25/06/2024 19:30</t>
  </si>
  <si>
    <t>25/06/2024 19:45</t>
  </si>
  <si>
    <t>25/06/2024 20:00</t>
  </si>
  <si>
    <t>25/06/2024 20:15</t>
  </si>
  <si>
    <t>25/06/2024 20:30</t>
  </si>
  <si>
    <t>25/06/2024 20:45</t>
  </si>
  <si>
    <t>25/06/2024 21:00</t>
  </si>
  <si>
    <t>25/06/2024 21:15</t>
  </si>
  <si>
    <t>25/06/2024 21:30</t>
  </si>
  <si>
    <t>25/06/2024 21:45</t>
  </si>
  <si>
    <t>25/06/2024 22:00</t>
  </si>
  <si>
    <t>25/06/2024 22:15</t>
  </si>
  <si>
    <t>25/06/2024 22:30</t>
  </si>
  <si>
    <t>25/06/2024 22:45</t>
  </si>
  <si>
    <t>25/06/2024 23:00</t>
  </si>
  <si>
    <t>25/06/2024 23:15</t>
  </si>
  <si>
    <t>25/06/2024 23:30</t>
  </si>
  <si>
    <t>25/06/2024 23:45</t>
  </si>
  <si>
    <t>25/06/2024 24:00</t>
  </si>
  <si>
    <t>28/06/2024 00:15</t>
  </si>
  <si>
    <t>28/06/2024 00:30</t>
  </si>
  <si>
    <t>28/06/2024 00:45</t>
  </si>
  <si>
    <t>28/06/2024 01:00</t>
  </si>
  <si>
    <t>28/06/2024 01:15</t>
  </si>
  <si>
    <t>28/06/2024 01:30</t>
  </si>
  <si>
    <t>28/06/2024 01:45</t>
  </si>
  <si>
    <t>28/06/2024 02:00</t>
  </si>
  <si>
    <t>28/06/2024 02:15</t>
  </si>
  <si>
    <t>28/06/2024 02:30</t>
  </si>
  <si>
    <t>28/06/2024 02:45</t>
  </si>
  <si>
    <t>28/06/2024 03:00</t>
  </si>
  <si>
    <t>28/06/2024 03:15</t>
  </si>
  <si>
    <t>28/06/2024 03:30</t>
  </si>
  <si>
    <t>28/06/2024 03:45</t>
  </si>
  <si>
    <t>28/06/2024 04:00</t>
  </si>
  <si>
    <t>28/06/2024 04:15</t>
  </si>
  <si>
    <t>28/06/2024 04:30</t>
  </si>
  <si>
    <t>28/06/2024 04:45</t>
  </si>
  <si>
    <t>28/06/2024 05:00</t>
  </si>
  <si>
    <t>28/06/2024 05:15</t>
  </si>
  <si>
    <t>28/06/2024 05:30</t>
  </si>
  <si>
    <t>28/06/2024 05:45</t>
  </si>
  <si>
    <t>28/06/2024 06:00</t>
  </si>
  <si>
    <t>28/06/2024 06:15</t>
  </si>
  <si>
    <t>28/06/2024 06:30</t>
  </si>
  <si>
    <t>28/06/2024 06:45</t>
  </si>
  <si>
    <t>28/06/2024 07:00</t>
  </si>
  <si>
    <t>28/06/2024 07:15</t>
  </si>
  <si>
    <t>28/06/2024 07:30</t>
  </si>
  <si>
    <t>28/06/2024 07:45</t>
  </si>
  <si>
    <t>28/06/2024 08:00</t>
  </si>
  <si>
    <t>28/06/2024 08:15</t>
  </si>
  <si>
    <t>28/06/2024 08:30</t>
  </si>
  <si>
    <t>28/06/2024 08:45</t>
  </si>
  <si>
    <t>28/06/2024 09:00</t>
  </si>
  <si>
    <t>28/06/2024 09:15</t>
  </si>
  <si>
    <t>28/06/2024 09:30</t>
  </si>
  <si>
    <t>28/06/2024 09:45</t>
  </si>
  <si>
    <t>28/06/2024 10:00</t>
  </si>
  <si>
    <t>28/06/2024 10:15</t>
  </si>
  <si>
    <t>28/06/2024 10:30</t>
  </si>
  <si>
    <t>28/06/2024 10:45</t>
  </si>
  <si>
    <t>28/06/2024 11:00</t>
  </si>
  <si>
    <t>28/06/2024 11:15</t>
  </si>
  <si>
    <t>28/06/2024 11:30</t>
  </si>
  <si>
    <t>28/06/2024 11:45</t>
  </si>
  <si>
    <t>28/06/2024 12:00</t>
  </si>
  <si>
    <t>28/06/2024 12:15</t>
  </si>
  <si>
    <t>28/06/2024 12:30</t>
  </si>
  <si>
    <t>28/06/2024 12:45</t>
  </si>
  <si>
    <t>28/06/2024 13:00</t>
  </si>
  <si>
    <t>28/06/2024 13:15</t>
  </si>
  <si>
    <t>28/06/2024 13:30</t>
  </si>
  <si>
    <t>28/06/2024 13:45</t>
  </si>
  <si>
    <t>28/06/2024 14:00</t>
  </si>
  <si>
    <t>28/06/2024 14:15</t>
  </si>
  <si>
    <t>28/06/2024 14:30</t>
  </si>
  <si>
    <t>28/06/2024 14:45</t>
  </si>
  <si>
    <t>28/06/2024 15:00</t>
  </si>
  <si>
    <t>28/06/2024 15:15</t>
  </si>
  <si>
    <t>28/06/2024 15:30</t>
  </si>
  <si>
    <t>28/06/2024 15:45</t>
  </si>
  <si>
    <t>28/06/2024 16:00</t>
  </si>
  <si>
    <t>28/06/2024 16:15</t>
  </si>
  <si>
    <t>28/06/2024 16:30</t>
  </si>
  <si>
    <t>28/06/2024 16:45</t>
  </si>
  <si>
    <t>28/06/2024 17:00</t>
  </si>
  <si>
    <t>28/06/2024 17:15</t>
  </si>
  <si>
    <t>28/06/2024 17:30</t>
  </si>
  <si>
    <t>28/06/2024 17:45</t>
  </si>
  <si>
    <t>28/06/2024 18:00</t>
  </si>
  <si>
    <t>28/06/2024 18:15</t>
  </si>
  <si>
    <t>28/06/2024 18:30</t>
  </si>
  <si>
    <t>28/06/2024 18:45</t>
  </si>
  <si>
    <t>28/06/2024 19:00</t>
  </si>
  <si>
    <t>28/06/2024 19:15</t>
  </si>
  <si>
    <t>28/06/2024 19:30</t>
  </si>
  <si>
    <t>28/06/2024 19:45</t>
  </si>
  <si>
    <t>28/06/2024 20:00</t>
  </si>
  <si>
    <t>28/06/2024 20:15</t>
  </si>
  <si>
    <t>28/06/2024 20:30</t>
  </si>
  <si>
    <t>28/06/2024 20:45</t>
  </si>
  <si>
    <t>28/06/2024 21:00</t>
  </si>
  <si>
    <t>28/06/2024 21:15</t>
  </si>
  <si>
    <t>28/06/2024 21:30</t>
  </si>
  <si>
    <t>28/06/2024 21:45</t>
  </si>
  <si>
    <t>28/06/2024 22:00</t>
  </si>
  <si>
    <t>28/06/2024 22:15</t>
  </si>
  <si>
    <t>28/06/2024 22:30</t>
  </si>
  <si>
    <t>28/06/2024 22:45</t>
  </si>
  <si>
    <t>28/06/2024 23:00</t>
  </si>
  <si>
    <t>28/06/2024 23:15</t>
  </si>
  <si>
    <t>28/06/2024 23:30</t>
  </si>
  <si>
    <t>28/06/2024 23:45</t>
  </si>
  <si>
    <t>28/06/2024 24:00</t>
  </si>
  <si>
    <t>29/06/2024 00:15</t>
  </si>
  <si>
    <t>29/06/2024 00:30</t>
  </si>
  <si>
    <t>29/06/2024 00:45</t>
  </si>
  <si>
    <t>29/06/2024 01:00</t>
  </si>
  <si>
    <t>29/06/2024 01:15</t>
  </si>
  <si>
    <t>29/06/2024 01:30</t>
  </si>
  <si>
    <t>29/06/2024 01:45</t>
  </si>
  <si>
    <t>29/06/2024 02:00</t>
  </si>
  <si>
    <t>29/06/2024 02:15</t>
  </si>
  <si>
    <t>29/06/2024 02:30</t>
  </si>
  <si>
    <t>29/06/2024 02:45</t>
  </si>
  <si>
    <t>29/06/2024 03:00</t>
  </si>
  <si>
    <t>29/06/2024 03:15</t>
  </si>
  <si>
    <t>29/06/2024 03:30</t>
  </si>
  <si>
    <t>29/06/2024 03:45</t>
  </si>
  <si>
    <t>29/06/2024 04:00</t>
  </si>
  <si>
    <t>29/06/2024 04:15</t>
  </si>
  <si>
    <t>29/06/2024 04:30</t>
  </si>
  <si>
    <t>29/06/2024 04:45</t>
  </si>
  <si>
    <t>29/06/2024 05:00</t>
  </si>
  <si>
    <t>29/06/2024 05:15</t>
  </si>
  <si>
    <t>29/06/2024 05:30</t>
  </si>
  <si>
    <t>29/06/2024 05:45</t>
  </si>
  <si>
    <t>29/06/2024 06:00</t>
  </si>
  <si>
    <t>29/06/2024 06:15</t>
  </si>
  <si>
    <t>29/06/2024 06:30</t>
  </si>
  <si>
    <t>29/06/2024 06:45</t>
  </si>
  <si>
    <t>29/06/2024 07:00</t>
  </si>
  <si>
    <t>29/06/2024 07:15</t>
  </si>
  <si>
    <t>29/06/2024 07:30</t>
  </si>
  <si>
    <t>29/06/2024 07:45</t>
  </si>
  <si>
    <t>29/06/2024 08:00</t>
  </si>
  <si>
    <t>29/06/2024 08:15</t>
  </si>
  <si>
    <t>29/06/2024 08:30</t>
  </si>
  <si>
    <t>29/06/2024 08:45</t>
  </si>
  <si>
    <t>29/06/2024 09:00</t>
  </si>
  <si>
    <t>29/06/2024 09:15</t>
  </si>
  <si>
    <t>29/06/2024 09:30</t>
  </si>
  <si>
    <t>29/06/2024 09:45</t>
  </si>
  <si>
    <t>29/06/2024 10:00</t>
  </si>
  <si>
    <t>29/06/2024 10:15</t>
  </si>
  <si>
    <t>29/06/2024 10:30</t>
  </si>
  <si>
    <t>29/06/2024 10:45</t>
  </si>
  <si>
    <t>29/06/2024 11:00</t>
  </si>
  <si>
    <t>29/06/2024 11:15</t>
  </si>
  <si>
    <t>29/06/2024 11:30</t>
  </si>
  <si>
    <t>29/06/2024 11:45</t>
  </si>
  <si>
    <t>29/06/2024 12:00</t>
  </si>
  <si>
    <t>29/06/2024 12:15</t>
  </si>
  <si>
    <t>29/06/2024 12:30</t>
  </si>
  <si>
    <t>29/06/2024 12:45</t>
  </si>
  <si>
    <t>29/06/2024 13:00</t>
  </si>
  <si>
    <t>29/06/2024 13:15</t>
  </si>
  <si>
    <t>29/06/2024 13:30</t>
  </si>
  <si>
    <t>29/06/2024 13:45</t>
  </si>
  <si>
    <t>29/06/2024 14:00</t>
  </si>
  <si>
    <t>29/06/2024 14:15</t>
  </si>
  <si>
    <t>29/06/2024 14:30</t>
  </si>
  <si>
    <t>29/06/2024 14:45</t>
  </si>
  <si>
    <t>29/06/2024 15:00</t>
  </si>
  <si>
    <t>29/06/2024 15:15</t>
  </si>
  <si>
    <t>29/06/2024 15:30</t>
  </si>
  <si>
    <t>29/06/2024 15:45</t>
  </si>
  <si>
    <t>29/06/2024 16:00</t>
  </si>
  <si>
    <t>29/06/2024 16:15</t>
  </si>
  <si>
    <t>29/06/2024 16:30</t>
  </si>
  <si>
    <t>29/06/2024 16:45</t>
  </si>
  <si>
    <t>29/06/2024 17:00</t>
  </si>
  <si>
    <t>29/06/2024 17:15</t>
  </si>
  <si>
    <t>29/06/2024 17:30</t>
  </si>
  <si>
    <t>29/06/2024 17:45</t>
  </si>
  <si>
    <t>29/06/2024 18:00</t>
  </si>
  <si>
    <t>29/06/2024 18:15</t>
  </si>
  <si>
    <t>29/06/2024 18:30</t>
  </si>
  <si>
    <t>29/06/2024 18:45</t>
  </si>
  <si>
    <t>29/06/2024 19:00</t>
  </si>
  <si>
    <t>29/06/2024 19:15</t>
  </si>
  <si>
    <t>29/06/2024 19:30</t>
  </si>
  <si>
    <t>29/06/2024 19:45</t>
  </si>
  <si>
    <t>29/06/2024 20:00</t>
  </si>
  <si>
    <t>29/06/2024 20:15</t>
  </si>
  <si>
    <t>29/06/2024 20:30</t>
  </si>
  <si>
    <t>29/06/2024 20:45</t>
  </si>
  <si>
    <t>29/06/2024 21:00</t>
  </si>
  <si>
    <t>29/06/2024 21:15</t>
  </si>
  <si>
    <t>29/06/2024 21:30</t>
  </si>
  <si>
    <t>29/06/2024 21:45</t>
  </si>
  <si>
    <t>29/06/2024 22:00</t>
  </si>
  <si>
    <t>29/06/2024 22:15</t>
  </si>
  <si>
    <t>29/06/2024 22:30</t>
  </si>
  <si>
    <t>29/06/2024 22:45</t>
  </si>
  <si>
    <t>29/06/2024 23:00</t>
  </si>
  <si>
    <t>29/06/2024 23:15</t>
  </si>
  <si>
    <t>29/06/2024 23:30</t>
  </si>
  <si>
    <t>29/06/2024 23:45</t>
  </si>
  <si>
    <t>29/06/2024 24:00</t>
  </si>
  <si>
    <t>30/06/2024 00:15</t>
  </si>
  <si>
    <t>30/06/2024 00:30</t>
  </si>
  <si>
    <t>30/06/2024 00:45</t>
  </si>
  <si>
    <t>30/06/2024 01:00</t>
  </si>
  <si>
    <t>30/06/2024 01:15</t>
  </si>
  <si>
    <t>30/06/2024 01:30</t>
  </si>
  <si>
    <t>30/06/2024 01:45</t>
  </si>
  <si>
    <t>30/06/2024 02:00</t>
  </si>
  <si>
    <t>30/06/2024 02:15</t>
  </si>
  <si>
    <t>30/06/2024 02:30</t>
  </si>
  <si>
    <t>30/06/2024 02:45</t>
  </si>
  <si>
    <t>30/06/2024 03:00</t>
  </si>
  <si>
    <t>30/06/2024 03:15</t>
  </si>
  <si>
    <t>30/06/2024 03:30</t>
  </si>
  <si>
    <t>30/06/2024 03:45</t>
  </si>
  <si>
    <t>30/06/2024 04:00</t>
  </si>
  <si>
    <t>30/06/2024 04:15</t>
  </si>
  <si>
    <t>30/06/2024 04:30</t>
  </si>
  <si>
    <t>30/06/2024 04:45</t>
  </si>
  <si>
    <t>30/06/2024 05:00</t>
  </si>
  <si>
    <t>30/06/2024 05:15</t>
  </si>
  <si>
    <t>30/06/2024 05:30</t>
  </si>
  <si>
    <t>30/06/2024 05:45</t>
  </si>
  <si>
    <t>30/06/2024 06:00</t>
  </si>
  <si>
    <t>30/06/2024 06:15</t>
  </si>
  <si>
    <t>30/06/2024 06:30</t>
  </si>
  <si>
    <t>30/06/2024 06:45</t>
  </si>
  <si>
    <t>30/06/2024 07:00</t>
  </si>
  <si>
    <t>30/06/2024 07:15</t>
  </si>
  <si>
    <t>30/06/2024 07:30</t>
  </si>
  <si>
    <t>30/06/2024 07:45</t>
  </si>
  <si>
    <t>30/06/2024 08:00</t>
  </si>
  <si>
    <t>30/06/2024 08:15</t>
  </si>
  <si>
    <t>30/06/2024 08:30</t>
  </si>
  <si>
    <t>30/06/2024 08:45</t>
  </si>
  <si>
    <t>30/06/2024 09:00</t>
  </si>
  <si>
    <t>30/06/2024 09:15</t>
  </si>
  <si>
    <t>30/06/2024 09:30</t>
  </si>
  <si>
    <t>30/06/2024 09:45</t>
  </si>
  <si>
    <t>30/06/2024 10:00</t>
  </si>
  <si>
    <t>30/06/2024 10:15</t>
  </si>
  <si>
    <t>30/06/2024 10:30</t>
  </si>
  <si>
    <t>30/06/2024 10:45</t>
  </si>
  <si>
    <t>30/06/2024 11:00</t>
  </si>
  <si>
    <t>30/06/2024 11:15</t>
  </si>
  <si>
    <t>30/06/2024 11:30</t>
  </si>
  <si>
    <t>30/06/2024 11:45</t>
  </si>
  <si>
    <t>30/06/2024 12:00</t>
  </si>
  <si>
    <t>30/06/2024 12:15</t>
  </si>
  <si>
    <t>30/06/2024 12:30</t>
  </si>
  <si>
    <t>30/06/2024 12:45</t>
  </si>
  <si>
    <t>30/06/2024 13:00</t>
  </si>
  <si>
    <t>30/06/2024 13:15</t>
  </si>
  <si>
    <t>30/06/2024 13:30</t>
  </si>
  <si>
    <t>30/06/2024 13:45</t>
  </si>
  <si>
    <t>30/06/2024 14:00</t>
  </si>
  <si>
    <t>30/06/2024 14:15</t>
  </si>
  <si>
    <t>30/06/2024 14:30</t>
  </si>
  <si>
    <t>30/06/2024 14:45</t>
  </si>
  <si>
    <t>30/06/2024 15:00</t>
  </si>
  <si>
    <t>30/06/2024 15:15</t>
  </si>
  <si>
    <t>30/06/2024 15:30</t>
  </si>
  <si>
    <t>30/06/2024 15:45</t>
  </si>
  <si>
    <t>30/06/2024 16:00</t>
  </si>
  <si>
    <t>30/06/2024 16:15</t>
  </si>
  <si>
    <t>30/06/2024 16:30</t>
  </si>
  <si>
    <t>30/06/2024 16:45</t>
  </si>
  <si>
    <t>30/06/2024 17:00</t>
  </si>
  <si>
    <t>30/06/2024 17:15</t>
  </si>
  <si>
    <t>30/06/2024 17:30</t>
  </si>
  <si>
    <t>30/06/2024 17:45</t>
  </si>
  <si>
    <t>30/06/2024 18:00</t>
  </si>
  <si>
    <t>30/06/2024 18:15</t>
  </si>
  <si>
    <t>30/06/2024 18:30</t>
  </si>
  <si>
    <t>30/06/2024 18:45</t>
  </si>
  <si>
    <t>30/06/2024 19:00</t>
  </si>
  <si>
    <t>30/06/2024 19:15</t>
  </si>
  <si>
    <t>30/06/2024 19:30</t>
  </si>
  <si>
    <t>30/06/2024 19:45</t>
  </si>
  <si>
    <t>30/06/2024 20:00</t>
  </si>
  <si>
    <t>30/06/2024 20:15</t>
  </si>
  <si>
    <t>30/06/2024 20:30</t>
  </si>
  <si>
    <t>30/06/2024 20:45</t>
  </si>
  <si>
    <t>30/06/2024 21:00</t>
  </si>
  <si>
    <t>30/06/2024 21:15</t>
  </si>
  <si>
    <t>30/06/2024 21:30</t>
  </si>
  <si>
    <t>30/06/2024 21:45</t>
  </si>
  <si>
    <t>30/06/2024 22:00</t>
  </si>
  <si>
    <t>30/06/2024 22:15</t>
  </si>
  <si>
    <t>30/06/2024 22:30</t>
  </si>
  <si>
    <t>30/06/2024 22:45</t>
  </si>
  <si>
    <t>30/06/2024 23:00</t>
  </si>
  <si>
    <t>30/06/2024 23:15</t>
  </si>
  <si>
    <t>30/06/2024 23:30</t>
  </si>
  <si>
    <t>30/06/2024 23:45</t>
  </si>
  <si>
    <t>30/06/2024 24:00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</si>
</sst>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22"/>
      <color theme="1"/>
      <name val="Arial Black"/>
      <family val="2"/>
    </font>
    <font>
      <b/>
      <sz val="9"/>
      <color rgb="FFFF0000"/>
      <name val="Calibri"/>
      <family val="2"/>
      <scheme val="minor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26"/>
      <color theme="1"/>
      <name val="Arial Black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2"/>
      <name val="Arial"/>
      <family val="2"/>
    </font>
    <font>
      <b/>
      <sz val="10"/>
      <color theme="2" tint="-0.89996032593768116"/>
      <name val="Arial Black"/>
      <family val="2"/>
    </font>
    <font>
      <b/>
      <sz val="10"/>
      <name val="Calibri"/>
      <family val="2"/>
      <scheme val="minor"/>
    </font>
    <font>
      <b/>
      <sz val="10"/>
      <color theme="2" tint="-0.89996032593768116"/>
      <name val="Arial"/>
      <family val="2"/>
    </font>
    <font>
      <b/>
      <sz val="12"/>
      <name val="Calibri"/>
      <family val="2"/>
      <scheme val="minor"/>
    </font>
    <font>
      <b/>
      <i/>
      <sz val="12"/>
      <name val="Arial"/>
      <family val="2"/>
    </font>
    <font>
      <b/>
      <i/>
      <sz val="10"/>
      <name val="Arial"/>
      <family val="2"/>
    </font>
    <font>
      <sz val="9"/>
      <color theme="3" tint="0.3999450666829432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2" tint="-0.89996032593768116"/>
      <name val="Arial Black"/>
      <family val="2"/>
    </font>
    <font>
      <sz val="11"/>
      <color theme="3" tint="0.39994506668294322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sz val="10"/>
      <color indexed="12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theme="5" tint="-0.249977111117893"/>
      <name val="Arial"/>
      <family val="2"/>
    </font>
    <font>
      <b/>
      <sz val="10"/>
      <color indexed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2" fillId="0" borderId="0" xfId="0" applyNumberFormat="1" applyFont="1" applyAlignment="1">
      <alignment horizontal="center"/>
    </xf>
    <xf numFmtId="0" fontId="8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2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0" fillId="0" borderId="13" xfId="0" applyFont="1" applyBorder="1" applyAlignment="1">
      <alignment horizontal="center" wrapText="1"/>
    </xf>
    <xf numFmtId="0" fontId="11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6" fillId="0" borderId="0" xfId="0" applyFont="1" applyFill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19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17" fillId="4" borderId="22" xfId="0" applyFont="1" applyFill="1" applyBorder="1" applyAlignment="1">
      <alignment horizontal="center"/>
    </xf>
    <xf numFmtId="0" fontId="18" fillId="4" borderId="7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0" fillId="4" borderId="22" xfId="0" applyFont="1" applyFill="1" applyBorder="1" applyAlignment="1">
      <alignment horizontal="center"/>
    </xf>
    <xf numFmtId="0" fontId="21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7" fillId="3" borderId="24" xfId="0" applyFont="1" applyFill="1" applyBorder="1" applyAlignment="1">
      <alignment horizontal="center"/>
    </xf>
    <xf numFmtId="0" fontId="8" fillId="0" borderId="23" xfId="0" applyFont="1" applyFill="1" applyBorder="1"/>
    <xf numFmtId="0" fontId="22" fillId="0" borderId="0" xfId="0" applyFont="1" applyAlignment="1">
      <alignment horizontal="center"/>
    </xf>
    <xf numFmtId="0" fontId="17" fillId="4" borderId="25" xfId="0" applyFont="1" applyFill="1" applyBorder="1" applyAlignment="1">
      <alignment horizontal="center"/>
    </xf>
    <xf numFmtId="0" fontId="20" fillId="4" borderId="11" xfId="0" applyFont="1" applyFill="1" applyBorder="1" applyAlignment="1">
      <alignment horizontal="center"/>
    </xf>
    <xf numFmtId="0" fontId="20" fillId="0" borderId="23" xfId="0" applyFont="1" applyFill="1" applyBorder="1" applyAlignment="1">
      <alignment horizontal="center"/>
    </xf>
    <xf numFmtId="0" fontId="17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0" fontId="0" fillId="0" borderId="0" xfId="0" applyBorder="1"/>
    <xf numFmtId="0" fontId="23" fillId="3" borderId="27" xfId="0" applyFont="1" applyFill="1" applyBorder="1" applyAlignment="1">
      <alignment horizontal="center"/>
    </xf>
    <xf numFmtId="0" fontId="24" fillId="3" borderId="11" xfId="0" applyFont="1" applyFill="1" applyBorder="1" applyAlignment="1">
      <alignment horizontal="center"/>
    </xf>
    <xf numFmtId="0" fontId="25" fillId="4" borderId="6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5" fillId="4" borderId="7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0" fillId="0" borderId="0" xfId="0" applyFill="1" applyBorder="1"/>
    <xf numFmtId="0" fontId="15" fillId="3" borderId="28" xfId="0" applyFont="1" applyFill="1" applyBorder="1" applyAlignment="1">
      <alignment horizontal="center"/>
    </xf>
    <xf numFmtId="0" fontId="26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0" fillId="0" borderId="13" xfId="0" applyFont="1" applyFill="1" applyBorder="1" applyAlignment="1">
      <alignment horizontal="center" wrapText="1"/>
    </xf>
    <xf numFmtId="0" fontId="24" fillId="0" borderId="0" xfId="0" applyFont="1" applyBorder="1" applyAlignment="1">
      <alignment horizontal="center"/>
    </xf>
    <xf numFmtId="0" fontId="10" fillId="0" borderId="7" xfId="0" applyFont="1" applyBorder="1" applyAlignment="1">
      <alignment horizontal="center" wrapText="1"/>
    </xf>
    <xf numFmtId="0" fontId="7" fillId="3" borderId="27" xfId="0" applyFont="1" applyFill="1" applyBorder="1" applyAlignment="1">
      <alignment horizontal="center"/>
    </xf>
    <xf numFmtId="0" fontId="10" fillId="0" borderId="6" xfId="0" applyFont="1" applyBorder="1" applyAlignment="1">
      <alignment horizontal="center" wrapText="1"/>
    </xf>
    <xf numFmtId="0" fontId="24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10" fillId="0" borderId="7" xfId="0" applyFont="1" applyFill="1" applyBorder="1" applyAlignment="1">
      <alignment horizontal="center" wrapText="1"/>
    </xf>
    <xf numFmtId="0" fontId="27" fillId="0" borderId="0" xfId="0" applyFont="1" applyFill="1" applyBorder="1" applyAlignment="1">
      <alignment horizontal="center"/>
    </xf>
    <xf numFmtId="0" fontId="24" fillId="0" borderId="31" xfId="0" applyFont="1" applyBorder="1" applyAlignment="1">
      <alignment horizontal="center"/>
    </xf>
    <xf numFmtId="0" fontId="29" fillId="0" borderId="7" xfId="0" applyFont="1" applyBorder="1" applyAlignment="1">
      <alignment horizontal="center" vertical="center" wrapText="1"/>
    </xf>
    <xf numFmtId="46" fontId="7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30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3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3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9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9" fillId="0" borderId="8" xfId="0" applyNumberFormat="1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2" fontId="29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5" fillId="0" borderId="0" xfId="0" applyFont="1" applyAlignment="1">
      <alignment horizontal="center"/>
    </xf>
    <xf numFmtId="2" fontId="35" fillId="0" borderId="0" xfId="0" applyNumberFormat="1" applyFont="1" applyAlignment="1">
      <alignment horizontal="center"/>
    </xf>
    <xf numFmtId="0" fontId="35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9" fillId="0" borderId="7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4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6" fillId="6" borderId="36" xfId="0" applyNumberFormat="1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9" fillId="0" borderId="7" xfId="0" applyNumberFormat="1" applyFont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6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9" fillId="0" borderId="7" xfId="0" applyNumberFormat="1" applyFont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9" fillId="0" borderId="0" xfId="0" applyNumberFormat="1" applyFont="1" applyFill="1" applyAlignment="1">
      <alignment horizontal="center"/>
    </xf>
    <xf numFmtId="0" fontId="29" fillId="0" borderId="0" xfId="0" applyFont="1" applyAlignment="1">
      <alignment horizontal="center" wrapText="1"/>
    </xf>
    <xf numFmtId="17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14" fontId="29" fillId="0" borderId="0" xfId="0" applyNumberFormat="1" applyFont="1" applyAlignment="1">
      <alignment horizontal="center"/>
    </xf>
    <xf numFmtId="0" fontId="34" fillId="7" borderId="0" xfId="0" applyFont="1" applyFill="1" applyAlignment="1">
      <alignment horizontal="center"/>
    </xf>
    <xf numFmtId="0" fontId="34" fillId="0" borderId="0" xfId="0" applyFont="1" applyFill="1" applyAlignment="1">
      <alignment horizontal="center"/>
    </xf>
    <xf numFmtId="0" fontId="34" fillId="5" borderId="0" xfId="0" applyFont="1" applyFill="1" applyAlignment="1">
      <alignment horizontal="center"/>
    </xf>
    <xf numFmtId="0" fontId="34" fillId="8" borderId="0" xfId="0" applyFont="1" applyFill="1" applyAlignment="1">
      <alignment horizontal="center"/>
    </xf>
    <xf numFmtId="0" fontId="29" fillId="0" borderId="0" xfId="0" applyFont="1" applyFill="1" applyAlignment="1">
      <alignment horizontal="center"/>
    </xf>
    <xf numFmtId="14" fontId="29" fillId="0" borderId="7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22" fontId="29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7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9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9" fillId="0" borderId="0" xfId="0" applyFont="1" applyFill="1" applyAlignment="1">
      <alignment horizontal="center"/>
    </xf>
    <xf numFmtId="14" fontId="14" fillId="0" borderId="0" xfId="0" applyNumberFormat="1" applyFont="1" applyFill="1" applyAlignment="1">
      <alignment horizontal="center"/>
    </xf>
    <xf numFmtId="0" fontId="41" fillId="9" borderId="0" xfId="0" applyFont="1" applyFill="1" applyAlignment="1">
      <alignment horizontal="center"/>
    </xf>
    <xf numFmtId="0" fontId="29" fillId="0" borderId="0" xfId="0" applyFont="1" applyAlignment="1"/>
    <xf numFmtId="0" fontId="34" fillId="10" borderId="0" xfId="0" applyFont="1" applyFill="1" applyAlignment="1">
      <alignment horizontal="center"/>
    </xf>
    <xf numFmtId="0" fontId="29" fillId="0" borderId="0" xfId="0" applyFont="1" applyAlignment="1">
      <alignment horizontal="left"/>
    </xf>
    <xf numFmtId="0" fontId="29" fillId="0" borderId="0" xfId="0" applyFont="1" applyAlignment="1">
      <alignment horizontal="right"/>
    </xf>
    <xf numFmtId="0" fontId="34" fillId="11" borderId="0" xfId="0" applyFont="1" applyFill="1" applyAlignment="1">
      <alignment horizontal="center"/>
    </xf>
    <xf numFmtId="0" fontId="29" fillId="0" borderId="7" xfId="0" applyFont="1" applyFill="1" applyBorder="1" applyAlignment="1">
      <alignment horizontal="center" vertical="center"/>
    </xf>
    <xf numFmtId="0" fontId="34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9" fillId="0" borderId="0" xfId="0" applyFont="1" applyFill="1" applyBorder="1" applyAlignment="1">
      <alignment horizontal="center"/>
    </xf>
    <xf numFmtId="0" fontId="29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7" fillId="0" borderId="0" xfId="0" applyNumberFormat="1" applyFont="1" applyBorder="1" applyAlignment="1">
      <alignment horizontal="center"/>
    </xf>
    <xf numFmtId="2" fontId="12" fillId="0" borderId="0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0" borderId="7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29" fillId="0" borderId="0" xfId="0" applyFont="1" applyFill="1" applyAlignment="1">
      <alignment horizontal="center" vertical="center"/>
    </xf>
    <xf numFmtId="2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4" fillId="0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2" fontId="29" fillId="0" borderId="0" xfId="0" applyNumberFormat="1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0" fillId="0" borderId="0" xfId="0" applyNumberFormat="1"/>
    <xf numFmtId="2" fontId="0" fillId="0" borderId="0" xfId="0" applyNumberFormat="1"/>
    <xf numFmtId="22" fontId="1" fillId="0" borderId="7" xfId="0" applyNumberFormat="1" applyFont="1" applyBorder="1" applyAlignment="1">
      <alignment horizontal="center"/>
    </xf>
    <xf numFmtId="22" fontId="0" fillId="0" borderId="0" xfId="0" applyNumberFormat="1"/>
    <xf numFmtId="0" fontId="29" fillId="0" borderId="13" xfId="0" applyFont="1" applyBorder="1" applyAlignment="1">
      <alignment horizontal="center" vertical="center"/>
    </xf>
    <xf numFmtId="0" fontId="29" fillId="0" borderId="13" xfId="0" applyFon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38" fillId="5" borderId="0" xfId="0" applyFont="1" applyFill="1" applyAlignment="1">
      <alignment horizontal="center"/>
    </xf>
    <xf numFmtId="0" fontId="40" fillId="5" borderId="0" xfId="0" applyFont="1" applyFill="1" applyAlignment="1">
      <alignment horizontal="center"/>
    </xf>
    <xf numFmtId="0" fontId="40" fillId="5" borderId="0" xfId="0" applyFont="1" applyFill="1" applyAlignment="1">
      <alignment horizontal="left"/>
    </xf>
    <xf numFmtId="49" fontId="32" fillId="3" borderId="3" xfId="0" applyNumberFormat="1" applyFont="1" applyFill="1" applyBorder="1" applyAlignment="1">
      <alignment horizontal="center" vertical="center"/>
    </xf>
    <xf numFmtId="49" fontId="32" fillId="3" borderId="24" xfId="0" applyNumberFormat="1" applyFont="1" applyFill="1" applyBorder="1" applyAlignment="1">
      <alignment horizontal="center" vertical="center"/>
    </xf>
    <xf numFmtId="49" fontId="29" fillId="0" borderId="2" xfId="0" applyNumberFormat="1" applyFont="1" applyBorder="1" applyAlignment="1">
      <alignment horizontal="center" vertical="center"/>
    </xf>
    <xf numFmtId="49" fontId="29" fillId="0" borderId="3" xfId="0" applyNumberFormat="1" applyFont="1" applyBorder="1" applyAlignment="1">
      <alignment horizontal="center" vertical="center"/>
    </xf>
    <xf numFmtId="49" fontId="29" fillId="0" borderId="24" xfId="0" applyNumberFormat="1" applyFont="1" applyBorder="1" applyAlignment="1">
      <alignment horizontal="center" vertical="center"/>
    </xf>
    <xf numFmtId="0" fontId="33" fillId="3" borderId="34" xfId="0" applyFont="1" applyFill="1" applyBorder="1" applyAlignment="1">
      <alignment horizontal="center"/>
    </xf>
    <xf numFmtId="0" fontId="34" fillId="3" borderId="36" xfId="0" applyFont="1" applyFill="1" applyBorder="1" applyAlignment="1">
      <alignment horizontal="center"/>
    </xf>
    <xf numFmtId="0" fontId="34" fillId="3" borderId="36" xfId="0" applyFont="1" applyFill="1" applyBorder="1" applyAlignment="1">
      <alignment horizontal="center" vertical="center"/>
    </xf>
    <xf numFmtId="0" fontId="34" fillId="3" borderId="3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22" fontId="31" fillId="0" borderId="0" xfId="0" applyNumberFormat="1" applyFont="1" applyFill="1" applyAlignment="1">
      <alignment horizontal="center" wrapText="1"/>
    </xf>
    <xf numFmtId="165" fontId="28" fillId="5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3" borderId="19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9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45444.010416666664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45444.010416666664</v>
      </c>
      <c r="B9" s="112">
        <v>7.33</v>
      </c>
      <c r="C9" s="112">
        <v>6.02</v>
      </c>
      <c r="D9" s="112">
        <v>14.03</v>
      </c>
      <c r="E9" s="112">
        <v>27.25</v>
      </c>
      <c r="F9" s="112">
        <v>14.33</v>
      </c>
      <c r="G9" s="112">
        <v>72.569999999999993</v>
      </c>
      <c r="H9" s="112">
        <v>19.600000000000001</v>
      </c>
      <c r="I9" s="112">
        <v>8.31</v>
      </c>
      <c r="J9" s="112">
        <v>0.13</v>
      </c>
      <c r="K9" s="112">
        <v>166.27</v>
      </c>
      <c r="L9" s="112">
        <v>34.51</v>
      </c>
      <c r="M9" s="112">
        <v>34.22</v>
      </c>
      <c r="N9" s="112">
        <v>0</v>
      </c>
      <c r="O9" s="112">
        <v>0</v>
      </c>
      <c r="P9" s="112">
        <v>0.78</v>
      </c>
      <c r="Q9" s="112">
        <v>4.9800000000000004</v>
      </c>
    </row>
    <row r="10" spans="1:21" customFormat="1">
      <c r="A10" s="80">
        <v>45444.020833333336</v>
      </c>
      <c r="B10" s="112">
        <v>7.29</v>
      </c>
      <c r="C10" s="112">
        <v>6.09</v>
      </c>
      <c r="D10" s="112">
        <v>14.04</v>
      </c>
      <c r="E10" s="112">
        <v>29.51</v>
      </c>
      <c r="F10" s="112">
        <v>15.23</v>
      </c>
      <c r="G10" s="112">
        <v>74.3</v>
      </c>
      <c r="H10" s="112">
        <v>19.059999999999999</v>
      </c>
      <c r="I10" s="112">
        <v>8.86</v>
      </c>
      <c r="J10" s="112">
        <v>0.28000000000000003</v>
      </c>
      <c r="K10" s="112">
        <v>170.39</v>
      </c>
      <c r="L10" s="112">
        <v>34.47</v>
      </c>
      <c r="M10" s="112">
        <v>35.409999999999997</v>
      </c>
      <c r="N10" s="112">
        <v>0</v>
      </c>
      <c r="O10" s="112">
        <v>0</v>
      </c>
      <c r="P10" s="112">
        <v>0.85</v>
      </c>
      <c r="Q10" s="112">
        <v>4.9800000000000004</v>
      </c>
    </row>
    <row r="11" spans="1:21" customFormat="1">
      <c r="A11" s="80">
        <v>45444.03125</v>
      </c>
      <c r="B11" s="112">
        <v>7.28</v>
      </c>
      <c r="C11" s="112">
        <v>6.09</v>
      </c>
      <c r="D11" s="112">
        <v>14.03</v>
      </c>
      <c r="E11" s="112">
        <v>24.01</v>
      </c>
      <c r="F11" s="112">
        <v>12.48</v>
      </c>
      <c r="G11" s="112">
        <v>74.680000000000007</v>
      </c>
      <c r="H11" s="112">
        <v>19.059999999999999</v>
      </c>
      <c r="I11" s="112">
        <v>12.32</v>
      </c>
      <c r="J11" s="112">
        <v>0.21</v>
      </c>
      <c r="K11" s="112">
        <v>172.49</v>
      </c>
      <c r="L11" s="112">
        <v>34.08</v>
      </c>
      <c r="M11" s="112">
        <v>36.72</v>
      </c>
      <c r="N11" s="112">
        <v>0</v>
      </c>
      <c r="O11" s="112">
        <v>0</v>
      </c>
      <c r="P11" s="112">
        <v>0.81</v>
      </c>
      <c r="Q11" s="112">
        <v>4.96</v>
      </c>
    </row>
    <row r="12" spans="1:21" customFormat="1">
      <c r="A12" s="80">
        <v>45444.041666666664</v>
      </c>
      <c r="B12" s="112">
        <v>7.27</v>
      </c>
      <c r="C12" s="112">
        <v>6.09</v>
      </c>
      <c r="D12" s="112">
        <v>14.02</v>
      </c>
      <c r="E12" s="112">
        <v>22.18</v>
      </c>
      <c r="F12" s="112">
        <v>11.6</v>
      </c>
      <c r="G12" s="112">
        <v>74.680000000000007</v>
      </c>
      <c r="H12" s="112">
        <v>19.059999999999999</v>
      </c>
      <c r="I12" s="112">
        <v>13.48</v>
      </c>
      <c r="J12" s="112">
        <v>0.17</v>
      </c>
      <c r="K12" s="112">
        <v>178.43</v>
      </c>
      <c r="L12" s="112">
        <v>33.65</v>
      </c>
      <c r="M12" s="112">
        <v>38.04</v>
      </c>
      <c r="N12" s="112">
        <v>0</v>
      </c>
      <c r="O12" s="112">
        <v>0</v>
      </c>
      <c r="P12" s="112">
        <v>0.81</v>
      </c>
      <c r="Q12" s="112">
        <v>4.97</v>
      </c>
    </row>
    <row r="13" spans="1:21" customFormat="1">
      <c r="A13" s="80">
        <v>45444.052083333336</v>
      </c>
      <c r="B13" s="112">
        <v>7.28</v>
      </c>
      <c r="C13" s="112">
        <v>6.06</v>
      </c>
      <c r="D13" s="112">
        <v>14.01</v>
      </c>
      <c r="E13" s="112">
        <v>20.48</v>
      </c>
      <c r="F13" s="112">
        <v>11.05</v>
      </c>
      <c r="G13" s="112">
        <v>74.680000000000007</v>
      </c>
      <c r="H13" s="112">
        <v>19.059999999999999</v>
      </c>
      <c r="I13" s="112">
        <v>13.36</v>
      </c>
      <c r="J13" s="112">
        <v>0.25</v>
      </c>
      <c r="K13" s="112">
        <v>102.3</v>
      </c>
      <c r="L13" s="112">
        <v>33.71</v>
      </c>
      <c r="M13" s="112">
        <v>37.06</v>
      </c>
      <c r="N13" s="112">
        <v>0</v>
      </c>
      <c r="O13" s="112">
        <v>0</v>
      </c>
      <c r="P13" s="112">
        <v>0.82</v>
      </c>
      <c r="Q13" s="112">
        <v>4.9800000000000004</v>
      </c>
    </row>
    <row r="14" spans="1:21" customFormat="1">
      <c r="A14" s="80">
        <v>45444.0625</v>
      </c>
      <c r="B14" s="112">
        <v>7.3</v>
      </c>
      <c r="C14" s="112">
        <v>6.1</v>
      </c>
      <c r="D14" s="112">
        <v>14.05</v>
      </c>
      <c r="E14" s="112">
        <v>16.95</v>
      </c>
      <c r="F14" s="112">
        <v>7.09</v>
      </c>
      <c r="G14" s="112">
        <v>78.790000000000006</v>
      </c>
      <c r="H14" s="112">
        <v>26.38</v>
      </c>
      <c r="I14" s="112">
        <v>13.62</v>
      </c>
      <c r="J14" s="112">
        <v>0.55000000000000004</v>
      </c>
      <c r="K14" s="112">
        <v>62.88</v>
      </c>
      <c r="L14" s="112">
        <v>34.53</v>
      </c>
      <c r="M14" s="112">
        <v>32.619999999999997</v>
      </c>
      <c r="N14" s="112">
        <v>0</v>
      </c>
      <c r="O14" s="112">
        <v>0</v>
      </c>
      <c r="P14" s="112">
        <v>0.81</v>
      </c>
      <c r="Q14" s="112">
        <v>4.99</v>
      </c>
    </row>
    <row r="15" spans="1:21" customFormat="1">
      <c r="A15" s="80">
        <v>45444.072916666664</v>
      </c>
      <c r="B15" s="112">
        <v>7.3</v>
      </c>
      <c r="C15" s="112">
        <v>6.14</v>
      </c>
      <c r="D15" s="112">
        <v>14.07</v>
      </c>
      <c r="E15" s="112">
        <v>28.61</v>
      </c>
      <c r="F15" s="112">
        <v>10.25</v>
      </c>
      <c r="G15" s="112">
        <v>79.680000000000007</v>
      </c>
      <c r="H15" s="112">
        <v>26.38</v>
      </c>
      <c r="I15" s="112">
        <v>13.48</v>
      </c>
      <c r="J15" s="112">
        <v>0.56000000000000005</v>
      </c>
      <c r="K15" s="112">
        <v>30.19</v>
      </c>
      <c r="L15" s="112">
        <v>35.200000000000003</v>
      </c>
      <c r="M15" s="112">
        <v>30.23</v>
      </c>
      <c r="N15" s="112">
        <v>0</v>
      </c>
      <c r="O15" s="112">
        <v>0</v>
      </c>
      <c r="P15" s="112">
        <v>0.74</v>
      </c>
      <c r="Q15" s="112">
        <v>4.99</v>
      </c>
    </row>
    <row r="16" spans="1:21" customFormat="1">
      <c r="A16" s="80">
        <v>45444.083333333336</v>
      </c>
      <c r="B16" s="112">
        <v>7.29</v>
      </c>
      <c r="C16" s="112">
        <v>6.12</v>
      </c>
      <c r="D16" s="112">
        <v>14.05</v>
      </c>
      <c r="E16" s="112">
        <v>35.69</v>
      </c>
      <c r="F16" s="112">
        <v>11.84</v>
      </c>
      <c r="G16" s="112">
        <v>79.680000000000007</v>
      </c>
      <c r="H16" s="112">
        <v>26.38</v>
      </c>
      <c r="I16" s="112">
        <v>12.65</v>
      </c>
      <c r="J16" s="112">
        <v>0.38</v>
      </c>
      <c r="K16" s="112">
        <v>51.27</v>
      </c>
      <c r="L16" s="112">
        <v>35.43</v>
      </c>
      <c r="M16" s="112">
        <v>29.79</v>
      </c>
      <c r="N16" s="112">
        <v>0</v>
      </c>
      <c r="O16" s="112">
        <v>0</v>
      </c>
      <c r="P16" s="112">
        <v>0.69</v>
      </c>
      <c r="Q16" s="112">
        <v>4.9800000000000004</v>
      </c>
    </row>
    <row r="17" spans="1:17" customFormat="1">
      <c r="A17" s="80">
        <v>45444.09375</v>
      </c>
      <c r="B17" s="112">
        <v>7.29</v>
      </c>
      <c r="C17" s="112">
        <v>6.08</v>
      </c>
      <c r="D17" s="112">
        <v>14.03</v>
      </c>
      <c r="E17" s="112">
        <v>30.63</v>
      </c>
      <c r="F17" s="112">
        <v>8.48</v>
      </c>
      <c r="G17" s="112">
        <v>79.680000000000007</v>
      </c>
      <c r="H17" s="112">
        <v>26.38</v>
      </c>
      <c r="I17" s="112">
        <v>11.01</v>
      </c>
      <c r="J17" s="112">
        <v>0.35</v>
      </c>
      <c r="K17" s="112">
        <v>50</v>
      </c>
      <c r="L17" s="112">
        <v>34.68</v>
      </c>
      <c r="M17" s="112">
        <v>32.26</v>
      </c>
      <c r="N17" s="112">
        <v>0</v>
      </c>
      <c r="O17" s="112">
        <v>0</v>
      </c>
      <c r="P17" s="112">
        <v>0.7</v>
      </c>
      <c r="Q17" s="112">
        <v>4.9800000000000004</v>
      </c>
    </row>
    <row r="18" spans="1:17" customFormat="1">
      <c r="A18" s="80">
        <v>45444.104166666664</v>
      </c>
      <c r="B18" s="112">
        <v>7.28</v>
      </c>
      <c r="C18" s="112">
        <v>6.13</v>
      </c>
      <c r="D18" s="112">
        <v>14.05</v>
      </c>
      <c r="E18" s="112">
        <v>42.67</v>
      </c>
      <c r="F18" s="112">
        <v>9.76</v>
      </c>
      <c r="G18" s="112">
        <v>86.71</v>
      </c>
      <c r="H18" s="112">
        <v>25.94</v>
      </c>
      <c r="I18" s="112">
        <v>10.02</v>
      </c>
      <c r="J18" s="112">
        <v>0.24</v>
      </c>
      <c r="K18" s="112">
        <v>113.38</v>
      </c>
      <c r="L18" s="112">
        <v>34.700000000000003</v>
      </c>
      <c r="M18" s="112">
        <v>31.51</v>
      </c>
      <c r="N18" s="112">
        <v>0</v>
      </c>
      <c r="O18" s="112">
        <v>0</v>
      </c>
      <c r="P18" s="112">
        <v>0.69</v>
      </c>
      <c r="Q18" s="112">
        <v>5</v>
      </c>
    </row>
    <row r="19" spans="1:17" customFormat="1">
      <c r="A19" s="80">
        <v>45444.114583333336</v>
      </c>
      <c r="B19" s="112">
        <v>7.28</v>
      </c>
      <c r="C19" s="112">
        <v>6.1</v>
      </c>
      <c r="D19" s="112">
        <v>14.03</v>
      </c>
      <c r="E19" s="112">
        <v>43.6</v>
      </c>
      <c r="F19" s="112">
        <v>7.53</v>
      </c>
      <c r="G19" s="112">
        <v>88.23</v>
      </c>
      <c r="H19" s="112">
        <v>25.94</v>
      </c>
      <c r="I19" s="112">
        <v>10</v>
      </c>
      <c r="J19" s="112">
        <v>0.33</v>
      </c>
      <c r="K19" s="112">
        <v>172.21</v>
      </c>
      <c r="L19" s="112">
        <v>34.22</v>
      </c>
      <c r="M19" s="112">
        <v>33.92</v>
      </c>
      <c r="N19" s="112">
        <v>0</v>
      </c>
      <c r="O19" s="112">
        <v>0</v>
      </c>
      <c r="P19" s="112">
        <v>0.69</v>
      </c>
      <c r="Q19" s="112">
        <v>5</v>
      </c>
    </row>
    <row r="20" spans="1:17" customFormat="1">
      <c r="A20" s="80">
        <v>45444.125</v>
      </c>
      <c r="B20" s="112">
        <v>7.28</v>
      </c>
      <c r="C20" s="112">
        <v>6.07</v>
      </c>
      <c r="D20" s="112">
        <v>14.02</v>
      </c>
      <c r="E20" s="112">
        <v>31.29</v>
      </c>
      <c r="F20" s="112">
        <v>7.34</v>
      </c>
      <c r="G20" s="112">
        <v>88.23</v>
      </c>
      <c r="H20" s="112">
        <v>25.94</v>
      </c>
      <c r="I20" s="112">
        <v>9.51</v>
      </c>
      <c r="J20" s="112">
        <v>0.36</v>
      </c>
      <c r="K20" s="112">
        <v>184.56</v>
      </c>
      <c r="L20" s="112">
        <v>33.159999999999997</v>
      </c>
      <c r="M20" s="112">
        <v>37.26</v>
      </c>
      <c r="N20" s="112">
        <v>0</v>
      </c>
      <c r="O20" s="112">
        <v>0</v>
      </c>
      <c r="P20" s="112">
        <v>0.68</v>
      </c>
      <c r="Q20" s="112">
        <v>4.99</v>
      </c>
    </row>
    <row r="21" spans="1:17" customFormat="1">
      <c r="A21" s="80">
        <v>45444.135416666664</v>
      </c>
      <c r="B21" s="112">
        <v>7.28</v>
      </c>
      <c r="C21" s="112">
        <v>6.08</v>
      </c>
      <c r="D21" s="112">
        <v>14.02</v>
      </c>
      <c r="E21" s="112">
        <v>32.22</v>
      </c>
      <c r="F21" s="112">
        <v>8.98</v>
      </c>
      <c r="G21" s="112">
        <v>88.23</v>
      </c>
      <c r="H21" s="112">
        <v>25.94</v>
      </c>
      <c r="I21" s="112">
        <v>9.3800000000000008</v>
      </c>
      <c r="J21" s="112">
        <v>0.13</v>
      </c>
      <c r="K21" s="112">
        <v>175.16</v>
      </c>
      <c r="L21" s="112">
        <v>32.799999999999997</v>
      </c>
      <c r="M21" s="112">
        <v>38.61</v>
      </c>
      <c r="N21" s="112">
        <v>0</v>
      </c>
      <c r="O21" s="112">
        <v>0</v>
      </c>
      <c r="P21" s="112">
        <v>0.66</v>
      </c>
      <c r="Q21" s="112">
        <v>4.9800000000000004</v>
      </c>
    </row>
    <row r="22" spans="1:17" customFormat="1">
      <c r="A22" s="80">
        <v>45444.145833333336</v>
      </c>
      <c r="B22" s="112">
        <v>7.28</v>
      </c>
      <c r="C22" s="112">
        <v>6.1</v>
      </c>
      <c r="D22" s="112">
        <v>14.03</v>
      </c>
      <c r="E22" s="112">
        <v>40.01</v>
      </c>
      <c r="F22" s="112">
        <v>12.77</v>
      </c>
      <c r="G22" s="112">
        <v>98.98</v>
      </c>
      <c r="H22" s="112">
        <v>28.46</v>
      </c>
      <c r="I22" s="112">
        <v>9.4600000000000009</v>
      </c>
      <c r="J22" s="112">
        <v>0.24</v>
      </c>
      <c r="K22" s="112">
        <v>223.11</v>
      </c>
      <c r="L22" s="112">
        <v>32.549999999999997</v>
      </c>
      <c r="M22" s="112">
        <v>38.33</v>
      </c>
      <c r="N22" s="112">
        <v>0</v>
      </c>
      <c r="O22" s="112">
        <v>0</v>
      </c>
      <c r="P22" s="112">
        <v>0.65</v>
      </c>
      <c r="Q22" s="112">
        <v>4.9800000000000004</v>
      </c>
    </row>
    <row r="23" spans="1:17" customFormat="1">
      <c r="A23" s="80">
        <v>45444.15625</v>
      </c>
      <c r="B23" s="112">
        <v>7.29</v>
      </c>
      <c r="C23" s="112">
        <v>6.1</v>
      </c>
      <c r="D23" s="112">
        <v>14.04</v>
      </c>
      <c r="E23" s="112">
        <v>25.02</v>
      </c>
      <c r="F23" s="112">
        <v>6.65</v>
      </c>
      <c r="G23" s="112">
        <v>101.31</v>
      </c>
      <c r="H23" s="112">
        <v>28.46</v>
      </c>
      <c r="I23" s="112">
        <v>9.27</v>
      </c>
      <c r="J23" s="112">
        <v>0.09</v>
      </c>
      <c r="K23" s="112">
        <v>243.44</v>
      </c>
      <c r="L23" s="112">
        <v>32.35</v>
      </c>
      <c r="M23" s="112">
        <v>39.06</v>
      </c>
      <c r="N23" s="112">
        <v>0</v>
      </c>
      <c r="O23" s="112">
        <v>0</v>
      </c>
      <c r="P23" s="112">
        <v>0.7</v>
      </c>
      <c r="Q23" s="112">
        <v>4.9800000000000004</v>
      </c>
    </row>
    <row r="24" spans="1:17" customFormat="1">
      <c r="A24" s="80">
        <v>45444.166666666664</v>
      </c>
      <c r="B24" s="112">
        <v>7.31</v>
      </c>
      <c r="C24" s="112">
        <v>6.12</v>
      </c>
      <c r="D24" s="112">
        <v>14.07</v>
      </c>
      <c r="E24" s="112">
        <v>23.78</v>
      </c>
      <c r="F24" s="112">
        <v>5.78</v>
      </c>
      <c r="G24" s="112">
        <v>101.31</v>
      </c>
      <c r="H24" s="112">
        <v>28.46</v>
      </c>
      <c r="I24" s="112">
        <v>9.32</v>
      </c>
      <c r="J24" s="112">
        <v>0.17</v>
      </c>
      <c r="K24" s="112">
        <v>182.55</v>
      </c>
      <c r="L24" s="112">
        <v>32.450000000000003</v>
      </c>
      <c r="M24" s="112">
        <v>40.630000000000003</v>
      </c>
      <c r="N24" s="112">
        <v>0</v>
      </c>
      <c r="O24" s="112">
        <v>0</v>
      </c>
      <c r="P24" s="112">
        <v>0.69</v>
      </c>
      <c r="Q24" s="112">
        <v>4.99</v>
      </c>
    </row>
    <row r="25" spans="1:17" customFormat="1">
      <c r="A25" s="80">
        <v>45444.177083333336</v>
      </c>
      <c r="B25" s="112">
        <v>7.34</v>
      </c>
      <c r="C25" s="112">
        <v>6.12</v>
      </c>
      <c r="D25" s="112">
        <v>14.09</v>
      </c>
      <c r="E25" s="112">
        <v>23.4</v>
      </c>
      <c r="F25" s="112">
        <v>6.8</v>
      </c>
      <c r="G25" s="112">
        <v>101.31</v>
      </c>
      <c r="H25" s="112">
        <v>28.46</v>
      </c>
      <c r="I25" s="112">
        <v>9.69</v>
      </c>
      <c r="J25" s="112">
        <v>0.15</v>
      </c>
      <c r="K25" s="112">
        <v>200.53</v>
      </c>
      <c r="L25" s="112">
        <v>32.159999999999997</v>
      </c>
      <c r="M25" s="112">
        <v>40.67</v>
      </c>
      <c r="N25" s="112">
        <v>0</v>
      </c>
      <c r="O25" s="112">
        <v>0</v>
      </c>
      <c r="P25" s="112">
        <v>0.69</v>
      </c>
      <c r="Q25" s="112">
        <v>4.99</v>
      </c>
    </row>
    <row r="26" spans="1:17" customFormat="1">
      <c r="A26" s="80">
        <v>45444.1875</v>
      </c>
      <c r="B26" s="112">
        <v>7.33</v>
      </c>
      <c r="C26" s="112">
        <v>6.1</v>
      </c>
      <c r="D26" s="112">
        <v>14.07</v>
      </c>
      <c r="E26" s="112">
        <v>24.87</v>
      </c>
      <c r="F26" s="112">
        <v>6.84</v>
      </c>
      <c r="G26" s="112">
        <v>99.44</v>
      </c>
      <c r="H26" s="112">
        <v>29.04</v>
      </c>
      <c r="I26" s="112">
        <v>9.7799999999999994</v>
      </c>
      <c r="J26" s="112">
        <v>0.17</v>
      </c>
      <c r="K26" s="112">
        <v>183.74</v>
      </c>
      <c r="L26" s="112">
        <v>32.130000000000003</v>
      </c>
      <c r="M26" s="112">
        <v>41.27</v>
      </c>
      <c r="N26" s="112">
        <v>0</v>
      </c>
      <c r="O26" s="112">
        <v>0</v>
      </c>
      <c r="P26" s="112">
        <v>0.69</v>
      </c>
      <c r="Q26" s="112">
        <v>5</v>
      </c>
    </row>
    <row r="27" spans="1:17" customFormat="1">
      <c r="A27" s="80">
        <v>45444.197916666664</v>
      </c>
      <c r="B27" s="112">
        <v>7.33</v>
      </c>
      <c r="C27" s="112">
        <v>6.07</v>
      </c>
      <c r="D27" s="112">
        <v>14.06</v>
      </c>
      <c r="E27" s="112">
        <v>17.670000000000002</v>
      </c>
      <c r="F27" s="112">
        <v>5.13</v>
      </c>
      <c r="G27" s="112">
        <v>99.03</v>
      </c>
      <c r="H27" s="112">
        <v>29.04</v>
      </c>
      <c r="I27" s="112">
        <v>9.67</v>
      </c>
      <c r="J27" s="112">
        <v>0.21</v>
      </c>
      <c r="K27" s="112">
        <v>203.38</v>
      </c>
      <c r="L27" s="112">
        <v>31.76</v>
      </c>
      <c r="M27" s="112">
        <v>43.26</v>
      </c>
      <c r="N27" s="112">
        <v>0</v>
      </c>
      <c r="O27" s="112">
        <v>0</v>
      </c>
      <c r="P27" s="112">
        <v>0.69</v>
      </c>
      <c r="Q27" s="112">
        <v>4.9800000000000004</v>
      </c>
    </row>
    <row r="28" spans="1:17" customFormat="1">
      <c r="A28" s="80">
        <v>45444.208333333336</v>
      </c>
      <c r="B28" s="112">
        <v>7.33</v>
      </c>
      <c r="C28" s="112">
        <v>6.06</v>
      </c>
      <c r="D28" s="112">
        <v>14.06</v>
      </c>
      <c r="E28" s="112">
        <v>19.29</v>
      </c>
      <c r="F28" s="112">
        <v>4.55</v>
      </c>
      <c r="G28" s="112">
        <v>99.03</v>
      </c>
      <c r="H28" s="112">
        <v>29.04</v>
      </c>
      <c r="I28" s="112">
        <v>9.68</v>
      </c>
      <c r="J28" s="112">
        <v>0.2</v>
      </c>
      <c r="K28" s="112">
        <v>146.74</v>
      </c>
      <c r="L28" s="112">
        <v>31.78</v>
      </c>
      <c r="M28" s="112">
        <v>43.08</v>
      </c>
      <c r="N28" s="112">
        <v>0</v>
      </c>
      <c r="O28" s="112">
        <v>0</v>
      </c>
      <c r="P28" s="112">
        <v>0.69</v>
      </c>
      <c r="Q28" s="112">
        <v>5</v>
      </c>
    </row>
    <row r="29" spans="1:17" customFormat="1">
      <c r="A29" s="80">
        <v>45444.21875</v>
      </c>
      <c r="B29" s="112">
        <v>7.35</v>
      </c>
      <c r="C29" s="112">
        <v>6.05</v>
      </c>
      <c r="D29" s="112">
        <v>14.07</v>
      </c>
      <c r="E29" s="112">
        <v>20.25</v>
      </c>
      <c r="F29" s="112">
        <v>4.6100000000000003</v>
      </c>
      <c r="G29" s="112">
        <v>99.03</v>
      </c>
      <c r="H29" s="112">
        <v>29.04</v>
      </c>
      <c r="I29" s="112">
        <v>9.73</v>
      </c>
      <c r="J29" s="112">
        <v>0.11</v>
      </c>
      <c r="K29" s="112">
        <v>205.38</v>
      </c>
      <c r="L29" s="112">
        <v>31.39</v>
      </c>
      <c r="M29" s="112">
        <v>42.8</v>
      </c>
      <c r="N29" s="112">
        <v>0</v>
      </c>
      <c r="O29" s="112">
        <v>0</v>
      </c>
      <c r="P29" s="112">
        <v>0.69</v>
      </c>
      <c r="Q29" s="112">
        <v>4.99</v>
      </c>
    </row>
    <row r="30" spans="1:17" customFormat="1">
      <c r="A30" s="80">
        <v>45444.229166666664</v>
      </c>
      <c r="B30" s="112">
        <v>7.34</v>
      </c>
      <c r="C30" s="112">
        <v>6.07</v>
      </c>
      <c r="D30" s="112">
        <v>14.07</v>
      </c>
      <c r="E30" s="112">
        <v>19.77</v>
      </c>
      <c r="F30" s="112">
        <v>4.7699999999999996</v>
      </c>
      <c r="G30" s="112">
        <v>99.81</v>
      </c>
      <c r="H30" s="112">
        <v>28.74</v>
      </c>
      <c r="I30" s="112">
        <v>9.7799999999999994</v>
      </c>
      <c r="J30" s="112">
        <v>0.12</v>
      </c>
      <c r="K30" s="112">
        <v>159.6</v>
      </c>
      <c r="L30" s="112">
        <v>31.43</v>
      </c>
      <c r="M30" s="112">
        <v>43.56</v>
      </c>
      <c r="N30" s="112">
        <v>2</v>
      </c>
      <c r="O30" s="112">
        <v>0</v>
      </c>
      <c r="P30" s="112">
        <v>0.7</v>
      </c>
      <c r="Q30" s="112">
        <v>4.99</v>
      </c>
    </row>
    <row r="31" spans="1:17" customFormat="1">
      <c r="A31" s="80">
        <v>45444.239583333336</v>
      </c>
      <c r="B31" s="112">
        <v>7.32</v>
      </c>
      <c r="C31" s="112">
        <v>6.09</v>
      </c>
      <c r="D31" s="112">
        <v>14.06</v>
      </c>
      <c r="E31" s="112">
        <v>19.579999999999998</v>
      </c>
      <c r="F31" s="112">
        <v>4.26</v>
      </c>
      <c r="G31" s="112">
        <v>99.98</v>
      </c>
      <c r="H31" s="112">
        <v>28.74</v>
      </c>
      <c r="I31" s="112">
        <v>9.9600000000000009</v>
      </c>
      <c r="J31" s="112">
        <v>0.09</v>
      </c>
      <c r="K31" s="112">
        <v>209.37</v>
      </c>
      <c r="L31" s="112">
        <v>31.49</v>
      </c>
      <c r="M31" s="112">
        <v>43</v>
      </c>
      <c r="N31" s="112">
        <v>12.7</v>
      </c>
      <c r="O31" s="112">
        <v>0</v>
      </c>
      <c r="P31" s="112">
        <v>0.72</v>
      </c>
      <c r="Q31" s="112">
        <v>4.99</v>
      </c>
    </row>
    <row r="32" spans="1:17" customFormat="1">
      <c r="A32" s="80">
        <v>45444.25</v>
      </c>
      <c r="B32" s="112">
        <v>7.34</v>
      </c>
      <c r="C32" s="112">
        <v>6.09</v>
      </c>
      <c r="D32" s="112">
        <v>14.08</v>
      </c>
      <c r="E32" s="112">
        <v>18.68</v>
      </c>
      <c r="F32" s="112">
        <v>4.0199999999999996</v>
      </c>
      <c r="G32" s="112">
        <v>99.98</v>
      </c>
      <c r="H32" s="112">
        <v>28.74</v>
      </c>
      <c r="I32" s="112">
        <v>10.06</v>
      </c>
      <c r="J32" s="112">
        <v>0.11</v>
      </c>
      <c r="K32" s="112">
        <v>34.29</v>
      </c>
      <c r="L32" s="112">
        <v>31.74</v>
      </c>
      <c r="M32" s="112">
        <v>43.76</v>
      </c>
      <c r="N32" s="112">
        <v>25</v>
      </c>
      <c r="O32" s="112">
        <v>0</v>
      </c>
      <c r="P32" s="112">
        <v>0.74</v>
      </c>
      <c r="Q32" s="112">
        <v>4.9800000000000004</v>
      </c>
    </row>
    <row r="33" spans="1:17" customFormat="1">
      <c r="A33" s="80">
        <v>45444.260416666664</v>
      </c>
      <c r="B33" s="112">
        <v>7.35</v>
      </c>
      <c r="C33" s="112">
        <v>6.14</v>
      </c>
      <c r="D33" s="112">
        <v>14.11</v>
      </c>
      <c r="E33" s="112">
        <v>21.51</v>
      </c>
      <c r="F33" s="112">
        <v>3.07</v>
      </c>
      <c r="G33" s="112">
        <v>99.98</v>
      </c>
      <c r="H33" s="112">
        <v>28.74</v>
      </c>
      <c r="I33" s="112">
        <v>10.33</v>
      </c>
      <c r="J33" s="112">
        <v>0.59</v>
      </c>
      <c r="K33" s="112">
        <v>38.9</v>
      </c>
      <c r="L33" s="112">
        <v>32.450000000000003</v>
      </c>
      <c r="M33" s="112">
        <v>41.14</v>
      </c>
      <c r="N33" s="112">
        <v>38.6</v>
      </c>
      <c r="O33" s="112">
        <v>0</v>
      </c>
      <c r="P33" s="112">
        <v>0.82</v>
      </c>
      <c r="Q33" s="112">
        <v>4.99</v>
      </c>
    </row>
    <row r="34" spans="1:17" customFormat="1">
      <c r="A34" s="80">
        <v>45444.270833333336</v>
      </c>
      <c r="B34" s="112">
        <v>7.35</v>
      </c>
      <c r="C34" s="112">
        <v>6.09</v>
      </c>
      <c r="D34" s="112">
        <v>14.08</v>
      </c>
      <c r="E34" s="112">
        <v>25.32</v>
      </c>
      <c r="F34" s="112">
        <v>2.93</v>
      </c>
      <c r="G34" s="112">
        <v>106.01</v>
      </c>
      <c r="H34" s="112">
        <v>31.71</v>
      </c>
      <c r="I34" s="112">
        <v>10.96</v>
      </c>
      <c r="J34" s="112">
        <v>0.79</v>
      </c>
      <c r="K34" s="112">
        <v>65.44</v>
      </c>
      <c r="L34" s="112">
        <v>33.08</v>
      </c>
      <c r="M34" s="112">
        <v>39.17</v>
      </c>
      <c r="N34" s="112">
        <v>50.4</v>
      </c>
      <c r="O34" s="112">
        <v>0</v>
      </c>
      <c r="P34" s="112">
        <v>0.83</v>
      </c>
      <c r="Q34" s="112">
        <v>4.99</v>
      </c>
    </row>
    <row r="35" spans="1:17" customFormat="1">
      <c r="A35" s="80">
        <v>45444.28125</v>
      </c>
      <c r="B35" s="112">
        <v>7.35</v>
      </c>
      <c r="C35" s="112">
        <v>6.11</v>
      </c>
      <c r="D35" s="112">
        <v>14.09</v>
      </c>
      <c r="E35" s="112">
        <v>29.21</v>
      </c>
      <c r="F35" s="112">
        <v>3.99</v>
      </c>
      <c r="G35" s="112">
        <v>107.31</v>
      </c>
      <c r="H35" s="112">
        <v>31.71</v>
      </c>
      <c r="I35" s="112">
        <v>11.45</v>
      </c>
      <c r="J35" s="112">
        <v>0.56000000000000005</v>
      </c>
      <c r="K35" s="112">
        <v>45.55</v>
      </c>
      <c r="L35" s="112">
        <v>33.54</v>
      </c>
      <c r="M35" s="112">
        <v>38.07</v>
      </c>
      <c r="N35" s="112">
        <v>61.6</v>
      </c>
      <c r="O35" s="112">
        <v>0</v>
      </c>
      <c r="P35" s="112">
        <v>0.85</v>
      </c>
      <c r="Q35" s="112">
        <v>4.99</v>
      </c>
    </row>
    <row r="36" spans="1:17" customFormat="1">
      <c r="A36" s="80">
        <v>45444.291666666664</v>
      </c>
      <c r="B36" s="112">
        <v>7.34</v>
      </c>
      <c r="C36" s="112">
        <v>6.13</v>
      </c>
      <c r="D36" s="112">
        <v>14.1</v>
      </c>
      <c r="E36" s="112">
        <v>33.590000000000003</v>
      </c>
      <c r="F36" s="112">
        <v>6.02</v>
      </c>
      <c r="G36" s="112">
        <v>107.31</v>
      </c>
      <c r="H36" s="112">
        <v>31.71</v>
      </c>
      <c r="I36" s="112">
        <v>11.4</v>
      </c>
      <c r="J36" s="112">
        <v>0.36</v>
      </c>
      <c r="K36" s="112">
        <v>0.4</v>
      </c>
      <c r="L36" s="112">
        <v>34.15</v>
      </c>
      <c r="M36" s="112">
        <v>36.01</v>
      </c>
      <c r="N36" s="112">
        <v>72</v>
      </c>
      <c r="O36" s="112">
        <v>0</v>
      </c>
      <c r="P36" s="112">
        <v>0.85</v>
      </c>
      <c r="Q36" s="112">
        <v>4.9800000000000004</v>
      </c>
    </row>
    <row r="37" spans="1:17" customFormat="1">
      <c r="A37" s="80">
        <v>45444.302083333336</v>
      </c>
      <c r="B37" s="112">
        <v>7.33</v>
      </c>
      <c r="C37" s="112">
        <v>6.06</v>
      </c>
      <c r="D37" s="112">
        <v>14.06</v>
      </c>
      <c r="E37" s="112">
        <v>33.74</v>
      </c>
      <c r="F37" s="112">
        <v>7.15</v>
      </c>
      <c r="G37" s="112">
        <v>107.31</v>
      </c>
      <c r="H37" s="112">
        <v>31.71</v>
      </c>
      <c r="I37" s="112">
        <v>11.33</v>
      </c>
      <c r="J37" s="112">
        <v>0.3</v>
      </c>
      <c r="K37" s="112">
        <v>16.059999999999999</v>
      </c>
      <c r="L37" s="112">
        <v>34.75</v>
      </c>
      <c r="M37" s="112">
        <v>35.020000000000003</v>
      </c>
      <c r="N37" s="112">
        <v>83.1</v>
      </c>
      <c r="O37" s="112">
        <v>0</v>
      </c>
      <c r="P37" s="112">
        <v>0.89</v>
      </c>
      <c r="Q37" s="112">
        <v>4.99</v>
      </c>
    </row>
    <row r="38" spans="1:17" customFormat="1">
      <c r="A38" s="80">
        <v>45444.3125</v>
      </c>
      <c r="B38" s="112">
        <v>7.34</v>
      </c>
      <c r="C38" s="112">
        <v>6.07</v>
      </c>
      <c r="D38" s="112">
        <v>14.07</v>
      </c>
      <c r="E38" s="112">
        <v>47.34</v>
      </c>
      <c r="F38" s="112">
        <v>12.25</v>
      </c>
      <c r="G38" s="112">
        <v>128.31</v>
      </c>
      <c r="H38" s="112">
        <v>40.380000000000003</v>
      </c>
      <c r="I38" s="112">
        <v>11.34</v>
      </c>
      <c r="J38" s="112">
        <v>0.42</v>
      </c>
      <c r="K38" s="112">
        <v>350.34</v>
      </c>
      <c r="L38" s="112">
        <v>35.4</v>
      </c>
      <c r="M38" s="112">
        <v>34.200000000000003</v>
      </c>
      <c r="N38" s="112">
        <v>93.1</v>
      </c>
      <c r="O38" s="112">
        <v>0</v>
      </c>
      <c r="P38" s="112">
        <v>1</v>
      </c>
      <c r="Q38" s="112">
        <v>5</v>
      </c>
    </row>
    <row r="39" spans="1:17" customFormat="1">
      <c r="A39" s="80">
        <v>45444.322916666664</v>
      </c>
      <c r="B39" s="112">
        <v>7.35</v>
      </c>
      <c r="C39" s="112">
        <v>6.11</v>
      </c>
      <c r="D39" s="112">
        <v>14.09</v>
      </c>
      <c r="E39" s="112">
        <v>34.25</v>
      </c>
      <c r="F39" s="112">
        <v>10.65</v>
      </c>
      <c r="G39" s="112">
        <v>132.91999999999999</v>
      </c>
      <c r="H39" s="112">
        <v>40.380000000000003</v>
      </c>
      <c r="I39" s="112">
        <v>11.62</v>
      </c>
      <c r="J39" s="112">
        <v>0.87</v>
      </c>
      <c r="K39" s="112">
        <v>317.7</v>
      </c>
      <c r="L39" s="112">
        <v>35.58</v>
      </c>
      <c r="M39" s="112">
        <v>34.29</v>
      </c>
      <c r="N39" s="112">
        <v>103.3</v>
      </c>
      <c r="O39" s="112">
        <v>0</v>
      </c>
      <c r="P39" s="112">
        <v>0.98</v>
      </c>
      <c r="Q39" s="112">
        <v>5.0199999999999996</v>
      </c>
    </row>
    <row r="40" spans="1:17" customFormat="1">
      <c r="A40" s="80">
        <v>45444.333333333336</v>
      </c>
      <c r="B40" s="112">
        <v>7.33</v>
      </c>
      <c r="C40" s="112">
        <v>6.11</v>
      </c>
      <c r="D40" s="112">
        <v>14.08</v>
      </c>
      <c r="E40" s="112">
        <v>28.67</v>
      </c>
      <c r="F40" s="112">
        <v>10.11</v>
      </c>
      <c r="G40" s="112">
        <v>132.91999999999999</v>
      </c>
      <c r="H40" s="112">
        <v>40.380000000000003</v>
      </c>
      <c r="I40" s="112">
        <v>11.93</v>
      </c>
      <c r="J40" s="112">
        <v>0.85</v>
      </c>
      <c r="K40" s="112">
        <v>319.35000000000002</v>
      </c>
      <c r="L40" s="112">
        <v>35.92</v>
      </c>
      <c r="M40" s="112">
        <v>33.659999999999997</v>
      </c>
      <c r="N40" s="112">
        <v>112.3</v>
      </c>
      <c r="O40" s="112">
        <v>0</v>
      </c>
      <c r="P40" s="112">
        <v>0.93</v>
      </c>
      <c r="Q40" s="112">
        <v>5</v>
      </c>
    </row>
    <row r="41" spans="1:17" customFormat="1">
      <c r="A41" s="80">
        <v>45444.34375</v>
      </c>
      <c r="B41" s="112">
        <v>7.33</v>
      </c>
      <c r="C41" s="112">
        <v>6.08</v>
      </c>
      <c r="D41" s="112">
        <v>14.06</v>
      </c>
      <c r="E41" s="112">
        <v>35.200000000000003</v>
      </c>
      <c r="F41" s="112">
        <v>16.29</v>
      </c>
      <c r="G41" s="112">
        <v>132.91999999999999</v>
      </c>
      <c r="H41" s="112">
        <v>40.380000000000003</v>
      </c>
      <c r="I41" s="112">
        <v>12.04</v>
      </c>
      <c r="J41" s="112">
        <v>0.69</v>
      </c>
      <c r="K41" s="112">
        <v>316.22000000000003</v>
      </c>
      <c r="L41" s="112">
        <v>36.369999999999997</v>
      </c>
      <c r="M41" s="112">
        <v>34.090000000000003</v>
      </c>
      <c r="N41" s="112">
        <v>120.3</v>
      </c>
      <c r="O41" s="112">
        <v>0</v>
      </c>
      <c r="P41" s="112">
        <v>0.93</v>
      </c>
      <c r="Q41" s="112">
        <v>4.99</v>
      </c>
    </row>
    <row r="42" spans="1:17" customFormat="1">
      <c r="A42" s="80">
        <v>45444.354166666664</v>
      </c>
      <c r="B42" s="112">
        <v>7.32</v>
      </c>
      <c r="C42" s="112">
        <v>6.07</v>
      </c>
      <c r="D42" s="112">
        <v>14.05</v>
      </c>
      <c r="E42" s="112">
        <v>39.69</v>
      </c>
      <c r="F42" s="112">
        <v>16.04</v>
      </c>
      <c r="G42" s="112">
        <v>156.21</v>
      </c>
      <c r="H42" s="112">
        <v>57.21</v>
      </c>
      <c r="I42" s="112">
        <v>11.64</v>
      </c>
      <c r="J42" s="112">
        <v>0.51</v>
      </c>
      <c r="K42" s="112">
        <v>317.41000000000003</v>
      </c>
      <c r="L42" s="112">
        <v>37.08</v>
      </c>
      <c r="M42" s="112">
        <v>33.770000000000003</v>
      </c>
      <c r="N42" s="112">
        <v>128.30000000000001</v>
      </c>
      <c r="O42" s="112">
        <v>0</v>
      </c>
      <c r="P42" s="112">
        <v>0.95</v>
      </c>
      <c r="Q42" s="112">
        <v>4.9800000000000004</v>
      </c>
    </row>
    <row r="43" spans="1:17" customFormat="1">
      <c r="A43" s="80">
        <v>45444.364583333336</v>
      </c>
      <c r="B43" s="112">
        <v>7.31</v>
      </c>
      <c r="C43" s="112">
        <v>6.1</v>
      </c>
      <c r="D43" s="112">
        <v>14.06</v>
      </c>
      <c r="E43" s="112">
        <v>61.71</v>
      </c>
      <c r="F43" s="112">
        <v>26.96</v>
      </c>
      <c r="G43" s="112">
        <v>161.25</v>
      </c>
      <c r="H43" s="112">
        <v>57.21</v>
      </c>
      <c r="I43" s="112">
        <v>11.29</v>
      </c>
      <c r="J43" s="112">
        <v>0.79</v>
      </c>
      <c r="K43" s="112">
        <v>340.18</v>
      </c>
      <c r="L43" s="112">
        <v>37.619999999999997</v>
      </c>
      <c r="M43" s="112">
        <v>31.35</v>
      </c>
      <c r="N43" s="112">
        <v>135.6</v>
      </c>
      <c r="O43" s="112">
        <v>0</v>
      </c>
      <c r="P43" s="112">
        <v>0.99</v>
      </c>
      <c r="Q43" s="112">
        <v>4.9800000000000004</v>
      </c>
    </row>
    <row r="44" spans="1:17" customFormat="1">
      <c r="A44" s="80">
        <v>45444.375</v>
      </c>
      <c r="B44" s="112">
        <v>7.34</v>
      </c>
      <c r="C44" s="112">
        <v>6.09</v>
      </c>
      <c r="D44" s="112">
        <v>14.08</v>
      </c>
      <c r="E44" s="112">
        <v>71.260000000000005</v>
      </c>
      <c r="F44" s="112">
        <v>40.18</v>
      </c>
      <c r="G44" s="112">
        <v>161.25</v>
      </c>
      <c r="H44" s="112">
        <v>57.21</v>
      </c>
      <c r="I44" s="112">
        <v>11.2</v>
      </c>
      <c r="J44" s="112">
        <v>0.36</v>
      </c>
      <c r="K44" s="112">
        <v>344.67</v>
      </c>
      <c r="L44" s="112">
        <v>38.31</v>
      </c>
      <c r="M44" s="112">
        <v>30.75</v>
      </c>
      <c r="N44" s="112">
        <v>142.9</v>
      </c>
      <c r="O44" s="112">
        <v>0</v>
      </c>
      <c r="P44" s="112">
        <v>1.04</v>
      </c>
      <c r="Q44" s="112">
        <v>4.9800000000000004</v>
      </c>
    </row>
    <row r="45" spans="1:17" customFormat="1">
      <c r="A45" s="80">
        <v>45444.385416666664</v>
      </c>
      <c r="B45" s="112">
        <v>7.37</v>
      </c>
      <c r="C45" s="112">
        <v>6.1</v>
      </c>
      <c r="D45" s="112">
        <v>14.11</v>
      </c>
      <c r="E45" s="112">
        <v>76.510000000000005</v>
      </c>
      <c r="F45" s="112">
        <v>46.86</v>
      </c>
      <c r="G45" s="112">
        <v>161.25</v>
      </c>
      <c r="H45" s="112">
        <v>57.21</v>
      </c>
      <c r="I45" s="112">
        <v>11.38</v>
      </c>
      <c r="J45" s="112">
        <v>0.56000000000000005</v>
      </c>
      <c r="K45" s="112">
        <v>309.76</v>
      </c>
      <c r="L45" s="112">
        <v>38.9</v>
      </c>
      <c r="M45" s="112">
        <v>30.58</v>
      </c>
      <c r="N45" s="112">
        <v>151.5</v>
      </c>
      <c r="O45" s="112">
        <v>0</v>
      </c>
      <c r="P45" s="112">
        <v>1.03</v>
      </c>
      <c r="Q45" s="112">
        <v>4.9800000000000004</v>
      </c>
    </row>
    <row r="46" spans="1:17" customFormat="1">
      <c r="A46" s="80">
        <v>45444.395833333336</v>
      </c>
      <c r="B46" s="112">
        <v>7.35</v>
      </c>
      <c r="C46" s="112">
        <v>6.12</v>
      </c>
      <c r="D46" s="112">
        <v>14.1</v>
      </c>
      <c r="E46" s="112">
        <v>127.72</v>
      </c>
      <c r="F46" s="112">
        <v>53.97</v>
      </c>
      <c r="G46" s="112">
        <v>178.85</v>
      </c>
      <c r="H46" s="112">
        <v>61.26</v>
      </c>
      <c r="I46" s="112">
        <v>11.39</v>
      </c>
      <c r="J46" s="112">
        <v>1</v>
      </c>
      <c r="K46" s="112">
        <v>34.39</v>
      </c>
      <c r="L46" s="112">
        <v>39.67</v>
      </c>
      <c r="M46" s="112">
        <v>30.19</v>
      </c>
      <c r="N46" s="112">
        <v>159.69999999999999</v>
      </c>
      <c r="O46" s="112">
        <v>0</v>
      </c>
      <c r="P46" s="112">
        <v>1.0900000000000001</v>
      </c>
      <c r="Q46" s="112">
        <v>4.97</v>
      </c>
    </row>
    <row r="47" spans="1:17" customFormat="1">
      <c r="A47" s="80">
        <v>45444.40625</v>
      </c>
      <c r="B47" s="112">
        <v>7.33</v>
      </c>
      <c r="C47" s="112">
        <v>6.1</v>
      </c>
      <c r="D47" s="112">
        <v>14.07</v>
      </c>
      <c r="E47" s="112">
        <v>54.44</v>
      </c>
      <c r="F47" s="112">
        <v>34.97</v>
      </c>
      <c r="G47" s="112">
        <v>182.66</v>
      </c>
      <c r="H47" s="112">
        <v>61.26</v>
      </c>
      <c r="I47" s="112">
        <v>11.63</v>
      </c>
      <c r="J47" s="112">
        <v>1.26</v>
      </c>
      <c r="K47" s="112">
        <v>314.95</v>
      </c>
      <c r="L47" s="112">
        <v>40.119999999999997</v>
      </c>
      <c r="M47" s="112">
        <v>28.76</v>
      </c>
      <c r="N47" s="112">
        <v>164.2</v>
      </c>
      <c r="O47" s="112">
        <v>0</v>
      </c>
      <c r="P47" s="112">
        <v>0.93</v>
      </c>
      <c r="Q47" s="112">
        <v>4.9800000000000004</v>
      </c>
    </row>
    <row r="48" spans="1:17" customFormat="1">
      <c r="A48" s="80">
        <v>45444.416666666664</v>
      </c>
      <c r="B48" s="112">
        <v>7.34</v>
      </c>
      <c r="C48" s="112">
        <v>6.09</v>
      </c>
      <c r="D48" s="112">
        <v>14.08</v>
      </c>
      <c r="E48" s="112">
        <v>59.14</v>
      </c>
      <c r="F48" s="112">
        <v>46.1</v>
      </c>
      <c r="G48" s="112">
        <v>182.66</v>
      </c>
      <c r="H48" s="112">
        <v>61.26</v>
      </c>
      <c r="I48" s="112">
        <v>11.54</v>
      </c>
      <c r="J48" s="112">
        <v>1.01</v>
      </c>
      <c r="K48" s="112">
        <v>2.54</v>
      </c>
      <c r="L48" s="112">
        <v>40.619999999999997</v>
      </c>
      <c r="M48" s="112">
        <v>28.64</v>
      </c>
      <c r="N48" s="112">
        <v>171.9</v>
      </c>
      <c r="O48" s="112">
        <v>0</v>
      </c>
      <c r="P48" s="112">
        <v>0.89</v>
      </c>
      <c r="Q48" s="112">
        <v>4.99</v>
      </c>
    </row>
    <row r="49" spans="1:17" customFormat="1">
      <c r="A49" s="80">
        <v>45444.427083333336</v>
      </c>
      <c r="B49" s="112">
        <v>7.34</v>
      </c>
      <c r="C49" s="112">
        <v>6.08</v>
      </c>
      <c r="D49" s="112">
        <v>14.07</v>
      </c>
      <c r="E49" s="112">
        <v>42.33</v>
      </c>
      <c r="F49" s="112">
        <v>44.12</v>
      </c>
      <c r="G49" s="112">
        <v>182.66</v>
      </c>
      <c r="H49" s="112">
        <v>61.26</v>
      </c>
      <c r="I49" s="112">
        <v>10.62</v>
      </c>
      <c r="J49" s="112">
        <v>1.47</v>
      </c>
      <c r="K49" s="112">
        <v>25.74</v>
      </c>
      <c r="L49" s="112">
        <v>40.630000000000003</v>
      </c>
      <c r="M49" s="112">
        <v>29.09</v>
      </c>
      <c r="N49" s="112">
        <v>177.5</v>
      </c>
      <c r="O49" s="112">
        <v>0</v>
      </c>
      <c r="P49" s="112">
        <v>0.88</v>
      </c>
      <c r="Q49" s="112">
        <v>4.97</v>
      </c>
    </row>
    <row r="50" spans="1:17" customFormat="1">
      <c r="A50" s="80">
        <v>45444.4375</v>
      </c>
      <c r="B50" s="112">
        <v>7.32</v>
      </c>
      <c r="C50" s="112">
        <v>6.05</v>
      </c>
      <c r="D50" s="112">
        <v>14.03</v>
      </c>
      <c r="E50" s="112">
        <v>48.22</v>
      </c>
      <c r="F50" s="112">
        <v>54.81</v>
      </c>
      <c r="G50" s="112">
        <v>166.76</v>
      </c>
      <c r="H50" s="112">
        <v>54.93</v>
      </c>
      <c r="I50" s="112">
        <v>10.15</v>
      </c>
      <c r="J50" s="112">
        <v>0.97</v>
      </c>
      <c r="K50" s="112">
        <v>7.59</v>
      </c>
      <c r="L50" s="112">
        <v>40.92</v>
      </c>
      <c r="M50" s="112">
        <v>29.41</v>
      </c>
      <c r="N50" s="112">
        <v>189.3</v>
      </c>
      <c r="O50" s="112">
        <v>0</v>
      </c>
      <c r="P50" s="112">
        <v>0.84</v>
      </c>
      <c r="Q50" s="112">
        <v>4.97</v>
      </c>
    </row>
    <row r="51" spans="1:17" customFormat="1">
      <c r="A51" s="80">
        <v>45444.447916666664</v>
      </c>
      <c r="B51" s="112">
        <v>7.31</v>
      </c>
      <c r="C51" s="112">
        <v>6.09</v>
      </c>
      <c r="D51" s="112">
        <v>14.06</v>
      </c>
      <c r="E51" s="112">
        <v>38.56</v>
      </c>
      <c r="F51" s="112">
        <v>47.31</v>
      </c>
      <c r="G51" s="112">
        <v>163.54</v>
      </c>
      <c r="H51" s="112">
        <v>54.93</v>
      </c>
      <c r="I51" s="112">
        <v>9.77</v>
      </c>
      <c r="J51" s="112">
        <v>1.1299999999999999</v>
      </c>
      <c r="K51" s="112">
        <v>346.18</v>
      </c>
      <c r="L51" s="112">
        <v>41.27</v>
      </c>
      <c r="M51" s="112">
        <v>29.96</v>
      </c>
      <c r="N51" s="112">
        <v>198.9</v>
      </c>
      <c r="O51" s="112">
        <v>0</v>
      </c>
      <c r="P51" s="112">
        <v>0.88</v>
      </c>
      <c r="Q51" s="112">
        <v>4.95</v>
      </c>
    </row>
    <row r="52" spans="1:17" customFormat="1">
      <c r="A52" s="80">
        <v>45444.458333333336</v>
      </c>
      <c r="B52" s="112">
        <v>7.31</v>
      </c>
      <c r="C52" s="112">
        <v>6.12</v>
      </c>
      <c r="D52" s="112">
        <v>14.07</v>
      </c>
      <c r="E52" s="112">
        <v>35.880000000000003</v>
      </c>
      <c r="F52" s="112">
        <v>43.01</v>
      </c>
      <c r="G52" s="112">
        <v>163.54</v>
      </c>
      <c r="H52" s="112">
        <v>54.93</v>
      </c>
      <c r="I52" s="112">
        <v>9.5500000000000007</v>
      </c>
      <c r="J52" s="112">
        <v>1.07</v>
      </c>
      <c r="K52" s="112">
        <v>318.29000000000002</v>
      </c>
      <c r="L52" s="112">
        <v>41.63</v>
      </c>
      <c r="M52" s="112">
        <v>29.8</v>
      </c>
      <c r="N52" s="112">
        <v>209.9</v>
      </c>
      <c r="O52" s="112">
        <v>0</v>
      </c>
      <c r="P52" s="112">
        <v>0.87</v>
      </c>
      <c r="Q52" s="112">
        <v>4.95</v>
      </c>
    </row>
    <row r="53" spans="1:17" customFormat="1">
      <c r="A53" s="80">
        <v>45444.46875</v>
      </c>
      <c r="B53" s="112">
        <v>7.34</v>
      </c>
      <c r="C53" s="112">
        <v>6.1</v>
      </c>
      <c r="D53" s="112">
        <v>14.08</v>
      </c>
      <c r="E53" s="112">
        <v>28.87</v>
      </c>
      <c r="F53" s="112">
        <v>40.39</v>
      </c>
      <c r="G53" s="112">
        <v>163.54</v>
      </c>
      <c r="H53" s="112">
        <v>54.93</v>
      </c>
      <c r="I53" s="112">
        <v>9.43</v>
      </c>
      <c r="J53" s="112">
        <v>1.53</v>
      </c>
      <c r="K53" s="112">
        <v>310.97000000000003</v>
      </c>
      <c r="L53" s="112">
        <v>41.48</v>
      </c>
      <c r="M53" s="112">
        <v>28.62</v>
      </c>
      <c r="N53" s="112">
        <v>219.9</v>
      </c>
      <c r="O53" s="112">
        <v>0</v>
      </c>
      <c r="P53" s="112">
        <v>0.88</v>
      </c>
      <c r="Q53" s="112">
        <v>4.9400000000000004</v>
      </c>
    </row>
    <row r="54" spans="1:17" customFormat="1">
      <c r="A54" s="80">
        <v>45444.479166666664</v>
      </c>
      <c r="B54" s="112">
        <v>7.39</v>
      </c>
      <c r="C54" s="112">
        <v>6.07</v>
      </c>
      <c r="D54" s="112">
        <v>14.11</v>
      </c>
      <c r="E54" s="112">
        <v>33.81</v>
      </c>
      <c r="F54" s="112">
        <v>61.38</v>
      </c>
      <c r="G54" s="112">
        <v>141.19</v>
      </c>
      <c r="H54" s="112">
        <v>49.52</v>
      </c>
      <c r="I54" s="112">
        <v>9.49</v>
      </c>
      <c r="J54" s="112">
        <v>0.61</v>
      </c>
      <c r="K54" s="112">
        <v>12.66</v>
      </c>
      <c r="L54" s="112">
        <v>42.24</v>
      </c>
      <c r="M54" s="112">
        <v>26.08</v>
      </c>
      <c r="N54" s="112">
        <v>251.8</v>
      </c>
      <c r="O54" s="112">
        <v>0</v>
      </c>
      <c r="P54" s="112">
        <v>0.78</v>
      </c>
      <c r="Q54" s="112">
        <v>4.96</v>
      </c>
    </row>
    <row r="55" spans="1:17" customFormat="1">
      <c r="A55" s="80">
        <v>45444.489583333336</v>
      </c>
      <c r="B55" s="112">
        <v>7.37</v>
      </c>
      <c r="C55" s="112">
        <v>6.05</v>
      </c>
      <c r="D55" s="112">
        <v>14.08</v>
      </c>
      <c r="E55" s="112">
        <v>27.76</v>
      </c>
      <c r="F55" s="112">
        <v>45.77</v>
      </c>
      <c r="G55" s="112">
        <v>136.35</v>
      </c>
      <c r="H55" s="112">
        <v>49.52</v>
      </c>
      <c r="I55" s="112">
        <v>9.3000000000000007</v>
      </c>
      <c r="J55" s="112">
        <v>0.62</v>
      </c>
      <c r="K55" s="112">
        <v>315.61</v>
      </c>
      <c r="L55" s="112">
        <v>42.67</v>
      </c>
      <c r="M55" s="112">
        <v>27.69</v>
      </c>
      <c r="N55" s="112">
        <v>451.8</v>
      </c>
      <c r="O55" s="112">
        <v>0</v>
      </c>
      <c r="P55" s="112">
        <v>0.83</v>
      </c>
      <c r="Q55" s="112">
        <v>4.96</v>
      </c>
    </row>
    <row r="56" spans="1:17" customFormat="1">
      <c r="A56" s="80">
        <v>45444.5</v>
      </c>
      <c r="B56" s="112">
        <v>7.31</v>
      </c>
      <c r="C56" s="112">
        <v>6.07</v>
      </c>
      <c r="D56" s="112">
        <v>14.04</v>
      </c>
      <c r="E56" s="112">
        <v>23.56</v>
      </c>
      <c r="F56" s="112">
        <v>57.78</v>
      </c>
      <c r="G56" s="112">
        <v>136.35</v>
      </c>
      <c r="H56" s="112">
        <v>49.52</v>
      </c>
      <c r="I56" s="112">
        <v>8.68</v>
      </c>
      <c r="J56" s="112">
        <v>0.83</v>
      </c>
      <c r="K56" s="112">
        <v>333.62</v>
      </c>
      <c r="L56" s="112">
        <v>42.95</v>
      </c>
      <c r="M56" s="112">
        <v>26.29</v>
      </c>
      <c r="N56" s="112">
        <v>713.6</v>
      </c>
      <c r="O56" s="112">
        <v>0</v>
      </c>
      <c r="P56" s="112">
        <v>0.81</v>
      </c>
      <c r="Q56" s="112">
        <v>4.95</v>
      </c>
    </row>
    <row r="57" spans="1:17" customFormat="1">
      <c r="A57" s="80">
        <v>45444.510416666664</v>
      </c>
      <c r="B57" s="112">
        <v>7.29</v>
      </c>
      <c r="C57" s="112">
        <v>6.08</v>
      </c>
      <c r="D57" s="112">
        <v>14.03</v>
      </c>
      <c r="E57" s="112">
        <v>23.07</v>
      </c>
      <c r="F57" s="112">
        <v>57.53</v>
      </c>
      <c r="G57" s="112">
        <v>136.35</v>
      </c>
      <c r="H57" s="112">
        <v>49.52</v>
      </c>
      <c r="I57" s="112">
        <v>8.56</v>
      </c>
      <c r="J57" s="112">
        <v>-0.46</v>
      </c>
      <c r="K57" s="112">
        <v>0.75</v>
      </c>
      <c r="L57" s="112">
        <v>43.11</v>
      </c>
      <c r="M57" s="112">
        <v>25.09</v>
      </c>
      <c r="N57" s="112">
        <v>694</v>
      </c>
      <c r="O57" s="112">
        <v>0</v>
      </c>
      <c r="P57" s="112">
        <v>0.77</v>
      </c>
      <c r="Q57" s="112">
        <v>4.96</v>
      </c>
    </row>
    <row r="58" spans="1:17" customFormat="1">
      <c r="A58" s="80">
        <v>45444.520833333336</v>
      </c>
      <c r="B58" s="112">
        <v>7.27</v>
      </c>
      <c r="C58" s="112">
        <v>6.14</v>
      </c>
      <c r="D58" s="112">
        <v>14.05</v>
      </c>
      <c r="E58" s="112">
        <v>20.12</v>
      </c>
      <c r="F58" s="112">
        <v>29.78</v>
      </c>
      <c r="G58" s="112">
        <v>101.61</v>
      </c>
      <c r="H58" s="112">
        <v>37.35</v>
      </c>
      <c r="I58" s="112">
        <v>7.95</v>
      </c>
      <c r="J58" s="112">
        <v>0.85</v>
      </c>
      <c r="K58" s="112">
        <v>285.56</v>
      </c>
      <c r="L58" s="112">
        <v>43.67</v>
      </c>
      <c r="M58" s="112">
        <v>23.99</v>
      </c>
      <c r="N58" s="112">
        <v>665.9</v>
      </c>
      <c r="O58" s="112">
        <v>0</v>
      </c>
      <c r="P58" s="112">
        <v>0.8</v>
      </c>
      <c r="Q58" s="112">
        <v>0</v>
      </c>
    </row>
    <row r="59" spans="1:17" customFormat="1">
      <c r="A59" s="80">
        <v>45444.53125</v>
      </c>
      <c r="B59" s="112">
        <v>7.3</v>
      </c>
      <c r="C59" s="112">
        <v>6.12</v>
      </c>
      <c r="D59" s="112">
        <v>14.06</v>
      </c>
      <c r="E59" s="112">
        <v>19.850000000000001</v>
      </c>
      <c r="F59" s="112">
        <v>36.65</v>
      </c>
      <c r="G59" s="112">
        <v>101.61</v>
      </c>
      <c r="H59" s="112">
        <v>42.02</v>
      </c>
      <c r="I59" s="112">
        <v>7.83</v>
      </c>
      <c r="J59" s="112">
        <v>0.68</v>
      </c>
      <c r="K59" s="112">
        <v>12.01</v>
      </c>
      <c r="L59" s="112">
        <v>43.89</v>
      </c>
      <c r="M59" s="112">
        <v>24.05</v>
      </c>
      <c r="N59" s="112">
        <v>694.7</v>
      </c>
      <c r="O59" s="112">
        <v>0</v>
      </c>
      <c r="P59" s="112">
        <v>0.8</v>
      </c>
      <c r="Q59" s="112">
        <v>4.95</v>
      </c>
    </row>
    <row r="60" spans="1:17" customFormat="1">
      <c r="A60" s="80">
        <v>45444.541666666664</v>
      </c>
      <c r="B60" s="112">
        <v>7.33</v>
      </c>
      <c r="C60" s="112">
        <v>6.11</v>
      </c>
      <c r="D60" s="112">
        <v>14.08</v>
      </c>
      <c r="E60" s="112">
        <v>18.440000000000001</v>
      </c>
      <c r="F60" s="112">
        <v>22.4</v>
      </c>
      <c r="G60" s="112">
        <v>101.61</v>
      </c>
      <c r="H60" s="112">
        <v>42.02</v>
      </c>
      <c r="I60" s="112">
        <v>8.1199999999999992</v>
      </c>
      <c r="J60" s="112">
        <v>0.53</v>
      </c>
      <c r="K60" s="112">
        <v>264.87</v>
      </c>
      <c r="L60" s="112">
        <v>44.36</v>
      </c>
      <c r="M60" s="112">
        <v>21.75</v>
      </c>
      <c r="N60" s="112">
        <v>694.5</v>
      </c>
      <c r="O60" s="112">
        <v>0</v>
      </c>
      <c r="P60" s="112">
        <v>0.8</v>
      </c>
      <c r="Q60" s="112">
        <v>4.96</v>
      </c>
    </row>
    <row r="61" spans="1:17" customFormat="1">
      <c r="A61" s="80">
        <v>45444.552083333336</v>
      </c>
      <c r="B61" s="112">
        <v>7.35</v>
      </c>
      <c r="C61" s="112">
        <v>6.15</v>
      </c>
      <c r="D61" s="112">
        <v>14.11</v>
      </c>
      <c r="E61" s="112">
        <v>16.670000000000002</v>
      </c>
      <c r="F61" s="112">
        <v>13.45</v>
      </c>
      <c r="G61" s="112">
        <v>101.61</v>
      </c>
      <c r="H61" s="112">
        <v>42.02</v>
      </c>
      <c r="I61" s="112">
        <v>8.26</v>
      </c>
      <c r="J61" s="112">
        <v>0.89</v>
      </c>
      <c r="K61" s="112">
        <v>28.93</v>
      </c>
      <c r="L61" s="112">
        <v>44.31</v>
      </c>
      <c r="M61" s="112">
        <v>21.75</v>
      </c>
      <c r="N61" s="112">
        <v>550.1</v>
      </c>
      <c r="O61" s="112">
        <v>0</v>
      </c>
      <c r="P61" s="112">
        <v>0.82</v>
      </c>
      <c r="Q61" s="112">
        <v>4.9800000000000004</v>
      </c>
    </row>
    <row r="62" spans="1:17" customFormat="1">
      <c r="A62" s="80">
        <v>45444.5625</v>
      </c>
      <c r="B62" s="112">
        <v>7.35</v>
      </c>
      <c r="C62" s="112">
        <v>6.19</v>
      </c>
      <c r="D62" s="112">
        <v>14.14</v>
      </c>
      <c r="E62" s="112">
        <v>15.73</v>
      </c>
      <c r="F62" s="112">
        <v>12.51</v>
      </c>
      <c r="G62" s="112">
        <v>96.91</v>
      </c>
      <c r="H62" s="112">
        <v>33.96</v>
      </c>
      <c r="I62" s="112">
        <v>8.4600000000000009</v>
      </c>
      <c r="J62" s="112">
        <v>1.27</v>
      </c>
      <c r="K62" s="112">
        <v>316.58</v>
      </c>
      <c r="L62" s="112">
        <v>44.09</v>
      </c>
      <c r="M62" s="112">
        <v>20.79</v>
      </c>
      <c r="N62" s="112">
        <v>315.3</v>
      </c>
      <c r="O62" s="112">
        <v>0</v>
      </c>
      <c r="P62" s="112">
        <v>0.79</v>
      </c>
      <c r="Q62" s="112">
        <v>4.99</v>
      </c>
    </row>
    <row r="63" spans="1:17" customFormat="1">
      <c r="A63" s="80">
        <v>45444.572916666664</v>
      </c>
      <c r="B63" s="112">
        <v>7.37</v>
      </c>
      <c r="C63" s="112">
        <v>6.09</v>
      </c>
      <c r="D63" s="112">
        <v>14.1</v>
      </c>
      <c r="E63" s="112">
        <v>15.3</v>
      </c>
      <c r="F63" s="112">
        <v>8.89</v>
      </c>
      <c r="G63" s="112">
        <v>95.9</v>
      </c>
      <c r="H63" s="112">
        <v>33.96</v>
      </c>
      <c r="I63" s="112">
        <v>8.59</v>
      </c>
      <c r="J63" s="112">
        <v>1.35</v>
      </c>
      <c r="K63" s="112">
        <v>306.18</v>
      </c>
      <c r="L63" s="112">
        <v>44.41</v>
      </c>
      <c r="M63" s="112">
        <v>19.29</v>
      </c>
      <c r="N63" s="112">
        <v>319</v>
      </c>
      <c r="O63" s="112">
        <v>0</v>
      </c>
      <c r="P63" s="112">
        <v>0.75</v>
      </c>
      <c r="Q63" s="112">
        <v>5.01</v>
      </c>
    </row>
    <row r="64" spans="1:17" customFormat="1">
      <c r="A64" s="80">
        <v>45444.583333333336</v>
      </c>
      <c r="B64" s="112">
        <v>7.36</v>
      </c>
      <c r="C64" s="112">
        <v>6.11</v>
      </c>
      <c r="D64" s="112">
        <v>14.1</v>
      </c>
      <c r="E64" s="112">
        <v>15.08</v>
      </c>
      <c r="F64" s="112">
        <v>8.84</v>
      </c>
      <c r="G64" s="112">
        <v>95.9</v>
      </c>
      <c r="H64" s="112">
        <v>33.96</v>
      </c>
      <c r="I64" s="112">
        <v>8.41</v>
      </c>
      <c r="J64" s="112">
        <v>1.37</v>
      </c>
      <c r="K64" s="112">
        <v>296.36</v>
      </c>
      <c r="L64" s="112">
        <v>44.69</v>
      </c>
      <c r="M64" s="112">
        <v>19.03</v>
      </c>
      <c r="N64" s="112">
        <v>638.1</v>
      </c>
      <c r="O64" s="112">
        <v>0</v>
      </c>
      <c r="P64" s="112">
        <v>0.72</v>
      </c>
      <c r="Q64" s="112">
        <v>4.99</v>
      </c>
    </row>
    <row r="65" spans="1:17" customFormat="1">
      <c r="A65" s="80">
        <v>45444.59375</v>
      </c>
      <c r="B65" s="112">
        <v>7.34</v>
      </c>
      <c r="C65" s="112">
        <v>6.08</v>
      </c>
      <c r="D65" s="112">
        <v>14.07</v>
      </c>
      <c r="E65" s="112">
        <v>14.56</v>
      </c>
      <c r="F65" s="112">
        <v>8.01</v>
      </c>
      <c r="G65" s="112">
        <v>95.9</v>
      </c>
      <c r="H65" s="112">
        <v>33.96</v>
      </c>
      <c r="I65" s="112">
        <v>8.18</v>
      </c>
      <c r="J65" s="112">
        <v>1.1000000000000001</v>
      </c>
      <c r="K65" s="112">
        <v>290.63</v>
      </c>
      <c r="L65" s="112">
        <v>44.95</v>
      </c>
      <c r="M65" s="112">
        <v>18.18</v>
      </c>
      <c r="N65" s="112">
        <v>646.5</v>
      </c>
      <c r="O65" s="112">
        <v>0</v>
      </c>
      <c r="P65" s="112">
        <v>0.67</v>
      </c>
      <c r="Q65" s="112">
        <v>4.9800000000000004</v>
      </c>
    </row>
    <row r="66" spans="1:17" customFormat="1">
      <c r="A66" s="80">
        <v>45444.604166666664</v>
      </c>
      <c r="B66" s="112">
        <v>7.32</v>
      </c>
      <c r="C66" s="112">
        <v>6.08</v>
      </c>
      <c r="D66" s="112">
        <v>14.05</v>
      </c>
      <c r="E66" s="112">
        <v>14.48</v>
      </c>
      <c r="F66" s="112">
        <v>8.7200000000000006</v>
      </c>
      <c r="G66" s="112">
        <v>76.040000000000006</v>
      </c>
      <c r="H66" s="112">
        <v>32.24</v>
      </c>
      <c r="I66" s="112">
        <v>7.84</v>
      </c>
      <c r="J66" s="112">
        <v>0.59</v>
      </c>
      <c r="K66" s="112">
        <v>321.23</v>
      </c>
      <c r="L66" s="112">
        <v>44.21</v>
      </c>
      <c r="M66" s="112">
        <v>19.350000000000001</v>
      </c>
      <c r="N66" s="112">
        <v>221.1</v>
      </c>
      <c r="O66" s="112">
        <v>0</v>
      </c>
      <c r="P66" s="112">
        <v>0.68</v>
      </c>
      <c r="Q66" s="112">
        <v>4.99</v>
      </c>
    </row>
    <row r="67" spans="1:17" customFormat="1">
      <c r="A67" s="80">
        <v>45444.614583333336</v>
      </c>
      <c r="B67" s="112">
        <v>7.31</v>
      </c>
      <c r="C67" s="112">
        <v>6.1</v>
      </c>
      <c r="D67" s="112">
        <v>14.05</v>
      </c>
      <c r="E67" s="112">
        <v>14.09</v>
      </c>
      <c r="F67" s="112">
        <v>9.1</v>
      </c>
      <c r="G67" s="112">
        <v>71.739999999999995</v>
      </c>
      <c r="H67" s="112">
        <v>32.24</v>
      </c>
      <c r="I67" s="112">
        <v>7.51</v>
      </c>
      <c r="J67" s="112">
        <v>1.78</v>
      </c>
      <c r="K67" s="112">
        <v>306.43</v>
      </c>
      <c r="L67" s="112">
        <v>44.27</v>
      </c>
      <c r="M67" s="112">
        <v>19.41</v>
      </c>
      <c r="N67" s="112">
        <v>594.4</v>
      </c>
      <c r="O67" s="112">
        <v>0</v>
      </c>
      <c r="P67" s="112">
        <v>0.66</v>
      </c>
      <c r="Q67" s="112">
        <v>4.9800000000000004</v>
      </c>
    </row>
    <row r="68" spans="1:17" customFormat="1">
      <c r="A68" s="80">
        <v>45444.625</v>
      </c>
      <c r="B68" s="112">
        <v>7.29</v>
      </c>
      <c r="C68" s="112">
        <v>6.15</v>
      </c>
      <c r="D68" s="112">
        <v>14.07</v>
      </c>
      <c r="E68" s="112">
        <v>13.98</v>
      </c>
      <c r="F68" s="112">
        <v>9.1300000000000008</v>
      </c>
      <c r="G68" s="112">
        <v>71.739999999999995</v>
      </c>
      <c r="H68" s="112">
        <v>32.24</v>
      </c>
      <c r="I68" s="112">
        <v>7.25</v>
      </c>
      <c r="J68" s="112">
        <v>1.0900000000000001</v>
      </c>
      <c r="K68" s="112">
        <v>297.91000000000003</v>
      </c>
      <c r="L68" s="112">
        <v>44.54</v>
      </c>
      <c r="M68" s="112">
        <v>18.79</v>
      </c>
      <c r="N68" s="112">
        <v>547.70000000000005</v>
      </c>
      <c r="O68" s="112">
        <v>0</v>
      </c>
      <c r="P68" s="112">
        <v>0.65</v>
      </c>
      <c r="Q68" s="112">
        <v>4.97</v>
      </c>
    </row>
    <row r="69" spans="1:17" customFormat="1">
      <c r="A69" s="80">
        <v>45444.635416666664</v>
      </c>
      <c r="B69" s="112">
        <v>7.3</v>
      </c>
      <c r="C69" s="112">
        <v>6.14</v>
      </c>
      <c r="D69" s="112">
        <v>14.07</v>
      </c>
      <c r="E69" s="112">
        <v>14.04</v>
      </c>
      <c r="F69" s="112">
        <v>7.89</v>
      </c>
      <c r="G69" s="112">
        <v>71.739999999999995</v>
      </c>
      <c r="H69" s="112">
        <v>32.24</v>
      </c>
      <c r="I69" s="112">
        <v>7.01</v>
      </c>
      <c r="J69" s="112">
        <v>1.06</v>
      </c>
      <c r="K69" s="112">
        <v>297</v>
      </c>
      <c r="L69" s="112">
        <v>44.77</v>
      </c>
      <c r="M69" s="112">
        <v>17.18</v>
      </c>
      <c r="N69" s="112">
        <v>505.2</v>
      </c>
      <c r="O69" s="112">
        <v>0</v>
      </c>
      <c r="P69" s="112">
        <v>0.63</v>
      </c>
      <c r="Q69" s="112">
        <v>4.97</v>
      </c>
    </row>
    <row r="70" spans="1:17" customFormat="1">
      <c r="A70" s="80">
        <v>45444.645833333336</v>
      </c>
      <c r="B70" s="112">
        <v>7.35</v>
      </c>
      <c r="C70" s="112">
        <v>6.14</v>
      </c>
      <c r="D70" s="112">
        <v>14.11</v>
      </c>
      <c r="E70" s="112">
        <v>14.19</v>
      </c>
      <c r="F70" s="112">
        <v>9.7200000000000006</v>
      </c>
      <c r="G70" s="112">
        <v>59.08</v>
      </c>
      <c r="H70" s="112">
        <v>28.75</v>
      </c>
      <c r="I70" s="112">
        <v>6.76</v>
      </c>
      <c r="J70" s="112">
        <v>1.32</v>
      </c>
      <c r="K70" s="112">
        <v>306.26</v>
      </c>
      <c r="L70" s="112">
        <v>44.92</v>
      </c>
      <c r="M70" s="112">
        <v>16.11</v>
      </c>
      <c r="N70" s="112">
        <v>486.5</v>
      </c>
      <c r="O70" s="112">
        <v>0</v>
      </c>
      <c r="P70" s="112">
        <v>0.6</v>
      </c>
      <c r="Q70" s="112">
        <v>4.96</v>
      </c>
    </row>
    <row r="71" spans="1:17" customFormat="1">
      <c r="A71" s="80">
        <v>45444.65625</v>
      </c>
      <c r="B71" s="112">
        <v>7.37</v>
      </c>
      <c r="C71" s="112">
        <v>6.11</v>
      </c>
      <c r="D71" s="112">
        <v>14.11</v>
      </c>
      <c r="E71" s="112">
        <v>13.98</v>
      </c>
      <c r="F71" s="112">
        <v>8.7899999999999991</v>
      </c>
      <c r="G71" s="112">
        <v>56.34</v>
      </c>
      <c r="H71" s="112">
        <v>28.75</v>
      </c>
      <c r="I71" s="112">
        <v>6.49</v>
      </c>
      <c r="J71" s="112">
        <v>1.47</v>
      </c>
      <c r="K71" s="112">
        <v>304.05</v>
      </c>
      <c r="L71" s="112">
        <v>44.99</v>
      </c>
      <c r="M71" s="112">
        <v>15.89</v>
      </c>
      <c r="N71" s="112">
        <v>442.9</v>
      </c>
      <c r="O71" s="112">
        <v>0</v>
      </c>
      <c r="P71" s="112">
        <v>0.56999999999999995</v>
      </c>
      <c r="Q71" s="112">
        <v>4.97</v>
      </c>
    </row>
    <row r="72" spans="1:17" customFormat="1">
      <c r="A72" s="80">
        <v>45444.666666666664</v>
      </c>
      <c r="B72" s="112">
        <v>7.36</v>
      </c>
      <c r="C72" s="112">
        <v>6.1</v>
      </c>
      <c r="D72" s="112">
        <v>14.1</v>
      </c>
      <c r="E72" s="112">
        <v>13.38</v>
      </c>
      <c r="F72" s="112">
        <v>8.3000000000000007</v>
      </c>
      <c r="G72" s="112">
        <v>56.34</v>
      </c>
      <c r="H72" s="112">
        <v>28.75</v>
      </c>
      <c r="I72" s="112">
        <v>6.21</v>
      </c>
      <c r="J72" s="112">
        <v>1.44</v>
      </c>
      <c r="K72" s="112">
        <v>299.02999999999997</v>
      </c>
      <c r="L72" s="112">
        <v>44.72</v>
      </c>
      <c r="M72" s="112">
        <v>15.84</v>
      </c>
      <c r="N72" s="112">
        <v>385.8</v>
      </c>
      <c r="O72" s="112">
        <v>0</v>
      </c>
      <c r="P72" s="112">
        <v>0.56000000000000005</v>
      </c>
      <c r="Q72" s="112">
        <v>5</v>
      </c>
    </row>
    <row r="73" spans="1:17" customFormat="1">
      <c r="A73" s="80">
        <v>45444.677083333336</v>
      </c>
      <c r="B73" s="112">
        <v>7.36</v>
      </c>
      <c r="C73" s="112">
        <v>6.07</v>
      </c>
      <c r="D73" s="112">
        <v>14.09</v>
      </c>
      <c r="E73" s="112">
        <v>13.55</v>
      </c>
      <c r="F73" s="112">
        <v>8.74</v>
      </c>
      <c r="G73" s="112">
        <v>56.34</v>
      </c>
      <c r="H73" s="112">
        <v>28.75</v>
      </c>
      <c r="I73" s="112">
        <v>6</v>
      </c>
      <c r="J73" s="112">
        <v>1.48</v>
      </c>
      <c r="K73" s="112">
        <v>298.39999999999998</v>
      </c>
      <c r="L73" s="112">
        <v>44.49</v>
      </c>
      <c r="M73" s="112">
        <v>15.89</v>
      </c>
      <c r="N73" s="112">
        <v>208</v>
      </c>
      <c r="O73" s="112">
        <v>0</v>
      </c>
      <c r="P73" s="112">
        <v>0.55000000000000004</v>
      </c>
      <c r="Q73" s="112">
        <v>4.99</v>
      </c>
    </row>
    <row r="74" spans="1:17" customFormat="1">
      <c r="A74" s="80">
        <v>45444.6875</v>
      </c>
      <c r="B74" s="112">
        <v>7.34</v>
      </c>
      <c r="C74" s="112">
        <v>6.08</v>
      </c>
      <c r="D74" s="112">
        <v>14.07</v>
      </c>
      <c r="E74" s="112">
        <v>12.94</v>
      </c>
      <c r="F74" s="112">
        <v>10.210000000000001</v>
      </c>
      <c r="G74" s="112">
        <v>72.86</v>
      </c>
      <c r="H74" s="112">
        <v>27.41</v>
      </c>
      <c r="I74" s="112">
        <v>5.83</v>
      </c>
      <c r="J74" s="112">
        <v>1.1599999999999999</v>
      </c>
      <c r="K74" s="112">
        <v>293.52</v>
      </c>
      <c r="L74" s="112">
        <v>44.48</v>
      </c>
      <c r="M74" s="112">
        <v>15.77</v>
      </c>
      <c r="N74" s="112">
        <v>187.8</v>
      </c>
      <c r="O74" s="112">
        <v>0</v>
      </c>
      <c r="P74" s="112">
        <v>0.52</v>
      </c>
      <c r="Q74" s="112">
        <v>4.97</v>
      </c>
    </row>
    <row r="75" spans="1:17" customFormat="1">
      <c r="A75" s="80">
        <v>45444.697916666664</v>
      </c>
      <c r="B75" s="112">
        <v>7.33</v>
      </c>
      <c r="C75" s="112">
        <v>6.08</v>
      </c>
      <c r="D75" s="112">
        <v>14.06</v>
      </c>
      <c r="E75" s="112">
        <v>12.93</v>
      </c>
      <c r="F75" s="112">
        <v>8.3800000000000008</v>
      </c>
      <c r="G75" s="112">
        <v>76.44</v>
      </c>
      <c r="H75" s="112">
        <v>27.41</v>
      </c>
      <c r="I75" s="112">
        <v>5.55</v>
      </c>
      <c r="J75" s="112">
        <v>1.08</v>
      </c>
      <c r="K75" s="112">
        <v>288.33999999999997</v>
      </c>
      <c r="L75" s="112">
        <v>44.4</v>
      </c>
      <c r="M75" s="112">
        <v>15.17</v>
      </c>
      <c r="N75" s="112">
        <v>124.6</v>
      </c>
      <c r="O75" s="112">
        <v>0</v>
      </c>
      <c r="P75" s="112">
        <v>0.51</v>
      </c>
      <c r="Q75" s="112">
        <v>4.96</v>
      </c>
    </row>
    <row r="76" spans="1:17" customFormat="1">
      <c r="A76" s="80">
        <v>45444.708333333336</v>
      </c>
      <c r="B76" s="112">
        <v>7.31</v>
      </c>
      <c r="C76" s="112">
        <v>6.11</v>
      </c>
      <c r="D76" s="112">
        <v>14.07</v>
      </c>
      <c r="E76" s="112">
        <v>12.73</v>
      </c>
      <c r="F76" s="112">
        <v>7.76</v>
      </c>
      <c r="G76" s="112">
        <v>76.44</v>
      </c>
      <c r="H76" s="112">
        <v>27.41</v>
      </c>
      <c r="I76" s="112">
        <v>5.34</v>
      </c>
      <c r="J76" s="112">
        <v>0.8</v>
      </c>
      <c r="K76" s="112">
        <v>272.86</v>
      </c>
      <c r="L76" s="112">
        <v>43.97</v>
      </c>
      <c r="M76" s="112">
        <v>15.18</v>
      </c>
      <c r="N76" s="112">
        <v>104.3</v>
      </c>
      <c r="O76" s="112">
        <v>0</v>
      </c>
      <c r="P76" s="112">
        <v>0.5</v>
      </c>
      <c r="Q76" s="112">
        <v>4.96</v>
      </c>
    </row>
    <row r="77" spans="1:17" customFormat="1">
      <c r="A77" s="80">
        <v>45444.71875</v>
      </c>
      <c r="B77" s="112">
        <v>7.34</v>
      </c>
      <c r="C77" s="112">
        <v>6.1</v>
      </c>
      <c r="D77" s="112">
        <v>14.08</v>
      </c>
      <c r="E77" s="112">
        <v>12.58</v>
      </c>
      <c r="F77" s="112">
        <v>8.41</v>
      </c>
      <c r="G77" s="112">
        <v>76.44</v>
      </c>
      <c r="H77" s="112">
        <v>27.41</v>
      </c>
      <c r="I77" s="112">
        <v>5.23</v>
      </c>
      <c r="J77" s="112">
        <v>1.51</v>
      </c>
      <c r="K77" s="112">
        <v>309.91000000000003</v>
      </c>
      <c r="L77" s="112">
        <v>43.6</v>
      </c>
      <c r="M77" s="112">
        <v>15.25</v>
      </c>
      <c r="N77" s="112">
        <v>93.8</v>
      </c>
      <c r="O77" s="112">
        <v>0</v>
      </c>
      <c r="P77" s="112">
        <v>0.5</v>
      </c>
      <c r="Q77" s="112">
        <v>4.97</v>
      </c>
    </row>
    <row r="78" spans="1:17" customFormat="1">
      <c r="A78" s="80">
        <v>45444.729166666664</v>
      </c>
      <c r="B78" s="112">
        <v>7.33</v>
      </c>
      <c r="C78" s="112">
        <v>6.08</v>
      </c>
      <c r="D78" s="112">
        <v>14.07</v>
      </c>
      <c r="E78" s="112">
        <v>13.17</v>
      </c>
      <c r="F78" s="112">
        <v>13.24</v>
      </c>
      <c r="G78" s="112">
        <v>62.02</v>
      </c>
      <c r="H78" s="112">
        <v>20.66</v>
      </c>
      <c r="I78" s="112">
        <v>5.13</v>
      </c>
      <c r="J78" s="112">
        <v>1.37</v>
      </c>
      <c r="K78" s="112">
        <v>308.76</v>
      </c>
      <c r="L78" s="112">
        <v>43.37</v>
      </c>
      <c r="M78" s="112">
        <v>15.67</v>
      </c>
      <c r="N78" s="112">
        <v>104.6</v>
      </c>
      <c r="O78" s="112">
        <v>0</v>
      </c>
      <c r="P78" s="112">
        <v>0.48</v>
      </c>
      <c r="Q78" s="112">
        <v>4.9800000000000004</v>
      </c>
    </row>
    <row r="79" spans="1:17" customFormat="1">
      <c r="A79" s="80">
        <v>45444.739583333336</v>
      </c>
      <c r="B79" s="112">
        <v>7.37</v>
      </c>
      <c r="C79" s="112">
        <v>6.09</v>
      </c>
      <c r="D79" s="112">
        <v>14.1</v>
      </c>
      <c r="E79" s="112">
        <v>12.04</v>
      </c>
      <c r="F79" s="112">
        <v>12.6</v>
      </c>
      <c r="G79" s="112">
        <v>58.9</v>
      </c>
      <c r="H79" s="112">
        <v>20.66</v>
      </c>
      <c r="I79" s="112">
        <v>4.9400000000000004</v>
      </c>
      <c r="J79" s="112">
        <v>1.22</v>
      </c>
      <c r="K79" s="112">
        <v>291.19</v>
      </c>
      <c r="L79" s="112">
        <v>42.99</v>
      </c>
      <c r="M79" s="112">
        <v>15.88</v>
      </c>
      <c r="N79" s="112">
        <v>69.900000000000006</v>
      </c>
      <c r="O79" s="112">
        <v>0</v>
      </c>
      <c r="P79" s="112">
        <v>0.46</v>
      </c>
      <c r="Q79" s="112">
        <v>4.99</v>
      </c>
    </row>
    <row r="80" spans="1:17" customFormat="1">
      <c r="A80" s="80">
        <v>45444.75</v>
      </c>
      <c r="B80" s="112">
        <v>7.34</v>
      </c>
      <c r="C80" s="112">
        <v>6.12</v>
      </c>
      <c r="D80" s="112">
        <v>14.09</v>
      </c>
      <c r="E80" s="112">
        <v>12.6</v>
      </c>
      <c r="F80" s="112">
        <v>22.28</v>
      </c>
      <c r="G80" s="112">
        <v>58.9</v>
      </c>
      <c r="H80" s="112">
        <v>20.66</v>
      </c>
      <c r="I80" s="112">
        <v>4.7</v>
      </c>
      <c r="J80" s="112">
        <v>1.1100000000000001</v>
      </c>
      <c r="K80" s="112">
        <v>299.33</v>
      </c>
      <c r="L80" s="112">
        <v>42.74</v>
      </c>
      <c r="M80" s="112">
        <v>16.190000000000001</v>
      </c>
      <c r="N80" s="112">
        <v>44</v>
      </c>
      <c r="O80" s="112">
        <v>0</v>
      </c>
      <c r="P80" s="112">
        <v>0.5</v>
      </c>
      <c r="Q80" s="112">
        <v>4.9800000000000004</v>
      </c>
    </row>
    <row r="81" spans="1:17" customFormat="1">
      <c r="A81" s="80">
        <v>45444.760416666664</v>
      </c>
      <c r="B81" s="112">
        <v>7.29</v>
      </c>
      <c r="C81" s="112">
        <v>6.19</v>
      </c>
      <c r="D81" s="112">
        <v>14.09</v>
      </c>
      <c r="E81" s="112">
        <v>8.92</v>
      </c>
      <c r="F81" s="112">
        <v>23.41</v>
      </c>
      <c r="G81" s="112">
        <v>58.9</v>
      </c>
      <c r="H81" s="112">
        <v>20.66</v>
      </c>
      <c r="I81" s="112">
        <v>4.57</v>
      </c>
      <c r="J81" s="112">
        <v>1.19</v>
      </c>
      <c r="K81" s="112">
        <v>297.33999999999997</v>
      </c>
      <c r="L81" s="112">
        <v>42.27</v>
      </c>
      <c r="M81" s="112">
        <v>16.510000000000002</v>
      </c>
      <c r="N81" s="112">
        <v>21.8</v>
      </c>
      <c r="O81" s="112">
        <v>0</v>
      </c>
      <c r="P81" s="112">
        <v>0.51</v>
      </c>
      <c r="Q81" s="112">
        <v>4.97</v>
      </c>
    </row>
    <row r="82" spans="1:17" customFormat="1">
      <c r="A82" s="80">
        <v>45444.770833333336</v>
      </c>
      <c r="B82" s="112">
        <v>7.37</v>
      </c>
      <c r="C82" s="112">
        <v>6.2</v>
      </c>
      <c r="D82" s="112">
        <v>14.16</v>
      </c>
      <c r="E82" s="112">
        <v>9.75</v>
      </c>
      <c r="F82" s="112">
        <v>26.27</v>
      </c>
      <c r="G82" s="112">
        <v>68.92</v>
      </c>
      <c r="H82" s="112">
        <v>21.19</v>
      </c>
      <c r="I82" s="112">
        <v>4.43</v>
      </c>
      <c r="J82" s="112">
        <v>1.01</v>
      </c>
      <c r="K82" s="112">
        <v>289.99</v>
      </c>
      <c r="L82" s="112">
        <v>41.81</v>
      </c>
      <c r="M82" s="112">
        <v>17.2</v>
      </c>
      <c r="N82" s="112">
        <v>2.4</v>
      </c>
      <c r="O82" s="112">
        <v>0</v>
      </c>
      <c r="P82" s="112">
        <v>0.57999999999999996</v>
      </c>
      <c r="Q82" s="112">
        <v>4.96</v>
      </c>
    </row>
    <row r="83" spans="1:17" customFormat="1">
      <c r="A83" s="80">
        <v>45444.78125</v>
      </c>
      <c r="B83" s="112">
        <v>7.42</v>
      </c>
      <c r="C83" s="112">
        <v>6.1</v>
      </c>
      <c r="D83" s="112">
        <v>14.15</v>
      </c>
      <c r="E83" s="112">
        <v>9.44</v>
      </c>
      <c r="F83" s="112">
        <v>24.72</v>
      </c>
      <c r="G83" s="112">
        <v>71.09</v>
      </c>
      <c r="H83" s="112">
        <v>21.19</v>
      </c>
      <c r="I83" s="112">
        <v>4.46</v>
      </c>
      <c r="J83" s="112">
        <v>0.72</v>
      </c>
      <c r="K83" s="112">
        <v>272.27999999999997</v>
      </c>
      <c r="L83" s="112">
        <v>41.28</v>
      </c>
      <c r="M83" s="112">
        <v>18.45</v>
      </c>
      <c r="N83" s="112">
        <v>0</v>
      </c>
      <c r="O83" s="112">
        <v>0</v>
      </c>
      <c r="P83" s="112">
        <v>0.61</v>
      </c>
      <c r="Q83" s="112">
        <v>4.97</v>
      </c>
    </row>
    <row r="84" spans="1:17" customFormat="1">
      <c r="A84" s="80">
        <v>45444.791666666664</v>
      </c>
      <c r="B84" s="112">
        <v>7.49</v>
      </c>
      <c r="C84" s="112">
        <v>6.07</v>
      </c>
      <c r="D84" s="112">
        <v>14.19</v>
      </c>
      <c r="E84" s="112">
        <v>9.9700000000000006</v>
      </c>
      <c r="F84" s="112">
        <v>35.14</v>
      </c>
      <c r="G84" s="112">
        <v>71.09</v>
      </c>
      <c r="H84" s="112">
        <v>21.19</v>
      </c>
      <c r="I84" s="112">
        <v>4.72</v>
      </c>
      <c r="J84" s="112">
        <v>0.57999999999999996</v>
      </c>
      <c r="K84" s="112">
        <v>248.07</v>
      </c>
      <c r="L84" s="112">
        <v>40.549999999999997</v>
      </c>
      <c r="M84" s="112">
        <v>19.93</v>
      </c>
      <c r="N84" s="112">
        <v>0</v>
      </c>
      <c r="O84" s="112">
        <v>0</v>
      </c>
      <c r="P84" s="112">
        <v>0.6</v>
      </c>
      <c r="Q84" s="112">
        <v>4.96</v>
      </c>
    </row>
    <row r="85" spans="1:17" customFormat="1">
      <c r="A85" s="80">
        <v>45444.802083333336</v>
      </c>
      <c r="B85" s="112">
        <v>7.4</v>
      </c>
      <c r="C85" s="112">
        <v>6.12</v>
      </c>
      <c r="D85" s="112">
        <v>14.14</v>
      </c>
      <c r="E85" s="112">
        <v>12.01</v>
      </c>
      <c r="F85" s="112">
        <v>40.98</v>
      </c>
      <c r="G85" s="112">
        <v>71.09</v>
      </c>
      <c r="H85" s="112">
        <v>21.19</v>
      </c>
      <c r="I85" s="112">
        <v>4.88</v>
      </c>
      <c r="J85" s="112">
        <v>0.42</v>
      </c>
      <c r="K85" s="112">
        <v>243.32</v>
      </c>
      <c r="L85" s="112">
        <v>39.96</v>
      </c>
      <c r="M85" s="112">
        <v>21.28</v>
      </c>
      <c r="N85" s="112">
        <v>0</v>
      </c>
      <c r="O85" s="112">
        <v>0</v>
      </c>
      <c r="P85" s="112">
        <v>0.63</v>
      </c>
      <c r="Q85" s="112">
        <v>4.9800000000000004</v>
      </c>
    </row>
    <row r="86" spans="1:17" customFormat="1">
      <c r="A86" s="80">
        <v>45444.8125</v>
      </c>
      <c r="B86" s="112">
        <v>7.34</v>
      </c>
      <c r="C86" s="112">
        <v>6.1</v>
      </c>
      <c r="D86" s="112">
        <v>14.08</v>
      </c>
      <c r="E86" s="112">
        <v>13.49</v>
      </c>
      <c r="F86" s="112">
        <v>42.71</v>
      </c>
      <c r="G86" s="112">
        <v>67.25</v>
      </c>
      <c r="H86" s="112">
        <v>19.84</v>
      </c>
      <c r="I86" s="112">
        <v>4.9400000000000004</v>
      </c>
      <c r="J86" s="112">
        <v>0.32</v>
      </c>
      <c r="K86" s="112">
        <v>237.65</v>
      </c>
      <c r="L86" s="112">
        <v>39.479999999999997</v>
      </c>
      <c r="M86" s="112">
        <v>22.91</v>
      </c>
      <c r="N86" s="112">
        <v>0</v>
      </c>
      <c r="O86" s="112">
        <v>0</v>
      </c>
      <c r="P86" s="112">
        <v>0.68</v>
      </c>
      <c r="Q86" s="112">
        <v>4.97</v>
      </c>
    </row>
    <row r="87" spans="1:17" customFormat="1">
      <c r="A87" s="80">
        <v>45444.822916666664</v>
      </c>
      <c r="B87" s="112">
        <v>7.34</v>
      </c>
      <c r="C87" s="112">
        <v>6.08</v>
      </c>
      <c r="D87" s="112">
        <v>14.07</v>
      </c>
      <c r="E87" s="112">
        <v>10.62</v>
      </c>
      <c r="F87" s="112">
        <v>35.82</v>
      </c>
      <c r="G87" s="112">
        <v>66.42</v>
      </c>
      <c r="H87" s="112">
        <v>19.84</v>
      </c>
      <c r="I87" s="112">
        <v>5.62</v>
      </c>
      <c r="J87" s="112">
        <v>0.42</v>
      </c>
      <c r="K87" s="112">
        <v>248.48</v>
      </c>
      <c r="L87" s="112">
        <v>39.04</v>
      </c>
      <c r="M87" s="112">
        <v>23.58</v>
      </c>
      <c r="N87" s="112">
        <v>0</v>
      </c>
      <c r="O87" s="112">
        <v>0</v>
      </c>
      <c r="P87" s="112">
        <v>0.65</v>
      </c>
      <c r="Q87" s="112">
        <v>4.99</v>
      </c>
    </row>
    <row r="88" spans="1:17" customFormat="1">
      <c r="A88" s="80">
        <v>45444.833333333336</v>
      </c>
      <c r="B88" s="112">
        <v>7.34</v>
      </c>
      <c r="C88" s="112">
        <v>6.05</v>
      </c>
      <c r="D88" s="112">
        <v>14.05</v>
      </c>
      <c r="E88" s="112">
        <v>12.52</v>
      </c>
      <c r="F88" s="112">
        <v>32.56</v>
      </c>
      <c r="G88" s="112">
        <v>66.42</v>
      </c>
      <c r="H88" s="112">
        <v>19.84</v>
      </c>
      <c r="I88" s="112">
        <v>5.99</v>
      </c>
      <c r="J88" s="112">
        <v>0.56999999999999995</v>
      </c>
      <c r="K88" s="112">
        <v>250.96</v>
      </c>
      <c r="L88" s="112">
        <v>39</v>
      </c>
      <c r="M88" s="112">
        <v>23.57</v>
      </c>
      <c r="N88" s="112">
        <v>0</v>
      </c>
      <c r="O88" s="112">
        <v>0</v>
      </c>
      <c r="P88" s="112">
        <v>0.69</v>
      </c>
      <c r="Q88" s="112">
        <v>4.99</v>
      </c>
    </row>
    <row r="89" spans="1:17" customFormat="1">
      <c r="A89" s="80">
        <v>45444.84375</v>
      </c>
      <c r="B89" s="112">
        <v>7.32</v>
      </c>
      <c r="C89" s="112">
        <v>6.13</v>
      </c>
      <c r="D89" s="112">
        <v>14.09</v>
      </c>
      <c r="E89" s="112">
        <v>12.76</v>
      </c>
      <c r="F89" s="112">
        <v>28.85</v>
      </c>
      <c r="G89" s="112">
        <v>66.42</v>
      </c>
      <c r="H89" s="112">
        <v>19.84</v>
      </c>
      <c r="I89" s="112">
        <v>6.15</v>
      </c>
      <c r="J89" s="112">
        <v>0.49</v>
      </c>
      <c r="K89" s="112">
        <v>249.89</v>
      </c>
      <c r="L89" s="112">
        <v>38.700000000000003</v>
      </c>
      <c r="M89" s="112">
        <v>24.82</v>
      </c>
      <c r="N89" s="112">
        <v>0</v>
      </c>
      <c r="O89" s="112">
        <v>0</v>
      </c>
      <c r="P89" s="112">
        <v>0.73</v>
      </c>
      <c r="Q89" s="112">
        <v>4.99</v>
      </c>
    </row>
    <row r="90" spans="1:17" customFormat="1">
      <c r="A90" s="80">
        <v>45444.854166666664</v>
      </c>
      <c r="B90" s="112">
        <v>7.31</v>
      </c>
      <c r="C90" s="112">
        <v>6.07</v>
      </c>
      <c r="D90" s="112">
        <v>14.05</v>
      </c>
      <c r="E90" s="112">
        <v>12.68</v>
      </c>
      <c r="F90" s="112">
        <v>31.63</v>
      </c>
      <c r="G90" s="112">
        <v>62.75</v>
      </c>
      <c r="H90" s="112">
        <v>19.72</v>
      </c>
      <c r="I90" s="112">
        <v>6.73</v>
      </c>
      <c r="J90" s="112">
        <v>0.33</v>
      </c>
      <c r="K90" s="112">
        <v>236.62</v>
      </c>
      <c r="L90" s="112">
        <v>38.51</v>
      </c>
      <c r="M90" s="112">
        <v>25.17</v>
      </c>
      <c r="N90" s="112">
        <v>0</v>
      </c>
      <c r="O90" s="112">
        <v>0</v>
      </c>
      <c r="P90" s="112">
        <v>0.8</v>
      </c>
      <c r="Q90" s="112">
        <v>4.99</v>
      </c>
    </row>
    <row r="91" spans="1:17" customFormat="1">
      <c r="A91" s="80">
        <v>45444.864583333336</v>
      </c>
      <c r="B91" s="112">
        <v>7.32</v>
      </c>
      <c r="C91" s="112">
        <v>6.13</v>
      </c>
      <c r="D91" s="112">
        <v>14.08</v>
      </c>
      <c r="E91" s="112">
        <v>12.3</v>
      </c>
      <c r="F91" s="112">
        <v>21.34</v>
      </c>
      <c r="G91" s="112">
        <v>61.96</v>
      </c>
      <c r="H91" s="112">
        <v>19.72</v>
      </c>
      <c r="I91" s="112">
        <v>7.49</v>
      </c>
      <c r="J91" s="112">
        <v>0.26</v>
      </c>
      <c r="K91" s="112">
        <v>160.46</v>
      </c>
      <c r="L91" s="112">
        <v>37.57</v>
      </c>
      <c r="M91" s="112">
        <v>28.92</v>
      </c>
      <c r="N91" s="112">
        <v>0</v>
      </c>
      <c r="O91" s="112">
        <v>0</v>
      </c>
      <c r="P91" s="112">
        <v>0.8</v>
      </c>
      <c r="Q91" s="112">
        <v>4.99</v>
      </c>
    </row>
    <row r="92" spans="1:17" customFormat="1">
      <c r="A92" s="80">
        <v>45444.875</v>
      </c>
      <c r="B92" s="112">
        <v>7.31</v>
      </c>
      <c r="C92" s="112">
        <v>6.08</v>
      </c>
      <c r="D92" s="112">
        <v>14.05</v>
      </c>
      <c r="E92" s="112">
        <v>12.3</v>
      </c>
      <c r="F92" s="112">
        <v>30.56</v>
      </c>
      <c r="G92" s="112">
        <v>61.96</v>
      </c>
      <c r="H92" s="112">
        <v>19.72</v>
      </c>
      <c r="I92" s="112">
        <v>8.52</v>
      </c>
      <c r="J92" s="112">
        <v>0.12</v>
      </c>
      <c r="K92" s="112">
        <v>116.6</v>
      </c>
      <c r="L92" s="112">
        <v>37.090000000000003</v>
      </c>
      <c r="M92" s="112">
        <v>31.3</v>
      </c>
      <c r="N92" s="112">
        <v>0</v>
      </c>
      <c r="O92" s="112">
        <v>0</v>
      </c>
      <c r="P92" s="112">
        <v>0.69</v>
      </c>
      <c r="Q92" s="112">
        <v>5</v>
      </c>
    </row>
    <row r="93" spans="1:17" customFormat="1">
      <c r="A93" s="80">
        <v>45444.885416666664</v>
      </c>
      <c r="B93" s="112">
        <v>7.31</v>
      </c>
      <c r="C93" s="112">
        <v>6.07</v>
      </c>
      <c r="D93" s="112">
        <v>14.04</v>
      </c>
      <c r="E93" s="112">
        <v>10.220000000000001</v>
      </c>
      <c r="F93" s="112">
        <v>23.56</v>
      </c>
      <c r="G93" s="112">
        <v>61.96</v>
      </c>
      <c r="H93" s="112">
        <v>19.72</v>
      </c>
      <c r="I93" s="112">
        <v>8.7200000000000006</v>
      </c>
      <c r="J93" s="112">
        <v>0.73</v>
      </c>
      <c r="K93" s="112">
        <v>83.39</v>
      </c>
      <c r="L93" s="112">
        <v>36.909999999999997</v>
      </c>
      <c r="M93" s="112">
        <v>32.86</v>
      </c>
      <c r="N93" s="112">
        <v>0</v>
      </c>
      <c r="O93" s="112">
        <v>0</v>
      </c>
      <c r="P93" s="112">
        <v>0.65</v>
      </c>
      <c r="Q93" s="112">
        <v>5</v>
      </c>
    </row>
    <row r="94" spans="1:17" customFormat="1">
      <c r="A94" s="80">
        <v>45444.895833333336</v>
      </c>
      <c r="B94" s="112">
        <v>7.29</v>
      </c>
      <c r="C94" s="112">
        <v>6.11</v>
      </c>
      <c r="D94" s="112">
        <v>14.05</v>
      </c>
      <c r="E94" s="112">
        <v>9.91</v>
      </c>
      <c r="F94" s="112">
        <v>42.88</v>
      </c>
      <c r="G94" s="112">
        <v>77.53</v>
      </c>
      <c r="H94" s="112">
        <v>20.46</v>
      </c>
      <c r="I94" s="112">
        <v>7.45</v>
      </c>
      <c r="J94" s="112">
        <v>0.42</v>
      </c>
      <c r="K94" s="112">
        <v>91.69</v>
      </c>
      <c r="L94" s="112">
        <v>36.54</v>
      </c>
      <c r="M94" s="112">
        <v>34.08</v>
      </c>
      <c r="N94" s="112">
        <v>0</v>
      </c>
      <c r="O94" s="112">
        <v>0</v>
      </c>
      <c r="P94" s="112">
        <v>0.56999999999999995</v>
      </c>
      <c r="Q94" s="112">
        <v>4.97</v>
      </c>
    </row>
    <row r="95" spans="1:17" customFormat="1">
      <c r="A95" s="80">
        <v>45444.90625</v>
      </c>
      <c r="B95" s="112">
        <v>7.32</v>
      </c>
      <c r="C95" s="112">
        <v>6.11</v>
      </c>
      <c r="D95" s="112">
        <v>14.07</v>
      </c>
      <c r="E95" s="112">
        <v>9.76</v>
      </c>
      <c r="F95" s="112">
        <v>36.119999999999997</v>
      </c>
      <c r="G95" s="112">
        <v>80.89</v>
      </c>
      <c r="H95" s="112">
        <v>20.46</v>
      </c>
      <c r="I95" s="112">
        <v>6.17</v>
      </c>
      <c r="J95" s="112">
        <v>0.27</v>
      </c>
      <c r="K95" s="112">
        <v>137.51</v>
      </c>
      <c r="L95" s="112">
        <v>36.46</v>
      </c>
      <c r="M95" s="112">
        <v>34.44</v>
      </c>
      <c r="N95" s="112">
        <v>0</v>
      </c>
      <c r="O95" s="112">
        <v>0</v>
      </c>
      <c r="P95" s="112">
        <v>0.57999999999999996</v>
      </c>
      <c r="Q95" s="112">
        <v>4.97</v>
      </c>
    </row>
    <row r="96" spans="1:17" customFormat="1">
      <c r="A96" s="80">
        <v>45444.916666666664</v>
      </c>
      <c r="B96" s="112">
        <v>7.36</v>
      </c>
      <c r="C96" s="112">
        <v>6.06</v>
      </c>
      <c r="D96" s="112">
        <v>14.07</v>
      </c>
      <c r="E96" s="112">
        <v>10.54</v>
      </c>
      <c r="F96" s="112">
        <v>40.5</v>
      </c>
      <c r="G96" s="112">
        <v>80.89</v>
      </c>
      <c r="H96" s="112">
        <v>20.46</v>
      </c>
      <c r="I96" s="112">
        <v>5.57</v>
      </c>
      <c r="J96" s="112">
        <v>0.28000000000000003</v>
      </c>
      <c r="K96" s="112">
        <v>142.36000000000001</v>
      </c>
      <c r="L96" s="112">
        <v>36.130000000000003</v>
      </c>
      <c r="M96" s="112">
        <v>35.46</v>
      </c>
      <c r="N96" s="112">
        <v>0</v>
      </c>
      <c r="O96" s="112">
        <v>0</v>
      </c>
      <c r="P96" s="112">
        <v>0.56999999999999995</v>
      </c>
      <c r="Q96" s="112">
        <v>4.9800000000000004</v>
      </c>
    </row>
    <row r="97" spans="1:22" customFormat="1">
      <c r="A97" s="80">
        <v>45444.927083333336</v>
      </c>
      <c r="B97" s="112">
        <v>7.34</v>
      </c>
      <c r="C97" s="112">
        <v>6.08</v>
      </c>
      <c r="D97" s="112">
        <v>14.08</v>
      </c>
      <c r="E97" s="112">
        <v>9.57</v>
      </c>
      <c r="F97" s="112">
        <v>29.03</v>
      </c>
      <c r="G97" s="112">
        <v>80.89</v>
      </c>
      <c r="H97" s="112">
        <v>20.46</v>
      </c>
      <c r="I97" s="112">
        <v>5.41</v>
      </c>
      <c r="J97" s="112">
        <v>0.42</v>
      </c>
      <c r="K97" s="112">
        <v>144.47</v>
      </c>
      <c r="L97" s="112">
        <v>36.03</v>
      </c>
      <c r="M97" s="112">
        <v>35.61</v>
      </c>
      <c r="N97" s="112">
        <v>0</v>
      </c>
      <c r="O97" s="112">
        <v>0</v>
      </c>
      <c r="P97" s="112">
        <v>0.59</v>
      </c>
      <c r="Q97" s="112">
        <v>4.9800000000000004</v>
      </c>
    </row>
    <row r="98" spans="1:22" customFormat="1">
      <c r="A98" s="80">
        <v>45444.9375</v>
      </c>
      <c r="B98" s="112">
        <v>7.34</v>
      </c>
      <c r="C98" s="112">
        <v>6.13</v>
      </c>
      <c r="D98" s="112">
        <v>14.1</v>
      </c>
      <c r="E98" s="112">
        <v>9.35</v>
      </c>
      <c r="F98" s="112">
        <v>26.82</v>
      </c>
      <c r="G98" s="112">
        <v>60.43</v>
      </c>
      <c r="H98" s="112">
        <v>22.71</v>
      </c>
      <c r="I98" s="112">
        <v>5.45</v>
      </c>
      <c r="J98" s="112">
        <v>0.46</v>
      </c>
      <c r="K98" s="112">
        <v>157.31</v>
      </c>
      <c r="L98" s="112">
        <v>35.67</v>
      </c>
      <c r="M98" s="112">
        <v>36.72</v>
      </c>
      <c r="N98" s="112">
        <v>0</v>
      </c>
      <c r="O98" s="112">
        <v>0</v>
      </c>
      <c r="P98" s="112">
        <v>0.57999999999999996</v>
      </c>
      <c r="Q98" s="112">
        <v>4.99</v>
      </c>
    </row>
    <row r="99" spans="1:22" customFormat="1">
      <c r="A99" s="80">
        <v>45444.947916666664</v>
      </c>
      <c r="B99" s="112">
        <v>7.37</v>
      </c>
      <c r="C99" s="112">
        <v>6.09</v>
      </c>
      <c r="D99" s="112">
        <v>14.1</v>
      </c>
      <c r="E99" s="112">
        <v>8.92</v>
      </c>
      <c r="F99" s="112">
        <v>28.72</v>
      </c>
      <c r="G99" s="112">
        <v>56</v>
      </c>
      <c r="H99" s="112">
        <v>22.71</v>
      </c>
      <c r="I99" s="112">
        <v>5.59</v>
      </c>
      <c r="J99" s="112">
        <v>0.2</v>
      </c>
      <c r="K99" s="112">
        <v>175.16</v>
      </c>
      <c r="L99" s="112">
        <v>35.89</v>
      </c>
      <c r="M99" s="112">
        <v>36.549999999999997</v>
      </c>
      <c r="N99" s="112">
        <v>0</v>
      </c>
      <c r="O99" s="112">
        <v>0</v>
      </c>
      <c r="P99" s="112">
        <v>0.5</v>
      </c>
      <c r="Q99" s="112">
        <v>4.99</v>
      </c>
    </row>
    <row r="100" spans="1:22" customFormat="1">
      <c r="A100" s="80">
        <v>45444.958333333336</v>
      </c>
      <c r="B100" s="112">
        <v>7.43</v>
      </c>
      <c r="C100" s="112">
        <v>6.08</v>
      </c>
      <c r="D100" s="112">
        <v>14.15</v>
      </c>
      <c r="E100" s="112">
        <v>9.0500000000000007</v>
      </c>
      <c r="F100" s="112">
        <v>32.47</v>
      </c>
      <c r="G100" s="112">
        <v>56</v>
      </c>
      <c r="H100" s="112">
        <v>22.71</v>
      </c>
      <c r="I100" s="112">
        <v>5.62</v>
      </c>
      <c r="J100" s="112">
        <v>0.16</v>
      </c>
      <c r="K100" s="112">
        <v>217.24</v>
      </c>
      <c r="L100" s="112">
        <v>35.479999999999997</v>
      </c>
      <c r="M100" s="112">
        <v>37.770000000000003</v>
      </c>
      <c r="N100" s="112">
        <v>0</v>
      </c>
      <c r="O100" s="112">
        <v>0</v>
      </c>
      <c r="P100" s="112">
        <v>0.41</v>
      </c>
      <c r="Q100" s="112">
        <v>5</v>
      </c>
    </row>
    <row r="101" spans="1:22" customFormat="1">
      <c r="A101" s="80">
        <v>45444.96875</v>
      </c>
      <c r="B101" s="112">
        <v>7.45</v>
      </c>
      <c r="C101" s="112">
        <v>6.12</v>
      </c>
      <c r="D101" s="112">
        <v>14.18</v>
      </c>
      <c r="E101" s="112">
        <v>9.7100000000000009</v>
      </c>
      <c r="F101" s="112">
        <v>31.27</v>
      </c>
      <c r="G101" s="112">
        <v>56</v>
      </c>
      <c r="H101" s="112">
        <v>22.71</v>
      </c>
      <c r="I101" s="112">
        <v>5.33</v>
      </c>
      <c r="J101" s="112">
        <v>0.14000000000000001</v>
      </c>
      <c r="K101" s="112">
        <v>233.22</v>
      </c>
      <c r="L101" s="112">
        <v>35.17</v>
      </c>
      <c r="M101" s="112">
        <v>38.61</v>
      </c>
      <c r="N101" s="112">
        <v>0</v>
      </c>
      <c r="O101" s="112">
        <v>0</v>
      </c>
      <c r="P101" s="112">
        <v>0.38</v>
      </c>
      <c r="Q101" s="112">
        <v>5.01</v>
      </c>
    </row>
    <row r="102" spans="1:22" customFormat="1">
      <c r="A102" s="80">
        <v>45444.979166666664</v>
      </c>
      <c r="B102" s="112">
        <v>7.41</v>
      </c>
      <c r="C102" s="112">
        <v>6.09</v>
      </c>
      <c r="D102" s="112">
        <v>14.13</v>
      </c>
      <c r="E102" s="112">
        <v>9.89</v>
      </c>
      <c r="F102" s="112">
        <v>31.85</v>
      </c>
      <c r="G102" s="112">
        <v>52.58</v>
      </c>
      <c r="H102" s="112">
        <v>19.34</v>
      </c>
      <c r="I102" s="112">
        <v>4.9800000000000004</v>
      </c>
      <c r="J102" s="112">
        <v>0.15</v>
      </c>
      <c r="K102" s="112">
        <v>258.07</v>
      </c>
      <c r="L102" s="112">
        <v>35.04</v>
      </c>
      <c r="M102" s="112">
        <v>39.65</v>
      </c>
      <c r="N102" s="112">
        <v>0</v>
      </c>
      <c r="O102" s="112">
        <v>0</v>
      </c>
      <c r="P102" s="112">
        <v>0.39</v>
      </c>
      <c r="Q102" s="112">
        <v>4.99</v>
      </c>
    </row>
    <row r="103" spans="1:22" customFormat="1">
      <c r="A103" s="80">
        <v>45444.989583333336</v>
      </c>
      <c r="B103" s="112">
        <v>7.37</v>
      </c>
      <c r="C103" s="112">
        <v>6.08</v>
      </c>
      <c r="D103" s="112">
        <v>14.09</v>
      </c>
      <c r="E103" s="112">
        <v>10.32</v>
      </c>
      <c r="F103" s="112">
        <v>27.91</v>
      </c>
      <c r="G103" s="112">
        <v>51.84</v>
      </c>
      <c r="H103" s="112">
        <v>19.34</v>
      </c>
      <c r="I103" s="112">
        <v>4.8899999999999997</v>
      </c>
      <c r="J103" s="112">
        <v>0.14000000000000001</v>
      </c>
      <c r="K103" s="112">
        <v>104.61</v>
      </c>
      <c r="L103" s="112">
        <v>34.94</v>
      </c>
      <c r="M103" s="112">
        <v>41.02</v>
      </c>
      <c r="N103" s="112">
        <v>0</v>
      </c>
      <c r="O103" s="112">
        <v>0</v>
      </c>
      <c r="P103" s="112">
        <v>0.38</v>
      </c>
      <c r="Q103" s="112">
        <v>5</v>
      </c>
    </row>
    <row r="104" spans="1:22" customFormat="1">
      <c r="A104" s="80">
        <v>45445</v>
      </c>
      <c r="B104" s="112">
        <v>7.38</v>
      </c>
      <c r="C104" s="112">
        <v>6.08</v>
      </c>
      <c r="D104" s="112">
        <v>14.11</v>
      </c>
      <c r="E104" s="112">
        <v>10.220000000000001</v>
      </c>
      <c r="F104" s="112">
        <v>24.53</v>
      </c>
      <c r="G104" s="112">
        <v>51.84</v>
      </c>
      <c r="H104" s="112">
        <v>19.34</v>
      </c>
      <c r="I104" s="112">
        <v>4.75</v>
      </c>
      <c r="J104" s="112">
        <v>0.27</v>
      </c>
      <c r="K104" s="112">
        <v>89.79</v>
      </c>
      <c r="L104" s="112">
        <v>34.89</v>
      </c>
      <c r="M104" s="112">
        <v>41.98</v>
      </c>
      <c r="N104" s="112">
        <v>0</v>
      </c>
      <c r="O104" s="112">
        <v>0</v>
      </c>
      <c r="P104" s="112">
        <v>0.4</v>
      </c>
      <c r="Q104" s="112">
        <v>5.01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7.27</v>
      </c>
      <c r="C106" s="184">
        <f>MIN(C9:C104)</f>
        <v>6.02</v>
      </c>
      <c r="D106" s="184">
        <f t="shared" ref="D106:Q106" si="0">MIN(D9:D104)</f>
        <v>14.01</v>
      </c>
      <c r="E106" s="184">
        <f t="shared" si="0"/>
        <v>8.92</v>
      </c>
      <c r="F106" s="184">
        <f t="shared" si="0"/>
        <v>2.93</v>
      </c>
      <c r="G106" s="184">
        <f t="shared" si="0"/>
        <v>51.84</v>
      </c>
      <c r="H106" s="184">
        <f t="shared" si="0"/>
        <v>19.059999999999999</v>
      </c>
      <c r="I106" s="184">
        <f t="shared" si="0"/>
        <v>4.43</v>
      </c>
      <c r="J106" s="184">
        <f t="shared" si="0"/>
        <v>-0.46</v>
      </c>
      <c r="K106" s="184">
        <f t="shared" si="0"/>
        <v>0.4</v>
      </c>
      <c r="L106" s="184">
        <f t="shared" si="0"/>
        <v>31.39</v>
      </c>
      <c r="M106" s="184">
        <f t="shared" si="0"/>
        <v>15.17</v>
      </c>
      <c r="N106" s="184">
        <f t="shared" si="0"/>
        <v>0</v>
      </c>
      <c r="O106" s="184">
        <f t="shared" si="0"/>
        <v>0</v>
      </c>
      <c r="P106" s="184">
        <f t="shared" si="0"/>
        <v>0.38</v>
      </c>
      <c r="Q106" s="184">
        <f t="shared" si="0"/>
        <v>0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7.49</v>
      </c>
      <c r="C107" s="185">
        <f t="shared" ref="C107:Q107" si="1">MAX(C9:C104)</f>
        <v>6.2</v>
      </c>
      <c r="D107" s="185">
        <f t="shared" si="1"/>
        <v>14.19</v>
      </c>
      <c r="E107" s="185">
        <f t="shared" si="1"/>
        <v>127.72</v>
      </c>
      <c r="F107" s="185">
        <f t="shared" si="1"/>
        <v>61.38</v>
      </c>
      <c r="G107" s="185">
        <f t="shared" si="1"/>
        <v>182.66</v>
      </c>
      <c r="H107" s="185">
        <f t="shared" si="1"/>
        <v>61.26</v>
      </c>
      <c r="I107" s="185">
        <f t="shared" si="1"/>
        <v>13.62</v>
      </c>
      <c r="J107" s="185">
        <f t="shared" si="1"/>
        <v>1.78</v>
      </c>
      <c r="K107" s="185">
        <f t="shared" si="1"/>
        <v>350.34</v>
      </c>
      <c r="L107" s="185">
        <f t="shared" si="1"/>
        <v>44.99</v>
      </c>
      <c r="M107" s="185">
        <f t="shared" si="1"/>
        <v>43.76</v>
      </c>
      <c r="N107" s="185">
        <f t="shared" si="1"/>
        <v>713.6</v>
      </c>
      <c r="O107" s="185">
        <f t="shared" si="1"/>
        <v>0</v>
      </c>
      <c r="P107" s="185">
        <f t="shared" si="1"/>
        <v>1.0900000000000001</v>
      </c>
      <c r="Q107" s="185">
        <f t="shared" si="1"/>
        <v>5.0199999999999996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7.3336458333333345</v>
      </c>
      <c r="C108" s="184">
        <f t="shared" ref="C108:Q108" si="2">AVERAGE(C9:C104)</f>
        <v>6.097708333333336</v>
      </c>
      <c r="D108" s="184">
        <f t="shared" si="2"/>
        <v>14.075833333333334</v>
      </c>
      <c r="E108" s="184">
        <f t="shared" si="2"/>
        <v>24.056458333333335</v>
      </c>
      <c r="F108" s="184">
        <f t="shared" si="2"/>
        <v>21.200312500000003</v>
      </c>
      <c r="G108" s="184">
        <f t="shared" si="2"/>
        <v>95.023749999999936</v>
      </c>
      <c r="H108" s="184">
        <f t="shared" si="2"/>
        <v>31.659479166666657</v>
      </c>
      <c r="I108" s="184">
        <f t="shared" si="2"/>
        <v>8.504583333333338</v>
      </c>
      <c r="J108" s="184">
        <f t="shared" si="2"/>
        <v>0.63416666666666655</v>
      </c>
      <c r="K108" s="184">
        <f t="shared" si="2"/>
        <v>202.17447916666671</v>
      </c>
      <c r="L108" s="184">
        <f t="shared" si="2"/>
        <v>38.313229166666659</v>
      </c>
      <c r="M108" s="184">
        <f t="shared" si="2"/>
        <v>29.516458333333336</v>
      </c>
      <c r="N108" s="184">
        <f t="shared" si="2"/>
        <v>141.70937499999999</v>
      </c>
      <c r="O108" s="184">
        <f t="shared" si="2"/>
        <v>0</v>
      </c>
      <c r="P108" s="184">
        <f t="shared" si="2"/>
        <v>0.71260416666666637</v>
      </c>
      <c r="Q108" s="184">
        <f t="shared" si="2"/>
        <v>4.9293750000000038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3.863785413205327E-2</v>
      </c>
      <c r="C109" s="184">
        <f t="shared" ref="C109:Q109" si="3">STDEV(C9:C104)</f>
        <v>3.0452004226380756E-2</v>
      </c>
      <c r="D109" s="184">
        <f t="shared" si="3"/>
        <v>3.4264195419114948E-2</v>
      </c>
      <c r="E109" s="184">
        <f t="shared" si="3"/>
        <v>17.78776237986261</v>
      </c>
      <c r="F109" s="184">
        <f t="shared" si="3"/>
        <v>15.612801255995366</v>
      </c>
      <c r="G109" s="184">
        <f t="shared" si="3"/>
        <v>35.499684097927549</v>
      </c>
      <c r="H109" s="184">
        <f t="shared" si="3"/>
        <v>12.481310353762153</v>
      </c>
      <c r="I109" s="184">
        <f t="shared" si="3"/>
        <v>2.559341986431019</v>
      </c>
      <c r="J109" s="184">
        <f t="shared" si="3"/>
        <v>0.45820626627768885</v>
      </c>
      <c r="K109" s="184">
        <f t="shared" si="3"/>
        <v>107.63255354623784</v>
      </c>
      <c r="L109" s="184">
        <f t="shared" si="3"/>
        <v>4.4554634692564301</v>
      </c>
      <c r="M109" s="184">
        <f t="shared" si="3"/>
        <v>8.7902227957114452</v>
      </c>
      <c r="N109" s="184">
        <f t="shared" si="3"/>
        <v>209.39964363219318</v>
      </c>
      <c r="O109" s="184">
        <f t="shared" si="3"/>
        <v>0</v>
      </c>
      <c r="P109" s="184">
        <f t="shared" si="3"/>
        <v>0.15818207225364322</v>
      </c>
      <c r="Q109" s="184">
        <f t="shared" si="3"/>
        <v>0.50862417621613798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45445.010416666664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45445.010416666664</v>
      </c>
      <c r="B9" s="112">
        <v>7.2</v>
      </c>
      <c r="C9" s="112">
        <v>5.97</v>
      </c>
      <c r="D9" s="112">
        <v>13.9</v>
      </c>
      <c r="E9" s="112">
        <v>10.38</v>
      </c>
      <c r="F9" s="112">
        <v>20.350000000000001</v>
      </c>
      <c r="G9" s="112">
        <v>51.84</v>
      </c>
      <c r="H9" s="112">
        <v>19.34</v>
      </c>
      <c r="I9" s="112">
        <v>4.68</v>
      </c>
      <c r="J9" s="112">
        <v>0.15</v>
      </c>
      <c r="K9" s="112">
        <v>181.67</v>
      </c>
      <c r="L9" s="112">
        <v>34.79</v>
      </c>
      <c r="M9" s="112">
        <v>44.13</v>
      </c>
      <c r="N9" s="112">
        <v>0</v>
      </c>
      <c r="O9" s="112">
        <v>0</v>
      </c>
      <c r="P9" s="112">
        <v>0.39</v>
      </c>
      <c r="Q9" s="112">
        <v>5</v>
      </c>
    </row>
    <row r="10" spans="1:21" customFormat="1">
      <c r="A10" s="80">
        <v>45445.020833333336</v>
      </c>
      <c r="B10" s="112">
        <v>7.16</v>
      </c>
      <c r="C10" s="112">
        <v>6.04</v>
      </c>
      <c r="D10" s="112">
        <v>13.91</v>
      </c>
      <c r="E10" s="112">
        <v>10.62</v>
      </c>
      <c r="F10" s="112">
        <v>22.31</v>
      </c>
      <c r="G10" s="112">
        <v>48.49</v>
      </c>
      <c r="H10" s="112">
        <v>20.309999999999999</v>
      </c>
      <c r="I10" s="112">
        <v>4.8</v>
      </c>
      <c r="J10" s="112">
        <v>0.21</v>
      </c>
      <c r="K10" s="112">
        <v>100.12</v>
      </c>
      <c r="L10" s="112">
        <v>34.4</v>
      </c>
      <c r="M10" s="112">
        <v>46.28</v>
      </c>
      <c r="N10" s="112">
        <v>0</v>
      </c>
      <c r="O10" s="112">
        <v>0</v>
      </c>
      <c r="P10" s="112">
        <v>0.39</v>
      </c>
      <c r="Q10" s="112">
        <v>5.01</v>
      </c>
    </row>
    <row r="11" spans="1:21" customFormat="1">
      <c r="A11" s="80">
        <v>45445.03125</v>
      </c>
      <c r="B11" s="112">
        <v>7.17</v>
      </c>
      <c r="C11" s="112">
        <v>6.03</v>
      </c>
      <c r="D11" s="112">
        <v>13.91</v>
      </c>
      <c r="E11" s="112">
        <v>10.86</v>
      </c>
      <c r="F11" s="112">
        <v>17.03</v>
      </c>
      <c r="G11" s="112">
        <v>47.76</v>
      </c>
      <c r="H11" s="112">
        <v>20.309999999999999</v>
      </c>
      <c r="I11" s="112">
        <v>4.74</v>
      </c>
      <c r="J11" s="112">
        <v>0.2</v>
      </c>
      <c r="K11" s="112">
        <v>193.64</v>
      </c>
      <c r="L11" s="112">
        <v>34.33</v>
      </c>
      <c r="M11" s="112">
        <v>47.52</v>
      </c>
      <c r="N11" s="112">
        <v>0</v>
      </c>
      <c r="O11" s="112">
        <v>0</v>
      </c>
      <c r="P11" s="112">
        <v>0.41</v>
      </c>
      <c r="Q11" s="112">
        <v>5.01</v>
      </c>
    </row>
    <row r="12" spans="1:21" customFormat="1">
      <c r="A12" s="80">
        <v>45445.041666666664</v>
      </c>
      <c r="B12" s="112">
        <v>7.15</v>
      </c>
      <c r="C12" s="112">
        <v>6.04</v>
      </c>
      <c r="D12" s="112">
        <v>13.9</v>
      </c>
      <c r="E12" s="112">
        <v>10.97</v>
      </c>
      <c r="F12" s="112">
        <v>20.43</v>
      </c>
      <c r="G12" s="112">
        <v>47.76</v>
      </c>
      <c r="H12" s="112">
        <v>20.309999999999999</v>
      </c>
      <c r="I12" s="112">
        <v>4.8</v>
      </c>
      <c r="J12" s="112">
        <v>0.21</v>
      </c>
      <c r="K12" s="112">
        <v>158.84</v>
      </c>
      <c r="L12" s="112">
        <v>34.03</v>
      </c>
      <c r="M12" s="112">
        <v>49.49</v>
      </c>
      <c r="N12" s="112">
        <v>0</v>
      </c>
      <c r="O12" s="112">
        <v>0</v>
      </c>
      <c r="P12" s="112">
        <v>0.41</v>
      </c>
      <c r="Q12" s="112">
        <v>5</v>
      </c>
    </row>
    <row r="13" spans="1:21" customFormat="1">
      <c r="A13" s="80">
        <v>45445.052083333336</v>
      </c>
      <c r="B13" s="112">
        <v>7.15</v>
      </c>
      <c r="C13" s="112">
        <v>6.07</v>
      </c>
      <c r="D13" s="112">
        <v>13.91</v>
      </c>
      <c r="E13" s="112">
        <v>10.82</v>
      </c>
      <c r="F13" s="112">
        <v>18.46</v>
      </c>
      <c r="G13" s="112">
        <v>47.76</v>
      </c>
      <c r="H13" s="112">
        <v>20.309999999999999</v>
      </c>
      <c r="I13" s="112">
        <v>4.7699999999999996</v>
      </c>
      <c r="J13" s="112">
        <v>0.19</v>
      </c>
      <c r="K13" s="112">
        <v>202.58</v>
      </c>
      <c r="L13" s="112">
        <v>33.85</v>
      </c>
      <c r="M13" s="112">
        <v>51.2</v>
      </c>
      <c r="N13" s="112">
        <v>0</v>
      </c>
      <c r="O13" s="112">
        <v>0</v>
      </c>
      <c r="P13" s="112">
        <v>0.4</v>
      </c>
      <c r="Q13" s="112">
        <v>4.99</v>
      </c>
    </row>
    <row r="14" spans="1:21" customFormat="1">
      <c r="A14" s="80">
        <v>45445.0625</v>
      </c>
      <c r="B14" s="112">
        <v>7.13</v>
      </c>
      <c r="C14" s="112">
        <v>6.09</v>
      </c>
      <c r="D14" s="112">
        <v>13.91</v>
      </c>
      <c r="E14" s="112">
        <v>10.4</v>
      </c>
      <c r="F14" s="112">
        <v>21.28</v>
      </c>
      <c r="G14" s="112">
        <v>40.82</v>
      </c>
      <c r="H14" s="112">
        <v>21.63</v>
      </c>
      <c r="I14" s="112">
        <v>4.74</v>
      </c>
      <c r="J14" s="112">
        <v>0.12</v>
      </c>
      <c r="K14" s="112">
        <v>135.02000000000001</v>
      </c>
      <c r="L14" s="112">
        <v>33.409999999999997</v>
      </c>
      <c r="M14" s="112">
        <v>52.81</v>
      </c>
      <c r="N14" s="112">
        <v>0</v>
      </c>
      <c r="O14" s="112">
        <v>0</v>
      </c>
      <c r="P14" s="112">
        <v>0.4</v>
      </c>
      <c r="Q14" s="112">
        <v>4.99</v>
      </c>
    </row>
    <row r="15" spans="1:21" customFormat="1">
      <c r="A15" s="80">
        <v>45445.072916666664</v>
      </c>
      <c r="B15" s="112">
        <v>7.13</v>
      </c>
      <c r="C15" s="112">
        <v>6.06</v>
      </c>
      <c r="D15" s="112">
        <v>13.9</v>
      </c>
      <c r="E15" s="112">
        <v>11.09</v>
      </c>
      <c r="F15" s="112">
        <v>15.52</v>
      </c>
      <c r="G15" s="112">
        <v>39.32</v>
      </c>
      <c r="H15" s="112">
        <v>21.63</v>
      </c>
      <c r="I15" s="112">
        <v>4.6399999999999997</v>
      </c>
      <c r="J15" s="112">
        <v>0.04</v>
      </c>
      <c r="K15" s="112">
        <v>160.18</v>
      </c>
      <c r="L15" s="112">
        <v>33.36</v>
      </c>
      <c r="M15" s="112">
        <v>53.27</v>
      </c>
      <c r="N15" s="112">
        <v>0</v>
      </c>
      <c r="O15" s="112">
        <v>0</v>
      </c>
      <c r="P15" s="112">
        <v>0.41</v>
      </c>
      <c r="Q15" s="112">
        <v>4.9800000000000004</v>
      </c>
    </row>
    <row r="16" spans="1:21" customFormat="1">
      <c r="A16" s="80">
        <v>45445.083333333336</v>
      </c>
      <c r="B16" s="112">
        <v>7.13</v>
      </c>
      <c r="C16" s="112">
        <v>6.08</v>
      </c>
      <c r="D16" s="112">
        <v>13.9</v>
      </c>
      <c r="E16" s="112">
        <v>11.44</v>
      </c>
      <c r="F16" s="112">
        <v>15.86</v>
      </c>
      <c r="G16" s="112">
        <v>39.32</v>
      </c>
      <c r="H16" s="112">
        <v>21.63</v>
      </c>
      <c r="I16" s="112">
        <v>4.5999999999999996</v>
      </c>
      <c r="J16" s="112">
        <v>0.14000000000000001</v>
      </c>
      <c r="K16" s="112">
        <v>184.73</v>
      </c>
      <c r="L16" s="112">
        <v>33.03</v>
      </c>
      <c r="M16" s="112">
        <v>54.78</v>
      </c>
      <c r="N16" s="112">
        <v>0</v>
      </c>
      <c r="O16" s="112">
        <v>0</v>
      </c>
      <c r="P16" s="112">
        <v>0.41</v>
      </c>
      <c r="Q16" s="112">
        <v>5</v>
      </c>
    </row>
    <row r="17" spans="1:17" customFormat="1">
      <c r="A17" s="80">
        <v>45445.09375</v>
      </c>
      <c r="B17" s="112">
        <v>7.13</v>
      </c>
      <c r="C17" s="112">
        <v>6.07</v>
      </c>
      <c r="D17" s="112">
        <v>13.89</v>
      </c>
      <c r="E17" s="112">
        <v>8.61</v>
      </c>
      <c r="F17" s="112">
        <v>13.95</v>
      </c>
      <c r="G17" s="112">
        <v>39.32</v>
      </c>
      <c r="H17" s="112">
        <v>21.63</v>
      </c>
      <c r="I17" s="112">
        <v>4.68</v>
      </c>
      <c r="J17" s="112">
        <v>0.17</v>
      </c>
      <c r="K17" s="112">
        <v>218.89</v>
      </c>
      <c r="L17" s="112">
        <v>32.79</v>
      </c>
      <c r="M17" s="112">
        <v>55.78</v>
      </c>
      <c r="N17" s="112">
        <v>0</v>
      </c>
      <c r="O17" s="112">
        <v>0</v>
      </c>
      <c r="P17" s="112">
        <v>0.41</v>
      </c>
      <c r="Q17" s="112">
        <v>4.9800000000000004</v>
      </c>
    </row>
    <row r="18" spans="1:17" customFormat="1">
      <c r="A18" s="80">
        <v>45445.104166666664</v>
      </c>
      <c r="B18" s="112">
        <v>7.13</v>
      </c>
      <c r="C18" s="112">
        <v>6.05</v>
      </c>
      <c r="D18" s="112">
        <v>13.88</v>
      </c>
      <c r="E18" s="112">
        <v>9.68</v>
      </c>
      <c r="F18" s="112">
        <v>13.39</v>
      </c>
      <c r="G18" s="112">
        <v>41.36</v>
      </c>
      <c r="H18" s="112">
        <v>23.61</v>
      </c>
      <c r="I18" s="112">
        <v>4.6900000000000004</v>
      </c>
      <c r="J18" s="112">
        <v>0.14000000000000001</v>
      </c>
      <c r="K18" s="112">
        <v>208.8</v>
      </c>
      <c r="L18" s="112">
        <v>32.53</v>
      </c>
      <c r="M18" s="112">
        <v>56.77</v>
      </c>
      <c r="N18" s="112">
        <v>0</v>
      </c>
      <c r="O18" s="112">
        <v>0</v>
      </c>
      <c r="P18" s="112">
        <v>0.41</v>
      </c>
      <c r="Q18" s="112">
        <v>4.9800000000000004</v>
      </c>
    </row>
    <row r="19" spans="1:17" customFormat="1">
      <c r="A19" s="80">
        <v>45445.114583333336</v>
      </c>
      <c r="B19" s="112">
        <v>7.12</v>
      </c>
      <c r="C19" s="112">
        <v>6.11</v>
      </c>
      <c r="D19" s="112">
        <v>13.91</v>
      </c>
      <c r="E19" s="112">
        <v>9.6</v>
      </c>
      <c r="F19" s="112">
        <v>13.93</v>
      </c>
      <c r="G19" s="112">
        <v>41.8</v>
      </c>
      <c r="H19" s="112">
        <v>23.61</v>
      </c>
      <c r="I19" s="112">
        <v>4.63</v>
      </c>
      <c r="J19" s="112">
        <v>0.05</v>
      </c>
      <c r="K19" s="112">
        <v>235.06</v>
      </c>
      <c r="L19" s="112">
        <v>32.46</v>
      </c>
      <c r="M19" s="112">
        <v>57.97</v>
      </c>
      <c r="N19" s="112">
        <v>0</v>
      </c>
      <c r="O19" s="112">
        <v>0</v>
      </c>
      <c r="P19" s="112">
        <v>0.41</v>
      </c>
      <c r="Q19" s="112">
        <v>5</v>
      </c>
    </row>
    <row r="20" spans="1:17" customFormat="1">
      <c r="A20" s="80">
        <v>45445.125</v>
      </c>
      <c r="B20" s="112">
        <v>7.12</v>
      </c>
      <c r="C20" s="112">
        <v>6.09</v>
      </c>
      <c r="D20" s="112">
        <v>13.9</v>
      </c>
      <c r="E20" s="112">
        <v>9.66</v>
      </c>
      <c r="F20" s="112">
        <v>12.83</v>
      </c>
      <c r="G20" s="112">
        <v>41.8</v>
      </c>
      <c r="H20" s="112">
        <v>23.61</v>
      </c>
      <c r="I20" s="112">
        <v>4.6100000000000003</v>
      </c>
      <c r="J20" s="112">
        <v>0.11</v>
      </c>
      <c r="K20" s="112">
        <v>102.41</v>
      </c>
      <c r="L20" s="112">
        <v>32.64</v>
      </c>
      <c r="M20" s="112">
        <v>58.08</v>
      </c>
      <c r="N20" s="112">
        <v>0</v>
      </c>
      <c r="O20" s="112">
        <v>0</v>
      </c>
      <c r="P20" s="112">
        <v>0.4</v>
      </c>
      <c r="Q20" s="112">
        <v>5</v>
      </c>
    </row>
    <row r="21" spans="1:17" customFormat="1">
      <c r="A21" s="80">
        <v>45445.135416666664</v>
      </c>
      <c r="B21" s="112">
        <v>7.13</v>
      </c>
      <c r="C21" s="112">
        <v>6.08</v>
      </c>
      <c r="D21" s="112">
        <v>13.91</v>
      </c>
      <c r="E21" s="112">
        <v>9.61</v>
      </c>
      <c r="F21" s="112">
        <v>13.9</v>
      </c>
      <c r="G21" s="112">
        <v>41.8</v>
      </c>
      <c r="H21" s="112">
        <v>23.61</v>
      </c>
      <c r="I21" s="112">
        <v>4.49</v>
      </c>
      <c r="J21" s="112">
        <v>0.15</v>
      </c>
      <c r="K21" s="112">
        <v>167.39</v>
      </c>
      <c r="L21" s="112">
        <v>32.72</v>
      </c>
      <c r="M21" s="112">
        <v>58.02</v>
      </c>
      <c r="N21" s="112">
        <v>0</v>
      </c>
      <c r="O21" s="112">
        <v>0</v>
      </c>
      <c r="P21" s="112">
        <v>0.39</v>
      </c>
      <c r="Q21" s="112">
        <v>4.99</v>
      </c>
    </row>
    <row r="22" spans="1:17" customFormat="1">
      <c r="A22" s="80">
        <v>45445.145833333336</v>
      </c>
      <c r="B22" s="112">
        <v>7.13</v>
      </c>
      <c r="C22" s="112">
        <v>6.08</v>
      </c>
      <c r="D22" s="112">
        <v>13.9</v>
      </c>
      <c r="E22" s="112">
        <v>10.55</v>
      </c>
      <c r="F22" s="112">
        <v>19.399999999999999</v>
      </c>
      <c r="G22" s="112">
        <v>39.81</v>
      </c>
      <c r="H22" s="112">
        <v>18.61</v>
      </c>
      <c r="I22" s="112">
        <v>4.47</v>
      </c>
      <c r="J22" s="112">
        <v>0.15</v>
      </c>
      <c r="K22" s="112">
        <v>203.52</v>
      </c>
      <c r="L22" s="112">
        <v>32.4</v>
      </c>
      <c r="M22" s="112">
        <v>59.59</v>
      </c>
      <c r="N22" s="112">
        <v>0</v>
      </c>
      <c r="O22" s="112">
        <v>0</v>
      </c>
      <c r="P22" s="112">
        <v>0.39</v>
      </c>
      <c r="Q22" s="112">
        <v>4.99</v>
      </c>
    </row>
    <row r="23" spans="1:17" customFormat="1">
      <c r="A23" s="80">
        <v>45445.15625</v>
      </c>
      <c r="B23" s="112">
        <v>7.09</v>
      </c>
      <c r="C23" s="112">
        <v>6.06</v>
      </c>
      <c r="D23" s="112">
        <v>13.86</v>
      </c>
      <c r="E23" s="112">
        <v>9.82</v>
      </c>
      <c r="F23" s="112">
        <v>21.06</v>
      </c>
      <c r="G23" s="112">
        <v>39.380000000000003</v>
      </c>
      <c r="H23" s="112">
        <v>18.61</v>
      </c>
      <c r="I23" s="112">
        <v>4.4800000000000004</v>
      </c>
      <c r="J23" s="112">
        <v>0.13</v>
      </c>
      <c r="K23" s="112">
        <v>180.48</v>
      </c>
      <c r="L23" s="112">
        <v>32.25</v>
      </c>
      <c r="M23" s="112">
        <v>60.49</v>
      </c>
      <c r="N23" s="112">
        <v>0</v>
      </c>
      <c r="O23" s="112">
        <v>0</v>
      </c>
      <c r="P23" s="112">
        <v>0.43</v>
      </c>
      <c r="Q23" s="112">
        <v>4.9800000000000004</v>
      </c>
    </row>
    <row r="24" spans="1:17" customFormat="1">
      <c r="A24" s="80">
        <v>45445.166666666664</v>
      </c>
      <c r="B24" s="112">
        <v>7.08</v>
      </c>
      <c r="C24" s="112">
        <v>6.06</v>
      </c>
      <c r="D24" s="112">
        <v>13.85</v>
      </c>
      <c r="E24" s="112">
        <v>9.73</v>
      </c>
      <c r="F24" s="112">
        <v>22.72</v>
      </c>
      <c r="G24" s="112">
        <v>39.380000000000003</v>
      </c>
      <c r="H24" s="112">
        <v>18.61</v>
      </c>
      <c r="I24" s="112">
        <v>4.16</v>
      </c>
      <c r="J24" s="112">
        <v>0.16</v>
      </c>
      <c r="K24" s="112">
        <v>228.56</v>
      </c>
      <c r="L24" s="112">
        <v>32.08</v>
      </c>
      <c r="M24" s="112">
        <v>61.75</v>
      </c>
      <c r="N24" s="112">
        <v>0</v>
      </c>
      <c r="O24" s="112">
        <v>0</v>
      </c>
      <c r="P24" s="112">
        <v>0.42</v>
      </c>
      <c r="Q24" s="112">
        <v>5</v>
      </c>
    </row>
    <row r="25" spans="1:17" customFormat="1">
      <c r="A25" s="80">
        <v>45445.177083333336</v>
      </c>
      <c r="B25" s="112">
        <v>7.05</v>
      </c>
      <c r="C25" s="112">
        <v>6.07</v>
      </c>
      <c r="D25" s="112">
        <v>13.84</v>
      </c>
      <c r="E25" s="112">
        <v>9.82</v>
      </c>
      <c r="F25" s="112">
        <v>24.28</v>
      </c>
      <c r="G25" s="112">
        <v>39.380000000000003</v>
      </c>
      <c r="H25" s="112">
        <v>18.61</v>
      </c>
      <c r="I25" s="112">
        <v>3.92</v>
      </c>
      <c r="J25" s="112">
        <v>0.08</v>
      </c>
      <c r="K25" s="112">
        <v>191.68</v>
      </c>
      <c r="L25" s="112">
        <v>32.11</v>
      </c>
      <c r="M25" s="112">
        <v>61.88</v>
      </c>
      <c r="N25" s="112">
        <v>0</v>
      </c>
      <c r="O25" s="112">
        <v>0</v>
      </c>
      <c r="P25" s="112">
        <v>0.42</v>
      </c>
      <c r="Q25" s="112">
        <v>5.01</v>
      </c>
    </row>
    <row r="26" spans="1:17" customFormat="1">
      <c r="A26" s="80">
        <v>45445.1875</v>
      </c>
      <c r="B26" s="112">
        <v>7.02</v>
      </c>
      <c r="C26" s="112">
        <v>6.07</v>
      </c>
      <c r="D26" s="112">
        <v>13.81</v>
      </c>
      <c r="E26" s="112">
        <v>9.6300000000000008</v>
      </c>
      <c r="F26" s="112">
        <v>25.81</v>
      </c>
      <c r="G26" s="112">
        <v>39.94</v>
      </c>
      <c r="H26" s="112">
        <v>19.39</v>
      </c>
      <c r="I26" s="112">
        <v>3.81</v>
      </c>
      <c r="J26" s="112">
        <v>0.19</v>
      </c>
      <c r="K26" s="112">
        <v>193.58</v>
      </c>
      <c r="L26" s="112">
        <v>31.91</v>
      </c>
      <c r="M26" s="112">
        <v>62.68</v>
      </c>
      <c r="N26" s="112">
        <v>0</v>
      </c>
      <c r="O26" s="112">
        <v>0</v>
      </c>
      <c r="P26" s="112">
        <v>0.42</v>
      </c>
      <c r="Q26" s="112">
        <v>5</v>
      </c>
    </row>
    <row r="27" spans="1:17" customFormat="1">
      <c r="A27" s="80">
        <v>45445.197916666664</v>
      </c>
      <c r="B27" s="112">
        <v>7.01</v>
      </c>
      <c r="C27" s="112">
        <v>6.07</v>
      </c>
      <c r="D27" s="112">
        <v>13.8</v>
      </c>
      <c r="E27" s="112">
        <v>9.5500000000000007</v>
      </c>
      <c r="F27" s="112">
        <v>22.97</v>
      </c>
      <c r="G27" s="112">
        <v>40.06</v>
      </c>
      <c r="H27" s="112">
        <v>19.39</v>
      </c>
      <c r="I27" s="112">
        <v>3.87</v>
      </c>
      <c r="J27" s="112">
        <v>0.18</v>
      </c>
      <c r="K27" s="112">
        <v>209.43</v>
      </c>
      <c r="L27" s="112">
        <v>31.57</v>
      </c>
      <c r="M27" s="112">
        <v>64.14</v>
      </c>
      <c r="N27" s="112">
        <v>0</v>
      </c>
      <c r="O27" s="112">
        <v>0</v>
      </c>
      <c r="P27" s="112">
        <v>0.41</v>
      </c>
      <c r="Q27" s="112">
        <v>5</v>
      </c>
    </row>
    <row r="28" spans="1:17" customFormat="1">
      <c r="A28" s="80">
        <v>45445.208333333336</v>
      </c>
      <c r="B28" s="112">
        <v>6.99</v>
      </c>
      <c r="C28" s="112">
        <v>6.08</v>
      </c>
      <c r="D28" s="112">
        <v>13.79</v>
      </c>
      <c r="E28" s="112">
        <v>9.82</v>
      </c>
      <c r="F28" s="112">
        <v>20.61</v>
      </c>
      <c r="G28" s="112">
        <v>40.06</v>
      </c>
      <c r="H28" s="112">
        <v>19.39</v>
      </c>
      <c r="I28" s="112">
        <v>3.93</v>
      </c>
      <c r="J28" s="112">
        <v>0.17</v>
      </c>
      <c r="K28" s="112">
        <v>214.11</v>
      </c>
      <c r="L28" s="112">
        <v>31.37</v>
      </c>
      <c r="M28" s="112">
        <v>64.989999999999995</v>
      </c>
      <c r="N28" s="112">
        <v>0</v>
      </c>
      <c r="O28" s="112">
        <v>0</v>
      </c>
      <c r="P28" s="112">
        <v>0.41</v>
      </c>
      <c r="Q28" s="112">
        <v>5.01</v>
      </c>
    </row>
    <row r="29" spans="1:17" customFormat="1">
      <c r="A29" s="80">
        <v>45445.21875</v>
      </c>
      <c r="B29" s="112">
        <v>7.02</v>
      </c>
      <c r="C29" s="112">
        <v>6.03</v>
      </c>
      <c r="D29" s="112">
        <v>13.79</v>
      </c>
      <c r="E29" s="112">
        <v>9.16</v>
      </c>
      <c r="F29" s="112">
        <v>21.62</v>
      </c>
      <c r="G29" s="112">
        <v>40.06</v>
      </c>
      <c r="H29" s="112">
        <v>19.39</v>
      </c>
      <c r="I29" s="112">
        <v>3.9</v>
      </c>
      <c r="J29" s="112">
        <v>0.17</v>
      </c>
      <c r="K29" s="112">
        <v>218.63</v>
      </c>
      <c r="L29" s="112">
        <v>31.39</v>
      </c>
      <c r="M29" s="112">
        <v>65.42</v>
      </c>
      <c r="N29" s="112">
        <v>0</v>
      </c>
      <c r="O29" s="112">
        <v>0</v>
      </c>
      <c r="P29" s="112">
        <v>0.4</v>
      </c>
      <c r="Q29" s="112">
        <v>5.01</v>
      </c>
    </row>
    <row r="30" spans="1:17" customFormat="1">
      <c r="A30" s="80">
        <v>45445.229166666664</v>
      </c>
      <c r="B30" s="112">
        <v>6.99</v>
      </c>
      <c r="C30" s="112">
        <v>6.05</v>
      </c>
      <c r="D30" s="112">
        <v>13.78</v>
      </c>
      <c r="E30" s="112">
        <v>9.58</v>
      </c>
      <c r="F30" s="112">
        <v>23.03</v>
      </c>
      <c r="G30" s="112">
        <v>34.51</v>
      </c>
      <c r="H30" s="112">
        <v>17.91</v>
      </c>
      <c r="I30" s="112">
        <v>3.85</v>
      </c>
      <c r="J30" s="112">
        <v>0.2</v>
      </c>
      <c r="K30" s="112">
        <v>223.3</v>
      </c>
      <c r="L30" s="112">
        <v>31.68</v>
      </c>
      <c r="M30" s="112">
        <v>63.93</v>
      </c>
      <c r="N30" s="112">
        <v>0</v>
      </c>
      <c r="O30" s="112">
        <v>0</v>
      </c>
      <c r="P30" s="112">
        <v>0.41</v>
      </c>
      <c r="Q30" s="112">
        <v>5</v>
      </c>
    </row>
    <row r="31" spans="1:17" customFormat="1">
      <c r="A31" s="80">
        <v>45445.239583333336</v>
      </c>
      <c r="B31" s="112">
        <v>7.01</v>
      </c>
      <c r="C31" s="112">
        <v>6.05</v>
      </c>
      <c r="D31" s="112">
        <v>13.79</v>
      </c>
      <c r="E31" s="112">
        <v>9.15</v>
      </c>
      <c r="F31" s="112">
        <v>22.25</v>
      </c>
      <c r="G31" s="112">
        <v>33.31</v>
      </c>
      <c r="H31" s="112">
        <v>17.91</v>
      </c>
      <c r="I31" s="112">
        <v>3.73</v>
      </c>
      <c r="J31" s="112">
        <v>0.15</v>
      </c>
      <c r="K31" s="112">
        <v>220.7</v>
      </c>
      <c r="L31" s="112">
        <v>31.71</v>
      </c>
      <c r="M31" s="112">
        <v>63.98</v>
      </c>
      <c r="N31" s="112">
        <v>2.9</v>
      </c>
      <c r="O31" s="112">
        <v>0</v>
      </c>
      <c r="P31" s="112">
        <v>0.41</v>
      </c>
      <c r="Q31" s="112">
        <v>5</v>
      </c>
    </row>
    <row r="32" spans="1:17" customFormat="1">
      <c r="A32" s="80">
        <v>45445.25</v>
      </c>
      <c r="B32" s="112">
        <v>7</v>
      </c>
      <c r="C32" s="112">
        <v>6.09</v>
      </c>
      <c r="D32" s="112">
        <v>13.8</v>
      </c>
      <c r="E32" s="112">
        <v>9.14</v>
      </c>
      <c r="F32" s="112">
        <v>20.63</v>
      </c>
      <c r="G32" s="112">
        <v>33.31</v>
      </c>
      <c r="H32" s="112">
        <v>17.91</v>
      </c>
      <c r="I32" s="112">
        <v>3.79</v>
      </c>
      <c r="J32" s="112">
        <v>0.13</v>
      </c>
      <c r="K32" s="112">
        <v>189.57</v>
      </c>
      <c r="L32" s="112">
        <v>31.97</v>
      </c>
      <c r="M32" s="112">
        <v>63.92</v>
      </c>
      <c r="N32" s="112">
        <v>25.1</v>
      </c>
      <c r="O32" s="112">
        <v>0</v>
      </c>
      <c r="P32" s="112">
        <v>0.42</v>
      </c>
      <c r="Q32" s="112">
        <v>5</v>
      </c>
    </row>
    <row r="33" spans="1:17" customFormat="1">
      <c r="A33" s="80">
        <v>45445.260416666664</v>
      </c>
      <c r="B33" s="112">
        <v>7.02</v>
      </c>
      <c r="C33" s="112">
        <v>6.04</v>
      </c>
      <c r="D33" s="112">
        <v>13.79</v>
      </c>
      <c r="E33" s="112">
        <v>9.1300000000000008</v>
      </c>
      <c r="F33" s="112">
        <v>19.55</v>
      </c>
      <c r="G33" s="112">
        <v>33.31</v>
      </c>
      <c r="H33" s="112">
        <v>17.91</v>
      </c>
      <c r="I33" s="112">
        <v>3.98</v>
      </c>
      <c r="J33" s="112">
        <v>0.17</v>
      </c>
      <c r="K33" s="112">
        <v>270.27</v>
      </c>
      <c r="L33" s="112">
        <v>32.44</v>
      </c>
      <c r="M33" s="112">
        <v>62.93</v>
      </c>
      <c r="N33" s="112">
        <v>46.9</v>
      </c>
      <c r="O33" s="112">
        <v>0</v>
      </c>
      <c r="P33" s="112">
        <v>0.43</v>
      </c>
      <c r="Q33" s="112">
        <v>4.99</v>
      </c>
    </row>
    <row r="34" spans="1:17" customFormat="1">
      <c r="A34" s="80">
        <v>45445.270833333336</v>
      </c>
      <c r="B34" s="112">
        <v>7.02</v>
      </c>
      <c r="C34" s="112">
        <v>6.03</v>
      </c>
      <c r="D34" s="112">
        <v>13.79</v>
      </c>
      <c r="E34" s="112">
        <v>9.66</v>
      </c>
      <c r="F34" s="112">
        <v>20.11</v>
      </c>
      <c r="G34" s="112">
        <v>34.18</v>
      </c>
      <c r="H34" s="112">
        <v>17.73</v>
      </c>
      <c r="I34" s="112">
        <v>4.09</v>
      </c>
      <c r="J34" s="112">
        <v>0.22</v>
      </c>
      <c r="K34" s="112">
        <v>248.69</v>
      </c>
      <c r="L34" s="112">
        <v>32.74</v>
      </c>
      <c r="M34" s="112">
        <v>61.9</v>
      </c>
      <c r="N34" s="112">
        <v>47.6</v>
      </c>
      <c r="O34" s="112">
        <v>0</v>
      </c>
      <c r="P34" s="112">
        <v>0.43</v>
      </c>
      <c r="Q34" s="112">
        <v>5</v>
      </c>
    </row>
    <row r="35" spans="1:17" customFormat="1">
      <c r="A35" s="80">
        <v>45445.28125</v>
      </c>
      <c r="B35" s="112">
        <v>7.02</v>
      </c>
      <c r="C35" s="112">
        <v>6.07</v>
      </c>
      <c r="D35" s="112">
        <v>13.81</v>
      </c>
      <c r="E35" s="112">
        <v>9.66</v>
      </c>
      <c r="F35" s="112">
        <v>19.28</v>
      </c>
      <c r="G35" s="112">
        <v>34.369999999999997</v>
      </c>
      <c r="H35" s="112">
        <v>17.73</v>
      </c>
      <c r="I35" s="112">
        <v>4.25</v>
      </c>
      <c r="J35" s="112">
        <v>0.27</v>
      </c>
      <c r="K35" s="112">
        <v>233.94</v>
      </c>
      <c r="L35" s="112">
        <v>33.28</v>
      </c>
      <c r="M35" s="112">
        <v>59.72</v>
      </c>
      <c r="N35" s="112">
        <v>76.3</v>
      </c>
      <c r="O35" s="112">
        <v>0</v>
      </c>
      <c r="P35" s="112">
        <v>0.44</v>
      </c>
      <c r="Q35" s="112">
        <v>5.01</v>
      </c>
    </row>
    <row r="36" spans="1:17" customFormat="1">
      <c r="A36" s="80">
        <v>45445.291666666664</v>
      </c>
      <c r="B36" s="112">
        <v>7.01</v>
      </c>
      <c r="C36" s="112">
        <v>6.06</v>
      </c>
      <c r="D36" s="112">
        <v>13.79</v>
      </c>
      <c r="E36" s="112">
        <v>9.58</v>
      </c>
      <c r="F36" s="112">
        <v>21.24</v>
      </c>
      <c r="G36" s="112">
        <v>34.369999999999997</v>
      </c>
      <c r="H36" s="112">
        <v>17.73</v>
      </c>
      <c r="I36" s="112">
        <v>4.34</v>
      </c>
      <c r="J36" s="112">
        <v>0.28000000000000003</v>
      </c>
      <c r="K36" s="112">
        <v>231.3</v>
      </c>
      <c r="L36" s="112">
        <v>33.770000000000003</v>
      </c>
      <c r="M36" s="112">
        <v>57.69</v>
      </c>
      <c r="N36" s="112">
        <v>81.099999999999994</v>
      </c>
      <c r="O36" s="112">
        <v>0</v>
      </c>
      <c r="P36" s="112">
        <v>0.44</v>
      </c>
      <c r="Q36" s="112">
        <v>5.01</v>
      </c>
    </row>
    <row r="37" spans="1:17" customFormat="1">
      <c r="A37" s="80">
        <v>45445.302083333336</v>
      </c>
      <c r="B37" s="112">
        <v>7.01</v>
      </c>
      <c r="C37" s="112">
        <v>6.06</v>
      </c>
      <c r="D37" s="112">
        <v>13.8</v>
      </c>
      <c r="E37" s="112">
        <v>10.029999999999999</v>
      </c>
      <c r="F37" s="112">
        <v>20.88</v>
      </c>
      <c r="G37" s="112">
        <v>34.369999999999997</v>
      </c>
      <c r="H37" s="112">
        <v>17.73</v>
      </c>
      <c r="I37" s="112">
        <v>4.4400000000000004</v>
      </c>
      <c r="J37" s="112">
        <v>0.4</v>
      </c>
      <c r="K37" s="112">
        <v>232.12</v>
      </c>
      <c r="L37" s="112">
        <v>34.340000000000003</v>
      </c>
      <c r="M37" s="112">
        <v>55.87</v>
      </c>
      <c r="N37" s="112">
        <v>104.7</v>
      </c>
      <c r="O37" s="112">
        <v>0</v>
      </c>
      <c r="P37" s="112">
        <v>0.44</v>
      </c>
      <c r="Q37" s="112">
        <v>5.01</v>
      </c>
    </row>
    <row r="38" spans="1:17" customFormat="1">
      <c r="A38" s="80">
        <v>45445.3125</v>
      </c>
      <c r="B38" s="112">
        <v>7</v>
      </c>
      <c r="C38" s="112">
        <v>6.1</v>
      </c>
      <c r="D38" s="112">
        <v>13.81</v>
      </c>
      <c r="E38" s="112">
        <v>9.84</v>
      </c>
      <c r="F38" s="112">
        <v>20.440000000000001</v>
      </c>
      <c r="G38" s="112">
        <v>39.229999999999997</v>
      </c>
      <c r="H38" s="112">
        <v>18.62</v>
      </c>
      <c r="I38" s="112">
        <v>4.55</v>
      </c>
      <c r="J38" s="112">
        <v>0.51</v>
      </c>
      <c r="K38" s="112">
        <v>229.44</v>
      </c>
      <c r="L38" s="112">
        <v>34.729999999999997</v>
      </c>
      <c r="M38" s="112">
        <v>54.24</v>
      </c>
      <c r="N38" s="112">
        <v>107</v>
      </c>
      <c r="O38" s="112">
        <v>0</v>
      </c>
      <c r="P38" s="112">
        <v>0.45</v>
      </c>
      <c r="Q38" s="112">
        <v>5</v>
      </c>
    </row>
    <row r="39" spans="1:17" customFormat="1">
      <c r="A39" s="80">
        <v>45445.322916666664</v>
      </c>
      <c r="B39" s="112">
        <v>7.01</v>
      </c>
      <c r="C39" s="112">
        <v>6.09</v>
      </c>
      <c r="D39" s="112">
        <v>13.81</v>
      </c>
      <c r="E39" s="112">
        <v>10.29</v>
      </c>
      <c r="F39" s="112">
        <v>20.45</v>
      </c>
      <c r="G39" s="112">
        <v>40.28</v>
      </c>
      <c r="H39" s="112">
        <v>18.62</v>
      </c>
      <c r="I39" s="112">
        <v>4.54</v>
      </c>
      <c r="J39" s="112">
        <v>0.59</v>
      </c>
      <c r="K39" s="112">
        <v>258.06</v>
      </c>
      <c r="L39" s="112">
        <v>35.020000000000003</v>
      </c>
      <c r="M39" s="112">
        <v>52.92</v>
      </c>
      <c r="N39" s="112">
        <v>116.6</v>
      </c>
      <c r="O39" s="112">
        <v>0</v>
      </c>
      <c r="P39" s="112">
        <v>0.46</v>
      </c>
      <c r="Q39" s="112">
        <v>5</v>
      </c>
    </row>
    <row r="40" spans="1:17" customFormat="1">
      <c r="A40" s="80">
        <v>45445.333333333336</v>
      </c>
      <c r="B40" s="112">
        <v>7.02</v>
      </c>
      <c r="C40" s="112">
        <v>6.07</v>
      </c>
      <c r="D40" s="112">
        <v>13.81</v>
      </c>
      <c r="E40" s="112">
        <v>10.43</v>
      </c>
      <c r="F40" s="112">
        <v>18.170000000000002</v>
      </c>
      <c r="G40" s="112">
        <v>40.28</v>
      </c>
      <c r="H40" s="112">
        <v>18.62</v>
      </c>
      <c r="I40" s="112">
        <v>4.6399999999999997</v>
      </c>
      <c r="J40" s="112">
        <v>0.83</v>
      </c>
      <c r="K40" s="112">
        <v>267.56</v>
      </c>
      <c r="L40" s="112">
        <v>35.380000000000003</v>
      </c>
      <c r="M40" s="112">
        <v>49.85</v>
      </c>
      <c r="N40" s="112">
        <v>125.7</v>
      </c>
      <c r="O40" s="112">
        <v>0</v>
      </c>
      <c r="P40" s="112">
        <v>0.45</v>
      </c>
      <c r="Q40" s="112">
        <v>5.01</v>
      </c>
    </row>
    <row r="41" spans="1:17" customFormat="1">
      <c r="A41" s="80">
        <v>45445.34375</v>
      </c>
      <c r="B41" s="112">
        <v>7.02</v>
      </c>
      <c r="C41" s="112">
        <v>6.06</v>
      </c>
      <c r="D41" s="112">
        <v>13.8</v>
      </c>
      <c r="E41" s="112">
        <v>9.99</v>
      </c>
      <c r="F41" s="112">
        <v>15.93</v>
      </c>
      <c r="G41" s="112">
        <v>40.28</v>
      </c>
      <c r="H41" s="112">
        <v>18.62</v>
      </c>
      <c r="I41" s="112">
        <v>4.87</v>
      </c>
      <c r="J41" s="112">
        <v>0.91</v>
      </c>
      <c r="K41" s="112">
        <v>262.8</v>
      </c>
      <c r="L41" s="112">
        <v>35.950000000000003</v>
      </c>
      <c r="M41" s="112">
        <v>49.35</v>
      </c>
      <c r="N41" s="112">
        <v>137.69999999999999</v>
      </c>
      <c r="O41" s="112">
        <v>0</v>
      </c>
      <c r="P41" s="112">
        <v>0.41</v>
      </c>
      <c r="Q41" s="112">
        <v>5</v>
      </c>
    </row>
    <row r="42" spans="1:17" customFormat="1">
      <c r="A42" s="80">
        <v>45445.354166666664</v>
      </c>
      <c r="B42" s="112">
        <v>7.04</v>
      </c>
      <c r="C42" s="112">
        <v>6.09</v>
      </c>
      <c r="D42" s="112">
        <v>13.83</v>
      </c>
      <c r="E42" s="112">
        <v>9.66</v>
      </c>
      <c r="F42" s="112">
        <v>14.54</v>
      </c>
      <c r="G42" s="112">
        <v>47.57</v>
      </c>
      <c r="H42" s="112">
        <v>20.73</v>
      </c>
      <c r="I42" s="112">
        <v>5.07</v>
      </c>
      <c r="J42" s="112">
        <v>1.23</v>
      </c>
      <c r="K42" s="112">
        <v>279.85000000000002</v>
      </c>
      <c r="L42" s="112">
        <v>36.32</v>
      </c>
      <c r="M42" s="112">
        <v>49.44</v>
      </c>
      <c r="N42" s="112">
        <v>149.9</v>
      </c>
      <c r="O42" s="112">
        <v>0</v>
      </c>
      <c r="P42" s="112">
        <v>0.4</v>
      </c>
      <c r="Q42" s="112">
        <v>5</v>
      </c>
    </row>
    <row r="43" spans="1:17" customFormat="1">
      <c r="A43" s="80">
        <v>45445.364583333336</v>
      </c>
      <c r="B43" s="112">
        <v>7.11</v>
      </c>
      <c r="C43" s="112">
        <v>6.05</v>
      </c>
      <c r="D43" s="112">
        <v>13.88</v>
      </c>
      <c r="E43" s="112">
        <v>10.26</v>
      </c>
      <c r="F43" s="112">
        <v>13.8</v>
      </c>
      <c r="G43" s="112">
        <v>49.15</v>
      </c>
      <c r="H43" s="112">
        <v>20.73</v>
      </c>
      <c r="I43" s="112">
        <v>5.37</v>
      </c>
      <c r="J43" s="112">
        <v>1.27</v>
      </c>
      <c r="K43" s="112">
        <v>281.56</v>
      </c>
      <c r="L43" s="112">
        <v>36.57</v>
      </c>
      <c r="M43" s="112">
        <v>48.8</v>
      </c>
      <c r="N43" s="112">
        <v>161.69999999999999</v>
      </c>
      <c r="O43" s="112">
        <v>0</v>
      </c>
      <c r="P43" s="112">
        <v>0.39</v>
      </c>
      <c r="Q43" s="112">
        <v>5.01</v>
      </c>
    </row>
    <row r="44" spans="1:17" customFormat="1">
      <c r="A44" s="80">
        <v>45445.375</v>
      </c>
      <c r="B44" s="112">
        <v>7.15</v>
      </c>
      <c r="C44" s="112">
        <v>6.04</v>
      </c>
      <c r="D44" s="112">
        <v>13.9</v>
      </c>
      <c r="E44" s="112">
        <v>10.27</v>
      </c>
      <c r="F44" s="112">
        <v>16.04</v>
      </c>
      <c r="G44" s="112">
        <v>49.15</v>
      </c>
      <c r="H44" s="112">
        <v>20.73</v>
      </c>
      <c r="I44" s="112">
        <v>5.52</v>
      </c>
      <c r="J44" s="112">
        <v>1.07</v>
      </c>
      <c r="K44" s="112">
        <v>279.25</v>
      </c>
      <c r="L44" s="112">
        <v>36.96</v>
      </c>
      <c r="M44" s="112">
        <v>46.57</v>
      </c>
      <c r="N44" s="112">
        <v>188.9</v>
      </c>
      <c r="O44" s="112">
        <v>0</v>
      </c>
      <c r="P44" s="112">
        <v>0.39</v>
      </c>
      <c r="Q44" s="112">
        <v>5.0199999999999996</v>
      </c>
    </row>
    <row r="45" spans="1:17" customFormat="1">
      <c r="A45" s="80">
        <v>45445.385416666664</v>
      </c>
      <c r="B45" s="112">
        <v>7.14</v>
      </c>
      <c r="C45" s="112">
        <v>6.06</v>
      </c>
      <c r="D45" s="112">
        <v>13.9</v>
      </c>
      <c r="E45" s="112">
        <v>10.5</v>
      </c>
      <c r="F45" s="112">
        <v>20.72</v>
      </c>
      <c r="G45" s="112">
        <v>49.15</v>
      </c>
      <c r="H45" s="112">
        <v>20.73</v>
      </c>
      <c r="I45" s="112">
        <v>5.53</v>
      </c>
      <c r="J45" s="112">
        <v>0.89</v>
      </c>
      <c r="K45" s="112">
        <v>276.67</v>
      </c>
      <c r="L45" s="112">
        <v>37.270000000000003</v>
      </c>
      <c r="M45" s="112">
        <v>46.84</v>
      </c>
      <c r="N45" s="112">
        <v>181.2</v>
      </c>
      <c r="O45" s="112">
        <v>0</v>
      </c>
      <c r="P45" s="112">
        <v>0.4</v>
      </c>
      <c r="Q45" s="112">
        <v>5.0199999999999996</v>
      </c>
    </row>
    <row r="46" spans="1:17" customFormat="1">
      <c r="A46" s="80">
        <v>45445.395833333336</v>
      </c>
      <c r="B46" s="112">
        <v>7.12</v>
      </c>
      <c r="C46" s="112">
        <v>6.06</v>
      </c>
      <c r="D46" s="112">
        <v>13.88</v>
      </c>
      <c r="E46" s="112">
        <v>11.1</v>
      </c>
      <c r="F46" s="112">
        <v>19.95</v>
      </c>
      <c r="G46" s="112">
        <v>51.31</v>
      </c>
      <c r="H46" s="112">
        <v>21.55</v>
      </c>
      <c r="I46" s="112">
        <v>5.93</v>
      </c>
      <c r="J46" s="112">
        <v>1.06</v>
      </c>
      <c r="K46" s="112">
        <v>277.81</v>
      </c>
      <c r="L46" s="112">
        <v>37.56</v>
      </c>
      <c r="M46" s="112">
        <v>45.9</v>
      </c>
      <c r="N46" s="112">
        <v>184.8</v>
      </c>
      <c r="O46" s="112">
        <v>0</v>
      </c>
      <c r="P46" s="112">
        <v>0.4</v>
      </c>
      <c r="Q46" s="112">
        <v>5.0199999999999996</v>
      </c>
    </row>
    <row r="47" spans="1:17" customFormat="1">
      <c r="A47" s="80">
        <v>45445.40625</v>
      </c>
      <c r="B47" s="112">
        <v>7.09</v>
      </c>
      <c r="C47" s="112">
        <v>6.06</v>
      </c>
      <c r="D47" s="112">
        <v>13.86</v>
      </c>
      <c r="E47" s="112">
        <v>11.29</v>
      </c>
      <c r="F47" s="112">
        <v>18.350000000000001</v>
      </c>
      <c r="G47" s="112">
        <v>51.77</v>
      </c>
      <c r="H47" s="112">
        <v>21.55</v>
      </c>
      <c r="I47" s="112">
        <v>6.48</v>
      </c>
      <c r="J47" s="112">
        <v>1.29</v>
      </c>
      <c r="K47" s="112">
        <v>263.60000000000002</v>
      </c>
      <c r="L47" s="112">
        <v>37.840000000000003</v>
      </c>
      <c r="M47" s="112">
        <v>44.78</v>
      </c>
      <c r="N47" s="112">
        <v>193.7</v>
      </c>
      <c r="O47" s="112">
        <v>0</v>
      </c>
      <c r="P47" s="112">
        <v>0.41</v>
      </c>
      <c r="Q47" s="112">
        <v>5.01</v>
      </c>
    </row>
    <row r="48" spans="1:17" customFormat="1">
      <c r="A48" s="80">
        <v>45445.416666666664</v>
      </c>
      <c r="B48" s="112">
        <v>7.06</v>
      </c>
      <c r="C48" s="112">
        <v>6.08</v>
      </c>
      <c r="D48" s="112">
        <v>13.85</v>
      </c>
      <c r="E48" s="112">
        <v>11.39</v>
      </c>
      <c r="F48" s="112">
        <v>16.559999999999999</v>
      </c>
      <c r="G48" s="112">
        <v>51.77</v>
      </c>
      <c r="H48" s="112">
        <v>21.55</v>
      </c>
      <c r="I48" s="112">
        <v>6.85</v>
      </c>
      <c r="J48" s="112">
        <v>1.76</v>
      </c>
      <c r="K48" s="112">
        <v>284.54000000000002</v>
      </c>
      <c r="L48" s="112">
        <v>37.909999999999997</v>
      </c>
      <c r="M48" s="112">
        <v>44.05</v>
      </c>
      <c r="N48" s="112">
        <v>200</v>
      </c>
      <c r="O48" s="112">
        <v>0</v>
      </c>
      <c r="P48" s="112">
        <v>0.41</v>
      </c>
      <c r="Q48" s="112">
        <v>5.01</v>
      </c>
    </row>
    <row r="49" spans="1:17" customFormat="1">
      <c r="A49" s="80">
        <v>45445.427083333336</v>
      </c>
      <c r="B49" s="112">
        <v>7.03</v>
      </c>
      <c r="C49" s="112">
        <v>6.08</v>
      </c>
      <c r="D49" s="112">
        <v>13.83</v>
      </c>
      <c r="E49" s="112">
        <v>9.6199999999999992</v>
      </c>
      <c r="F49" s="112">
        <v>17.45</v>
      </c>
      <c r="G49" s="112">
        <v>51.77</v>
      </c>
      <c r="H49" s="112">
        <v>21.55</v>
      </c>
      <c r="I49" s="112">
        <v>7.06</v>
      </c>
      <c r="J49" s="112">
        <v>1.21</v>
      </c>
      <c r="K49" s="112">
        <v>255.67</v>
      </c>
      <c r="L49" s="112">
        <v>38.340000000000003</v>
      </c>
      <c r="M49" s="112">
        <v>43.03</v>
      </c>
      <c r="N49" s="112">
        <v>208.7</v>
      </c>
      <c r="O49" s="112">
        <v>0</v>
      </c>
      <c r="P49" s="112">
        <v>0.41</v>
      </c>
      <c r="Q49" s="112">
        <v>4.99</v>
      </c>
    </row>
    <row r="50" spans="1:17" customFormat="1">
      <c r="A50" s="80">
        <v>45445.4375</v>
      </c>
      <c r="B50" s="112">
        <v>7.01</v>
      </c>
      <c r="C50" s="112">
        <v>6.06</v>
      </c>
      <c r="D50" s="112">
        <v>13.8</v>
      </c>
      <c r="E50" s="112">
        <v>11.5</v>
      </c>
      <c r="F50" s="112">
        <v>21.27</v>
      </c>
      <c r="G50" s="112">
        <v>57.18</v>
      </c>
      <c r="H50" s="112">
        <v>22.7</v>
      </c>
      <c r="I50" s="112">
        <v>6.89</v>
      </c>
      <c r="J50" s="112">
        <v>1.68</v>
      </c>
      <c r="K50" s="112">
        <v>289.69</v>
      </c>
      <c r="L50" s="112">
        <v>38.94</v>
      </c>
      <c r="M50" s="112">
        <v>40.5</v>
      </c>
      <c r="N50" s="112">
        <v>217.8</v>
      </c>
      <c r="O50" s="112">
        <v>0</v>
      </c>
      <c r="P50" s="112">
        <v>0.41</v>
      </c>
      <c r="Q50" s="112">
        <v>5.01</v>
      </c>
    </row>
    <row r="51" spans="1:17" customFormat="1">
      <c r="A51" s="80">
        <v>45445.447916666664</v>
      </c>
      <c r="B51" s="112">
        <v>6.99</v>
      </c>
      <c r="C51" s="112">
        <v>6.1</v>
      </c>
      <c r="D51" s="112">
        <v>13.8</v>
      </c>
      <c r="E51" s="112">
        <v>11.75</v>
      </c>
      <c r="F51" s="112">
        <v>16.7</v>
      </c>
      <c r="G51" s="112">
        <v>58.35</v>
      </c>
      <c r="H51" s="112">
        <v>22.7</v>
      </c>
      <c r="I51" s="112">
        <v>6.53</v>
      </c>
      <c r="J51" s="112">
        <v>1.65</v>
      </c>
      <c r="K51" s="112">
        <v>297.49</v>
      </c>
      <c r="L51" s="112">
        <v>39</v>
      </c>
      <c r="M51" s="112">
        <v>39.81</v>
      </c>
      <c r="N51" s="112">
        <v>220.8</v>
      </c>
      <c r="O51" s="112">
        <v>0</v>
      </c>
      <c r="P51" s="112">
        <v>0.43</v>
      </c>
      <c r="Q51" s="112">
        <v>5</v>
      </c>
    </row>
    <row r="52" spans="1:17" customFormat="1">
      <c r="A52" s="80">
        <v>45445.458333333336</v>
      </c>
      <c r="B52" s="112">
        <v>6.96</v>
      </c>
      <c r="C52" s="112">
        <v>6.1</v>
      </c>
      <c r="D52" s="112">
        <v>13.78</v>
      </c>
      <c r="E52" s="112">
        <v>12.92</v>
      </c>
      <c r="F52" s="112">
        <v>22.07</v>
      </c>
      <c r="G52" s="112">
        <v>58.35</v>
      </c>
      <c r="H52" s="112">
        <v>22.7</v>
      </c>
      <c r="I52" s="112">
        <v>6.46</v>
      </c>
      <c r="J52" s="112">
        <v>1.37</v>
      </c>
      <c r="K52" s="112">
        <v>285.83</v>
      </c>
      <c r="L52" s="112">
        <v>39.409999999999997</v>
      </c>
      <c r="M52" s="112">
        <v>38.39</v>
      </c>
      <c r="N52" s="112">
        <v>231</v>
      </c>
      <c r="O52" s="112">
        <v>0</v>
      </c>
      <c r="P52" s="112">
        <v>0.45</v>
      </c>
      <c r="Q52" s="112">
        <v>5</v>
      </c>
    </row>
    <row r="53" spans="1:17" customFormat="1">
      <c r="A53" s="80">
        <v>45445.46875</v>
      </c>
      <c r="B53" s="112">
        <v>6.98</v>
      </c>
      <c r="C53" s="112">
        <v>6.07</v>
      </c>
      <c r="D53" s="112">
        <v>13.77</v>
      </c>
      <c r="E53" s="112">
        <v>13.91</v>
      </c>
      <c r="F53" s="112">
        <v>34.57</v>
      </c>
      <c r="G53" s="112">
        <v>58.35</v>
      </c>
      <c r="H53" s="112">
        <v>22.7</v>
      </c>
      <c r="I53" s="112">
        <v>6.59</v>
      </c>
      <c r="J53" s="112">
        <v>1.25</v>
      </c>
      <c r="K53" s="112">
        <v>287.68</v>
      </c>
      <c r="L53" s="112">
        <v>39.76</v>
      </c>
      <c r="M53" s="112">
        <v>37.28</v>
      </c>
      <c r="N53" s="112">
        <v>244.5</v>
      </c>
      <c r="O53" s="112">
        <v>0</v>
      </c>
      <c r="P53" s="112">
        <v>0.49</v>
      </c>
      <c r="Q53" s="112">
        <v>5.01</v>
      </c>
    </row>
    <row r="54" spans="1:17" customFormat="1">
      <c r="A54" s="80">
        <v>45445.479166666664</v>
      </c>
      <c r="B54" s="112">
        <v>6.99</v>
      </c>
      <c r="C54" s="112">
        <v>6.03</v>
      </c>
      <c r="D54" s="112">
        <v>13.77</v>
      </c>
      <c r="E54" s="112">
        <v>16.72</v>
      </c>
      <c r="F54" s="112">
        <v>42.41</v>
      </c>
      <c r="G54" s="112">
        <v>65.989999999999995</v>
      </c>
      <c r="H54" s="112">
        <v>24.2</v>
      </c>
      <c r="I54" s="112">
        <v>6.75</v>
      </c>
      <c r="J54" s="112">
        <v>1.22</v>
      </c>
      <c r="K54" s="112">
        <v>299.98</v>
      </c>
      <c r="L54" s="112">
        <v>40.380000000000003</v>
      </c>
      <c r="M54" s="112">
        <v>33.93</v>
      </c>
      <c r="N54" s="112">
        <v>267</v>
      </c>
      <c r="O54" s="112">
        <v>0</v>
      </c>
      <c r="P54" s="112">
        <v>0.5</v>
      </c>
      <c r="Q54" s="112">
        <v>5.0199999999999996</v>
      </c>
    </row>
    <row r="55" spans="1:17" customFormat="1">
      <c r="A55" s="80">
        <v>45445.489583333336</v>
      </c>
      <c r="B55" s="112">
        <v>6.98</v>
      </c>
      <c r="C55" s="112">
        <v>6.05</v>
      </c>
      <c r="D55" s="112">
        <v>13.77</v>
      </c>
      <c r="E55" s="112">
        <v>17.239999999999998</v>
      </c>
      <c r="F55" s="112">
        <v>44.11</v>
      </c>
      <c r="G55" s="112">
        <v>67.64</v>
      </c>
      <c r="H55" s="112">
        <v>24.2</v>
      </c>
      <c r="I55" s="112">
        <v>6.99</v>
      </c>
      <c r="J55" s="112">
        <v>1.06</v>
      </c>
      <c r="K55" s="112">
        <v>304.74</v>
      </c>
      <c r="L55" s="112">
        <v>40.69</v>
      </c>
      <c r="M55" s="112">
        <v>32.19</v>
      </c>
      <c r="N55" s="112">
        <v>436.6</v>
      </c>
      <c r="O55" s="112">
        <v>0</v>
      </c>
      <c r="P55" s="112">
        <v>0.46</v>
      </c>
      <c r="Q55" s="112">
        <v>5.01</v>
      </c>
    </row>
    <row r="56" spans="1:17" customFormat="1">
      <c r="A56" s="80">
        <v>45445.5</v>
      </c>
      <c r="B56" s="112">
        <v>6.97</v>
      </c>
      <c r="C56" s="112">
        <v>6.08</v>
      </c>
      <c r="D56" s="112">
        <v>13.78</v>
      </c>
      <c r="E56" s="112">
        <v>17.21</v>
      </c>
      <c r="F56" s="112">
        <v>52.91</v>
      </c>
      <c r="G56" s="112">
        <v>67.64</v>
      </c>
      <c r="H56" s="112">
        <v>24.2</v>
      </c>
      <c r="I56" s="112">
        <v>6.81</v>
      </c>
      <c r="J56" s="112">
        <v>0.81</v>
      </c>
      <c r="K56" s="112">
        <v>321.49</v>
      </c>
      <c r="L56" s="112">
        <v>41.23</v>
      </c>
      <c r="M56" s="112">
        <v>31.42</v>
      </c>
      <c r="N56" s="112">
        <v>675.9</v>
      </c>
      <c r="O56" s="112">
        <v>0</v>
      </c>
      <c r="P56" s="112">
        <v>0.47</v>
      </c>
      <c r="Q56" s="112">
        <v>5</v>
      </c>
    </row>
    <row r="57" spans="1:17" customFormat="1">
      <c r="A57" s="80">
        <v>45445.510416666664</v>
      </c>
      <c r="B57" s="112">
        <v>6.97</v>
      </c>
      <c r="C57" s="112">
        <v>6.06</v>
      </c>
      <c r="D57" s="112">
        <v>13.77</v>
      </c>
      <c r="E57" s="112">
        <v>17.53</v>
      </c>
      <c r="F57" s="112">
        <v>47.02</v>
      </c>
      <c r="G57" s="112">
        <v>67.64</v>
      </c>
      <c r="H57" s="112">
        <v>24.2</v>
      </c>
      <c r="I57" s="112">
        <v>6.47</v>
      </c>
      <c r="J57" s="112">
        <v>0.84</v>
      </c>
      <c r="K57" s="112">
        <v>279.07</v>
      </c>
      <c r="L57" s="112">
        <v>41.37</v>
      </c>
      <c r="M57" s="112">
        <v>30.35</v>
      </c>
      <c r="N57" s="112">
        <v>694.9</v>
      </c>
      <c r="O57" s="112">
        <v>0</v>
      </c>
      <c r="P57" s="112">
        <v>0.44</v>
      </c>
      <c r="Q57" s="112">
        <v>5</v>
      </c>
    </row>
    <row r="58" spans="1:17" customFormat="1">
      <c r="A58" s="80">
        <v>45445.520833333336</v>
      </c>
      <c r="B58" s="112">
        <v>6.97</v>
      </c>
      <c r="C58" s="112">
        <v>6.06</v>
      </c>
      <c r="D58" s="112">
        <v>13.77</v>
      </c>
      <c r="E58" s="112">
        <v>17.41</v>
      </c>
      <c r="F58" s="112">
        <v>45.37</v>
      </c>
      <c r="G58" s="112">
        <v>69.849999999999994</v>
      </c>
      <c r="H58" s="112">
        <v>24.22</v>
      </c>
      <c r="I58" s="112">
        <v>6.15</v>
      </c>
      <c r="J58" s="112">
        <v>0.37</v>
      </c>
      <c r="K58" s="112">
        <v>274.35000000000002</v>
      </c>
      <c r="L58" s="112">
        <v>42.27</v>
      </c>
      <c r="M58" s="112">
        <v>28.74</v>
      </c>
      <c r="N58" s="112">
        <v>677.6</v>
      </c>
      <c r="O58" s="112">
        <v>0</v>
      </c>
      <c r="P58" s="112">
        <v>0.44</v>
      </c>
      <c r="Q58" s="112">
        <v>5</v>
      </c>
    </row>
    <row r="59" spans="1:17" customFormat="1">
      <c r="A59" s="80">
        <v>45445.53125</v>
      </c>
      <c r="B59" s="112">
        <v>6.98</v>
      </c>
      <c r="C59" s="112">
        <v>6.04</v>
      </c>
      <c r="D59" s="112">
        <v>13.76</v>
      </c>
      <c r="E59" s="112">
        <v>17.829999999999998</v>
      </c>
      <c r="F59" s="112">
        <v>44.95</v>
      </c>
      <c r="G59" s="112">
        <v>70.33</v>
      </c>
      <c r="H59" s="112">
        <v>24.22</v>
      </c>
      <c r="I59" s="112">
        <v>5.81</v>
      </c>
      <c r="J59" s="112">
        <v>1.07</v>
      </c>
      <c r="K59" s="112">
        <v>323.95</v>
      </c>
      <c r="L59" s="112">
        <v>42.4</v>
      </c>
      <c r="M59" s="112">
        <v>27.94</v>
      </c>
      <c r="N59" s="112">
        <v>697.8</v>
      </c>
      <c r="O59" s="112">
        <v>0</v>
      </c>
      <c r="P59" s="112">
        <v>0.44</v>
      </c>
      <c r="Q59" s="112">
        <v>5</v>
      </c>
    </row>
    <row r="60" spans="1:17" customFormat="1">
      <c r="A60" s="80">
        <v>45445.541666666664</v>
      </c>
      <c r="B60" s="112">
        <v>6.97</v>
      </c>
      <c r="C60" s="112">
        <v>6.05</v>
      </c>
      <c r="D60" s="112">
        <v>13.76</v>
      </c>
      <c r="E60" s="112">
        <v>20.65</v>
      </c>
      <c r="F60" s="112">
        <v>62.59</v>
      </c>
      <c r="G60" s="112">
        <v>70.33</v>
      </c>
      <c r="H60" s="112">
        <v>24.22</v>
      </c>
      <c r="I60" s="112">
        <v>5.66</v>
      </c>
      <c r="J60" s="112">
        <v>0.61</v>
      </c>
      <c r="K60" s="112">
        <v>350.42</v>
      </c>
      <c r="L60" s="112">
        <v>42.29</v>
      </c>
      <c r="M60" s="112">
        <v>27.52</v>
      </c>
      <c r="N60" s="112">
        <v>643.5</v>
      </c>
      <c r="O60" s="112">
        <v>0</v>
      </c>
      <c r="P60" s="112">
        <v>0.45</v>
      </c>
      <c r="Q60" s="112">
        <v>4.99</v>
      </c>
    </row>
    <row r="61" spans="1:17" customFormat="1">
      <c r="A61" s="80">
        <v>45445.552083333336</v>
      </c>
      <c r="B61" s="112">
        <v>7.04</v>
      </c>
      <c r="C61" s="112">
        <v>6.04</v>
      </c>
      <c r="D61" s="112">
        <v>13.81</v>
      </c>
      <c r="E61" s="112">
        <v>20.34</v>
      </c>
      <c r="F61" s="112">
        <v>44.46</v>
      </c>
      <c r="G61" s="112">
        <v>70.33</v>
      </c>
      <c r="H61" s="112">
        <v>24.22</v>
      </c>
      <c r="I61" s="112">
        <v>5.66</v>
      </c>
      <c r="J61" s="112">
        <v>0.7</v>
      </c>
      <c r="K61" s="112">
        <v>311.33</v>
      </c>
      <c r="L61" s="112">
        <v>43.11</v>
      </c>
      <c r="M61" s="112">
        <v>26.12</v>
      </c>
      <c r="N61" s="112">
        <v>623.6</v>
      </c>
      <c r="O61" s="112">
        <v>0</v>
      </c>
      <c r="P61" s="112">
        <v>0.53</v>
      </c>
      <c r="Q61" s="112">
        <v>4.97</v>
      </c>
    </row>
    <row r="62" spans="1:17" customFormat="1">
      <c r="A62" s="80">
        <v>45445.5625</v>
      </c>
      <c r="B62" s="112">
        <v>7.2</v>
      </c>
      <c r="C62" s="112">
        <v>6.03</v>
      </c>
      <c r="D62" s="112">
        <v>13.93</v>
      </c>
      <c r="E62" s="112">
        <v>21.97</v>
      </c>
      <c r="F62" s="112">
        <v>64.17</v>
      </c>
      <c r="G62" s="112">
        <v>66.23</v>
      </c>
      <c r="H62" s="112">
        <v>24.19</v>
      </c>
      <c r="I62" s="112">
        <v>5.4</v>
      </c>
      <c r="J62" s="112">
        <v>1.24</v>
      </c>
      <c r="K62" s="112">
        <v>38.93</v>
      </c>
      <c r="L62" s="112">
        <v>41.94</v>
      </c>
      <c r="M62" s="112">
        <v>27.31</v>
      </c>
      <c r="N62" s="112">
        <v>278.39999999999998</v>
      </c>
      <c r="O62" s="112">
        <v>0</v>
      </c>
      <c r="P62" s="112">
        <v>0.55000000000000004</v>
      </c>
      <c r="Q62" s="112">
        <v>4.9800000000000004</v>
      </c>
    </row>
    <row r="63" spans="1:17" customFormat="1">
      <c r="A63" s="80">
        <v>45445.572916666664</v>
      </c>
      <c r="B63" s="112">
        <v>7.11</v>
      </c>
      <c r="C63" s="112">
        <v>6.08</v>
      </c>
      <c r="D63" s="112">
        <v>13.89</v>
      </c>
      <c r="E63" s="112">
        <v>19.79</v>
      </c>
      <c r="F63" s="112">
        <v>42.49</v>
      </c>
      <c r="G63" s="112">
        <v>65.34</v>
      </c>
      <c r="H63" s="112">
        <v>24.19</v>
      </c>
      <c r="I63" s="112">
        <v>5.3</v>
      </c>
      <c r="J63" s="112">
        <v>1.29</v>
      </c>
      <c r="K63" s="112">
        <v>312.60000000000002</v>
      </c>
      <c r="L63" s="112">
        <v>41.4</v>
      </c>
      <c r="M63" s="112">
        <v>27.61</v>
      </c>
      <c r="N63" s="112">
        <v>151.69999999999999</v>
      </c>
      <c r="O63" s="112">
        <v>0</v>
      </c>
      <c r="P63" s="112">
        <v>0.56999999999999995</v>
      </c>
      <c r="Q63" s="112">
        <v>4.97</v>
      </c>
    </row>
    <row r="64" spans="1:17" customFormat="1">
      <c r="A64" s="80">
        <v>45445.583333333336</v>
      </c>
      <c r="B64" s="112">
        <v>7.03</v>
      </c>
      <c r="C64" s="112">
        <v>6.1</v>
      </c>
      <c r="D64" s="112">
        <v>13.83</v>
      </c>
      <c r="E64" s="112">
        <v>19.21</v>
      </c>
      <c r="F64" s="112">
        <v>39.64</v>
      </c>
      <c r="G64" s="112">
        <v>65.34</v>
      </c>
      <c r="H64" s="112">
        <v>24.19</v>
      </c>
      <c r="I64" s="112">
        <v>5.21</v>
      </c>
      <c r="J64" s="112">
        <v>1.04</v>
      </c>
      <c r="K64" s="112">
        <v>278.60000000000002</v>
      </c>
      <c r="L64" s="112">
        <v>40.619999999999997</v>
      </c>
      <c r="M64" s="112">
        <v>30.04</v>
      </c>
      <c r="N64" s="112">
        <v>85.9</v>
      </c>
      <c r="O64" s="112">
        <v>0</v>
      </c>
      <c r="P64" s="112">
        <v>0.56000000000000005</v>
      </c>
      <c r="Q64" s="112">
        <v>4.97</v>
      </c>
    </row>
    <row r="65" spans="1:17" customFormat="1">
      <c r="A65" s="80">
        <v>45445.59375</v>
      </c>
      <c r="B65" s="112">
        <v>7.06</v>
      </c>
      <c r="C65" s="112">
        <v>6.1</v>
      </c>
      <c r="D65" s="112">
        <v>13.86</v>
      </c>
      <c r="E65" s="112">
        <v>14.16</v>
      </c>
      <c r="F65" s="112">
        <v>15.85</v>
      </c>
      <c r="G65" s="112">
        <v>65.34</v>
      </c>
      <c r="H65" s="112">
        <v>24.19</v>
      </c>
      <c r="I65" s="112">
        <v>5.28</v>
      </c>
      <c r="J65" s="112">
        <v>1.33</v>
      </c>
      <c r="K65" s="112">
        <v>256.3</v>
      </c>
      <c r="L65" s="112">
        <v>37.42</v>
      </c>
      <c r="M65" s="112">
        <v>45.14</v>
      </c>
      <c r="N65" s="112">
        <v>290.39999999999998</v>
      </c>
      <c r="O65" s="112">
        <v>0</v>
      </c>
      <c r="P65" s="112">
        <v>0.51</v>
      </c>
      <c r="Q65" s="112">
        <v>4.99</v>
      </c>
    </row>
    <row r="66" spans="1:17" customFormat="1">
      <c r="A66" s="80">
        <v>45445.604166666664</v>
      </c>
      <c r="B66" s="112">
        <v>7.06</v>
      </c>
      <c r="C66" s="112">
        <v>6.1</v>
      </c>
      <c r="D66" s="112">
        <v>13.86</v>
      </c>
      <c r="E66" s="112">
        <v>12.68</v>
      </c>
      <c r="F66" s="112">
        <v>20.94</v>
      </c>
      <c r="G66" s="112">
        <v>74.33</v>
      </c>
      <c r="H66" s="112">
        <v>28.37</v>
      </c>
      <c r="I66" s="112">
        <v>5.68</v>
      </c>
      <c r="J66" s="112">
        <v>0.94</v>
      </c>
      <c r="K66" s="112">
        <v>257.43</v>
      </c>
      <c r="L66" s="112">
        <v>37.14</v>
      </c>
      <c r="M66" s="112">
        <v>36.770000000000003</v>
      </c>
      <c r="N66" s="112">
        <v>385.3</v>
      </c>
      <c r="O66" s="112">
        <v>0</v>
      </c>
      <c r="P66" s="112">
        <v>0.5</v>
      </c>
      <c r="Q66" s="112">
        <v>4.99</v>
      </c>
    </row>
    <row r="67" spans="1:17" customFormat="1">
      <c r="A67" s="80">
        <v>45445.614583333336</v>
      </c>
      <c r="B67" s="112">
        <v>7.06</v>
      </c>
      <c r="C67" s="112">
        <v>6.05</v>
      </c>
      <c r="D67" s="112">
        <v>13.83</v>
      </c>
      <c r="E67" s="112">
        <v>13.04</v>
      </c>
      <c r="F67" s="112">
        <v>32.57</v>
      </c>
      <c r="G67" s="112">
        <v>76.27</v>
      </c>
      <c r="H67" s="112">
        <v>28.37</v>
      </c>
      <c r="I67" s="112">
        <v>5.89</v>
      </c>
      <c r="J67" s="112">
        <v>0.35</v>
      </c>
      <c r="K67" s="112">
        <v>217.74</v>
      </c>
      <c r="L67" s="112">
        <v>38.299999999999997</v>
      </c>
      <c r="M67" s="112">
        <v>34.71</v>
      </c>
      <c r="N67" s="112">
        <v>187.9</v>
      </c>
      <c r="O67" s="112">
        <v>0</v>
      </c>
      <c r="P67" s="112">
        <v>0.48</v>
      </c>
      <c r="Q67" s="112">
        <v>4.9800000000000004</v>
      </c>
    </row>
    <row r="68" spans="1:17" customFormat="1">
      <c r="A68" s="80">
        <v>45445.625</v>
      </c>
      <c r="B68" s="112">
        <v>7.06</v>
      </c>
      <c r="C68" s="112">
        <v>6.06</v>
      </c>
      <c r="D68" s="112">
        <v>13.83</v>
      </c>
      <c r="E68" s="112">
        <v>14.56</v>
      </c>
      <c r="F68" s="112">
        <v>40.39</v>
      </c>
      <c r="G68" s="112">
        <v>76.27</v>
      </c>
      <c r="H68" s="112">
        <v>28.37</v>
      </c>
      <c r="I68" s="112">
        <v>5.77</v>
      </c>
      <c r="J68" s="112">
        <v>0.32</v>
      </c>
      <c r="K68" s="112">
        <v>232.21</v>
      </c>
      <c r="L68" s="112">
        <v>38.479999999999997</v>
      </c>
      <c r="M68" s="112">
        <v>36.82</v>
      </c>
      <c r="N68" s="112">
        <v>157.30000000000001</v>
      </c>
      <c r="O68" s="112">
        <v>0</v>
      </c>
      <c r="P68" s="112">
        <v>0.46</v>
      </c>
      <c r="Q68" s="112">
        <v>4.9800000000000004</v>
      </c>
    </row>
    <row r="69" spans="1:17" customFormat="1">
      <c r="A69" s="80">
        <v>45445.635416666664</v>
      </c>
      <c r="B69" s="112">
        <v>7.07</v>
      </c>
      <c r="C69" s="112">
        <v>6.08</v>
      </c>
      <c r="D69" s="112">
        <v>13.85</v>
      </c>
      <c r="E69" s="112">
        <v>16.16</v>
      </c>
      <c r="F69" s="112">
        <v>34.119999999999997</v>
      </c>
      <c r="G69" s="112">
        <v>76.27</v>
      </c>
      <c r="H69" s="112">
        <v>28.37</v>
      </c>
      <c r="I69" s="112">
        <v>5.27</v>
      </c>
      <c r="J69" s="112">
        <v>1.98</v>
      </c>
      <c r="K69" s="112">
        <v>39.4</v>
      </c>
      <c r="L69" s="112">
        <v>37.53</v>
      </c>
      <c r="M69" s="112">
        <v>37.04</v>
      </c>
      <c r="N69" s="112">
        <v>201.1</v>
      </c>
      <c r="O69" s="112">
        <v>0</v>
      </c>
      <c r="P69" s="112">
        <v>0.49</v>
      </c>
      <c r="Q69" s="112">
        <v>4.97</v>
      </c>
    </row>
    <row r="70" spans="1:17" customFormat="1">
      <c r="A70" s="80">
        <v>45445.645833333336</v>
      </c>
      <c r="B70" s="112">
        <v>7.09</v>
      </c>
      <c r="C70" s="112">
        <v>6.05</v>
      </c>
      <c r="D70" s="112">
        <v>13.86</v>
      </c>
      <c r="E70" s="112">
        <v>19.47</v>
      </c>
      <c r="F70" s="112">
        <v>21.58</v>
      </c>
      <c r="G70" s="112">
        <v>165.23</v>
      </c>
      <c r="H70" s="112">
        <v>25.55</v>
      </c>
      <c r="I70" s="112">
        <v>4.92</v>
      </c>
      <c r="J70" s="112">
        <v>1.88</v>
      </c>
      <c r="K70" s="112">
        <v>37.93</v>
      </c>
      <c r="L70" s="112">
        <v>36.450000000000003</v>
      </c>
      <c r="M70" s="112">
        <v>34.97</v>
      </c>
      <c r="N70" s="112">
        <v>327.60000000000002</v>
      </c>
      <c r="O70" s="112">
        <v>0</v>
      </c>
      <c r="P70" s="112">
        <v>0.49</v>
      </c>
      <c r="Q70" s="112">
        <v>5.01</v>
      </c>
    </row>
    <row r="71" spans="1:17" customFormat="1">
      <c r="A71" s="80">
        <v>45445.65625</v>
      </c>
      <c r="B71" s="112">
        <v>7.09</v>
      </c>
      <c r="C71" s="112">
        <v>6.04</v>
      </c>
      <c r="D71" s="112">
        <v>13.85</v>
      </c>
      <c r="E71" s="112">
        <v>19.82</v>
      </c>
      <c r="F71" s="112">
        <v>31.42</v>
      </c>
      <c r="G71" s="112">
        <v>184.47</v>
      </c>
      <c r="H71" s="112">
        <v>25.55</v>
      </c>
      <c r="I71" s="112">
        <v>5.24</v>
      </c>
      <c r="J71" s="112">
        <v>1.1100000000000001</v>
      </c>
      <c r="K71" s="112">
        <v>33.380000000000003</v>
      </c>
      <c r="L71" s="112">
        <v>38.35</v>
      </c>
      <c r="M71" s="112">
        <v>29.94</v>
      </c>
      <c r="N71" s="112">
        <v>318.60000000000002</v>
      </c>
      <c r="O71" s="112">
        <v>0</v>
      </c>
      <c r="P71" s="112">
        <v>0.46</v>
      </c>
      <c r="Q71" s="112">
        <v>5.0199999999999996</v>
      </c>
    </row>
    <row r="72" spans="1:17" customFormat="1">
      <c r="A72" s="80">
        <v>45445.666666666664</v>
      </c>
      <c r="B72" s="112">
        <v>7.07</v>
      </c>
      <c r="C72" s="112">
        <v>6.09</v>
      </c>
      <c r="D72" s="112">
        <v>13.86</v>
      </c>
      <c r="E72" s="112">
        <v>12.02</v>
      </c>
      <c r="F72" s="112">
        <v>40.5</v>
      </c>
      <c r="G72" s="112">
        <v>184.47</v>
      </c>
      <c r="H72" s="112">
        <v>25.55</v>
      </c>
      <c r="I72" s="112">
        <v>5.28</v>
      </c>
      <c r="J72" s="112">
        <v>0.92</v>
      </c>
      <c r="K72" s="112">
        <v>37.299999999999997</v>
      </c>
      <c r="L72" s="112">
        <v>39.450000000000003</v>
      </c>
      <c r="M72" s="112">
        <v>27.98</v>
      </c>
      <c r="N72" s="112">
        <v>350.9</v>
      </c>
      <c r="O72" s="112">
        <v>0</v>
      </c>
      <c r="P72" s="112">
        <v>0.42</v>
      </c>
      <c r="Q72" s="112">
        <v>5.01</v>
      </c>
    </row>
    <row r="73" spans="1:17" customFormat="1">
      <c r="A73" s="80">
        <v>45445.677083333336</v>
      </c>
      <c r="B73" s="112">
        <v>7.08</v>
      </c>
      <c r="C73" s="112">
        <v>6.09</v>
      </c>
      <c r="D73" s="112">
        <v>13.87</v>
      </c>
      <c r="E73" s="112">
        <v>10.23</v>
      </c>
      <c r="F73" s="112">
        <v>28.39</v>
      </c>
      <c r="G73" s="112">
        <v>184.47</v>
      </c>
      <c r="H73" s="112">
        <v>25.55</v>
      </c>
      <c r="I73" s="112">
        <v>4.7300000000000004</v>
      </c>
      <c r="J73" s="112">
        <v>1.25</v>
      </c>
      <c r="K73" s="112">
        <v>64.39</v>
      </c>
      <c r="L73" s="112">
        <v>39.82</v>
      </c>
      <c r="M73" s="112">
        <v>25.92</v>
      </c>
      <c r="N73" s="112">
        <v>243.9</v>
      </c>
      <c r="O73" s="112">
        <v>0</v>
      </c>
      <c r="P73" s="112">
        <v>0.44</v>
      </c>
      <c r="Q73" s="112">
        <v>4.99</v>
      </c>
    </row>
    <row r="74" spans="1:17" customFormat="1">
      <c r="A74" s="80">
        <v>45445.6875</v>
      </c>
      <c r="B74" s="112">
        <v>7.08</v>
      </c>
      <c r="C74" s="112">
        <v>6.11</v>
      </c>
      <c r="D74" s="112">
        <v>13.88</v>
      </c>
      <c r="E74" s="112">
        <v>11.2</v>
      </c>
      <c r="F74" s="112">
        <v>39.96</v>
      </c>
      <c r="G74" s="112">
        <v>115.61</v>
      </c>
      <c r="H74" s="112">
        <v>24.28</v>
      </c>
      <c r="I74" s="112">
        <v>4.5199999999999996</v>
      </c>
      <c r="J74" s="112">
        <v>0.53</v>
      </c>
      <c r="K74" s="112">
        <v>39.25</v>
      </c>
      <c r="L74" s="112">
        <v>40.29</v>
      </c>
      <c r="M74" s="112">
        <v>25.33</v>
      </c>
      <c r="N74" s="112">
        <v>177.5</v>
      </c>
      <c r="O74" s="112">
        <v>0</v>
      </c>
      <c r="P74" s="112">
        <v>0.44</v>
      </c>
      <c r="Q74" s="112">
        <v>4.9800000000000004</v>
      </c>
    </row>
    <row r="75" spans="1:17" customFormat="1">
      <c r="A75" s="80">
        <v>45445.697916666664</v>
      </c>
      <c r="B75" s="112">
        <v>7.12</v>
      </c>
      <c r="C75" s="112">
        <v>6.12</v>
      </c>
      <c r="D75" s="112">
        <v>13.92</v>
      </c>
      <c r="E75" s="112">
        <v>11.74</v>
      </c>
      <c r="F75" s="112">
        <v>48.94</v>
      </c>
      <c r="G75" s="112">
        <v>100.73</v>
      </c>
      <c r="H75" s="112">
        <v>24.28</v>
      </c>
      <c r="I75" s="112">
        <v>4.3600000000000003</v>
      </c>
      <c r="J75" s="112">
        <v>0.28000000000000003</v>
      </c>
      <c r="K75" s="112">
        <v>128.03</v>
      </c>
      <c r="L75" s="112">
        <v>40.770000000000003</v>
      </c>
      <c r="M75" s="112">
        <v>25.6</v>
      </c>
      <c r="N75" s="112">
        <v>128.19999999999999</v>
      </c>
      <c r="O75" s="112">
        <v>0</v>
      </c>
      <c r="P75" s="112">
        <v>0.39</v>
      </c>
      <c r="Q75" s="112">
        <v>4.9800000000000004</v>
      </c>
    </row>
    <row r="76" spans="1:17" customFormat="1">
      <c r="A76" s="80">
        <v>45445.708333333336</v>
      </c>
      <c r="B76" s="112">
        <v>7.11</v>
      </c>
      <c r="C76" s="112">
        <v>6.06</v>
      </c>
      <c r="D76" s="112">
        <v>13.88</v>
      </c>
      <c r="E76" s="112">
        <v>13.54</v>
      </c>
      <c r="F76" s="112">
        <v>53.36</v>
      </c>
      <c r="G76" s="112">
        <v>100.73</v>
      </c>
      <c r="H76" s="112">
        <v>24.28</v>
      </c>
      <c r="I76" s="112">
        <v>4.18</v>
      </c>
      <c r="J76" s="112">
        <v>0.32</v>
      </c>
      <c r="K76" s="112">
        <v>67.06</v>
      </c>
      <c r="L76" s="112">
        <v>40.520000000000003</v>
      </c>
      <c r="M76" s="112">
        <v>26.03</v>
      </c>
      <c r="N76" s="112">
        <v>106.4</v>
      </c>
      <c r="O76" s="112">
        <v>0</v>
      </c>
      <c r="P76" s="112">
        <v>0.41</v>
      </c>
      <c r="Q76" s="112">
        <v>4.99</v>
      </c>
    </row>
    <row r="77" spans="1:17" customFormat="1">
      <c r="A77" s="80">
        <v>45445.71875</v>
      </c>
      <c r="B77" s="112">
        <v>7.11</v>
      </c>
      <c r="C77" s="112">
        <v>6.07</v>
      </c>
      <c r="D77" s="112">
        <v>13.89</v>
      </c>
      <c r="E77" s="112">
        <v>11.47</v>
      </c>
      <c r="F77" s="112">
        <v>21.39</v>
      </c>
      <c r="G77" s="112">
        <v>100.73</v>
      </c>
      <c r="H77" s="112">
        <v>24.28</v>
      </c>
      <c r="I77" s="112">
        <v>3.89</v>
      </c>
      <c r="J77" s="112">
        <v>2.42</v>
      </c>
      <c r="K77" s="112">
        <v>42.75</v>
      </c>
      <c r="L77" s="112">
        <v>38.770000000000003</v>
      </c>
      <c r="M77" s="112">
        <v>30.43</v>
      </c>
      <c r="N77" s="112">
        <v>85.7</v>
      </c>
      <c r="O77" s="112">
        <v>0</v>
      </c>
      <c r="P77" s="112">
        <v>0.47</v>
      </c>
      <c r="Q77" s="112">
        <v>4.9800000000000004</v>
      </c>
    </row>
    <row r="78" spans="1:17" customFormat="1">
      <c r="A78" s="80">
        <v>45445.729166666664</v>
      </c>
      <c r="B78" s="112">
        <v>7.12</v>
      </c>
      <c r="C78" s="112">
        <v>6.08</v>
      </c>
      <c r="D78" s="112">
        <v>13.89</v>
      </c>
      <c r="E78" s="112">
        <v>10.89</v>
      </c>
      <c r="F78" s="112">
        <v>19.02</v>
      </c>
      <c r="G78" s="112">
        <v>68.61</v>
      </c>
      <c r="H78" s="112">
        <v>25.16</v>
      </c>
      <c r="I78" s="112">
        <v>4.1500000000000004</v>
      </c>
      <c r="J78" s="112">
        <v>2.15</v>
      </c>
      <c r="K78" s="112">
        <v>44.82</v>
      </c>
      <c r="L78" s="112">
        <v>37.49</v>
      </c>
      <c r="M78" s="112">
        <v>33.1</v>
      </c>
      <c r="N78" s="112">
        <v>77.900000000000006</v>
      </c>
      <c r="O78" s="112">
        <v>0</v>
      </c>
      <c r="P78" s="112">
        <v>0.46</v>
      </c>
      <c r="Q78" s="112">
        <v>5</v>
      </c>
    </row>
    <row r="79" spans="1:17" customFormat="1">
      <c r="A79" s="80">
        <v>45445.739583333336</v>
      </c>
      <c r="B79" s="112">
        <v>7.15</v>
      </c>
      <c r="C79" s="112">
        <v>6.08</v>
      </c>
      <c r="D79" s="112">
        <v>13.91</v>
      </c>
      <c r="E79" s="112">
        <v>11.13</v>
      </c>
      <c r="F79" s="112">
        <v>29.94</v>
      </c>
      <c r="G79" s="112">
        <v>61.67</v>
      </c>
      <c r="H79" s="112">
        <v>25.16</v>
      </c>
      <c r="I79" s="112">
        <v>4.7699999999999996</v>
      </c>
      <c r="J79" s="112">
        <v>1.99</v>
      </c>
      <c r="K79" s="112">
        <v>54.9</v>
      </c>
      <c r="L79" s="112">
        <v>36.880000000000003</v>
      </c>
      <c r="M79" s="112">
        <v>33.85</v>
      </c>
      <c r="N79" s="112">
        <v>51.9</v>
      </c>
      <c r="O79" s="112">
        <v>0</v>
      </c>
      <c r="P79" s="112">
        <v>0.36</v>
      </c>
      <c r="Q79" s="112">
        <v>5.01</v>
      </c>
    </row>
    <row r="80" spans="1:17" customFormat="1">
      <c r="A80" s="80">
        <v>45445.75</v>
      </c>
      <c r="B80" s="112">
        <v>7.21</v>
      </c>
      <c r="C80" s="112">
        <v>6.06</v>
      </c>
      <c r="D80" s="112">
        <v>13.96</v>
      </c>
      <c r="E80" s="112">
        <v>12</v>
      </c>
      <c r="F80" s="112">
        <v>26.78</v>
      </c>
      <c r="G80" s="112">
        <v>61.67</v>
      </c>
      <c r="H80" s="112">
        <v>25.16</v>
      </c>
      <c r="I80" s="112">
        <v>5.04</v>
      </c>
      <c r="J80" s="112">
        <v>1.44</v>
      </c>
      <c r="K80" s="112">
        <v>57.22</v>
      </c>
      <c r="L80" s="112">
        <v>36.9</v>
      </c>
      <c r="M80" s="112">
        <v>34.049999999999997</v>
      </c>
      <c r="N80" s="112">
        <v>29.2</v>
      </c>
      <c r="O80" s="112">
        <v>0</v>
      </c>
      <c r="P80" s="112">
        <v>0.31</v>
      </c>
      <c r="Q80" s="112">
        <v>5.03</v>
      </c>
    </row>
    <row r="81" spans="1:17" customFormat="1">
      <c r="A81" s="80">
        <v>45445.760416666664</v>
      </c>
      <c r="B81" s="112">
        <v>7.26</v>
      </c>
      <c r="C81" s="112">
        <v>6.09</v>
      </c>
      <c r="D81" s="112">
        <v>14.01</v>
      </c>
      <c r="E81" s="112">
        <v>13.18</v>
      </c>
      <c r="F81" s="112">
        <v>25.73</v>
      </c>
      <c r="G81" s="112">
        <v>61.67</v>
      </c>
      <c r="H81" s="112">
        <v>25.16</v>
      </c>
      <c r="I81" s="112">
        <v>4.91</v>
      </c>
      <c r="J81" s="112">
        <v>1.21</v>
      </c>
      <c r="K81" s="112">
        <v>61.32</v>
      </c>
      <c r="L81" s="112">
        <v>36.799999999999997</v>
      </c>
      <c r="M81" s="112">
        <v>35.03</v>
      </c>
      <c r="N81" s="112">
        <v>11.4</v>
      </c>
      <c r="O81" s="112">
        <v>0</v>
      </c>
      <c r="P81" s="112">
        <v>0.33</v>
      </c>
      <c r="Q81" s="112">
        <v>5.03</v>
      </c>
    </row>
    <row r="82" spans="1:17" customFormat="1">
      <c r="A82" s="80">
        <v>45445.770833333336</v>
      </c>
      <c r="B82" s="112">
        <v>7.2</v>
      </c>
      <c r="C82" s="112">
        <v>6.11</v>
      </c>
      <c r="D82" s="112">
        <v>13.97</v>
      </c>
      <c r="E82" s="112">
        <v>17.14</v>
      </c>
      <c r="F82" s="112">
        <v>22.21</v>
      </c>
      <c r="G82" s="112">
        <v>63.71</v>
      </c>
      <c r="H82" s="112">
        <v>22.42</v>
      </c>
      <c r="I82" s="112">
        <v>4.6900000000000004</v>
      </c>
      <c r="J82" s="112">
        <v>0.78</v>
      </c>
      <c r="K82" s="112">
        <v>66.58</v>
      </c>
      <c r="L82" s="112">
        <v>36.950000000000003</v>
      </c>
      <c r="M82" s="112">
        <v>35.28</v>
      </c>
      <c r="N82" s="112">
        <v>0.9</v>
      </c>
      <c r="O82" s="112">
        <v>0</v>
      </c>
      <c r="P82" s="112">
        <v>0.35</v>
      </c>
      <c r="Q82" s="112">
        <v>5.07</v>
      </c>
    </row>
    <row r="83" spans="1:17" customFormat="1">
      <c r="A83" s="80">
        <v>45445.78125</v>
      </c>
      <c r="B83" s="112">
        <v>7.14</v>
      </c>
      <c r="C83" s="112">
        <v>6.09</v>
      </c>
      <c r="D83" s="112">
        <v>13.92</v>
      </c>
      <c r="E83" s="112">
        <v>13.07</v>
      </c>
      <c r="F83" s="112">
        <v>12.61</v>
      </c>
      <c r="G83" s="112">
        <v>64.150000000000006</v>
      </c>
      <c r="H83" s="112">
        <v>22.42</v>
      </c>
      <c r="I83" s="112">
        <v>4.67</v>
      </c>
      <c r="J83" s="112">
        <v>0.43</v>
      </c>
      <c r="K83" s="112">
        <v>123.09</v>
      </c>
      <c r="L83" s="112">
        <v>36.700000000000003</v>
      </c>
      <c r="M83" s="112">
        <v>38.64</v>
      </c>
      <c r="N83" s="112">
        <v>0</v>
      </c>
      <c r="O83" s="112">
        <v>0</v>
      </c>
      <c r="P83" s="112">
        <v>0.32</v>
      </c>
      <c r="Q83" s="112">
        <v>5.04</v>
      </c>
    </row>
    <row r="84" spans="1:17" customFormat="1">
      <c r="A84" s="80">
        <v>45445.791666666664</v>
      </c>
      <c r="B84" s="112">
        <v>7.14</v>
      </c>
      <c r="C84" s="112">
        <v>6.05</v>
      </c>
      <c r="D84" s="112">
        <v>13.9</v>
      </c>
      <c r="E84" s="112">
        <v>11.63</v>
      </c>
      <c r="F84" s="112">
        <v>10.06</v>
      </c>
      <c r="G84" s="112">
        <v>64.150000000000006</v>
      </c>
      <c r="H84" s="112">
        <v>22.42</v>
      </c>
      <c r="I84" s="112">
        <v>4.88</v>
      </c>
      <c r="J84" s="112">
        <v>0.44</v>
      </c>
      <c r="K84" s="112">
        <v>110.88</v>
      </c>
      <c r="L84" s="112">
        <v>34.5</v>
      </c>
      <c r="M84" s="112">
        <v>47.54</v>
      </c>
      <c r="N84" s="112">
        <v>0</v>
      </c>
      <c r="O84" s="112">
        <v>0</v>
      </c>
      <c r="P84" s="112">
        <v>0.32</v>
      </c>
      <c r="Q84" s="112">
        <v>5.03</v>
      </c>
    </row>
    <row r="85" spans="1:17" customFormat="1">
      <c r="A85" s="80">
        <v>45445.802083333336</v>
      </c>
      <c r="B85" s="112">
        <v>7.11</v>
      </c>
      <c r="C85" s="112">
        <v>6.1</v>
      </c>
      <c r="D85" s="112">
        <v>13.89</v>
      </c>
      <c r="E85" s="112">
        <v>11.25</v>
      </c>
      <c r="F85" s="112">
        <v>10.55</v>
      </c>
      <c r="G85" s="112">
        <v>64.150000000000006</v>
      </c>
      <c r="H85" s="112">
        <v>22.42</v>
      </c>
      <c r="I85" s="112">
        <v>5</v>
      </c>
      <c r="J85" s="112">
        <v>0.42</v>
      </c>
      <c r="K85" s="112">
        <v>133.01</v>
      </c>
      <c r="L85" s="112">
        <v>33.770000000000003</v>
      </c>
      <c r="M85" s="112">
        <v>50.31</v>
      </c>
      <c r="N85" s="112">
        <v>0</v>
      </c>
      <c r="O85" s="112">
        <v>0</v>
      </c>
      <c r="P85" s="112">
        <v>0.31</v>
      </c>
      <c r="Q85" s="112">
        <v>5.0199999999999996</v>
      </c>
    </row>
    <row r="86" spans="1:17" customFormat="1">
      <c r="A86" s="80">
        <v>45445.8125</v>
      </c>
      <c r="B86" s="112">
        <v>7.08</v>
      </c>
      <c r="C86" s="112">
        <v>6.05</v>
      </c>
      <c r="D86" s="112">
        <v>13.85</v>
      </c>
      <c r="E86" s="112">
        <v>11.2</v>
      </c>
      <c r="F86" s="112">
        <v>16.25</v>
      </c>
      <c r="G86" s="112">
        <v>71.39</v>
      </c>
      <c r="H86" s="112">
        <v>24.42</v>
      </c>
      <c r="I86" s="112">
        <v>5.03</v>
      </c>
      <c r="J86" s="112">
        <v>0.34</v>
      </c>
      <c r="K86" s="112">
        <v>130.49</v>
      </c>
      <c r="L86" s="112">
        <v>33.520000000000003</v>
      </c>
      <c r="M86" s="112">
        <v>48.85</v>
      </c>
      <c r="N86" s="112">
        <v>0</v>
      </c>
      <c r="O86" s="112">
        <v>0</v>
      </c>
      <c r="P86" s="112">
        <v>0.33</v>
      </c>
      <c r="Q86" s="112">
        <v>5</v>
      </c>
    </row>
    <row r="87" spans="1:17" customFormat="1">
      <c r="A87" s="80">
        <v>45445.822916666664</v>
      </c>
      <c r="B87" s="112">
        <v>7.07</v>
      </c>
      <c r="C87" s="112">
        <v>6.09</v>
      </c>
      <c r="D87" s="112">
        <v>13.86</v>
      </c>
      <c r="E87" s="112">
        <v>11.32</v>
      </c>
      <c r="F87" s="112">
        <v>16.760000000000002</v>
      </c>
      <c r="G87" s="112">
        <v>72.95</v>
      </c>
      <c r="H87" s="112">
        <v>24.42</v>
      </c>
      <c r="I87" s="112">
        <v>4.99</v>
      </c>
      <c r="J87" s="112">
        <v>0.28999999999999998</v>
      </c>
      <c r="K87" s="112">
        <v>175.96</v>
      </c>
      <c r="L87" s="112">
        <v>33.78</v>
      </c>
      <c r="M87" s="112">
        <v>47.98</v>
      </c>
      <c r="N87" s="112">
        <v>0</v>
      </c>
      <c r="O87" s="112">
        <v>0</v>
      </c>
      <c r="P87" s="112">
        <v>0.32</v>
      </c>
      <c r="Q87" s="112">
        <v>4.99</v>
      </c>
    </row>
    <row r="88" spans="1:17" customFormat="1">
      <c r="A88" s="80">
        <v>45445.833333333336</v>
      </c>
      <c r="B88" s="112">
        <v>7.05</v>
      </c>
      <c r="C88" s="112">
        <v>6.06</v>
      </c>
      <c r="D88" s="112">
        <v>13.83</v>
      </c>
      <c r="E88" s="112">
        <v>11.74</v>
      </c>
      <c r="F88" s="112">
        <v>29.35</v>
      </c>
      <c r="G88" s="112">
        <v>72.95</v>
      </c>
      <c r="H88" s="112">
        <v>24.42</v>
      </c>
      <c r="I88" s="112">
        <v>4.8499999999999996</v>
      </c>
      <c r="J88" s="112">
        <v>0.2</v>
      </c>
      <c r="K88" s="112">
        <v>234.11</v>
      </c>
      <c r="L88" s="112">
        <v>33.4</v>
      </c>
      <c r="M88" s="112">
        <v>49.29</v>
      </c>
      <c r="N88" s="112">
        <v>0</v>
      </c>
      <c r="O88" s="112">
        <v>0</v>
      </c>
      <c r="P88" s="112">
        <v>0.31</v>
      </c>
      <c r="Q88" s="112">
        <v>5.01</v>
      </c>
    </row>
    <row r="89" spans="1:17" customFormat="1">
      <c r="A89" s="80">
        <v>45445.84375</v>
      </c>
      <c r="B89" s="112">
        <v>7.05</v>
      </c>
      <c r="C89" s="112">
        <v>6.07</v>
      </c>
      <c r="D89" s="112">
        <v>13.84</v>
      </c>
      <c r="E89" s="112">
        <v>11.52</v>
      </c>
      <c r="F89" s="112">
        <v>18.489999999999998</v>
      </c>
      <c r="G89" s="112">
        <v>72.95</v>
      </c>
      <c r="H89" s="112">
        <v>24.42</v>
      </c>
      <c r="I89" s="112">
        <v>4.71</v>
      </c>
      <c r="J89" s="112">
        <v>0.33</v>
      </c>
      <c r="K89" s="112">
        <v>104.73</v>
      </c>
      <c r="L89" s="112">
        <v>33.479999999999997</v>
      </c>
      <c r="M89" s="112">
        <v>48.71</v>
      </c>
      <c r="N89" s="112">
        <v>0</v>
      </c>
      <c r="O89" s="112">
        <v>0</v>
      </c>
      <c r="P89" s="112">
        <v>0.33</v>
      </c>
      <c r="Q89" s="112">
        <v>5.01</v>
      </c>
    </row>
    <row r="90" spans="1:17" customFormat="1">
      <c r="A90" s="80">
        <v>45445.854166666664</v>
      </c>
      <c r="B90" s="112">
        <v>7.05</v>
      </c>
      <c r="C90" s="112">
        <v>6.06</v>
      </c>
      <c r="D90" s="112">
        <v>13.83</v>
      </c>
      <c r="E90" s="112">
        <v>11.66</v>
      </c>
      <c r="F90" s="112">
        <v>21.71</v>
      </c>
      <c r="G90" s="112">
        <v>32.42</v>
      </c>
      <c r="H90" s="112">
        <v>20.3</v>
      </c>
      <c r="I90" s="112">
        <v>4.57</v>
      </c>
      <c r="J90" s="112">
        <v>0.24</v>
      </c>
      <c r="K90" s="112">
        <v>108.26</v>
      </c>
      <c r="L90" s="112">
        <v>33.5</v>
      </c>
      <c r="M90" s="112">
        <v>48.42</v>
      </c>
      <c r="N90" s="112">
        <v>0</v>
      </c>
      <c r="O90" s="112">
        <v>0</v>
      </c>
      <c r="P90" s="112">
        <v>0.33</v>
      </c>
      <c r="Q90" s="112">
        <v>5</v>
      </c>
    </row>
    <row r="91" spans="1:17" customFormat="1">
      <c r="A91" s="80">
        <v>45445.864583333336</v>
      </c>
      <c r="B91" s="112">
        <v>7.06</v>
      </c>
      <c r="C91" s="112">
        <v>6.07</v>
      </c>
      <c r="D91" s="112">
        <v>13.84</v>
      </c>
      <c r="E91" s="112">
        <v>11.6</v>
      </c>
      <c r="F91" s="112">
        <v>17.29</v>
      </c>
      <c r="G91" s="112">
        <v>23.66</v>
      </c>
      <c r="H91" s="112">
        <v>20.3</v>
      </c>
      <c r="I91" s="112">
        <v>4.59</v>
      </c>
      <c r="J91" s="112">
        <v>0.15</v>
      </c>
      <c r="K91" s="112">
        <v>149.19</v>
      </c>
      <c r="L91" s="112">
        <v>33.65</v>
      </c>
      <c r="M91" s="112">
        <v>48.27</v>
      </c>
      <c r="N91" s="112">
        <v>0</v>
      </c>
      <c r="O91" s="112">
        <v>0</v>
      </c>
      <c r="P91" s="112">
        <v>0.32</v>
      </c>
      <c r="Q91" s="112">
        <v>5</v>
      </c>
    </row>
    <row r="92" spans="1:17" customFormat="1">
      <c r="A92" s="80">
        <v>45445.875</v>
      </c>
      <c r="B92" s="112">
        <v>7.05</v>
      </c>
      <c r="C92" s="112">
        <v>6.07</v>
      </c>
      <c r="D92" s="112">
        <v>13.83</v>
      </c>
      <c r="E92" s="112">
        <v>11.72</v>
      </c>
      <c r="F92" s="112">
        <v>19.52</v>
      </c>
      <c r="G92" s="112">
        <v>23.66</v>
      </c>
      <c r="H92" s="112">
        <v>20.3</v>
      </c>
      <c r="I92" s="112">
        <v>4.57</v>
      </c>
      <c r="J92" s="112">
        <v>0.13</v>
      </c>
      <c r="K92" s="112">
        <v>174.42</v>
      </c>
      <c r="L92" s="112">
        <v>33.44</v>
      </c>
      <c r="M92" s="112">
        <v>49.29</v>
      </c>
      <c r="N92" s="112">
        <v>0</v>
      </c>
      <c r="O92" s="112">
        <v>0</v>
      </c>
      <c r="P92" s="112">
        <v>0.33</v>
      </c>
      <c r="Q92" s="112">
        <v>5</v>
      </c>
    </row>
    <row r="93" spans="1:17" customFormat="1">
      <c r="A93" s="80">
        <v>45445.885416666664</v>
      </c>
      <c r="B93" s="112">
        <v>7.05</v>
      </c>
      <c r="C93" s="112">
        <v>6.07</v>
      </c>
      <c r="D93" s="112">
        <v>13.84</v>
      </c>
      <c r="E93" s="112">
        <v>11.89</v>
      </c>
      <c r="F93" s="112">
        <v>21.53</v>
      </c>
      <c r="G93" s="112">
        <v>23.66</v>
      </c>
      <c r="H93" s="112">
        <v>20.3</v>
      </c>
      <c r="I93" s="112">
        <v>4.57</v>
      </c>
      <c r="J93" s="112">
        <v>0.28000000000000003</v>
      </c>
      <c r="K93" s="112">
        <v>163.72</v>
      </c>
      <c r="L93" s="112">
        <v>33.33</v>
      </c>
      <c r="M93" s="112">
        <v>49.73</v>
      </c>
      <c r="N93" s="112">
        <v>0</v>
      </c>
      <c r="O93" s="112">
        <v>0</v>
      </c>
      <c r="P93" s="112">
        <v>0.34</v>
      </c>
      <c r="Q93" s="112">
        <v>5</v>
      </c>
    </row>
    <row r="94" spans="1:17" customFormat="1">
      <c r="A94" s="80">
        <v>45445.895833333336</v>
      </c>
      <c r="B94" s="112">
        <v>7.07</v>
      </c>
      <c r="C94" s="112">
        <v>6.05</v>
      </c>
      <c r="D94" s="112">
        <v>13.84</v>
      </c>
      <c r="E94" s="112">
        <v>12.28</v>
      </c>
      <c r="F94" s="112">
        <v>16.079999999999998</v>
      </c>
      <c r="G94" s="112">
        <v>36.14</v>
      </c>
      <c r="H94" s="112">
        <v>20.329999999999998</v>
      </c>
      <c r="I94" s="112">
        <v>4.63</v>
      </c>
      <c r="J94" s="112">
        <v>0.24</v>
      </c>
      <c r="K94" s="112">
        <v>117.73</v>
      </c>
      <c r="L94" s="112">
        <v>33.33</v>
      </c>
      <c r="M94" s="112">
        <v>50.03</v>
      </c>
      <c r="N94" s="112">
        <v>0</v>
      </c>
      <c r="O94" s="112">
        <v>0</v>
      </c>
      <c r="P94" s="112">
        <v>0.35</v>
      </c>
      <c r="Q94" s="112">
        <v>5</v>
      </c>
    </row>
    <row r="95" spans="1:17" customFormat="1">
      <c r="A95" s="80">
        <v>45445.90625</v>
      </c>
      <c r="B95" s="112">
        <v>7.09</v>
      </c>
      <c r="C95" s="112">
        <v>6.07</v>
      </c>
      <c r="D95" s="112">
        <v>13.86</v>
      </c>
      <c r="E95" s="112">
        <v>12.29</v>
      </c>
      <c r="F95" s="112">
        <v>14.42</v>
      </c>
      <c r="G95" s="112">
        <v>38.840000000000003</v>
      </c>
      <c r="H95" s="112">
        <v>20.329999999999998</v>
      </c>
      <c r="I95" s="112">
        <v>4.55</v>
      </c>
      <c r="J95" s="112">
        <v>0.25</v>
      </c>
      <c r="K95" s="112">
        <v>121.5</v>
      </c>
      <c r="L95" s="112">
        <v>33.25</v>
      </c>
      <c r="M95" s="112">
        <v>50.24</v>
      </c>
      <c r="N95" s="112">
        <v>0</v>
      </c>
      <c r="O95" s="112">
        <v>0</v>
      </c>
      <c r="P95" s="112">
        <v>0.34</v>
      </c>
      <c r="Q95" s="112">
        <v>5</v>
      </c>
    </row>
    <row r="96" spans="1:17" customFormat="1">
      <c r="A96" s="80">
        <v>45445.916666666664</v>
      </c>
      <c r="B96" s="112">
        <v>7.11</v>
      </c>
      <c r="C96" s="112">
        <v>6.06</v>
      </c>
      <c r="D96" s="112">
        <v>13.88</v>
      </c>
      <c r="E96" s="112">
        <v>12.36</v>
      </c>
      <c r="F96" s="112">
        <v>14.27</v>
      </c>
      <c r="G96" s="112">
        <v>38.840000000000003</v>
      </c>
      <c r="H96" s="112">
        <v>20.329999999999998</v>
      </c>
      <c r="I96" s="112">
        <v>4.51</v>
      </c>
      <c r="J96" s="112">
        <v>0.32</v>
      </c>
      <c r="K96" s="112">
        <v>105.63</v>
      </c>
      <c r="L96" s="112">
        <v>33.549999999999997</v>
      </c>
      <c r="M96" s="112">
        <v>49.4</v>
      </c>
      <c r="N96" s="112">
        <v>0</v>
      </c>
      <c r="O96" s="112">
        <v>0</v>
      </c>
      <c r="P96" s="112">
        <v>0.34</v>
      </c>
      <c r="Q96" s="112">
        <v>5.01</v>
      </c>
    </row>
    <row r="97" spans="1:22" customFormat="1">
      <c r="A97" s="80">
        <v>45445.927083333336</v>
      </c>
      <c r="B97" s="112">
        <v>7.09</v>
      </c>
      <c r="C97" s="112">
        <v>6.11</v>
      </c>
      <c r="D97" s="112">
        <v>13.89</v>
      </c>
      <c r="E97" s="112">
        <v>12.37</v>
      </c>
      <c r="F97" s="112">
        <v>10.210000000000001</v>
      </c>
      <c r="G97" s="112">
        <v>38.840000000000003</v>
      </c>
      <c r="H97" s="112">
        <v>20.329999999999998</v>
      </c>
      <c r="I97" s="112">
        <v>4.57</v>
      </c>
      <c r="J97" s="112">
        <v>0.81</v>
      </c>
      <c r="K97" s="112">
        <v>73.72</v>
      </c>
      <c r="L97" s="112">
        <v>32.68</v>
      </c>
      <c r="M97" s="112">
        <v>53.91</v>
      </c>
      <c r="N97" s="112">
        <v>0</v>
      </c>
      <c r="O97" s="112">
        <v>0</v>
      </c>
      <c r="P97" s="112">
        <v>0.37</v>
      </c>
      <c r="Q97" s="112">
        <v>5</v>
      </c>
    </row>
    <row r="98" spans="1:22" customFormat="1">
      <c r="A98" s="80">
        <v>45445.9375</v>
      </c>
      <c r="B98" s="112">
        <v>7.08</v>
      </c>
      <c r="C98" s="112">
        <v>6.12</v>
      </c>
      <c r="D98" s="112">
        <v>13.88</v>
      </c>
      <c r="E98" s="112">
        <v>13.1</v>
      </c>
      <c r="F98" s="112">
        <v>11.59</v>
      </c>
      <c r="G98" s="112">
        <v>42.92</v>
      </c>
      <c r="H98" s="112">
        <v>21.43</v>
      </c>
      <c r="I98" s="112">
        <v>4.7300000000000004</v>
      </c>
      <c r="J98" s="112">
        <v>0.82</v>
      </c>
      <c r="K98" s="112">
        <v>76.09</v>
      </c>
      <c r="L98" s="112">
        <v>32.369999999999997</v>
      </c>
      <c r="M98" s="112">
        <v>56.75</v>
      </c>
      <c r="N98" s="112">
        <v>0</v>
      </c>
      <c r="O98" s="112">
        <v>0</v>
      </c>
      <c r="P98" s="112">
        <v>0.39</v>
      </c>
      <c r="Q98" s="112">
        <v>5</v>
      </c>
    </row>
    <row r="99" spans="1:22" customFormat="1">
      <c r="A99" s="80">
        <v>45445.947916666664</v>
      </c>
      <c r="B99" s="112">
        <v>7.1</v>
      </c>
      <c r="C99" s="112">
        <v>6.09</v>
      </c>
      <c r="D99" s="112">
        <v>13.89</v>
      </c>
      <c r="E99" s="112">
        <v>13.09</v>
      </c>
      <c r="F99" s="112">
        <v>6.98</v>
      </c>
      <c r="G99" s="112">
        <v>43.8</v>
      </c>
      <c r="H99" s="112">
        <v>21.43</v>
      </c>
      <c r="I99" s="112">
        <v>4.8099999999999996</v>
      </c>
      <c r="J99" s="112">
        <v>0.9</v>
      </c>
      <c r="K99" s="112">
        <v>75.430000000000007</v>
      </c>
      <c r="L99" s="112">
        <v>31.53</v>
      </c>
      <c r="M99" s="112">
        <v>61.36</v>
      </c>
      <c r="N99" s="112">
        <v>0</v>
      </c>
      <c r="O99" s="112">
        <v>0</v>
      </c>
      <c r="P99" s="112">
        <v>0.42</v>
      </c>
      <c r="Q99" s="112">
        <v>5</v>
      </c>
    </row>
    <row r="100" spans="1:22" customFormat="1">
      <c r="A100" s="80">
        <v>45445.958333333336</v>
      </c>
      <c r="B100" s="112">
        <v>7.1</v>
      </c>
      <c r="C100" s="112">
        <v>6.07</v>
      </c>
      <c r="D100" s="112">
        <v>13.88</v>
      </c>
      <c r="E100" s="112">
        <v>15.06</v>
      </c>
      <c r="F100" s="112">
        <v>5.62</v>
      </c>
      <c r="G100" s="112">
        <v>43.8</v>
      </c>
      <c r="H100" s="112">
        <v>21.43</v>
      </c>
      <c r="I100" s="112">
        <v>4.87</v>
      </c>
      <c r="J100" s="112">
        <v>0.56000000000000005</v>
      </c>
      <c r="K100" s="112">
        <v>86.77</v>
      </c>
      <c r="L100" s="112">
        <v>31.3</v>
      </c>
      <c r="M100" s="112">
        <v>61.37</v>
      </c>
      <c r="N100" s="112">
        <v>0</v>
      </c>
      <c r="O100" s="112">
        <v>0</v>
      </c>
      <c r="P100" s="112">
        <v>0.44</v>
      </c>
      <c r="Q100" s="112">
        <v>4.99</v>
      </c>
    </row>
    <row r="101" spans="1:22" customFormat="1">
      <c r="A101" s="80">
        <v>45445.96875</v>
      </c>
      <c r="B101" s="112">
        <v>7.06</v>
      </c>
      <c r="C101" s="112">
        <v>6.08</v>
      </c>
      <c r="D101" s="112">
        <v>13.85</v>
      </c>
      <c r="E101" s="112">
        <v>12.24</v>
      </c>
      <c r="F101" s="112">
        <v>9.4600000000000009</v>
      </c>
      <c r="G101" s="112">
        <v>43.8</v>
      </c>
      <c r="H101" s="112">
        <v>21.43</v>
      </c>
      <c r="I101" s="112">
        <v>5.0999999999999996</v>
      </c>
      <c r="J101" s="112">
        <v>0.33</v>
      </c>
      <c r="K101" s="112">
        <v>103.63</v>
      </c>
      <c r="L101" s="112">
        <v>31.11</v>
      </c>
      <c r="M101" s="112">
        <v>62.59</v>
      </c>
      <c r="N101" s="112">
        <v>0</v>
      </c>
      <c r="O101" s="112">
        <v>0</v>
      </c>
      <c r="P101" s="112">
        <v>0.44</v>
      </c>
      <c r="Q101" s="112">
        <v>4.9800000000000004</v>
      </c>
    </row>
    <row r="102" spans="1:22" customFormat="1">
      <c r="A102" s="80">
        <v>45445.979166666664</v>
      </c>
      <c r="B102" s="112">
        <v>7.07</v>
      </c>
      <c r="C102" s="112">
        <v>6.06</v>
      </c>
      <c r="D102" s="112">
        <v>13.84</v>
      </c>
      <c r="E102" s="112">
        <v>11.43</v>
      </c>
      <c r="F102" s="112">
        <v>10.050000000000001</v>
      </c>
      <c r="G102" s="112">
        <v>41.95</v>
      </c>
      <c r="H102" s="112">
        <v>20.6</v>
      </c>
      <c r="I102" s="112">
        <v>5.21</v>
      </c>
      <c r="J102" s="112">
        <v>0.82</v>
      </c>
      <c r="K102" s="112">
        <v>83.8</v>
      </c>
      <c r="L102" s="112">
        <v>30.81</v>
      </c>
      <c r="M102" s="112">
        <v>65.260000000000005</v>
      </c>
      <c r="N102" s="112">
        <v>0</v>
      </c>
      <c r="O102" s="112">
        <v>0</v>
      </c>
      <c r="P102" s="112">
        <v>0.43</v>
      </c>
      <c r="Q102" s="112">
        <v>4.99</v>
      </c>
    </row>
    <row r="103" spans="1:22" customFormat="1">
      <c r="A103" s="80">
        <v>45445.989583333336</v>
      </c>
      <c r="B103" s="112">
        <v>7.06</v>
      </c>
      <c r="C103" s="112">
        <v>6.07</v>
      </c>
      <c r="D103" s="112">
        <v>13.84</v>
      </c>
      <c r="E103" s="112">
        <v>11.75</v>
      </c>
      <c r="F103" s="112">
        <v>4.16</v>
      </c>
      <c r="G103" s="112">
        <v>41.55</v>
      </c>
      <c r="H103" s="112">
        <v>20.6</v>
      </c>
      <c r="I103" s="112">
        <v>5.05</v>
      </c>
      <c r="J103" s="112">
        <v>0.56000000000000005</v>
      </c>
      <c r="K103" s="112">
        <v>117.68</v>
      </c>
      <c r="L103" s="112">
        <v>30.11</v>
      </c>
      <c r="M103" s="112">
        <v>68.150000000000006</v>
      </c>
      <c r="N103" s="112">
        <v>0</v>
      </c>
      <c r="O103" s="112">
        <v>0</v>
      </c>
      <c r="P103" s="112">
        <v>0.43</v>
      </c>
      <c r="Q103" s="112">
        <v>4.99</v>
      </c>
    </row>
    <row r="104" spans="1:22" customFormat="1">
      <c r="A104" s="80">
        <v>45446</v>
      </c>
      <c r="B104" s="112">
        <v>7.04</v>
      </c>
      <c r="C104" s="112">
        <v>6.08</v>
      </c>
      <c r="D104" s="112">
        <v>13.83</v>
      </c>
      <c r="E104" s="112">
        <v>10.039999999999999</v>
      </c>
      <c r="F104" s="112">
        <v>5.85</v>
      </c>
      <c r="G104" s="112">
        <v>41.55</v>
      </c>
      <c r="H104" s="112">
        <v>20.6</v>
      </c>
      <c r="I104" s="112">
        <v>5.12</v>
      </c>
      <c r="J104" s="112">
        <v>0.45</v>
      </c>
      <c r="K104" s="112">
        <v>104.08</v>
      </c>
      <c r="L104" s="112">
        <v>29.74</v>
      </c>
      <c r="M104" s="112">
        <v>69.319999999999993</v>
      </c>
      <c r="N104" s="112">
        <v>0</v>
      </c>
      <c r="O104" s="112">
        <v>0</v>
      </c>
      <c r="P104" s="112">
        <v>0.42</v>
      </c>
      <c r="Q104" s="112">
        <v>4.99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6.96</v>
      </c>
      <c r="C106" s="184">
        <f>MIN(C9:C104)</f>
        <v>5.97</v>
      </c>
      <c r="D106" s="184">
        <f t="shared" ref="D106:Q106" si="0">MIN(D9:D104)</f>
        <v>13.76</v>
      </c>
      <c r="E106" s="184">
        <f t="shared" si="0"/>
        <v>8.61</v>
      </c>
      <c r="F106" s="184">
        <f t="shared" si="0"/>
        <v>4.16</v>
      </c>
      <c r="G106" s="184">
        <f t="shared" si="0"/>
        <v>23.66</v>
      </c>
      <c r="H106" s="184">
        <f t="shared" si="0"/>
        <v>17.73</v>
      </c>
      <c r="I106" s="184">
        <f t="shared" si="0"/>
        <v>3.73</v>
      </c>
      <c r="J106" s="184">
        <f t="shared" si="0"/>
        <v>0.04</v>
      </c>
      <c r="K106" s="184">
        <f t="shared" si="0"/>
        <v>33.380000000000003</v>
      </c>
      <c r="L106" s="184">
        <f t="shared" si="0"/>
        <v>29.74</v>
      </c>
      <c r="M106" s="184">
        <f t="shared" si="0"/>
        <v>25.33</v>
      </c>
      <c r="N106" s="184">
        <f t="shared" si="0"/>
        <v>0</v>
      </c>
      <c r="O106" s="184">
        <f t="shared" si="0"/>
        <v>0</v>
      </c>
      <c r="P106" s="184">
        <f t="shared" si="0"/>
        <v>0.31</v>
      </c>
      <c r="Q106" s="184">
        <f t="shared" si="0"/>
        <v>4.97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7.26</v>
      </c>
      <c r="C107" s="185">
        <f t="shared" ref="C107:Q107" si="1">MAX(C9:C104)</f>
        <v>6.12</v>
      </c>
      <c r="D107" s="185">
        <f t="shared" si="1"/>
        <v>14.01</v>
      </c>
      <c r="E107" s="185">
        <f t="shared" si="1"/>
        <v>21.97</v>
      </c>
      <c r="F107" s="185">
        <f t="shared" si="1"/>
        <v>64.17</v>
      </c>
      <c r="G107" s="185">
        <f t="shared" si="1"/>
        <v>184.47</v>
      </c>
      <c r="H107" s="185">
        <f t="shared" si="1"/>
        <v>28.37</v>
      </c>
      <c r="I107" s="185">
        <f t="shared" si="1"/>
        <v>7.06</v>
      </c>
      <c r="J107" s="185">
        <f t="shared" si="1"/>
        <v>2.42</v>
      </c>
      <c r="K107" s="185">
        <f t="shared" si="1"/>
        <v>350.42</v>
      </c>
      <c r="L107" s="185">
        <f t="shared" si="1"/>
        <v>43.11</v>
      </c>
      <c r="M107" s="185">
        <f t="shared" si="1"/>
        <v>69.319999999999993</v>
      </c>
      <c r="N107" s="185">
        <f t="shared" si="1"/>
        <v>697.8</v>
      </c>
      <c r="O107" s="185">
        <f t="shared" si="1"/>
        <v>0</v>
      </c>
      <c r="P107" s="185">
        <f t="shared" si="1"/>
        <v>0.56999999999999995</v>
      </c>
      <c r="Q107" s="185">
        <f t="shared" si="1"/>
        <v>5.07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7.0727083333333338</v>
      </c>
      <c r="C108" s="184">
        <f t="shared" ref="C108:Q108" si="2">AVERAGE(C9:C104)</f>
        <v>6.0689583333333355</v>
      </c>
      <c r="D108" s="184">
        <f t="shared" si="2"/>
        <v>13.851666666666661</v>
      </c>
      <c r="E108" s="184">
        <f t="shared" si="2"/>
        <v>12.264687499999996</v>
      </c>
      <c r="F108" s="184">
        <f t="shared" si="2"/>
        <v>23.517812500000002</v>
      </c>
      <c r="G108" s="184">
        <f t="shared" si="2"/>
        <v>57.915833333333303</v>
      </c>
      <c r="H108" s="184">
        <f t="shared" si="2"/>
        <v>21.997708333333335</v>
      </c>
      <c r="I108" s="184">
        <f t="shared" si="2"/>
        <v>4.9908333333333328</v>
      </c>
      <c r="J108" s="184">
        <f t="shared" si="2"/>
        <v>0.66937500000000016</v>
      </c>
      <c r="K108" s="184">
        <f t="shared" si="2"/>
        <v>183.58437500000002</v>
      </c>
      <c r="L108" s="184">
        <f t="shared" si="2"/>
        <v>35.595520833333339</v>
      </c>
      <c r="M108" s="184">
        <f t="shared" si="2"/>
        <v>46.826041666666661</v>
      </c>
      <c r="N108" s="184">
        <f t="shared" si="2"/>
        <v>121.03750000000001</v>
      </c>
      <c r="O108" s="184">
        <f t="shared" si="2"/>
        <v>0</v>
      </c>
      <c r="P108" s="184">
        <f t="shared" si="2"/>
        <v>0.41489583333333341</v>
      </c>
      <c r="Q108" s="184">
        <f t="shared" si="2"/>
        <v>5.0003125000000015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6.2919818092330257E-2</v>
      </c>
      <c r="C109" s="184">
        <f t="shared" ref="C109:Q109" si="3">STDEV(C9:C104)</f>
        <v>2.3818575973460501E-2</v>
      </c>
      <c r="D109" s="184">
        <f t="shared" si="3"/>
        <v>5.116879531545674E-2</v>
      </c>
      <c r="E109" s="184">
        <f t="shared" si="3"/>
        <v>3.0812328199585304</v>
      </c>
      <c r="F109" s="184">
        <f t="shared" si="3"/>
        <v>12.37082613955107</v>
      </c>
      <c r="G109" s="184">
        <f t="shared" si="3"/>
        <v>30.984038901774433</v>
      </c>
      <c r="H109" s="184">
        <f t="shared" si="3"/>
        <v>2.681581418400055</v>
      </c>
      <c r="I109" s="184">
        <f t="shared" si="3"/>
        <v>0.80887532923536398</v>
      </c>
      <c r="J109" s="184">
        <f t="shared" si="3"/>
        <v>0.56151264221602437</v>
      </c>
      <c r="K109" s="184">
        <f t="shared" si="3"/>
        <v>87.493605622744795</v>
      </c>
      <c r="L109" s="184">
        <f t="shared" si="3"/>
        <v>3.4307086485360609</v>
      </c>
      <c r="M109" s="184">
        <f t="shared" si="3"/>
        <v>12.40749675581722</v>
      </c>
      <c r="N109" s="184">
        <f t="shared" si="3"/>
        <v>178.39050024860452</v>
      </c>
      <c r="O109" s="184">
        <f t="shared" si="3"/>
        <v>0</v>
      </c>
      <c r="P109" s="184">
        <f t="shared" si="3"/>
        <v>5.5497648914955955E-2</v>
      </c>
      <c r="Q109" s="184">
        <f t="shared" si="3"/>
        <v>1.5657728880147569E-2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45446.010416666664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45446.010416666664</v>
      </c>
      <c r="B9" s="112">
        <v>7.23</v>
      </c>
      <c r="C9" s="112">
        <v>5.97</v>
      </c>
      <c r="D9" s="112">
        <v>13.92</v>
      </c>
      <c r="E9" s="112">
        <v>9.6300000000000008</v>
      </c>
      <c r="F9" s="112">
        <v>7.78</v>
      </c>
      <c r="G9" s="112">
        <v>41.55</v>
      </c>
      <c r="H9" s="112">
        <v>20.6</v>
      </c>
      <c r="I9" s="112">
        <v>5.25</v>
      </c>
      <c r="J9" s="112">
        <v>0.3</v>
      </c>
      <c r="K9" s="112">
        <v>101.19</v>
      </c>
      <c r="L9" s="112">
        <v>29.76</v>
      </c>
      <c r="M9" s="112">
        <v>67.239999999999995</v>
      </c>
      <c r="N9" s="112">
        <v>0</v>
      </c>
      <c r="O9" s="112">
        <v>0</v>
      </c>
      <c r="P9" s="112">
        <v>0.41</v>
      </c>
      <c r="Q9" s="112">
        <v>4.99</v>
      </c>
    </row>
    <row r="10" spans="1:21" customFormat="1">
      <c r="A10" s="80">
        <v>45446.020833333336</v>
      </c>
      <c r="B10" s="112">
        <v>7.22</v>
      </c>
      <c r="C10" s="112">
        <v>6.02</v>
      </c>
      <c r="D10" s="112">
        <v>13.94</v>
      </c>
      <c r="E10" s="112">
        <v>9.1999999999999993</v>
      </c>
      <c r="F10" s="112">
        <v>10.47</v>
      </c>
      <c r="G10" s="112">
        <v>33.659999999999997</v>
      </c>
      <c r="H10" s="112">
        <v>16.920000000000002</v>
      </c>
      <c r="I10" s="112">
        <v>5.16</v>
      </c>
      <c r="J10" s="112">
        <v>0.33</v>
      </c>
      <c r="K10" s="112">
        <v>100.74</v>
      </c>
      <c r="L10" s="112">
        <v>29.7</v>
      </c>
      <c r="M10" s="112">
        <v>66.180000000000007</v>
      </c>
      <c r="N10" s="112">
        <v>0</v>
      </c>
      <c r="O10" s="112">
        <v>0</v>
      </c>
      <c r="P10" s="112">
        <v>0.41</v>
      </c>
      <c r="Q10" s="112">
        <v>4.99</v>
      </c>
    </row>
    <row r="11" spans="1:21" customFormat="1">
      <c r="A11" s="80">
        <v>45446.03125</v>
      </c>
      <c r="B11" s="112">
        <v>7.21</v>
      </c>
      <c r="C11" s="112">
        <v>6.05</v>
      </c>
      <c r="D11" s="112">
        <v>13.95</v>
      </c>
      <c r="E11" s="112">
        <v>8.7799999999999994</v>
      </c>
      <c r="F11" s="112">
        <v>6.44</v>
      </c>
      <c r="G11" s="112">
        <v>31.96</v>
      </c>
      <c r="H11" s="112">
        <v>16.920000000000002</v>
      </c>
      <c r="I11" s="112">
        <v>5</v>
      </c>
      <c r="J11" s="112">
        <v>0.32</v>
      </c>
      <c r="K11" s="112">
        <v>105.79</v>
      </c>
      <c r="L11" s="112">
        <v>29.57</v>
      </c>
      <c r="M11" s="112">
        <v>66.38</v>
      </c>
      <c r="N11" s="112">
        <v>0</v>
      </c>
      <c r="O11" s="112">
        <v>0</v>
      </c>
      <c r="P11" s="112">
        <v>0.39</v>
      </c>
      <c r="Q11" s="112">
        <v>4.99</v>
      </c>
    </row>
    <row r="12" spans="1:21" customFormat="1">
      <c r="A12" s="80">
        <v>45446.041666666664</v>
      </c>
      <c r="B12" s="112">
        <v>7.2</v>
      </c>
      <c r="C12" s="112">
        <v>6.03</v>
      </c>
      <c r="D12" s="112">
        <v>13.94</v>
      </c>
      <c r="E12" s="112">
        <v>8.99</v>
      </c>
      <c r="F12" s="112">
        <v>9.3699999999999992</v>
      </c>
      <c r="G12" s="112">
        <v>31.96</v>
      </c>
      <c r="H12" s="112">
        <v>16.920000000000002</v>
      </c>
      <c r="I12" s="112">
        <v>4.92</v>
      </c>
      <c r="J12" s="112">
        <v>0.41</v>
      </c>
      <c r="K12" s="112">
        <v>101.26</v>
      </c>
      <c r="L12" s="112">
        <v>29.26</v>
      </c>
      <c r="M12" s="112">
        <v>67.52</v>
      </c>
      <c r="N12" s="112">
        <v>0</v>
      </c>
      <c r="O12" s="112">
        <v>0</v>
      </c>
      <c r="P12" s="112">
        <v>0.39</v>
      </c>
      <c r="Q12" s="112">
        <v>4.99</v>
      </c>
    </row>
    <row r="13" spans="1:21" customFormat="1">
      <c r="A13" s="80">
        <v>45446.052083333336</v>
      </c>
      <c r="B13" s="112">
        <v>7.2</v>
      </c>
      <c r="C13" s="112">
        <v>6.07</v>
      </c>
      <c r="D13" s="112">
        <v>13.96</v>
      </c>
      <c r="E13" s="112">
        <v>8.2100000000000009</v>
      </c>
      <c r="F13" s="112">
        <v>6.94</v>
      </c>
      <c r="G13" s="112">
        <v>31.96</v>
      </c>
      <c r="H13" s="112">
        <v>16.920000000000002</v>
      </c>
      <c r="I13" s="112">
        <v>4.8600000000000003</v>
      </c>
      <c r="J13" s="112">
        <v>0.26</v>
      </c>
      <c r="K13" s="112">
        <v>108.78</v>
      </c>
      <c r="L13" s="112">
        <v>29.17</v>
      </c>
      <c r="M13" s="112">
        <v>68.260000000000005</v>
      </c>
      <c r="N13" s="112">
        <v>0</v>
      </c>
      <c r="O13" s="112">
        <v>0</v>
      </c>
      <c r="P13" s="112">
        <v>0.39</v>
      </c>
      <c r="Q13" s="112">
        <v>5.01</v>
      </c>
    </row>
    <row r="14" spans="1:21" customFormat="1">
      <c r="A14" s="80">
        <v>45446.0625</v>
      </c>
      <c r="B14" s="112">
        <v>7.22</v>
      </c>
      <c r="C14" s="112">
        <v>6.05</v>
      </c>
      <c r="D14" s="112">
        <v>13.96</v>
      </c>
      <c r="E14" s="112">
        <v>8.4</v>
      </c>
      <c r="F14" s="112">
        <v>11.05</v>
      </c>
      <c r="G14" s="112">
        <v>34.200000000000003</v>
      </c>
      <c r="H14" s="112">
        <v>16.87</v>
      </c>
      <c r="I14" s="112">
        <v>4.8099999999999996</v>
      </c>
      <c r="J14" s="112">
        <v>0.33</v>
      </c>
      <c r="K14" s="112">
        <v>107.27</v>
      </c>
      <c r="L14" s="112">
        <v>29.15</v>
      </c>
      <c r="M14" s="112">
        <v>70.47</v>
      </c>
      <c r="N14" s="112">
        <v>0</v>
      </c>
      <c r="O14" s="112">
        <v>0</v>
      </c>
      <c r="P14" s="112">
        <v>0.38</v>
      </c>
      <c r="Q14" s="112">
        <v>5.05</v>
      </c>
    </row>
    <row r="15" spans="1:21" customFormat="1">
      <c r="A15" s="80">
        <v>45446.072916666664</v>
      </c>
      <c r="B15" s="112">
        <v>7.22</v>
      </c>
      <c r="C15" s="112">
        <v>6.06</v>
      </c>
      <c r="D15" s="112">
        <v>13.96</v>
      </c>
      <c r="E15" s="112">
        <v>8.41</v>
      </c>
      <c r="F15" s="112">
        <v>9.06</v>
      </c>
      <c r="G15" s="112">
        <v>34.69</v>
      </c>
      <c r="H15" s="112">
        <v>16.87</v>
      </c>
      <c r="I15" s="112">
        <v>4.7</v>
      </c>
      <c r="J15" s="112">
        <v>0.27</v>
      </c>
      <c r="K15" s="112">
        <v>98.42</v>
      </c>
      <c r="L15" s="112">
        <v>28.59</v>
      </c>
      <c r="M15" s="112">
        <v>73.36</v>
      </c>
      <c r="N15" s="112">
        <v>0</v>
      </c>
      <c r="O15" s="112">
        <v>0</v>
      </c>
      <c r="P15" s="112">
        <v>0.37</v>
      </c>
      <c r="Q15" s="112">
        <v>5.04</v>
      </c>
    </row>
    <row r="16" spans="1:21" customFormat="1">
      <c r="A16" s="80">
        <v>45446.083333333336</v>
      </c>
      <c r="B16" s="112">
        <v>7.21</v>
      </c>
      <c r="C16" s="112">
        <v>6.09</v>
      </c>
      <c r="D16" s="112">
        <v>13.97</v>
      </c>
      <c r="E16" s="112">
        <v>7.89</v>
      </c>
      <c r="F16" s="112">
        <v>10.74</v>
      </c>
      <c r="G16" s="112">
        <v>34.69</v>
      </c>
      <c r="H16" s="112">
        <v>16.87</v>
      </c>
      <c r="I16" s="112">
        <v>4.6100000000000003</v>
      </c>
      <c r="J16" s="112">
        <v>0.24</v>
      </c>
      <c r="K16" s="112">
        <v>128.12</v>
      </c>
      <c r="L16" s="112">
        <v>28.95</v>
      </c>
      <c r="M16" s="112">
        <v>71.59</v>
      </c>
      <c r="N16" s="112">
        <v>0</v>
      </c>
      <c r="O16" s="112">
        <v>0</v>
      </c>
      <c r="P16" s="112">
        <v>0.36</v>
      </c>
      <c r="Q16" s="112">
        <v>5.01</v>
      </c>
    </row>
    <row r="17" spans="1:17" customFormat="1">
      <c r="A17" s="80">
        <v>45446.09375</v>
      </c>
      <c r="B17" s="112">
        <v>7.2</v>
      </c>
      <c r="C17" s="112">
        <v>6.08</v>
      </c>
      <c r="D17" s="112">
        <v>13.96</v>
      </c>
      <c r="E17" s="112">
        <v>7.7</v>
      </c>
      <c r="F17" s="112">
        <v>11.48</v>
      </c>
      <c r="G17" s="112">
        <v>34.69</v>
      </c>
      <c r="H17" s="112">
        <v>16.87</v>
      </c>
      <c r="I17" s="112">
        <v>4.5599999999999996</v>
      </c>
      <c r="J17" s="112">
        <v>0.22</v>
      </c>
      <c r="K17" s="112">
        <v>177.36</v>
      </c>
      <c r="L17" s="112">
        <v>29.04</v>
      </c>
      <c r="M17" s="112">
        <v>71.459999999999994</v>
      </c>
      <c r="N17" s="112">
        <v>0</v>
      </c>
      <c r="O17" s="112">
        <v>0</v>
      </c>
      <c r="P17" s="112">
        <v>0.35</v>
      </c>
      <c r="Q17" s="112">
        <v>5.01</v>
      </c>
    </row>
    <row r="18" spans="1:17" customFormat="1">
      <c r="A18" s="80">
        <v>45446.104166666664</v>
      </c>
      <c r="B18" s="112">
        <v>7.19</v>
      </c>
      <c r="C18" s="112">
        <v>6.05</v>
      </c>
      <c r="D18" s="112">
        <v>13.94</v>
      </c>
      <c r="E18" s="112">
        <v>8.86</v>
      </c>
      <c r="F18" s="112">
        <v>20.81</v>
      </c>
      <c r="G18" s="112">
        <v>28.39</v>
      </c>
      <c r="H18" s="112">
        <v>12.12</v>
      </c>
      <c r="I18" s="112">
        <v>4.51</v>
      </c>
      <c r="J18" s="112">
        <v>0.22</v>
      </c>
      <c r="K18" s="112">
        <v>242.7</v>
      </c>
      <c r="L18" s="112">
        <v>29.12</v>
      </c>
      <c r="M18" s="112">
        <v>68.78</v>
      </c>
      <c r="N18" s="112">
        <v>0</v>
      </c>
      <c r="O18" s="112">
        <v>0</v>
      </c>
      <c r="P18" s="112">
        <v>0.33</v>
      </c>
      <c r="Q18" s="112">
        <v>5</v>
      </c>
    </row>
    <row r="19" spans="1:17" customFormat="1">
      <c r="A19" s="80">
        <v>45446.114583333336</v>
      </c>
      <c r="B19" s="112">
        <v>7.19</v>
      </c>
      <c r="C19" s="112">
        <v>6.06</v>
      </c>
      <c r="D19" s="112">
        <v>13.94</v>
      </c>
      <c r="E19" s="112">
        <v>8.74</v>
      </c>
      <c r="F19" s="112">
        <v>13.62</v>
      </c>
      <c r="G19" s="112">
        <v>27.03</v>
      </c>
      <c r="H19" s="112">
        <v>12.12</v>
      </c>
      <c r="I19" s="112">
        <v>4.21</v>
      </c>
      <c r="J19" s="112">
        <v>0.28000000000000003</v>
      </c>
      <c r="K19" s="112">
        <v>164.25</v>
      </c>
      <c r="L19" s="112">
        <v>29.28</v>
      </c>
      <c r="M19" s="112">
        <v>66.14</v>
      </c>
      <c r="N19" s="112">
        <v>0</v>
      </c>
      <c r="O19" s="112">
        <v>0</v>
      </c>
      <c r="P19" s="112">
        <v>0.34</v>
      </c>
      <c r="Q19" s="112">
        <v>4.99</v>
      </c>
    </row>
    <row r="20" spans="1:17" customFormat="1">
      <c r="A20" s="80">
        <v>45446.125</v>
      </c>
      <c r="B20" s="112">
        <v>7.18</v>
      </c>
      <c r="C20" s="112">
        <v>6.07</v>
      </c>
      <c r="D20" s="112">
        <v>13.94</v>
      </c>
      <c r="E20" s="112">
        <v>8.5500000000000007</v>
      </c>
      <c r="F20" s="112">
        <v>10.91</v>
      </c>
      <c r="G20" s="112">
        <v>27.03</v>
      </c>
      <c r="H20" s="112">
        <v>12.12</v>
      </c>
      <c r="I20" s="112">
        <v>3.98</v>
      </c>
      <c r="J20" s="112">
        <v>0.05</v>
      </c>
      <c r="K20" s="112">
        <v>183.99</v>
      </c>
      <c r="L20" s="112">
        <v>29.25</v>
      </c>
      <c r="M20" s="112">
        <v>65.739999999999995</v>
      </c>
      <c r="N20" s="112">
        <v>0</v>
      </c>
      <c r="O20" s="112">
        <v>0</v>
      </c>
      <c r="P20" s="112">
        <v>0.33</v>
      </c>
      <c r="Q20" s="112">
        <v>5</v>
      </c>
    </row>
    <row r="21" spans="1:17" customFormat="1">
      <c r="A21" s="80">
        <v>45446.135416666664</v>
      </c>
      <c r="B21" s="112">
        <v>7.17</v>
      </c>
      <c r="C21" s="112">
        <v>6.08</v>
      </c>
      <c r="D21" s="112">
        <v>13.94</v>
      </c>
      <c r="E21" s="112">
        <v>8.93</v>
      </c>
      <c r="F21" s="112">
        <v>7.1</v>
      </c>
      <c r="G21" s="112">
        <v>27.03</v>
      </c>
      <c r="H21" s="112">
        <v>12.12</v>
      </c>
      <c r="I21" s="112">
        <v>4.17</v>
      </c>
      <c r="J21" s="112">
        <v>0.03</v>
      </c>
      <c r="K21" s="112">
        <v>343.76</v>
      </c>
      <c r="L21" s="112">
        <v>29.51</v>
      </c>
      <c r="M21" s="112">
        <v>64.349999999999994</v>
      </c>
      <c r="N21" s="112">
        <v>0</v>
      </c>
      <c r="O21" s="112">
        <v>0</v>
      </c>
      <c r="P21" s="112">
        <v>0.28000000000000003</v>
      </c>
      <c r="Q21" s="112">
        <v>4.99</v>
      </c>
    </row>
    <row r="22" spans="1:17" customFormat="1">
      <c r="A22" s="80">
        <v>45446.145833333336</v>
      </c>
      <c r="B22" s="112">
        <v>7.21</v>
      </c>
      <c r="C22" s="112">
        <v>6.08</v>
      </c>
      <c r="D22" s="112">
        <v>13.96</v>
      </c>
      <c r="E22" s="112">
        <v>9.1999999999999993</v>
      </c>
      <c r="F22" s="112">
        <v>12.52</v>
      </c>
      <c r="G22" s="112">
        <v>18.03</v>
      </c>
      <c r="H22" s="112">
        <v>10.49</v>
      </c>
      <c r="I22" s="112">
        <v>4.45</v>
      </c>
      <c r="J22" s="112">
        <v>0.13</v>
      </c>
      <c r="K22" s="112">
        <v>329.73</v>
      </c>
      <c r="L22" s="112">
        <v>29.4</v>
      </c>
      <c r="M22" s="112">
        <v>63.25</v>
      </c>
      <c r="N22" s="112">
        <v>0</v>
      </c>
      <c r="O22" s="112">
        <v>0</v>
      </c>
      <c r="P22" s="112">
        <v>0.27</v>
      </c>
      <c r="Q22" s="112">
        <v>4.99</v>
      </c>
    </row>
    <row r="23" spans="1:17" customFormat="1">
      <c r="A23" s="80">
        <v>45446.15625</v>
      </c>
      <c r="B23" s="112">
        <v>7.23</v>
      </c>
      <c r="C23" s="112">
        <v>6.08</v>
      </c>
      <c r="D23" s="112">
        <v>13.98</v>
      </c>
      <c r="E23" s="112">
        <v>9.17</v>
      </c>
      <c r="F23" s="112">
        <v>9.36</v>
      </c>
      <c r="G23" s="112">
        <v>16.079999999999998</v>
      </c>
      <c r="H23" s="112">
        <v>10.49</v>
      </c>
      <c r="I23" s="112">
        <v>4.3600000000000003</v>
      </c>
      <c r="J23" s="112">
        <v>0.15</v>
      </c>
      <c r="K23" s="112">
        <v>320.93</v>
      </c>
      <c r="L23" s="112">
        <v>29.63</v>
      </c>
      <c r="M23" s="112">
        <v>61.33</v>
      </c>
      <c r="N23" s="112">
        <v>0</v>
      </c>
      <c r="O23" s="112">
        <v>0</v>
      </c>
      <c r="P23" s="112">
        <v>0.26</v>
      </c>
      <c r="Q23" s="112">
        <v>4.99</v>
      </c>
    </row>
    <row r="24" spans="1:17" customFormat="1">
      <c r="A24" s="80">
        <v>45446.166666666664</v>
      </c>
      <c r="B24" s="112">
        <v>7.23</v>
      </c>
      <c r="C24" s="112">
        <v>6.07</v>
      </c>
      <c r="D24" s="112">
        <v>13.98</v>
      </c>
      <c r="E24" s="112">
        <v>9.26</v>
      </c>
      <c r="F24" s="112">
        <v>8.59</v>
      </c>
      <c r="G24" s="112">
        <v>16.079999999999998</v>
      </c>
      <c r="H24" s="112">
        <v>10.49</v>
      </c>
      <c r="I24" s="112">
        <v>4.24</v>
      </c>
      <c r="J24" s="112">
        <v>0.21</v>
      </c>
      <c r="K24" s="112">
        <v>332.03</v>
      </c>
      <c r="L24" s="112">
        <v>29.83</v>
      </c>
      <c r="M24" s="112">
        <v>59.89</v>
      </c>
      <c r="N24" s="112">
        <v>0</v>
      </c>
      <c r="O24" s="112">
        <v>0</v>
      </c>
      <c r="P24" s="112">
        <v>0.26</v>
      </c>
      <c r="Q24" s="112">
        <v>5.01</v>
      </c>
    </row>
    <row r="25" spans="1:17" customFormat="1">
      <c r="A25" s="80">
        <v>45446.177083333336</v>
      </c>
      <c r="B25" s="112">
        <v>7.21</v>
      </c>
      <c r="C25" s="112">
        <v>6.07</v>
      </c>
      <c r="D25" s="112">
        <v>13.97</v>
      </c>
      <c r="E25" s="112">
        <v>9.81</v>
      </c>
      <c r="F25" s="112">
        <v>11.25</v>
      </c>
      <c r="G25" s="112">
        <v>16.079999999999998</v>
      </c>
      <c r="H25" s="112">
        <v>10.49</v>
      </c>
      <c r="I25" s="112">
        <v>4.24</v>
      </c>
      <c r="J25" s="112">
        <v>0.13</v>
      </c>
      <c r="K25" s="112">
        <v>310.49</v>
      </c>
      <c r="L25" s="112">
        <v>29.66</v>
      </c>
      <c r="M25" s="112">
        <v>61.03</v>
      </c>
      <c r="N25" s="112">
        <v>0</v>
      </c>
      <c r="O25" s="112">
        <v>0</v>
      </c>
      <c r="P25" s="112">
        <v>0.25</v>
      </c>
      <c r="Q25" s="112">
        <v>5</v>
      </c>
    </row>
    <row r="26" spans="1:17" customFormat="1">
      <c r="A26" s="80">
        <v>45446.1875</v>
      </c>
      <c r="B26" s="112">
        <v>7.22</v>
      </c>
      <c r="C26" s="112">
        <v>6.08</v>
      </c>
      <c r="D26" s="112">
        <v>13.97</v>
      </c>
      <c r="E26" s="112">
        <v>9.66</v>
      </c>
      <c r="F26" s="112">
        <v>9.1300000000000008</v>
      </c>
      <c r="G26" s="112">
        <v>22.14</v>
      </c>
      <c r="H26" s="112">
        <v>10.130000000000001</v>
      </c>
      <c r="I26" s="112">
        <v>4.16</v>
      </c>
      <c r="J26" s="112">
        <v>0.17</v>
      </c>
      <c r="K26" s="112">
        <v>273.89</v>
      </c>
      <c r="L26" s="112">
        <v>29.63</v>
      </c>
      <c r="M26" s="112">
        <v>61.13</v>
      </c>
      <c r="N26" s="112">
        <v>0</v>
      </c>
      <c r="O26" s="112">
        <v>0</v>
      </c>
      <c r="P26" s="112">
        <v>0.25</v>
      </c>
      <c r="Q26" s="112">
        <v>5</v>
      </c>
    </row>
    <row r="27" spans="1:17" customFormat="1">
      <c r="A27" s="80">
        <v>45446.197916666664</v>
      </c>
      <c r="B27" s="112">
        <v>7.22</v>
      </c>
      <c r="C27" s="112">
        <v>6.08</v>
      </c>
      <c r="D27" s="112">
        <v>13.98</v>
      </c>
      <c r="E27" s="112">
        <v>9.82</v>
      </c>
      <c r="F27" s="112">
        <v>9.2200000000000006</v>
      </c>
      <c r="G27" s="112">
        <v>23.45</v>
      </c>
      <c r="H27" s="112">
        <v>10.130000000000001</v>
      </c>
      <c r="I27" s="112">
        <v>4.08</v>
      </c>
      <c r="J27" s="112">
        <v>0.3</v>
      </c>
      <c r="K27" s="112">
        <v>255.98</v>
      </c>
      <c r="L27" s="112">
        <v>29.58</v>
      </c>
      <c r="M27" s="112">
        <v>60.93</v>
      </c>
      <c r="N27" s="112">
        <v>0</v>
      </c>
      <c r="O27" s="112">
        <v>0</v>
      </c>
      <c r="P27" s="112">
        <v>0.24</v>
      </c>
      <c r="Q27" s="112">
        <v>5</v>
      </c>
    </row>
    <row r="28" spans="1:17" customFormat="1">
      <c r="A28" s="80">
        <v>45446.208333333336</v>
      </c>
      <c r="B28" s="112">
        <v>7.24</v>
      </c>
      <c r="C28" s="112">
        <v>6.04</v>
      </c>
      <c r="D28" s="112">
        <v>13.97</v>
      </c>
      <c r="E28" s="112">
        <v>10.039999999999999</v>
      </c>
      <c r="F28" s="112">
        <v>9.2799999999999994</v>
      </c>
      <c r="G28" s="112">
        <v>23.45</v>
      </c>
      <c r="H28" s="112">
        <v>10.130000000000001</v>
      </c>
      <c r="I28" s="112">
        <v>4.03</v>
      </c>
      <c r="J28" s="112">
        <v>0.33</v>
      </c>
      <c r="K28" s="112">
        <v>251.98</v>
      </c>
      <c r="L28" s="112">
        <v>29.75</v>
      </c>
      <c r="M28" s="112">
        <v>60.62</v>
      </c>
      <c r="N28" s="112">
        <v>0</v>
      </c>
      <c r="O28" s="112">
        <v>0</v>
      </c>
      <c r="P28" s="112">
        <v>0.25</v>
      </c>
      <c r="Q28" s="112">
        <v>5.01</v>
      </c>
    </row>
    <row r="29" spans="1:17" customFormat="1">
      <c r="A29" s="80">
        <v>45446.21875</v>
      </c>
      <c r="B29" s="112">
        <v>7.25</v>
      </c>
      <c r="C29" s="112">
        <v>6.06</v>
      </c>
      <c r="D29" s="112">
        <v>13.99</v>
      </c>
      <c r="E29" s="112">
        <v>9.99</v>
      </c>
      <c r="F29" s="112">
        <v>9.3800000000000008</v>
      </c>
      <c r="G29" s="112">
        <v>23.45</v>
      </c>
      <c r="H29" s="112">
        <v>10.130000000000001</v>
      </c>
      <c r="I29" s="112">
        <v>4.01</v>
      </c>
      <c r="J29" s="112">
        <v>0.37</v>
      </c>
      <c r="K29" s="112">
        <v>257.01</v>
      </c>
      <c r="L29" s="112">
        <v>29.75</v>
      </c>
      <c r="M29" s="112">
        <v>59.73</v>
      </c>
      <c r="N29" s="112">
        <v>0</v>
      </c>
      <c r="O29" s="112">
        <v>0</v>
      </c>
      <c r="P29" s="112">
        <v>0.25</v>
      </c>
      <c r="Q29" s="112">
        <v>5.01</v>
      </c>
    </row>
    <row r="30" spans="1:17" customFormat="1">
      <c r="A30" s="80">
        <v>45446.229166666664</v>
      </c>
      <c r="B30" s="112">
        <v>7.25</v>
      </c>
      <c r="C30" s="112">
        <v>6.07</v>
      </c>
      <c r="D30" s="112">
        <v>14</v>
      </c>
      <c r="E30" s="112">
        <v>9.41</v>
      </c>
      <c r="F30" s="112">
        <v>9.06</v>
      </c>
      <c r="G30" s="112">
        <v>12.92</v>
      </c>
      <c r="H30" s="112">
        <v>8.16</v>
      </c>
      <c r="I30" s="112">
        <v>4</v>
      </c>
      <c r="J30" s="112">
        <v>0.57999999999999996</v>
      </c>
      <c r="K30" s="112">
        <v>258.19</v>
      </c>
      <c r="L30" s="112">
        <v>29.96</v>
      </c>
      <c r="M30" s="112">
        <v>58.44</v>
      </c>
      <c r="N30" s="112">
        <v>2.4</v>
      </c>
      <c r="O30" s="112">
        <v>0</v>
      </c>
      <c r="P30" s="112">
        <v>0.24</v>
      </c>
      <c r="Q30" s="112">
        <v>5</v>
      </c>
    </row>
    <row r="31" spans="1:17" customFormat="1">
      <c r="A31" s="80">
        <v>45446.239583333336</v>
      </c>
      <c r="B31" s="112">
        <v>7.25</v>
      </c>
      <c r="C31" s="112">
        <v>6.08</v>
      </c>
      <c r="D31" s="112">
        <v>14</v>
      </c>
      <c r="E31" s="112">
        <v>10.87</v>
      </c>
      <c r="F31" s="112">
        <v>8.0500000000000007</v>
      </c>
      <c r="G31" s="112">
        <v>10.64</v>
      </c>
      <c r="H31" s="112">
        <v>8.16</v>
      </c>
      <c r="I31" s="112">
        <v>3.91</v>
      </c>
      <c r="J31" s="112">
        <v>0.71</v>
      </c>
      <c r="K31" s="112">
        <v>253.28</v>
      </c>
      <c r="L31" s="112">
        <v>30.05</v>
      </c>
      <c r="M31" s="112">
        <v>57.32</v>
      </c>
      <c r="N31" s="112">
        <v>13.5</v>
      </c>
      <c r="O31" s="112">
        <v>0</v>
      </c>
      <c r="P31" s="112">
        <v>0.24</v>
      </c>
      <c r="Q31" s="112">
        <v>5.01</v>
      </c>
    </row>
    <row r="32" spans="1:17" customFormat="1">
      <c r="A32" s="80">
        <v>45446.25</v>
      </c>
      <c r="B32" s="112">
        <v>7.26</v>
      </c>
      <c r="C32" s="112">
        <v>6.08</v>
      </c>
      <c r="D32" s="112">
        <v>14</v>
      </c>
      <c r="E32" s="112">
        <v>10.41</v>
      </c>
      <c r="F32" s="112">
        <v>7.57</v>
      </c>
      <c r="G32" s="112">
        <v>10.64</v>
      </c>
      <c r="H32" s="112">
        <v>8.16</v>
      </c>
      <c r="I32" s="112">
        <v>3.87</v>
      </c>
      <c r="J32" s="112">
        <v>0.63</v>
      </c>
      <c r="K32" s="112">
        <v>252.53</v>
      </c>
      <c r="L32" s="112">
        <v>30.14</v>
      </c>
      <c r="M32" s="112">
        <v>57.44</v>
      </c>
      <c r="N32" s="112">
        <v>28.1</v>
      </c>
      <c r="O32" s="112">
        <v>0</v>
      </c>
      <c r="P32" s="112">
        <v>0.23</v>
      </c>
      <c r="Q32" s="112">
        <v>4.99</v>
      </c>
    </row>
    <row r="33" spans="1:17" customFormat="1">
      <c r="A33" s="80">
        <v>45446.260416666664</v>
      </c>
      <c r="B33" s="112">
        <v>7.26</v>
      </c>
      <c r="C33" s="112">
        <v>6.06</v>
      </c>
      <c r="D33" s="112">
        <v>14</v>
      </c>
      <c r="E33" s="112">
        <v>10.49</v>
      </c>
      <c r="F33" s="112">
        <v>8.68</v>
      </c>
      <c r="G33" s="112">
        <v>10.64</v>
      </c>
      <c r="H33" s="112">
        <v>8.16</v>
      </c>
      <c r="I33" s="112">
        <v>3.89</v>
      </c>
      <c r="J33" s="112">
        <v>0.65</v>
      </c>
      <c r="K33" s="112">
        <v>256.31</v>
      </c>
      <c r="L33" s="112">
        <v>30.23</v>
      </c>
      <c r="M33" s="112">
        <v>57.76</v>
      </c>
      <c r="N33" s="112">
        <v>38.6</v>
      </c>
      <c r="O33" s="112">
        <v>0</v>
      </c>
      <c r="P33" s="112">
        <v>0.23</v>
      </c>
      <c r="Q33" s="112">
        <v>5.01</v>
      </c>
    </row>
    <row r="34" spans="1:17" customFormat="1">
      <c r="A34" s="80">
        <v>45446.270833333336</v>
      </c>
      <c r="B34" s="112">
        <v>7.24</v>
      </c>
      <c r="C34" s="112">
        <v>6.09</v>
      </c>
      <c r="D34" s="112">
        <v>14</v>
      </c>
      <c r="E34" s="112">
        <v>10.5</v>
      </c>
      <c r="F34" s="112">
        <v>7.73</v>
      </c>
      <c r="G34" s="112">
        <v>20.79</v>
      </c>
      <c r="H34" s="112">
        <v>10.220000000000001</v>
      </c>
      <c r="I34" s="112">
        <v>3.88</v>
      </c>
      <c r="J34" s="112">
        <v>0.76</v>
      </c>
      <c r="K34" s="112">
        <v>250.42</v>
      </c>
      <c r="L34" s="112">
        <v>30.07</v>
      </c>
      <c r="M34" s="112">
        <v>59.28</v>
      </c>
      <c r="N34" s="112">
        <v>42.4</v>
      </c>
      <c r="O34" s="112">
        <v>0</v>
      </c>
      <c r="P34" s="112">
        <v>0.24</v>
      </c>
      <c r="Q34" s="112">
        <v>5.01</v>
      </c>
    </row>
    <row r="35" spans="1:17" customFormat="1">
      <c r="A35" s="80">
        <v>45446.28125</v>
      </c>
      <c r="B35" s="112">
        <v>7.23</v>
      </c>
      <c r="C35" s="112">
        <v>6.09</v>
      </c>
      <c r="D35" s="112">
        <v>13.99</v>
      </c>
      <c r="E35" s="112">
        <v>10.57</v>
      </c>
      <c r="F35" s="112">
        <v>6.91</v>
      </c>
      <c r="G35" s="112">
        <v>22.98</v>
      </c>
      <c r="H35" s="112">
        <v>10.220000000000001</v>
      </c>
      <c r="I35" s="112">
        <v>3.84</v>
      </c>
      <c r="J35" s="112">
        <v>0.62</v>
      </c>
      <c r="K35" s="112">
        <v>249.16</v>
      </c>
      <c r="L35" s="112">
        <v>30.24</v>
      </c>
      <c r="M35" s="112">
        <v>59.3</v>
      </c>
      <c r="N35" s="112">
        <v>61.6</v>
      </c>
      <c r="O35" s="112">
        <v>0</v>
      </c>
      <c r="P35" s="112">
        <v>0.23</v>
      </c>
      <c r="Q35" s="112">
        <v>5.01</v>
      </c>
    </row>
    <row r="36" spans="1:17" customFormat="1">
      <c r="A36" s="80">
        <v>45446.291666666664</v>
      </c>
      <c r="B36" s="112">
        <v>7.24</v>
      </c>
      <c r="C36" s="112">
        <v>6.07</v>
      </c>
      <c r="D36" s="112">
        <v>13.98</v>
      </c>
      <c r="E36" s="112">
        <v>10.49</v>
      </c>
      <c r="F36" s="112">
        <v>6.37</v>
      </c>
      <c r="G36" s="112">
        <v>22.98</v>
      </c>
      <c r="H36" s="112">
        <v>10.220000000000001</v>
      </c>
      <c r="I36" s="112">
        <v>3.78</v>
      </c>
      <c r="J36" s="112">
        <v>0.67</v>
      </c>
      <c r="K36" s="112">
        <v>246.89</v>
      </c>
      <c r="L36" s="112">
        <v>30.72</v>
      </c>
      <c r="M36" s="112">
        <v>58.52</v>
      </c>
      <c r="N36" s="112">
        <v>82.6</v>
      </c>
      <c r="O36" s="112">
        <v>0</v>
      </c>
      <c r="P36" s="112">
        <v>0.23</v>
      </c>
      <c r="Q36" s="112">
        <v>5.01</v>
      </c>
    </row>
    <row r="37" spans="1:17" customFormat="1">
      <c r="A37" s="80">
        <v>45446.302083333336</v>
      </c>
      <c r="B37" s="112">
        <v>7.24</v>
      </c>
      <c r="C37" s="112">
        <v>6.08</v>
      </c>
      <c r="D37" s="112">
        <v>13.99</v>
      </c>
      <c r="E37" s="112">
        <v>10.66</v>
      </c>
      <c r="F37" s="112">
        <v>5.89</v>
      </c>
      <c r="G37" s="112">
        <v>22.98</v>
      </c>
      <c r="H37" s="112">
        <v>10.220000000000001</v>
      </c>
      <c r="I37" s="112">
        <v>3.77</v>
      </c>
      <c r="J37" s="112">
        <v>0.78</v>
      </c>
      <c r="K37" s="112">
        <v>245.62</v>
      </c>
      <c r="L37" s="112">
        <v>30.84</v>
      </c>
      <c r="M37" s="112">
        <v>57.83</v>
      </c>
      <c r="N37" s="112">
        <v>93.8</v>
      </c>
      <c r="O37" s="112">
        <v>0</v>
      </c>
      <c r="P37" s="112">
        <v>0.23</v>
      </c>
      <c r="Q37" s="112">
        <v>5</v>
      </c>
    </row>
    <row r="38" spans="1:17" customFormat="1">
      <c r="A38" s="80">
        <v>45446.3125</v>
      </c>
      <c r="B38" s="112">
        <v>7.23</v>
      </c>
      <c r="C38" s="112">
        <v>6.11</v>
      </c>
      <c r="D38" s="112">
        <v>14</v>
      </c>
      <c r="E38" s="112">
        <v>10.64</v>
      </c>
      <c r="F38" s="112">
        <v>8.58</v>
      </c>
      <c r="G38" s="112">
        <v>23.3</v>
      </c>
      <c r="H38" s="112">
        <v>9.93</v>
      </c>
      <c r="I38" s="112">
        <v>3.76</v>
      </c>
      <c r="J38" s="112">
        <v>0.77</v>
      </c>
      <c r="K38" s="112">
        <v>261.83</v>
      </c>
      <c r="L38" s="112">
        <v>30.98</v>
      </c>
      <c r="M38" s="112">
        <v>57.47</v>
      </c>
      <c r="N38" s="112">
        <v>84.2</v>
      </c>
      <c r="O38" s="112">
        <v>0</v>
      </c>
      <c r="P38" s="112">
        <v>0.24</v>
      </c>
      <c r="Q38" s="112">
        <v>5.0199999999999996</v>
      </c>
    </row>
    <row r="39" spans="1:17" customFormat="1">
      <c r="A39" s="80">
        <v>45446.322916666664</v>
      </c>
      <c r="B39" s="112">
        <v>7.26</v>
      </c>
      <c r="C39" s="112">
        <v>6.07</v>
      </c>
      <c r="D39" s="112">
        <v>14</v>
      </c>
      <c r="E39" s="112">
        <v>10.9</v>
      </c>
      <c r="F39" s="112">
        <v>6.79</v>
      </c>
      <c r="G39" s="112">
        <v>23.37</v>
      </c>
      <c r="H39" s="112">
        <v>9.93</v>
      </c>
      <c r="I39" s="112">
        <v>3.71</v>
      </c>
      <c r="J39" s="112">
        <v>0.81</v>
      </c>
      <c r="K39" s="112">
        <v>258.98</v>
      </c>
      <c r="L39" s="112">
        <v>31.08</v>
      </c>
      <c r="M39" s="112">
        <v>56.58</v>
      </c>
      <c r="N39" s="112">
        <v>108.1</v>
      </c>
      <c r="O39" s="112">
        <v>0</v>
      </c>
      <c r="P39" s="112">
        <v>0.23</v>
      </c>
      <c r="Q39" s="112">
        <v>5.0199999999999996</v>
      </c>
    </row>
    <row r="40" spans="1:17" customFormat="1">
      <c r="A40" s="80">
        <v>45446.333333333336</v>
      </c>
      <c r="B40" s="112">
        <v>7.26</v>
      </c>
      <c r="C40" s="112">
        <v>6.08</v>
      </c>
      <c r="D40" s="112">
        <v>14</v>
      </c>
      <c r="E40" s="112">
        <v>10.77</v>
      </c>
      <c r="F40" s="112">
        <v>7.64</v>
      </c>
      <c r="G40" s="112">
        <v>23.37</v>
      </c>
      <c r="H40" s="112">
        <v>9.93</v>
      </c>
      <c r="I40" s="112">
        <v>3.71</v>
      </c>
      <c r="J40" s="112">
        <v>1.1399999999999999</v>
      </c>
      <c r="K40" s="112">
        <v>254.87</v>
      </c>
      <c r="L40" s="112">
        <v>31.65</v>
      </c>
      <c r="M40" s="112">
        <v>55.22</v>
      </c>
      <c r="N40" s="112">
        <v>124.7</v>
      </c>
      <c r="O40" s="112">
        <v>0</v>
      </c>
      <c r="P40" s="112">
        <v>0.26</v>
      </c>
      <c r="Q40" s="112">
        <v>5.01</v>
      </c>
    </row>
    <row r="41" spans="1:17" customFormat="1">
      <c r="A41" s="80">
        <v>45446.34375</v>
      </c>
      <c r="B41" s="112">
        <v>7.25</v>
      </c>
      <c r="C41" s="112">
        <v>6.04</v>
      </c>
      <c r="D41" s="112">
        <v>13.98</v>
      </c>
      <c r="E41" s="112">
        <v>11.12</v>
      </c>
      <c r="F41" s="112">
        <v>8.92</v>
      </c>
      <c r="G41" s="112">
        <v>23.37</v>
      </c>
      <c r="H41" s="112">
        <v>9.93</v>
      </c>
      <c r="I41" s="112">
        <v>3.71</v>
      </c>
      <c r="J41" s="112">
        <v>1.2</v>
      </c>
      <c r="K41" s="112">
        <v>268.45</v>
      </c>
      <c r="L41" s="112">
        <v>31.78</v>
      </c>
      <c r="M41" s="112">
        <v>54.88</v>
      </c>
      <c r="N41" s="112">
        <v>148.69999999999999</v>
      </c>
      <c r="O41" s="112">
        <v>0</v>
      </c>
      <c r="P41" s="112">
        <v>0.31</v>
      </c>
      <c r="Q41" s="112">
        <v>5.01</v>
      </c>
    </row>
    <row r="42" spans="1:17" customFormat="1">
      <c r="A42" s="80">
        <v>45446.354166666664</v>
      </c>
      <c r="B42" s="112">
        <v>7.23</v>
      </c>
      <c r="C42" s="112">
        <v>6.06</v>
      </c>
      <c r="D42" s="112">
        <v>13.98</v>
      </c>
      <c r="E42" s="112">
        <v>10.86</v>
      </c>
      <c r="F42" s="112">
        <v>8.42</v>
      </c>
      <c r="G42" s="112">
        <v>23.68</v>
      </c>
      <c r="H42" s="112">
        <v>9.7200000000000006</v>
      </c>
      <c r="I42" s="112">
        <v>3.73</v>
      </c>
      <c r="J42" s="112">
        <v>1.51</v>
      </c>
      <c r="K42" s="112">
        <v>262.24</v>
      </c>
      <c r="L42" s="112">
        <v>32.35</v>
      </c>
      <c r="M42" s="112">
        <v>53.45</v>
      </c>
      <c r="N42" s="112">
        <v>171.9</v>
      </c>
      <c r="O42" s="112">
        <v>0</v>
      </c>
      <c r="P42" s="112">
        <v>0.31</v>
      </c>
      <c r="Q42" s="112">
        <v>5</v>
      </c>
    </row>
    <row r="43" spans="1:17" customFormat="1">
      <c r="A43" s="80">
        <v>45446.364583333336</v>
      </c>
      <c r="B43" s="112">
        <v>7.22</v>
      </c>
      <c r="C43" s="112">
        <v>6.09</v>
      </c>
      <c r="D43" s="112">
        <v>13.98</v>
      </c>
      <c r="E43" s="112">
        <v>10.47</v>
      </c>
      <c r="F43" s="112">
        <v>7.31</v>
      </c>
      <c r="G43" s="112">
        <v>23.75</v>
      </c>
      <c r="H43" s="112">
        <v>9.7200000000000006</v>
      </c>
      <c r="I43" s="112">
        <v>3.76</v>
      </c>
      <c r="J43" s="112">
        <v>1.68</v>
      </c>
      <c r="K43" s="112">
        <v>258.19</v>
      </c>
      <c r="L43" s="112">
        <v>32.729999999999997</v>
      </c>
      <c r="M43" s="112">
        <v>52.26</v>
      </c>
      <c r="N43" s="112">
        <v>199.6</v>
      </c>
      <c r="O43" s="112">
        <v>0</v>
      </c>
      <c r="P43" s="112">
        <v>0.31</v>
      </c>
      <c r="Q43" s="112">
        <v>4.9800000000000004</v>
      </c>
    </row>
    <row r="44" spans="1:17" customFormat="1">
      <c r="A44" s="80">
        <v>45446.375</v>
      </c>
      <c r="B44" s="112">
        <v>7.17</v>
      </c>
      <c r="C44" s="112">
        <v>6.1</v>
      </c>
      <c r="D44" s="112">
        <v>13.95</v>
      </c>
      <c r="E44" s="112">
        <v>9.68</v>
      </c>
      <c r="F44" s="112">
        <v>8.8699999999999992</v>
      </c>
      <c r="G44" s="112">
        <v>23.75</v>
      </c>
      <c r="H44" s="112">
        <v>9.7200000000000006</v>
      </c>
      <c r="I44" s="112">
        <v>3.78</v>
      </c>
      <c r="J44" s="112">
        <v>1.64</v>
      </c>
      <c r="K44" s="112">
        <v>266.64</v>
      </c>
      <c r="L44" s="112">
        <v>32.869999999999997</v>
      </c>
      <c r="M44" s="112">
        <v>51.8</v>
      </c>
      <c r="N44" s="112">
        <v>199.6</v>
      </c>
      <c r="O44" s="112">
        <v>0</v>
      </c>
      <c r="P44" s="112">
        <v>0.31</v>
      </c>
      <c r="Q44" s="112">
        <v>4.99</v>
      </c>
    </row>
    <row r="45" spans="1:17" customFormat="1">
      <c r="A45" s="80">
        <v>45446.385416666664</v>
      </c>
      <c r="B45" s="112">
        <v>7.17</v>
      </c>
      <c r="C45" s="112">
        <v>6.09</v>
      </c>
      <c r="D45" s="112">
        <v>13.94</v>
      </c>
      <c r="E45" s="112">
        <v>9.58</v>
      </c>
      <c r="F45" s="112">
        <v>10.76</v>
      </c>
      <c r="G45" s="112">
        <v>23.75</v>
      </c>
      <c r="H45" s="112">
        <v>9.7200000000000006</v>
      </c>
      <c r="I45" s="112">
        <v>3.78</v>
      </c>
      <c r="J45" s="112">
        <v>1.39</v>
      </c>
      <c r="K45" s="112">
        <v>269.49</v>
      </c>
      <c r="L45" s="112">
        <v>33.799999999999997</v>
      </c>
      <c r="M45" s="112">
        <v>50.02</v>
      </c>
      <c r="N45" s="112">
        <v>203.1</v>
      </c>
      <c r="O45" s="112">
        <v>0</v>
      </c>
      <c r="P45" s="112">
        <v>0.3</v>
      </c>
      <c r="Q45" s="112">
        <v>5.01</v>
      </c>
    </row>
    <row r="46" spans="1:17" customFormat="1">
      <c r="A46" s="80">
        <v>45446.395833333336</v>
      </c>
      <c r="B46" s="112">
        <v>7.18</v>
      </c>
      <c r="C46" s="112">
        <v>6.09</v>
      </c>
      <c r="D46" s="112">
        <v>13.95</v>
      </c>
      <c r="E46" s="112">
        <v>9.31</v>
      </c>
      <c r="F46" s="112">
        <v>10.73</v>
      </c>
      <c r="G46" s="112">
        <v>25.22</v>
      </c>
      <c r="H46" s="112">
        <v>8.8000000000000007</v>
      </c>
      <c r="I46" s="112">
        <v>3.75</v>
      </c>
      <c r="J46" s="112">
        <v>1.1599999999999999</v>
      </c>
      <c r="K46" s="112">
        <v>262.89999999999998</v>
      </c>
      <c r="L46" s="112">
        <v>34.159999999999997</v>
      </c>
      <c r="M46" s="112">
        <v>49.46</v>
      </c>
      <c r="N46" s="112">
        <v>170.6</v>
      </c>
      <c r="O46" s="112">
        <v>0</v>
      </c>
      <c r="P46" s="112">
        <v>0.28999999999999998</v>
      </c>
      <c r="Q46" s="112">
        <v>5</v>
      </c>
    </row>
    <row r="47" spans="1:17" customFormat="1">
      <c r="A47" s="80">
        <v>45446.40625</v>
      </c>
      <c r="B47" s="112">
        <v>7.18</v>
      </c>
      <c r="C47" s="112">
        <v>6.08</v>
      </c>
      <c r="D47" s="112">
        <v>13.94</v>
      </c>
      <c r="E47" s="112">
        <v>8.49</v>
      </c>
      <c r="F47" s="112">
        <v>12.25</v>
      </c>
      <c r="G47" s="112">
        <v>25.54</v>
      </c>
      <c r="H47" s="112">
        <v>8.8000000000000007</v>
      </c>
      <c r="I47" s="112">
        <v>3.73</v>
      </c>
      <c r="J47" s="112">
        <v>1.57</v>
      </c>
      <c r="K47" s="112">
        <v>283.32</v>
      </c>
      <c r="L47" s="112">
        <v>34.299999999999997</v>
      </c>
      <c r="M47" s="112">
        <v>48.39</v>
      </c>
      <c r="N47" s="112">
        <v>176.1</v>
      </c>
      <c r="O47" s="112">
        <v>0</v>
      </c>
      <c r="P47" s="112">
        <v>0.3</v>
      </c>
      <c r="Q47" s="112">
        <v>5</v>
      </c>
    </row>
    <row r="48" spans="1:17" customFormat="1">
      <c r="A48" s="80">
        <v>45446.416666666664</v>
      </c>
      <c r="B48" s="112">
        <v>7.17</v>
      </c>
      <c r="C48" s="112">
        <v>6.09</v>
      </c>
      <c r="D48" s="112">
        <v>13.94</v>
      </c>
      <c r="E48" s="112">
        <v>8.73</v>
      </c>
      <c r="F48" s="112">
        <v>9.89</v>
      </c>
      <c r="G48" s="112">
        <v>25.54</v>
      </c>
      <c r="H48" s="112">
        <v>8.8000000000000007</v>
      </c>
      <c r="I48" s="112">
        <v>3.72</v>
      </c>
      <c r="J48" s="112">
        <v>1.71</v>
      </c>
      <c r="K48" s="112">
        <v>271.47000000000003</v>
      </c>
      <c r="L48" s="112">
        <v>34.58</v>
      </c>
      <c r="M48" s="112">
        <v>46.72</v>
      </c>
      <c r="N48" s="112">
        <v>186.4</v>
      </c>
      <c r="O48" s="112">
        <v>0</v>
      </c>
      <c r="P48" s="112">
        <v>0.28999999999999998</v>
      </c>
      <c r="Q48" s="112">
        <v>5.01</v>
      </c>
    </row>
    <row r="49" spans="1:17" customFormat="1">
      <c r="A49" s="80">
        <v>45446.427083333336</v>
      </c>
      <c r="B49" s="112">
        <v>7.17</v>
      </c>
      <c r="C49" s="112">
        <v>6.08</v>
      </c>
      <c r="D49" s="112">
        <v>13.94</v>
      </c>
      <c r="E49" s="112">
        <v>7.73</v>
      </c>
      <c r="F49" s="112">
        <v>10.35</v>
      </c>
      <c r="G49" s="112">
        <v>25.54</v>
      </c>
      <c r="H49" s="112">
        <v>8.8000000000000007</v>
      </c>
      <c r="I49" s="112">
        <v>3.76</v>
      </c>
      <c r="J49" s="112">
        <v>1.61</v>
      </c>
      <c r="K49" s="112">
        <v>266.72000000000003</v>
      </c>
      <c r="L49" s="112">
        <v>34.9</v>
      </c>
      <c r="M49" s="112">
        <v>46.01</v>
      </c>
      <c r="N49" s="112">
        <v>194.2</v>
      </c>
      <c r="O49" s="112">
        <v>0</v>
      </c>
      <c r="P49" s="112">
        <v>0.28999999999999998</v>
      </c>
      <c r="Q49" s="112">
        <v>5</v>
      </c>
    </row>
    <row r="50" spans="1:17" customFormat="1">
      <c r="A50" s="80">
        <v>45446.4375</v>
      </c>
      <c r="B50" s="112">
        <v>7.17</v>
      </c>
      <c r="C50" s="112">
        <v>6.07</v>
      </c>
      <c r="D50" s="112">
        <v>13.93</v>
      </c>
      <c r="E50" s="112">
        <v>9.1</v>
      </c>
      <c r="F50" s="112">
        <v>11.5</v>
      </c>
      <c r="G50" s="112">
        <v>36.020000000000003</v>
      </c>
      <c r="H50" s="112">
        <v>11.92</v>
      </c>
      <c r="I50" s="112">
        <v>3.77</v>
      </c>
      <c r="J50" s="112">
        <v>1.57</v>
      </c>
      <c r="K50" s="112">
        <v>270.25</v>
      </c>
      <c r="L50" s="112">
        <v>35.380000000000003</v>
      </c>
      <c r="M50" s="112">
        <v>45.22</v>
      </c>
      <c r="N50" s="112">
        <v>199.8</v>
      </c>
      <c r="O50" s="112">
        <v>0</v>
      </c>
      <c r="P50" s="112">
        <v>0.3</v>
      </c>
      <c r="Q50" s="112">
        <v>5</v>
      </c>
    </row>
    <row r="51" spans="1:17" customFormat="1">
      <c r="A51" s="80">
        <v>45446.447916666664</v>
      </c>
      <c r="B51" s="112">
        <v>7.18</v>
      </c>
      <c r="C51" s="112">
        <v>6.04</v>
      </c>
      <c r="D51" s="112">
        <v>13.92</v>
      </c>
      <c r="E51" s="112">
        <v>9.23</v>
      </c>
      <c r="F51" s="112">
        <v>9.9499999999999993</v>
      </c>
      <c r="G51" s="112">
        <v>38.28</v>
      </c>
      <c r="H51" s="112">
        <v>11.92</v>
      </c>
      <c r="I51" s="112">
        <v>3.77</v>
      </c>
      <c r="J51" s="112">
        <v>2.2799999999999998</v>
      </c>
      <c r="K51" s="112">
        <v>288.02999999999997</v>
      </c>
      <c r="L51" s="112">
        <v>35.33</v>
      </c>
      <c r="M51" s="112">
        <v>44.74</v>
      </c>
      <c r="N51" s="112">
        <v>208.2</v>
      </c>
      <c r="O51" s="112">
        <v>0</v>
      </c>
      <c r="P51" s="112">
        <v>0.3</v>
      </c>
      <c r="Q51" s="112">
        <v>4.99</v>
      </c>
    </row>
    <row r="52" spans="1:17" customFormat="1">
      <c r="A52" s="80">
        <v>45446.458333333336</v>
      </c>
      <c r="B52" s="112">
        <v>7.17</v>
      </c>
      <c r="C52" s="112">
        <v>6.05</v>
      </c>
      <c r="D52" s="112">
        <v>13.92</v>
      </c>
      <c r="E52" s="112">
        <v>9.52</v>
      </c>
      <c r="F52" s="112">
        <v>15.38</v>
      </c>
      <c r="G52" s="112">
        <v>38.28</v>
      </c>
      <c r="H52" s="112">
        <v>11.92</v>
      </c>
      <c r="I52" s="112">
        <v>3.79</v>
      </c>
      <c r="J52" s="112">
        <v>1.5</v>
      </c>
      <c r="K52" s="112">
        <v>271.54000000000002</v>
      </c>
      <c r="L52" s="112">
        <v>36.119999999999997</v>
      </c>
      <c r="M52" s="112">
        <v>43.07</v>
      </c>
      <c r="N52" s="112">
        <v>215.8</v>
      </c>
      <c r="O52" s="112">
        <v>0</v>
      </c>
      <c r="P52" s="112">
        <v>0.31</v>
      </c>
      <c r="Q52" s="112">
        <v>4.99</v>
      </c>
    </row>
    <row r="53" spans="1:17" customFormat="1">
      <c r="A53" s="80">
        <v>45446.46875</v>
      </c>
      <c r="B53" s="112">
        <v>7.2</v>
      </c>
      <c r="C53" s="112">
        <v>6.06</v>
      </c>
      <c r="D53" s="112">
        <v>13.95</v>
      </c>
      <c r="E53" s="112">
        <v>9.33</v>
      </c>
      <c r="F53" s="112">
        <v>12.35</v>
      </c>
      <c r="G53" s="112">
        <v>38.28</v>
      </c>
      <c r="H53" s="112">
        <v>11.92</v>
      </c>
      <c r="I53" s="112">
        <v>3.83</v>
      </c>
      <c r="J53" s="112">
        <v>1.5</v>
      </c>
      <c r="K53" s="112">
        <v>269.8</v>
      </c>
      <c r="L53" s="112">
        <v>36.64</v>
      </c>
      <c r="M53" s="112">
        <v>41.81</v>
      </c>
      <c r="N53" s="112">
        <v>247.9</v>
      </c>
      <c r="O53" s="112">
        <v>0</v>
      </c>
      <c r="P53" s="112">
        <v>0.32</v>
      </c>
      <c r="Q53" s="112">
        <v>4.99</v>
      </c>
    </row>
    <row r="54" spans="1:17" customFormat="1">
      <c r="A54" s="80">
        <v>45446.479166666664</v>
      </c>
      <c r="B54" s="112">
        <v>7.21</v>
      </c>
      <c r="C54" s="112">
        <v>6.07</v>
      </c>
      <c r="D54" s="112">
        <v>13.96</v>
      </c>
      <c r="E54" s="112">
        <v>9.2100000000000009</v>
      </c>
      <c r="F54" s="112">
        <v>12.99</v>
      </c>
      <c r="G54" s="112">
        <v>47.5</v>
      </c>
      <c r="H54" s="112">
        <v>14.63</v>
      </c>
      <c r="I54" s="112">
        <v>3.82</v>
      </c>
      <c r="J54" s="112">
        <v>2.0299999999999998</v>
      </c>
      <c r="K54" s="112">
        <v>291.62</v>
      </c>
      <c r="L54" s="112">
        <v>37.1</v>
      </c>
      <c r="M54" s="112">
        <v>40</v>
      </c>
      <c r="N54" s="112">
        <v>271.2</v>
      </c>
      <c r="O54" s="112">
        <v>0</v>
      </c>
      <c r="P54" s="112">
        <v>0.33</v>
      </c>
      <c r="Q54" s="112">
        <v>4.99</v>
      </c>
    </row>
    <row r="55" spans="1:17" customFormat="1">
      <c r="A55" s="80">
        <v>45446.489583333336</v>
      </c>
      <c r="B55" s="112">
        <v>7.21</v>
      </c>
      <c r="C55" s="112">
        <v>6.07</v>
      </c>
      <c r="D55" s="112">
        <v>13.96</v>
      </c>
      <c r="E55" s="112">
        <v>9.35</v>
      </c>
      <c r="F55" s="112">
        <v>12.4</v>
      </c>
      <c r="G55" s="112">
        <v>49.49</v>
      </c>
      <c r="H55" s="112">
        <v>14.63</v>
      </c>
      <c r="I55" s="112">
        <v>3.81</v>
      </c>
      <c r="J55" s="112">
        <v>1.79</v>
      </c>
      <c r="K55" s="112">
        <v>284.64</v>
      </c>
      <c r="L55" s="112">
        <v>37.119999999999997</v>
      </c>
      <c r="M55" s="112">
        <v>39.96</v>
      </c>
      <c r="N55" s="112">
        <v>465.6</v>
      </c>
      <c r="O55" s="112">
        <v>0</v>
      </c>
      <c r="P55" s="112">
        <v>0.33</v>
      </c>
      <c r="Q55" s="112">
        <v>5</v>
      </c>
    </row>
    <row r="56" spans="1:17" customFormat="1">
      <c r="A56" s="80">
        <v>45446.5</v>
      </c>
      <c r="B56" s="112">
        <v>7.2</v>
      </c>
      <c r="C56" s="112">
        <v>6.03</v>
      </c>
      <c r="D56" s="112">
        <v>13.94</v>
      </c>
      <c r="E56" s="112">
        <v>9.84</v>
      </c>
      <c r="F56" s="112">
        <v>17.64</v>
      </c>
      <c r="G56" s="112">
        <v>49.49</v>
      </c>
      <c r="H56" s="112">
        <v>14.63</v>
      </c>
      <c r="I56" s="112">
        <v>3.87</v>
      </c>
      <c r="J56" s="112">
        <v>1.58</v>
      </c>
      <c r="K56" s="112">
        <v>285.64</v>
      </c>
      <c r="L56" s="112">
        <v>37.19</v>
      </c>
      <c r="M56" s="112">
        <v>39.880000000000003</v>
      </c>
      <c r="N56" s="112">
        <v>542.6</v>
      </c>
      <c r="O56" s="112">
        <v>0</v>
      </c>
      <c r="P56" s="112">
        <v>0.35</v>
      </c>
      <c r="Q56" s="112">
        <v>4.99</v>
      </c>
    </row>
    <row r="57" spans="1:17" customFormat="1">
      <c r="A57" s="80">
        <v>45446.510416666664</v>
      </c>
      <c r="B57" s="112">
        <v>7.22</v>
      </c>
      <c r="C57" s="112">
        <v>6.06</v>
      </c>
      <c r="D57" s="112">
        <v>13.96</v>
      </c>
      <c r="E57" s="112">
        <v>10.66</v>
      </c>
      <c r="F57" s="112">
        <v>13.35</v>
      </c>
      <c r="G57" s="112">
        <v>49.49</v>
      </c>
      <c r="H57" s="112">
        <v>14.63</v>
      </c>
      <c r="I57" s="112">
        <v>3.98</v>
      </c>
      <c r="J57" s="112">
        <v>2.2000000000000002</v>
      </c>
      <c r="K57" s="112">
        <v>296.52999999999997</v>
      </c>
      <c r="L57" s="112">
        <v>37.33</v>
      </c>
      <c r="M57" s="112">
        <v>38.58</v>
      </c>
      <c r="N57" s="112">
        <v>590.9</v>
      </c>
      <c r="O57" s="112">
        <v>0</v>
      </c>
      <c r="P57" s="112">
        <v>0.37</v>
      </c>
      <c r="Q57" s="112">
        <v>4.9800000000000004</v>
      </c>
    </row>
    <row r="58" spans="1:17" customFormat="1">
      <c r="A58" s="80">
        <v>45446.520833333336</v>
      </c>
      <c r="B58" s="112">
        <v>7.26</v>
      </c>
      <c r="C58" s="112">
        <v>6.06</v>
      </c>
      <c r="D58" s="112">
        <v>14</v>
      </c>
      <c r="E58" s="112">
        <v>10.11</v>
      </c>
      <c r="F58" s="112">
        <v>12.06</v>
      </c>
      <c r="G58" s="112">
        <v>53.38</v>
      </c>
      <c r="H58" s="112">
        <v>16.940000000000001</v>
      </c>
      <c r="I58" s="112">
        <v>4.13</v>
      </c>
      <c r="J58" s="112">
        <v>2.0499999999999998</v>
      </c>
      <c r="K58" s="112">
        <v>279.41000000000003</v>
      </c>
      <c r="L58" s="112">
        <v>37.36</v>
      </c>
      <c r="M58" s="112">
        <v>38.5</v>
      </c>
      <c r="N58" s="112">
        <v>599</v>
      </c>
      <c r="O58" s="112">
        <v>0</v>
      </c>
      <c r="P58" s="112">
        <v>0.36</v>
      </c>
      <c r="Q58" s="112">
        <v>4.9800000000000004</v>
      </c>
    </row>
    <row r="59" spans="1:17" customFormat="1">
      <c r="A59" s="80">
        <v>45446.53125</v>
      </c>
      <c r="B59" s="112">
        <v>7.27</v>
      </c>
      <c r="C59" s="112">
        <v>6.06</v>
      </c>
      <c r="D59" s="112">
        <v>14.01</v>
      </c>
      <c r="E59" s="112">
        <v>10.14</v>
      </c>
      <c r="F59" s="112">
        <v>12.82</v>
      </c>
      <c r="G59" s="112">
        <v>54.23</v>
      </c>
      <c r="H59" s="112">
        <v>16.940000000000001</v>
      </c>
      <c r="I59" s="112">
        <v>4.34</v>
      </c>
      <c r="J59" s="112">
        <v>1.83</v>
      </c>
      <c r="K59" s="112">
        <v>288.04000000000002</v>
      </c>
      <c r="L59" s="112">
        <v>37.590000000000003</v>
      </c>
      <c r="M59" s="112">
        <v>37.630000000000003</v>
      </c>
      <c r="N59" s="112">
        <v>551.5</v>
      </c>
      <c r="O59" s="112">
        <v>0</v>
      </c>
      <c r="P59" s="112">
        <v>0.27</v>
      </c>
      <c r="Q59" s="112">
        <v>5</v>
      </c>
    </row>
    <row r="60" spans="1:17" customFormat="1">
      <c r="A60" s="80">
        <v>45446.541666666664</v>
      </c>
      <c r="B60" s="112">
        <v>7.32</v>
      </c>
      <c r="C60" s="112">
        <v>6.1</v>
      </c>
      <c r="D60" s="112">
        <v>14.07</v>
      </c>
      <c r="E60" s="112">
        <v>10.77</v>
      </c>
      <c r="F60" s="112">
        <v>13.57</v>
      </c>
      <c r="G60" s="112">
        <v>54.23</v>
      </c>
      <c r="H60" s="112">
        <v>16.940000000000001</v>
      </c>
      <c r="I60" s="112">
        <v>4.49</v>
      </c>
      <c r="J60" s="112">
        <v>2.2200000000000002</v>
      </c>
      <c r="K60" s="112">
        <v>297.69</v>
      </c>
      <c r="L60" s="112">
        <v>37.82</v>
      </c>
      <c r="M60" s="112">
        <v>36.67</v>
      </c>
      <c r="N60" s="112">
        <v>642</v>
      </c>
      <c r="O60" s="112">
        <v>0</v>
      </c>
      <c r="P60" s="112">
        <v>0.26</v>
      </c>
      <c r="Q60" s="112">
        <v>5.01</v>
      </c>
    </row>
    <row r="61" spans="1:17" customFormat="1">
      <c r="A61" s="80">
        <v>45446.552083333336</v>
      </c>
      <c r="B61" s="112">
        <v>7.35</v>
      </c>
      <c r="C61" s="112">
        <v>6.08</v>
      </c>
      <c r="D61" s="112">
        <v>14.08</v>
      </c>
      <c r="E61" s="112">
        <v>12.13</v>
      </c>
      <c r="F61" s="112">
        <v>19.96</v>
      </c>
      <c r="G61" s="112">
        <v>54.23</v>
      </c>
      <c r="H61" s="112">
        <v>16.940000000000001</v>
      </c>
      <c r="I61" s="112">
        <v>4.47</v>
      </c>
      <c r="J61" s="112">
        <v>1.42</v>
      </c>
      <c r="K61" s="112">
        <v>269.66000000000003</v>
      </c>
      <c r="L61" s="112">
        <v>38.28</v>
      </c>
      <c r="M61" s="112">
        <v>36.19</v>
      </c>
      <c r="N61" s="112">
        <v>627.20000000000005</v>
      </c>
      <c r="O61" s="112">
        <v>0</v>
      </c>
      <c r="P61" s="112">
        <v>0.28000000000000003</v>
      </c>
      <c r="Q61" s="112">
        <v>4.99</v>
      </c>
    </row>
    <row r="62" spans="1:17" customFormat="1">
      <c r="A62" s="80">
        <v>45446.5625</v>
      </c>
      <c r="B62" s="112">
        <v>7.28</v>
      </c>
      <c r="C62" s="112">
        <v>6.05</v>
      </c>
      <c r="D62" s="112">
        <v>14.01</v>
      </c>
      <c r="E62" s="112">
        <v>13.36</v>
      </c>
      <c r="F62" s="112">
        <v>21.54</v>
      </c>
      <c r="G62" s="112">
        <v>56.98</v>
      </c>
      <c r="H62" s="112">
        <v>14.78</v>
      </c>
      <c r="I62" s="112">
        <v>4.63</v>
      </c>
      <c r="J62" s="112">
        <v>1.33</v>
      </c>
      <c r="K62" s="112">
        <v>273.45999999999998</v>
      </c>
      <c r="L62" s="112">
        <v>38.729999999999997</v>
      </c>
      <c r="M62" s="112">
        <v>34.94</v>
      </c>
      <c r="N62" s="112">
        <v>400.1</v>
      </c>
      <c r="O62" s="112">
        <v>0</v>
      </c>
      <c r="P62" s="112">
        <v>0.31</v>
      </c>
      <c r="Q62" s="112">
        <v>5.01</v>
      </c>
    </row>
    <row r="63" spans="1:17" customFormat="1">
      <c r="A63" s="80">
        <v>45446.572916666664</v>
      </c>
      <c r="B63" s="112">
        <v>7.21</v>
      </c>
      <c r="C63" s="112">
        <v>6.07</v>
      </c>
      <c r="D63" s="112">
        <v>13.96</v>
      </c>
      <c r="E63" s="112">
        <v>13.95</v>
      </c>
      <c r="F63" s="112">
        <v>21.63</v>
      </c>
      <c r="G63" s="112">
        <v>57.58</v>
      </c>
      <c r="H63" s="112">
        <v>14.78</v>
      </c>
      <c r="I63" s="112">
        <v>4.91</v>
      </c>
      <c r="J63" s="112">
        <v>1.38</v>
      </c>
      <c r="K63" s="112">
        <v>300.22000000000003</v>
      </c>
      <c r="L63" s="112">
        <v>39.22</v>
      </c>
      <c r="M63" s="112">
        <v>34.32</v>
      </c>
      <c r="N63" s="112">
        <v>415.2</v>
      </c>
      <c r="O63" s="112">
        <v>0</v>
      </c>
      <c r="P63" s="112">
        <v>0.33</v>
      </c>
      <c r="Q63" s="112">
        <v>4.99</v>
      </c>
    </row>
    <row r="64" spans="1:17" customFormat="1">
      <c r="A64" s="80">
        <v>45446.583333333336</v>
      </c>
      <c r="B64" s="112">
        <v>7.19</v>
      </c>
      <c r="C64" s="112">
        <v>6.06</v>
      </c>
      <c r="D64" s="112">
        <v>13.94</v>
      </c>
      <c r="E64" s="112">
        <v>13.62</v>
      </c>
      <c r="F64" s="112">
        <v>18.86</v>
      </c>
      <c r="G64" s="112">
        <v>57.58</v>
      </c>
      <c r="H64" s="112">
        <v>14.78</v>
      </c>
      <c r="I64" s="112">
        <v>5.22</v>
      </c>
      <c r="J64" s="112">
        <v>1.1200000000000001</v>
      </c>
      <c r="K64" s="112">
        <v>271.8</v>
      </c>
      <c r="L64" s="112">
        <v>39.83</v>
      </c>
      <c r="M64" s="112">
        <v>33.65</v>
      </c>
      <c r="N64" s="112">
        <v>618.6</v>
      </c>
      <c r="O64" s="112">
        <v>0</v>
      </c>
      <c r="P64" s="112">
        <v>0.33</v>
      </c>
      <c r="Q64" s="112">
        <v>4.99</v>
      </c>
    </row>
    <row r="65" spans="1:17" customFormat="1">
      <c r="A65" s="80">
        <v>45446.59375</v>
      </c>
      <c r="B65" s="112">
        <v>7.16</v>
      </c>
      <c r="C65" s="112">
        <v>6.05</v>
      </c>
      <c r="D65" s="112">
        <v>13.92</v>
      </c>
      <c r="E65" s="112">
        <v>13.17</v>
      </c>
      <c r="F65" s="112">
        <v>16.59</v>
      </c>
      <c r="G65" s="112">
        <v>57.58</v>
      </c>
      <c r="H65" s="112">
        <v>14.78</v>
      </c>
      <c r="I65" s="112">
        <v>5.74</v>
      </c>
      <c r="J65" s="112">
        <v>1.83</v>
      </c>
      <c r="K65" s="112">
        <v>296.19</v>
      </c>
      <c r="L65" s="112">
        <v>39.409999999999997</v>
      </c>
      <c r="M65" s="112">
        <v>33.130000000000003</v>
      </c>
      <c r="N65" s="112">
        <v>663.9</v>
      </c>
      <c r="O65" s="112">
        <v>0</v>
      </c>
      <c r="P65" s="112">
        <v>0.51</v>
      </c>
      <c r="Q65" s="112">
        <v>4.99</v>
      </c>
    </row>
    <row r="66" spans="1:17" customFormat="1">
      <c r="A66" s="80">
        <v>45446.604166666664</v>
      </c>
      <c r="B66" s="112">
        <v>7.13</v>
      </c>
      <c r="C66" s="112">
        <v>6.04</v>
      </c>
      <c r="D66" s="112">
        <v>13.88</v>
      </c>
      <c r="E66" s="112">
        <v>12.49</v>
      </c>
      <c r="F66" s="112">
        <v>17.79</v>
      </c>
      <c r="G66" s="112">
        <v>49.32</v>
      </c>
      <c r="H66" s="112">
        <v>14.73</v>
      </c>
      <c r="I66" s="112">
        <v>6.1</v>
      </c>
      <c r="J66" s="112">
        <v>1.97</v>
      </c>
      <c r="K66" s="112">
        <v>301.75</v>
      </c>
      <c r="L66" s="112">
        <v>39.229999999999997</v>
      </c>
      <c r="M66" s="112">
        <v>32.1</v>
      </c>
      <c r="N66" s="112">
        <v>601.70000000000005</v>
      </c>
      <c r="O66" s="112">
        <v>0</v>
      </c>
      <c r="P66" s="112">
        <v>0.55000000000000004</v>
      </c>
      <c r="Q66" s="112">
        <v>4.99</v>
      </c>
    </row>
    <row r="67" spans="1:17" customFormat="1">
      <c r="A67" s="80">
        <v>45446.614583333336</v>
      </c>
      <c r="B67" s="112">
        <v>7.1</v>
      </c>
      <c r="C67" s="112">
        <v>6.07</v>
      </c>
      <c r="D67" s="112">
        <v>13.88</v>
      </c>
      <c r="E67" s="112">
        <v>13.08</v>
      </c>
      <c r="F67" s="112">
        <v>21.66</v>
      </c>
      <c r="G67" s="112">
        <v>47.53</v>
      </c>
      <c r="H67" s="112">
        <v>14.73</v>
      </c>
      <c r="I67" s="112">
        <v>6.07</v>
      </c>
      <c r="J67" s="112">
        <v>1.34</v>
      </c>
      <c r="K67" s="112">
        <v>284.91000000000003</v>
      </c>
      <c r="L67" s="112">
        <v>39.700000000000003</v>
      </c>
      <c r="M67" s="112">
        <v>31.94</v>
      </c>
      <c r="N67" s="112">
        <v>562.20000000000005</v>
      </c>
      <c r="O67" s="112">
        <v>0</v>
      </c>
      <c r="P67" s="112">
        <v>0.56000000000000005</v>
      </c>
      <c r="Q67" s="112">
        <v>4.9800000000000004</v>
      </c>
    </row>
    <row r="68" spans="1:17" customFormat="1">
      <c r="A68" s="80">
        <v>45446.625</v>
      </c>
      <c r="B68" s="112">
        <v>7.11</v>
      </c>
      <c r="C68" s="112">
        <v>6.07</v>
      </c>
      <c r="D68" s="112">
        <v>13.88</v>
      </c>
      <c r="E68" s="112">
        <v>13.55</v>
      </c>
      <c r="F68" s="112">
        <v>17.28</v>
      </c>
      <c r="G68" s="112">
        <v>47.53</v>
      </c>
      <c r="H68" s="112">
        <v>14.73</v>
      </c>
      <c r="I68" s="112">
        <v>6.12</v>
      </c>
      <c r="J68" s="112">
        <v>1.54</v>
      </c>
      <c r="K68" s="112">
        <v>291.54000000000002</v>
      </c>
      <c r="L68" s="112">
        <v>39.89</v>
      </c>
      <c r="M68" s="112">
        <v>31.23</v>
      </c>
      <c r="N68" s="112">
        <v>554.6</v>
      </c>
      <c r="O68" s="112">
        <v>0</v>
      </c>
      <c r="P68" s="112">
        <v>0.55000000000000004</v>
      </c>
      <c r="Q68" s="112">
        <v>4.97</v>
      </c>
    </row>
    <row r="69" spans="1:17" customFormat="1">
      <c r="A69" s="80">
        <v>45446.635416666664</v>
      </c>
      <c r="B69" s="112">
        <v>7.1</v>
      </c>
      <c r="C69" s="112">
        <v>6.06</v>
      </c>
      <c r="D69" s="112">
        <v>13.87</v>
      </c>
      <c r="E69" s="112">
        <v>12.7</v>
      </c>
      <c r="F69" s="112">
        <v>16.309999999999999</v>
      </c>
      <c r="G69" s="112">
        <v>47.53</v>
      </c>
      <c r="H69" s="112">
        <v>14.73</v>
      </c>
      <c r="I69" s="112">
        <v>6.16</v>
      </c>
      <c r="J69" s="112">
        <v>1.46</v>
      </c>
      <c r="K69" s="112">
        <v>274.3</v>
      </c>
      <c r="L69" s="112">
        <v>39.96</v>
      </c>
      <c r="M69" s="112">
        <v>31.41</v>
      </c>
      <c r="N69" s="112">
        <v>514.9</v>
      </c>
      <c r="O69" s="112">
        <v>0</v>
      </c>
      <c r="P69" s="112">
        <v>0.54</v>
      </c>
      <c r="Q69" s="112">
        <v>5.01</v>
      </c>
    </row>
    <row r="70" spans="1:17" customFormat="1">
      <c r="A70" s="80">
        <v>45446.645833333336</v>
      </c>
      <c r="B70" s="112">
        <v>7.1</v>
      </c>
      <c r="C70" s="112">
        <v>6.06</v>
      </c>
      <c r="D70" s="112">
        <v>13.87</v>
      </c>
      <c r="E70" s="112">
        <v>12.47</v>
      </c>
      <c r="F70" s="112">
        <v>18.5</v>
      </c>
      <c r="G70" s="112">
        <v>51.69</v>
      </c>
      <c r="H70" s="112">
        <v>13.32</v>
      </c>
      <c r="I70" s="112">
        <v>5.96</v>
      </c>
      <c r="J70" s="112">
        <v>1.41</v>
      </c>
      <c r="K70" s="112">
        <v>275.67</v>
      </c>
      <c r="L70" s="112">
        <v>39.880000000000003</v>
      </c>
      <c r="M70" s="112">
        <v>31.84</v>
      </c>
      <c r="N70" s="112">
        <v>465.5</v>
      </c>
      <c r="O70" s="112">
        <v>0</v>
      </c>
      <c r="P70" s="112">
        <v>0.54</v>
      </c>
      <c r="Q70" s="112">
        <v>5</v>
      </c>
    </row>
    <row r="71" spans="1:17" customFormat="1">
      <c r="A71" s="80">
        <v>45446.65625</v>
      </c>
      <c r="B71" s="112">
        <v>7.12</v>
      </c>
      <c r="C71" s="112">
        <v>6.07</v>
      </c>
      <c r="D71" s="112">
        <v>13.89</v>
      </c>
      <c r="E71" s="112">
        <v>12.67</v>
      </c>
      <c r="F71" s="112">
        <v>22.34</v>
      </c>
      <c r="G71" s="112">
        <v>52.59</v>
      </c>
      <c r="H71" s="112">
        <v>13.32</v>
      </c>
      <c r="I71" s="112">
        <v>5.92</v>
      </c>
      <c r="J71" s="112">
        <v>1.3</v>
      </c>
      <c r="K71" s="112">
        <v>266.95999999999998</v>
      </c>
      <c r="L71" s="112">
        <v>40.159999999999997</v>
      </c>
      <c r="M71" s="112">
        <v>31.68</v>
      </c>
      <c r="N71" s="112">
        <v>420</v>
      </c>
      <c r="O71" s="112">
        <v>0</v>
      </c>
      <c r="P71" s="112">
        <v>0.53</v>
      </c>
      <c r="Q71" s="112">
        <v>5.01</v>
      </c>
    </row>
    <row r="72" spans="1:17" customFormat="1">
      <c r="A72" s="80">
        <v>45446.666666666664</v>
      </c>
      <c r="B72" s="112">
        <v>7.12</v>
      </c>
      <c r="C72" s="112">
        <v>6.1</v>
      </c>
      <c r="D72" s="112">
        <v>13.9</v>
      </c>
      <c r="E72" s="112">
        <v>13.84</v>
      </c>
      <c r="F72" s="112">
        <v>22.08</v>
      </c>
      <c r="G72" s="112">
        <v>52.59</v>
      </c>
      <c r="H72" s="112">
        <v>13.32</v>
      </c>
      <c r="I72" s="112">
        <v>5.8</v>
      </c>
      <c r="J72" s="112">
        <v>1.25</v>
      </c>
      <c r="K72" s="112">
        <v>279.94</v>
      </c>
      <c r="L72" s="112">
        <v>40.119999999999997</v>
      </c>
      <c r="M72" s="112">
        <v>31.04</v>
      </c>
      <c r="N72" s="112">
        <v>371.4</v>
      </c>
      <c r="O72" s="112">
        <v>0</v>
      </c>
      <c r="P72" s="112">
        <v>0.54</v>
      </c>
      <c r="Q72" s="112">
        <v>5.01</v>
      </c>
    </row>
    <row r="73" spans="1:17" customFormat="1">
      <c r="A73" s="80">
        <v>45446.677083333336</v>
      </c>
      <c r="B73" s="112">
        <v>7.13</v>
      </c>
      <c r="C73" s="112">
        <v>6.08</v>
      </c>
      <c r="D73" s="112">
        <v>13.9</v>
      </c>
      <c r="E73" s="112">
        <v>12.96</v>
      </c>
      <c r="F73" s="112">
        <v>26.1</v>
      </c>
      <c r="G73" s="112">
        <v>52.59</v>
      </c>
      <c r="H73" s="112">
        <v>13.32</v>
      </c>
      <c r="I73" s="112">
        <v>5.64</v>
      </c>
      <c r="J73" s="112">
        <v>0.97</v>
      </c>
      <c r="K73" s="112">
        <v>273.14999999999998</v>
      </c>
      <c r="L73" s="112">
        <v>40.21</v>
      </c>
      <c r="M73" s="112">
        <v>30.47</v>
      </c>
      <c r="N73" s="112">
        <v>196.3</v>
      </c>
      <c r="O73" s="112">
        <v>0</v>
      </c>
      <c r="P73" s="112">
        <v>0.51</v>
      </c>
      <c r="Q73" s="112">
        <v>5.0199999999999996</v>
      </c>
    </row>
    <row r="74" spans="1:17" customFormat="1">
      <c r="A74" s="80">
        <v>45446.6875</v>
      </c>
      <c r="B74" s="112">
        <v>7.14</v>
      </c>
      <c r="C74" s="112">
        <v>6.08</v>
      </c>
      <c r="D74" s="112">
        <v>13.91</v>
      </c>
      <c r="E74" s="112">
        <v>13.67</v>
      </c>
      <c r="F74" s="112">
        <v>20.91</v>
      </c>
      <c r="G74" s="112">
        <v>47.39</v>
      </c>
      <c r="H74" s="112">
        <v>16.100000000000001</v>
      </c>
      <c r="I74" s="112">
        <v>5.42</v>
      </c>
      <c r="J74" s="112">
        <v>1.26</v>
      </c>
      <c r="K74" s="112">
        <v>276.61</v>
      </c>
      <c r="L74" s="112">
        <v>40.07</v>
      </c>
      <c r="M74" s="112">
        <v>30.44</v>
      </c>
      <c r="N74" s="112">
        <v>172.8</v>
      </c>
      <c r="O74" s="112">
        <v>0</v>
      </c>
      <c r="P74" s="112">
        <v>0.52</v>
      </c>
      <c r="Q74" s="112">
        <v>5.01</v>
      </c>
    </row>
    <row r="75" spans="1:17" customFormat="1">
      <c r="A75" s="80">
        <v>45446.697916666664</v>
      </c>
      <c r="B75" s="112">
        <v>7.14</v>
      </c>
      <c r="C75" s="112">
        <v>6.08</v>
      </c>
      <c r="D75" s="112">
        <v>13.91</v>
      </c>
      <c r="E75" s="112">
        <v>13.59</v>
      </c>
      <c r="F75" s="112">
        <v>21.34</v>
      </c>
      <c r="G75" s="112">
        <v>46.27</v>
      </c>
      <c r="H75" s="112">
        <v>16.100000000000001</v>
      </c>
      <c r="I75" s="112">
        <v>5.31</v>
      </c>
      <c r="J75" s="112">
        <v>1.32</v>
      </c>
      <c r="K75" s="112">
        <v>285.43</v>
      </c>
      <c r="L75" s="112">
        <v>39.42</v>
      </c>
      <c r="M75" s="112">
        <v>30.43</v>
      </c>
      <c r="N75" s="112">
        <v>111.5</v>
      </c>
      <c r="O75" s="112">
        <v>0</v>
      </c>
      <c r="P75" s="112">
        <v>0.5</v>
      </c>
      <c r="Q75" s="112">
        <v>5.01</v>
      </c>
    </row>
    <row r="76" spans="1:17" customFormat="1">
      <c r="A76" s="80">
        <v>45446.708333333336</v>
      </c>
      <c r="B76" s="112">
        <v>7.15</v>
      </c>
      <c r="C76" s="112">
        <v>6.07</v>
      </c>
      <c r="D76" s="112">
        <v>13.92</v>
      </c>
      <c r="E76" s="112">
        <v>13.49</v>
      </c>
      <c r="F76" s="112">
        <v>26.63</v>
      </c>
      <c r="G76" s="112">
        <v>46.27</v>
      </c>
      <c r="H76" s="112">
        <v>16.100000000000001</v>
      </c>
      <c r="I76" s="112">
        <v>5.37</v>
      </c>
      <c r="J76" s="112">
        <v>1.05</v>
      </c>
      <c r="K76" s="112">
        <v>267.04000000000002</v>
      </c>
      <c r="L76" s="112">
        <v>39.159999999999997</v>
      </c>
      <c r="M76" s="112">
        <v>30.98</v>
      </c>
      <c r="N76" s="112">
        <v>87.4</v>
      </c>
      <c r="O76" s="112">
        <v>0</v>
      </c>
      <c r="P76" s="112">
        <v>0.48</v>
      </c>
      <c r="Q76" s="112">
        <v>5.01</v>
      </c>
    </row>
    <row r="77" spans="1:17" customFormat="1">
      <c r="A77" s="80">
        <v>45446.71875</v>
      </c>
      <c r="B77" s="112">
        <v>7.18</v>
      </c>
      <c r="C77" s="112">
        <v>6.06</v>
      </c>
      <c r="D77" s="112">
        <v>13.93</v>
      </c>
      <c r="E77" s="112">
        <v>13.69</v>
      </c>
      <c r="F77" s="112">
        <v>25.79</v>
      </c>
      <c r="G77" s="112">
        <v>46.27</v>
      </c>
      <c r="H77" s="112">
        <v>16.100000000000001</v>
      </c>
      <c r="I77" s="112">
        <v>5.09</v>
      </c>
      <c r="J77" s="112">
        <v>1.24</v>
      </c>
      <c r="K77" s="112">
        <v>289.99</v>
      </c>
      <c r="L77" s="112">
        <v>39.020000000000003</v>
      </c>
      <c r="M77" s="112">
        <v>31.55</v>
      </c>
      <c r="N77" s="112">
        <v>84.1</v>
      </c>
      <c r="O77" s="112">
        <v>0</v>
      </c>
      <c r="P77" s="112">
        <v>0.49</v>
      </c>
      <c r="Q77" s="112">
        <v>5.01</v>
      </c>
    </row>
    <row r="78" spans="1:17" customFormat="1">
      <c r="A78" s="80">
        <v>45446.729166666664</v>
      </c>
      <c r="B78" s="112">
        <v>7.15</v>
      </c>
      <c r="C78" s="112">
        <v>6.06</v>
      </c>
      <c r="D78" s="112">
        <v>13.91</v>
      </c>
      <c r="E78" s="112">
        <v>15.27</v>
      </c>
      <c r="F78" s="112">
        <v>40.22</v>
      </c>
      <c r="G78" s="112">
        <v>46.31</v>
      </c>
      <c r="H78" s="112">
        <v>16.14</v>
      </c>
      <c r="I78" s="112">
        <v>4.87</v>
      </c>
      <c r="J78" s="112">
        <v>1.08</v>
      </c>
      <c r="K78" s="112">
        <v>269.12</v>
      </c>
      <c r="L78" s="112">
        <v>38.69</v>
      </c>
      <c r="M78" s="112">
        <v>32.68</v>
      </c>
      <c r="N78" s="112">
        <v>78.599999999999994</v>
      </c>
      <c r="O78" s="112">
        <v>0</v>
      </c>
      <c r="P78" s="112">
        <v>0.55000000000000004</v>
      </c>
      <c r="Q78" s="112">
        <v>5.01</v>
      </c>
    </row>
    <row r="79" spans="1:17" customFormat="1">
      <c r="A79" s="80">
        <v>45446.739583333336</v>
      </c>
      <c r="B79" s="112">
        <v>7.23</v>
      </c>
      <c r="C79" s="112">
        <v>6.08</v>
      </c>
      <c r="D79" s="112">
        <v>13.99</v>
      </c>
      <c r="E79" s="112">
        <v>17.98</v>
      </c>
      <c r="F79" s="112">
        <v>39.04</v>
      </c>
      <c r="G79" s="112">
        <v>46.32</v>
      </c>
      <c r="H79" s="112">
        <v>16.14</v>
      </c>
      <c r="I79" s="112">
        <v>4.8099999999999996</v>
      </c>
      <c r="J79" s="112">
        <v>1.07</v>
      </c>
      <c r="K79" s="112">
        <v>265.92</v>
      </c>
      <c r="L79" s="112">
        <v>38.25</v>
      </c>
      <c r="M79" s="112">
        <v>33.49</v>
      </c>
      <c r="N79" s="112">
        <v>44.8</v>
      </c>
      <c r="O79" s="112">
        <v>0</v>
      </c>
      <c r="P79" s="112">
        <v>0.59</v>
      </c>
      <c r="Q79" s="112">
        <v>4.97</v>
      </c>
    </row>
    <row r="80" spans="1:17" customFormat="1">
      <c r="A80" s="80">
        <v>45446.75</v>
      </c>
      <c r="B80" s="112">
        <v>7.24</v>
      </c>
      <c r="C80" s="112">
        <v>6.09</v>
      </c>
      <c r="D80" s="112">
        <v>14</v>
      </c>
      <c r="E80" s="112">
        <v>18.89</v>
      </c>
      <c r="F80" s="112">
        <v>41.18</v>
      </c>
      <c r="G80" s="112">
        <v>46.32</v>
      </c>
      <c r="H80" s="112">
        <v>16.14</v>
      </c>
      <c r="I80" s="112">
        <v>4.95</v>
      </c>
      <c r="J80" s="112">
        <v>0.95</v>
      </c>
      <c r="K80" s="112">
        <v>266.33</v>
      </c>
      <c r="L80" s="112">
        <v>37.93</v>
      </c>
      <c r="M80" s="112">
        <v>34.4</v>
      </c>
      <c r="N80" s="112">
        <v>22.6</v>
      </c>
      <c r="O80" s="112">
        <v>0</v>
      </c>
      <c r="P80" s="112">
        <v>0.62</v>
      </c>
      <c r="Q80" s="112">
        <v>4.9800000000000004</v>
      </c>
    </row>
    <row r="81" spans="1:17" customFormat="1">
      <c r="A81" s="80">
        <v>45446.760416666664</v>
      </c>
      <c r="B81" s="112">
        <v>7.26</v>
      </c>
      <c r="C81" s="112">
        <v>6.06</v>
      </c>
      <c r="D81" s="112">
        <v>14</v>
      </c>
      <c r="E81" s="112">
        <v>16.52</v>
      </c>
      <c r="F81" s="112">
        <v>48.08</v>
      </c>
      <c r="G81" s="112">
        <v>46.32</v>
      </c>
      <c r="H81" s="112">
        <v>16.14</v>
      </c>
      <c r="I81" s="112">
        <v>4.91</v>
      </c>
      <c r="J81" s="112">
        <v>0.8</v>
      </c>
      <c r="K81" s="112">
        <v>261.22000000000003</v>
      </c>
      <c r="L81" s="112">
        <v>37.700000000000003</v>
      </c>
      <c r="M81" s="112">
        <v>34.67</v>
      </c>
      <c r="N81" s="112">
        <v>7.9</v>
      </c>
      <c r="O81" s="112">
        <v>0</v>
      </c>
      <c r="P81" s="112">
        <v>0.63</v>
      </c>
      <c r="Q81" s="112">
        <v>4.9800000000000004</v>
      </c>
    </row>
    <row r="82" spans="1:17" customFormat="1">
      <c r="A82" s="80">
        <v>45446.770833333336</v>
      </c>
      <c r="B82" s="112">
        <v>7.22</v>
      </c>
      <c r="C82" s="112">
        <v>6.09</v>
      </c>
      <c r="D82" s="112">
        <v>13.98</v>
      </c>
      <c r="E82" s="112">
        <v>19.54</v>
      </c>
      <c r="F82" s="112">
        <v>50.4</v>
      </c>
      <c r="G82" s="112">
        <v>45.81</v>
      </c>
      <c r="H82" s="112">
        <v>14.95</v>
      </c>
      <c r="I82" s="112">
        <v>5.08</v>
      </c>
      <c r="J82" s="112">
        <v>0.85</v>
      </c>
      <c r="K82" s="112">
        <v>268.68</v>
      </c>
      <c r="L82" s="112">
        <v>37.43</v>
      </c>
      <c r="M82" s="112">
        <v>35.54</v>
      </c>
      <c r="N82" s="112">
        <v>0.1</v>
      </c>
      <c r="O82" s="112">
        <v>0</v>
      </c>
      <c r="P82" s="112">
        <v>0.63</v>
      </c>
      <c r="Q82" s="112">
        <v>5</v>
      </c>
    </row>
    <row r="83" spans="1:17" customFormat="1">
      <c r="A83" s="80">
        <v>45446.78125</v>
      </c>
      <c r="B83" s="112">
        <v>7.21</v>
      </c>
      <c r="C83" s="112">
        <v>6.11</v>
      </c>
      <c r="D83" s="112">
        <v>13.98</v>
      </c>
      <c r="E83" s="112">
        <v>22.26</v>
      </c>
      <c r="F83" s="112">
        <v>49.47</v>
      </c>
      <c r="G83" s="112">
        <v>45.7</v>
      </c>
      <c r="H83" s="112">
        <v>14.95</v>
      </c>
      <c r="I83" s="112">
        <v>4.99</v>
      </c>
      <c r="J83" s="112">
        <v>0.72</v>
      </c>
      <c r="K83" s="112">
        <v>270.42</v>
      </c>
      <c r="L83" s="112">
        <v>37.15</v>
      </c>
      <c r="M83" s="112">
        <v>36.72</v>
      </c>
      <c r="N83" s="112">
        <v>0</v>
      </c>
      <c r="O83" s="112">
        <v>0</v>
      </c>
      <c r="P83" s="112">
        <v>0.65</v>
      </c>
      <c r="Q83" s="112">
        <v>4.99</v>
      </c>
    </row>
    <row r="84" spans="1:17" customFormat="1">
      <c r="A84" s="80">
        <v>45446.791666666664</v>
      </c>
      <c r="B84" s="112">
        <v>7.21</v>
      </c>
      <c r="C84" s="112">
        <v>6.09</v>
      </c>
      <c r="D84" s="112">
        <v>13.97</v>
      </c>
      <c r="E84" s="112">
        <v>19.46</v>
      </c>
      <c r="F84" s="112">
        <v>50.61</v>
      </c>
      <c r="G84" s="112">
        <v>45.7</v>
      </c>
      <c r="H84" s="112">
        <v>14.95</v>
      </c>
      <c r="I84" s="112">
        <v>4.8600000000000003</v>
      </c>
      <c r="J84" s="112">
        <v>0.7</v>
      </c>
      <c r="K84" s="112">
        <v>261.89</v>
      </c>
      <c r="L84" s="112">
        <v>36.99</v>
      </c>
      <c r="M84" s="112">
        <v>37.89</v>
      </c>
      <c r="N84" s="112">
        <v>0</v>
      </c>
      <c r="O84" s="112">
        <v>0</v>
      </c>
      <c r="P84" s="112">
        <v>0.64</v>
      </c>
      <c r="Q84" s="112">
        <v>4.99</v>
      </c>
    </row>
    <row r="85" spans="1:17" customFormat="1">
      <c r="A85" s="80">
        <v>45446.802083333336</v>
      </c>
      <c r="B85" s="112">
        <v>7.22</v>
      </c>
      <c r="C85" s="112">
        <v>6.11</v>
      </c>
      <c r="D85" s="112">
        <v>13.99</v>
      </c>
      <c r="E85" s="112">
        <v>18.89</v>
      </c>
      <c r="F85" s="112">
        <v>46.64</v>
      </c>
      <c r="G85" s="112">
        <v>45.7</v>
      </c>
      <c r="H85" s="112">
        <v>14.95</v>
      </c>
      <c r="I85" s="112">
        <v>4.91</v>
      </c>
      <c r="J85" s="112">
        <v>0.67</v>
      </c>
      <c r="K85" s="112">
        <v>280.58999999999997</v>
      </c>
      <c r="L85" s="112">
        <v>36.89</v>
      </c>
      <c r="M85" s="112">
        <v>38.22</v>
      </c>
      <c r="N85" s="112">
        <v>0</v>
      </c>
      <c r="O85" s="112">
        <v>0</v>
      </c>
      <c r="P85" s="112">
        <v>0.73</v>
      </c>
      <c r="Q85" s="112">
        <v>4.99</v>
      </c>
    </row>
    <row r="86" spans="1:17" customFormat="1">
      <c r="A86" s="80">
        <v>45446.8125</v>
      </c>
      <c r="B86" s="112">
        <v>7.23</v>
      </c>
      <c r="C86" s="112">
        <v>6.1</v>
      </c>
      <c r="D86" s="112">
        <v>13.99</v>
      </c>
      <c r="E86" s="112">
        <v>19.27</v>
      </c>
      <c r="F86" s="112">
        <v>42.06</v>
      </c>
      <c r="G86" s="112">
        <v>46.75</v>
      </c>
      <c r="H86" s="112">
        <v>15.62</v>
      </c>
      <c r="I86" s="112">
        <v>4.83</v>
      </c>
      <c r="J86" s="112">
        <v>0.75</v>
      </c>
      <c r="K86" s="112">
        <v>300.43</v>
      </c>
      <c r="L86" s="112">
        <v>36.93</v>
      </c>
      <c r="M86" s="112">
        <v>37.090000000000003</v>
      </c>
      <c r="N86" s="112">
        <v>0</v>
      </c>
      <c r="O86" s="112">
        <v>0</v>
      </c>
      <c r="P86" s="112">
        <v>0.85</v>
      </c>
      <c r="Q86" s="112">
        <v>5</v>
      </c>
    </row>
    <row r="87" spans="1:17" customFormat="1">
      <c r="A87" s="80">
        <v>45446.822916666664</v>
      </c>
      <c r="B87" s="112">
        <v>7.21</v>
      </c>
      <c r="C87" s="112">
        <v>6.08</v>
      </c>
      <c r="D87" s="112">
        <v>13.97</v>
      </c>
      <c r="E87" s="112">
        <v>17.420000000000002</v>
      </c>
      <c r="F87" s="112">
        <v>36.99</v>
      </c>
      <c r="G87" s="112">
        <v>46.98</v>
      </c>
      <c r="H87" s="112">
        <v>15.62</v>
      </c>
      <c r="I87" s="112">
        <v>5.27</v>
      </c>
      <c r="J87" s="112">
        <v>0.57999999999999996</v>
      </c>
      <c r="K87" s="112">
        <v>301.89</v>
      </c>
      <c r="L87" s="112">
        <v>36.75</v>
      </c>
      <c r="M87" s="112">
        <v>37.42</v>
      </c>
      <c r="N87" s="112">
        <v>0</v>
      </c>
      <c r="O87" s="112">
        <v>0</v>
      </c>
      <c r="P87" s="112">
        <v>0.75</v>
      </c>
      <c r="Q87" s="112">
        <v>5.01</v>
      </c>
    </row>
    <row r="88" spans="1:17" customFormat="1">
      <c r="A88" s="80">
        <v>45446.833333333336</v>
      </c>
      <c r="B88" s="112">
        <v>7.2</v>
      </c>
      <c r="C88" s="112">
        <v>6.08</v>
      </c>
      <c r="D88" s="112">
        <v>13.96</v>
      </c>
      <c r="E88" s="112">
        <v>30.26</v>
      </c>
      <c r="F88" s="112">
        <v>41.09</v>
      </c>
      <c r="G88" s="112">
        <v>46.98</v>
      </c>
      <c r="H88" s="112">
        <v>15.62</v>
      </c>
      <c r="I88" s="112">
        <v>5.43</v>
      </c>
      <c r="J88" s="112">
        <v>0.69</v>
      </c>
      <c r="K88" s="112">
        <v>308.63</v>
      </c>
      <c r="L88" s="112">
        <v>36.15</v>
      </c>
      <c r="M88" s="112">
        <v>39.01</v>
      </c>
      <c r="N88" s="112">
        <v>0</v>
      </c>
      <c r="O88" s="112">
        <v>0</v>
      </c>
      <c r="P88" s="112">
        <v>0.74</v>
      </c>
      <c r="Q88" s="112">
        <v>5.0199999999999996</v>
      </c>
    </row>
    <row r="89" spans="1:17" customFormat="1">
      <c r="A89" s="80">
        <v>45446.84375</v>
      </c>
      <c r="B89" s="112">
        <v>7.19</v>
      </c>
      <c r="C89" s="112">
        <v>6.16</v>
      </c>
      <c r="D89" s="112">
        <v>13.99</v>
      </c>
      <c r="E89" s="112">
        <v>55.59</v>
      </c>
      <c r="F89" s="112">
        <v>37.69</v>
      </c>
      <c r="G89" s="112">
        <v>46.98</v>
      </c>
      <c r="H89" s="112">
        <v>15.62</v>
      </c>
      <c r="I89" s="112">
        <v>5.41</v>
      </c>
      <c r="J89" s="112">
        <v>0.63</v>
      </c>
      <c r="K89" s="112">
        <v>306.38</v>
      </c>
      <c r="L89" s="112">
        <v>35.880000000000003</v>
      </c>
      <c r="M89" s="112">
        <v>39.69</v>
      </c>
      <c r="N89" s="112">
        <v>0</v>
      </c>
      <c r="O89" s="112">
        <v>0</v>
      </c>
      <c r="P89" s="112">
        <v>0.79</v>
      </c>
      <c r="Q89" s="112">
        <v>5.0199999999999996</v>
      </c>
    </row>
    <row r="90" spans="1:17" customFormat="1">
      <c r="A90" s="80">
        <v>45446.854166666664</v>
      </c>
      <c r="B90" s="112">
        <v>7.17</v>
      </c>
      <c r="C90" s="112">
        <v>6.14</v>
      </c>
      <c r="D90" s="112">
        <v>13.96</v>
      </c>
      <c r="E90" s="112">
        <v>46.56</v>
      </c>
      <c r="F90" s="112">
        <v>45.17</v>
      </c>
      <c r="G90" s="112">
        <v>57.07</v>
      </c>
      <c r="H90" s="112">
        <v>18.29</v>
      </c>
      <c r="I90" s="112">
        <v>5.41</v>
      </c>
      <c r="J90" s="112">
        <v>0.28000000000000003</v>
      </c>
      <c r="K90" s="112">
        <v>244.95</v>
      </c>
      <c r="L90" s="112">
        <v>35.409999999999997</v>
      </c>
      <c r="M90" s="112">
        <v>40.86</v>
      </c>
      <c r="N90" s="112">
        <v>0</v>
      </c>
      <c r="O90" s="112">
        <v>0</v>
      </c>
      <c r="P90" s="112">
        <v>0.71</v>
      </c>
      <c r="Q90" s="112">
        <v>5.01</v>
      </c>
    </row>
    <row r="91" spans="1:17" customFormat="1">
      <c r="A91" s="80">
        <v>45446.864583333336</v>
      </c>
      <c r="B91" s="112">
        <v>7.16</v>
      </c>
      <c r="C91" s="112">
        <v>6.08</v>
      </c>
      <c r="D91" s="112">
        <v>13.93</v>
      </c>
      <c r="E91" s="112">
        <v>31.51</v>
      </c>
      <c r="F91" s="112">
        <v>48.6</v>
      </c>
      <c r="G91" s="112">
        <v>59.25</v>
      </c>
      <c r="H91" s="112">
        <v>18.29</v>
      </c>
      <c r="I91" s="112">
        <v>5.13</v>
      </c>
      <c r="J91" s="112">
        <v>0.13</v>
      </c>
      <c r="K91" s="112">
        <v>198.13</v>
      </c>
      <c r="L91" s="112">
        <v>34.86</v>
      </c>
      <c r="M91" s="112">
        <v>42.79</v>
      </c>
      <c r="N91" s="112">
        <v>0</v>
      </c>
      <c r="O91" s="112">
        <v>0</v>
      </c>
      <c r="P91" s="112">
        <v>0.7</v>
      </c>
      <c r="Q91" s="112">
        <v>5</v>
      </c>
    </row>
    <row r="92" spans="1:17" customFormat="1">
      <c r="A92" s="80">
        <v>45446.875</v>
      </c>
      <c r="B92" s="112">
        <v>7.16</v>
      </c>
      <c r="C92" s="112">
        <v>6.08</v>
      </c>
      <c r="D92" s="112">
        <v>13.93</v>
      </c>
      <c r="E92" s="112">
        <v>25.97</v>
      </c>
      <c r="F92" s="112">
        <v>46.16</v>
      </c>
      <c r="G92" s="112">
        <v>59.25</v>
      </c>
      <c r="H92" s="112">
        <v>18.29</v>
      </c>
      <c r="I92" s="112">
        <v>4.83</v>
      </c>
      <c r="J92" s="112">
        <v>0.25</v>
      </c>
      <c r="K92" s="112">
        <v>175.84</v>
      </c>
      <c r="L92" s="112">
        <v>34.700000000000003</v>
      </c>
      <c r="M92" s="112">
        <v>43.78</v>
      </c>
      <c r="N92" s="112">
        <v>0</v>
      </c>
      <c r="O92" s="112">
        <v>0</v>
      </c>
      <c r="P92" s="112">
        <v>0.7</v>
      </c>
      <c r="Q92" s="112">
        <v>4.9800000000000004</v>
      </c>
    </row>
    <row r="93" spans="1:17" customFormat="1">
      <c r="A93" s="80">
        <v>45446.885416666664</v>
      </c>
      <c r="B93" s="112">
        <v>7.18</v>
      </c>
      <c r="C93" s="112">
        <v>6.06</v>
      </c>
      <c r="D93" s="112">
        <v>13.93</v>
      </c>
      <c r="E93" s="112">
        <v>23.88</v>
      </c>
      <c r="F93" s="112">
        <v>46.29</v>
      </c>
      <c r="G93" s="112">
        <v>59.25</v>
      </c>
      <c r="H93" s="112">
        <v>18.29</v>
      </c>
      <c r="I93" s="112">
        <v>4.78</v>
      </c>
      <c r="J93" s="112">
        <v>0.12</v>
      </c>
      <c r="K93" s="112">
        <v>167.68</v>
      </c>
      <c r="L93" s="112">
        <v>34.090000000000003</v>
      </c>
      <c r="M93" s="112">
        <v>45.78</v>
      </c>
      <c r="N93" s="112">
        <v>0</v>
      </c>
      <c r="O93" s="112">
        <v>0</v>
      </c>
      <c r="P93" s="112">
        <v>0.7</v>
      </c>
      <c r="Q93" s="112">
        <v>4.9800000000000004</v>
      </c>
    </row>
    <row r="94" spans="1:17" customFormat="1">
      <c r="A94" s="80">
        <v>45446.895833333336</v>
      </c>
      <c r="B94" s="112">
        <v>7.19</v>
      </c>
      <c r="C94" s="112">
        <v>6.07</v>
      </c>
      <c r="D94" s="112">
        <v>13.95</v>
      </c>
      <c r="E94" s="112">
        <v>24.38</v>
      </c>
      <c r="F94" s="112">
        <v>49.94</v>
      </c>
      <c r="G94" s="112">
        <v>63.08</v>
      </c>
      <c r="H94" s="112">
        <v>17.190000000000001</v>
      </c>
      <c r="I94" s="112">
        <v>4.9400000000000004</v>
      </c>
      <c r="J94" s="112">
        <v>0.18</v>
      </c>
      <c r="K94" s="112">
        <v>175.1</v>
      </c>
      <c r="L94" s="112">
        <v>34.18</v>
      </c>
      <c r="M94" s="112">
        <v>45.44</v>
      </c>
      <c r="N94" s="112">
        <v>0</v>
      </c>
      <c r="O94" s="112">
        <v>0</v>
      </c>
      <c r="P94" s="112">
        <v>0.68</v>
      </c>
      <c r="Q94" s="112">
        <v>4.99</v>
      </c>
    </row>
    <row r="95" spans="1:17" customFormat="1">
      <c r="A95" s="80">
        <v>45446.90625</v>
      </c>
      <c r="B95" s="112">
        <v>7.22</v>
      </c>
      <c r="C95" s="112">
        <v>6.07</v>
      </c>
      <c r="D95" s="112">
        <v>13.97</v>
      </c>
      <c r="E95" s="112">
        <v>21.44</v>
      </c>
      <c r="F95" s="112">
        <v>41.27</v>
      </c>
      <c r="G95" s="112">
        <v>63.91</v>
      </c>
      <c r="H95" s="112">
        <v>17.190000000000001</v>
      </c>
      <c r="I95" s="112">
        <v>4.8499999999999996</v>
      </c>
      <c r="J95" s="112">
        <v>0.15</v>
      </c>
      <c r="K95" s="112">
        <v>218.3</v>
      </c>
      <c r="L95" s="112">
        <v>33.36</v>
      </c>
      <c r="M95" s="112">
        <v>48.26</v>
      </c>
      <c r="N95" s="112">
        <v>0</v>
      </c>
      <c r="O95" s="112">
        <v>0</v>
      </c>
      <c r="P95" s="112">
        <v>0.72</v>
      </c>
      <c r="Q95" s="112">
        <v>4.9800000000000004</v>
      </c>
    </row>
    <row r="96" spans="1:17" customFormat="1">
      <c r="A96" s="80">
        <v>45446.916666666664</v>
      </c>
      <c r="B96" s="112">
        <v>7.25</v>
      </c>
      <c r="C96" s="112">
        <v>6.04</v>
      </c>
      <c r="D96" s="112">
        <v>13.98</v>
      </c>
      <c r="E96" s="112">
        <v>16.309999999999999</v>
      </c>
      <c r="F96" s="112">
        <v>31.98</v>
      </c>
      <c r="G96" s="112">
        <v>63.91</v>
      </c>
      <c r="H96" s="112">
        <v>17.190000000000001</v>
      </c>
      <c r="I96" s="112">
        <v>4.8899999999999997</v>
      </c>
      <c r="J96" s="112">
        <v>0.24</v>
      </c>
      <c r="K96" s="112">
        <v>254.96</v>
      </c>
      <c r="L96" s="112">
        <v>33.450000000000003</v>
      </c>
      <c r="M96" s="112">
        <v>48.73</v>
      </c>
      <c r="N96" s="112">
        <v>0</v>
      </c>
      <c r="O96" s="112">
        <v>0</v>
      </c>
      <c r="P96" s="112">
        <v>0.64</v>
      </c>
      <c r="Q96" s="112">
        <v>5</v>
      </c>
    </row>
    <row r="97" spans="1:22" customFormat="1">
      <c r="A97" s="80">
        <v>45446.927083333336</v>
      </c>
      <c r="B97" s="112">
        <v>7.26</v>
      </c>
      <c r="C97" s="112">
        <v>6.02</v>
      </c>
      <c r="D97" s="112">
        <v>13.98</v>
      </c>
      <c r="E97" s="112">
        <v>11.89</v>
      </c>
      <c r="F97" s="112">
        <v>30.5</v>
      </c>
      <c r="G97" s="112">
        <v>63.91</v>
      </c>
      <c r="H97" s="112">
        <v>17.190000000000001</v>
      </c>
      <c r="I97" s="112">
        <v>5.33</v>
      </c>
      <c r="J97" s="112">
        <v>0.13</v>
      </c>
      <c r="K97" s="112">
        <v>247.4</v>
      </c>
      <c r="L97" s="112">
        <v>33.479999999999997</v>
      </c>
      <c r="M97" s="112">
        <v>49.2</v>
      </c>
      <c r="N97" s="112">
        <v>0</v>
      </c>
      <c r="O97" s="112">
        <v>0</v>
      </c>
      <c r="P97" s="112">
        <v>0.56999999999999995</v>
      </c>
      <c r="Q97" s="112">
        <v>4.99</v>
      </c>
    </row>
    <row r="98" spans="1:22" customFormat="1">
      <c r="A98" s="80">
        <v>45446.9375</v>
      </c>
      <c r="B98" s="112">
        <v>7.25</v>
      </c>
      <c r="C98" s="112">
        <v>6.03</v>
      </c>
      <c r="D98" s="112">
        <v>13.97</v>
      </c>
      <c r="E98" s="112">
        <v>10.89</v>
      </c>
      <c r="F98" s="112">
        <v>19.46</v>
      </c>
      <c r="G98" s="112">
        <v>56.69</v>
      </c>
      <c r="H98" s="112">
        <v>18.11</v>
      </c>
      <c r="I98" s="112">
        <v>5.0199999999999996</v>
      </c>
      <c r="J98" s="112">
        <v>0.7</v>
      </c>
      <c r="K98" s="112">
        <v>75.849999999999994</v>
      </c>
      <c r="L98" s="112">
        <v>33.5</v>
      </c>
      <c r="M98" s="112">
        <v>48.94</v>
      </c>
      <c r="N98" s="112">
        <v>0</v>
      </c>
      <c r="O98" s="112">
        <v>0</v>
      </c>
      <c r="P98" s="112">
        <v>0.57999999999999996</v>
      </c>
      <c r="Q98" s="112">
        <v>4.99</v>
      </c>
    </row>
    <row r="99" spans="1:22" customFormat="1">
      <c r="A99" s="80">
        <v>45446.947916666664</v>
      </c>
      <c r="B99" s="112">
        <v>7.26</v>
      </c>
      <c r="C99" s="112">
        <v>6.07</v>
      </c>
      <c r="D99" s="112">
        <v>14</v>
      </c>
      <c r="E99" s="112">
        <v>10.83</v>
      </c>
      <c r="F99" s="112">
        <v>26.21</v>
      </c>
      <c r="G99" s="112">
        <v>55.13</v>
      </c>
      <c r="H99" s="112">
        <v>18.11</v>
      </c>
      <c r="I99" s="112">
        <v>4.58</v>
      </c>
      <c r="J99" s="112">
        <v>0.1</v>
      </c>
      <c r="K99" s="112">
        <v>221.08</v>
      </c>
      <c r="L99" s="112">
        <v>33.450000000000003</v>
      </c>
      <c r="M99" s="112">
        <v>49.48</v>
      </c>
      <c r="N99" s="112">
        <v>0</v>
      </c>
      <c r="O99" s="112">
        <v>0</v>
      </c>
      <c r="P99" s="112">
        <v>0.57999999999999996</v>
      </c>
      <c r="Q99" s="112">
        <v>5.01</v>
      </c>
    </row>
    <row r="100" spans="1:22" customFormat="1">
      <c r="A100" s="80">
        <v>45446.958333333336</v>
      </c>
      <c r="B100" s="112">
        <v>7.25</v>
      </c>
      <c r="C100" s="112">
        <v>6.07</v>
      </c>
      <c r="D100" s="112">
        <v>13.99</v>
      </c>
      <c r="E100" s="112">
        <v>10.77</v>
      </c>
      <c r="F100" s="112">
        <v>20.399999999999999</v>
      </c>
      <c r="G100" s="112">
        <v>55.13</v>
      </c>
      <c r="H100" s="112">
        <v>18.11</v>
      </c>
      <c r="I100" s="112">
        <v>4.8</v>
      </c>
      <c r="J100" s="112">
        <v>0.21</v>
      </c>
      <c r="K100" s="112">
        <v>94.88</v>
      </c>
      <c r="L100" s="112">
        <v>33.369999999999997</v>
      </c>
      <c r="M100" s="112">
        <v>49.39</v>
      </c>
      <c r="N100" s="112">
        <v>0</v>
      </c>
      <c r="O100" s="112">
        <v>0</v>
      </c>
      <c r="P100" s="112">
        <v>0.56999999999999995</v>
      </c>
      <c r="Q100" s="112">
        <v>5.0199999999999996</v>
      </c>
    </row>
    <row r="101" spans="1:22" customFormat="1">
      <c r="A101" s="80">
        <v>45446.96875</v>
      </c>
      <c r="B101" s="112">
        <v>7.21</v>
      </c>
      <c r="C101" s="112">
        <v>6.1</v>
      </c>
      <c r="D101" s="112">
        <v>13.98</v>
      </c>
      <c r="E101" s="112">
        <v>10.65</v>
      </c>
      <c r="F101" s="112">
        <v>30.94</v>
      </c>
      <c r="G101" s="112">
        <v>55.13</v>
      </c>
      <c r="H101" s="112">
        <v>18.11</v>
      </c>
      <c r="I101" s="112">
        <v>4.8600000000000003</v>
      </c>
      <c r="J101" s="112">
        <v>0.15</v>
      </c>
      <c r="K101" s="112">
        <v>198.31</v>
      </c>
      <c r="L101" s="112">
        <v>33.130000000000003</v>
      </c>
      <c r="M101" s="112">
        <v>50.55</v>
      </c>
      <c r="N101" s="112">
        <v>0</v>
      </c>
      <c r="O101" s="112">
        <v>0</v>
      </c>
      <c r="P101" s="112">
        <v>0.55000000000000004</v>
      </c>
      <c r="Q101" s="112">
        <v>5</v>
      </c>
    </row>
    <row r="102" spans="1:22" customFormat="1">
      <c r="A102" s="80">
        <v>45446.979166666664</v>
      </c>
      <c r="B102" s="112">
        <v>7.22</v>
      </c>
      <c r="C102" s="112">
        <v>6.07</v>
      </c>
      <c r="D102" s="112">
        <v>13.97</v>
      </c>
      <c r="E102" s="112">
        <v>10.91</v>
      </c>
      <c r="F102" s="112">
        <v>19.420000000000002</v>
      </c>
      <c r="G102" s="112">
        <v>48.15</v>
      </c>
      <c r="H102" s="112">
        <v>20.440000000000001</v>
      </c>
      <c r="I102" s="112">
        <v>4.63</v>
      </c>
      <c r="J102" s="112">
        <v>0.05</v>
      </c>
      <c r="K102" s="112">
        <v>176.53</v>
      </c>
      <c r="L102" s="112">
        <v>33.01</v>
      </c>
      <c r="M102" s="112">
        <v>50.64</v>
      </c>
      <c r="N102" s="112">
        <v>0</v>
      </c>
      <c r="O102" s="112">
        <v>0</v>
      </c>
      <c r="P102" s="112">
        <v>0.56999999999999995</v>
      </c>
      <c r="Q102" s="112">
        <v>4.99</v>
      </c>
    </row>
    <row r="103" spans="1:22" customFormat="1">
      <c r="A103" s="80">
        <v>45446.989583333336</v>
      </c>
      <c r="B103" s="112">
        <v>7.23</v>
      </c>
      <c r="C103" s="112">
        <v>6.04</v>
      </c>
      <c r="D103" s="112">
        <v>13.96</v>
      </c>
      <c r="E103" s="112">
        <v>13.51</v>
      </c>
      <c r="F103" s="112">
        <v>16.149999999999999</v>
      </c>
      <c r="G103" s="112">
        <v>46.64</v>
      </c>
      <c r="H103" s="112">
        <v>20.440000000000001</v>
      </c>
      <c r="I103" s="112">
        <v>4.5199999999999996</v>
      </c>
      <c r="J103" s="112">
        <v>0.27</v>
      </c>
      <c r="K103" s="112">
        <v>119.53</v>
      </c>
      <c r="L103" s="112">
        <v>32.92</v>
      </c>
      <c r="M103" s="112">
        <v>49.43</v>
      </c>
      <c r="N103" s="112">
        <v>0</v>
      </c>
      <c r="O103" s="112">
        <v>0</v>
      </c>
      <c r="P103" s="112">
        <v>0.56000000000000005</v>
      </c>
      <c r="Q103" s="112">
        <v>5</v>
      </c>
    </row>
    <row r="104" spans="1:22" customFormat="1">
      <c r="A104" s="80">
        <v>45447</v>
      </c>
      <c r="B104" s="112">
        <v>7.22</v>
      </c>
      <c r="C104" s="112">
        <v>6.05</v>
      </c>
      <c r="D104" s="112">
        <v>13.96</v>
      </c>
      <c r="E104" s="112">
        <v>16.22</v>
      </c>
      <c r="F104" s="112">
        <v>15.48</v>
      </c>
      <c r="G104" s="112">
        <v>46.64</v>
      </c>
      <c r="H104" s="112">
        <v>20.440000000000001</v>
      </c>
      <c r="I104" s="112">
        <v>4.59</v>
      </c>
      <c r="J104" s="112">
        <v>0.14000000000000001</v>
      </c>
      <c r="K104" s="112">
        <v>197.83</v>
      </c>
      <c r="L104" s="112">
        <v>32.479999999999997</v>
      </c>
      <c r="M104" s="112">
        <v>49.82</v>
      </c>
      <c r="N104" s="112">
        <v>0</v>
      </c>
      <c r="O104" s="112">
        <v>0</v>
      </c>
      <c r="P104" s="112">
        <v>0.56999999999999995</v>
      </c>
      <c r="Q104" s="112">
        <v>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7.1</v>
      </c>
      <c r="C106" s="184">
        <f>MIN(C9:C104)</f>
        <v>5.97</v>
      </c>
      <c r="D106" s="184">
        <f t="shared" ref="D106:Q106" si="0">MIN(D9:D104)</f>
        <v>13.87</v>
      </c>
      <c r="E106" s="184">
        <f t="shared" si="0"/>
        <v>7.7</v>
      </c>
      <c r="F106" s="184">
        <f t="shared" si="0"/>
        <v>5.89</v>
      </c>
      <c r="G106" s="184">
        <f t="shared" si="0"/>
        <v>10.64</v>
      </c>
      <c r="H106" s="184">
        <f t="shared" si="0"/>
        <v>8.16</v>
      </c>
      <c r="I106" s="184">
        <f t="shared" si="0"/>
        <v>3.71</v>
      </c>
      <c r="J106" s="184">
        <f t="shared" si="0"/>
        <v>0.03</v>
      </c>
      <c r="K106" s="184">
        <f t="shared" si="0"/>
        <v>75.849999999999994</v>
      </c>
      <c r="L106" s="184">
        <f t="shared" si="0"/>
        <v>28.59</v>
      </c>
      <c r="M106" s="184">
        <f t="shared" si="0"/>
        <v>30.43</v>
      </c>
      <c r="N106" s="184">
        <f t="shared" si="0"/>
        <v>0</v>
      </c>
      <c r="O106" s="184">
        <f t="shared" si="0"/>
        <v>0</v>
      </c>
      <c r="P106" s="184">
        <f t="shared" si="0"/>
        <v>0.23</v>
      </c>
      <c r="Q106" s="184">
        <f t="shared" si="0"/>
        <v>4.97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7.35</v>
      </c>
      <c r="C107" s="185">
        <f t="shared" ref="C107:Q107" si="1">MAX(C9:C104)</f>
        <v>6.16</v>
      </c>
      <c r="D107" s="185">
        <f t="shared" si="1"/>
        <v>14.08</v>
      </c>
      <c r="E107" s="185">
        <f t="shared" si="1"/>
        <v>55.59</v>
      </c>
      <c r="F107" s="185">
        <f t="shared" si="1"/>
        <v>50.61</v>
      </c>
      <c r="G107" s="185">
        <f t="shared" si="1"/>
        <v>63.91</v>
      </c>
      <c r="H107" s="185">
        <f t="shared" si="1"/>
        <v>20.6</v>
      </c>
      <c r="I107" s="185">
        <f t="shared" si="1"/>
        <v>6.16</v>
      </c>
      <c r="J107" s="185">
        <f t="shared" si="1"/>
        <v>2.2799999999999998</v>
      </c>
      <c r="K107" s="185">
        <f t="shared" si="1"/>
        <v>343.76</v>
      </c>
      <c r="L107" s="185">
        <f t="shared" si="1"/>
        <v>40.21</v>
      </c>
      <c r="M107" s="185">
        <f t="shared" si="1"/>
        <v>73.36</v>
      </c>
      <c r="N107" s="185">
        <f t="shared" si="1"/>
        <v>663.9</v>
      </c>
      <c r="O107" s="185">
        <f t="shared" si="1"/>
        <v>0</v>
      </c>
      <c r="P107" s="185">
        <f t="shared" si="1"/>
        <v>0.85</v>
      </c>
      <c r="Q107" s="185">
        <f t="shared" si="1"/>
        <v>5.05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7.2065625000000031</v>
      </c>
      <c r="C108" s="184">
        <f t="shared" ref="C108:Q108" si="2">AVERAGE(C9:C104)</f>
        <v>6.0704166666666675</v>
      </c>
      <c r="D108" s="184">
        <f t="shared" si="2"/>
        <v>13.959791666666677</v>
      </c>
      <c r="E108" s="184">
        <f t="shared" si="2"/>
        <v>13.330000000000005</v>
      </c>
      <c r="F108" s="184">
        <f t="shared" si="2"/>
        <v>19.750312500000007</v>
      </c>
      <c r="G108" s="184">
        <f t="shared" si="2"/>
        <v>39.49531249999999</v>
      </c>
      <c r="H108" s="184">
        <f t="shared" si="2"/>
        <v>14.023333333333341</v>
      </c>
      <c r="I108" s="184">
        <f t="shared" si="2"/>
        <v>4.595416666666666</v>
      </c>
      <c r="J108" s="184">
        <f t="shared" si="2"/>
        <v>0.86427083333333288</v>
      </c>
      <c r="K108" s="184">
        <f t="shared" si="2"/>
        <v>245.02968750000002</v>
      </c>
      <c r="L108" s="184">
        <f t="shared" si="2"/>
        <v>34.212604166666658</v>
      </c>
      <c r="M108" s="184">
        <f t="shared" si="2"/>
        <v>47.987916666666671</v>
      </c>
      <c r="N108" s="184">
        <f t="shared" si="2"/>
        <v>144.64687499999999</v>
      </c>
      <c r="O108" s="184">
        <f t="shared" si="2"/>
        <v>0</v>
      </c>
      <c r="P108" s="184">
        <f t="shared" si="2"/>
        <v>0.42927083333333332</v>
      </c>
      <c r="Q108" s="184">
        <f t="shared" si="2"/>
        <v>4.9997916666666677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4.5902141332920088E-2</v>
      </c>
      <c r="C109" s="184">
        <f t="shared" ref="C109:Q109" si="3">STDEV(C9:C104)</f>
        <v>2.4705280350422743E-2</v>
      </c>
      <c r="D109" s="184">
        <f t="shared" si="3"/>
        <v>3.7891233999898868E-2</v>
      </c>
      <c r="E109" s="184">
        <f t="shared" si="3"/>
        <v>7.3269310010902089</v>
      </c>
      <c r="F109" s="184">
        <f t="shared" si="3"/>
        <v>13.460492401498144</v>
      </c>
      <c r="G109" s="184">
        <f t="shared" si="3"/>
        <v>14.699808445091001</v>
      </c>
      <c r="H109" s="184">
        <f t="shared" si="3"/>
        <v>3.3894792851647817</v>
      </c>
      <c r="I109" s="184">
        <f t="shared" si="3"/>
        <v>0.6920266448576905</v>
      </c>
      <c r="J109" s="184">
        <f t="shared" si="3"/>
        <v>0.62515470892229552</v>
      </c>
      <c r="K109" s="184">
        <f t="shared" si="3"/>
        <v>62.118544336032649</v>
      </c>
      <c r="L109" s="184">
        <f t="shared" si="3"/>
        <v>3.772632543042743</v>
      </c>
      <c r="M109" s="184">
        <f t="shared" si="3"/>
        <v>12.460085233861294</v>
      </c>
      <c r="N109" s="184">
        <f t="shared" si="3"/>
        <v>204.94745203440496</v>
      </c>
      <c r="O109" s="184">
        <f t="shared" si="3"/>
        <v>0</v>
      </c>
      <c r="P109" s="184">
        <f t="shared" si="3"/>
        <v>0.16865564288571244</v>
      </c>
      <c r="Q109" s="184">
        <f t="shared" si="3"/>
        <v>1.3531963460182508E-2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8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45447.010416666664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45447.010416666664</v>
      </c>
      <c r="B9" s="112">
        <v>7.23</v>
      </c>
      <c r="C9" s="112">
        <v>6.16</v>
      </c>
      <c r="D9" s="112">
        <v>14.02</v>
      </c>
      <c r="E9" s="112">
        <v>16.670000000000002</v>
      </c>
      <c r="F9" s="112">
        <v>16.239999999999998</v>
      </c>
      <c r="G9" s="112">
        <v>46.64</v>
      </c>
      <c r="H9" s="112">
        <v>20.440000000000001</v>
      </c>
      <c r="I9" s="112">
        <v>4.8600000000000003</v>
      </c>
      <c r="J9" s="112">
        <v>0.12</v>
      </c>
      <c r="K9" s="112">
        <v>194.28</v>
      </c>
      <c r="L9" s="112">
        <v>32.200000000000003</v>
      </c>
      <c r="M9" s="112">
        <v>50.91</v>
      </c>
      <c r="N9" s="112">
        <v>0</v>
      </c>
      <c r="O9" s="112">
        <v>0</v>
      </c>
      <c r="P9" s="112">
        <v>0.56999999999999995</v>
      </c>
      <c r="Q9" s="112">
        <v>5.0199999999999996</v>
      </c>
    </row>
    <row r="10" spans="1:21" customFormat="1">
      <c r="A10" s="80">
        <v>45447.020833333336</v>
      </c>
      <c r="B10" s="112">
        <v>7.25</v>
      </c>
      <c r="C10" s="112">
        <v>6.09</v>
      </c>
      <c r="D10" s="112">
        <v>14.01</v>
      </c>
      <c r="E10" s="112">
        <v>15.43</v>
      </c>
      <c r="F10" s="112">
        <v>16.62</v>
      </c>
      <c r="G10" s="112">
        <v>47.07</v>
      </c>
      <c r="H10" s="112">
        <v>14.13</v>
      </c>
      <c r="I10" s="112">
        <v>4.91</v>
      </c>
      <c r="J10" s="112">
        <v>0.1</v>
      </c>
      <c r="K10" s="112">
        <v>198.7</v>
      </c>
      <c r="L10" s="112">
        <v>31.67</v>
      </c>
      <c r="M10" s="112">
        <v>53.19</v>
      </c>
      <c r="N10" s="112">
        <v>0</v>
      </c>
      <c r="O10" s="112">
        <v>0</v>
      </c>
      <c r="P10" s="112">
        <v>0.56999999999999995</v>
      </c>
      <c r="Q10" s="112">
        <v>5.0199999999999996</v>
      </c>
    </row>
    <row r="11" spans="1:21" customFormat="1">
      <c r="A11" s="80">
        <v>45447.03125</v>
      </c>
      <c r="B11" s="112">
        <v>7.26</v>
      </c>
      <c r="C11" s="112">
        <v>6.07</v>
      </c>
      <c r="D11" s="112">
        <v>14.01</v>
      </c>
      <c r="E11" s="112">
        <v>13.11</v>
      </c>
      <c r="F11" s="112">
        <v>15.3</v>
      </c>
      <c r="G11" s="112">
        <v>47.16</v>
      </c>
      <c r="H11" s="112">
        <v>14.13</v>
      </c>
      <c r="I11" s="112">
        <v>4.9000000000000004</v>
      </c>
      <c r="J11" s="112">
        <v>0.13</v>
      </c>
      <c r="K11" s="112">
        <v>209.39</v>
      </c>
      <c r="L11" s="112">
        <v>31.69</v>
      </c>
      <c r="M11" s="112">
        <v>54.32</v>
      </c>
      <c r="N11" s="112">
        <v>0</v>
      </c>
      <c r="O11" s="112">
        <v>0</v>
      </c>
      <c r="P11" s="112">
        <v>0.56999999999999995</v>
      </c>
      <c r="Q11" s="112">
        <v>5.01</v>
      </c>
    </row>
    <row r="12" spans="1:21" customFormat="1">
      <c r="A12" s="80">
        <v>45447.041666666664</v>
      </c>
      <c r="B12" s="112">
        <v>7.27</v>
      </c>
      <c r="C12" s="112">
        <v>6.07</v>
      </c>
      <c r="D12" s="112">
        <v>14.01</v>
      </c>
      <c r="E12" s="112">
        <v>11.81</v>
      </c>
      <c r="F12" s="112">
        <v>18.93</v>
      </c>
      <c r="G12" s="112">
        <v>47.16</v>
      </c>
      <c r="H12" s="112">
        <v>14.13</v>
      </c>
      <c r="I12" s="112">
        <v>4.84</v>
      </c>
      <c r="J12" s="112">
        <v>0.25</v>
      </c>
      <c r="K12" s="112">
        <v>219.82</v>
      </c>
      <c r="L12" s="112">
        <v>31.54</v>
      </c>
      <c r="M12" s="112">
        <v>55.59</v>
      </c>
      <c r="N12" s="112">
        <v>0</v>
      </c>
      <c r="O12" s="112">
        <v>0</v>
      </c>
      <c r="P12" s="112">
        <v>0.55000000000000004</v>
      </c>
      <c r="Q12" s="112">
        <v>5</v>
      </c>
    </row>
    <row r="13" spans="1:21" customFormat="1">
      <c r="A13" s="80">
        <v>45447.052083333336</v>
      </c>
      <c r="B13" s="112">
        <v>7.25</v>
      </c>
      <c r="C13" s="112">
        <v>6.09</v>
      </c>
      <c r="D13" s="112">
        <v>14.01</v>
      </c>
      <c r="E13" s="112">
        <v>11.59</v>
      </c>
      <c r="F13" s="112">
        <v>18.46</v>
      </c>
      <c r="G13" s="112">
        <v>47.16</v>
      </c>
      <c r="H13" s="112">
        <v>14.13</v>
      </c>
      <c r="I13" s="112">
        <v>4.76</v>
      </c>
      <c r="J13" s="112">
        <v>0.19</v>
      </c>
      <c r="K13" s="112">
        <v>215.6</v>
      </c>
      <c r="L13" s="112">
        <v>31.46</v>
      </c>
      <c r="M13" s="112">
        <v>56.11</v>
      </c>
      <c r="N13" s="112">
        <v>0</v>
      </c>
      <c r="O13" s="112">
        <v>0</v>
      </c>
      <c r="P13" s="112">
        <v>0.55000000000000004</v>
      </c>
      <c r="Q13" s="112">
        <v>5</v>
      </c>
    </row>
    <row r="14" spans="1:21" customFormat="1">
      <c r="A14" s="80">
        <v>45447.0625</v>
      </c>
      <c r="B14" s="112">
        <v>7.26</v>
      </c>
      <c r="C14" s="112">
        <v>6.11</v>
      </c>
      <c r="D14" s="112">
        <v>14.02</v>
      </c>
      <c r="E14" s="112">
        <v>11.07</v>
      </c>
      <c r="F14" s="112">
        <v>15.95</v>
      </c>
      <c r="G14" s="112">
        <v>45.51</v>
      </c>
      <c r="H14" s="112">
        <v>18.72</v>
      </c>
      <c r="I14" s="112">
        <v>4.68</v>
      </c>
      <c r="J14" s="112">
        <v>0.22</v>
      </c>
      <c r="K14" s="112">
        <v>244.44</v>
      </c>
      <c r="L14" s="112">
        <v>31.24</v>
      </c>
      <c r="M14" s="112">
        <v>57.01</v>
      </c>
      <c r="N14" s="112">
        <v>0</v>
      </c>
      <c r="O14" s="112">
        <v>0</v>
      </c>
      <c r="P14" s="112">
        <v>0.55000000000000004</v>
      </c>
      <c r="Q14" s="112">
        <v>5.01</v>
      </c>
    </row>
    <row r="15" spans="1:21" customFormat="1">
      <c r="A15" s="80">
        <v>45447.072916666664</v>
      </c>
      <c r="B15" s="112">
        <v>7.27</v>
      </c>
      <c r="C15" s="112">
        <v>6.11</v>
      </c>
      <c r="D15" s="112">
        <v>14.03</v>
      </c>
      <c r="E15" s="112">
        <v>11.23</v>
      </c>
      <c r="F15" s="112">
        <v>13.85</v>
      </c>
      <c r="G15" s="112">
        <v>45.16</v>
      </c>
      <c r="H15" s="112">
        <v>18.72</v>
      </c>
      <c r="I15" s="112">
        <v>4.6500000000000004</v>
      </c>
      <c r="J15" s="112">
        <v>0.51</v>
      </c>
      <c r="K15" s="112">
        <v>252.01</v>
      </c>
      <c r="L15" s="112">
        <v>31.58</v>
      </c>
      <c r="M15" s="112">
        <v>55.14</v>
      </c>
      <c r="N15" s="112">
        <v>0</v>
      </c>
      <c r="O15" s="112">
        <v>0</v>
      </c>
      <c r="P15" s="112">
        <v>0.56000000000000005</v>
      </c>
      <c r="Q15" s="112">
        <v>5</v>
      </c>
    </row>
    <row r="16" spans="1:21" customFormat="1">
      <c r="A16" s="80">
        <v>45447.083333333336</v>
      </c>
      <c r="B16" s="112">
        <v>7.29</v>
      </c>
      <c r="C16" s="112">
        <v>6.06</v>
      </c>
      <c r="D16" s="112">
        <v>14.02</v>
      </c>
      <c r="E16" s="112">
        <v>10.62</v>
      </c>
      <c r="F16" s="112">
        <v>14.85</v>
      </c>
      <c r="G16" s="112">
        <v>45.16</v>
      </c>
      <c r="H16" s="112">
        <v>18.72</v>
      </c>
      <c r="I16" s="112">
        <v>4.62</v>
      </c>
      <c r="J16" s="112">
        <v>0.56000000000000005</v>
      </c>
      <c r="K16" s="112">
        <v>261.20999999999998</v>
      </c>
      <c r="L16" s="112">
        <v>31.65</v>
      </c>
      <c r="M16" s="112">
        <v>54.74</v>
      </c>
      <c r="N16" s="112">
        <v>0</v>
      </c>
      <c r="O16" s="112">
        <v>0</v>
      </c>
      <c r="P16" s="112">
        <v>0.55000000000000004</v>
      </c>
      <c r="Q16" s="112">
        <v>5</v>
      </c>
    </row>
    <row r="17" spans="1:17" customFormat="1">
      <c r="A17" s="80">
        <v>45447.09375</v>
      </c>
      <c r="B17" s="112">
        <v>7.27</v>
      </c>
      <c r="C17" s="112">
        <v>6.08</v>
      </c>
      <c r="D17" s="112">
        <v>14.01</v>
      </c>
      <c r="E17" s="112">
        <v>9.66</v>
      </c>
      <c r="F17" s="112">
        <v>12.46</v>
      </c>
      <c r="G17" s="112">
        <v>45.16</v>
      </c>
      <c r="H17" s="112">
        <v>18.72</v>
      </c>
      <c r="I17" s="112">
        <v>4.6900000000000004</v>
      </c>
      <c r="J17" s="112">
        <v>0.5</v>
      </c>
      <c r="K17" s="112">
        <v>249.87</v>
      </c>
      <c r="L17" s="112">
        <v>31.57</v>
      </c>
      <c r="M17" s="112">
        <v>55.05</v>
      </c>
      <c r="N17" s="112">
        <v>0</v>
      </c>
      <c r="O17" s="112">
        <v>0</v>
      </c>
      <c r="P17" s="112">
        <v>0.55000000000000004</v>
      </c>
      <c r="Q17" s="112">
        <v>5.01</v>
      </c>
    </row>
    <row r="18" spans="1:17" customFormat="1">
      <c r="A18" s="80">
        <v>45447.104166666664</v>
      </c>
      <c r="B18" s="112">
        <v>7.28</v>
      </c>
      <c r="C18" s="112">
        <v>6.07</v>
      </c>
      <c r="D18" s="112">
        <v>14.01</v>
      </c>
      <c r="E18" s="112">
        <v>11.17</v>
      </c>
      <c r="F18" s="112">
        <v>16.11</v>
      </c>
      <c r="G18" s="112">
        <v>41.71</v>
      </c>
      <c r="H18" s="112">
        <v>15.96</v>
      </c>
      <c r="I18" s="112">
        <v>4.67</v>
      </c>
      <c r="J18" s="112">
        <v>0.26</v>
      </c>
      <c r="K18" s="112">
        <v>234.5</v>
      </c>
      <c r="L18" s="112">
        <v>31.4</v>
      </c>
      <c r="M18" s="112">
        <v>55.99</v>
      </c>
      <c r="N18" s="112">
        <v>0</v>
      </c>
      <c r="O18" s="112">
        <v>0</v>
      </c>
      <c r="P18" s="112">
        <v>0.55000000000000004</v>
      </c>
      <c r="Q18" s="112">
        <v>5.01</v>
      </c>
    </row>
    <row r="19" spans="1:17" customFormat="1">
      <c r="A19" s="80">
        <v>45447.114583333336</v>
      </c>
      <c r="B19" s="112">
        <v>7.26</v>
      </c>
      <c r="C19" s="112">
        <v>6.09</v>
      </c>
      <c r="D19" s="112">
        <v>14.01</v>
      </c>
      <c r="E19" s="112">
        <v>11.01</v>
      </c>
      <c r="F19" s="112">
        <v>13.75</v>
      </c>
      <c r="G19" s="112">
        <v>40.97</v>
      </c>
      <c r="H19" s="112">
        <v>15.96</v>
      </c>
      <c r="I19" s="112">
        <v>4.59</v>
      </c>
      <c r="J19" s="112">
        <v>0.3</v>
      </c>
      <c r="K19" s="112">
        <v>233.55</v>
      </c>
      <c r="L19" s="112">
        <v>31.34</v>
      </c>
      <c r="M19" s="112">
        <v>56.65</v>
      </c>
      <c r="N19" s="112">
        <v>0</v>
      </c>
      <c r="O19" s="112">
        <v>0</v>
      </c>
      <c r="P19" s="112">
        <v>0.54</v>
      </c>
      <c r="Q19" s="112">
        <v>5.0199999999999996</v>
      </c>
    </row>
    <row r="20" spans="1:17" customFormat="1">
      <c r="A20" s="80">
        <v>45447.125</v>
      </c>
      <c r="B20" s="112">
        <v>7.26</v>
      </c>
      <c r="C20" s="112">
        <v>6.07</v>
      </c>
      <c r="D20" s="112">
        <v>14</v>
      </c>
      <c r="E20" s="112">
        <v>11.61</v>
      </c>
      <c r="F20" s="112">
        <v>23.21</v>
      </c>
      <c r="G20" s="112">
        <v>40.97</v>
      </c>
      <c r="H20" s="112">
        <v>15.96</v>
      </c>
      <c r="I20" s="112">
        <v>4.53</v>
      </c>
      <c r="J20" s="112">
        <v>0.25</v>
      </c>
      <c r="K20" s="112">
        <v>215.21</v>
      </c>
      <c r="L20" s="112">
        <v>31</v>
      </c>
      <c r="M20" s="112">
        <v>58.3</v>
      </c>
      <c r="N20" s="112">
        <v>0</v>
      </c>
      <c r="O20" s="112">
        <v>0</v>
      </c>
      <c r="P20" s="112">
        <v>0.56000000000000005</v>
      </c>
      <c r="Q20" s="112">
        <v>5</v>
      </c>
    </row>
    <row r="21" spans="1:17" customFormat="1">
      <c r="A21" s="80">
        <v>45447.135416666664</v>
      </c>
      <c r="B21" s="112">
        <v>7.3</v>
      </c>
      <c r="C21" s="112">
        <v>6.07</v>
      </c>
      <c r="D21" s="112">
        <v>14.04</v>
      </c>
      <c r="E21" s="112">
        <v>11.84</v>
      </c>
      <c r="F21" s="112">
        <v>23.63</v>
      </c>
      <c r="G21" s="112">
        <v>40.97</v>
      </c>
      <c r="H21" s="112">
        <v>15.96</v>
      </c>
      <c r="I21" s="112">
        <v>4.34</v>
      </c>
      <c r="J21" s="112">
        <v>0.17</v>
      </c>
      <c r="K21" s="112">
        <v>217.82</v>
      </c>
      <c r="L21" s="112">
        <v>30.63</v>
      </c>
      <c r="M21" s="112">
        <v>59.71</v>
      </c>
      <c r="N21" s="112">
        <v>0</v>
      </c>
      <c r="O21" s="112">
        <v>0</v>
      </c>
      <c r="P21" s="112">
        <v>0.56999999999999995</v>
      </c>
      <c r="Q21" s="112">
        <v>5</v>
      </c>
    </row>
    <row r="22" spans="1:17" customFormat="1">
      <c r="A22" s="80">
        <v>45447.145833333336</v>
      </c>
      <c r="B22" s="112">
        <v>7.27</v>
      </c>
      <c r="C22" s="112">
        <v>6.07</v>
      </c>
      <c r="D22" s="112">
        <v>14.01</v>
      </c>
      <c r="E22" s="112">
        <v>11.42</v>
      </c>
      <c r="F22" s="112">
        <v>22.1</v>
      </c>
      <c r="G22" s="112">
        <v>31.63</v>
      </c>
      <c r="H22" s="112">
        <v>14.82</v>
      </c>
      <c r="I22" s="112">
        <v>4.0999999999999996</v>
      </c>
      <c r="J22" s="112">
        <v>0.26</v>
      </c>
      <c r="K22" s="112">
        <v>229.35</v>
      </c>
      <c r="L22" s="112">
        <v>30.5</v>
      </c>
      <c r="M22" s="112">
        <v>60.19</v>
      </c>
      <c r="N22" s="112">
        <v>0</v>
      </c>
      <c r="O22" s="112">
        <v>0</v>
      </c>
      <c r="P22" s="112">
        <v>0.57999999999999996</v>
      </c>
      <c r="Q22" s="112">
        <v>5</v>
      </c>
    </row>
    <row r="23" spans="1:17" customFormat="1">
      <c r="A23" s="80">
        <v>45447.15625</v>
      </c>
      <c r="B23" s="112">
        <v>7.26</v>
      </c>
      <c r="C23" s="112">
        <v>6.07</v>
      </c>
      <c r="D23" s="112">
        <v>14</v>
      </c>
      <c r="E23" s="112">
        <v>11.38</v>
      </c>
      <c r="F23" s="112">
        <v>20.63</v>
      </c>
      <c r="G23" s="112">
        <v>29.62</v>
      </c>
      <c r="H23" s="112">
        <v>14.82</v>
      </c>
      <c r="I23" s="112">
        <v>4.04</v>
      </c>
      <c r="J23" s="112">
        <v>0.24</v>
      </c>
      <c r="K23" s="112">
        <v>229.73</v>
      </c>
      <c r="L23" s="112">
        <v>30.39</v>
      </c>
      <c r="M23" s="112">
        <v>60.65</v>
      </c>
      <c r="N23" s="112">
        <v>0</v>
      </c>
      <c r="O23" s="112">
        <v>0</v>
      </c>
      <c r="P23" s="112">
        <v>0.57999999999999996</v>
      </c>
      <c r="Q23" s="112">
        <v>4.99</v>
      </c>
    </row>
    <row r="24" spans="1:17" customFormat="1">
      <c r="A24" s="80">
        <v>45447.166666666664</v>
      </c>
      <c r="B24" s="112">
        <v>7.24</v>
      </c>
      <c r="C24" s="112">
        <v>6.1</v>
      </c>
      <c r="D24" s="112">
        <v>14</v>
      </c>
      <c r="E24" s="112">
        <v>10.83</v>
      </c>
      <c r="F24" s="112">
        <v>20.56</v>
      </c>
      <c r="G24" s="112">
        <v>29.62</v>
      </c>
      <c r="H24" s="112">
        <v>14.82</v>
      </c>
      <c r="I24" s="112">
        <v>4.1900000000000004</v>
      </c>
      <c r="J24" s="112">
        <v>0.3</v>
      </c>
      <c r="K24" s="112">
        <v>239.85</v>
      </c>
      <c r="L24" s="112">
        <v>30.43</v>
      </c>
      <c r="M24" s="112">
        <v>60.47</v>
      </c>
      <c r="N24" s="112">
        <v>0</v>
      </c>
      <c r="O24" s="112">
        <v>0</v>
      </c>
      <c r="P24" s="112">
        <v>0.56999999999999995</v>
      </c>
      <c r="Q24" s="112">
        <v>5</v>
      </c>
    </row>
    <row r="25" spans="1:17" customFormat="1">
      <c r="A25" s="80">
        <v>45447.177083333336</v>
      </c>
      <c r="B25" s="112">
        <v>7.27</v>
      </c>
      <c r="C25" s="112">
        <v>6.04</v>
      </c>
      <c r="D25" s="112">
        <v>13.99</v>
      </c>
      <c r="E25" s="112">
        <v>10.61</v>
      </c>
      <c r="F25" s="112">
        <v>23.39</v>
      </c>
      <c r="G25" s="112">
        <v>29.62</v>
      </c>
      <c r="H25" s="112">
        <v>14.82</v>
      </c>
      <c r="I25" s="112">
        <v>4.2300000000000004</v>
      </c>
      <c r="J25" s="112">
        <v>0.25</v>
      </c>
      <c r="K25" s="112">
        <v>246.56</v>
      </c>
      <c r="L25" s="112">
        <v>30.4</v>
      </c>
      <c r="M25" s="112">
        <v>60.83</v>
      </c>
      <c r="N25" s="112">
        <v>0</v>
      </c>
      <c r="O25" s="112">
        <v>0</v>
      </c>
      <c r="P25" s="112">
        <v>0.56999999999999995</v>
      </c>
      <c r="Q25" s="112">
        <v>5</v>
      </c>
    </row>
    <row r="26" spans="1:17" customFormat="1">
      <c r="A26" s="80">
        <v>45447.1875</v>
      </c>
      <c r="B26" s="112">
        <v>7.28</v>
      </c>
      <c r="C26" s="112">
        <v>6.07</v>
      </c>
      <c r="D26" s="112">
        <v>14.02</v>
      </c>
      <c r="E26" s="112">
        <v>10.75</v>
      </c>
      <c r="F26" s="112">
        <v>21.52</v>
      </c>
      <c r="G26" s="112">
        <v>30.7</v>
      </c>
      <c r="H26" s="112">
        <v>13.29</v>
      </c>
      <c r="I26" s="112">
        <v>4.12</v>
      </c>
      <c r="J26" s="112">
        <v>0.44</v>
      </c>
      <c r="K26" s="112">
        <v>249.66</v>
      </c>
      <c r="L26" s="112">
        <v>30.4</v>
      </c>
      <c r="M26" s="112">
        <v>61.17</v>
      </c>
      <c r="N26" s="112">
        <v>0</v>
      </c>
      <c r="O26" s="112">
        <v>0</v>
      </c>
      <c r="P26" s="112">
        <v>0.56999999999999995</v>
      </c>
      <c r="Q26" s="112">
        <v>5</v>
      </c>
    </row>
    <row r="27" spans="1:17" customFormat="1">
      <c r="A27" s="80">
        <v>45447.197916666664</v>
      </c>
      <c r="B27" s="112">
        <v>7.28</v>
      </c>
      <c r="C27" s="112">
        <v>6.07</v>
      </c>
      <c r="D27" s="112">
        <v>14.02</v>
      </c>
      <c r="E27" s="112">
        <v>10.72</v>
      </c>
      <c r="F27" s="112">
        <v>18.940000000000001</v>
      </c>
      <c r="G27" s="112">
        <v>30.94</v>
      </c>
      <c r="H27" s="112">
        <v>13.29</v>
      </c>
      <c r="I27" s="112">
        <v>4.03</v>
      </c>
      <c r="J27" s="112">
        <v>0.42</v>
      </c>
      <c r="K27" s="112">
        <v>252.75</v>
      </c>
      <c r="L27" s="112">
        <v>30.41</v>
      </c>
      <c r="M27" s="112">
        <v>61.36</v>
      </c>
      <c r="N27" s="112">
        <v>0</v>
      </c>
      <c r="O27" s="112">
        <v>0</v>
      </c>
      <c r="P27" s="112">
        <v>0.56000000000000005</v>
      </c>
      <c r="Q27" s="112">
        <v>5</v>
      </c>
    </row>
    <row r="28" spans="1:17" customFormat="1">
      <c r="A28" s="80">
        <v>45447.208333333336</v>
      </c>
      <c r="B28" s="112">
        <v>7.25</v>
      </c>
      <c r="C28" s="112">
        <v>6.09</v>
      </c>
      <c r="D28" s="112">
        <v>14</v>
      </c>
      <c r="E28" s="112">
        <v>10.3</v>
      </c>
      <c r="F28" s="112">
        <v>14.61</v>
      </c>
      <c r="G28" s="112">
        <v>30.94</v>
      </c>
      <c r="H28" s="112">
        <v>13.29</v>
      </c>
      <c r="I28" s="112">
        <v>4.1100000000000003</v>
      </c>
      <c r="J28" s="112">
        <v>0.66</v>
      </c>
      <c r="K28" s="112">
        <v>252.37</v>
      </c>
      <c r="L28" s="112">
        <v>30.35</v>
      </c>
      <c r="M28" s="112">
        <v>62.21</v>
      </c>
      <c r="N28" s="112">
        <v>0</v>
      </c>
      <c r="O28" s="112">
        <v>0</v>
      </c>
      <c r="P28" s="112">
        <v>0.56999999999999995</v>
      </c>
      <c r="Q28" s="112">
        <v>5.01</v>
      </c>
    </row>
    <row r="29" spans="1:17" customFormat="1">
      <c r="A29" s="80">
        <v>45447.21875</v>
      </c>
      <c r="B29" s="112">
        <v>7.23</v>
      </c>
      <c r="C29" s="112">
        <v>6.11</v>
      </c>
      <c r="D29" s="112">
        <v>14</v>
      </c>
      <c r="E29" s="112">
        <v>9.89</v>
      </c>
      <c r="F29" s="112">
        <v>14.3</v>
      </c>
      <c r="G29" s="112">
        <v>30.94</v>
      </c>
      <c r="H29" s="112">
        <v>13.29</v>
      </c>
      <c r="I29" s="112">
        <v>4.16</v>
      </c>
      <c r="J29" s="112">
        <v>0.61</v>
      </c>
      <c r="K29" s="112">
        <v>249.28</v>
      </c>
      <c r="L29" s="112">
        <v>30.46</v>
      </c>
      <c r="M29" s="112">
        <v>61.61</v>
      </c>
      <c r="N29" s="112">
        <v>0</v>
      </c>
      <c r="O29" s="112">
        <v>0</v>
      </c>
      <c r="P29" s="112">
        <v>0.57999999999999996</v>
      </c>
      <c r="Q29" s="112">
        <v>4.99</v>
      </c>
    </row>
    <row r="30" spans="1:17" customFormat="1">
      <c r="A30" s="80">
        <v>45447.229166666664</v>
      </c>
      <c r="B30" s="112">
        <v>7.24</v>
      </c>
      <c r="C30" s="112">
        <v>6.1</v>
      </c>
      <c r="D30" s="112">
        <v>14</v>
      </c>
      <c r="E30" s="112">
        <v>10.09</v>
      </c>
      <c r="F30" s="112">
        <v>20.420000000000002</v>
      </c>
      <c r="G30" s="112">
        <v>25.71</v>
      </c>
      <c r="H30" s="112">
        <v>11.34</v>
      </c>
      <c r="I30" s="112">
        <v>4.24</v>
      </c>
      <c r="J30" s="112">
        <v>0.52</v>
      </c>
      <c r="K30" s="112">
        <v>260.57</v>
      </c>
      <c r="L30" s="112">
        <v>30.4</v>
      </c>
      <c r="M30" s="112">
        <v>61.88</v>
      </c>
      <c r="N30" s="112">
        <v>2.6</v>
      </c>
      <c r="O30" s="112">
        <v>0</v>
      </c>
      <c r="P30" s="112">
        <v>0.55000000000000004</v>
      </c>
      <c r="Q30" s="112">
        <v>5.01</v>
      </c>
    </row>
    <row r="31" spans="1:17" customFormat="1">
      <c r="A31" s="80">
        <v>45447.239583333336</v>
      </c>
      <c r="B31" s="112">
        <v>7.24</v>
      </c>
      <c r="C31" s="112">
        <v>6.08</v>
      </c>
      <c r="D31" s="112">
        <v>13.99</v>
      </c>
      <c r="E31" s="112">
        <v>10.39</v>
      </c>
      <c r="F31" s="112">
        <v>13.67</v>
      </c>
      <c r="G31" s="112">
        <v>24.58</v>
      </c>
      <c r="H31" s="112">
        <v>11.34</v>
      </c>
      <c r="I31" s="112">
        <v>4.2</v>
      </c>
      <c r="J31" s="112">
        <v>0.66</v>
      </c>
      <c r="K31" s="112">
        <v>258.85000000000002</v>
      </c>
      <c r="L31" s="112">
        <v>30.54</v>
      </c>
      <c r="M31" s="112">
        <v>61.63</v>
      </c>
      <c r="N31" s="112">
        <v>11.1</v>
      </c>
      <c r="O31" s="112">
        <v>0</v>
      </c>
      <c r="P31" s="112">
        <v>0.55000000000000004</v>
      </c>
      <c r="Q31" s="112">
        <v>5.0199999999999996</v>
      </c>
    </row>
    <row r="32" spans="1:17" customFormat="1">
      <c r="A32" s="80">
        <v>45447.25</v>
      </c>
      <c r="B32" s="112">
        <v>7.27</v>
      </c>
      <c r="C32" s="112">
        <v>6.07</v>
      </c>
      <c r="D32" s="112">
        <v>14.01</v>
      </c>
      <c r="E32" s="112">
        <v>11.17</v>
      </c>
      <c r="F32" s="112">
        <v>11.39</v>
      </c>
      <c r="G32" s="112">
        <v>24.58</v>
      </c>
      <c r="H32" s="112">
        <v>11.34</v>
      </c>
      <c r="I32" s="112">
        <v>4.13</v>
      </c>
      <c r="J32" s="112">
        <v>0.84</v>
      </c>
      <c r="K32" s="112">
        <v>256.22000000000003</v>
      </c>
      <c r="L32" s="112">
        <v>30.52</v>
      </c>
      <c r="M32" s="112">
        <v>62.49</v>
      </c>
      <c r="N32" s="112">
        <v>21.7</v>
      </c>
      <c r="O32" s="112">
        <v>0</v>
      </c>
      <c r="P32" s="112">
        <v>0.56000000000000005</v>
      </c>
      <c r="Q32" s="112">
        <v>5.0199999999999996</v>
      </c>
    </row>
    <row r="33" spans="1:17" customFormat="1">
      <c r="A33" s="80">
        <v>45447.260416666664</v>
      </c>
      <c r="B33" s="112">
        <v>7.26</v>
      </c>
      <c r="C33" s="112">
        <v>6.08</v>
      </c>
      <c r="D33" s="112">
        <v>14.01</v>
      </c>
      <c r="E33" s="112">
        <v>11.38</v>
      </c>
      <c r="F33" s="112">
        <v>11.48</v>
      </c>
      <c r="G33" s="112">
        <v>24.58</v>
      </c>
      <c r="H33" s="112">
        <v>11.34</v>
      </c>
      <c r="I33" s="112">
        <v>4.22</v>
      </c>
      <c r="J33" s="112">
        <v>0.92</v>
      </c>
      <c r="K33" s="112">
        <v>262.2</v>
      </c>
      <c r="L33" s="112">
        <v>30.62</v>
      </c>
      <c r="M33" s="112">
        <v>63.02</v>
      </c>
      <c r="N33" s="112">
        <v>34.5</v>
      </c>
      <c r="O33" s="112">
        <v>0</v>
      </c>
      <c r="P33" s="112">
        <v>0.56000000000000005</v>
      </c>
      <c r="Q33" s="112">
        <v>5.01</v>
      </c>
    </row>
    <row r="34" spans="1:17" customFormat="1">
      <c r="A34" s="80">
        <v>45447.270833333336</v>
      </c>
      <c r="B34" s="112">
        <v>7.25</v>
      </c>
      <c r="C34" s="112">
        <v>6.08</v>
      </c>
      <c r="D34" s="112">
        <v>14</v>
      </c>
      <c r="E34" s="112">
        <v>11.86</v>
      </c>
      <c r="F34" s="112">
        <v>12.21</v>
      </c>
      <c r="G34" s="112">
        <v>26.05</v>
      </c>
      <c r="H34" s="112">
        <v>14.58</v>
      </c>
      <c r="I34" s="112">
        <v>4.3499999999999996</v>
      </c>
      <c r="J34" s="112">
        <v>1.03</v>
      </c>
      <c r="K34" s="112">
        <v>270.64</v>
      </c>
      <c r="L34" s="112">
        <v>30.7</v>
      </c>
      <c r="M34" s="112">
        <v>62.4</v>
      </c>
      <c r="N34" s="112">
        <v>50.6</v>
      </c>
      <c r="O34" s="112">
        <v>0</v>
      </c>
      <c r="P34" s="112">
        <v>0.55000000000000004</v>
      </c>
      <c r="Q34" s="112">
        <v>5</v>
      </c>
    </row>
    <row r="35" spans="1:17" customFormat="1">
      <c r="A35" s="80">
        <v>45447.28125</v>
      </c>
      <c r="B35" s="112">
        <v>7.26</v>
      </c>
      <c r="C35" s="112">
        <v>6.06</v>
      </c>
      <c r="D35" s="112">
        <v>13.99</v>
      </c>
      <c r="E35" s="112">
        <v>12.5</v>
      </c>
      <c r="F35" s="112">
        <v>13.5</v>
      </c>
      <c r="G35" s="112">
        <v>26.36</v>
      </c>
      <c r="H35" s="112">
        <v>14.58</v>
      </c>
      <c r="I35" s="112">
        <v>4.3</v>
      </c>
      <c r="J35" s="112">
        <v>0.81</v>
      </c>
      <c r="K35" s="112">
        <v>275.48</v>
      </c>
      <c r="L35" s="112">
        <v>30.9</v>
      </c>
      <c r="M35" s="112">
        <v>61.9</v>
      </c>
      <c r="N35" s="112">
        <v>74</v>
      </c>
      <c r="O35" s="112">
        <v>0</v>
      </c>
      <c r="P35" s="112">
        <v>0.57999999999999996</v>
      </c>
      <c r="Q35" s="112">
        <v>5</v>
      </c>
    </row>
    <row r="36" spans="1:17" customFormat="1">
      <c r="A36" s="80">
        <v>45447.291666666664</v>
      </c>
      <c r="B36" s="112">
        <v>7.26</v>
      </c>
      <c r="C36" s="112">
        <v>6.06</v>
      </c>
      <c r="D36" s="112">
        <v>14</v>
      </c>
      <c r="E36" s="112">
        <v>11.03</v>
      </c>
      <c r="F36" s="112">
        <v>8.1999999999999993</v>
      </c>
      <c r="G36" s="112">
        <v>26.36</v>
      </c>
      <c r="H36" s="112">
        <v>14.58</v>
      </c>
      <c r="I36" s="112">
        <v>4.3499999999999996</v>
      </c>
      <c r="J36" s="112">
        <v>1.41</v>
      </c>
      <c r="K36" s="112">
        <v>268.26</v>
      </c>
      <c r="L36" s="112">
        <v>31.32</v>
      </c>
      <c r="M36" s="112">
        <v>59.75</v>
      </c>
      <c r="N36" s="112">
        <v>123.2</v>
      </c>
      <c r="O36" s="112">
        <v>0</v>
      </c>
      <c r="P36" s="112">
        <v>0.56000000000000005</v>
      </c>
      <c r="Q36" s="112">
        <v>5</v>
      </c>
    </row>
    <row r="37" spans="1:17" customFormat="1">
      <c r="A37" s="80">
        <v>45447.302083333336</v>
      </c>
      <c r="B37" s="112">
        <v>7.29</v>
      </c>
      <c r="C37" s="112">
        <v>6.04</v>
      </c>
      <c r="D37" s="112">
        <v>14.01</v>
      </c>
      <c r="E37" s="112">
        <v>10.51</v>
      </c>
      <c r="F37" s="112">
        <v>8.9</v>
      </c>
      <c r="G37" s="112">
        <v>26.36</v>
      </c>
      <c r="H37" s="112">
        <v>14.58</v>
      </c>
      <c r="I37" s="112">
        <v>4.49</v>
      </c>
      <c r="J37" s="112">
        <v>1.46</v>
      </c>
      <c r="K37" s="112">
        <v>270.55</v>
      </c>
      <c r="L37" s="112">
        <v>31.67</v>
      </c>
      <c r="M37" s="112">
        <v>58.2</v>
      </c>
      <c r="N37" s="112">
        <v>137.6</v>
      </c>
      <c r="O37" s="112">
        <v>0</v>
      </c>
      <c r="P37" s="112">
        <v>0.56000000000000005</v>
      </c>
      <c r="Q37" s="112">
        <v>4.99</v>
      </c>
    </row>
    <row r="38" spans="1:17" customFormat="1">
      <c r="A38" s="80">
        <v>45447.3125</v>
      </c>
      <c r="B38" s="112">
        <v>7.28</v>
      </c>
      <c r="C38" s="112">
        <v>6.1</v>
      </c>
      <c r="D38" s="112">
        <v>14.03</v>
      </c>
      <c r="E38" s="112">
        <v>10.41</v>
      </c>
      <c r="F38" s="112">
        <v>10.07</v>
      </c>
      <c r="G38" s="112">
        <v>27.22</v>
      </c>
      <c r="H38" s="112">
        <v>13.11</v>
      </c>
      <c r="I38" s="112">
        <v>4.5</v>
      </c>
      <c r="J38" s="112">
        <v>1.41</v>
      </c>
      <c r="K38" s="112">
        <v>276.24</v>
      </c>
      <c r="L38" s="112">
        <v>31.9</v>
      </c>
      <c r="M38" s="112">
        <v>58.18</v>
      </c>
      <c r="N38" s="112">
        <v>144.9</v>
      </c>
      <c r="O38" s="112">
        <v>0</v>
      </c>
      <c r="P38" s="112">
        <v>0.54</v>
      </c>
      <c r="Q38" s="112">
        <v>5</v>
      </c>
    </row>
    <row r="39" spans="1:17" customFormat="1">
      <c r="A39" s="80">
        <v>45447.322916666664</v>
      </c>
      <c r="B39" s="112">
        <v>7.31</v>
      </c>
      <c r="C39" s="112">
        <v>6.08</v>
      </c>
      <c r="D39" s="112">
        <v>14.05</v>
      </c>
      <c r="E39" s="112">
        <v>9.4499999999999993</v>
      </c>
      <c r="F39" s="112">
        <v>8.5</v>
      </c>
      <c r="G39" s="112">
        <v>27.41</v>
      </c>
      <c r="H39" s="112">
        <v>13.11</v>
      </c>
      <c r="I39" s="112">
        <v>4.4400000000000004</v>
      </c>
      <c r="J39" s="112">
        <v>1.39</v>
      </c>
      <c r="K39" s="112">
        <v>270.91000000000003</v>
      </c>
      <c r="L39" s="112">
        <v>32.04</v>
      </c>
      <c r="M39" s="112">
        <v>58.38</v>
      </c>
      <c r="N39" s="112">
        <v>159.69999999999999</v>
      </c>
      <c r="O39" s="112">
        <v>0</v>
      </c>
      <c r="P39" s="112">
        <v>0.48</v>
      </c>
      <c r="Q39" s="112">
        <v>5</v>
      </c>
    </row>
    <row r="40" spans="1:17" customFormat="1">
      <c r="A40" s="80">
        <v>45447.333333333336</v>
      </c>
      <c r="B40" s="112">
        <v>7.3</v>
      </c>
      <c r="C40" s="112">
        <v>6.05</v>
      </c>
      <c r="D40" s="112">
        <v>14.03</v>
      </c>
      <c r="E40" s="112">
        <v>10.1</v>
      </c>
      <c r="F40" s="112">
        <v>9.33</v>
      </c>
      <c r="G40" s="112">
        <v>27.41</v>
      </c>
      <c r="H40" s="112">
        <v>13.11</v>
      </c>
      <c r="I40" s="112">
        <v>4.43</v>
      </c>
      <c r="J40" s="112">
        <v>1.35</v>
      </c>
      <c r="K40" s="112">
        <v>285.76</v>
      </c>
      <c r="L40" s="112">
        <v>32.380000000000003</v>
      </c>
      <c r="M40" s="112">
        <v>57.8</v>
      </c>
      <c r="N40" s="112">
        <v>149.80000000000001</v>
      </c>
      <c r="O40" s="112">
        <v>0</v>
      </c>
      <c r="P40" s="112">
        <v>0.48</v>
      </c>
      <c r="Q40" s="112">
        <v>5.01</v>
      </c>
    </row>
    <row r="41" spans="1:17" customFormat="1">
      <c r="A41" s="80">
        <v>45447.34375</v>
      </c>
      <c r="B41" s="112">
        <v>7.31</v>
      </c>
      <c r="C41" s="112">
        <v>6.05</v>
      </c>
      <c r="D41" s="112">
        <v>14.03</v>
      </c>
      <c r="E41" s="112">
        <v>11.13</v>
      </c>
      <c r="F41" s="112">
        <v>9.3699999999999992</v>
      </c>
      <c r="G41" s="112">
        <v>27.41</v>
      </c>
      <c r="H41" s="112">
        <v>13.11</v>
      </c>
      <c r="I41" s="112">
        <v>4.42</v>
      </c>
      <c r="J41" s="112">
        <v>1.24</v>
      </c>
      <c r="K41" s="112">
        <v>265.83</v>
      </c>
      <c r="L41" s="112">
        <v>32.51</v>
      </c>
      <c r="M41" s="112">
        <v>57.07</v>
      </c>
      <c r="N41" s="112">
        <v>140</v>
      </c>
      <c r="O41" s="112">
        <v>0</v>
      </c>
      <c r="P41" s="112">
        <v>0.49</v>
      </c>
      <c r="Q41" s="112">
        <v>5.0199999999999996</v>
      </c>
    </row>
    <row r="42" spans="1:17" customFormat="1">
      <c r="A42" s="80">
        <v>45447.354166666664</v>
      </c>
      <c r="B42" s="112">
        <v>7.3</v>
      </c>
      <c r="C42" s="112">
        <v>6.08</v>
      </c>
      <c r="D42" s="112">
        <v>14.04</v>
      </c>
      <c r="E42" s="112">
        <v>11.41</v>
      </c>
      <c r="F42" s="112">
        <v>8.7100000000000009</v>
      </c>
      <c r="G42" s="112">
        <v>28.85</v>
      </c>
      <c r="H42" s="112">
        <v>15.57</v>
      </c>
      <c r="I42" s="112">
        <v>4.5</v>
      </c>
      <c r="J42" s="112">
        <v>1.25</v>
      </c>
      <c r="K42" s="112">
        <v>291.01</v>
      </c>
      <c r="L42" s="112">
        <v>33.25</v>
      </c>
      <c r="M42" s="112">
        <v>54.74</v>
      </c>
      <c r="N42" s="112">
        <v>154.9</v>
      </c>
      <c r="O42" s="112">
        <v>0</v>
      </c>
      <c r="P42" s="112">
        <v>0.51</v>
      </c>
      <c r="Q42" s="112">
        <v>5.03</v>
      </c>
    </row>
    <row r="43" spans="1:17" customFormat="1">
      <c r="A43" s="80">
        <v>45447.364583333336</v>
      </c>
      <c r="B43" s="112">
        <v>7.28</v>
      </c>
      <c r="C43" s="112">
        <v>6.1</v>
      </c>
      <c r="D43" s="112">
        <v>14.04</v>
      </c>
      <c r="E43" s="112">
        <v>11.5</v>
      </c>
      <c r="F43" s="112">
        <v>9.83</v>
      </c>
      <c r="G43" s="112">
        <v>29.16</v>
      </c>
      <c r="H43" s="112">
        <v>15.57</v>
      </c>
      <c r="I43" s="112">
        <v>4.83</v>
      </c>
      <c r="J43" s="112">
        <v>1.1299999999999999</v>
      </c>
      <c r="K43" s="112">
        <v>281.08</v>
      </c>
      <c r="L43" s="112">
        <v>34.049999999999997</v>
      </c>
      <c r="M43" s="112">
        <v>52.21</v>
      </c>
      <c r="N43" s="112">
        <v>166</v>
      </c>
      <c r="O43" s="112">
        <v>0</v>
      </c>
      <c r="P43" s="112">
        <v>0.53</v>
      </c>
      <c r="Q43" s="112">
        <v>5.01</v>
      </c>
    </row>
    <row r="44" spans="1:17" customFormat="1">
      <c r="A44" s="80">
        <v>45447.375</v>
      </c>
      <c r="B44" s="112">
        <v>7.29</v>
      </c>
      <c r="C44" s="112">
        <v>6.08</v>
      </c>
      <c r="D44" s="112">
        <v>14.03</v>
      </c>
      <c r="E44" s="112">
        <v>12.44</v>
      </c>
      <c r="F44" s="112">
        <v>11.48</v>
      </c>
      <c r="G44" s="112">
        <v>29.16</v>
      </c>
      <c r="H44" s="112">
        <v>15.57</v>
      </c>
      <c r="I44" s="112">
        <v>5.32</v>
      </c>
      <c r="J44" s="112">
        <v>0.9</v>
      </c>
      <c r="K44" s="112">
        <v>262.58</v>
      </c>
      <c r="L44" s="112">
        <v>34.659999999999997</v>
      </c>
      <c r="M44" s="112">
        <v>50.1</v>
      </c>
      <c r="N44" s="112">
        <v>162.69999999999999</v>
      </c>
      <c r="O44" s="112">
        <v>0</v>
      </c>
      <c r="P44" s="112">
        <v>0.54</v>
      </c>
      <c r="Q44" s="112">
        <v>4.9800000000000004</v>
      </c>
    </row>
    <row r="45" spans="1:17" customFormat="1">
      <c r="A45" s="80">
        <v>45447.385416666664</v>
      </c>
      <c r="B45" s="112">
        <v>7.28</v>
      </c>
      <c r="C45" s="112">
        <v>6.09</v>
      </c>
      <c r="D45" s="112">
        <v>14.03</v>
      </c>
      <c r="E45" s="112">
        <v>12.53</v>
      </c>
      <c r="F45" s="112">
        <v>12.07</v>
      </c>
      <c r="G45" s="112">
        <v>29.16</v>
      </c>
      <c r="H45" s="112">
        <v>15.57</v>
      </c>
      <c r="I45" s="112">
        <v>5.67</v>
      </c>
      <c r="J45" s="112">
        <v>1.1599999999999999</v>
      </c>
      <c r="K45" s="112">
        <v>283.72000000000003</v>
      </c>
      <c r="L45" s="112">
        <v>34.72</v>
      </c>
      <c r="M45" s="112">
        <v>49.04</v>
      </c>
      <c r="N45" s="112">
        <v>160.5</v>
      </c>
      <c r="O45" s="112">
        <v>0</v>
      </c>
      <c r="P45" s="112">
        <v>0.56999999999999995</v>
      </c>
      <c r="Q45" s="112">
        <v>4.9800000000000004</v>
      </c>
    </row>
    <row r="46" spans="1:17" customFormat="1">
      <c r="A46" s="80">
        <v>45447.395833333336</v>
      </c>
      <c r="B46" s="112">
        <v>7.26</v>
      </c>
      <c r="C46" s="112">
        <v>6.06</v>
      </c>
      <c r="D46" s="112">
        <v>14</v>
      </c>
      <c r="E46" s="112">
        <v>13.58</v>
      </c>
      <c r="F46" s="112">
        <v>12.06</v>
      </c>
      <c r="G46" s="112">
        <v>31.82</v>
      </c>
      <c r="H46" s="112">
        <v>13.42</v>
      </c>
      <c r="I46" s="112">
        <v>5.86</v>
      </c>
      <c r="J46" s="112">
        <v>0.7</v>
      </c>
      <c r="K46" s="112">
        <v>282.49</v>
      </c>
      <c r="L46" s="112">
        <v>35.99</v>
      </c>
      <c r="M46" s="112">
        <v>45.18</v>
      </c>
      <c r="N46" s="112">
        <v>158.9</v>
      </c>
      <c r="O46" s="112">
        <v>0</v>
      </c>
      <c r="P46" s="112">
        <v>0.61</v>
      </c>
      <c r="Q46" s="112">
        <v>4.9800000000000004</v>
      </c>
    </row>
    <row r="47" spans="1:17" customFormat="1">
      <c r="A47" s="80">
        <v>45447.40625</v>
      </c>
      <c r="B47" s="112">
        <v>7.26</v>
      </c>
      <c r="C47" s="112">
        <v>6.04</v>
      </c>
      <c r="D47" s="112">
        <v>13.99</v>
      </c>
      <c r="E47" s="112">
        <v>13.69</v>
      </c>
      <c r="F47" s="112">
        <v>11.23</v>
      </c>
      <c r="G47" s="112">
        <v>32.4</v>
      </c>
      <c r="H47" s="112">
        <v>13.42</v>
      </c>
      <c r="I47" s="112">
        <v>6.26</v>
      </c>
      <c r="J47" s="112">
        <v>1.1399999999999999</v>
      </c>
      <c r="K47" s="112">
        <v>294.73</v>
      </c>
      <c r="L47" s="112">
        <v>36.08</v>
      </c>
      <c r="M47" s="112">
        <v>44.21</v>
      </c>
      <c r="N47" s="112">
        <v>165.3</v>
      </c>
      <c r="O47" s="112">
        <v>0</v>
      </c>
      <c r="P47" s="112">
        <v>0.62</v>
      </c>
      <c r="Q47" s="112">
        <v>5</v>
      </c>
    </row>
    <row r="48" spans="1:17" customFormat="1">
      <c r="A48" s="80">
        <v>45447.416666666664</v>
      </c>
      <c r="B48" s="112">
        <v>7.23</v>
      </c>
      <c r="C48" s="112">
        <v>6.09</v>
      </c>
      <c r="D48" s="112">
        <v>13.98</v>
      </c>
      <c r="E48" s="112">
        <v>12.92</v>
      </c>
      <c r="F48" s="112">
        <v>15.57</v>
      </c>
      <c r="G48" s="112">
        <v>32.4</v>
      </c>
      <c r="H48" s="112">
        <v>13.42</v>
      </c>
      <c r="I48" s="112">
        <v>6.75</v>
      </c>
      <c r="J48" s="112">
        <v>1.44</v>
      </c>
      <c r="K48" s="112">
        <v>305.97000000000003</v>
      </c>
      <c r="L48" s="112">
        <v>36.58</v>
      </c>
      <c r="M48" s="112">
        <v>40.99</v>
      </c>
      <c r="N48" s="112">
        <v>168.1</v>
      </c>
      <c r="O48" s="112">
        <v>0</v>
      </c>
      <c r="P48" s="112">
        <v>0.62</v>
      </c>
      <c r="Q48" s="112">
        <v>4.9800000000000004</v>
      </c>
    </row>
    <row r="49" spans="1:17" customFormat="1">
      <c r="A49" s="80">
        <v>45447.427083333336</v>
      </c>
      <c r="B49" s="112">
        <v>7.22</v>
      </c>
      <c r="C49" s="112">
        <v>6.08</v>
      </c>
      <c r="D49" s="112">
        <v>13.98</v>
      </c>
      <c r="E49" s="112">
        <v>9.8000000000000007</v>
      </c>
      <c r="F49" s="112">
        <v>18.420000000000002</v>
      </c>
      <c r="G49" s="112">
        <v>32.4</v>
      </c>
      <c r="H49" s="112">
        <v>13.42</v>
      </c>
      <c r="I49" s="112">
        <v>6.91</v>
      </c>
      <c r="J49" s="112">
        <v>0.94</v>
      </c>
      <c r="K49" s="112">
        <v>292.68</v>
      </c>
      <c r="L49" s="112">
        <v>37.25</v>
      </c>
      <c r="M49" s="112">
        <v>39.83</v>
      </c>
      <c r="N49" s="112">
        <v>173.3</v>
      </c>
      <c r="O49" s="112">
        <v>0</v>
      </c>
      <c r="P49" s="112">
        <v>0.6</v>
      </c>
      <c r="Q49" s="112">
        <v>4.99</v>
      </c>
    </row>
    <row r="50" spans="1:17" customFormat="1">
      <c r="A50" s="80">
        <v>45447.4375</v>
      </c>
      <c r="B50" s="112">
        <v>7.23</v>
      </c>
      <c r="C50" s="112">
        <v>6.08</v>
      </c>
      <c r="D50" s="112">
        <v>13.99</v>
      </c>
      <c r="E50" s="112">
        <v>10.68</v>
      </c>
      <c r="F50" s="112">
        <v>18.78</v>
      </c>
      <c r="G50" s="112">
        <v>35.159999999999997</v>
      </c>
      <c r="H50" s="112">
        <v>14.79</v>
      </c>
      <c r="I50" s="112">
        <v>6.78</v>
      </c>
      <c r="J50" s="112">
        <v>0.98</v>
      </c>
      <c r="K50" s="112">
        <v>290.67</v>
      </c>
      <c r="L50" s="112">
        <v>37.6</v>
      </c>
      <c r="M50" s="112">
        <v>38.729999999999997</v>
      </c>
      <c r="N50" s="112">
        <v>183.4</v>
      </c>
      <c r="O50" s="112">
        <v>0</v>
      </c>
      <c r="P50" s="112">
        <v>0.61</v>
      </c>
      <c r="Q50" s="112">
        <v>5</v>
      </c>
    </row>
    <row r="51" spans="1:17" customFormat="1">
      <c r="A51" s="80">
        <v>45447.447916666664</v>
      </c>
      <c r="B51" s="112">
        <v>7.22</v>
      </c>
      <c r="C51" s="112">
        <v>6.07</v>
      </c>
      <c r="D51" s="112">
        <v>13.97</v>
      </c>
      <c r="E51" s="112">
        <v>11.77</v>
      </c>
      <c r="F51" s="112">
        <v>25.88</v>
      </c>
      <c r="G51" s="112">
        <v>35.75</v>
      </c>
      <c r="H51" s="112">
        <v>14.79</v>
      </c>
      <c r="I51" s="112">
        <v>6.67</v>
      </c>
      <c r="J51" s="112">
        <v>0.97</v>
      </c>
      <c r="K51" s="112">
        <v>319.81</v>
      </c>
      <c r="L51" s="112">
        <v>38.19</v>
      </c>
      <c r="M51" s="112">
        <v>35.71</v>
      </c>
      <c r="N51" s="112">
        <v>193.2</v>
      </c>
      <c r="O51" s="112">
        <v>0</v>
      </c>
      <c r="P51" s="112">
        <v>0.6</v>
      </c>
      <c r="Q51" s="112">
        <v>5.0199999999999996</v>
      </c>
    </row>
    <row r="52" spans="1:17" customFormat="1">
      <c r="A52" s="80">
        <v>45447.458333333336</v>
      </c>
      <c r="B52" s="112">
        <v>7.21</v>
      </c>
      <c r="C52" s="112">
        <v>6.06</v>
      </c>
      <c r="D52" s="112">
        <v>13.95</v>
      </c>
      <c r="E52" s="112">
        <v>11.25</v>
      </c>
      <c r="F52" s="112">
        <v>19.46</v>
      </c>
      <c r="G52" s="112">
        <v>35.75</v>
      </c>
      <c r="H52" s="112">
        <v>14.79</v>
      </c>
      <c r="I52" s="112">
        <v>6.47</v>
      </c>
      <c r="J52" s="112">
        <v>1.37</v>
      </c>
      <c r="K52" s="112">
        <v>311.08999999999997</v>
      </c>
      <c r="L52" s="112">
        <v>38.6</v>
      </c>
      <c r="M52" s="112">
        <v>34.19</v>
      </c>
      <c r="N52" s="112">
        <v>201.4</v>
      </c>
      <c r="O52" s="112">
        <v>0</v>
      </c>
      <c r="P52" s="112">
        <v>0.59</v>
      </c>
      <c r="Q52" s="112">
        <v>4.9800000000000004</v>
      </c>
    </row>
    <row r="53" spans="1:17" customFormat="1">
      <c r="A53" s="80">
        <v>45447.46875</v>
      </c>
      <c r="B53" s="112">
        <v>7.19</v>
      </c>
      <c r="C53" s="112">
        <v>6.05</v>
      </c>
      <c r="D53" s="112">
        <v>13.93</v>
      </c>
      <c r="E53" s="112">
        <v>11.14</v>
      </c>
      <c r="F53" s="112">
        <v>19.96</v>
      </c>
      <c r="G53" s="112">
        <v>35.75</v>
      </c>
      <c r="H53" s="112">
        <v>14.79</v>
      </c>
      <c r="I53" s="112">
        <v>6.2</v>
      </c>
      <c r="J53" s="112">
        <v>1.37</v>
      </c>
      <c r="K53" s="112">
        <v>321.62</v>
      </c>
      <c r="L53" s="112">
        <v>38.47</v>
      </c>
      <c r="M53" s="112">
        <v>34.01</v>
      </c>
      <c r="N53" s="112">
        <v>213.5</v>
      </c>
      <c r="O53" s="112">
        <v>0</v>
      </c>
      <c r="P53" s="112">
        <v>0.6</v>
      </c>
      <c r="Q53" s="112">
        <v>4.93</v>
      </c>
    </row>
    <row r="54" spans="1:17" customFormat="1">
      <c r="A54" s="80">
        <v>45447.479166666664</v>
      </c>
      <c r="B54" s="112">
        <v>7.18</v>
      </c>
      <c r="C54" s="112">
        <v>6.09</v>
      </c>
      <c r="D54" s="112">
        <v>13.95</v>
      </c>
      <c r="E54" s="112">
        <v>12.58</v>
      </c>
      <c r="F54" s="112">
        <v>30.22</v>
      </c>
      <c r="G54" s="112">
        <v>40.53</v>
      </c>
      <c r="H54" s="112">
        <v>16.66</v>
      </c>
      <c r="I54" s="112">
        <v>6.22</v>
      </c>
      <c r="J54" s="112">
        <v>1.39</v>
      </c>
      <c r="K54" s="112">
        <v>332.95</v>
      </c>
      <c r="L54" s="112">
        <v>38.880000000000003</v>
      </c>
      <c r="M54" s="112">
        <v>33.17</v>
      </c>
      <c r="N54" s="112">
        <v>253.3</v>
      </c>
      <c r="O54" s="112">
        <v>0</v>
      </c>
      <c r="P54" s="112">
        <v>0.56999999999999995</v>
      </c>
      <c r="Q54" s="112">
        <v>5.0199999999999996</v>
      </c>
    </row>
    <row r="55" spans="1:17" customFormat="1">
      <c r="A55" s="80">
        <v>45447.489583333336</v>
      </c>
      <c r="B55" s="112">
        <v>7.17</v>
      </c>
      <c r="C55" s="112">
        <v>6.07</v>
      </c>
      <c r="D55" s="112">
        <v>13.93</v>
      </c>
      <c r="E55" s="112">
        <v>12.42</v>
      </c>
      <c r="F55" s="112">
        <v>23.32</v>
      </c>
      <c r="G55" s="112">
        <v>41.57</v>
      </c>
      <c r="H55" s="112">
        <v>16.66</v>
      </c>
      <c r="I55" s="112">
        <v>5.96</v>
      </c>
      <c r="J55" s="112">
        <v>0.93</v>
      </c>
      <c r="K55" s="112">
        <v>329.79</v>
      </c>
      <c r="L55" s="112">
        <v>39.18</v>
      </c>
      <c r="M55" s="112">
        <v>32.659999999999997</v>
      </c>
      <c r="N55" s="112">
        <v>421.6</v>
      </c>
      <c r="O55" s="112">
        <v>0</v>
      </c>
      <c r="P55" s="112">
        <v>0.56999999999999995</v>
      </c>
      <c r="Q55" s="112">
        <v>5</v>
      </c>
    </row>
    <row r="56" spans="1:17" customFormat="1">
      <c r="A56" s="80">
        <v>45447.5</v>
      </c>
      <c r="B56" s="112">
        <v>7.15</v>
      </c>
      <c r="C56" s="112">
        <v>6.09</v>
      </c>
      <c r="D56" s="112">
        <v>13.92</v>
      </c>
      <c r="E56" s="112">
        <v>12.57</v>
      </c>
      <c r="F56" s="112">
        <v>20.38</v>
      </c>
      <c r="G56" s="112">
        <v>41.57</v>
      </c>
      <c r="H56" s="112">
        <v>16.66</v>
      </c>
      <c r="I56" s="112">
        <v>5.7</v>
      </c>
      <c r="J56" s="112">
        <v>0.69</v>
      </c>
      <c r="K56" s="112">
        <v>305.99</v>
      </c>
      <c r="L56" s="112">
        <v>39.96</v>
      </c>
      <c r="M56" s="112">
        <v>31.02</v>
      </c>
      <c r="N56" s="112">
        <v>673.2</v>
      </c>
      <c r="O56" s="112">
        <v>0</v>
      </c>
      <c r="P56" s="112">
        <v>0.57999999999999996</v>
      </c>
      <c r="Q56" s="112">
        <v>5.01</v>
      </c>
    </row>
    <row r="57" spans="1:17" customFormat="1">
      <c r="A57" s="80">
        <v>45447.510416666664</v>
      </c>
      <c r="B57" s="112">
        <v>7.15</v>
      </c>
      <c r="C57" s="112">
        <v>6.08</v>
      </c>
      <c r="D57" s="112">
        <v>13.93</v>
      </c>
      <c r="E57" s="112">
        <v>13.11</v>
      </c>
      <c r="F57" s="112">
        <v>34.42</v>
      </c>
      <c r="G57" s="112">
        <v>41.57</v>
      </c>
      <c r="H57" s="112">
        <v>16.66</v>
      </c>
      <c r="I57" s="112">
        <v>5.61</v>
      </c>
      <c r="J57" s="112">
        <v>0.76</v>
      </c>
      <c r="K57" s="112">
        <v>313.33999999999997</v>
      </c>
      <c r="L57" s="112">
        <v>40.32</v>
      </c>
      <c r="M57" s="112">
        <v>30.65</v>
      </c>
      <c r="N57" s="112">
        <v>724.7</v>
      </c>
      <c r="O57" s="112">
        <v>0</v>
      </c>
      <c r="P57" s="112">
        <v>0.55000000000000004</v>
      </c>
      <c r="Q57" s="112">
        <v>4.99</v>
      </c>
    </row>
    <row r="58" spans="1:17" customFormat="1">
      <c r="A58" s="80">
        <v>45447.520833333336</v>
      </c>
      <c r="B58" s="112">
        <v>7.19</v>
      </c>
      <c r="C58" s="112">
        <v>6.06</v>
      </c>
      <c r="D58" s="112">
        <v>13.94</v>
      </c>
      <c r="E58" s="112">
        <v>17.12</v>
      </c>
      <c r="F58" s="112">
        <v>58.32</v>
      </c>
      <c r="G58" s="112">
        <v>46.77</v>
      </c>
      <c r="H58" s="112">
        <v>19.16</v>
      </c>
      <c r="I58" s="112">
        <v>5.45</v>
      </c>
      <c r="J58" s="112">
        <v>0.52</v>
      </c>
      <c r="K58" s="112">
        <v>292.12</v>
      </c>
      <c r="L58" s="112">
        <v>40.659999999999997</v>
      </c>
      <c r="M58" s="112">
        <v>29.59</v>
      </c>
      <c r="N58" s="112">
        <v>752.1</v>
      </c>
      <c r="O58" s="112">
        <v>0</v>
      </c>
      <c r="P58" s="112">
        <v>0.57999999999999996</v>
      </c>
      <c r="Q58" s="112">
        <v>2.93</v>
      </c>
    </row>
    <row r="59" spans="1:17" customFormat="1">
      <c r="A59" s="80">
        <v>45447.53125</v>
      </c>
      <c r="B59" s="112">
        <v>7.27</v>
      </c>
      <c r="C59" s="112">
        <v>6.06</v>
      </c>
      <c r="D59" s="112">
        <v>14.01</v>
      </c>
      <c r="E59" s="112">
        <v>20.32</v>
      </c>
      <c r="F59" s="112">
        <v>65.67</v>
      </c>
      <c r="G59" s="112">
        <v>47.89</v>
      </c>
      <c r="H59" s="112">
        <v>19.16</v>
      </c>
      <c r="I59" s="112">
        <v>5.0999999999999996</v>
      </c>
      <c r="J59" s="112">
        <v>0.86</v>
      </c>
      <c r="K59" s="112">
        <v>326</v>
      </c>
      <c r="L59" s="112">
        <v>40.700000000000003</v>
      </c>
      <c r="M59" s="112">
        <v>29.41</v>
      </c>
      <c r="N59" s="112">
        <v>742.9</v>
      </c>
      <c r="O59" s="112">
        <v>0</v>
      </c>
      <c r="P59" s="112">
        <v>0.6</v>
      </c>
      <c r="Q59" s="112">
        <v>0</v>
      </c>
    </row>
    <row r="60" spans="1:17" customFormat="1">
      <c r="A60" s="80">
        <v>45447.541666666664</v>
      </c>
      <c r="B60" s="112">
        <v>7.3</v>
      </c>
      <c r="C60" s="112">
        <v>6.06</v>
      </c>
      <c r="D60" s="112">
        <v>14.02</v>
      </c>
      <c r="E60" s="112">
        <v>18.96</v>
      </c>
      <c r="F60" s="112">
        <v>67.84</v>
      </c>
      <c r="G60" s="112">
        <v>47.89</v>
      </c>
      <c r="H60" s="112">
        <v>19.16</v>
      </c>
      <c r="I60" s="112">
        <v>4.55</v>
      </c>
      <c r="J60" s="112">
        <v>0.97</v>
      </c>
      <c r="K60" s="112">
        <v>285.25</v>
      </c>
      <c r="L60" s="112">
        <v>41.14</v>
      </c>
      <c r="M60" s="112">
        <v>28.69</v>
      </c>
      <c r="N60" s="112">
        <v>628.29999999999995</v>
      </c>
      <c r="O60" s="112">
        <v>0</v>
      </c>
      <c r="P60" s="112">
        <v>0.6</v>
      </c>
      <c r="Q60" s="112">
        <v>0</v>
      </c>
    </row>
    <row r="61" spans="1:17" customFormat="1">
      <c r="A61" s="80">
        <v>45447.552083333336</v>
      </c>
      <c r="B61" s="112">
        <v>7.33</v>
      </c>
      <c r="C61" s="112">
        <v>6.08</v>
      </c>
      <c r="D61" s="112">
        <v>14.06</v>
      </c>
      <c r="E61" s="112">
        <v>16.87</v>
      </c>
      <c r="F61" s="112">
        <v>55.01</v>
      </c>
      <c r="G61" s="112">
        <v>47.89</v>
      </c>
      <c r="H61" s="112">
        <v>19.16</v>
      </c>
      <c r="I61" s="112">
        <v>4.09</v>
      </c>
      <c r="J61" s="112">
        <v>0.56000000000000005</v>
      </c>
      <c r="K61" s="112">
        <v>258.33999999999997</v>
      </c>
      <c r="L61" s="112">
        <v>41.36</v>
      </c>
      <c r="M61" s="112">
        <v>27.93</v>
      </c>
      <c r="N61" s="112">
        <v>686.4</v>
      </c>
      <c r="O61" s="112">
        <v>0</v>
      </c>
      <c r="P61" s="112">
        <v>0.59</v>
      </c>
      <c r="Q61" s="112">
        <v>0</v>
      </c>
    </row>
    <row r="62" spans="1:17" customFormat="1">
      <c r="A62" s="80">
        <v>45447.5625</v>
      </c>
      <c r="B62" s="112">
        <v>7.24</v>
      </c>
      <c r="C62" s="112">
        <v>6.09</v>
      </c>
      <c r="D62" s="112">
        <v>14</v>
      </c>
      <c r="E62" s="112">
        <v>14.54</v>
      </c>
      <c r="F62" s="112">
        <v>60.07</v>
      </c>
      <c r="G62" s="112">
        <v>49.05</v>
      </c>
      <c r="H62" s="112">
        <v>17.760000000000002</v>
      </c>
      <c r="I62" s="112">
        <v>3.84</v>
      </c>
      <c r="J62" s="112">
        <v>0.97</v>
      </c>
      <c r="K62" s="112">
        <v>281.76</v>
      </c>
      <c r="L62" s="112">
        <v>41.56</v>
      </c>
      <c r="M62" s="112">
        <v>27.52</v>
      </c>
      <c r="N62" s="112">
        <v>407.7</v>
      </c>
      <c r="O62" s="112">
        <v>0</v>
      </c>
      <c r="P62" s="112">
        <v>0.59</v>
      </c>
      <c r="Q62" s="112">
        <v>0</v>
      </c>
    </row>
    <row r="63" spans="1:17" customFormat="1">
      <c r="A63" s="80">
        <v>45447.572916666664</v>
      </c>
      <c r="B63" s="112">
        <v>7.25</v>
      </c>
      <c r="C63" s="112">
        <v>6.05</v>
      </c>
      <c r="D63" s="112">
        <v>13.99</v>
      </c>
      <c r="E63" s="112">
        <v>12.88</v>
      </c>
      <c r="F63" s="112">
        <v>53.03</v>
      </c>
      <c r="G63" s="112">
        <v>49.31</v>
      </c>
      <c r="H63" s="112">
        <v>17.760000000000002</v>
      </c>
      <c r="I63" s="112">
        <v>3.62</v>
      </c>
      <c r="J63" s="112">
        <v>0.82</v>
      </c>
      <c r="K63" s="112">
        <v>259.41000000000003</v>
      </c>
      <c r="L63" s="112">
        <v>42.26</v>
      </c>
      <c r="M63" s="112">
        <v>26.61</v>
      </c>
      <c r="N63" s="112">
        <v>362.4</v>
      </c>
      <c r="O63" s="112">
        <v>0</v>
      </c>
      <c r="P63" s="112">
        <v>0.57999999999999996</v>
      </c>
      <c r="Q63" s="112">
        <v>4.96</v>
      </c>
    </row>
    <row r="64" spans="1:17" customFormat="1">
      <c r="A64" s="80">
        <v>45447.583333333336</v>
      </c>
      <c r="B64" s="112">
        <v>7.28</v>
      </c>
      <c r="C64" s="112">
        <v>6.08</v>
      </c>
      <c r="D64" s="112">
        <v>14.02</v>
      </c>
      <c r="E64" s="112">
        <v>13.85</v>
      </c>
      <c r="F64" s="112">
        <v>59.05</v>
      </c>
      <c r="G64" s="112">
        <v>49.31</v>
      </c>
      <c r="H64" s="112">
        <v>17.760000000000002</v>
      </c>
      <c r="I64" s="112">
        <v>3.42</v>
      </c>
      <c r="J64" s="112">
        <v>1.36</v>
      </c>
      <c r="K64" s="112">
        <v>294.94</v>
      </c>
      <c r="L64" s="112">
        <v>41.7</v>
      </c>
      <c r="M64" s="112">
        <v>27.13</v>
      </c>
      <c r="N64" s="112">
        <v>431.2</v>
      </c>
      <c r="O64" s="112">
        <v>0</v>
      </c>
      <c r="P64" s="112">
        <v>0.59</v>
      </c>
      <c r="Q64" s="112">
        <v>4.93</v>
      </c>
    </row>
    <row r="65" spans="1:17" customFormat="1">
      <c r="A65" s="80">
        <v>45447.59375</v>
      </c>
      <c r="B65" s="112">
        <v>7.32</v>
      </c>
      <c r="C65" s="112">
        <v>6.09</v>
      </c>
      <c r="D65" s="112">
        <v>14.06</v>
      </c>
      <c r="E65" s="112">
        <v>13.33</v>
      </c>
      <c r="F65" s="112">
        <v>50.78</v>
      </c>
      <c r="G65" s="112">
        <v>49.31</v>
      </c>
      <c r="H65" s="112">
        <v>17.760000000000002</v>
      </c>
      <c r="I65" s="112">
        <v>3.29</v>
      </c>
      <c r="J65" s="112">
        <v>0.96</v>
      </c>
      <c r="K65" s="112">
        <v>266.38</v>
      </c>
      <c r="L65" s="112">
        <v>40.770000000000003</v>
      </c>
      <c r="M65" s="112">
        <v>29.18</v>
      </c>
      <c r="N65" s="112">
        <v>264.2</v>
      </c>
      <c r="O65" s="112">
        <v>0</v>
      </c>
      <c r="P65" s="112">
        <v>0.39</v>
      </c>
      <c r="Q65" s="112">
        <v>4.91</v>
      </c>
    </row>
    <row r="66" spans="1:17" customFormat="1">
      <c r="A66" s="80">
        <v>45447.604166666664</v>
      </c>
      <c r="B66" s="112">
        <v>7.39</v>
      </c>
      <c r="C66" s="112">
        <v>6.08</v>
      </c>
      <c r="D66" s="112">
        <v>14.12</v>
      </c>
      <c r="E66" s="112">
        <v>13.9</v>
      </c>
      <c r="F66" s="112">
        <v>56.34</v>
      </c>
      <c r="G66" s="112">
        <v>44.47</v>
      </c>
      <c r="H66" s="112">
        <v>17.73</v>
      </c>
      <c r="I66" s="112">
        <v>3.17</v>
      </c>
      <c r="J66" s="112">
        <v>0.84</v>
      </c>
      <c r="K66" s="112">
        <v>261.7</v>
      </c>
      <c r="L66" s="112">
        <v>40.67</v>
      </c>
      <c r="M66" s="112">
        <v>29.44</v>
      </c>
      <c r="N66" s="112">
        <v>278.60000000000002</v>
      </c>
      <c r="O66" s="112">
        <v>0</v>
      </c>
      <c r="P66" s="112">
        <v>0.42</v>
      </c>
      <c r="Q66" s="112">
        <v>4.88</v>
      </c>
    </row>
    <row r="67" spans="1:17" customFormat="1">
      <c r="A67" s="80">
        <v>45447.614583333336</v>
      </c>
      <c r="B67" s="112">
        <v>7.39</v>
      </c>
      <c r="C67" s="112">
        <v>6.1</v>
      </c>
      <c r="D67" s="112">
        <v>14.12</v>
      </c>
      <c r="E67" s="112">
        <v>17.489999999999998</v>
      </c>
      <c r="F67" s="112">
        <v>59.19</v>
      </c>
      <c r="G67" s="112">
        <v>43.43</v>
      </c>
      <c r="H67" s="112">
        <v>17.73</v>
      </c>
      <c r="I67" s="112">
        <v>3.26</v>
      </c>
      <c r="J67" s="112">
        <v>1.25</v>
      </c>
      <c r="K67" s="112">
        <v>262.64999999999998</v>
      </c>
      <c r="L67" s="112">
        <v>40.07</v>
      </c>
      <c r="M67" s="112">
        <v>31.33</v>
      </c>
      <c r="N67" s="112">
        <v>246.6</v>
      </c>
      <c r="O67" s="112">
        <v>0</v>
      </c>
      <c r="P67" s="112">
        <v>0.46</v>
      </c>
      <c r="Q67" s="112">
        <v>4.9000000000000004</v>
      </c>
    </row>
    <row r="68" spans="1:17" customFormat="1">
      <c r="A68" s="80">
        <v>45447.625</v>
      </c>
      <c r="B68" s="112">
        <v>7.37</v>
      </c>
      <c r="C68" s="112">
        <v>6.11</v>
      </c>
      <c r="D68" s="112">
        <v>14.12</v>
      </c>
      <c r="E68" s="112">
        <v>17.850000000000001</v>
      </c>
      <c r="F68" s="112">
        <v>51.18</v>
      </c>
      <c r="G68" s="112">
        <v>43.43</v>
      </c>
      <c r="H68" s="112">
        <v>17.73</v>
      </c>
      <c r="I68" s="112">
        <v>3.68</v>
      </c>
      <c r="J68" s="112">
        <v>1.07</v>
      </c>
      <c r="K68" s="112">
        <v>255.92</v>
      </c>
      <c r="L68" s="112">
        <v>39.64</v>
      </c>
      <c r="M68" s="112">
        <v>32.33</v>
      </c>
      <c r="N68" s="112">
        <v>213.7</v>
      </c>
      <c r="O68" s="112">
        <v>0</v>
      </c>
      <c r="P68" s="112">
        <v>0.47</v>
      </c>
      <c r="Q68" s="112">
        <v>4.9000000000000004</v>
      </c>
    </row>
    <row r="69" spans="1:17" customFormat="1">
      <c r="A69" s="80">
        <v>45447.635416666664</v>
      </c>
      <c r="B69" s="112">
        <v>7.38</v>
      </c>
      <c r="C69" s="112">
        <v>6.05</v>
      </c>
      <c r="D69" s="112">
        <v>14.08</v>
      </c>
      <c r="E69" s="112">
        <v>17.54</v>
      </c>
      <c r="F69" s="112">
        <v>51.86</v>
      </c>
      <c r="G69" s="112">
        <v>43.43</v>
      </c>
      <c r="H69" s="112">
        <v>17.73</v>
      </c>
      <c r="I69" s="112">
        <v>4.05</v>
      </c>
      <c r="J69" s="112">
        <v>1.21</v>
      </c>
      <c r="K69" s="112">
        <v>260.31</v>
      </c>
      <c r="L69" s="112">
        <v>39.5</v>
      </c>
      <c r="M69" s="112">
        <v>32.72</v>
      </c>
      <c r="N69" s="112">
        <v>278</v>
      </c>
      <c r="O69" s="112">
        <v>0</v>
      </c>
      <c r="P69" s="112">
        <v>0.48</v>
      </c>
      <c r="Q69" s="112">
        <v>4.9000000000000004</v>
      </c>
    </row>
    <row r="70" spans="1:17" customFormat="1">
      <c r="A70" s="80">
        <v>45447.645833333336</v>
      </c>
      <c r="B70" s="112">
        <v>7.4</v>
      </c>
      <c r="C70" s="112">
        <v>6.08</v>
      </c>
      <c r="D70" s="112">
        <v>14.12</v>
      </c>
      <c r="E70" s="112">
        <v>17.940000000000001</v>
      </c>
      <c r="F70" s="112">
        <v>55.19</v>
      </c>
      <c r="G70" s="112">
        <v>47.08</v>
      </c>
      <c r="H70" s="112">
        <v>16.98</v>
      </c>
      <c r="I70" s="112">
        <v>4.13</v>
      </c>
      <c r="J70" s="112">
        <v>1.1200000000000001</v>
      </c>
      <c r="K70" s="112">
        <v>265.47000000000003</v>
      </c>
      <c r="L70" s="112">
        <v>39.39</v>
      </c>
      <c r="M70" s="112">
        <v>33.130000000000003</v>
      </c>
      <c r="N70" s="112">
        <v>329.4</v>
      </c>
      <c r="O70" s="112">
        <v>0</v>
      </c>
      <c r="P70" s="112">
        <v>0.48</v>
      </c>
      <c r="Q70" s="112">
        <v>4.91</v>
      </c>
    </row>
    <row r="71" spans="1:17" customFormat="1">
      <c r="A71" s="80">
        <v>45447.65625</v>
      </c>
      <c r="B71" s="112">
        <v>7.38</v>
      </c>
      <c r="C71" s="112">
        <v>6.06</v>
      </c>
      <c r="D71" s="112">
        <v>14.09</v>
      </c>
      <c r="E71" s="112">
        <v>12.68</v>
      </c>
      <c r="F71" s="112">
        <v>22.09</v>
      </c>
      <c r="G71" s="112">
        <v>47.87</v>
      </c>
      <c r="H71" s="112">
        <v>16.98</v>
      </c>
      <c r="I71" s="112">
        <v>4.0999999999999996</v>
      </c>
      <c r="J71" s="112">
        <v>1.1499999999999999</v>
      </c>
      <c r="K71" s="112">
        <v>266.85000000000002</v>
      </c>
      <c r="L71" s="112">
        <v>39.97</v>
      </c>
      <c r="M71" s="112">
        <v>32.24</v>
      </c>
      <c r="N71" s="112">
        <v>419.5</v>
      </c>
      <c r="O71" s="112">
        <v>0</v>
      </c>
      <c r="P71" s="112">
        <v>0.48</v>
      </c>
      <c r="Q71" s="112">
        <v>4.91</v>
      </c>
    </row>
    <row r="72" spans="1:17" customFormat="1">
      <c r="A72" s="80">
        <v>45447.666666666664</v>
      </c>
      <c r="B72" s="112">
        <v>7.38</v>
      </c>
      <c r="C72" s="112">
        <v>6.1</v>
      </c>
      <c r="D72" s="112">
        <v>14.11</v>
      </c>
      <c r="E72" s="112">
        <v>10.16</v>
      </c>
      <c r="F72" s="112">
        <v>13.62</v>
      </c>
      <c r="G72" s="112">
        <v>47.87</v>
      </c>
      <c r="H72" s="112">
        <v>16.98</v>
      </c>
      <c r="I72" s="112">
        <v>4.05</v>
      </c>
      <c r="J72" s="112">
        <v>1.2</v>
      </c>
      <c r="K72" s="112">
        <v>262.94</v>
      </c>
      <c r="L72" s="112">
        <v>39.6</v>
      </c>
      <c r="M72" s="112">
        <v>32.619999999999997</v>
      </c>
      <c r="N72" s="112">
        <v>249</v>
      </c>
      <c r="O72" s="112">
        <v>0</v>
      </c>
      <c r="P72" s="112">
        <v>0.48</v>
      </c>
      <c r="Q72" s="112">
        <v>4.9000000000000004</v>
      </c>
    </row>
    <row r="73" spans="1:17" customFormat="1">
      <c r="A73" s="80">
        <v>45447.677083333336</v>
      </c>
      <c r="B73" s="112">
        <v>7.38</v>
      </c>
      <c r="C73" s="112">
        <v>6.1</v>
      </c>
      <c r="D73" s="112">
        <v>14.11</v>
      </c>
      <c r="E73" s="112">
        <v>10.16</v>
      </c>
      <c r="F73" s="112">
        <v>13.62</v>
      </c>
      <c r="G73" s="112">
        <v>47.87</v>
      </c>
      <c r="H73" s="112">
        <v>16.98</v>
      </c>
      <c r="I73" s="112">
        <v>4.05</v>
      </c>
      <c r="J73" s="112">
        <v>1.2</v>
      </c>
      <c r="K73" s="112">
        <v>262.94</v>
      </c>
      <c r="L73" s="112">
        <v>39.6</v>
      </c>
      <c r="M73" s="112">
        <v>32.619999999999997</v>
      </c>
      <c r="N73" s="112">
        <v>249</v>
      </c>
      <c r="O73" s="112">
        <v>0</v>
      </c>
      <c r="P73" s="112">
        <v>0.48</v>
      </c>
      <c r="Q73" s="112">
        <v>4.9000000000000004</v>
      </c>
    </row>
    <row r="74" spans="1:17" customFormat="1">
      <c r="A74" s="80">
        <v>45447.6875</v>
      </c>
      <c r="B74" s="112">
        <v>7.36</v>
      </c>
      <c r="C74" s="112">
        <v>6.09</v>
      </c>
      <c r="D74" s="112">
        <v>14.1</v>
      </c>
      <c r="E74" s="112">
        <v>10.050000000000001</v>
      </c>
      <c r="F74" s="112">
        <v>12.73</v>
      </c>
      <c r="G74" s="112">
        <v>47.94</v>
      </c>
      <c r="H74" s="112">
        <v>17.899999999999999</v>
      </c>
      <c r="I74" s="112">
        <v>4.3</v>
      </c>
      <c r="J74" s="112">
        <v>0.82</v>
      </c>
      <c r="K74" s="112">
        <v>260.77999999999997</v>
      </c>
      <c r="L74" s="112">
        <v>39</v>
      </c>
      <c r="M74" s="112">
        <v>33.6</v>
      </c>
      <c r="N74" s="112">
        <v>106.9</v>
      </c>
      <c r="O74" s="112">
        <v>0</v>
      </c>
      <c r="P74" s="112">
        <v>0.48</v>
      </c>
      <c r="Q74" s="112">
        <v>4.88</v>
      </c>
    </row>
    <row r="75" spans="1:17" customFormat="1">
      <c r="A75" s="80">
        <v>45447.697916666664</v>
      </c>
      <c r="B75" s="112">
        <v>7.34</v>
      </c>
      <c r="C75" s="112">
        <v>6.09</v>
      </c>
      <c r="D75" s="112">
        <v>14.07</v>
      </c>
      <c r="E75" s="112">
        <v>9.16</v>
      </c>
      <c r="F75" s="112">
        <v>10.45</v>
      </c>
      <c r="G75" s="112">
        <v>48.04</v>
      </c>
      <c r="H75" s="112">
        <v>19.239999999999998</v>
      </c>
      <c r="I75" s="112">
        <v>4.53</v>
      </c>
      <c r="J75" s="112">
        <v>1.97</v>
      </c>
      <c r="K75" s="112">
        <v>310.13</v>
      </c>
      <c r="L75" s="112">
        <v>37.96</v>
      </c>
      <c r="M75" s="112">
        <v>31.03</v>
      </c>
      <c r="N75" s="112">
        <v>57.7</v>
      </c>
      <c r="O75" s="112">
        <v>0</v>
      </c>
      <c r="P75" s="112">
        <v>0.49</v>
      </c>
      <c r="Q75" s="112">
        <v>4.87</v>
      </c>
    </row>
    <row r="76" spans="1:17" customFormat="1">
      <c r="A76" s="80">
        <v>45447.708333333336</v>
      </c>
      <c r="B76" s="112">
        <v>7.35</v>
      </c>
      <c r="C76" s="112">
        <v>6.12</v>
      </c>
      <c r="D76" s="112">
        <v>14.1</v>
      </c>
      <c r="E76" s="112">
        <v>9.58</v>
      </c>
      <c r="F76" s="112">
        <v>22.94</v>
      </c>
      <c r="G76" s="112">
        <v>48.04</v>
      </c>
      <c r="H76" s="112">
        <v>19.239999999999998</v>
      </c>
      <c r="I76" s="112">
        <v>4.5999999999999996</v>
      </c>
      <c r="J76" s="112">
        <v>1.0900000000000001</v>
      </c>
      <c r="K76" s="112">
        <v>303.61</v>
      </c>
      <c r="L76" s="112">
        <v>37.64</v>
      </c>
      <c r="M76" s="112">
        <v>29.46</v>
      </c>
      <c r="N76" s="112">
        <v>41</v>
      </c>
      <c r="O76" s="112">
        <v>0</v>
      </c>
      <c r="P76" s="112">
        <v>0.49</v>
      </c>
      <c r="Q76" s="112">
        <v>4.88</v>
      </c>
    </row>
    <row r="77" spans="1:17" customFormat="1">
      <c r="A77" s="80">
        <v>45447.71875</v>
      </c>
      <c r="B77" s="112">
        <v>7.41</v>
      </c>
      <c r="C77" s="112">
        <v>6.14</v>
      </c>
      <c r="D77" s="112">
        <v>14.16</v>
      </c>
      <c r="E77" s="112">
        <v>9.4700000000000006</v>
      </c>
      <c r="F77" s="112">
        <v>18.37</v>
      </c>
      <c r="G77" s="112">
        <v>48.04</v>
      </c>
      <c r="H77" s="112">
        <v>19.239999999999998</v>
      </c>
      <c r="I77" s="112">
        <v>4.72</v>
      </c>
      <c r="J77" s="112">
        <v>1.1299999999999999</v>
      </c>
      <c r="K77" s="112">
        <v>304.17</v>
      </c>
      <c r="L77" s="112">
        <v>37.86</v>
      </c>
      <c r="M77" s="112">
        <v>29.69</v>
      </c>
      <c r="N77" s="112">
        <v>31.5</v>
      </c>
      <c r="O77" s="112">
        <v>0</v>
      </c>
      <c r="P77" s="112">
        <v>0.52</v>
      </c>
      <c r="Q77" s="112">
        <v>4.8899999999999997</v>
      </c>
    </row>
    <row r="78" spans="1:17" customFormat="1">
      <c r="A78" s="80">
        <v>45447.729166666664</v>
      </c>
      <c r="B78" s="112">
        <v>7.37</v>
      </c>
      <c r="C78" s="112">
        <v>6.09</v>
      </c>
      <c r="D78" s="112">
        <v>14.1</v>
      </c>
      <c r="E78" s="112">
        <v>9.25</v>
      </c>
      <c r="F78" s="112">
        <v>33.32</v>
      </c>
      <c r="G78" s="112">
        <v>51.68</v>
      </c>
      <c r="H78" s="112">
        <v>17.25</v>
      </c>
      <c r="I78" s="112">
        <v>4.6100000000000003</v>
      </c>
      <c r="J78" s="112">
        <v>0.8</v>
      </c>
      <c r="K78" s="112">
        <v>264.18</v>
      </c>
      <c r="L78" s="112">
        <v>37.49</v>
      </c>
      <c r="M78" s="112">
        <v>30.66</v>
      </c>
      <c r="N78" s="112">
        <v>29.2</v>
      </c>
      <c r="O78" s="112">
        <v>0</v>
      </c>
      <c r="P78" s="112">
        <v>0.45</v>
      </c>
      <c r="Q78" s="112">
        <v>4.91</v>
      </c>
    </row>
    <row r="79" spans="1:17" customFormat="1">
      <c r="A79" s="80">
        <v>45447.739583333336</v>
      </c>
      <c r="B79" s="112">
        <v>7.38</v>
      </c>
      <c r="C79" s="112">
        <v>6.06</v>
      </c>
      <c r="D79" s="112">
        <v>14.1</v>
      </c>
      <c r="E79" s="112">
        <v>9.31</v>
      </c>
      <c r="F79" s="112">
        <v>39.590000000000003</v>
      </c>
      <c r="G79" s="112">
        <v>52.46</v>
      </c>
      <c r="H79" s="112">
        <v>17.25</v>
      </c>
      <c r="I79" s="112">
        <v>4.62</v>
      </c>
      <c r="J79" s="112">
        <v>0.62</v>
      </c>
      <c r="K79" s="112">
        <v>268.83999999999997</v>
      </c>
      <c r="L79" s="112">
        <v>37.520000000000003</v>
      </c>
      <c r="M79" s="112">
        <v>31.71</v>
      </c>
      <c r="N79" s="112">
        <v>20.2</v>
      </c>
      <c r="O79" s="112">
        <v>0</v>
      </c>
      <c r="P79" s="112">
        <v>0.4</v>
      </c>
      <c r="Q79" s="112">
        <v>4.93</v>
      </c>
    </row>
    <row r="80" spans="1:17" customFormat="1">
      <c r="A80" s="80">
        <v>45447.75</v>
      </c>
      <c r="B80" s="112">
        <v>7.38</v>
      </c>
      <c r="C80" s="112">
        <v>6.07</v>
      </c>
      <c r="D80" s="112">
        <v>14.1</v>
      </c>
      <c r="E80" s="112">
        <v>9.93</v>
      </c>
      <c r="F80" s="112">
        <v>47.93</v>
      </c>
      <c r="G80" s="112">
        <v>52.46</v>
      </c>
      <c r="H80" s="112">
        <v>17.25</v>
      </c>
      <c r="I80" s="112">
        <v>4.51</v>
      </c>
      <c r="J80" s="112">
        <v>0.26</v>
      </c>
      <c r="K80" s="112">
        <v>250.66</v>
      </c>
      <c r="L80" s="112">
        <v>37.44</v>
      </c>
      <c r="M80" s="112">
        <v>32.39</v>
      </c>
      <c r="N80" s="112">
        <v>17.100000000000001</v>
      </c>
      <c r="O80" s="112">
        <v>0</v>
      </c>
      <c r="P80" s="112">
        <v>0.39</v>
      </c>
      <c r="Q80" s="112">
        <v>4.93</v>
      </c>
    </row>
    <row r="81" spans="1:17" customFormat="1">
      <c r="A81" s="80">
        <v>45447.760416666664</v>
      </c>
      <c r="B81" s="112">
        <v>7.37</v>
      </c>
      <c r="C81" s="112">
        <v>6.07</v>
      </c>
      <c r="D81" s="112">
        <v>14.09</v>
      </c>
      <c r="E81" s="112">
        <v>10.34</v>
      </c>
      <c r="F81" s="112">
        <v>35.97</v>
      </c>
      <c r="G81" s="112">
        <v>52.46</v>
      </c>
      <c r="H81" s="112">
        <v>17.25</v>
      </c>
      <c r="I81" s="112">
        <v>4.2300000000000004</v>
      </c>
      <c r="J81" s="112">
        <v>0.19</v>
      </c>
      <c r="K81" s="112">
        <v>244.89</v>
      </c>
      <c r="L81" s="112">
        <v>37.24</v>
      </c>
      <c r="M81" s="112">
        <v>33.06</v>
      </c>
      <c r="N81" s="112">
        <v>6</v>
      </c>
      <c r="O81" s="112">
        <v>0</v>
      </c>
      <c r="P81" s="112">
        <v>0.4</v>
      </c>
      <c r="Q81" s="112">
        <v>4.92</v>
      </c>
    </row>
    <row r="82" spans="1:17" customFormat="1">
      <c r="A82" s="80">
        <v>45447.770833333336</v>
      </c>
      <c r="B82" s="112">
        <v>7.38</v>
      </c>
      <c r="C82" s="112">
        <v>6.11</v>
      </c>
      <c r="D82" s="112">
        <v>14.11</v>
      </c>
      <c r="E82" s="112">
        <v>11.93</v>
      </c>
      <c r="F82" s="112">
        <v>41.55</v>
      </c>
      <c r="G82" s="112">
        <v>52.48</v>
      </c>
      <c r="H82" s="112">
        <v>19.47</v>
      </c>
      <c r="I82" s="112">
        <v>4.08</v>
      </c>
      <c r="J82" s="112">
        <v>0.18</v>
      </c>
      <c r="K82" s="112">
        <v>231.15</v>
      </c>
      <c r="L82" s="112">
        <v>36.89</v>
      </c>
      <c r="M82" s="112">
        <v>33.340000000000003</v>
      </c>
      <c r="N82" s="112">
        <v>0.2</v>
      </c>
      <c r="O82" s="112">
        <v>0</v>
      </c>
      <c r="P82" s="112">
        <v>0.41</v>
      </c>
      <c r="Q82" s="112">
        <v>4.92</v>
      </c>
    </row>
    <row r="83" spans="1:17" customFormat="1">
      <c r="A83" s="80">
        <v>45447.78125</v>
      </c>
      <c r="B83" s="112">
        <v>7.34</v>
      </c>
      <c r="C83" s="112">
        <v>6.07</v>
      </c>
      <c r="D83" s="112">
        <v>14.07</v>
      </c>
      <c r="E83" s="112">
        <v>11.61</v>
      </c>
      <c r="F83" s="112">
        <v>29.3</v>
      </c>
      <c r="G83" s="112">
        <v>52.48</v>
      </c>
      <c r="H83" s="112">
        <v>19.47</v>
      </c>
      <c r="I83" s="112">
        <v>4.22</v>
      </c>
      <c r="J83" s="112">
        <v>0.5</v>
      </c>
      <c r="K83" s="112">
        <v>41.55</v>
      </c>
      <c r="L83" s="112">
        <v>36.549999999999997</v>
      </c>
      <c r="M83" s="112">
        <v>33.9</v>
      </c>
      <c r="N83" s="112">
        <v>0</v>
      </c>
      <c r="O83" s="112">
        <v>0</v>
      </c>
      <c r="P83" s="112">
        <v>0.48</v>
      </c>
      <c r="Q83" s="112">
        <v>4.92</v>
      </c>
    </row>
    <row r="84" spans="1:17" customFormat="1">
      <c r="A84" s="80">
        <v>45447.791666666664</v>
      </c>
      <c r="B84" s="112">
        <v>7.34</v>
      </c>
      <c r="C84" s="112">
        <v>6.06</v>
      </c>
      <c r="D84" s="112">
        <v>14.06</v>
      </c>
      <c r="E84" s="112">
        <v>11.89</v>
      </c>
      <c r="F84" s="112">
        <v>17.93</v>
      </c>
      <c r="G84" s="112">
        <v>52.48</v>
      </c>
      <c r="H84" s="112">
        <v>19.47</v>
      </c>
      <c r="I84" s="112">
        <v>4.4800000000000004</v>
      </c>
      <c r="J84" s="112">
        <v>2.33</v>
      </c>
      <c r="K84" s="112">
        <v>50.92</v>
      </c>
      <c r="L84" s="112">
        <v>35.92</v>
      </c>
      <c r="M84" s="112">
        <v>35.06</v>
      </c>
      <c r="N84" s="112">
        <v>0</v>
      </c>
      <c r="O84" s="112">
        <v>0</v>
      </c>
      <c r="P84" s="112">
        <v>0.45</v>
      </c>
      <c r="Q84" s="112">
        <v>4.9400000000000004</v>
      </c>
    </row>
    <row r="85" spans="1:17" customFormat="1">
      <c r="A85" s="80">
        <v>45447.802083333336</v>
      </c>
      <c r="B85" s="112">
        <v>7.33</v>
      </c>
      <c r="C85" s="112">
        <v>6.07</v>
      </c>
      <c r="D85" s="112">
        <v>14.06</v>
      </c>
      <c r="E85" s="112">
        <v>11.9</v>
      </c>
      <c r="F85" s="112">
        <v>15.9</v>
      </c>
      <c r="G85" s="112">
        <v>52.48</v>
      </c>
      <c r="H85" s="112">
        <v>19.47</v>
      </c>
      <c r="I85" s="112">
        <v>4.8600000000000003</v>
      </c>
      <c r="J85" s="112">
        <v>2.86</v>
      </c>
      <c r="K85" s="112">
        <v>53.98</v>
      </c>
      <c r="L85" s="112">
        <v>34.65</v>
      </c>
      <c r="M85" s="112">
        <v>40.28</v>
      </c>
      <c r="N85" s="112">
        <v>0</v>
      </c>
      <c r="O85" s="112">
        <v>0</v>
      </c>
      <c r="P85" s="112">
        <v>0.43</v>
      </c>
      <c r="Q85" s="112">
        <v>4.9400000000000004</v>
      </c>
    </row>
    <row r="86" spans="1:17" customFormat="1">
      <c r="A86" s="80">
        <v>45447.8125</v>
      </c>
      <c r="B86" s="112">
        <v>7.33</v>
      </c>
      <c r="C86" s="112">
        <v>6.08</v>
      </c>
      <c r="D86" s="112">
        <v>14.06</v>
      </c>
      <c r="E86" s="112">
        <v>10.39</v>
      </c>
      <c r="F86" s="112">
        <v>11.32</v>
      </c>
      <c r="G86" s="112">
        <v>63.77</v>
      </c>
      <c r="H86" s="112">
        <v>16.559999999999999</v>
      </c>
      <c r="I86" s="112">
        <v>4.8899999999999997</v>
      </c>
      <c r="J86" s="112">
        <v>2.71</v>
      </c>
      <c r="K86" s="112">
        <v>53.7</v>
      </c>
      <c r="L86" s="112">
        <v>33.86</v>
      </c>
      <c r="M86" s="112">
        <v>42.74</v>
      </c>
      <c r="N86" s="112">
        <v>0</v>
      </c>
      <c r="O86" s="112">
        <v>0</v>
      </c>
      <c r="P86" s="112">
        <v>0.46</v>
      </c>
      <c r="Q86" s="112">
        <v>4.92</v>
      </c>
    </row>
    <row r="87" spans="1:17" customFormat="1">
      <c r="A87" s="80">
        <v>45447.822916666664</v>
      </c>
      <c r="B87" s="112">
        <v>7.34</v>
      </c>
      <c r="C87" s="112">
        <v>6.08</v>
      </c>
      <c r="D87" s="112">
        <v>14.07</v>
      </c>
      <c r="E87" s="112">
        <v>10.37</v>
      </c>
      <c r="F87" s="112">
        <v>12.14</v>
      </c>
      <c r="G87" s="112">
        <v>66.209999999999994</v>
      </c>
      <c r="H87" s="112">
        <v>16.559999999999999</v>
      </c>
      <c r="I87" s="112">
        <v>4.8499999999999996</v>
      </c>
      <c r="J87" s="112">
        <v>2.69</v>
      </c>
      <c r="K87" s="112">
        <v>57.73</v>
      </c>
      <c r="L87" s="112">
        <v>33.64</v>
      </c>
      <c r="M87" s="112">
        <v>43.23</v>
      </c>
      <c r="N87" s="112">
        <v>0</v>
      </c>
      <c r="O87" s="112">
        <v>0</v>
      </c>
      <c r="P87" s="112">
        <v>0.44</v>
      </c>
      <c r="Q87" s="112">
        <v>4.9400000000000004</v>
      </c>
    </row>
    <row r="88" spans="1:17" customFormat="1">
      <c r="A88" s="80">
        <v>45447.833333333336</v>
      </c>
      <c r="B88" s="112">
        <v>7.35</v>
      </c>
      <c r="C88" s="112">
        <v>6.07</v>
      </c>
      <c r="D88" s="112">
        <v>14.07</v>
      </c>
      <c r="E88" s="112">
        <v>10.6</v>
      </c>
      <c r="F88" s="112">
        <v>10.92</v>
      </c>
      <c r="G88" s="112">
        <v>66.209999999999994</v>
      </c>
      <c r="H88" s="112">
        <v>16.559999999999999</v>
      </c>
      <c r="I88" s="112">
        <v>4.9000000000000004</v>
      </c>
      <c r="J88" s="112">
        <v>2.5499999999999998</v>
      </c>
      <c r="K88" s="112">
        <v>61.56</v>
      </c>
      <c r="L88" s="112">
        <v>33.54</v>
      </c>
      <c r="M88" s="112">
        <v>43.69</v>
      </c>
      <c r="N88" s="112">
        <v>0</v>
      </c>
      <c r="O88" s="112">
        <v>0</v>
      </c>
      <c r="P88" s="112">
        <v>0.46</v>
      </c>
      <c r="Q88" s="112">
        <v>4.92</v>
      </c>
    </row>
    <row r="89" spans="1:17" customFormat="1">
      <c r="A89" s="80">
        <v>45447.84375</v>
      </c>
      <c r="B89" s="112">
        <v>7.33</v>
      </c>
      <c r="C89" s="112">
        <v>6.09</v>
      </c>
      <c r="D89" s="112">
        <v>14.07</v>
      </c>
      <c r="E89" s="112">
        <v>10.79</v>
      </c>
      <c r="F89" s="112">
        <v>14.75</v>
      </c>
      <c r="G89" s="112">
        <v>66.209999999999994</v>
      </c>
      <c r="H89" s="112">
        <v>16.559999999999999</v>
      </c>
      <c r="I89" s="112">
        <v>4.87</v>
      </c>
      <c r="J89" s="112">
        <v>1.56</v>
      </c>
      <c r="K89" s="112">
        <v>64.66</v>
      </c>
      <c r="L89" s="112">
        <v>33.590000000000003</v>
      </c>
      <c r="M89" s="112">
        <v>43.12</v>
      </c>
      <c r="N89" s="112">
        <v>0</v>
      </c>
      <c r="O89" s="112">
        <v>0</v>
      </c>
      <c r="P89" s="112">
        <v>0.44</v>
      </c>
      <c r="Q89" s="112">
        <v>4.9400000000000004</v>
      </c>
    </row>
    <row r="90" spans="1:17" customFormat="1">
      <c r="A90" s="80">
        <v>45447.854166666664</v>
      </c>
      <c r="B90" s="112">
        <v>7.33</v>
      </c>
      <c r="C90" s="112">
        <v>6.07</v>
      </c>
      <c r="D90" s="112">
        <v>14.06</v>
      </c>
      <c r="E90" s="112">
        <v>10.09</v>
      </c>
      <c r="F90" s="112">
        <v>7.03</v>
      </c>
      <c r="G90" s="112">
        <v>60.39</v>
      </c>
      <c r="H90" s="112">
        <v>15.39</v>
      </c>
      <c r="I90" s="112">
        <v>4.8499999999999996</v>
      </c>
      <c r="J90" s="112">
        <v>0.56000000000000005</v>
      </c>
      <c r="K90" s="112">
        <v>114.58</v>
      </c>
      <c r="L90" s="112">
        <v>33.14</v>
      </c>
      <c r="M90" s="112">
        <v>48.09</v>
      </c>
      <c r="N90" s="112">
        <v>0</v>
      </c>
      <c r="O90" s="112">
        <v>0</v>
      </c>
      <c r="P90" s="112">
        <v>0.46</v>
      </c>
      <c r="Q90" s="112">
        <v>4.93</v>
      </c>
    </row>
    <row r="91" spans="1:17" customFormat="1">
      <c r="A91" s="80">
        <v>45447.864583333336</v>
      </c>
      <c r="B91" s="112">
        <v>7.32</v>
      </c>
      <c r="C91" s="112">
        <v>6.09</v>
      </c>
      <c r="D91" s="112">
        <v>14.06</v>
      </c>
      <c r="E91" s="112">
        <v>9.8699999999999992</v>
      </c>
      <c r="F91" s="112">
        <v>7.53</v>
      </c>
      <c r="G91" s="112">
        <v>59.14</v>
      </c>
      <c r="H91" s="112">
        <v>15.39</v>
      </c>
      <c r="I91" s="112">
        <v>4.7699999999999996</v>
      </c>
      <c r="J91" s="112">
        <v>0.49</v>
      </c>
      <c r="K91" s="112">
        <v>102.19</v>
      </c>
      <c r="L91" s="112">
        <v>32.18</v>
      </c>
      <c r="M91" s="112">
        <v>52.4</v>
      </c>
      <c r="N91" s="112">
        <v>0</v>
      </c>
      <c r="O91" s="112">
        <v>0</v>
      </c>
      <c r="P91" s="112">
        <v>0.44</v>
      </c>
      <c r="Q91" s="112">
        <v>4.9000000000000004</v>
      </c>
    </row>
    <row r="92" spans="1:17" customFormat="1">
      <c r="A92" s="80">
        <v>45447.875</v>
      </c>
      <c r="B92" s="112">
        <v>7.29</v>
      </c>
      <c r="C92" s="112">
        <v>6.13</v>
      </c>
      <c r="D92" s="112">
        <v>14.06</v>
      </c>
      <c r="E92" s="112">
        <v>9.66</v>
      </c>
      <c r="F92" s="112">
        <v>11.2</v>
      </c>
      <c r="G92" s="112">
        <v>59.14</v>
      </c>
      <c r="H92" s="112">
        <v>15.39</v>
      </c>
      <c r="I92" s="112">
        <v>4.8499999999999996</v>
      </c>
      <c r="J92" s="112">
        <v>0.39</v>
      </c>
      <c r="K92" s="112">
        <v>107.13</v>
      </c>
      <c r="L92" s="112">
        <v>31.82</v>
      </c>
      <c r="M92" s="112">
        <v>54.17</v>
      </c>
      <c r="N92" s="112">
        <v>0</v>
      </c>
      <c r="O92" s="112">
        <v>0</v>
      </c>
      <c r="P92" s="112">
        <v>0.43</v>
      </c>
      <c r="Q92" s="112">
        <v>4.93</v>
      </c>
    </row>
    <row r="93" spans="1:17" customFormat="1">
      <c r="A93" s="80">
        <v>45447.885416666664</v>
      </c>
      <c r="B93" s="112">
        <v>7.31</v>
      </c>
      <c r="C93" s="112">
        <v>6.1</v>
      </c>
      <c r="D93" s="112">
        <v>14.06</v>
      </c>
      <c r="E93" s="112">
        <v>9.69</v>
      </c>
      <c r="F93" s="112">
        <v>13.59</v>
      </c>
      <c r="G93" s="112">
        <v>59.14</v>
      </c>
      <c r="H93" s="112">
        <v>15.39</v>
      </c>
      <c r="I93" s="112">
        <v>4.8499999999999996</v>
      </c>
      <c r="J93" s="112">
        <v>0.32</v>
      </c>
      <c r="K93" s="112">
        <v>103.74</v>
      </c>
      <c r="L93" s="112">
        <v>32</v>
      </c>
      <c r="M93" s="112">
        <v>51.72</v>
      </c>
      <c r="N93" s="112">
        <v>0</v>
      </c>
      <c r="O93" s="112">
        <v>0</v>
      </c>
      <c r="P93" s="112">
        <v>0.42</v>
      </c>
      <c r="Q93" s="112">
        <v>4.91</v>
      </c>
    </row>
    <row r="94" spans="1:17" customFormat="1">
      <c r="A94" s="80">
        <v>45447.895833333336</v>
      </c>
      <c r="B94" s="112">
        <v>7.32</v>
      </c>
      <c r="C94" s="112">
        <v>6.07</v>
      </c>
      <c r="D94" s="112">
        <v>14.05</v>
      </c>
      <c r="E94" s="112">
        <v>9.99</v>
      </c>
      <c r="F94" s="112">
        <v>11.34</v>
      </c>
      <c r="G94" s="112">
        <v>53.63</v>
      </c>
      <c r="H94" s="112">
        <v>15.47</v>
      </c>
      <c r="I94" s="112">
        <v>4.5999999999999996</v>
      </c>
      <c r="J94" s="112">
        <v>0.42</v>
      </c>
      <c r="K94" s="112">
        <v>124.84</v>
      </c>
      <c r="L94" s="112">
        <v>32.03</v>
      </c>
      <c r="M94" s="112">
        <v>51.48</v>
      </c>
      <c r="N94" s="112">
        <v>0</v>
      </c>
      <c r="O94" s="112">
        <v>0</v>
      </c>
      <c r="P94" s="112">
        <v>0.42</v>
      </c>
      <c r="Q94" s="112">
        <v>4.8899999999999997</v>
      </c>
    </row>
    <row r="95" spans="1:17" customFormat="1">
      <c r="A95" s="80">
        <v>45447.90625</v>
      </c>
      <c r="B95" s="112">
        <v>7.31</v>
      </c>
      <c r="C95" s="112">
        <v>6.06</v>
      </c>
      <c r="D95" s="112">
        <v>14.04</v>
      </c>
      <c r="E95" s="112">
        <v>9.58</v>
      </c>
      <c r="F95" s="112">
        <v>13.93</v>
      </c>
      <c r="G95" s="112">
        <v>52.43</v>
      </c>
      <c r="H95" s="112">
        <v>15.47</v>
      </c>
      <c r="I95" s="112">
        <v>4.55</v>
      </c>
      <c r="J95" s="112">
        <v>0.49</v>
      </c>
      <c r="K95" s="112">
        <v>101.04</v>
      </c>
      <c r="L95" s="112">
        <v>32.1</v>
      </c>
      <c r="M95" s="112">
        <v>51.6</v>
      </c>
      <c r="N95" s="112">
        <v>0</v>
      </c>
      <c r="O95" s="112">
        <v>0</v>
      </c>
      <c r="P95" s="112">
        <v>0.4</v>
      </c>
      <c r="Q95" s="112">
        <v>4.92</v>
      </c>
    </row>
    <row r="96" spans="1:17" customFormat="1">
      <c r="A96" s="80">
        <v>45447.916666666664</v>
      </c>
      <c r="B96" s="112">
        <v>7.29</v>
      </c>
      <c r="C96" s="112">
        <v>6.08</v>
      </c>
      <c r="D96" s="112">
        <v>14.03</v>
      </c>
      <c r="E96" s="112">
        <v>9.77</v>
      </c>
      <c r="F96" s="112">
        <v>17.97</v>
      </c>
      <c r="G96" s="112">
        <v>52.43</v>
      </c>
      <c r="H96" s="112">
        <v>15.47</v>
      </c>
      <c r="I96" s="112">
        <v>4.51</v>
      </c>
      <c r="J96" s="112">
        <v>0.38</v>
      </c>
      <c r="K96" s="112">
        <v>104.88</v>
      </c>
      <c r="L96" s="112">
        <v>31.77</v>
      </c>
      <c r="M96" s="112">
        <v>52.71</v>
      </c>
      <c r="N96" s="112">
        <v>0</v>
      </c>
      <c r="O96" s="112">
        <v>0</v>
      </c>
      <c r="P96" s="112">
        <v>0.38</v>
      </c>
      <c r="Q96" s="112">
        <v>4.91</v>
      </c>
    </row>
    <row r="97" spans="1:22" customFormat="1">
      <c r="A97" s="80">
        <v>45447.927083333336</v>
      </c>
      <c r="B97" s="112">
        <v>7.31</v>
      </c>
      <c r="C97" s="112">
        <v>6.07</v>
      </c>
      <c r="D97" s="112">
        <v>14.04</v>
      </c>
      <c r="E97" s="112">
        <v>9.31</v>
      </c>
      <c r="F97" s="112">
        <v>16.93</v>
      </c>
      <c r="G97" s="112">
        <v>52.43</v>
      </c>
      <c r="H97" s="112">
        <v>15.47</v>
      </c>
      <c r="I97" s="112">
        <v>4.37</v>
      </c>
      <c r="J97" s="112">
        <v>0.41</v>
      </c>
      <c r="K97" s="112">
        <v>126.89</v>
      </c>
      <c r="L97" s="112">
        <v>31.51</v>
      </c>
      <c r="M97" s="112">
        <v>53.31</v>
      </c>
      <c r="N97" s="112">
        <v>0</v>
      </c>
      <c r="O97" s="112">
        <v>0</v>
      </c>
      <c r="P97" s="112">
        <v>0.37</v>
      </c>
      <c r="Q97" s="112">
        <v>4.91</v>
      </c>
    </row>
    <row r="98" spans="1:22" customFormat="1">
      <c r="A98" s="80">
        <v>45447.9375</v>
      </c>
      <c r="B98" s="112">
        <v>7.3</v>
      </c>
      <c r="C98" s="112">
        <v>6.12</v>
      </c>
      <c r="D98" s="112">
        <v>14.06</v>
      </c>
      <c r="E98" s="112">
        <v>9.1199999999999992</v>
      </c>
      <c r="F98" s="112">
        <v>11.82</v>
      </c>
      <c r="G98" s="112">
        <v>45.59</v>
      </c>
      <c r="H98" s="112">
        <v>13.06</v>
      </c>
      <c r="I98" s="112">
        <v>4.29</v>
      </c>
      <c r="J98" s="112">
        <v>0.47</v>
      </c>
      <c r="K98" s="112">
        <v>143.56</v>
      </c>
      <c r="L98" s="112">
        <v>31.09</v>
      </c>
      <c r="M98" s="112">
        <v>56.53</v>
      </c>
      <c r="N98" s="112">
        <v>0</v>
      </c>
      <c r="O98" s="112">
        <v>0</v>
      </c>
      <c r="P98" s="112">
        <v>0.37</v>
      </c>
      <c r="Q98" s="112">
        <v>4.92</v>
      </c>
    </row>
    <row r="99" spans="1:22" customFormat="1">
      <c r="A99" s="80">
        <v>45447.947916666664</v>
      </c>
      <c r="B99" s="112">
        <v>7.31</v>
      </c>
      <c r="C99" s="112">
        <v>6.12</v>
      </c>
      <c r="D99" s="112">
        <v>14.07</v>
      </c>
      <c r="E99" s="112">
        <v>9.6199999999999992</v>
      </c>
      <c r="F99" s="112">
        <v>18.61</v>
      </c>
      <c r="G99" s="112">
        <v>44.11</v>
      </c>
      <c r="H99" s="112">
        <v>13.06</v>
      </c>
      <c r="I99" s="112">
        <v>4.32</v>
      </c>
      <c r="J99" s="112">
        <v>0.26</v>
      </c>
      <c r="K99" s="112">
        <v>177.55</v>
      </c>
      <c r="L99" s="112">
        <v>30.32</v>
      </c>
      <c r="M99" s="112">
        <v>63.2</v>
      </c>
      <c r="N99" s="112">
        <v>0</v>
      </c>
      <c r="O99" s="112">
        <v>0</v>
      </c>
      <c r="P99" s="112">
        <v>0.35</v>
      </c>
      <c r="Q99" s="112">
        <v>4.93</v>
      </c>
    </row>
    <row r="100" spans="1:22" customFormat="1">
      <c r="A100" s="80">
        <v>45447.958333333336</v>
      </c>
      <c r="B100" s="112">
        <v>7.32</v>
      </c>
      <c r="C100" s="112">
        <v>6.08</v>
      </c>
      <c r="D100" s="112">
        <v>14.06</v>
      </c>
      <c r="E100" s="112">
        <v>9.5500000000000007</v>
      </c>
      <c r="F100" s="112">
        <v>22.71</v>
      </c>
      <c r="G100" s="112">
        <v>44.11</v>
      </c>
      <c r="H100" s="112">
        <v>13.06</v>
      </c>
      <c r="I100" s="112">
        <v>4.32</v>
      </c>
      <c r="J100" s="112">
        <v>0.23</v>
      </c>
      <c r="K100" s="112">
        <v>274.49</v>
      </c>
      <c r="L100" s="112">
        <v>29.83</v>
      </c>
      <c r="M100" s="112">
        <v>66.709999999999994</v>
      </c>
      <c r="N100" s="112">
        <v>0</v>
      </c>
      <c r="O100" s="112">
        <v>0</v>
      </c>
      <c r="P100" s="112">
        <v>0.34</v>
      </c>
      <c r="Q100" s="112">
        <v>4.9400000000000004</v>
      </c>
    </row>
    <row r="101" spans="1:22" customFormat="1">
      <c r="A101" s="80">
        <v>45447.96875</v>
      </c>
      <c r="B101" s="112">
        <v>7.32</v>
      </c>
      <c r="C101" s="112">
        <v>6.05</v>
      </c>
      <c r="D101" s="112">
        <v>14.04</v>
      </c>
      <c r="E101" s="112">
        <v>8.73</v>
      </c>
      <c r="F101" s="112">
        <v>22.12</v>
      </c>
      <c r="G101" s="112">
        <v>44.11</v>
      </c>
      <c r="H101" s="112">
        <v>13.06</v>
      </c>
      <c r="I101" s="112">
        <v>4.17</v>
      </c>
      <c r="J101" s="112">
        <v>0.28999999999999998</v>
      </c>
      <c r="K101" s="112">
        <v>247.64</v>
      </c>
      <c r="L101" s="112">
        <v>29.72</v>
      </c>
      <c r="M101" s="112">
        <v>64.03</v>
      </c>
      <c r="N101" s="112">
        <v>0</v>
      </c>
      <c r="O101" s="112">
        <v>0</v>
      </c>
      <c r="P101" s="112">
        <v>0.34</v>
      </c>
      <c r="Q101" s="112">
        <v>4.92</v>
      </c>
    </row>
    <row r="102" spans="1:22" customFormat="1">
      <c r="A102" s="80">
        <v>45447.979166666664</v>
      </c>
      <c r="B102" s="112">
        <v>7.29</v>
      </c>
      <c r="C102" s="112">
        <v>6.09</v>
      </c>
      <c r="D102" s="112">
        <v>14.03</v>
      </c>
      <c r="E102" s="112">
        <v>9.6300000000000008</v>
      </c>
      <c r="F102" s="112">
        <v>29.12</v>
      </c>
      <c r="G102" s="112">
        <v>38.1</v>
      </c>
      <c r="H102" s="112">
        <v>13.75</v>
      </c>
      <c r="I102" s="112">
        <v>4.09</v>
      </c>
      <c r="J102" s="112">
        <v>0.15</v>
      </c>
      <c r="K102" s="112">
        <v>267.48</v>
      </c>
      <c r="L102" s="112">
        <v>29.94</v>
      </c>
      <c r="M102" s="112">
        <v>62.47</v>
      </c>
      <c r="N102" s="112">
        <v>0</v>
      </c>
      <c r="O102" s="112">
        <v>0</v>
      </c>
      <c r="P102" s="112">
        <v>0.34</v>
      </c>
      <c r="Q102" s="112">
        <v>4.91</v>
      </c>
    </row>
    <row r="103" spans="1:22" customFormat="1">
      <c r="A103" s="80">
        <v>45447.989583333336</v>
      </c>
      <c r="B103" s="112">
        <v>7.3</v>
      </c>
      <c r="C103" s="112">
        <v>6.05</v>
      </c>
      <c r="D103" s="112">
        <v>14.02</v>
      </c>
      <c r="E103" s="112">
        <v>9.52</v>
      </c>
      <c r="F103" s="112">
        <v>25.7</v>
      </c>
      <c r="G103" s="112">
        <v>36.799999999999997</v>
      </c>
      <c r="H103" s="112">
        <v>13.75</v>
      </c>
      <c r="I103" s="112">
        <v>4.0599999999999996</v>
      </c>
      <c r="J103" s="112">
        <v>0.31</v>
      </c>
      <c r="K103" s="112">
        <v>253.84</v>
      </c>
      <c r="L103" s="112">
        <v>30.17</v>
      </c>
      <c r="M103" s="112">
        <v>61.02</v>
      </c>
      <c r="N103" s="112">
        <v>0</v>
      </c>
      <c r="O103" s="112">
        <v>0</v>
      </c>
      <c r="P103" s="112">
        <v>0.33</v>
      </c>
      <c r="Q103" s="112">
        <v>4.9000000000000004</v>
      </c>
    </row>
    <row r="104" spans="1:22" customFormat="1">
      <c r="A104" s="80">
        <v>45448</v>
      </c>
      <c r="B104" s="112">
        <v>7.3</v>
      </c>
      <c r="C104" s="112">
        <v>6.08</v>
      </c>
      <c r="D104" s="112">
        <v>14.04</v>
      </c>
      <c r="E104" s="112">
        <v>9.09</v>
      </c>
      <c r="F104" s="112">
        <v>21.76</v>
      </c>
      <c r="G104" s="112">
        <v>36.799999999999997</v>
      </c>
      <c r="H104" s="112">
        <v>13.75</v>
      </c>
      <c r="I104" s="112">
        <v>3.95</v>
      </c>
      <c r="J104" s="112">
        <v>0.6</v>
      </c>
      <c r="K104" s="112">
        <v>252.04</v>
      </c>
      <c r="L104" s="112">
        <v>30.29</v>
      </c>
      <c r="M104" s="112">
        <v>59.97</v>
      </c>
      <c r="N104" s="112">
        <v>0</v>
      </c>
      <c r="O104" s="112">
        <v>0</v>
      </c>
      <c r="P104" s="112">
        <v>0.34</v>
      </c>
      <c r="Q104" s="112">
        <v>4.92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7.15</v>
      </c>
      <c r="C106" s="184">
        <f>MIN(C9:C104)</f>
        <v>6.04</v>
      </c>
      <c r="D106" s="184">
        <f t="shared" ref="D106:Q106" si="0">MIN(D9:D104)</f>
        <v>13.92</v>
      </c>
      <c r="E106" s="184">
        <f t="shared" si="0"/>
        <v>8.73</v>
      </c>
      <c r="F106" s="184">
        <f t="shared" si="0"/>
        <v>7.03</v>
      </c>
      <c r="G106" s="184">
        <f t="shared" si="0"/>
        <v>24.58</v>
      </c>
      <c r="H106" s="184">
        <f t="shared" si="0"/>
        <v>11.34</v>
      </c>
      <c r="I106" s="184">
        <f t="shared" si="0"/>
        <v>3.17</v>
      </c>
      <c r="J106" s="184">
        <f t="shared" si="0"/>
        <v>0.1</v>
      </c>
      <c r="K106" s="184">
        <f t="shared" si="0"/>
        <v>41.55</v>
      </c>
      <c r="L106" s="184">
        <f t="shared" si="0"/>
        <v>29.72</v>
      </c>
      <c r="M106" s="184">
        <f t="shared" si="0"/>
        <v>26.61</v>
      </c>
      <c r="N106" s="184">
        <f t="shared" si="0"/>
        <v>0</v>
      </c>
      <c r="O106" s="184">
        <f t="shared" si="0"/>
        <v>0</v>
      </c>
      <c r="P106" s="184">
        <f t="shared" si="0"/>
        <v>0.33</v>
      </c>
      <c r="Q106" s="184">
        <f t="shared" si="0"/>
        <v>0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7.41</v>
      </c>
      <c r="C107" s="185">
        <f t="shared" ref="C107:Q107" si="1">MAX(C9:C104)</f>
        <v>6.16</v>
      </c>
      <c r="D107" s="185">
        <f t="shared" si="1"/>
        <v>14.16</v>
      </c>
      <c r="E107" s="185">
        <f t="shared" si="1"/>
        <v>20.32</v>
      </c>
      <c r="F107" s="185">
        <f t="shared" si="1"/>
        <v>67.84</v>
      </c>
      <c r="G107" s="185">
        <f t="shared" si="1"/>
        <v>66.209999999999994</v>
      </c>
      <c r="H107" s="185">
        <f t="shared" si="1"/>
        <v>20.440000000000001</v>
      </c>
      <c r="I107" s="185">
        <f t="shared" si="1"/>
        <v>6.91</v>
      </c>
      <c r="J107" s="185">
        <f t="shared" si="1"/>
        <v>2.86</v>
      </c>
      <c r="K107" s="185">
        <f t="shared" si="1"/>
        <v>332.95</v>
      </c>
      <c r="L107" s="185">
        <f t="shared" si="1"/>
        <v>42.26</v>
      </c>
      <c r="M107" s="185">
        <f t="shared" si="1"/>
        <v>66.709999999999994</v>
      </c>
      <c r="N107" s="185">
        <f t="shared" si="1"/>
        <v>752.1</v>
      </c>
      <c r="O107" s="185">
        <f t="shared" si="1"/>
        <v>0</v>
      </c>
      <c r="P107" s="185">
        <f t="shared" si="1"/>
        <v>0.62</v>
      </c>
      <c r="Q107" s="185">
        <f t="shared" si="1"/>
        <v>5.03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7.2915625000000004</v>
      </c>
      <c r="C108" s="184">
        <f t="shared" ref="C108:Q108" si="2">AVERAGE(C9:C104)</f>
        <v>6.0801041666666658</v>
      </c>
      <c r="D108" s="184">
        <f t="shared" si="2"/>
        <v>14.032604166666657</v>
      </c>
      <c r="E108" s="184">
        <f t="shared" si="2"/>
        <v>11.682395833333329</v>
      </c>
      <c r="F108" s="184">
        <f t="shared" si="2"/>
        <v>23.162187499999998</v>
      </c>
      <c r="G108" s="184">
        <f t="shared" si="2"/>
        <v>42.255208333333336</v>
      </c>
      <c r="H108" s="184">
        <f t="shared" si="2"/>
        <v>15.814479166666665</v>
      </c>
      <c r="I108" s="184">
        <f t="shared" si="2"/>
        <v>4.6403125000000012</v>
      </c>
      <c r="J108" s="184">
        <f t="shared" si="2"/>
        <v>0.84364583333333332</v>
      </c>
      <c r="K108" s="184">
        <f t="shared" si="2"/>
        <v>235.67041666666668</v>
      </c>
      <c r="L108" s="184">
        <f t="shared" si="2"/>
        <v>34.571666666666665</v>
      </c>
      <c r="M108" s="184">
        <f t="shared" si="2"/>
        <v>46.658333333333331</v>
      </c>
      <c r="N108" s="184">
        <f t="shared" si="2"/>
        <v>125.75520833333339</v>
      </c>
      <c r="O108" s="184">
        <f t="shared" si="2"/>
        <v>0</v>
      </c>
      <c r="P108" s="184">
        <f t="shared" si="2"/>
        <v>0.50770833333333332</v>
      </c>
      <c r="Q108" s="184">
        <f t="shared" si="2"/>
        <v>4.7332291666666686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5.6816011920288054E-2</v>
      </c>
      <c r="C109" s="184">
        <f t="shared" ref="C109:Q109" si="3">STDEV(C9:C104)</f>
        <v>2.1642783733136068E-2</v>
      </c>
      <c r="D109" s="184">
        <f t="shared" si="3"/>
        <v>4.7996596187792659E-2</v>
      </c>
      <c r="E109" s="184">
        <f t="shared" si="3"/>
        <v>2.4279047691337894</v>
      </c>
      <c r="F109" s="184">
        <f t="shared" si="3"/>
        <v>15.569746318666574</v>
      </c>
      <c r="G109" s="184">
        <f t="shared" si="3"/>
        <v>10.739476119651295</v>
      </c>
      <c r="H109" s="184">
        <f t="shared" si="3"/>
        <v>2.2231655334309179</v>
      </c>
      <c r="I109" s="184">
        <f t="shared" si="3"/>
        <v>0.76528969832894456</v>
      </c>
      <c r="J109" s="184">
        <f t="shared" si="3"/>
        <v>0.59815526903739014</v>
      </c>
      <c r="K109" s="184">
        <f t="shared" si="3"/>
        <v>73.32059599948235</v>
      </c>
      <c r="L109" s="184">
        <f t="shared" si="3"/>
        <v>3.895229380899782</v>
      </c>
      <c r="M109" s="184">
        <f t="shared" si="3"/>
        <v>12.738480423848507</v>
      </c>
      <c r="N109" s="184">
        <f t="shared" si="3"/>
        <v>190.06876587714615</v>
      </c>
      <c r="O109" s="184">
        <f t="shared" si="3"/>
        <v>0</v>
      </c>
      <c r="P109" s="184">
        <f t="shared" si="3"/>
        <v>7.9808707698854855E-2</v>
      </c>
      <c r="Q109" s="184">
        <f t="shared" si="3"/>
        <v>1.0145836530494063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87" activePane="bottomRight" state="frozen"/>
      <selection activeCell="A9" sqref="A9"/>
      <selection pane="topRight" activeCell="A9" sqref="A9"/>
      <selection pane="bottomLeft" activeCell="A9" sqref="A9"/>
      <selection pane="bottomRight" activeCell="G71" sqref="G71:H75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45448.010416666664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45448.010416666664</v>
      </c>
      <c r="B9" s="112">
        <v>7.26</v>
      </c>
      <c r="C9" s="112">
        <v>6.07</v>
      </c>
      <c r="D9" s="112">
        <v>14</v>
      </c>
      <c r="E9" s="112">
        <v>9.35</v>
      </c>
      <c r="F9" s="112">
        <v>25.6</v>
      </c>
      <c r="G9" s="112">
        <v>36.799999999999997</v>
      </c>
      <c r="H9" s="112">
        <v>13.75</v>
      </c>
      <c r="I9" s="112">
        <v>3.9</v>
      </c>
      <c r="J9" s="112">
        <v>0.4</v>
      </c>
      <c r="K9" s="112">
        <v>248.74</v>
      </c>
      <c r="L9" s="112">
        <v>30.27</v>
      </c>
      <c r="M9" s="112">
        <v>59.59</v>
      </c>
      <c r="N9" s="112">
        <v>0</v>
      </c>
      <c r="O9" s="112">
        <v>0</v>
      </c>
      <c r="P9" s="112">
        <v>0.33</v>
      </c>
      <c r="Q9" s="112">
        <v>4.9000000000000004</v>
      </c>
    </row>
    <row r="10" spans="1:21" customFormat="1">
      <c r="A10" s="80">
        <v>45448.020833333336</v>
      </c>
      <c r="B10" s="112">
        <v>7.25</v>
      </c>
      <c r="C10" s="112">
        <v>6.09</v>
      </c>
      <c r="D10" s="112">
        <v>14.01</v>
      </c>
      <c r="E10" s="112">
        <v>9.14</v>
      </c>
      <c r="F10" s="112">
        <v>30.49</v>
      </c>
      <c r="G10" s="112">
        <v>34.770000000000003</v>
      </c>
      <c r="H10" s="112">
        <v>13.49</v>
      </c>
      <c r="I10" s="112">
        <v>3.95</v>
      </c>
      <c r="J10" s="112">
        <v>0.3</v>
      </c>
      <c r="K10" s="112">
        <v>347.72</v>
      </c>
      <c r="L10" s="112">
        <v>30.44</v>
      </c>
      <c r="M10" s="112">
        <v>58.04</v>
      </c>
      <c r="N10" s="112">
        <v>0</v>
      </c>
      <c r="O10" s="112">
        <v>0</v>
      </c>
      <c r="P10" s="112">
        <v>0.33</v>
      </c>
      <c r="Q10" s="112">
        <v>4.91</v>
      </c>
    </row>
    <row r="11" spans="1:21" customFormat="1">
      <c r="A11" s="80">
        <v>45448.03125</v>
      </c>
      <c r="B11" s="112">
        <v>7.28</v>
      </c>
      <c r="C11" s="112">
        <v>6.06</v>
      </c>
      <c r="D11" s="112">
        <v>14.01</v>
      </c>
      <c r="E11" s="112">
        <v>10.99</v>
      </c>
      <c r="F11" s="112">
        <v>18.48</v>
      </c>
      <c r="G11" s="112">
        <v>34.33</v>
      </c>
      <c r="H11" s="112">
        <v>13.49</v>
      </c>
      <c r="I11" s="112">
        <v>3.79</v>
      </c>
      <c r="J11" s="112">
        <v>1.86</v>
      </c>
      <c r="K11" s="112">
        <v>39.35</v>
      </c>
      <c r="L11" s="112">
        <v>30.76</v>
      </c>
      <c r="M11" s="112">
        <v>56.57</v>
      </c>
      <c r="N11" s="112">
        <v>0</v>
      </c>
      <c r="O11" s="112">
        <v>0</v>
      </c>
      <c r="P11" s="112">
        <v>0.35</v>
      </c>
      <c r="Q11" s="112">
        <v>4.91</v>
      </c>
    </row>
    <row r="12" spans="1:21" customFormat="1">
      <c r="A12" s="80">
        <v>45448.041666666664</v>
      </c>
      <c r="B12" s="112">
        <v>7.27</v>
      </c>
      <c r="C12" s="112">
        <v>6.07</v>
      </c>
      <c r="D12" s="112">
        <v>14.01</v>
      </c>
      <c r="E12" s="112">
        <v>22.88</v>
      </c>
      <c r="F12" s="112">
        <v>15.88</v>
      </c>
      <c r="G12" s="112">
        <v>34.33</v>
      </c>
      <c r="H12" s="112">
        <v>13.49</v>
      </c>
      <c r="I12" s="112">
        <v>3.65</v>
      </c>
      <c r="J12" s="112">
        <v>2.64</v>
      </c>
      <c r="K12" s="112">
        <v>28.67</v>
      </c>
      <c r="L12" s="112">
        <v>30.22</v>
      </c>
      <c r="M12" s="112">
        <v>58.79</v>
      </c>
      <c r="N12" s="112">
        <v>0</v>
      </c>
      <c r="O12" s="112">
        <v>0</v>
      </c>
      <c r="P12" s="112">
        <v>0.36</v>
      </c>
      <c r="Q12" s="112">
        <v>4.9000000000000004</v>
      </c>
    </row>
    <row r="13" spans="1:21" customFormat="1">
      <c r="A13" s="80">
        <v>45448.052083333336</v>
      </c>
      <c r="B13" s="112">
        <v>7.27</v>
      </c>
      <c r="C13" s="112">
        <v>6.05</v>
      </c>
      <c r="D13" s="112">
        <v>14</v>
      </c>
      <c r="E13" s="112">
        <v>25.21</v>
      </c>
      <c r="F13" s="112">
        <v>17.04</v>
      </c>
      <c r="G13" s="112">
        <v>34.33</v>
      </c>
      <c r="H13" s="112">
        <v>13.49</v>
      </c>
      <c r="I13" s="112">
        <v>4.0199999999999996</v>
      </c>
      <c r="J13" s="112">
        <v>1.95</v>
      </c>
      <c r="K13" s="112">
        <v>27.54</v>
      </c>
      <c r="L13" s="112">
        <v>29.3</v>
      </c>
      <c r="M13" s="112">
        <v>61</v>
      </c>
      <c r="N13" s="112">
        <v>0</v>
      </c>
      <c r="O13" s="112">
        <v>0</v>
      </c>
      <c r="P13" s="112">
        <v>0.34</v>
      </c>
      <c r="Q13" s="112">
        <v>4.93</v>
      </c>
    </row>
    <row r="14" spans="1:21" customFormat="1">
      <c r="A14" s="80">
        <v>45448.0625</v>
      </c>
      <c r="B14" s="112">
        <v>7.26</v>
      </c>
      <c r="C14" s="112">
        <v>6.06</v>
      </c>
      <c r="D14" s="112">
        <v>14</v>
      </c>
      <c r="E14" s="112">
        <v>13.75</v>
      </c>
      <c r="F14" s="112">
        <v>22.77</v>
      </c>
      <c r="G14" s="112">
        <v>45.55</v>
      </c>
      <c r="H14" s="112">
        <v>14.73</v>
      </c>
      <c r="I14" s="112">
        <v>4.2300000000000004</v>
      </c>
      <c r="J14" s="112">
        <v>1.58</v>
      </c>
      <c r="K14" s="112">
        <v>23.25</v>
      </c>
      <c r="L14" s="112">
        <v>28.06</v>
      </c>
      <c r="M14" s="112">
        <v>60.6</v>
      </c>
      <c r="N14" s="112">
        <v>0</v>
      </c>
      <c r="O14" s="112">
        <v>0</v>
      </c>
      <c r="P14" s="112">
        <v>0.32</v>
      </c>
      <c r="Q14" s="112">
        <v>4.92</v>
      </c>
    </row>
    <row r="15" spans="1:21" customFormat="1">
      <c r="A15" s="80">
        <v>45448.072916666664</v>
      </c>
      <c r="B15" s="112">
        <v>7.24</v>
      </c>
      <c r="C15" s="112">
        <v>6.07</v>
      </c>
      <c r="D15" s="112">
        <v>13.99</v>
      </c>
      <c r="E15" s="112">
        <v>9.66</v>
      </c>
      <c r="F15" s="112">
        <v>16.82</v>
      </c>
      <c r="G15" s="112">
        <v>47.97</v>
      </c>
      <c r="H15" s="112">
        <v>14.73</v>
      </c>
      <c r="I15" s="112">
        <v>4.1100000000000003</v>
      </c>
      <c r="J15" s="112">
        <v>0.64</v>
      </c>
      <c r="K15" s="112">
        <v>9.7899999999999991</v>
      </c>
      <c r="L15" s="112">
        <v>27.69</v>
      </c>
      <c r="M15" s="112">
        <v>66.489999999999995</v>
      </c>
      <c r="N15" s="112">
        <v>0</v>
      </c>
      <c r="O15" s="112">
        <v>0.2</v>
      </c>
      <c r="P15" s="112">
        <v>0.31</v>
      </c>
      <c r="Q15" s="112">
        <v>4.93</v>
      </c>
    </row>
    <row r="16" spans="1:21" customFormat="1">
      <c r="A16" s="80">
        <v>45448.083333333336</v>
      </c>
      <c r="B16" s="112">
        <v>7.24</v>
      </c>
      <c r="C16" s="112">
        <v>6.07</v>
      </c>
      <c r="D16" s="112">
        <v>13.99</v>
      </c>
      <c r="E16" s="112">
        <v>8.84</v>
      </c>
      <c r="F16" s="112">
        <v>7.45</v>
      </c>
      <c r="G16" s="112">
        <v>47.97</v>
      </c>
      <c r="H16" s="112">
        <v>14.73</v>
      </c>
      <c r="I16" s="112">
        <v>3.98</v>
      </c>
      <c r="J16" s="112">
        <v>0.35</v>
      </c>
      <c r="K16" s="112">
        <v>116.76</v>
      </c>
      <c r="L16" s="112">
        <v>26.37</v>
      </c>
      <c r="M16" s="112">
        <v>84.77</v>
      </c>
      <c r="N16" s="112">
        <v>0</v>
      </c>
      <c r="O16" s="112">
        <v>0</v>
      </c>
      <c r="P16" s="112">
        <v>0.32</v>
      </c>
      <c r="Q16" s="112">
        <v>4.93</v>
      </c>
    </row>
    <row r="17" spans="1:17" customFormat="1">
      <c r="A17" s="80">
        <v>45448.09375</v>
      </c>
      <c r="B17" s="112">
        <v>7.22</v>
      </c>
      <c r="C17" s="112">
        <v>6.11</v>
      </c>
      <c r="D17" s="112">
        <v>13.99</v>
      </c>
      <c r="E17" s="112">
        <v>7.39</v>
      </c>
      <c r="F17" s="112">
        <v>6.28</v>
      </c>
      <c r="G17" s="112">
        <v>47.97</v>
      </c>
      <c r="H17" s="112">
        <v>14.73</v>
      </c>
      <c r="I17" s="112">
        <v>4.0199999999999996</v>
      </c>
      <c r="J17" s="112">
        <v>0.22</v>
      </c>
      <c r="K17" s="112">
        <v>-0.27</v>
      </c>
      <c r="L17" s="112">
        <v>26.22</v>
      </c>
      <c r="M17" s="112">
        <v>83.47</v>
      </c>
      <c r="N17" s="112">
        <v>0</v>
      </c>
      <c r="O17" s="112">
        <v>0</v>
      </c>
      <c r="P17" s="112">
        <v>0.33</v>
      </c>
      <c r="Q17" s="112">
        <v>4.92</v>
      </c>
    </row>
    <row r="18" spans="1:17" customFormat="1">
      <c r="A18" s="80">
        <v>45448.104166666664</v>
      </c>
      <c r="B18" s="149" t="s">
        <v>4</v>
      </c>
      <c r="C18" s="149" t="s">
        <v>4</v>
      </c>
      <c r="D18" s="149" t="s">
        <v>4</v>
      </c>
      <c r="E18" s="149" t="s">
        <v>4</v>
      </c>
      <c r="F18" s="149" t="s">
        <v>4</v>
      </c>
      <c r="G18" s="149" t="s">
        <v>4</v>
      </c>
      <c r="H18" s="149" t="s">
        <v>4</v>
      </c>
      <c r="I18" s="149" t="s">
        <v>4</v>
      </c>
      <c r="J18" s="149" t="s">
        <v>4</v>
      </c>
      <c r="K18" s="149" t="s">
        <v>4</v>
      </c>
      <c r="L18" s="149" t="s">
        <v>4</v>
      </c>
      <c r="M18" s="149" t="s">
        <v>4</v>
      </c>
      <c r="N18" s="149" t="s">
        <v>4</v>
      </c>
      <c r="O18" s="149" t="s">
        <v>4</v>
      </c>
      <c r="P18" s="149" t="s">
        <v>4</v>
      </c>
      <c r="Q18" s="149" t="s">
        <v>4</v>
      </c>
    </row>
    <row r="19" spans="1:17" customFormat="1">
      <c r="A19" s="80">
        <v>45448.114583333336</v>
      </c>
      <c r="B19" s="149" t="s">
        <v>4</v>
      </c>
      <c r="C19" s="149" t="s">
        <v>4</v>
      </c>
      <c r="D19" s="149" t="s">
        <v>4</v>
      </c>
      <c r="E19" s="149" t="s">
        <v>4</v>
      </c>
      <c r="F19" s="149" t="s">
        <v>4</v>
      </c>
      <c r="G19" s="149" t="s">
        <v>4</v>
      </c>
      <c r="H19" s="149" t="s">
        <v>4</v>
      </c>
      <c r="I19" s="149" t="s">
        <v>4</v>
      </c>
      <c r="J19" s="149" t="s">
        <v>4</v>
      </c>
      <c r="K19" s="149" t="s">
        <v>4</v>
      </c>
      <c r="L19" s="149" t="s">
        <v>4</v>
      </c>
      <c r="M19" s="149" t="s">
        <v>4</v>
      </c>
      <c r="N19" s="149" t="s">
        <v>4</v>
      </c>
      <c r="O19" s="149" t="s">
        <v>4</v>
      </c>
      <c r="P19" s="149" t="s">
        <v>4</v>
      </c>
      <c r="Q19" s="149" t="s">
        <v>4</v>
      </c>
    </row>
    <row r="20" spans="1:17" customFormat="1">
      <c r="A20" s="80">
        <v>45448.125</v>
      </c>
      <c r="B20" s="149" t="s">
        <v>4</v>
      </c>
      <c r="C20" s="149" t="s">
        <v>4</v>
      </c>
      <c r="D20" s="149" t="s">
        <v>4</v>
      </c>
      <c r="E20" s="149" t="s">
        <v>4</v>
      </c>
      <c r="F20" s="149" t="s">
        <v>4</v>
      </c>
      <c r="G20" s="149" t="s">
        <v>4</v>
      </c>
      <c r="H20" s="149" t="s">
        <v>4</v>
      </c>
      <c r="I20" s="149" t="s">
        <v>4</v>
      </c>
      <c r="J20" s="149" t="s">
        <v>4</v>
      </c>
      <c r="K20" s="149" t="s">
        <v>4</v>
      </c>
      <c r="L20" s="149" t="s">
        <v>4</v>
      </c>
      <c r="M20" s="149" t="s">
        <v>4</v>
      </c>
      <c r="N20" s="149" t="s">
        <v>4</v>
      </c>
      <c r="O20" s="149" t="s">
        <v>4</v>
      </c>
      <c r="P20" s="149" t="s">
        <v>4</v>
      </c>
      <c r="Q20" s="149" t="s">
        <v>4</v>
      </c>
    </row>
    <row r="21" spans="1:17" customFormat="1">
      <c r="A21" s="80">
        <v>45448.135416666664</v>
      </c>
      <c r="B21" s="149" t="s">
        <v>4</v>
      </c>
      <c r="C21" s="149" t="s">
        <v>4</v>
      </c>
      <c r="D21" s="149" t="s">
        <v>4</v>
      </c>
      <c r="E21" s="149" t="s">
        <v>4</v>
      </c>
      <c r="F21" s="149" t="s">
        <v>4</v>
      </c>
      <c r="G21" s="149" t="s">
        <v>4</v>
      </c>
      <c r="H21" s="149" t="s">
        <v>4</v>
      </c>
      <c r="I21" s="149" t="s">
        <v>4</v>
      </c>
      <c r="J21" s="149" t="s">
        <v>4</v>
      </c>
      <c r="K21" s="149" t="s">
        <v>4</v>
      </c>
      <c r="L21" s="149" t="s">
        <v>4</v>
      </c>
      <c r="M21" s="149" t="s">
        <v>4</v>
      </c>
      <c r="N21" s="149" t="s">
        <v>4</v>
      </c>
      <c r="O21" s="149" t="s">
        <v>4</v>
      </c>
      <c r="P21" s="149" t="s">
        <v>4</v>
      </c>
      <c r="Q21" s="149" t="s">
        <v>4</v>
      </c>
    </row>
    <row r="22" spans="1:17" customFormat="1">
      <c r="A22" s="80">
        <v>45448.145833333336</v>
      </c>
      <c r="B22" s="149" t="s">
        <v>4</v>
      </c>
      <c r="C22" s="149" t="s">
        <v>4</v>
      </c>
      <c r="D22" s="149" t="s">
        <v>4</v>
      </c>
      <c r="E22" s="149" t="s">
        <v>4</v>
      </c>
      <c r="F22" s="149" t="s">
        <v>4</v>
      </c>
      <c r="G22" s="149" t="s">
        <v>4</v>
      </c>
      <c r="H22" s="149" t="s">
        <v>4</v>
      </c>
      <c r="I22" s="149" t="s">
        <v>4</v>
      </c>
      <c r="J22" s="149" t="s">
        <v>4</v>
      </c>
      <c r="K22" s="149" t="s">
        <v>4</v>
      </c>
      <c r="L22" s="149" t="s">
        <v>4</v>
      </c>
      <c r="M22" s="149" t="s">
        <v>4</v>
      </c>
      <c r="N22" s="149" t="s">
        <v>4</v>
      </c>
      <c r="O22" s="149" t="s">
        <v>4</v>
      </c>
      <c r="P22" s="149" t="s">
        <v>4</v>
      </c>
      <c r="Q22" s="149" t="s">
        <v>4</v>
      </c>
    </row>
    <row r="23" spans="1:17" customFormat="1">
      <c r="A23" s="80">
        <v>45448.15625</v>
      </c>
      <c r="B23" s="149" t="s">
        <v>4</v>
      </c>
      <c r="C23" s="149" t="s">
        <v>4</v>
      </c>
      <c r="D23" s="149" t="s">
        <v>4</v>
      </c>
      <c r="E23" s="149" t="s">
        <v>4</v>
      </c>
      <c r="F23" s="149" t="s">
        <v>4</v>
      </c>
      <c r="G23" s="149" t="s">
        <v>4</v>
      </c>
      <c r="H23" s="149" t="s">
        <v>4</v>
      </c>
      <c r="I23" s="149" t="s">
        <v>4</v>
      </c>
      <c r="J23" s="149" t="s">
        <v>4</v>
      </c>
      <c r="K23" s="149" t="s">
        <v>4</v>
      </c>
      <c r="L23" s="149" t="s">
        <v>4</v>
      </c>
      <c r="M23" s="149" t="s">
        <v>4</v>
      </c>
      <c r="N23" s="149" t="s">
        <v>4</v>
      </c>
      <c r="O23" s="149" t="s">
        <v>4</v>
      </c>
      <c r="P23" s="149" t="s">
        <v>4</v>
      </c>
      <c r="Q23" s="149" t="s">
        <v>4</v>
      </c>
    </row>
    <row r="24" spans="1:17" customFormat="1">
      <c r="A24" s="80">
        <v>45448.166666666664</v>
      </c>
      <c r="B24" s="149" t="s">
        <v>4</v>
      </c>
      <c r="C24" s="149" t="s">
        <v>4</v>
      </c>
      <c r="D24" s="149" t="s">
        <v>4</v>
      </c>
      <c r="E24" s="149" t="s">
        <v>4</v>
      </c>
      <c r="F24" s="149" t="s">
        <v>4</v>
      </c>
      <c r="G24" s="149" t="s">
        <v>4</v>
      </c>
      <c r="H24" s="149" t="s">
        <v>4</v>
      </c>
      <c r="I24" s="149" t="s">
        <v>4</v>
      </c>
      <c r="J24" s="149" t="s">
        <v>4</v>
      </c>
      <c r="K24" s="149" t="s">
        <v>4</v>
      </c>
      <c r="L24" s="149" t="s">
        <v>4</v>
      </c>
      <c r="M24" s="149" t="s">
        <v>4</v>
      </c>
      <c r="N24" s="149" t="s">
        <v>4</v>
      </c>
      <c r="O24" s="149" t="s">
        <v>4</v>
      </c>
      <c r="P24" s="149" t="s">
        <v>4</v>
      </c>
      <c r="Q24" s="149" t="s">
        <v>4</v>
      </c>
    </row>
    <row r="25" spans="1:17" customFormat="1">
      <c r="A25" s="80">
        <v>45448.177083333336</v>
      </c>
      <c r="B25" s="149" t="s">
        <v>4</v>
      </c>
      <c r="C25" s="149" t="s">
        <v>4</v>
      </c>
      <c r="D25" s="149" t="s">
        <v>4</v>
      </c>
      <c r="E25" s="149" t="s">
        <v>4</v>
      </c>
      <c r="F25" s="149" t="s">
        <v>4</v>
      </c>
      <c r="G25" s="149" t="s">
        <v>4</v>
      </c>
      <c r="H25" s="149" t="s">
        <v>4</v>
      </c>
      <c r="I25" s="149" t="s">
        <v>4</v>
      </c>
      <c r="J25" s="149" t="s">
        <v>4</v>
      </c>
      <c r="K25" s="149" t="s">
        <v>4</v>
      </c>
      <c r="L25" s="149" t="s">
        <v>4</v>
      </c>
      <c r="M25" s="149" t="s">
        <v>4</v>
      </c>
      <c r="N25" s="149" t="s">
        <v>4</v>
      </c>
      <c r="O25" s="149" t="s">
        <v>4</v>
      </c>
      <c r="P25" s="149" t="s">
        <v>4</v>
      </c>
      <c r="Q25" s="149" t="s">
        <v>4</v>
      </c>
    </row>
    <row r="26" spans="1:17" customFormat="1">
      <c r="A26" s="80">
        <v>45448.1875</v>
      </c>
      <c r="B26" s="149" t="s">
        <v>4</v>
      </c>
      <c r="C26" s="149" t="s">
        <v>4</v>
      </c>
      <c r="D26" s="149" t="s">
        <v>4</v>
      </c>
      <c r="E26" s="149" t="s">
        <v>4</v>
      </c>
      <c r="F26" s="149" t="s">
        <v>4</v>
      </c>
      <c r="G26" s="149" t="s">
        <v>4</v>
      </c>
      <c r="H26" s="149" t="s">
        <v>4</v>
      </c>
      <c r="I26" s="149" t="s">
        <v>4</v>
      </c>
      <c r="J26" s="149" t="s">
        <v>4</v>
      </c>
      <c r="K26" s="149" t="s">
        <v>4</v>
      </c>
      <c r="L26" s="149" t="s">
        <v>4</v>
      </c>
      <c r="M26" s="149" t="s">
        <v>4</v>
      </c>
      <c r="N26" s="149" t="s">
        <v>4</v>
      </c>
      <c r="O26" s="149" t="s">
        <v>4</v>
      </c>
      <c r="P26" s="149" t="s">
        <v>4</v>
      </c>
      <c r="Q26" s="149" t="s">
        <v>4</v>
      </c>
    </row>
    <row r="27" spans="1:17" customFormat="1">
      <c r="A27" s="80">
        <v>45448.197916666664</v>
      </c>
      <c r="B27" s="149" t="s">
        <v>4</v>
      </c>
      <c r="C27" s="149" t="s">
        <v>4</v>
      </c>
      <c r="D27" s="149" t="s">
        <v>4</v>
      </c>
      <c r="E27" s="149" t="s">
        <v>4</v>
      </c>
      <c r="F27" s="149" t="s">
        <v>4</v>
      </c>
      <c r="G27" s="149" t="s">
        <v>4</v>
      </c>
      <c r="H27" s="149" t="s">
        <v>4</v>
      </c>
      <c r="I27" s="149" t="s">
        <v>4</v>
      </c>
      <c r="J27" s="149" t="s">
        <v>4</v>
      </c>
      <c r="K27" s="149" t="s">
        <v>4</v>
      </c>
      <c r="L27" s="149" t="s">
        <v>4</v>
      </c>
      <c r="M27" s="149" t="s">
        <v>4</v>
      </c>
      <c r="N27" s="149" t="s">
        <v>4</v>
      </c>
      <c r="O27" s="149" t="s">
        <v>4</v>
      </c>
      <c r="P27" s="149" t="s">
        <v>4</v>
      </c>
      <c r="Q27" s="149" t="s">
        <v>4</v>
      </c>
    </row>
    <row r="28" spans="1:17" customFormat="1">
      <c r="A28" s="80">
        <v>45448.208333333336</v>
      </c>
      <c r="B28" s="149" t="s">
        <v>4</v>
      </c>
      <c r="C28" s="149" t="s">
        <v>4</v>
      </c>
      <c r="D28" s="149" t="s">
        <v>4</v>
      </c>
      <c r="E28" s="149" t="s">
        <v>4</v>
      </c>
      <c r="F28" s="149" t="s">
        <v>4</v>
      </c>
      <c r="G28" s="149" t="s">
        <v>4</v>
      </c>
      <c r="H28" s="149" t="s">
        <v>4</v>
      </c>
      <c r="I28" s="149" t="s">
        <v>4</v>
      </c>
      <c r="J28" s="149" t="s">
        <v>4</v>
      </c>
      <c r="K28" s="149" t="s">
        <v>4</v>
      </c>
      <c r="L28" s="149" t="s">
        <v>4</v>
      </c>
      <c r="M28" s="149" t="s">
        <v>4</v>
      </c>
      <c r="N28" s="149" t="s">
        <v>4</v>
      </c>
      <c r="O28" s="149" t="s">
        <v>4</v>
      </c>
      <c r="P28" s="149" t="s">
        <v>4</v>
      </c>
      <c r="Q28" s="149" t="s">
        <v>4</v>
      </c>
    </row>
    <row r="29" spans="1:17" customFormat="1">
      <c r="A29" s="80">
        <v>45448.21875</v>
      </c>
      <c r="B29" s="149" t="s">
        <v>4</v>
      </c>
      <c r="C29" s="149" t="s">
        <v>4</v>
      </c>
      <c r="D29" s="149" t="s">
        <v>4</v>
      </c>
      <c r="E29" s="149" t="s">
        <v>4</v>
      </c>
      <c r="F29" s="149" t="s">
        <v>4</v>
      </c>
      <c r="G29" s="149" t="s">
        <v>4</v>
      </c>
      <c r="H29" s="149" t="s">
        <v>4</v>
      </c>
      <c r="I29" s="149" t="s">
        <v>4</v>
      </c>
      <c r="J29" s="149" t="s">
        <v>4</v>
      </c>
      <c r="K29" s="149" t="s">
        <v>4</v>
      </c>
      <c r="L29" s="149" t="s">
        <v>4</v>
      </c>
      <c r="M29" s="149" t="s">
        <v>4</v>
      </c>
      <c r="N29" s="149" t="s">
        <v>4</v>
      </c>
      <c r="O29" s="149" t="s">
        <v>4</v>
      </c>
      <c r="P29" s="149" t="s">
        <v>4</v>
      </c>
      <c r="Q29" s="149" t="s">
        <v>4</v>
      </c>
    </row>
    <row r="30" spans="1:17" customFormat="1">
      <c r="A30" s="80">
        <v>45448.229166666664</v>
      </c>
      <c r="B30" s="149" t="s">
        <v>4</v>
      </c>
      <c r="C30" s="149" t="s">
        <v>4</v>
      </c>
      <c r="D30" s="149" t="s">
        <v>4</v>
      </c>
      <c r="E30" s="149" t="s">
        <v>4</v>
      </c>
      <c r="F30" s="149" t="s">
        <v>4</v>
      </c>
      <c r="G30" s="149" t="s">
        <v>4</v>
      </c>
      <c r="H30" s="149" t="s">
        <v>4</v>
      </c>
      <c r="I30" s="149" t="s">
        <v>4</v>
      </c>
      <c r="J30" s="149" t="s">
        <v>4</v>
      </c>
      <c r="K30" s="149" t="s">
        <v>4</v>
      </c>
      <c r="L30" s="149" t="s">
        <v>4</v>
      </c>
      <c r="M30" s="149" t="s">
        <v>4</v>
      </c>
      <c r="N30" s="149" t="s">
        <v>4</v>
      </c>
      <c r="O30" s="149" t="s">
        <v>4</v>
      </c>
      <c r="P30" s="149" t="s">
        <v>4</v>
      </c>
      <c r="Q30" s="149" t="s">
        <v>4</v>
      </c>
    </row>
    <row r="31" spans="1:17" customFormat="1">
      <c r="A31" s="80">
        <v>45448.239583333336</v>
      </c>
      <c r="B31" s="149" t="s">
        <v>4</v>
      </c>
      <c r="C31" s="149" t="s">
        <v>4</v>
      </c>
      <c r="D31" s="149" t="s">
        <v>4</v>
      </c>
      <c r="E31" s="149" t="s">
        <v>4</v>
      </c>
      <c r="F31" s="149" t="s">
        <v>4</v>
      </c>
      <c r="G31" s="149" t="s">
        <v>4</v>
      </c>
      <c r="H31" s="149" t="s">
        <v>4</v>
      </c>
      <c r="I31" s="149" t="s">
        <v>4</v>
      </c>
      <c r="J31" s="149" t="s">
        <v>4</v>
      </c>
      <c r="K31" s="149" t="s">
        <v>4</v>
      </c>
      <c r="L31" s="149" t="s">
        <v>4</v>
      </c>
      <c r="M31" s="149" t="s">
        <v>4</v>
      </c>
      <c r="N31" s="149" t="s">
        <v>4</v>
      </c>
      <c r="O31" s="149" t="s">
        <v>4</v>
      </c>
      <c r="P31" s="149" t="s">
        <v>4</v>
      </c>
      <c r="Q31" s="149" t="s">
        <v>4</v>
      </c>
    </row>
    <row r="32" spans="1:17" customFormat="1">
      <c r="A32" s="80">
        <v>45448.25</v>
      </c>
      <c r="B32" s="149" t="s">
        <v>4</v>
      </c>
      <c r="C32" s="149" t="s">
        <v>4</v>
      </c>
      <c r="D32" s="149" t="s">
        <v>4</v>
      </c>
      <c r="E32" s="149" t="s">
        <v>4</v>
      </c>
      <c r="F32" s="149" t="s">
        <v>4</v>
      </c>
      <c r="G32" s="149" t="s">
        <v>4</v>
      </c>
      <c r="H32" s="149" t="s">
        <v>4</v>
      </c>
      <c r="I32" s="149" t="s">
        <v>4</v>
      </c>
      <c r="J32" s="149" t="s">
        <v>4</v>
      </c>
      <c r="K32" s="149" t="s">
        <v>4</v>
      </c>
      <c r="L32" s="149" t="s">
        <v>4</v>
      </c>
      <c r="M32" s="149" t="s">
        <v>4</v>
      </c>
      <c r="N32" s="149" t="s">
        <v>4</v>
      </c>
      <c r="O32" s="149" t="s">
        <v>4</v>
      </c>
      <c r="P32" s="149" t="s">
        <v>4</v>
      </c>
      <c r="Q32" s="149" t="s">
        <v>4</v>
      </c>
    </row>
    <row r="33" spans="1:17" customFormat="1">
      <c r="A33" s="80">
        <v>45448.260416666664</v>
      </c>
      <c r="B33" s="149" t="s">
        <v>4</v>
      </c>
      <c r="C33" s="149" t="s">
        <v>4</v>
      </c>
      <c r="D33" s="149" t="s">
        <v>4</v>
      </c>
      <c r="E33" s="149" t="s">
        <v>4</v>
      </c>
      <c r="F33" s="149" t="s">
        <v>4</v>
      </c>
      <c r="G33" s="149" t="s">
        <v>4</v>
      </c>
      <c r="H33" s="149" t="s">
        <v>4</v>
      </c>
      <c r="I33" s="149" t="s">
        <v>4</v>
      </c>
      <c r="J33" s="149" t="s">
        <v>4</v>
      </c>
      <c r="K33" s="149" t="s">
        <v>4</v>
      </c>
      <c r="L33" s="149" t="s">
        <v>4</v>
      </c>
      <c r="M33" s="149" t="s">
        <v>4</v>
      </c>
      <c r="N33" s="149" t="s">
        <v>4</v>
      </c>
      <c r="O33" s="149" t="s">
        <v>4</v>
      </c>
      <c r="P33" s="149" t="s">
        <v>4</v>
      </c>
      <c r="Q33" s="149" t="s">
        <v>4</v>
      </c>
    </row>
    <row r="34" spans="1:17" customFormat="1">
      <c r="A34" s="80">
        <v>45448.270833333336</v>
      </c>
      <c r="B34" s="149" t="s">
        <v>4</v>
      </c>
      <c r="C34" s="149" t="s">
        <v>4</v>
      </c>
      <c r="D34" s="149" t="s">
        <v>4</v>
      </c>
      <c r="E34" s="149" t="s">
        <v>4</v>
      </c>
      <c r="F34" s="149" t="s">
        <v>4</v>
      </c>
      <c r="G34" s="149" t="s">
        <v>4</v>
      </c>
      <c r="H34" s="149" t="s">
        <v>4</v>
      </c>
      <c r="I34" s="149" t="s">
        <v>4</v>
      </c>
      <c r="J34" s="149" t="s">
        <v>4</v>
      </c>
      <c r="K34" s="149" t="s">
        <v>4</v>
      </c>
      <c r="L34" s="149" t="s">
        <v>4</v>
      </c>
      <c r="M34" s="149" t="s">
        <v>4</v>
      </c>
      <c r="N34" s="149" t="s">
        <v>4</v>
      </c>
      <c r="O34" s="149" t="s">
        <v>4</v>
      </c>
      <c r="P34" s="149" t="s">
        <v>4</v>
      </c>
      <c r="Q34" s="149" t="s">
        <v>4</v>
      </c>
    </row>
    <row r="35" spans="1:17" customFormat="1">
      <c r="A35" s="80">
        <v>45448.28125</v>
      </c>
      <c r="B35" s="149" t="s">
        <v>4</v>
      </c>
      <c r="C35" s="149" t="s">
        <v>4</v>
      </c>
      <c r="D35" s="149" t="s">
        <v>4</v>
      </c>
      <c r="E35" s="149" t="s">
        <v>4</v>
      </c>
      <c r="F35" s="149" t="s">
        <v>4</v>
      </c>
      <c r="G35" s="149" t="s">
        <v>4</v>
      </c>
      <c r="H35" s="149" t="s">
        <v>4</v>
      </c>
      <c r="I35" s="149" t="s">
        <v>4</v>
      </c>
      <c r="J35" s="149" t="s">
        <v>4</v>
      </c>
      <c r="K35" s="149" t="s">
        <v>4</v>
      </c>
      <c r="L35" s="149" t="s">
        <v>4</v>
      </c>
      <c r="M35" s="149" t="s">
        <v>4</v>
      </c>
      <c r="N35" s="149" t="s">
        <v>4</v>
      </c>
      <c r="O35" s="149" t="s">
        <v>4</v>
      </c>
      <c r="P35" s="149" t="s">
        <v>4</v>
      </c>
      <c r="Q35" s="149" t="s">
        <v>4</v>
      </c>
    </row>
    <row r="36" spans="1:17" customFormat="1">
      <c r="A36" s="80">
        <v>45448.291666666664</v>
      </c>
      <c r="B36" s="149" t="s">
        <v>4</v>
      </c>
      <c r="C36" s="149" t="s">
        <v>4</v>
      </c>
      <c r="D36" s="149" t="s">
        <v>4</v>
      </c>
      <c r="E36" s="149" t="s">
        <v>4</v>
      </c>
      <c r="F36" s="149" t="s">
        <v>4</v>
      </c>
      <c r="G36" s="149" t="s">
        <v>4</v>
      </c>
      <c r="H36" s="149" t="s">
        <v>4</v>
      </c>
      <c r="I36" s="149" t="s">
        <v>4</v>
      </c>
      <c r="J36" s="149" t="s">
        <v>4</v>
      </c>
      <c r="K36" s="149" t="s">
        <v>4</v>
      </c>
      <c r="L36" s="149" t="s">
        <v>4</v>
      </c>
      <c r="M36" s="149" t="s">
        <v>4</v>
      </c>
      <c r="N36" s="149" t="s">
        <v>4</v>
      </c>
      <c r="O36" s="149" t="s">
        <v>4</v>
      </c>
      <c r="P36" s="149" t="s">
        <v>4</v>
      </c>
      <c r="Q36" s="149" t="s">
        <v>4</v>
      </c>
    </row>
    <row r="37" spans="1:17" customFormat="1">
      <c r="A37" s="80">
        <v>45448.302083333336</v>
      </c>
      <c r="B37" s="149" t="s">
        <v>4</v>
      </c>
      <c r="C37" s="149" t="s">
        <v>4</v>
      </c>
      <c r="D37" s="149" t="s">
        <v>4</v>
      </c>
      <c r="E37" s="149" t="s">
        <v>4</v>
      </c>
      <c r="F37" s="149" t="s">
        <v>4</v>
      </c>
      <c r="G37" s="149" t="s">
        <v>4</v>
      </c>
      <c r="H37" s="149" t="s">
        <v>4</v>
      </c>
      <c r="I37" s="149" t="s">
        <v>4</v>
      </c>
      <c r="J37" s="149" t="s">
        <v>4</v>
      </c>
      <c r="K37" s="149" t="s">
        <v>4</v>
      </c>
      <c r="L37" s="149" t="s">
        <v>4</v>
      </c>
      <c r="M37" s="149" t="s">
        <v>4</v>
      </c>
      <c r="N37" s="149" t="s">
        <v>4</v>
      </c>
      <c r="O37" s="149" t="s">
        <v>4</v>
      </c>
      <c r="P37" s="149" t="s">
        <v>4</v>
      </c>
      <c r="Q37" s="149" t="s">
        <v>4</v>
      </c>
    </row>
    <row r="38" spans="1:17" customFormat="1">
      <c r="A38" s="80">
        <v>45448.3125</v>
      </c>
      <c r="B38" s="149" t="s">
        <v>4</v>
      </c>
      <c r="C38" s="149" t="s">
        <v>4</v>
      </c>
      <c r="D38" s="149" t="s">
        <v>4</v>
      </c>
      <c r="E38" s="149" t="s">
        <v>4</v>
      </c>
      <c r="F38" s="149" t="s">
        <v>4</v>
      </c>
      <c r="G38" s="149" t="s">
        <v>4</v>
      </c>
      <c r="H38" s="149" t="s">
        <v>4</v>
      </c>
      <c r="I38" s="149" t="s">
        <v>4</v>
      </c>
      <c r="J38" s="149" t="s">
        <v>4</v>
      </c>
      <c r="K38" s="149" t="s">
        <v>4</v>
      </c>
      <c r="L38" s="149" t="s">
        <v>4</v>
      </c>
      <c r="M38" s="149" t="s">
        <v>4</v>
      </c>
      <c r="N38" s="149" t="s">
        <v>4</v>
      </c>
      <c r="O38" s="149" t="s">
        <v>4</v>
      </c>
      <c r="P38" s="149" t="s">
        <v>4</v>
      </c>
      <c r="Q38" s="149" t="s">
        <v>4</v>
      </c>
    </row>
    <row r="39" spans="1:17" customFormat="1">
      <c r="A39" s="80">
        <v>45448.322916666664</v>
      </c>
      <c r="B39" s="149" t="s">
        <v>4</v>
      </c>
      <c r="C39" s="149" t="s">
        <v>4</v>
      </c>
      <c r="D39" s="149" t="s">
        <v>4</v>
      </c>
      <c r="E39" s="149" t="s">
        <v>4</v>
      </c>
      <c r="F39" s="149" t="s">
        <v>4</v>
      </c>
      <c r="G39" s="149" t="s">
        <v>4</v>
      </c>
      <c r="H39" s="149" t="s">
        <v>4</v>
      </c>
      <c r="I39" s="149" t="s">
        <v>4</v>
      </c>
      <c r="J39" s="149" t="s">
        <v>4</v>
      </c>
      <c r="K39" s="149" t="s">
        <v>4</v>
      </c>
      <c r="L39" s="149" t="s">
        <v>4</v>
      </c>
      <c r="M39" s="149" t="s">
        <v>4</v>
      </c>
      <c r="N39" s="149" t="s">
        <v>4</v>
      </c>
      <c r="O39" s="149" t="s">
        <v>4</v>
      </c>
      <c r="P39" s="149" t="s">
        <v>4</v>
      </c>
      <c r="Q39" s="149" t="s">
        <v>4</v>
      </c>
    </row>
    <row r="40" spans="1:17" customFormat="1">
      <c r="A40" s="80">
        <v>45448.333333333336</v>
      </c>
      <c r="B40" s="149" t="s">
        <v>4</v>
      </c>
      <c r="C40" s="149" t="s">
        <v>4</v>
      </c>
      <c r="D40" s="149" t="s">
        <v>4</v>
      </c>
      <c r="E40" s="149" t="s">
        <v>4</v>
      </c>
      <c r="F40" s="149" t="s">
        <v>4</v>
      </c>
      <c r="G40" s="149" t="s">
        <v>4</v>
      </c>
      <c r="H40" s="149" t="s">
        <v>4</v>
      </c>
      <c r="I40" s="149" t="s">
        <v>4</v>
      </c>
      <c r="J40" s="149" t="s">
        <v>4</v>
      </c>
      <c r="K40" s="149" t="s">
        <v>4</v>
      </c>
      <c r="L40" s="149" t="s">
        <v>4</v>
      </c>
      <c r="M40" s="149" t="s">
        <v>4</v>
      </c>
      <c r="N40" s="149" t="s">
        <v>4</v>
      </c>
      <c r="O40" s="149" t="s">
        <v>4</v>
      </c>
      <c r="P40" s="149" t="s">
        <v>4</v>
      </c>
      <c r="Q40" s="149" t="s">
        <v>4</v>
      </c>
    </row>
    <row r="41" spans="1:17" customFormat="1">
      <c r="A41" s="80">
        <v>45448.34375</v>
      </c>
      <c r="B41" s="149" t="s">
        <v>4</v>
      </c>
      <c r="C41" s="149" t="s">
        <v>4</v>
      </c>
      <c r="D41" s="149" t="s">
        <v>4</v>
      </c>
      <c r="E41" s="149" t="s">
        <v>4</v>
      </c>
      <c r="F41" s="149" t="s">
        <v>4</v>
      </c>
      <c r="G41" s="149" t="s">
        <v>4</v>
      </c>
      <c r="H41" s="149" t="s">
        <v>4</v>
      </c>
      <c r="I41" s="149" t="s">
        <v>4</v>
      </c>
      <c r="J41" s="149" t="s">
        <v>4</v>
      </c>
      <c r="K41" s="149" t="s">
        <v>4</v>
      </c>
      <c r="L41" s="149" t="s">
        <v>4</v>
      </c>
      <c r="M41" s="149" t="s">
        <v>4</v>
      </c>
      <c r="N41" s="149" t="s">
        <v>4</v>
      </c>
      <c r="O41" s="149" t="s">
        <v>4</v>
      </c>
      <c r="P41" s="149" t="s">
        <v>4</v>
      </c>
      <c r="Q41" s="149" t="s">
        <v>4</v>
      </c>
    </row>
    <row r="42" spans="1:17" customFormat="1">
      <c r="A42" s="80">
        <v>45448.354166666664</v>
      </c>
      <c r="B42" s="149" t="s">
        <v>4</v>
      </c>
      <c r="C42" s="149" t="s">
        <v>4</v>
      </c>
      <c r="D42" s="149" t="s">
        <v>4</v>
      </c>
      <c r="E42" s="149" t="s">
        <v>4</v>
      </c>
      <c r="F42" s="149" t="s">
        <v>4</v>
      </c>
      <c r="G42" s="149" t="s">
        <v>4</v>
      </c>
      <c r="H42" s="149" t="s">
        <v>4</v>
      </c>
      <c r="I42" s="149" t="s">
        <v>4</v>
      </c>
      <c r="J42" s="149" t="s">
        <v>4</v>
      </c>
      <c r="K42" s="149" t="s">
        <v>4</v>
      </c>
      <c r="L42" s="149" t="s">
        <v>4</v>
      </c>
      <c r="M42" s="149" t="s">
        <v>4</v>
      </c>
      <c r="N42" s="149" t="s">
        <v>4</v>
      </c>
      <c r="O42" s="149" t="s">
        <v>4</v>
      </c>
      <c r="P42" s="149" t="s">
        <v>4</v>
      </c>
      <c r="Q42" s="149" t="s">
        <v>4</v>
      </c>
    </row>
    <row r="43" spans="1:17" customFormat="1">
      <c r="A43" s="80">
        <v>45448.364583333336</v>
      </c>
      <c r="B43" s="149" t="s">
        <v>4</v>
      </c>
      <c r="C43" s="149" t="s">
        <v>4</v>
      </c>
      <c r="D43" s="149" t="s">
        <v>4</v>
      </c>
      <c r="E43" s="149" t="s">
        <v>4</v>
      </c>
      <c r="F43" s="149" t="s">
        <v>4</v>
      </c>
      <c r="G43" s="149" t="s">
        <v>4</v>
      </c>
      <c r="H43" s="149" t="s">
        <v>4</v>
      </c>
      <c r="I43" s="149" t="s">
        <v>4</v>
      </c>
      <c r="J43" s="149" t="s">
        <v>4</v>
      </c>
      <c r="K43" s="149" t="s">
        <v>4</v>
      </c>
      <c r="L43" s="149" t="s">
        <v>4</v>
      </c>
      <c r="M43" s="149" t="s">
        <v>4</v>
      </c>
      <c r="N43" s="149" t="s">
        <v>4</v>
      </c>
      <c r="O43" s="149" t="s">
        <v>4</v>
      </c>
      <c r="P43" s="149" t="s">
        <v>4</v>
      </c>
      <c r="Q43" s="149" t="s">
        <v>4</v>
      </c>
    </row>
    <row r="44" spans="1:17" customFormat="1">
      <c r="A44" s="80">
        <v>45448.375</v>
      </c>
      <c r="B44" s="149" t="s">
        <v>4</v>
      </c>
      <c r="C44" s="149" t="s">
        <v>4</v>
      </c>
      <c r="D44" s="149" t="s">
        <v>4</v>
      </c>
      <c r="E44" s="149" t="s">
        <v>4</v>
      </c>
      <c r="F44" s="149" t="s">
        <v>4</v>
      </c>
      <c r="G44" s="149" t="s">
        <v>4</v>
      </c>
      <c r="H44" s="149" t="s">
        <v>4</v>
      </c>
      <c r="I44" s="149" t="s">
        <v>4</v>
      </c>
      <c r="J44" s="149" t="s">
        <v>4</v>
      </c>
      <c r="K44" s="149" t="s">
        <v>4</v>
      </c>
      <c r="L44" s="149" t="s">
        <v>4</v>
      </c>
      <c r="M44" s="149" t="s">
        <v>4</v>
      </c>
      <c r="N44" s="149" t="s">
        <v>4</v>
      </c>
      <c r="O44" s="149" t="s">
        <v>4</v>
      </c>
      <c r="P44" s="149" t="s">
        <v>4</v>
      </c>
      <c r="Q44" s="149" t="s">
        <v>4</v>
      </c>
    </row>
    <row r="45" spans="1:17" customFormat="1">
      <c r="A45" s="80">
        <v>45448.385416666664</v>
      </c>
      <c r="B45" s="149" t="s">
        <v>4</v>
      </c>
      <c r="C45" s="149" t="s">
        <v>4</v>
      </c>
      <c r="D45" s="149" t="s">
        <v>4</v>
      </c>
      <c r="E45" s="149" t="s">
        <v>4</v>
      </c>
      <c r="F45" s="149" t="s">
        <v>4</v>
      </c>
      <c r="G45" s="149" t="s">
        <v>4</v>
      </c>
      <c r="H45" s="149" t="s">
        <v>4</v>
      </c>
      <c r="I45" s="149" t="s">
        <v>4</v>
      </c>
      <c r="J45" s="149" t="s">
        <v>4</v>
      </c>
      <c r="K45" s="149" t="s">
        <v>4</v>
      </c>
      <c r="L45" s="149" t="s">
        <v>4</v>
      </c>
      <c r="M45" s="149" t="s">
        <v>4</v>
      </c>
      <c r="N45" s="149" t="s">
        <v>4</v>
      </c>
      <c r="O45" s="149" t="s">
        <v>4</v>
      </c>
      <c r="P45" s="149" t="s">
        <v>4</v>
      </c>
      <c r="Q45" s="149" t="s">
        <v>4</v>
      </c>
    </row>
    <row r="46" spans="1:17" customFormat="1">
      <c r="A46" s="80">
        <v>45448.395833333336</v>
      </c>
      <c r="B46" s="149" t="s">
        <v>4</v>
      </c>
      <c r="C46" s="149" t="s">
        <v>4</v>
      </c>
      <c r="D46" s="149" t="s">
        <v>4</v>
      </c>
      <c r="E46" s="149" t="s">
        <v>4</v>
      </c>
      <c r="F46" s="149" t="s">
        <v>4</v>
      </c>
      <c r="G46" s="149" t="s">
        <v>4</v>
      </c>
      <c r="H46" s="149" t="s">
        <v>4</v>
      </c>
      <c r="I46" s="149" t="s">
        <v>4</v>
      </c>
      <c r="J46" s="149" t="s">
        <v>4</v>
      </c>
      <c r="K46" s="149" t="s">
        <v>4</v>
      </c>
      <c r="L46" s="149" t="s">
        <v>4</v>
      </c>
      <c r="M46" s="149" t="s">
        <v>4</v>
      </c>
      <c r="N46" s="149" t="s">
        <v>4</v>
      </c>
      <c r="O46" s="149" t="s">
        <v>4</v>
      </c>
      <c r="P46" s="149" t="s">
        <v>4</v>
      </c>
      <c r="Q46" s="149" t="s">
        <v>4</v>
      </c>
    </row>
    <row r="47" spans="1:17" customFormat="1">
      <c r="A47" s="80">
        <v>45448.40625</v>
      </c>
      <c r="B47" s="149" t="s">
        <v>4</v>
      </c>
      <c r="C47" s="149" t="s">
        <v>4</v>
      </c>
      <c r="D47" s="149" t="s">
        <v>4</v>
      </c>
      <c r="E47" s="149" t="s">
        <v>4</v>
      </c>
      <c r="F47" s="149" t="s">
        <v>4</v>
      </c>
      <c r="G47" s="149" t="s">
        <v>4</v>
      </c>
      <c r="H47" s="149" t="s">
        <v>4</v>
      </c>
      <c r="I47" s="149" t="s">
        <v>4</v>
      </c>
      <c r="J47" s="149" t="s">
        <v>4</v>
      </c>
      <c r="K47" s="149" t="s">
        <v>4</v>
      </c>
      <c r="L47" s="149" t="s">
        <v>4</v>
      </c>
      <c r="M47" s="149" t="s">
        <v>4</v>
      </c>
      <c r="N47" s="149" t="s">
        <v>4</v>
      </c>
      <c r="O47" s="149" t="s">
        <v>4</v>
      </c>
      <c r="P47" s="149" t="s">
        <v>4</v>
      </c>
      <c r="Q47" s="149" t="s">
        <v>4</v>
      </c>
    </row>
    <row r="48" spans="1:17" customFormat="1">
      <c r="A48" s="80">
        <v>45448.416666666664</v>
      </c>
      <c r="B48" s="149" t="s">
        <v>4</v>
      </c>
      <c r="C48" s="149" t="s">
        <v>4</v>
      </c>
      <c r="D48" s="149" t="s">
        <v>4</v>
      </c>
      <c r="E48" s="149" t="s">
        <v>4</v>
      </c>
      <c r="F48" s="149" t="s">
        <v>4</v>
      </c>
      <c r="G48" s="149" t="s">
        <v>4</v>
      </c>
      <c r="H48" s="149" t="s">
        <v>4</v>
      </c>
      <c r="I48" s="149" t="s">
        <v>4</v>
      </c>
      <c r="J48" s="149" t="s">
        <v>4</v>
      </c>
      <c r="K48" s="149" t="s">
        <v>4</v>
      </c>
      <c r="L48" s="149" t="s">
        <v>4</v>
      </c>
      <c r="M48" s="149" t="s">
        <v>4</v>
      </c>
      <c r="N48" s="149" t="s">
        <v>4</v>
      </c>
      <c r="O48" s="149" t="s">
        <v>4</v>
      </c>
      <c r="P48" s="149" t="s">
        <v>4</v>
      </c>
      <c r="Q48" s="149" t="s">
        <v>4</v>
      </c>
    </row>
    <row r="49" spans="1:17" customFormat="1">
      <c r="A49" s="80">
        <v>45448.427083333336</v>
      </c>
      <c r="B49" s="149" t="s">
        <v>4</v>
      </c>
      <c r="C49" s="149" t="s">
        <v>4</v>
      </c>
      <c r="D49" s="149" t="s">
        <v>4</v>
      </c>
      <c r="E49" s="149" t="s">
        <v>4</v>
      </c>
      <c r="F49" s="149" t="s">
        <v>4</v>
      </c>
      <c r="G49" s="149" t="s">
        <v>4</v>
      </c>
      <c r="H49" s="149" t="s">
        <v>4</v>
      </c>
      <c r="I49" s="149" t="s">
        <v>4</v>
      </c>
      <c r="J49" s="149" t="s">
        <v>4</v>
      </c>
      <c r="K49" s="149" t="s">
        <v>4</v>
      </c>
      <c r="L49" s="149" t="s">
        <v>4</v>
      </c>
      <c r="M49" s="149" t="s">
        <v>4</v>
      </c>
      <c r="N49" s="149" t="s">
        <v>4</v>
      </c>
      <c r="O49" s="149" t="s">
        <v>4</v>
      </c>
      <c r="P49" s="149" t="s">
        <v>4</v>
      </c>
      <c r="Q49" s="149" t="s">
        <v>4</v>
      </c>
    </row>
    <row r="50" spans="1:17" customFormat="1">
      <c r="A50" s="80">
        <v>45448.4375</v>
      </c>
      <c r="B50" s="149" t="s">
        <v>4</v>
      </c>
      <c r="C50" s="149" t="s">
        <v>4</v>
      </c>
      <c r="D50" s="149" t="s">
        <v>4</v>
      </c>
      <c r="E50" s="149" t="s">
        <v>4</v>
      </c>
      <c r="F50" s="149" t="s">
        <v>4</v>
      </c>
      <c r="G50" s="149" t="s">
        <v>4</v>
      </c>
      <c r="H50" s="149" t="s">
        <v>4</v>
      </c>
      <c r="I50" s="149" t="s">
        <v>4</v>
      </c>
      <c r="J50" s="149" t="s">
        <v>4</v>
      </c>
      <c r="K50" s="149" t="s">
        <v>4</v>
      </c>
      <c r="L50" s="149" t="s">
        <v>4</v>
      </c>
      <c r="M50" s="149" t="s">
        <v>4</v>
      </c>
      <c r="N50" s="149" t="s">
        <v>4</v>
      </c>
      <c r="O50" s="149" t="s">
        <v>4</v>
      </c>
      <c r="P50" s="149" t="s">
        <v>4</v>
      </c>
      <c r="Q50" s="149" t="s">
        <v>4</v>
      </c>
    </row>
    <row r="51" spans="1:17" customFormat="1">
      <c r="A51" s="80">
        <v>45448.447916666664</v>
      </c>
      <c r="B51" s="149" t="s">
        <v>4</v>
      </c>
      <c r="C51" s="149" t="s">
        <v>4</v>
      </c>
      <c r="D51" s="149" t="s">
        <v>4</v>
      </c>
      <c r="E51" s="149" t="s">
        <v>4</v>
      </c>
      <c r="F51" s="149" t="s">
        <v>4</v>
      </c>
      <c r="G51" s="149" t="s">
        <v>4</v>
      </c>
      <c r="H51" s="149" t="s">
        <v>4</v>
      </c>
      <c r="I51" s="149" t="s">
        <v>4</v>
      </c>
      <c r="J51" s="149" t="s">
        <v>4</v>
      </c>
      <c r="K51" s="149" t="s">
        <v>4</v>
      </c>
      <c r="L51" s="149" t="s">
        <v>4</v>
      </c>
      <c r="M51" s="149" t="s">
        <v>4</v>
      </c>
      <c r="N51" s="149" t="s">
        <v>4</v>
      </c>
      <c r="O51" s="149" t="s">
        <v>4</v>
      </c>
      <c r="P51" s="149" t="s">
        <v>4</v>
      </c>
      <c r="Q51" s="149" t="s">
        <v>4</v>
      </c>
    </row>
    <row r="52" spans="1:17" customFormat="1">
      <c r="A52" s="80">
        <v>45448.458333333336</v>
      </c>
      <c r="B52" s="149" t="s">
        <v>4</v>
      </c>
      <c r="C52" s="149" t="s">
        <v>4</v>
      </c>
      <c r="D52" s="149" t="s">
        <v>4</v>
      </c>
      <c r="E52" s="149" t="s">
        <v>4</v>
      </c>
      <c r="F52" s="149" t="s">
        <v>4</v>
      </c>
      <c r="G52" s="149" t="s">
        <v>4</v>
      </c>
      <c r="H52" s="149" t="s">
        <v>4</v>
      </c>
      <c r="I52" s="149" t="s">
        <v>4</v>
      </c>
      <c r="J52" s="149" t="s">
        <v>4</v>
      </c>
      <c r="K52" s="149" t="s">
        <v>4</v>
      </c>
      <c r="L52" s="149" t="s">
        <v>4</v>
      </c>
      <c r="M52" s="149" t="s">
        <v>4</v>
      </c>
      <c r="N52" s="149" t="s">
        <v>4</v>
      </c>
      <c r="O52" s="149" t="s">
        <v>4</v>
      </c>
      <c r="P52" s="149" t="s">
        <v>4</v>
      </c>
      <c r="Q52" s="149" t="s">
        <v>4</v>
      </c>
    </row>
    <row r="53" spans="1:17" customFormat="1">
      <c r="A53" s="80">
        <v>45448.46875</v>
      </c>
      <c r="B53" s="149" t="s">
        <v>4</v>
      </c>
      <c r="C53" s="149" t="s">
        <v>4</v>
      </c>
      <c r="D53" s="149" t="s">
        <v>4</v>
      </c>
      <c r="E53" s="149" t="s">
        <v>4</v>
      </c>
      <c r="F53" s="149" t="s">
        <v>4</v>
      </c>
      <c r="G53" s="149" t="s">
        <v>4</v>
      </c>
      <c r="H53" s="149" t="s">
        <v>4</v>
      </c>
      <c r="I53" s="149" t="s">
        <v>4</v>
      </c>
      <c r="J53" s="149" t="s">
        <v>4</v>
      </c>
      <c r="K53" s="149" t="s">
        <v>4</v>
      </c>
      <c r="L53" s="149" t="s">
        <v>4</v>
      </c>
      <c r="M53" s="149" t="s">
        <v>4</v>
      </c>
      <c r="N53" s="149" t="s">
        <v>4</v>
      </c>
      <c r="O53" s="149" t="s">
        <v>4</v>
      </c>
      <c r="P53" s="149" t="s">
        <v>4</v>
      </c>
      <c r="Q53" s="149" t="s">
        <v>4</v>
      </c>
    </row>
    <row r="54" spans="1:17" customFormat="1">
      <c r="A54" s="80">
        <v>45448.479166666664</v>
      </c>
      <c r="B54" s="149" t="s">
        <v>4</v>
      </c>
      <c r="C54" s="149" t="s">
        <v>4</v>
      </c>
      <c r="D54" s="149" t="s">
        <v>4</v>
      </c>
      <c r="E54" s="149" t="s">
        <v>4</v>
      </c>
      <c r="F54" s="149" t="s">
        <v>4</v>
      </c>
      <c r="G54" s="149" t="s">
        <v>4</v>
      </c>
      <c r="H54" s="149" t="s">
        <v>4</v>
      </c>
      <c r="I54" s="149" t="s">
        <v>4</v>
      </c>
      <c r="J54" s="149" t="s">
        <v>4</v>
      </c>
      <c r="K54" s="149" t="s">
        <v>4</v>
      </c>
      <c r="L54" s="149" t="s">
        <v>4</v>
      </c>
      <c r="M54" s="149" t="s">
        <v>4</v>
      </c>
      <c r="N54" s="149" t="s">
        <v>4</v>
      </c>
      <c r="O54" s="149" t="s">
        <v>4</v>
      </c>
      <c r="P54" s="149" t="s">
        <v>4</v>
      </c>
      <c r="Q54" s="149" t="s">
        <v>4</v>
      </c>
    </row>
    <row r="55" spans="1:17" customFormat="1">
      <c r="A55" s="80">
        <v>45448.489583333336</v>
      </c>
      <c r="B55" s="149" t="s">
        <v>4</v>
      </c>
      <c r="C55" s="149" t="s">
        <v>4</v>
      </c>
      <c r="D55" s="149" t="s">
        <v>4</v>
      </c>
      <c r="E55" s="149" t="s">
        <v>4</v>
      </c>
      <c r="F55" s="149" t="s">
        <v>4</v>
      </c>
      <c r="G55" s="149" t="s">
        <v>4</v>
      </c>
      <c r="H55" s="149" t="s">
        <v>4</v>
      </c>
      <c r="I55" s="149" t="s">
        <v>4</v>
      </c>
      <c r="J55" s="149" t="s">
        <v>4</v>
      </c>
      <c r="K55" s="149" t="s">
        <v>4</v>
      </c>
      <c r="L55" s="149" t="s">
        <v>4</v>
      </c>
      <c r="M55" s="149" t="s">
        <v>4</v>
      </c>
      <c r="N55" s="149" t="s">
        <v>4</v>
      </c>
      <c r="O55" s="149" t="s">
        <v>4</v>
      </c>
      <c r="P55" s="149" t="s">
        <v>4</v>
      </c>
      <c r="Q55" s="149" t="s">
        <v>4</v>
      </c>
    </row>
    <row r="56" spans="1:17" customFormat="1">
      <c r="A56" s="80">
        <v>45448.5</v>
      </c>
      <c r="B56" s="149" t="s">
        <v>4</v>
      </c>
      <c r="C56" s="149" t="s">
        <v>4</v>
      </c>
      <c r="D56" s="149" t="s">
        <v>4</v>
      </c>
      <c r="E56" s="149" t="s">
        <v>4</v>
      </c>
      <c r="F56" s="149" t="s">
        <v>4</v>
      </c>
      <c r="G56" s="149" t="s">
        <v>4</v>
      </c>
      <c r="H56" s="149" t="s">
        <v>4</v>
      </c>
      <c r="I56" s="149" t="s">
        <v>4</v>
      </c>
      <c r="J56" s="149" t="s">
        <v>4</v>
      </c>
      <c r="K56" s="149" t="s">
        <v>4</v>
      </c>
      <c r="L56" s="149" t="s">
        <v>4</v>
      </c>
      <c r="M56" s="149" t="s">
        <v>4</v>
      </c>
      <c r="N56" s="149" t="s">
        <v>4</v>
      </c>
      <c r="O56" s="149" t="s">
        <v>4</v>
      </c>
      <c r="P56" s="149" t="s">
        <v>4</v>
      </c>
      <c r="Q56" s="149" t="s">
        <v>4</v>
      </c>
    </row>
    <row r="57" spans="1:17" customFormat="1">
      <c r="A57" s="80">
        <v>45448.510416666664</v>
      </c>
      <c r="B57" s="149" t="s">
        <v>4</v>
      </c>
      <c r="C57" s="149" t="s">
        <v>4</v>
      </c>
      <c r="D57" s="149" t="s">
        <v>4</v>
      </c>
      <c r="E57" s="149" t="s">
        <v>4</v>
      </c>
      <c r="F57" s="149" t="s">
        <v>4</v>
      </c>
      <c r="G57" s="149" t="s">
        <v>4</v>
      </c>
      <c r="H57" s="149" t="s">
        <v>4</v>
      </c>
      <c r="I57" s="149" t="s">
        <v>4</v>
      </c>
      <c r="J57" s="149" t="s">
        <v>4</v>
      </c>
      <c r="K57" s="149" t="s">
        <v>4</v>
      </c>
      <c r="L57" s="149" t="s">
        <v>4</v>
      </c>
      <c r="M57" s="149" t="s">
        <v>4</v>
      </c>
      <c r="N57" s="149" t="s">
        <v>4</v>
      </c>
      <c r="O57" s="149" t="s">
        <v>4</v>
      </c>
      <c r="P57" s="149" t="s">
        <v>4</v>
      </c>
      <c r="Q57" s="149" t="s">
        <v>4</v>
      </c>
    </row>
    <row r="58" spans="1:17" customFormat="1">
      <c r="A58" s="80">
        <v>45448.520833333336</v>
      </c>
      <c r="B58" s="149" t="s">
        <v>4</v>
      </c>
      <c r="C58" s="149" t="s">
        <v>4</v>
      </c>
      <c r="D58" s="149" t="s">
        <v>4</v>
      </c>
      <c r="E58" s="149" t="s">
        <v>4</v>
      </c>
      <c r="F58" s="149" t="s">
        <v>4</v>
      </c>
      <c r="G58" s="149" t="s">
        <v>4</v>
      </c>
      <c r="H58" s="149" t="s">
        <v>4</v>
      </c>
      <c r="I58" s="149" t="s">
        <v>4</v>
      </c>
      <c r="J58" s="149" t="s">
        <v>4</v>
      </c>
      <c r="K58" s="149" t="s">
        <v>4</v>
      </c>
      <c r="L58" s="149" t="s">
        <v>4</v>
      </c>
      <c r="M58" s="149" t="s">
        <v>4</v>
      </c>
      <c r="N58" s="149" t="s">
        <v>4</v>
      </c>
      <c r="O58" s="149" t="s">
        <v>4</v>
      </c>
      <c r="P58" s="149" t="s">
        <v>4</v>
      </c>
      <c r="Q58" s="149" t="s">
        <v>4</v>
      </c>
    </row>
    <row r="59" spans="1:17" customFormat="1">
      <c r="A59" s="80">
        <v>45448.53125</v>
      </c>
      <c r="B59" s="149" t="s">
        <v>4</v>
      </c>
      <c r="C59" s="149" t="s">
        <v>4</v>
      </c>
      <c r="D59" s="149" t="s">
        <v>4</v>
      </c>
      <c r="E59" s="149" t="s">
        <v>4</v>
      </c>
      <c r="F59" s="149" t="s">
        <v>4</v>
      </c>
      <c r="G59" s="149" t="s">
        <v>4</v>
      </c>
      <c r="H59" s="149" t="s">
        <v>4</v>
      </c>
      <c r="I59" s="149" t="s">
        <v>4</v>
      </c>
      <c r="J59" s="149" t="s">
        <v>4</v>
      </c>
      <c r="K59" s="149" t="s">
        <v>4</v>
      </c>
      <c r="L59" s="149" t="s">
        <v>4</v>
      </c>
      <c r="M59" s="149" t="s">
        <v>4</v>
      </c>
      <c r="N59" s="149" t="s">
        <v>4</v>
      </c>
      <c r="O59" s="149" t="s">
        <v>4</v>
      </c>
      <c r="P59" s="149" t="s">
        <v>4</v>
      </c>
      <c r="Q59" s="149" t="s">
        <v>4</v>
      </c>
    </row>
    <row r="60" spans="1:17" customFormat="1">
      <c r="A60" s="80">
        <v>45448.541666666664</v>
      </c>
      <c r="B60" s="149" t="s">
        <v>4</v>
      </c>
      <c r="C60" s="149" t="s">
        <v>4</v>
      </c>
      <c r="D60" s="149" t="s">
        <v>4</v>
      </c>
      <c r="E60" s="149" t="s">
        <v>4</v>
      </c>
      <c r="F60" s="149" t="s">
        <v>4</v>
      </c>
      <c r="G60" s="149" t="s">
        <v>4</v>
      </c>
      <c r="H60" s="149" t="s">
        <v>4</v>
      </c>
      <c r="I60" s="149" t="s">
        <v>4</v>
      </c>
      <c r="J60" s="149" t="s">
        <v>4</v>
      </c>
      <c r="K60" s="149" t="s">
        <v>4</v>
      </c>
      <c r="L60" s="149" t="s">
        <v>4</v>
      </c>
      <c r="M60" s="149" t="s">
        <v>4</v>
      </c>
      <c r="N60" s="149" t="s">
        <v>4</v>
      </c>
      <c r="O60" s="149" t="s">
        <v>4</v>
      </c>
      <c r="P60" s="149" t="s">
        <v>4</v>
      </c>
      <c r="Q60" s="149" t="s">
        <v>4</v>
      </c>
    </row>
    <row r="61" spans="1:17" customFormat="1">
      <c r="A61" s="80">
        <v>45448.552083333336</v>
      </c>
      <c r="B61" s="149" t="s">
        <v>4</v>
      </c>
      <c r="C61" s="149" t="s">
        <v>4</v>
      </c>
      <c r="D61" s="149" t="s">
        <v>4</v>
      </c>
      <c r="E61" s="149" t="s">
        <v>4</v>
      </c>
      <c r="F61" s="149" t="s">
        <v>4</v>
      </c>
      <c r="G61" s="149" t="s">
        <v>4</v>
      </c>
      <c r="H61" s="149" t="s">
        <v>4</v>
      </c>
      <c r="I61" s="149" t="s">
        <v>4</v>
      </c>
      <c r="J61" s="149" t="s">
        <v>4</v>
      </c>
      <c r="K61" s="149" t="s">
        <v>4</v>
      </c>
      <c r="L61" s="149" t="s">
        <v>4</v>
      </c>
      <c r="M61" s="149" t="s">
        <v>4</v>
      </c>
      <c r="N61" s="149" t="s">
        <v>4</v>
      </c>
      <c r="O61" s="149" t="s">
        <v>4</v>
      </c>
      <c r="P61" s="149" t="s">
        <v>4</v>
      </c>
      <c r="Q61" s="149" t="s">
        <v>4</v>
      </c>
    </row>
    <row r="62" spans="1:17" customFormat="1">
      <c r="A62" s="80">
        <v>45448.5625</v>
      </c>
      <c r="B62" s="149" t="s">
        <v>4</v>
      </c>
      <c r="C62" s="149" t="s">
        <v>4</v>
      </c>
      <c r="D62" s="149" t="s">
        <v>4</v>
      </c>
      <c r="E62" s="149" t="s">
        <v>4</v>
      </c>
      <c r="F62" s="149" t="s">
        <v>4</v>
      </c>
      <c r="G62" s="149" t="s">
        <v>4</v>
      </c>
      <c r="H62" s="149" t="s">
        <v>4</v>
      </c>
      <c r="I62" s="149" t="s">
        <v>4</v>
      </c>
      <c r="J62" s="149" t="s">
        <v>4</v>
      </c>
      <c r="K62" s="149" t="s">
        <v>4</v>
      </c>
      <c r="L62" s="149" t="s">
        <v>4</v>
      </c>
      <c r="M62" s="149" t="s">
        <v>4</v>
      </c>
      <c r="N62" s="149" t="s">
        <v>4</v>
      </c>
      <c r="O62" s="149" t="s">
        <v>4</v>
      </c>
      <c r="P62" s="149" t="s">
        <v>4</v>
      </c>
      <c r="Q62" s="149" t="s">
        <v>4</v>
      </c>
    </row>
    <row r="63" spans="1:17" customFormat="1">
      <c r="A63" s="80">
        <v>45448.572916666664</v>
      </c>
      <c r="B63" s="149" t="s">
        <v>4</v>
      </c>
      <c r="C63" s="149" t="s">
        <v>4</v>
      </c>
      <c r="D63" s="149" t="s">
        <v>4</v>
      </c>
      <c r="E63" s="149" t="s">
        <v>4</v>
      </c>
      <c r="F63" s="149" t="s">
        <v>4</v>
      </c>
      <c r="G63" s="149" t="s">
        <v>4</v>
      </c>
      <c r="H63" s="149" t="s">
        <v>4</v>
      </c>
      <c r="I63" s="149" t="s">
        <v>4</v>
      </c>
      <c r="J63" s="149" t="s">
        <v>4</v>
      </c>
      <c r="K63" s="149" t="s">
        <v>4</v>
      </c>
      <c r="L63" s="149" t="s">
        <v>4</v>
      </c>
      <c r="M63" s="149" t="s">
        <v>4</v>
      </c>
      <c r="N63" s="149" t="s">
        <v>4</v>
      </c>
      <c r="O63" s="149" t="s">
        <v>4</v>
      </c>
      <c r="P63" s="149" t="s">
        <v>4</v>
      </c>
      <c r="Q63" s="149" t="s">
        <v>4</v>
      </c>
    </row>
    <row r="64" spans="1:17" customFormat="1">
      <c r="A64" s="80">
        <v>45448.583333333336</v>
      </c>
      <c r="B64" s="149" t="s">
        <v>4</v>
      </c>
      <c r="C64" s="149" t="s">
        <v>4</v>
      </c>
      <c r="D64" s="149" t="s">
        <v>4</v>
      </c>
      <c r="E64" s="149" t="s">
        <v>4</v>
      </c>
      <c r="F64" s="149" t="s">
        <v>4</v>
      </c>
      <c r="G64" s="149" t="s">
        <v>4</v>
      </c>
      <c r="H64" s="149" t="s">
        <v>4</v>
      </c>
      <c r="I64" s="149" t="s">
        <v>4</v>
      </c>
      <c r="J64" s="149" t="s">
        <v>4</v>
      </c>
      <c r="K64" s="149" t="s">
        <v>4</v>
      </c>
      <c r="L64" s="149" t="s">
        <v>4</v>
      </c>
      <c r="M64" s="149" t="s">
        <v>4</v>
      </c>
      <c r="N64" s="149" t="s">
        <v>4</v>
      </c>
      <c r="O64" s="149" t="s">
        <v>4</v>
      </c>
      <c r="P64" s="149" t="s">
        <v>4</v>
      </c>
      <c r="Q64" s="149" t="s">
        <v>4</v>
      </c>
    </row>
    <row r="65" spans="1:17" customFormat="1">
      <c r="A65" s="80">
        <v>45448.59375</v>
      </c>
      <c r="B65" s="149" t="s">
        <v>4</v>
      </c>
      <c r="C65" s="149" t="s">
        <v>4</v>
      </c>
      <c r="D65" s="149" t="s">
        <v>4</v>
      </c>
      <c r="E65" s="149" t="s">
        <v>4</v>
      </c>
      <c r="F65" s="149" t="s">
        <v>4</v>
      </c>
      <c r="G65" s="149" t="s">
        <v>4</v>
      </c>
      <c r="H65" s="149" t="s">
        <v>4</v>
      </c>
      <c r="I65" s="149" t="s">
        <v>4</v>
      </c>
      <c r="J65" s="149" t="s">
        <v>4</v>
      </c>
      <c r="K65" s="149" t="s">
        <v>4</v>
      </c>
      <c r="L65" s="149" t="s">
        <v>4</v>
      </c>
      <c r="M65" s="149" t="s">
        <v>4</v>
      </c>
      <c r="N65" s="149" t="s">
        <v>4</v>
      </c>
      <c r="O65" s="149" t="s">
        <v>4</v>
      </c>
      <c r="P65" s="149" t="s">
        <v>4</v>
      </c>
      <c r="Q65" s="149" t="s">
        <v>4</v>
      </c>
    </row>
    <row r="66" spans="1:17" customFormat="1">
      <c r="A66" s="80">
        <v>45448.604166666664</v>
      </c>
      <c r="B66" s="149" t="s">
        <v>4</v>
      </c>
      <c r="C66" s="149" t="s">
        <v>4</v>
      </c>
      <c r="D66" s="149" t="s">
        <v>4</v>
      </c>
      <c r="E66" s="149" t="s">
        <v>4</v>
      </c>
      <c r="F66" s="149" t="s">
        <v>4</v>
      </c>
      <c r="G66" s="149" t="s">
        <v>4</v>
      </c>
      <c r="H66" s="149" t="s">
        <v>4</v>
      </c>
      <c r="I66" s="149" t="s">
        <v>4</v>
      </c>
      <c r="J66" s="149" t="s">
        <v>4</v>
      </c>
      <c r="K66" s="149" t="s">
        <v>4</v>
      </c>
      <c r="L66" s="149" t="s">
        <v>4</v>
      </c>
      <c r="M66" s="149" t="s">
        <v>4</v>
      </c>
      <c r="N66" s="149" t="s">
        <v>4</v>
      </c>
      <c r="O66" s="149" t="s">
        <v>4</v>
      </c>
      <c r="P66" s="149" t="s">
        <v>4</v>
      </c>
      <c r="Q66" s="149" t="s">
        <v>4</v>
      </c>
    </row>
    <row r="67" spans="1:17" customFormat="1">
      <c r="A67" s="80">
        <v>45448.614583333336</v>
      </c>
      <c r="B67" s="149" t="s">
        <v>4</v>
      </c>
      <c r="C67" s="149" t="s">
        <v>4</v>
      </c>
      <c r="D67" s="149" t="s">
        <v>4</v>
      </c>
      <c r="E67" s="149" t="s">
        <v>4</v>
      </c>
      <c r="F67" s="149" t="s">
        <v>4</v>
      </c>
      <c r="G67" s="149" t="s">
        <v>4</v>
      </c>
      <c r="H67" s="149" t="s">
        <v>4</v>
      </c>
      <c r="I67" s="149" t="s">
        <v>4</v>
      </c>
      <c r="J67" s="149" t="s">
        <v>4</v>
      </c>
      <c r="K67" s="149" t="s">
        <v>4</v>
      </c>
      <c r="L67" s="149" t="s">
        <v>4</v>
      </c>
      <c r="M67" s="149" t="s">
        <v>4</v>
      </c>
      <c r="N67" s="149" t="s">
        <v>4</v>
      </c>
      <c r="O67" s="149" t="s">
        <v>4</v>
      </c>
      <c r="P67" s="149" t="s">
        <v>4</v>
      </c>
      <c r="Q67" s="149" t="s">
        <v>4</v>
      </c>
    </row>
    <row r="68" spans="1:17" customFormat="1">
      <c r="A68" s="80">
        <v>45448.625</v>
      </c>
      <c r="B68" s="112">
        <v>6.26</v>
      </c>
      <c r="C68" s="112">
        <v>6.03</v>
      </c>
      <c r="D68" s="112">
        <v>13.18</v>
      </c>
      <c r="E68" s="112">
        <v>34.5</v>
      </c>
      <c r="F68" s="112">
        <v>64</v>
      </c>
      <c r="G68" s="112">
        <v>37.549999999999997</v>
      </c>
      <c r="H68" s="112">
        <v>17.5</v>
      </c>
      <c r="I68" s="112">
        <v>5.0999999999999996</v>
      </c>
      <c r="J68" s="112">
        <v>0.72</v>
      </c>
      <c r="K68" s="112">
        <v>1.1100000000000001</v>
      </c>
      <c r="L68" s="112">
        <v>40.46</v>
      </c>
      <c r="M68" s="112">
        <v>22.22</v>
      </c>
      <c r="N68" s="112">
        <v>601.6</v>
      </c>
      <c r="O68" s="112">
        <v>0</v>
      </c>
      <c r="P68" s="112">
        <v>0.43</v>
      </c>
      <c r="Q68" s="170" t="s">
        <v>21</v>
      </c>
    </row>
    <row r="69" spans="1:17" customFormat="1">
      <c r="A69" s="80">
        <v>45448.635416666664</v>
      </c>
      <c r="B69" s="112">
        <v>6.25</v>
      </c>
      <c r="C69" s="112">
        <v>6</v>
      </c>
      <c r="D69" s="112">
        <v>13.16</v>
      </c>
      <c r="E69" s="112">
        <v>56.46</v>
      </c>
      <c r="F69" s="112">
        <v>62.4</v>
      </c>
      <c r="G69" s="112">
        <v>37.549999999999997</v>
      </c>
      <c r="H69" s="112">
        <v>17.96</v>
      </c>
      <c r="I69" s="112">
        <v>4.6900000000000004</v>
      </c>
      <c r="J69" s="112">
        <v>0.7</v>
      </c>
      <c r="K69" s="112">
        <v>13.52</v>
      </c>
      <c r="L69" s="112">
        <v>40.32</v>
      </c>
      <c r="M69" s="112">
        <v>23.71</v>
      </c>
      <c r="N69" s="112">
        <v>544.79999999999995</v>
      </c>
      <c r="O69" s="112">
        <v>0</v>
      </c>
      <c r="P69" s="112">
        <v>0.43</v>
      </c>
      <c r="Q69" s="170" t="s">
        <v>21</v>
      </c>
    </row>
    <row r="70" spans="1:17" customFormat="1">
      <c r="A70" s="80">
        <v>45448.645833333336</v>
      </c>
      <c r="B70" s="112">
        <v>6.26</v>
      </c>
      <c r="C70" s="112">
        <v>6.03</v>
      </c>
      <c r="D70" s="112">
        <v>13.18</v>
      </c>
      <c r="E70" s="112">
        <v>45.65</v>
      </c>
      <c r="F70" s="112">
        <v>43.48</v>
      </c>
      <c r="G70" s="112">
        <v>36.99</v>
      </c>
      <c r="H70" s="112">
        <v>16.12</v>
      </c>
      <c r="I70" s="112">
        <v>4.05</v>
      </c>
      <c r="J70" s="112">
        <v>1.81</v>
      </c>
      <c r="K70" s="112">
        <v>42.49</v>
      </c>
      <c r="L70" s="112">
        <v>40.119999999999997</v>
      </c>
      <c r="M70" s="112">
        <v>24.56</v>
      </c>
      <c r="N70" s="112">
        <v>494.2</v>
      </c>
      <c r="O70" s="112">
        <v>0</v>
      </c>
      <c r="P70" s="112">
        <v>0.45</v>
      </c>
      <c r="Q70" s="170" t="s">
        <v>21</v>
      </c>
    </row>
    <row r="71" spans="1:17" customFormat="1">
      <c r="A71" s="80">
        <v>45448.65625</v>
      </c>
      <c r="B71" s="112">
        <v>6.29</v>
      </c>
      <c r="C71" s="112">
        <v>6.06</v>
      </c>
      <c r="D71" s="112">
        <v>13.22</v>
      </c>
      <c r="E71" s="112">
        <v>51.46</v>
      </c>
      <c r="F71" s="112">
        <v>65.569999999999993</v>
      </c>
      <c r="G71" s="151" t="s">
        <v>12</v>
      </c>
      <c r="H71" s="151" t="s">
        <v>12</v>
      </c>
      <c r="I71" s="112">
        <v>3.67</v>
      </c>
      <c r="J71" s="112">
        <v>1.1000000000000001</v>
      </c>
      <c r="K71" s="112">
        <v>26.45</v>
      </c>
      <c r="L71" s="112">
        <v>39.83</v>
      </c>
      <c r="M71" s="112">
        <v>26.68</v>
      </c>
      <c r="N71" s="112">
        <v>435.2</v>
      </c>
      <c r="O71" s="112">
        <v>0</v>
      </c>
      <c r="P71" s="112">
        <v>0.44</v>
      </c>
      <c r="Q71" s="112">
        <v>27.49</v>
      </c>
    </row>
    <row r="72" spans="1:17" customFormat="1">
      <c r="A72" s="80">
        <v>45448.666666666664</v>
      </c>
      <c r="B72" s="112">
        <v>6.33</v>
      </c>
      <c r="C72" s="112">
        <v>6.08</v>
      </c>
      <c r="D72" s="112">
        <v>13.26</v>
      </c>
      <c r="E72" s="112">
        <v>49.97</v>
      </c>
      <c r="F72" s="112">
        <v>71.95</v>
      </c>
      <c r="G72" s="151" t="s">
        <v>12</v>
      </c>
      <c r="H72" s="151" t="s">
        <v>12</v>
      </c>
      <c r="I72" s="112">
        <v>3.71</v>
      </c>
      <c r="J72" s="112">
        <v>1.0900000000000001</v>
      </c>
      <c r="K72" s="112">
        <v>26.55</v>
      </c>
      <c r="L72" s="112">
        <v>40.04</v>
      </c>
      <c r="M72" s="112">
        <v>25.8</v>
      </c>
      <c r="N72" s="112">
        <v>387.9</v>
      </c>
      <c r="O72" s="112">
        <v>0</v>
      </c>
      <c r="P72" s="112">
        <v>0.42</v>
      </c>
      <c r="Q72" s="112">
        <v>4.92</v>
      </c>
    </row>
    <row r="73" spans="1:17" customFormat="1">
      <c r="A73" s="80">
        <v>45448.677083333336</v>
      </c>
      <c r="B73" s="112">
        <v>6.38</v>
      </c>
      <c r="C73" s="112">
        <v>6.03</v>
      </c>
      <c r="D73" s="112">
        <v>13.28</v>
      </c>
      <c r="E73" s="112">
        <v>41.7</v>
      </c>
      <c r="F73" s="112">
        <v>55.13</v>
      </c>
      <c r="G73" s="151" t="s">
        <v>12</v>
      </c>
      <c r="H73" s="151" t="s">
        <v>12</v>
      </c>
      <c r="I73" s="112">
        <v>3.73</v>
      </c>
      <c r="J73" s="112">
        <v>1.48</v>
      </c>
      <c r="K73" s="112">
        <v>32.6</v>
      </c>
      <c r="L73" s="112">
        <v>39.6</v>
      </c>
      <c r="M73" s="112">
        <v>29.95</v>
      </c>
      <c r="N73" s="112">
        <v>239.7</v>
      </c>
      <c r="O73" s="112">
        <v>0</v>
      </c>
      <c r="P73" s="112">
        <v>0.43</v>
      </c>
      <c r="Q73" s="112">
        <v>4.92</v>
      </c>
    </row>
    <row r="74" spans="1:17" customFormat="1">
      <c r="A74" s="80">
        <v>45448.6875</v>
      </c>
      <c r="B74" s="112">
        <v>6.38</v>
      </c>
      <c r="C74" s="112">
        <v>6.02</v>
      </c>
      <c r="D74" s="112">
        <v>13.27</v>
      </c>
      <c r="E74" s="112">
        <v>39.68</v>
      </c>
      <c r="F74" s="112">
        <v>39.67</v>
      </c>
      <c r="G74" s="151" t="s">
        <v>12</v>
      </c>
      <c r="H74" s="151" t="s">
        <v>12</v>
      </c>
      <c r="I74" s="112">
        <v>3.52</v>
      </c>
      <c r="J74" s="112">
        <v>0.99</v>
      </c>
      <c r="K74" s="112">
        <v>26.16</v>
      </c>
      <c r="L74" s="112">
        <v>39.03</v>
      </c>
      <c r="M74" s="112">
        <v>30.35</v>
      </c>
      <c r="N74" s="112">
        <v>181</v>
      </c>
      <c r="O74" s="112">
        <v>0</v>
      </c>
      <c r="P74" s="112">
        <v>0.42</v>
      </c>
      <c r="Q74" s="112">
        <v>4.87</v>
      </c>
    </row>
    <row r="75" spans="1:17" customFormat="1">
      <c r="A75" s="80">
        <v>45448.697916666664</v>
      </c>
      <c r="B75" s="112">
        <v>6.41</v>
      </c>
      <c r="C75" s="112">
        <v>6.01</v>
      </c>
      <c r="D75" s="112">
        <v>13.29</v>
      </c>
      <c r="E75" s="112">
        <v>32</v>
      </c>
      <c r="F75" s="112">
        <v>49.26</v>
      </c>
      <c r="G75" s="151" t="s">
        <v>12</v>
      </c>
      <c r="H75" s="151" t="s">
        <v>12</v>
      </c>
      <c r="I75" s="112">
        <v>3.69</v>
      </c>
      <c r="J75" s="112">
        <v>0.89</v>
      </c>
      <c r="K75" s="112">
        <v>9.43</v>
      </c>
      <c r="L75" s="112">
        <v>38.99</v>
      </c>
      <c r="M75" s="112">
        <v>28.19</v>
      </c>
      <c r="N75" s="112">
        <v>112.3</v>
      </c>
      <c r="O75" s="112">
        <v>0</v>
      </c>
      <c r="P75" s="112">
        <v>0.4</v>
      </c>
      <c r="Q75" s="112">
        <v>4.8499999999999996</v>
      </c>
    </row>
    <row r="76" spans="1:17" customFormat="1">
      <c r="A76" s="80">
        <v>45448.708333333336</v>
      </c>
      <c r="B76" s="112">
        <v>6.42</v>
      </c>
      <c r="C76" s="112">
        <v>6.03</v>
      </c>
      <c r="D76" s="112">
        <v>13.3</v>
      </c>
      <c r="E76" s="112">
        <v>29.17</v>
      </c>
      <c r="F76" s="112">
        <v>49.88</v>
      </c>
      <c r="G76" s="112">
        <v>10.73</v>
      </c>
      <c r="H76" s="112">
        <v>2.16</v>
      </c>
      <c r="I76" s="112">
        <v>3.87</v>
      </c>
      <c r="J76" s="112">
        <v>0.82</v>
      </c>
      <c r="K76" s="112">
        <v>22.05</v>
      </c>
      <c r="L76" s="112">
        <v>39.04</v>
      </c>
      <c r="M76" s="112">
        <v>25.77</v>
      </c>
      <c r="N76" s="112">
        <v>113</v>
      </c>
      <c r="O76" s="112">
        <v>0</v>
      </c>
      <c r="P76" s="112">
        <v>0.4</v>
      </c>
      <c r="Q76" s="112">
        <v>4.07</v>
      </c>
    </row>
    <row r="77" spans="1:17" customFormat="1">
      <c r="A77" s="80">
        <v>45448.71875</v>
      </c>
      <c r="B77" s="112">
        <v>6.4</v>
      </c>
      <c r="C77" s="112">
        <v>6.04</v>
      </c>
      <c r="D77" s="112">
        <v>13.3</v>
      </c>
      <c r="E77" s="112">
        <v>24.03</v>
      </c>
      <c r="F77" s="112">
        <v>39.619999999999997</v>
      </c>
      <c r="G77" s="112">
        <v>38.61</v>
      </c>
      <c r="H77" s="112">
        <v>6.19</v>
      </c>
      <c r="I77" s="112">
        <v>3.68</v>
      </c>
      <c r="J77" s="112">
        <v>0.89</v>
      </c>
      <c r="K77" s="112">
        <v>26.1</v>
      </c>
      <c r="L77" s="112">
        <v>38.9</v>
      </c>
      <c r="M77" s="112">
        <v>28.43</v>
      </c>
      <c r="N77" s="112">
        <v>97.1</v>
      </c>
      <c r="O77" s="112">
        <v>0</v>
      </c>
      <c r="P77" s="112">
        <v>0.45</v>
      </c>
      <c r="Q77" s="112">
        <v>6.26</v>
      </c>
    </row>
    <row r="78" spans="1:17" customFormat="1">
      <c r="A78" s="80">
        <v>45448.729166666664</v>
      </c>
      <c r="B78" s="112">
        <v>6.41</v>
      </c>
      <c r="C78" s="112">
        <v>6.03</v>
      </c>
      <c r="D78" s="112">
        <v>13.3</v>
      </c>
      <c r="E78" s="112">
        <v>23.62</v>
      </c>
      <c r="F78" s="112">
        <v>32.130000000000003</v>
      </c>
      <c r="G78" s="112">
        <v>38.61</v>
      </c>
      <c r="H78" s="112">
        <v>6.19</v>
      </c>
      <c r="I78" s="112">
        <v>3.76</v>
      </c>
      <c r="J78" s="112">
        <v>0.69</v>
      </c>
      <c r="K78" s="112">
        <v>38.909999999999997</v>
      </c>
      <c r="L78" s="112">
        <v>38.729999999999997</v>
      </c>
      <c r="M78" s="112">
        <v>28.56</v>
      </c>
      <c r="N78" s="112">
        <v>77.400000000000006</v>
      </c>
      <c r="O78" s="112">
        <v>0</v>
      </c>
      <c r="P78" s="112">
        <v>0.47</v>
      </c>
      <c r="Q78" s="112">
        <v>4.92</v>
      </c>
    </row>
    <row r="79" spans="1:17" customFormat="1">
      <c r="A79" s="80">
        <v>45448.739583333336</v>
      </c>
      <c r="B79" s="112">
        <v>6.39</v>
      </c>
      <c r="C79" s="112">
        <v>6.04</v>
      </c>
      <c r="D79" s="112">
        <v>13.29</v>
      </c>
      <c r="E79" s="112">
        <v>28.7</v>
      </c>
      <c r="F79" s="112">
        <v>36.24</v>
      </c>
      <c r="G79" s="112">
        <v>38.61</v>
      </c>
      <c r="H79" s="112">
        <v>6.19</v>
      </c>
      <c r="I79" s="112">
        <v>3.94</v>
      </c>
      <c r="J79" s="112">
        <v>0.75</v>
      </c>
      <c r="K79" s="112">
        <v>52.84</v>
      </c>
      <c r="L79" s="112">
        <v>38.39</v>
      </c>
      <c r="M79" s="112">
        <v>29.09</v>
      </c>
      <c r="N79" s="112">
        <v>40.700000000000003</v>
      </c>
      <c r="O79" s="112">
        <v>0</v>
      </c>
      <c r="P79" s="112">
        <v>0.51</v>
      </c>
      <c r="Q79" s="112">
        <v>4.8099999999999996</v>
      </c>
    </row>
    <row r="80" spans="1:17" customFormat="1">
      <c r="A80" s="80">
        <v>45448.75</v>
      </c>
      <c r="B80" s="112">
        <v>6.43</v>
      </c>
      <c r="C80" s="112">
        <v>6.08</v>
      </c>
      <c r="D80" s="112">
        <v>13.34</v>
      </c>
      <c r="E80" s="112">
        <v>36.21</v>
      </c>
      <c r="F80" s="112">
        <v>34.68</v>
      </c>
      <c r="G80" s="112">
        <v>41.99</v>
      </c>
      <c r="H80" s="112">
        <v>8.93</v>
      </c>
      <c r="I80" s="112">
        <v>4.1500000000000004</v>
      </c>
      <c r="J80" s="112">
        <v>0.56000000000000005</v>
      </c>
      <c r="K80" s="112">
        <v>39.369999999999997</v>
      </c>
      <c r="L80" s="112">
        <v>38</v>
      </c>
      <c r="M80" s="112">
        <v>29.58</v>
      </c>
      <c r="N80" s="112">
        <v>21.8</v>
      </c>
      <c r="O80" s="112">
        <v>0</v>
      </c>
      <c r="P80" s="112">
        <v>0.6</v>
      </c>
      <c r="Q80" s="112">
        <v>4.8099999999999996</v>
      </c>
    </row>
    <row r="81" spans="1:17" customFormat="1">
      <c r="A81" s="80">
        <v>45448.760416666664</v>
      </c>
      <c r="B81" s="112">
        <v>6.46</v>
      </c>
      <c r="C81" s="112">
        <v>6.04</v>
      </c>
      <c r="D81" s="112">
        <v>13.34</v>
      </c>
      <c r="E81" s="112">
        <v>29.23</v>
      </c>
      <c r="F81" s="112">
        <v>26.18</v>
      </c>
      <c r="G81" s="112">
        <v>50.76</v>
      </c>
      <c r="H81" s="112">
        <v>14.04</v>
      </c>
      <c r="I81" s="112">
        <v>4.41</v>
      </c>
      <c r="J81" s="112">
        <v>0.76</v>
      </c>
      <c r="K81" s="112">
        <v>47.16</v>
      </c>
      <c r="L81" s="112">
        <v>37.64</v>
      </c>
      <c r="M81" s="112">
        <v>31.14</v>
      </c>
      <c r="N81" s="112">
        <v>9</v>
      </c>
      <c r="O81" s="112">
        <v>0</v>
      </c>
      <c r="P81" s="112">
        <v>0.68</v>
      </c>
      <c r="Q81" s="112">
        <v>4.8099999999999996</v>
      </c>
    </row>
    <row r="82" spans="1:17" customFormat="1">
      <c r="A82" s="80">
        <v>45448.770833333336</v>
      </c>
      <c r="B82" s="112">
        <v>6.48</v>
      </c>
      <c r="C82" s="112">
        <v>6.05</v>
      </c>
      <c r="D82" s="112">
        <v>13.37</v>
      </c>
      <c r="E82" s="112">
        <v>38.270000000000003</v>
      </c>
      <c r="F82" s="112">
        <v>20</v>
      </c>
      <c r="G82" s="112">
        <v>50.76</v>
      </c>
      <c r="H82" s="112">
        <v>14.04</v>
      </c>
      <c r="I82" s="112">
        <v>5.01</v>
      </c>
      <c r="J82" s="112">
        <v>0.39</v>
      </c>
      <c r="K82" s="112">
        <v>51.5</v>
      </c>
      <c r="L82" s="112">
        <v>37.32</v>
      </c>
      <c r="M82" s="112">
        <v>31.93</v>
      </c>
      <c r="N82" s="112">
        <v>0.7</v>
      </c>
      <c r="O82" s="112">
        <v>0</v>
      </c>
      <c r="P82" s="112">
        <v>0.69</v>
      </c>
      <c r="Q82" s="112">
        <v>4.8099999999999996</v>
      </c>
    </row>
    <row r="83" spans="1:17" customFormat="1">
      <c r="A83" s="80">
        <v>45448.78125</v>
      </c>
      <c r="B83" s="112">
        <v>6.43</v>
      </c>
      <c r="C83" s="112">
        <v>6.03</v>
      </c>
      <c r="D83" s="112">
        <v>13.31</v>
      </c>
      <c r="E83" s="112">
        <v>29.87</v>
      </c>
      <c r="F83" s="112">
        <v>20.68</v>
      </c>
      <c r="G83" s="112">
        <v>50.76</v>
      </c>
      <c r="H83" s="112">
        <v>14.04</v>
      </c>
      <c r="I83" s="112">
        <v>5.28</v>
      </c>
      <c r="J83" s="112">
        <v>0.24</v>
      </c>
      <c r="K83" s="112">
        <v>176.51</v>
      </c>
      <c r="L83" s="112">
        <v>36.71</v>
      </c>
      <c r="M83" s="112">
        <v>34.869999999999997</v>
      </c>
      <c r="N83" s="112">
        <v>0</v>
      </c>
      <c r="O83" s="112">
        <v>0</v>
      </c>
      <c r="P83" s="112">
        <v>0.54</v>
      </c>
      <c r="Q83" s="112">
        <v>4.8099999999999996</v>
      </c>
    </row>
    <row r="84" spans="1:17" customFormat="1">
      <c r="A84" s="80">
        <v>45448.791666666664</v>
      </c>
      <c r="B84" s="112">
        <v>6.42</v>
      </c>
      <c r="C84" s="112">
        <v>6.04</v>
      </c>
      <c r="D84" s="112">
        <v>13.31</v>
      </c>
      <c r="E84" s="112">
        <v>34.25</v>
      </c>
      <c r="F84" s="112">
        <v>23.66</v>
      </c>
      <c r="G84" s="112">
        <v>53.69</v>
      </c>
      <c r="H84" s="112">
        <v>14.99</v>
      </c>
      <c r="I84" s="112">
        <v>5.34</v>
      </c>
      <c r="J84" s="112">
        <v>0.18</v>
      </c>
      <c r="K84" s="112">
        <v>212</v>
      </c>
      <c r="L84" s="112">
        <v>35.64</v>
      </c>
      <c r="M84" s="112">
        <v>37.19</v>
      </c>
      <c r="N84" s="112">
        <v>0</v>
      </c>
      <c r="O84" s="112">
        <v>0</v>
      </c>
      <c r="P84" s="112">
        <v>0.6</v>
      </c>
      <c r="Q84" s="112">
        <v>4.8099999999999996</v>
      </c>
    </row>
    <row r="85" spans="1:17" customFormat="1">
      <c r="A85" s="80">
        <v>45448.802083333336</v>
      </c>
      <c r="B85" s="112">
        <v>6.4</v>
      </c>
      <c r="C85" s="112">
        <v>6.06</v>
      </c>
      <c r="D85" s="112">
        <v>13.31</v>
      </c>
      <c r="E85" s="112">
        <v>22.81</v>
      </c>
      <c r="F85" s="112">
        <v>16.170000000000002</v>
      </c>
      <c r="G85" s="112">
        <v>61.31</v>
      </c>
      <c r="H85" s="112">
        <v>16.760000000000002</v>
      </c>
      <c r="I85" s="112">
        <v>5.13</v>
      </c>
      <c r="J85" s="112">
        <v>0.7</v>
      </c>
      <c r="K85" s="112">
        <v>264.04000000000002</v>
      </c>
      <c r="L85" s="112">
        <v>35.01</v>
      </c>
      <c r="M85" s="112">
        <v>37.380000000000003</v>
      </c>
      <c r="N85" s="112">
        <v>0</v>
      </c>
      <c r="O85" s="112">
        <v>0</v>
      </c>
      <c r="P85" s="112">
        <v>0.56999999999999995</v>
      </c>
      <c r="Q85" s="112">
        <v>4.82</v>
      </c>
    </row>
    <row r="86" spans="1:17" customFormat="1">
      <c r="A86" s="80">
        <v>45448.8125</v>
      </c>
      <c r="B86" s="112">
        <v>6.4</v>
      </c>
      <c r="C86" s="112">
        <v>6.06</v>
      </c>
      <c r="D86" s="112">
        <v>13.31</v>
      </c>
      <c r="E86" s="112">
        <v>14.35</v>
      </c>
      <c r="F86" s="112">
        <v>15.75</v>
      </c>
      <c r="G86" s="112">
        <v>61.31</v>
      </c>
      <c r="H86" s="112">
        <v>16.760000000000002</v>
      </c>
      <c r="I86" s="112">
        <v>5.25</v>
      </c>
      <c r="J86" s="112">
        <v>0.99</v>
      </c>
      <c r="K86" s="112">
        <v>263.95</v>
      </c>
      <c r="L86" s="112">
        <v>34.71</v>
      </c>
      <c r="M86" s="112">
        <v>36.200000000000003</v>
      </c>
      <c r="N86" s="112">
        <v>0</v>
      </c>
      <c r="O86" s="112">
        <v>0</v>
      </c>
      <c r="P86" s="112">
        <v>0.55000000000000004</v>
      </c>
      <c r="Q86" s="112">
        <v>4.83</v>
      </c>
    </row>
    <row r="87" spans="1:17" customFormat="1">
      <c r="A87" s="80">
        <v>45448.822916666664</v>
      </c>
      <c r="B87" s="112">
        <v>6.41</v>
      </c>
      <c r="C87" s="112">
        <v>6.04</v>
      </c>
      <c r="D87" s="112">
        <v>13.31</v>
      </c>
      <c r="E87" s="112">
        <v>11.67</v>
      </c>
      <c r="F87" s="112">
        <v>19.54</v>
      </c>
      <c r="G87" s="112">
        <v>61.31</v>
      </c>
      <c r="H87" s="112">
        <v>16.760000000000002</v>
      </c>
      <c r="I87" s="112">
        <v>5.31</v>
      </c>
      <c r="J87" s="112">
        <v>0.68</v>
      </c>
      <c r="K87" s="112">
        <v>260.31</v>
      </c>
      <c r="L87" s="112">
        <v>34.200000000000003</v>
      </c>
      <c r="M87" s="112">
        <v>39.71</v>
      </c>
      <c r="N87" s="112">
        <v>0</v>
      </c>
      <c r="O87" s="112">
        <v>0</v>
      </c>
      <c r="P87" s="112">
        <v>0.51</v>
      </c>
      <c r="Q87" s="112">
        <v>8.83</v>
      </c>
    </row>
    <row r="88" spans="1:17" customFormat="1">
      <c r="A88" s="80">
        <v>45448.833333333336</v>
      </c>
      <c r="B88" s="112">
        <v>6.4</v>
      </c>
      <c r="C88" s="112">
        <v>6.04</v>
      </c>
      <c r="D88" s="112">
        <v>13.3</v>
      </c>
      <c r="E88" s="112">
        <v>10.01</v>
      </c>
      <c r="F88" s="112">
        <v>18.059999999999999</v>
      </c>
      <c r="G88" s="112">
        <v>60.41</v>
      </c>
      <c r="H88" s="112">
        <v>17.29</v>
      </c>
      <c r="I88" s="112">
        <v>5.14</v>
      </c>
      <c r="J88" s="112">
        <v>0.52</v>
      </c>
      <c r="K88" s="112">
        <v>248.84</v>
      </c>
      <c r="L88" s="112">
        <v>33.880000000000003</v>
      </c>
      <c r="M88" s="112">
        <v>41.37</v>
      </c>
      <c r="N88" s="112">
        <v>0</v>
      </c>
      <c r="O88" s="112">
        <v>0</v>
      </c>
      <c r="P88" s="112">
        <v>0.51</v>
      </c>
      <c r="Q88" s="112">
        <v>4.7699999999999996</v>
      </c>
    </row>
    <row r="89" spans="1:17" customFormat="1">
      <c r="A89" s="80">
        <v>45448.84375</v>
      </c>
      <c r="B89" s="112">
        <v>6.4</v>
      </c>
      <c r="C89" s="112">
        <v>6.02</v>
      </c>
      <c r="D89" s="112">
        <v>13.29</v>
      </c>
      <c r="E89" s="112">
        <v>10.11</v>
      </c>
      <c r="F89" s="112">
        <v>19.29</v>
      </c>
      <c r="G89" s="112">
        <v>58.07</v>
      </c>
      <c r="H89" s="112">
        <v>18.239999999999998</v>
      </c>
      <c r="I89" s="112">
        <v>4.8600000000000003</v>
      </c>
      <c r="J89" s="112">
        <v>0.28000000000000003</v>
      </c>
      <c r="K89" s="112">
        <v>245.76</v>
      </c>
      <c r="L89" s="112">
        <v>33.65</v>
      </c>
      <c r="M89" s="112">
        <v>41.67</v>
      </c>
      <c r="N89" s="112">
        <v>0</v>
      </c>
      <c r="O89" s="112">
        <v>0</v>
      </c>
      <c r="P89" s="112">
        <v>0.51</v>
      </c>
      <c r="Q89" s="112">
        <v>4.78</v>
      </c>
    </row>
    <row r="90" spans="1:17" customFormat="1">
      <c r="A90" s="80">
        <v>45448.854166666664</v>
      </c>
      <c r="B90" s="112">
        <v>6.4</v>
      </c>
      <c r="C90" s="112">
        <v>6.03</v>
      </c>
      <c r="D90" s="112">
        <v>13.29</v>
      </c>
      <c r="E90" s="112">
        <v>10.63</v>
      </c>
      <c r="F90" s="112">
        <v>24.43</v>
      </c>
      <c r="G90" s="112">
        <v>58.07</v>
      </c>
      <c r="H90" s="112">
        <v>18.239999999999998</v>
      </c>
      <c r="I90" s="112">
        <v>4.8899999999999997</v>
      </c>
      <c r="J90" s="112">
        <v>0.39</v>
      </c>
      <c r="K90" s="112">
        <v>246.87</v>
      </c>
      <c r="L90" s="112">
        <v>33.18</v>
      </c>
      <c r="M90" s="112">
        <v>41.47</v>
      </c>
      <c r="N90" s="112">
        <v>0</v>
      </c>
      <c r="O90" s="112">
        <v>0</v>
      </c>
      <c r="P90" s="112">
        <v>0.52</v>
      </c>
      <c r="Q90" s="112">
        <v>4.78</v>
      </c>
    </row>
    <row r="91" spans="1:17" customFormat="1">
      <c r="A91" s="80">
        <v>45448.864583333336</v>
      </c>
      <c r="B91" s="112">
        <v>6.4</v>
      </c>
      <c r="C91" s="112">
        <v>6.01</v>
      </c>
      <c r="D91" s="112">
        <v>13.28</v>
      </c>
      <c r="E91" s="112">
        <v>10.86</v>
      </c>
      <c r="F91" s="112">
        <v>26.13</v>
      </c>
      <c r="G91" s="112">
        <v>58.07</v>
      </c>
      <c r="H91" s="112">
        <v>18.239999999999998</v>
      </c>
      <c r="I91" s="112">
        <v>4.8600000000000003</v>
      </c>
      <c r="J91" s="112">
        <v>0.24</v>
      </c>
      <c r="K91" s="112">
        <v>221.92</v>
      </c>
      <c r="L91" s="112">
        <v>32.86</v>
      </c>
      <c r="M91" s="112">
        <v>42.48</v>
      </c>
      <c r="N91" s="112">
        <v>0</v>
      </c>
      <c r="O91" s="112">
        <v>0</v>
      </c>
      <c r="P91" s="112">
        <v>0.5</v>
      </c>
      <c r="Q91" s="112">
        <v>4.79</v>
      </c>
    </row>
    <row r="92" spans="1:17" customFormat="1">
      <c r="A92" s="80">
        <v>45448.875</v>
      </c>
      <c r="B92" s="112">
        <v>6.36</v>
      </c>
      <c r="C92" s="112">
        <v>6</v>
      </c>
      <c r="D92" s="112">
        <v>13.24</v>
      </c>
      <c r="E92" s="112">
        <v>9.23</v>
      </c>
      <c r="F92" s="112">
        <v>32.49</v>
      </c>
      <c r="G92" s="112">
        <v>56.57</v>
      </c>
      <c r="H92" s="112">
        <v>18.059999999999999</v>
      </c>
      <c r="I92" s="112">
        <v>4.8600000000000003</v>
      </c>
      <c r="J92" s="112">
        <v>0.17</v>
      </c>
      <c r="K92" s="112">
        <v>231.03</v>
      </c>
      <c r="L92" s="112">
        <v>32.590000000000003</v>
      </c>
      <c r="M92" s="112">
        <v>43.25</v>
      </c>
      <c r="N92" s="112">
        <v>0</v>
      </c>
      <c r="O92" s="112">
        <v>0</v>
      </c>
      <c r="P92" s="112">
        <v>0.46</v>
      </c>
      <c r="Q92" s="112">
        <v>4.79</v>
      </c>
    </row>
    <row r="93" spans="1:17" customFormat="1">
      <c r="A93" s="80">
        <v>45448.885416666664</v>
      </c>
      <c r="B93" s="112">
        <v>6.35</v>
      </c>
      <c r="C93" s="112">
        <v>6.04</v>
      </c>
      <c r="D93" s="112">
        <v>13.26</v>
      </c>
      <c r="E93" s="112">
        <v>9.61</v>
      </c>
      <c r="F93" s="112">
        <v>26.58</v>
      </c>
      <c r="G93" s="112">
        <v>52.68</v>
      </c>
      <c r="H93" s="112">
        <v>17.73</v>
      </c>
      <c r="I93" s="112">
        <v>4.5599999999999996</v>
      </c>
      <c r="J93" s="112">
        <v>0.3</v>
      </c>
      <c r="K93" s="112">
        <v>239.8</v>
      </c>
      <c r="L93" s="112">
        <v>32.43</v>
      </c>
      <c r="M93" s="112">
        <v>44.04</v>
      </c>
      <c r="N93" s="112">
        <v>0</v>
      </c>
      <c r="O93" s="112">
        <v>0</v>
      </c>
      <c r="P93" s="112">
        <v>0.48</v>
      </c>
      <c r="Q93" s="112">
        <v>4.79</v>
      </c>
    </row>
    <row r="94" spans="1:17" customFormat="1">
      <c r="A94" s="80">
        <v>45448.895833333336</v>
      </c>
      <c r="B94" s="112">
        <v>6.35</v>
      </c>
      <c r="C94" s="112">
        <v>6</v>
      </c>
      <c r="D94" s="112">
        <v>13.24</v>
      </c>
      <c r="E94" s="112">
        <v>8.5</v>
      </c>
      <c r="F94" s="112">
        <v>29.88</v>
      </c>
      <c r="G94" s="112">
        <v>52.68</v>
      </c>
      <c r="H94" s="112">
        <v>17.73</v>
      </c>
      <c r="I94" s="112">
        <v>4.34</v>
      </c>
      <c r="J94" s="112">
        <v>0.2</v>
      </c>
      <c r="K94" s="112">
        <v>239.47</v>
      </c>
      <c r="L94" s="112">
        <v>32.22</v>
      </c>
      <c r="M94" s="112">
        <v>44.57</v>
      </c>
      <c r="N94" s="112">
        <v>0</v>
      </c>
      <c r="O94" s="112">
        <v>0</v>
      </c>
      <c r="P94" s="112">
        <v>0.45</v>
      </c>
      <c r="Q94" s="112">
        <v>4.8</v>
      </c>
    </row>
    <row r="95" spans="1:17" customFormat="1">
      <c r="A95" s="80">
        <v>45448.90625</v>
      </c>
      <c r="B95" s="112">
        <v>6.34</v>
      </c>
      <c r="C95" s="112">
        <v>6.03</v>
      </c>
      <c r="D95" s="112">
        <v>13.24</v>
      </c>
      <c r="E95" s="112">
        <v>7.68</v>
      </c>
      <c r="F95" s="112">
        <v>29.93</v>
      </c>
      <c r="G95" s="112">
        <v>52.68</v>
      </c>
      <c r="H95" s="112">
        <v>17.73</v>
      </c>
      <c r="I95" s="112">
        <v>4.33</v>
      </c>
      <c r="J95" s="112">
        <v>0.21</v>
      </c>
      <c r="K95" s="112">
        <v>221.8</v>
      </c>
      <c r="L95" s="112">
        <v>32.07</v>
      </c>
      <c r="M95" s="112">
        <v>45.36</v>
      </c>
      <c r="N95" s="112">
        <v>0</v>
      </c>
      <c r="O95" s="112">
        <v>0</v>
      </c>
      <c r="P95" s="112">
        <v>0.44</v>
      </c>
      <c r="Q95" s="112">
        <v>4.8</v>
      </c>
    </row>
    <row r="96" spans="1:17" customFormat="1">
      <c r="A96" s="80">
        <v>45448.916666666664</v>
      </c>
      <c r="B96" s="112">
        <v>6.34</v>
      </c>
      <c r="C96" s="112">
        <v>6.02</v>
      </c>
      <c r="D96" s="112">
        <v>13.24</v>
      </c>
      <c r="E96" s="112">
        <v>7.83</v>
      </c>
      <c r="F96" s="112">
        <v>27.88</v>
      </c>
      <c r="G96" s="112">
        <v>51.35</v>
      </c>
      <c r="H96" s="112">
        <v>17.850000000000001</v>
      </c>
      <c r="I96" s="112">
        <v>4.22</v>
      </c>
      <c r="J96" s="112">
        <v>0.22</v>
      </c>
      <c r="K96" s="112">
        <v>210.05</v>
      </c>
      <c r="L96" s="112">
        <v>31.94</v>
      </c>
      <c r="M96" s="112">
        <v>45.77</v>
      </c>
      <c r="N96" s="112">
        <v>0</v>
      </c>
      <c r="O96" s="112">
        <v>0</v>
      </c>
      <c r="P96" s="112">
        <v>0.45</v>
      </c>
      <c r="Q96" s="112">
        <v>4.82</v>
      </c>
    </row>
    <row r="97" spans="1:22" customFormat="1">
      <c r="A97" s="80">
        <v>45448.927083333336</v>
      </c>
      <c r="B97" s="112">
        <v>6.34</v>
      </c>
      <c r="C97" s="112">
        <v>6.01</v>
      </c>
      <c r="D97" s="112">
        <v>13.23</v>
      </c>
      <c r="E97" s="112">
        <v>7.72</v>
      </c>
      <c r="F97" s="112">
        <v>26.16</v>
      </c>
      <c r="G97" s="112">
        <v>47.88</v>
      </c>
      <c r="H97" s="112">
        <v>18.34</v>
      </c>
      <c r="I97" s="112">
        <v>4.2</v>
      </c>
      <c r="J97" s="112">
        <v>0.18</v>
      </c>
      <c r="K97" s="112">
        <v>205.12</v>
      </c>
      <c r="L97" s="112">
        <v>31.55</v>
      </c>
      <c r="M97" s="112">
        <v>46.91</v>
      </c>
      <c r="N97" s="112">
        <v>0</v>
      </c>
      <c r="O97" s="112">
        <v>0</v>
      </c>
      <c r="P97" s="112">
        <v>0.47</v>
      </c>
      <c r="Q97" s="112">
        <v>4.8099999999999996</v>
      </c>
    </row>
    <row r="98" spans="1:22" customFormat="1">
      <c r="A98" s="80">
        <v>45448.9375</v>
      </c>
      <c r="B98" s="112">
        <v>6.35</v>
      </c>
      <c r="C98" s="112">
        <v>6.03</v>
      </c>
      <c r="D98" s="112">
        <v>13.25</v>
      </c>
      <c r="E98" s="112">
        <v>8.0399999999999991</v>
      </c>
      <c r="F98" s="112">
        <v>24.06</v>
      </c>
      <c r="G98" s="112">
        <v>47.88</v>
      </c>
      <c r="H98" s="112">
        <v>18.34</v>
      </c>
      <c r="I98" s="112">
        <v>4.18</v>
      </c>
      <c r="J98" s="112">
        <v>0.17</v>
      </c>
      <c r="K98" s="112">
        <v>202.97</v>
      </c>
      <c r="L98" s="112">
        <v>31.31</v>
      </c>
      <c r="M98" s="112">
        <v>48.06</v>
      </c>
      <c r="N98" s="112">
        <v>0</v>
      </c>
      <c r="O98" s="112">
        <v>0</v>
      </c>
      <c r="P98" s="112">
        <v>0.47</v>
      </c>
      <c r="Q98" s="112">
        <v>4.8099999999999996</v>
      </c>
    </row>
    <row r="99" spans="1:22" customFormat="1">
      <c r="A99" s="80">
        <v>45448.947916666664</v>
      </c>
      <c r="B99" s="112">
        <v>6.36</v>
      </c>
      <c r="C99" s="112">
        <v>6.01</v>
      </c>
      <c r="D99" s="112">
        <v>13.25</v>
      </c>
      <c r="E99" s="112">
        <v>7.72</v>
      </c>
      <c r="F99" s="112">
        <v>22.98</v>
      </c>
      <c r="G99" s="112">
        <v>47.88</v>
      </c>
      <c r="H99" s="112">
        <v>18.34</v>
      </c>
      <c r="I99" s="112">
        <v>4.55</v>
      </c>
      <c r="J99" s="112">
        <v>0.21</v>
      </c>
      <c r="K99" s="112">
        <v>255.97</v>
      </c>
      <c r="L99" s="112">
        <v>31.19</v>
      </c>
      <c r="M99" s="112">
        <v>48.52</v>
      </c>
      <c r="N99" s="112">
        <v>0</v>
      </c>
      <c r="O99" s="112">
        <v>0</v>
      </c>
      <c r="P99" s="112">
        <v>0.44</v>
      </c>
      <c r="Q99" s="112">
        <v>4.8</v>
      </c>
    </row>
    <row r="100" spans="1:22" customFormat="1">
      <c r="A100" s="80">
        <v>45448.958333333336</v>
      </c>
      <c r="B100" s="112">
        <v>6.36</v>
      </c>
      <c r="C100" s="112">
        <v>6.04</v>
      </c>
      <c r="D100" s="112">
        <v>13.27</v>
      </c>
      <c r="E100" s="112">
        <v>7.78</v>
      </c>
      <c r="F100" s="112">
        <v>28.02</v>
      </c>
      <c r="G100" s="112">
        <v>46.31</v>
      </c>
      <c r="H100" s="112">
        <v>17.71</v>
      </c>
      <c r="I100" s="112">
        <v>4.5599999999999996</v>
      </c>
      <c r="J100" s="112">
        <v>0.05</v>
      </c>
      <c r="K100" s="112">
        <v>208.1</v>
      </c>
      <c r="L100" s="112">
        <v>31.17</v>
      </c>
      <c r="M100" s="112">
        <v>48.49</v>
      </c>
      <c r="N100" s="112">
        <v>0</v>
      </c>
      <c r="O100" s="112">
        <v>0</v>
      </c>
      <c r="P100" s="112">
        <v>0.42</v>
      </c>
      <c r="Q100" s="112">
        <v>4.8</v>
      </c>
    </row>
    <row r="101" spans="1:22" customFormat="1">
      <c r="A101" s="80">
        <v>45448.96875</v>
      </c>
      <c r="B101" s="112">
        <v>6.36</v>
      </c>
      <c r="C101" s="112">
        <v>6.04</v>
      </c>
      <c r="D101" s="112">
        <v>13.26</v>
      </c>
      <c r="E101" s="112">
        <v>7.46</v>
      </c>
      <c r="F101" s="112">
        <v>25.74</v>
      </c>
      <c r="G101" s="112">
        <v>41.99</v>
      </c>
      <c r="H101" s="112">
        <v>16.54</v>
      </c>
      <c r="I101" s="112">
        <v>4.25</v>
      </c>
      <c r="J101" s="112">
        <v>0.17</v>
      </c>
      <c r="K101" s="112">
        <v>182.86</v>
      </c>
      <c r="L101" s="112">
        <v>31.18</v>
      </c>
      <c r="M101" s="112">
        <v>49.31</v>
      </c>
      <c r="N101" s="112">
        <v>0</v>
      </c>
      <c r="O101" s="112">
        <v>0</v>
      </c>
      <c r="P101" s="112">
        <v>0.43</v>
      </c>
      <c r="Q101" s="112">
        <v>4.8</v>
      </c>
    </row>
    <row r="102" spans="1:22" customFormat="1">
      <c r="A102" s="80">
        <v>45448.979166666664</v>
      </c>
      <c r="B102" s="112">
        <v>6.38</v>
      </c>
      <c r="C102" s="112">
        <v>6.01</v>
      </c>
      <c r="D102" s="112">
        <v>13.27</v>
      </c>
      <c r="E102" s="112">
        <v>7.62</v>
      </c>
      <c r="F102" s="112">
        <v>25.14</v>
      </c>
      <c r="G102" s="112">
        <v>41.99</v>
      </c>
      <c r="H102" s="112">
        <v>16.54</v>
      </c>
      <c r="I102" s="112">
        <v>4.0199999999999996</v>
      </c>
      <c r="J102" s="112">
        <v>0.11</v>
      </c>
      <c r="K102" s="112">
        <v>148.27000000000001</v>
      </c>
      <c r="L102" s="112">
        <v>31.13</v>
      </c>
      <c r="M102" s="112">
        <v>50.54</v>
      </c>
      <c r="N102" s="112">
        <v>0</v>
      </c>
      <c r="O102" s="112">
        <v>0</v>
      </c>
      <c r="P102" s="112">
        <v>0.44</v>
      </c>
      <c r="Q102" s="112">
        <v>4.8099999999999996</v>
      </c>
    </row>
    <row r="103" spans="1:22" customFormat="1">
      <c r="A103" s="80">
        <v>45448.989583333336</v>
      </c>
      <c r="B103" s="112">
        <v>6.37</v>
      </c>
      <c r="C103" s="112">
        <v>6.03</v>
      </c>
      <c r="D103" s="112">
        <v>13.27</v>
      </c>
      <c r="E103" s="112">
        <v>7.97</v>
      </c>
      <c r="F103" s="112">
        <v>26.04</v>
      </c>
      <c r="G103" s="112">
        <v>41.99</v>
      </c>
      <c r="H103" s="112">
        <v>16.54</v>
      </c>
      <c r="I103" s="112">
        <v>4.12</v>
      </c>
      <c r="J103" s="112">
        <v>0.09</v>
      </c>
      <c r="K103" s="112">
        <v>249.25</v>
      </c>
      <c r="L103" s="112">
        <v>30.95</v>
      </c>
      <c r="M103" s="112">
        <v>52.13</v>
      </c>
      <c r="N103" s="112">
        <v>0</v>
      </c>
      <c r="O103" s="112">
        <v>0</v>
      </c>
      <c r="P103" s="112">
        <v>0.45</v>
      </c>
      <c r="Q103" s="112">
        <v>4.8099999999999996</v>
      </c>
    </row>
    <row r="104" spans="1:22" customFormat="1">
      <c r="A104" s="80">
        <v>45449</v>
      </c>
      <c r="B104" s="112">
        <v>6.35</v>
      </c>
      <c r="C104" s="112">
        <v>6.04</v>
      </c>
      <c r="D104" s="112">
        <v>13.26</v>
      </c>
      <c r="E104" s="112">
        <v>8.31</v>
      </c>
      <c r="F104" s="112">
        <v>28.28</v>
      </c>
      <c r="G104" s="112">
        <v>41.05</v>
      </c>
      <c r="H104" s="112">
        <v>16.75</v>
      </c>
      <c r="I104" s="112">
        <v>4.24</v>
      </c>
      <c r="J104" s="112">
        <v>0.18</v>
      </c>
      <c r="K104" s="112">
        <v>221.31</v>
      </c>
      <c r="L104" s="112">
        <v>31.1</v>
      </c>
      <c r="M104" s="112">
        <v>53.4</v>
      </c>
      <c r="N104" s="112">
        <v>0</v>
      </c>
      <c r="O104" s="112">
        <v>0</v>
      </c>
      <c r="P104" s="112">
        <v>0.44</v>
      </c>
      <c r="Q104" s="112">
        <v>4.79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6.25</v>
      </c>
      <c r="C106" s="184">
        <f>MIN(C9:C104)</f>
        <v>6</v>
      </c>
      <c r="D106" s="184">
        <f t="shared" ref="D106:Q106" si="0">MIN(D9:D104)</f>
        <v>13.16</v>
      </c>
      <c r="E106" s="184">
        <f t="shared" si="0"/>
        <v>7.39</v>
      </c>
      <c r="F106" s="184">
        <f t="shared" si="0"/>
        <v>6.28</v>
      </c>
      <c r="G106" s="184">
        <f t="shared" si="0"/>
        <v>10.73</v>
      </c>
      <c r="H106" s="184">
        <f t="shared" si="0"/>
        <v>2.16</v>
      </c>
      <c r="I106" s="184">
        <f t="shared" si="0"/>
        <v>3.52</v>
      </c>
      <c r="J106" s="184">
        <f t="shared" si="0"/>
        <v>0.05</v>
      </c>
      <c r="K106" s="184">
        <f t="shared" si="0"/>
        <v>-0.27</v>
      </c>
      <c r="L106" s="184">
        <f t="shared" si="0"/>
        <v>26.22</v>
      </c>
      <c r="M106" s="184">
        <f t="shared" si="0"/>
        <v>22.22</v>
      </c>
      <c r="N106" s="184">
        <f t="shared" si="0"/>
        <v>0</v>
      </c>
      <c r="O106" s="184">
        <f t="shared" si="0"/>
        <v>0</v>
      </c>
      <c r="P106" s="184">
        <f t="shared" si="0"/>
        <v>0.31</v>
      </c>
      <c r="Q106" s="184">
        <f t="shared" si="0"/>
        <v>4.07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7.28</v>
      </c>
      <c r="C107" s="185">
        <f t="shared" ref="C107:Q107" si="1">MAX(C9:C104)</f>
        <v>6.11</v>
      </c>
      <c r="D107" s="185">
        <f t="shared" si="1"/>
        <v>14.01</v>
      </c>
      <c r="E107" s="185">
        <f t="shared" si="1"/>
        <v>56.46</v>
      </c>
      <c r="F107" s="185">
        <f t="shared" si="1"/>
        <v>71.95</v>
      </c>
      <c r="G107" s="185">
        <f t="shared" si="1"/>
        <v>61.31</v>
      </c>
      <c r="H107" s="185">
        <f t="shared" si="1"/>
        <v>18.34</v>
      </c>
      <c r="I107" s="185">
        <f t="shared" si="1"/>
        <v>5.34</v>
      </c>
      <c r="J107" s="185">
        <f t="shared" si="1"/>
        <v>2.64</v>
      </c>
      <c r="K107" s="185">
        <f t="shared" si="1"/>
        <v>347.72</v>
      </c>
      <c r="L107" s="185">
        <f t="shared" si="1"/>
        <v>40.46</v>
      </c>
      <c r="M107" s="185">
        <f t="shared" si="1"/>
        <v>84.77</v>
      </c>
      <c r="N107" s="185">
        <f t="shared" si="1"/>
        <v>601.6</v>
      </c>
      <c r="O107" s="185">
        <f t="shared" si="1"/>
        <v>0.2</v>
      </c>
      <c r="P107" s="185">
        <f t="shared" si="1"/>
        <v>0.69</v>
      </c>
      <c r="Q107" s="185">
        <f t="shared" si="1"/>
        <v>27.49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6.5458695652173944</v>
      </c>
      <c r="C108" s="184">
        <f t="shared" ref="C108:Q108" si="2">AVERAGE(C9:C104)</f>
        <v>6.0402173913043473</v>
      </c>
      <c r="D108" s="184">
        <f t="shared" si="2"/>
        <v>13.414565217391303</v>
      </c>
      <c r="E108" s="184">
        <f t="shared" si="2"/>
        <v>20.388913043478261</v>
      </c>
      <c r="F108" s="184">
        <f t="shared" si="2"/>
        <v>30.171521739130434</v>
      </c>
      <c r="G108" s="184">
        <f t="shared" si="2"/>
        <v>46.149024390243909</v>
      </c>
      <c r="H108" s="184">
        <f t="shared" si="2"/>
        <v>15.011463414634147</v>
      </c>
      <c r="I108" s="184">
        <f t="shared" si="2"/>
        <v>4.3286956521739146</v>
      </c>
      <c r="J108" s="184">
        <f t="shared" si="2"/>
        <v>0.65347826086956529</v>
      </c>
      <c r="K108" s="184">
        <f t="shared" si="2"/>
        <v>135.95630434782612</v>
      </c>
      <c r="L108" s="184">
        <f t="shared" si="2"/>
        <v>34.052391304347836</v>
      </c>
      <c r="M108" s="184">
        <f t="shared" si="2"/>
        <v>42.999347826086954</v>
      </c>
      <c r="N108" s="184">
        <f t="shared" si="2"/>
        <v>72.96521739130435</v>
      </c>
      <c r="O108" s="184">
        <f t="shared" si="2"/>
        <v>4.3478260869565218E-3</v>
      </c>
      <c r="P108" s="184">
        <f t="shared" si="2"/>
        <v>0.45347826086956528</v>
      </c>
      <c r="Q108" s="184">
        <f t="shared" si="2"/>
        <v>5.475348837209304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0.35639289235304206</v>
      </c>
      <c r="C109" s="184">
        <f t="shared" ref="C109:Q109" si="3">STDEV(C9:C104)</f>
        <v>2.4898829105426994E-2</v>
      </c>
      <c r="D109" s="184">
        <f t="shared" si="3"/>
        <v>0.29460864075539411</v>
      </c>
      <c r="E109" s="184">
        <f t="shared" si="3"/>
        <v>14.414224182808812</v>
      </c>
      <c r="F109" s="184">
        <f t="shared" si="3"/>
        <v>14.990172034798348</v>
      </c>
      <c r="G109" s="184">
        <f t="shared" si="3"/>
        <v>10.137535895097468</v>
      </c>
      <c r="H109" s="184">
        <f t="shared" si="3"/>
        <v>3.877568542898747</v>
      </c>
      <c r="I109" s="184">
        <f t="shared" si="3"/>
        <v>0.53035672982394055</v>
      </c>
      <c r="J109" s="184">
        <f t="shared" si="3"/>
        <v>0.57981689596823738</v>
      </c>
      <c r="K109" s="184">
        <f t="shared" si="3"/>
        <v>105.72117873304907</v>
      </c>
      <c r="L109" s="184">
        <f t="shared" si="3"/>
        <v>4.1150451245169846</v>
      </c>
      <c r="M109" s="184">
        <f t="shared" si="3"/>
        <v>14.693399485963305</v>
      </c>
      <c r="N109" s="184">
        <f t="shared" si="3"/>
        <v>158.54603287708841</v>
      </c>
      <c r="O109" s="184">
        <f t="shared" si="3"/>
        <v>2.9488391230979429E-2</v>
      </c>
      <c r="P109" s="184">
        <f t="shared" si="3"/>
        <v>8.7944866347662243E-2</v>
      </c>
      <c r="Q109" s="184">
        <f t="shared" si="3"/>
        <v>3.4993484759834406</v>
      </c>
      <c r="R109" s="188"/>
      <c r="S109" s="188"/>
      <c r="T109" s="188"/>
      <c r="U109" s="188"/>
    </row>
    <row r="110" spans="1:22">
      <c r="A110" s="183" t="s">
        <v>52</v>
      </c>
      <c r="B110" s="185">
        <v>96</v>
      </c>
      <c r="C110" s="185">
        <v>96</v>
      </c>
      <c r="D110" s="185">
        <v>96</v>
      </c>
      <c r="E110" s="185">
        <v>96</v>
      </c>
      <c r="F110" s="185">
        <v>96</v>
      </c>
      <c r="G110" s="185">
        <v>96</v>
      </c>
      <c r="H110" s="185">
        <v>96</v>
      </c>
      <c r="I110" s="185">
        <v>96</v>
      </c>
      <c r="J110" s="185">
        <v>96</v>
      </c>
      <c r="K110" s="185">
        <v>96</v>
      </c>
      <c r="L110" s="185">
        <v>96</v>
      </c>
      <c r="M110" s="185">
        <v>96</v>
      </c>
      <c r="N110" s="185">
        <v>96</v>
      </c>
      <c r="O110" s="185">
        <v>96</v>
      </c>
      <c r="P110" s="185">
        <v>96</v>
      </c>
      <c r="Q110" s="185"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45449.010416666664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45449.010416666664</v>
      </c>
      <c r="B9" s="112">
        <v>7.13</v>
      </c>
      <c r="C9" s="112">
        <v>6.1</v>
      </c>
      <c r="D9" s="112">
        <v>13.91</v>
      </c>
      <c r="E9" s="112">
        <v>8.51</v>
      </c>
      <c r="F9" s="112">
        <v>26.76</v>
      </c>
      <c r="G9" s="112">
        <v>38.590000000000003</v>
      </c>
      <c r="H9" s="112">
        <v>17.11</v>
      </c>
      <c r="I9" s="112">
        <v>4.2699999999999996</v>
      </c>
      <c r="J9" s="112">
        <v>0.15</v>
      </c>
      <c r="K9" s="112">
        <v>206.4</v>
      </c>
      <c r="L9" s="112">
        <v>31.04</v>
      </c>
      <c r="M9" s="112">
        <v>54.45</v>
      </c>
      <c r="N9" s="112">
        <v>0</v>
      </c>
      <c r="O9" s="112">
        <v>0</v>
      </c>
      <c r="P9" s="112">
        <v>0.44</v>
      </c>
      <c r="Q9" s="112">
        <v>4.8099999999999996</v>
      </c>
    </row>
    <row r="10" spans="1:21" customFormat="1">
      <c r="A10" s="80">
        <v>45449.020833333336</v>
      </c>
      <c r="B10" s="112">
        <v>7.18</v>
      </c>
      <c r="C10" s="112">
        <v>6.07</v>
      </c>
      <c r="D10" s="112">
        <v>13.94</v>
      </c>
      <c r="E10" s="112">
        <v>8.08</v>
      </c>
      <c r="F10" s="112">
        <v>25.76</v>
      </c>
      <c r="G10" s="112">
        <v>38.590000000000003</v>
      </c>
      <c r="H10" s="112">
        <v>17.11</v>
      </c>
      <c r="I10" s="112">
        <v>4.2</v>
      </c>
      <c r="J10" s="112">
        <v>0.21</v>
      </c>
      <c r="K10" s="112">
        <v>233.15</v>
      </c>
      <c r="L10" s="112">
        <v>31.17</v>
      </c>
      <c r="M10" s="112">
        <v>55.15</v>
      </c>
      <c r="N10" s="112">
        <v>0</v>
      </c>
      <c r="O10" s="112">
        <v>0</v>
      </c>
      <c r="P10" s="112">
        <v>0.43</v>
      </c>
      <c r="Q10" s="112">
        <v>4.8099999999999996</v>
      </c>
    </row>
    <row r="11" spans="1:21" customFormat="1">
      <c r="A11" s="80">
        <v>45449.03125</v>
      </c>
      <c r="B11" s="112">
        <v>7.2</v>
      </c>
      <c r="C11" s="112">
        <v>6.04</v>
      </c>
      <c r="D11" s="112">
        <v>13.94</v>
      </c>
      <c r="E11" s="112">
        <v>8.19</v>
      </c>
      <c r="F11" s="112">
        <v>28</v>
      </c>
      <c r="G11" s="112">
        <v>38.590000000000003</v>
      </c>
      <c r="H11" s="112">
        <v>17.11</v>
      </c>
      <c r="I11" s="112">
        <v>4.26</v>
      </c>
      <c r="J11" s="112">
        <v>0.14000000000000001</v>
      </c>
      <c r="K11" s="112">
        <v>212.42</v>
      </c>
      <c r="L11" s="112">
        <v>31.14</v>
      </c>
      <c r="M11" s="112">
        <v>56.03</v>
      </c>
      <c r="N11" s="112">
        <v>0</v>
      </c>
      <c r="O11" s="112">
        <v>0</v>
      </c>
      <c r="P11" s="112">
        <v>0.42</v>
      </c>
      <c r="Q11" s="112">
        <v>4.8099999999999996</v>
      </c>
    </row>
    <row r="12" spans="1:21" customFormat="1">
      <c r="A12" s="80">
        <v>45449.041666666664</v>
      </c>
      <c r="B12" s="112">
        <v>7.18</v>
      </c>
      <c r="C12" s="112">
        <v>6.08</v>
      </c>
      <c r="D12" s="112">
        <v>13.95</v>
      </c>
      <c r="E12" s="112">
        <v>7.75</v>
      </c>
      <c r="F12" s="112">
        <v>16.690000000000001</v>
      </c>
      <c r="G12" s="112">
        <v>37.630000000000003</v>
      </c>
      <c r="H12" s="112">
        <v>16.5</v>
      </c>
      <c r="I12" s="112">
        <v>4.12</v>
      </c>
      <c r="J12" s="112">
        <v>0.13</v>
      </c>
      <c r="K12" s="112">
        <v>208.83</v>
      </c>
      <c r="L12" s="112">
        <v>31.09</v>
      </c>
      <c r="M12" s="112">
        <v>56.92</v>
      </c>
      <c r="N12" s="112">
        <v>0</v>
      </c>
      <c r="O12" s="112">
        <v>0</v>
      </c>
      <c r="P12" s="112">
        <v>0.44</v>
      </c>
      <c r="Q12" s="112">
        <v>4.8</v>
      </c>
    </row>
    <row r="13" spans="1:21" customFormat="1">
      <c r="A13" s="80">
        <v>45449.052083333336</v>
      </c>
      <c r="B13" s="112">
        <v>7.19</v>
      </c>
      <c r="C13" s="112">
        <v>6.08</v>
      </c>
      <c r="D13" s="112">
        <v>13.95</v>
      </c>
      <c r="E13" s="112">
        <v>8.1199999999999992</v>
      </c>
      <c r="F13" s="112">
        <v>15.52</v>
      </c>
      <c r="G13" s="112">
        <v>35.14</v>
      </c>
      <c r="H13" s="112">
        <v>15.43</v>
      </c>
      <c r="I13" s="112">
        <v>4.13</v>
      </c>
      <c r="J13" s="112">
        <v>0.17</v>
      </c>
      <c r="K13" s="112">
        <v>222.47</v>
      </c>
      <c r="L13" s="112">
        <v>31.16</v>
      </c>
      <c r="M13" s="112">
        <v>56.71</v>
      </c>
      <c r="N13" s="112">
        <v>0</v>
      </c>
      <c r="O13" s="112">
        <v>0</v>
      </c>
      <c r="P13" s="112">
        <v>0.47</v>
      </c>
      <c r="Q13" s="112">
        <v>4.8099999999999996</v>
      </c>
    </row>
    <row r="14" spans="1:21" customFormat="1">
      <c r="A14" s="80">
        <v>45449.0625</v>
      </c>
      <c r="B14" s="112">
        <v>7.19</v>
      </c>
      <c r="C14" s="112">
        <v>6.09</v>
      </c>
      <c r="D14" s="112">
        <v>13.96</v>
      </c>
      <c r="E14" s="112">
        <v>7.84</v>
      </c>
      <c r="F14" s="112">
        <v>16.38</v>
      </c>
      <c r="G14" s="112">
        <v>35.14</v>
      </c>
      <c r="H14" s="112">
        <v>15.43</v>
      </c>
      <c r="I14" s="112">
        <v>4.3099999999999996</v>
      </c>
      <c r="J14" s="112">
        <v>0.04</v>
      </c>
      <c r="K14" s="112">
        <v>213.84</v>
      </c>
      <c r="L14" s="112">
        <v>31.15</v>
      </c>
      <c r="M14" s="112">
        <v>56.81</v>
      </c>
      <c r="N14" s="112">
        <v>0</v>
      </c>
      <c r="O14" s="112">
        <v>0</v>
      </c>
      <c r="P14" s="112">
        <v>0.46</v>
      </c>
      <c r="Q14" s="112">
        <v>4.79</v>
      </c>
    </row>
    <row r="15" spans="1:21" customFormat="1">
      <c r="A15" s="80">
        <v>45449.072916666664</v>
      </c>
      <c r="B15" s="112">
        <v>7.19</v>
      </c>
      <c r="C15" s="112">
        <v>6.08</v>
      </c>
      <c r="D15" s="112">
        <v>13.96</v>
      </c>
      <c r="E15" s="112">
        <v>7.64</v>
      </c>
      <c r="F15" s="112">
        <v>16.73</v>
      </c>
      <c r="G15" s="112">
        <v>35.14</v>
      </c>
      <c r="H15" s="112">
        <v>15.43</v>
      </c>
      <c r="I15" s="112">
        <v>4.38</v>
      </c>
      <c r="J15" s="112">
        <v>0.16</v>
      </c>
      <c r="K15" s="112">
        <v>207.01</v>
      </c>
      <c r="L15" s="112">
        <v>31.18</v>
      </c>
      <c r="M15" s="112">
        <v>57.09</v>
      </c>
      <c r="N15" s="112">
        <v>0</v>
      </c>
      <c r="O15" s="112">
        <v>0</v>
      </c>
      <c r="P15" s="112">
        <v>0.46</v>
      </c>
      <c r="Q15" s="112">
        <v>4.8</v>
      </c>
    </row>
    <row r="16" spans="1:21" customFormat="1">
      <c r="A16" s="80">
        <v>45449.083333333336</v>
      </c>
      <c r="B16" s="112">
        <v>7.2</v>
      </c>
      <c r="C16" s="112">
        <v>6.08</v>
      </c>
      <c r="D16" s="112">
        <v>13.96</v>
      </c>
      <c r="E16" s="112">
        <v>7.93</v>
      </c>
      <c r="F16" s="112">
        <v>15.74</v>
      </c>
      <c r="G16" s="112">
        <v>35.340000000000003</v>
      </c>
      <c r="H16" s="112">
        <v>15.02</v>
      </c>
      <c r="I16" s="112">
        <v>4.33</v>
      </c>
      <c r="J16" s="112">
        <v>0.15</v>
      </c>
      <c r="K16" s="112">
        <v>223.95</v>
      </c>
      <c r="L16" s="112">
        <v>31.02</v>
      </c>
      <c r="M16" s="112">
        <v>57.71</v>
      </c>
      <c r="N16" s="112">
        <v>0</v>
      </c>
      <c r="O16" s="112">
        <v>0</v>
      </c>
      <c r="P16" s="112">
        <v>0.46</v>
      </c>
      <c r="Q16" s="112">
        <v>4.8099999999999996</v>
      </c>
    </row>
    <row r="17" spans="1:17" customFormat="1">
      <c r="A17" s="80">
        <v>45449.09375</v>
      </c>
      <c r="B17" s="112">
        <v>7.19</v>
      </c>
      <c r="C17" s="112">
        <v>6.07</v>
      </c>
      <c r="D17" s="112">
        <v>13.95</v>
      </c>
      <c r="E17" s="112">
        <v>8.23</v>
      </c>
      <c r="F17" s="112">
        <v>13.95</v>
      </c>
      <c r="G17" s="112">
        <v>35.880000000000003</v>
      </c>
      <c r="H17" s="112">
        <v>14.26</v>
      </c>
      <c r="I17" s="112">
        <v>4.32</v>
      </c>
      <c r="J17" s="112">
        <v>0.2</v>
      </c>
      <c r="K17" s="112">
        <v>194.07</v>
      </c>
      <c r="L17" s="112">
        <v>30.92</v>
      </c>
      <c r="M17" s="112">
        <v>58.29</v>
      </c>
      <c r="N17" s="112">
        <v>0</v>
      </c>
      <c r="O17" s="112">
        <v>0</v>
      </c>
      <c r="P17" s="112">
        <v>0.45</v>
      </c>
      <c r="Q17" s="112">
        <v>4.82</v>
      </c>
    </row>
    <row r="18" spans="1:17" customFormat="1">
      <c r="A18" s="80">
        <v>45449.104166666664</v>
      </c>
      <c r="B18" s="112">
        <v>7.18</v>
      </c>
      <c r="C18" s="112">
        <v>6.06</v>
      </c>
      <c r="D18" s="112">
        <v>13.93</v>
      </c>
      <c r="E18" s="112">
        <v>9.65</v>
      </c>
      <c r="F18" s="112">
        <v>14.58</v>
      </c>
      <c r="G18" s="112">
        <v>35.880000000000003</v>
      </c>
      <c r="H18" s="112">
        <v>14.26</v>
      </c>
      <c r="I18" s="112">
        <v>4.32</v>
      </c>
      <c r="J18" s="112">
        <v>0.15</v>
      </c>
      <c r="K18" s="112">
        <v>211.34</v>
      </c>
      <c r="L18" s="112">
        <v>30.61</v>
      </c>
      <c r="M18" s="112">
        <v>59.32</v>
      </c>
      <c r="N18" s="112">
        <v>0</v>
      </c>
      <c r="O18" s="112">
        <v>0</v>
      </c>
      <c r="P18" s="112">
        <v>0.45</v>
      </c>
      <c r="Q18" s="112">
        <v>4.82</v>
      </c>
    </row>
    <row r="19" spans="1:17" customFormat="1">
      <c r="A19" s="80">
        <v>45449.114583333336</v>
      </c>
      <c r="B19" s="112">
        <v>7.17</v>
      </c>
      <c r="C19" s="112">
        <v>6.07</v>
      </c>
      <c r="D19" s="112">
        <v>13.94</v>
      </c>
      <c r="E19" s="112">
        <v>9.51</v>
      </c>
      <c r="F19" s="112">
        <v>12</v>
      </c>
      <c r="G19" s="112">
        <v>35.880000000000003</v>
      </c>
      <c r="H19" s="112">
        <v>14.26</v>
      </c>
      <c r="I19" s="112">
        <v>4.29</v>
      </c>
      <c r="J19" s="112">
        <v>0.16</v>
      </c>
      <c r="K19" s="112">
        <v>204.44</v>
      </c>
      <c r="L19" s="112">
        <v>30.37</v>
      </c>
      <c r="M19" s="112">
        <v>60.65</v>
      </c>
      <c r="N19" s="112">
        <v>0</v>
      </c>
      <c r="O19" s="112">
        <v>0</v>
      </c>
      <c r="P19" s="112">
        <v>0.45</v>
      </c>
      <c r="Q19" s="112">
        <v>4.8</v>
      </c>
    </row>
    <row r="20" spans="1:17" customFormat="1">
      <c r="A20" s="80">
        <v>45449.125</v>
      </c>
      <c r="B20" s="112">
        <v>7.19</v>
      </c>
      <c r="C20" s="112">
        <v>6.03</v>
      </c>
      <c r="D20" s="112">
        <v>13.92</v>
      </c>
      <c r="E20" s="112">
        <v>9.76</v>
      </c>
      <c r="F20" s="112">
        <v>12.89</v>
      </c>
      <c r="G20" s="112">
        <v>34.36</v>
      </c>
      <c r="H20" s="112">
        <v>15.03</v>
      </c>
      <c r="I20" s="112">
        <v>4.37</v>
      </c>
      <c r="J20" s="112">
        <v>0.11</v>
      </c>
      <c r="K20" s="112">
        <v>190.78</v>
      </c>
      <c r="L20" s="112">
        <v>30.27</v>
      </c>
      <c r="M20" s="112">
        <v>61.27</v>
      </c>
      <c r="N20" s="112">
        <v>0</v>
      </c>
      <c r="O20" s="112">
        <v>0</v>
      </c>
      <c r="P20" s="112">
        <v>0.44</v>
      </c>
      <c r="Q20" s="112">
        <v>4.79</v>
      </c>
    </row>
    <row r="21" spans="1:17" customFormat="1">
      <c r="A21" s="80">
        <v>45449.135416666664</v>
      </c>
      <c r="B21" s="112">
        <v>7.18</v>
      </c>
      <c r="C21" s="112">
        <v>6.06</v>
      </c>
      <c r="D21" s="112">
        <v>13.93</v>
      </c>
      <c r="E21" s="112">
        <v>10.09</v>
      </c>
      <c r="F21" s="112">
        <v>12.29</v>
      </c>
      <c r="G21" s="112">
        <v>30.18</v>
      </c>
      <c r="H21" s="112">
        <v>16.489999999999998</v>
      </c>
      <c r="I21" s="112">
        <v>4.3499999999999996</v>
      </c>
      <c r="J21" s="112">
        <v>0.16</v>
      </c>
      <c r="K21" s="112">
        <v>184.04</v>
      </c>
      <c r="L21" s="112">
        <v>30.1</v>
      </c>
      <c r="M21" s="112">
        <v>61.64</v>
      </c>
      <c r="N21" s="112">
        <v>0</v>
      </c>
      <c r="O21" s="112">
        <v>0</v>
      </c>
      <c r="P21" s="112">
        <v>0.44</v>
      </c>
      <c r="Q21" s="112">
        <v>4.79</v>
      </c>
    </row>
    <row r="22" spans="1:17" customFormat="1">
      <c r="A22" s="80">
        <v>45449.145833333336</v>
      </c>
      <c r="B22" s="112">
        <v>7.19</v>
      </c>
      <c r="C22" s="112">
        <v>6.05</v>
      </c>
      <c r="D22" s="112">
        <v>13.94</v>
      </c>
      <c r="E22" s="112">
        <v>9.24</v>
      </c>
      <c r="F22" s="112">
        <v>9.2200000000000006</v>
      </c>
      <c r="G22" s="112">
        <v>30.18</v>
      </c>
      <c r="H22" s="112">
        <v>16.489999999999998</v>
      </c>
      <c r="I22" s="112">
        <v>4.33</v>
      </c>
      <c r="J22" s="112">
        <v>0.2</v>
      </c>
      <c r="K22" s="112">
        <v>235.88</v>
      </c>
      <c r="L22" s="112">
        <v>29.88</v>
      </c>
      <c r="M22" s="112">
        <v>62.19</v>
      </c>
      <c r="N22" s="112">
        <v>0</v>
      </c>
      <c r="O22" s="112">
        <v>0</v>
      </c>
      <c r="P22" s="112">
        <v>0.45</v>
      </c>
      <c r="Q22" s="112">
        <v>4.8</v>
      </c>
    </row>
    <row r="23" spans="1:17" customFormat="1">
      <c r="A23" s="80">
        <v>45449.15625</v>
      </c>
      <c r="B23" s="112">
        <v>7.17</v>
      </c>
      <c r="C23" s="112">
        <v>6.07</v>
      </c>
      <c r="D23" s="112">
        <v>13.93</v>
      </c>
      <c r="E23" s="112">
        <v>9.7100000000000009</v>
      </c>
      <c r="F23" s="112">
        <v>9.58</v>
      </c>
      <c r="G23" s="112">
        <v>30.18</v>
      </c>
      <c r="H23" s="112">
        <v>16.489999999999998</v>
      </c>
      <c r="I23" s="112">
        <v>4.47</v>
      </c>
      <c r="J23" s="112">
        <v>0.24</v>
      </c>
      <c r="K23" s="112">
        <v>254.13</v>
      </c>
      <c r="L23" s="112">
        <v>29.91</v>
      </c>
      <c r="M23" s="112">
        <v>62.08</v>
      </c>
      <c r="N23" s="112">
        <v>0</v>
      </c>
      <c r="O23" s="112">
        <v>0</v>
      </c>
      <c r="P23" s="112">
        <v>0.45</v>
      </c>
      <c r="Q23" s="112">
        <v>4.8</v>
      </c>
    </row>
    <row r="24" spans="1:17" customFormat="1">
      <c r="A24" s="80">
        <v>45449.166666666664</v>
      </c>
      <c r="B24" s="112">
        <v>7.15</v>
      </c>
      <c r="C24" s="112">
        <v>6.1</v>
      </c>
      <c r="D24" s="112">
        <v>13.93</v>
      </c>
      <c r="E24" s="112">
        <v>9.69</v>
      </c>
      <c r="F24" s="112">
        <v>11.45</v>
      </c>
      <c r="G24" s="112">
        <v>30.09</v>
      </c>
      <c r="H24" s="112">
        <v>16.28</v>
      </c>
      <c r="I24" s="112">
        <v>4.47</v>
      </c>
      <c r="J24" s="112">
        <v>0.27</v>
      </c>
      <c r="K24" s="112">
        <v>263.77</v>
      </c>
      <c r="L24" s="112">
        <v>29.92</v>
      </c>
      <c r="M24" s="112">
        <v>61.88</v>
      </c>
      <c r="N24" s="112">
        <v>0</v>
      </c>
      <c r="O24" s="112">
        <v>0</v>
      </c>
      <c r="P24" s="112">
        <v>0.45</v>
      </c>
      <c r="Q24" s="112">
        <v>4.8099999999999996</v>
      </c>
    </row>
    <row r="25" spans="1:17" customFormat="1">
      <c r="A25" s="80">
        <v>45449.177083333336</v>
      </c>
      <c r="B25" s="112">
        <v>7.17</v>
      </c>
      <c r="C25" s="112">
        <v>6.08</v>
      </c>
      <c r="D25" s="112">
        <v>13.93</v>
      </c>
      <c r="E25" s="112">
        <v>9.8000000000000007</v>
      </c>
      <c r="F25" s="112">
        <v>8.5399999999999991</v>
      </c>
      <c r="G25" s="112">
        <v>29.84</v>
      </c>
      <c r="H25" s="112">
        <v>15.27</v>
      </c>
      <c r="I25" s="112">
        <v>4.45</v>
      </c>
      <c r="J25" s="112">
        <v>0.27</v>
      </c>
      <c r="K25" s="112">
        <v>251</v>
      </c>
      <c r="L25" s="112">
        <v>29.96</v>
      </c>
      <c r="M25" s="112">
        <v>61.13</v>
      </c>
      <c r="N25" s="112">
        <v>0</v>
      </c>
      <c r="O25" s="112">
        <v>0</v>
      </c>
      <c r="P25" s="112">
        <v>0.45</v>
      </c>
      <c r="Q25" s="112">
        <v>4.8</v>
      </c>
    </row>
    <row r="26" spans="1:17" customFormat="1">
      <c r="A26" s="80">
        <v>45449.1875</v>
      </c>
      <c r="B26" s="112">
        <v>7.17</v>
      </c>
      <c r="C26" s="112">
        <v>6.08</v>
      </c>
      <c r="D26" s="112">
        <v>13.93</v>
      </c>
      <c r="E26" s="112">
        <v>10.01</v>
      </c>
      <c r="F26" s="112">
        <v>9.5500000000000007</v>
      </c>
      <c r="G26" s="112">
        <v>29.84</v>
      </c>
      <c r="H26" s="112">
        <v>15.27</v>
      </c>
      <c r="I26" s="112">
        <v>4.47</v>
      </c>
      <c r="J26" s="112">
        <v>0.24</v>
      </c>
      <c r="K26" s="112">
        <v>239.57</v>
      </c>
      <c r="L26" s="112">
        <v>29.99</v>
      </c>
      <c r="M26" s="112">
        <v>61.53</v>
      </c>
      <c r="N26" s="112">
        <v>0</v>
      </c>
      <c r="O26" s="112">
        <v>0</v>
      </c>
      <c r="P26" s="112">
        <v>0.45</v>
      </c>
      <c r="Q26" s="112">
        <v>4.8</v>
      </c>
    </row>
    <row r="27" spans="1:17" customFormat="1">
      <c r="A27" s="80">
        <v>45449.197916666664</v>
      </c>
      <c r="B27" s="112">
        <v>7.16</v>
      </c>
      <c r="C27" s="112">
        <v>6.1</v>
      </c>
      <c r="D27" s="112">
        <v>13.93</v>
      </c>
      <c r="E27" s="112">
        <v>10.06</v>
      </c>
      <c r="F27" s="112">
        <v>9.41</v>
      </c>
      <c r="G27" s="112">
        <v>29.84</v>
      </c>
      <c r="H27" s="112">
        <v>15.27</v>
      </c>
      <c r="I27" s="112">
        <v>4.4800000000000004</v>
      </c>
      <c r="J27" s="112">
        <v>0.27</v>
      </c>
      <c r="K27" s="112">
        <v>242.73</v>
      </c>
      <c r="L27" s="112">
        <v>30.17</v>
      </c>
      <c r="M27" s="112">
        <v>61.77</v>
      </c>
      <c r="N27" s="112">
        <v>0</v>
      </c>
      <c r="O27" s="112">
        <v>0</v>
      </c>
      <c r="P27" s="112">
        <v>0.45</v>
      </c>
      <c r="Q27" s="112">
        <v>4.79</v>
      </c>
    </row>
    <row r="28" spans="1:17" customFormat="1">
      <c r="A28" s="80">
        <v>45449.208333333336</v>
      </c>
      <c r="B28" s="112">
        <v>7.15</v>
      </c>
      <c r="C28" s="112">
        <v>6.09</v>
      </c>
      <c r="D28" s="112">
        <v>13.93</v>
      </c>
      <c r="E28" s="112">
        <v>10.27</v>
      </c>
      <c r="F28" s="112">
        <v>9.89</v>
      </c>
      <c r="G28" s="112">
        <v>28.5</v>
      </c>
      <c r="H28" s="112">
        <v>14.27</v>
      </c>
      <c r="I28" s="112">
        <v>4.5</v>
      </c>
      <c r="J28" s="112">
        <v>0.33</v>
      </c>
      <c r="K28" s="112">
        <v>250.82</v>
      </c>
      <c r="L28" s="112">
        <v>29.82</v>
      </c>
      <c r="M28" s="112">
        <v>63.19</v>
      </c>
      <c r="N28" s="112">
        <v>0</v>
      </c>
      <c r="O28" s="112">
        <v>0</v>
      </c>
      <c r="P28" s="112">
        <v>0.45</v>
      </c>
      <c r="Q28" s="112">
        <v>4.79</v>
      </c>
    </row>
    <row r="29" spans="1:17" customFormat="1">
      <c r="A29" s="80">
        <v>45449.21875</v>
      </c>
      <c r="B29" s="112">
        <v>7.16</v>
      </c>
      <c r="C29" s="112">
        <v>6.06</v>
      </c>
      <c r="D29" s="112">
        <v>13.91</v>
      </c>
      <c r="E29" s="112">
        <v>10.25</v>
      </c>
      <c r="F29" s="112">
        <v>8</v>
      </c>
      <c r="G29" s="112">
        <v>24.81</v>
      </c>
      <c r="H29" s="112">
        <v>12.4</v>
      </c>
      <c r="I29" s="112">
        <v>4.54</v>
      </c>
      <c r="J29" s="112">
        <v>0.44</v>
      </c>
      <c r="K29" s="112">
        <v>248.37</v>
      </c>
      <c r="L29" s="112">
        <v>29.77</v>
      </c>
      <c r="M29" s="112">
        <v>63.09</v>
      </c>
      <c r="N29" s="112">
        <v>0</v>
      </c>
      <c r="O29" s="112">
        <v>0</v>
      </c>
      <c r="P29" s="112">
        <v>0.45</v>
      </c>
      <c r="Q29" s="112">
        <v>4.8099999999999996</v>
      </c>
    </row>
    <row r="30" spans="1:17" customFormat="1">
      <c r="A30" s="80">
        <v>45449.229166666664</v>
      </c>
      <c r="B30" s="112">
        <v>7.16</v>
      </c>
      <c r="C30" s="112">
        <v>6.06</v>
      </c>
      <c r="D30" s="112">
        <v>13.92</v>
      </c>
      <c r="E30" s="112">
        <v>10.27</v>
      </c>
      <c r="F30" s="112">
        <v>6.51</v>
      </c>
      <c r="G30" s="112">
        <v>24.81</v>
      </c>
      <c r="H30" s="112">
        <v>12.4</v>
      </c>
      <c r="I30" s="112">
        <v>4.6100000000000003</v>
      </c>
      <c r="J30" s="112">
        <v>0.35</v>
      </c>
      <c r="K30" s="112">
        <v>249.23</v>
      </c>
      <c r="L30" s="112">
        <v>29.97</v>
      </c>
      <c r="M30" s="112">
        <v>62.63</v>
      </c>
      <c r="N30" s="112">
        <v>2.1</v>
      </c>
      <c r="O30" s="112">
        <v>0</v>
      </c>
      <c r="P30" s="112">
        <v>0.46</v>
      </c>
      <c r="Q30" s="112">
        <v>4.8099999999999996</v>
      </c>
    </row>
    <row r="31" spans="1:17" customFormat="1">
      <c r="A31" s="80">
        <v>45449.239583333336</v>
      </c>
      <c r="B31" s="112">
        <v>7.17</v>
      </c>
      <c r="C31" s="112">
        <v>6.07</v>
      </c>
      <c r="D31" s="112">
        <v>13.92</v>
      </c>
      <c r="E31" s="112">
        <v>10.5</v>
      </c>
      <c r="F31" s="112">
        <v>7.68</v>
      </c>
      <c r="G31" s="112">
        <v>24.81</v>
      </c>
      <c r="H31" s="112">
        <v>12.4</v>
      </c>
      <c r="I31" s="112">
        <v>4.6100000000000003</v>
      </c>
      <c r="J31" s="112">
        <v>0.34</v>
      </c>
      <c r="K31" s="112">
        <v>256.61</v>
      </c>
      <c r="L31" s="112">
        <v>29.92</v>
      </c>
      <c r="M31" s="112">
        <v>64</v>
      </c>
      <c r="N31" s="112">
        <v>12.5</v>
      </c>
      <c r="O31" s="112">
        <v>0</v>
      </c>
      <c r="P31" s="112">
        <v>0.45</v>
      </c>
      <c r="Q31" s="112">
        <v>4.79</v>
      </c>
    </row>
    <row r="32" spans="1:17" customFormat="1">
      <c r="A32" s="80">
        <v>45449.25</v>
      </c>
      <c r="B32" s="112">
        <v>7.19</v>
      </c>
      <c r="C32" s="112">
        <v>6.05</v>
      </c>
      <c r="D32" s="112">
        <v>13.93</v>
      </c>
      <c r="E32" s="112">
        <v>10.42</v>
      </c>
      <c r="F32" s="112">
        <v>10.08</v>
      </c>
      <c r="G32" s="112">
        <v>25.08</v>
      </c>
      <c r="H32" s="112">
        <v>12.54</v>
      </c>
      <c r="I32" s="112">
        <v>4.6100000000000003</v>
      </c>
      <c r="J32" s="112">
        <v>0.52</v>
      </c>
      <c r="K32" s="112">
        <v>260.94</v>
      </c>
      <c r="L32" s="112">
        <v>29.86</v>
      </c>
      <c r="M32" s="112">
        <v>64.89</v>
      </c>
      <c r="N32" s="112">
        <v>21.9</v>
      </c>
      <c r="O32" s="112">
        <v>0</v>
      </c>
      <c r="P32" s="112">
        <v>0.45</v>
      </c>
      <c r="Q32" s="112">
        <v>4.8099999999999996</v>
      </c>
    </row>
    <row r="33" spans="1:17" customFormat="1">
      <c r="A33" s="80">
        <v>45449.260416666664</v>
      </c>
      <c r="B33" s="112">
        <v>7.19</v>
      </c>
      <c r="C33" s="112">
        <v>6.03</v>
      </c>
      <c r="D33" s="112">
        <v>13.93</v>
      </c>
      <c r="E33" s="112">
        <v>10.44</v>
      </c>
      <c r="F33" s="112">
        <v>11.39</v>
      </c>
      <c r="G33" s="112">
        <v>25.78</v>
      </c>
      <c r="H33" s="112">
        <v>12.8</v>
      </c>
      <c r="I33" s="112">
        <v>4.5999999999999996</v>
      </c>
      <c r="J33" s="112">
        <v>0.45</v>
      </c>
      <c r="K33" s="112">
        <v>249.34</v>
      </c>
      <c r="L33" s="112">
        <v>30.18</v>
      </c>
      <c r="M33" s="112">
        <v>64.63</v>
      </c>
      <c r="N33" s="112">
        <v>35.6</v>
      </c>
      <c r="O33" s="112">
        <v>0</v>
      </c>
      <c r="P33" s="112">
        <v>0.43</v>
      </c>
      <c r="Q33" s="112">
        <v>4.8099999999999996</v>
      </c>
    </row>
    <row r="34" spans="1:17" customFormat="1">
      <c r="A34" s="80">
        <v>45449.270833333336</v>
      </c>
      <c r="B34" s="112">
        <v>7.19</v>
      </c>
      <c r="C34" s="112">
        <v>6.05</v>
      </c>
      <c r="D34" s="112">
        <v>13.94</v>
      </c>
      <c r="E34" s="112">
        <v>9.93</v>
      </c>
      <c r="F34" s="112">
        <v>13.06</v>
      </c>
      <c r="G34" s="112">
        <v>25.78</v>
      </c>
      <c r="H34" s="112">
        <v>12.8</v>
      </c>
      <c r="I34" s="112">
        <v>4.58</v>
      </c>
      <c r="J34" s="112">
        <v>0.44</v>
      </c>
      <c r="K34" s="112">
        <v>254.3</v>
      </c>
      <c r="L34" s="112">
        <v>30.41</v>
      </c>
      <c r="M34" s="112">
        <v>64.05</v>
      </c>
      <c r="N34" s="112">
        <v>48.1</v>
      </c>
      <c r="O34" s="112">
        <v>0</v>
      </c>
      <c r="P34" s="112">
        <v>0.42</v>
      </c>
      <c r="Q34" s="112">
        <v>4.83</v>
      </c>
    </row>
    <row r="35" spans="1:17" customFormat="1">
      <c r="A35" s="80">
        <v>45449.28125</v>
      </c>
      <c r="B35" s="112">
        <v>7.18</v>
      </c>
      <c r="C35" s="112">
        <v>6.08</v>
      </c>
      <c r="D35" s="112">
        <v>13.94</v>
      </c>
      <c r="E35" s="112">
        <v>9.6300000000000008</v>
      </c>
      <c r="F35" s="112">
        <v>13.75</v>
      </c>
      <c r="G35" s="112">
        <v>25.78</v>
      </c>
      <c r="H35" s="112">
        <v>12.8</v>
      </c>
      <c r="I35" s="112">
        <v>4.53</v>
      </c>
      <c r="J35" s="112">
        <v>0.35</v>
      </c>
      <c r="K35" s="112">
        <v>254.94</v>
      </c>
      <c r="L35" s="112">
        <v>31</v>
      </c>
      <c r="M35" s="112">
        <v>62.55</v>
      </c>
      <c r="N35" s="112">
        <v>60.5</v>
      </c>
      <c r="O35" s="112">
        <v>0</v>
      </c>
      <c r="P35" s="112">
        <v>0.41</v>
      </c>
      <c r="Q35" s="112">
        <v>4.82</v>
      </c>
    </row>
    <row r="36" spans="1:17" customFormat="1">
      <c r="A36" s="80">
        <v>45449.291666666664</v>
      </c>
      <c r="B36" s="112">
        <v>7.17</v>
      </c>
      <c r="C36" s="112">
        <v>6.06</v>
      </c>
      <c r="D36" s="112">
        <v>13.93</v>
      </c>
      <c r="E36" s="112">
        <v>9.7200000000000006</v>
      </c>
      <c r="F36" s="112">
        <v>12.21</v>
      </c>
      <c r="G36" s="112">
        <v>26.46</v>
      </c>
      <c r="H36" s="112">
        <v>12.87</v>
      </c>
      <c r="I36" s="112">
        <v>4.3899999999999997</v>
      </c>
      <c r="J36" s="112">
        <v>0.66</v>
      </c>
      <c r="K36" s="112">
        <v>260.95</v>
      </c>
      <c r="L36" s="112">
        <v>31.2</v>
      </c>
      <c r="M36" s="112">
        <v>63.86</v>
      </c>
      <c r="N36" s="112">
        <v>72.2</v>
      </c>
      <c r="O36" s="112">
        <v>0</v>
      </c>
      <c r="P36" s="112">
        <v>0.42</v>
      </c>
      <c r="Q36" s="112">
        <v>4.8</v>
      </c>
    </row>
    <row r="37" spans="1:17" customFormat="1">
      <c r="A37" s="80">
        <v>45449.302083333336</v>
      </c>
      <c r="B37" s="112">
        <v>7.17</v>
      </c>
      <c r="C37" s="112">
        <v>6.07</v>
      </c>
      <c r="D37" s="112">
        <v>13.93</v>
      </c>
      <c r="E37" s="112">
        <v>10.06</v>
      </c>
      <c r="F37" s="112">
        <v>11.58</v>
      </c>
      <c r="G37" s="112">
        <v>28.36</v>
      </c>
      <c r="H37" s="112">
        <v>13</v>
      </c>
      <c r="I37" s="112">
        <v>4.43</v>
      </c>
      <c r="J37" s="112">
        <v>0.9</v>
      </c>
      <c r="K37" s="112">
        <v>263.57</v>
      </c>
      <c r="L37" s="112">
        <v>31.47</v>
      </c>
      <c r="M37" s="112">
        <v>62.26</v>
      </c>
      <c r="N37" s="112">
        <v>81.900000000000006</v>
      </c>
      <c r="O37" s="112">
        <v>0</v>
      </c>
      <c r="P37" s="112">
        <v>0.41</v>
      </c>
      <c r="Q37" s="112">
        <v>4.8099999999999996</v>
      </c>
    </row>
    <row r="38" spans="1:17" customFormat="1">
      <c r="A38" s="80">
        <v>45449.3125</v>
      </c>
      <c r="B38" s="112">
        <v>7.17</v>
      </c>
      <c r="C38" s="112">
        <v>6.08</v>
      </c>
      <c r="D38" s="112">
        <v>13.93</v>
      </c>
      <c r="E38" s="112">
        <v>9.2899999999999991</v>
      </c>
      <c r="F38" s="112">
        <v>10.25</v>
      </c>
      <c r="G38" s="112">
        <v>28.36</v>
      </c>
      <c r="H38" s="112">
        <v>13</v>
      </c>
      <c r="I38" s="112">
        <v>4.55</v>
      </c>
      <c r="J38" s="112">
        <v>1.06</v>
      </c>
      <c r="K38" s="112">
        <v>271.45</v>
      </c>
      <c r="L38" s="112">
        <v>31.76</v>
      </c>
      <c r="M38" s="112">
        <v>61.12</v>
      </c>
      <c r="N38" s="112">
        <v>89.4</v>
      </c>
      <c r="O38" s="112">
        <v>0</v>
      </c>
      <c r="P38" s="112">
        <v>0.41</v>
      </c>
      <c r="Q38" s="112">
        <v>4.8</v>
      </c>
    </row>
    <row r="39" spans="1:17" customFormat="1">
      <c r="A39" s="80">
        <v>45449.322916666664</v>
      </c>
      <c r="B39" s="112">
        <v>7.18</v>
      </c>
      <c r="C39" s="112">
        <v>6.08</v>
      </c>
      <c r="D39" s="112">
        <v>13.94</v>
      </c>
      <c r="E39" s="112">
        <v>10.02</v>
      </c>
      <c r="F39" s="112">
        <v>8.91</v>
      </c>
      <c r="G39" s="112">
        <v>28.36</v>
      </c>
      <c r="H39" s="112">
        <v>13</v>
      </c>
      <c r="I39" s="112">
        <v>4.5999999999999996</v>
      </c>
      <c r="J39" s="112">
        <v>1.1200000000000001</v>
      </c>
      <c r="K39" s="112">
        <v>259.67</v>
      </c>
      <c r="L39" s="112">
        <v>31.96</v>
      </c>
      <c r="M39" s="112">
        <v>60.95</v>
      </c>
      <c r="N39" s="112">
        <v>95.9</v>
      </c>
      <c r="O39" s="112">
        <v>0</v>
      </c>
      <c r="P39" s="112">
        <v>0.4</v>
      </c>
      <c r="Q39" s="112">
        <v>4.82</v>
      </c>
    </row>
    <row r="40" spans="1:17" customFormat="1">
      <c r="A40" s="80">
        <v>45449.333333333336</v>
      </c>
      <c r="B40" s="112">
        <v>7.18</v>
      </c>
      <c r="C40" s="112">
        <v>6.05</v>
      </c>
      <c r="D40" s="112">
        <v>13.93</v>
      </c>
      <c r="E40" s="112">
        <v>9.52</v>
      </c>
      <c r="F40" s="112">
        <v>10.78</v>
      </c>
      <c r="G40" s="112">
        <v>27.9</v>
      </c>
      <c r="H40" s="112">
        <v>12.98</v>
      </c>
      <c r="I40" s="112">
        <v>4.6100000000000003</v>
      </c>
      <c r="J40" s="112">
        <v>0.92</v>
      </c>
      <c r="K40" s="112">
        <v>249.89</v>
      </c>
      <c r="L40" s="112">
        <v>32.28</v>
      </c>
      <c r="M40" s="112">
        <v>59.99</v>
      </c>
      <c r="N40" s="112">
        <v>100.8</v>
      </c>
      <c r="O40" s="112">
        <v>0</v>
      </c>
      <c r="P40" s="112">
        <v>0.42</v>
      </c>
      <c r="Q40" s="112">
        <v>4.83</v>
      </c>
    </row>
    <row r="41" spans="1:17" customFormat="1">
      <c r="A41" s="80">
        <v>45449.34375</v>
      </c>
      <c r="B41" s="112">
        <v>7.19</v>
      </c>
      <c r="C41" s="112">
        <v>6.07</v>
      </c>
      <c r="D41" s="112">
        <v>13.94</v>
      </c>
      <c r="E41" s="112">
        <v>9.6300000000000008</v>
      </c>
      <c r="F41" s="112">
        <v>12.73</v>
      </c>
      <c r="G41" s="112">
        <v>26.64</v>
      </c>
      <c r="H41" s="112">
        <v>12.94</v>
      </c>
      <c r="I41" s="112">
        <v>4.5999999999999996</v>
      </c>
      <c r="J41" s="112">
        <v>1.1000000000000001</v>
      </c>
      <c r="K41" s="112">
        <v>256.04000000000002</v>
      </c>
      <c r="L41" s="112">
        <v>32.56</v>
      </c>
      <c r="M41" s="112">
        <v>60.82</v>
      </c>
      <c r="N41" s="112">
        <v>138.9</v>
      </c>
      <c r="O41" s="112">
        <v>0</v>
      </c>
      <c r="P41" s="112">
        <v>0.4</v>
      </c>
      <c r="Q41" s="112">
        <v>4.82</v>
      </c>
    </row>
    <row r="42" spans="1:17" customFormat="1">
      <c r="A42" s="80">
        <v>45449.354166666664</v>
      </c>
      <c r="B42" s="112">
        <v>7.19</v>
      </c>
      <c r="C42" s="112">
        <v>6.05</v>
      </c>
      <c r="D42" s="112">
        <v>13.94</v>
      </c>
      <c r="E42" s="112">
        <v>9.8800000000000008</v>
      </c>
      <c r="F42" s="112">
        <v>15.42</v>
      </c>
      <c r="G42" s="112">
        <v>26.64</v>
      </c>
      <c r="H42" s="112">
        <v>12.94</v>
      </c>
      <c r="I42" s="112">
        <v>4.54</v>
      </c>
      <c r="J42" s="112">
        <v>1.08</v>
      </c>
      <c r="K42" s="112">
        <v>275.5</v>
      </c>
      <c r="L42" s="112">
        <v>33.159999999999997</v>
      </c>
      <c r="M42" s="112">
        <v>56.92</v>
      </c>
      <c r="N42" s="112">
        <v>192</v>
      </c>
      <c r="O42" s="112">
        <v>0</v>
      </c>
      <c r="P42" s="112">
        <v>0.4</v>
      </c>
      <c r="Q42" s="112">
        <v>4.8099999999999996</v>
      </c>
    </row>
    <row r="43" spans="1:17" customFormat="1">
      <c r="A43" s="80">
        <v>45449.364583333336</v>
      </c>
      <c r="B43" s="112">
        <v>7.2</v>
      </c>
      <c r="C43" s="112">
        <v>6.03</v>
      </c>
      <c r="D43" s="112">
        <v>13.93</v>
      </c>
      <c r="E43" s="112">
        <v>10.119999999999999</v>
      </c>
      <c r="F43" s="112">
        <v>18.21</v>
      </c>
      <c r="G43" s="112">
        <v>26.64</v>
      </c>
      <c r="H43" s="112">
        <v>12.94</v>
      </c>
      <c r="I43" s="112">
        <v>4.5199999999999996</v>
      </c>
      <c r="J43" s="112">
        <v>1.05</v>
      </c>
      <c r="K43" s="112">
        <v>273.37</v>
      </c>
      <c r="L43" s="112">
        <v>33.479999999999997</v>
      </c>
      <c r="M43" s="112">
        <v>53.64</v>
      </c>
      <c r="N43" s="112">
        <v>203.4</v>
      </c>
      <c r="O43" s="112">
        <v>0</v>
      </c>
      <c r="P43" s="112">
        <v>0.41</v>
      </c>
      <c r="Q43" s="112">
        <v>4.8099999999999996</v>
      </c>
    </row>
    <row r="44" spans="1:17" customFormat="1">
      <c r="A44" s="80">
        <v>45449.375</v>
      </c>
      <c r="B44" s="112">
        <v>7.2</v>
      </c>
      <c r="C44" s="112">
        <v>6.04</v>
      </c>
      <c r="D44" s="112">
        <v>13.94</v>
      </c>
      <c r="E44" s="112">
        <v>11.29</v>
      </c>
      <c r="F44" s="112">
        <v>21.59</v>
      </c>
      <c r="G44" s="112">
        <v>27.55</v>
      </c>
      <c r="H44" s="112">
        <v>13.28</v>
      </c>
      <c r="I44" s="112">
        <v>4.41</v>
      </c>
      <c r="J44" s="112">
        <v>0.95</v>
      </c>
      <c r="K44" s="112">
        <v>282.77</v>
      </c>
      <c r="L44" s="112">
        <v>34.700000000000003</v>
      </c>
      <c r="M44" s="112">
        <v>50.18</v>
      </c>
      <c r="N44" s="112">
        <v>159.19999999999999</v>
      </c>
      <c r="O44" s="112">
        <v>0</v>
      </c>
      <c r="P44" s="112">
        <v>0.42</v>
      </c>
      <c r="Q44" s="112">
        <v>4.82</v>
      </c>
    </row>
    <row r="45" spans="1:17" customFormat="1">
      <c r="A45" s="80">
        <v>45449.385416666664</v>
      </c>
      <c r="B45" s="112">
        <v>7.19</v>
      </c>
      <c r="C45" s="112">
        <v>6.07</v>
      </c>
      <c r="D45" s="112">
        <v>13.95</v>
      </c>
      <c r="E45" s="112">
        <v>11.28</v>
      </c>
      <c r="F45" s="112">
        <v>14.34</v>
      </c>
      <c r="G45" s="112">
        <v>30.06</v>
      </c>
      <c r="H45" s="112">
        <v>13.87</v>
      </c>
      <c r="I45" s="112">
        <v>4.4000000000000004</v>
      </c>
      <c r="J45" s="112">
        <v>1.1499999999999999</v>
      </c>
      <c r="K45" s="112">
        <v>263.69</v>
      </c>
      <c r="L45" s="112">
        <v>35.19</v>
      </c>
      <c r="M45" s="112">
        <v>48.21</v>
      </c>
      <c r="N45" s="112">
        <v>151.6</v>
      </c>
      <c r="O45" s="112">
        <v>0</v>
      </c>
      <c r="P45" s="112">
        <v>0.41</v>
      </c>
      <c r="Q45" s="112">
        <v>4.8099999999999996</v>
      </c>
    </row>
    <row r="46" spans="1:17" customFormat="1">
      <c r="A46" s="80">
        <v>45449.395833333336</v>
      </c>
      <c r="B46" s="112">
        <v>7.2</v>
      </c>
      <c r="C46" s="112">
        <v>6.05</v>
      </c>
      <c r="D46" s="112">
        <v>13.94</v>
      </c>
      <c r="E46" s="112">
        <v>11.28</v>
      </c>
      <c r="F46" s="112">
        <v>16.41</v>
      </c>
      <c r="G46" s="112">
        <v>30.06</v>
      </c>
      <c r="H46" s="112">
        <v>13.87</v>
      </c>
      <c r="I46" s="112">
        <v>4.38</v>
      </c>
      <c r="J46" s="112">
        <v>1.26</v>
      </c>
      <c r="K46" s="112">
        <v>282.60000000000002</v>
      </c>
      <c r="L46" s="112">
        <v>35.590000000000003</v>
      </c>
      <c r="M46" s="112">
        <v>46.82</v>
      </c>
      <c r="N46" s="112">
        <v>161.6</v>
      </c>
      <c r="O46" s="112">
        <v>0</v>
      </c>
      <c r="P46" s="112">
        <v>0.44</v>
      </c>
      <c r="Q46" s="112">
        <v>4.82</v>
      </c>
    </row>
    <row r="47" spans="1:17" customFormat="1">
      <c r="A47" s="80">
        <v>45449.40625</v>
      </c>
      <c r="B47" s="112">
        <v>7.2</v>
      </c>
      <c r="C47" s="112">
        <v>6.04</v>
      </c>
      <c r="D47" s="112">
        <v>13.94</v>
      </c>
      <c r="E47" s="112">
        <v>13.97</v>
      </c>
      <c r="F47" s="112">
        <v>23.54</v>
      </c>
      <c r="G47" s="112">
        <v>30.06</v>
      </c>
      <c r="H47" s="112">
        <v>13.87</v>
      </c>
      <c r="I47" s="112">
        <v>4.7</v>
      </c>
      <c r="J47" s="112">
        <v>1.24</v>
      </c>
      <c r="K47" s="112">
        <v>283.61</v>
      </c>
      <c r="L47" s="112">
        <v>36.130000000000003</v>
      </c>
      <c r="M47" s="112">
        <v>44.76</v>
      </c>
      <c r="N47" s="112">
        <v>172.8</v>
      </c>
      <c r="O47" s="112">
        <v>0</v>
      </c>
      <c r="P47" s="112">
        <v>0.49</v>
      </c>
      <c r="Q47" s="112">
        <v>4.82</v>
      </c>
    </row>
    <row r="48" spans="1:17" customFormat="1">
      <c r="A48" s="80">
        <v>45449.416666666664</v>
      </c>
      <c r="B48" s="112">
        <v>7.18</v>
      </c>
      <c r="C48" s="112">
        <v>6.09</v>
      </c>
      <c r="D48" s="112">
        <v>13.95</v>
      </c>
      <c r="E48" s="112">
        <v>15.99</v>
      </c>
      <c r="F48" s="112">
        <v>19.190000000000001</v>
      </c>
      <c r="G48" s="112">
        <v>31.25</v>
      </c>
      <c r="H48" s="112">
        <v>13.96</v>
      </c>
      <c r="I48" s="112">
        <v>5.27</v>
      </c>
      <c r="J48" s="112">
        <v>1.42</v>
      </c>
      <c r="K48" s="112">
        <v>275.55</v>
      </c>
      <c r="L48" s="112">
        <v>36.17</v>
      </c>
      <c r="M48" s="112">
        <v>44.83</v>
      </c>
      <c r="N48" s="112">
        <v>188.4</v>
      </c>
      <c r="O48" s="112">
        <v>0</v>
      </c>
      <c r="P48" s="112">
        <v>0.51</v>
      </c>
      <c r="Q48" s="112">
        <v>4.8099999999999996</v>
      </c>
    </row>
    <row r="49" spans="1:17" customFormat="1">
      <c r="A49" s="80">
        <v>45449.427083333336</v>
      </c>
      <c r="B49" s="112">
        <v>7.18</v>
      </c>
      <c r="C49" s="112">
        <v>6.1</v>
      </c>
      <c r="D49" s="112">
        <v>13.96</v>
      </c>
      <c r="E49" s="112">
        <v>13.06</v>
      </c>
      <c r="F49" s="112">
        <v>29.43</v>
      </c>
      <c r="G49" s="112">
        <v>34.35</v>
      </c>
      <c r="H49" s="112">
        <v>14.36</v>
      </c>
      <c r="I49" s="112">
        <v>6.45</v>
      </c>
      <c r="J49" s="112">
        <v>1</v>
      </c>
      <c r="K49" s="112">
        <v>285.44</v>
      </c>
      <c r="L49" s="112">
        <v>36.74</v>
      </c>
      <c r="M49" s="112">
        <v>43.72</v>
      </c>
      <c r="N49" s="112">
        <v>194.5</v>
      </c>
      <c r="O49" s="112">
        <v>0</v>
      </c>
      <c r="P49" s="112">
        <v>0.55000000000000004</v>
      </c>
      <c r="Q49" s="112">
        <v>4.78</v>
      </c>
    </row>
    <row r="50" spans="1:17" customFormat="1">
      <c r="A50" s="80">
        <v>45449.4375</v>
      </c>
      <c r="B50" s="112">
        <v>7.17</v>
      </c>
      <c r="C50" s="112">
        <v>6.1</v>
      </c>
      <c r="D50" s="112">
        <v>13.95</v>
      </c>
      <c r="E50" s="112">
        <v>14.95</v>
      </c>
      <c r="F50" s="112">
        <v>25.53</v>
      </c>
      <c r="G50" s="112">
        <v>34.35</v>
      </c>
      <c r="H50" s="112">
        <v>14.36</v>
      </c>
      <c r="I50" s="112">
        <v>7.11</v>
      </c>
      <c r="J50" s="112">
        <v>1.1599999999999999</v>
      </c>
      <c r="K50" s="112">
        <v>286.3</v>
      </c>
      <c r="L50" s="112">
        <v>37.17</v>
      </c>
      <c r="M50" s="112">
        <v>42.68</v>
      </c>
      <c r="N50" s="112">
        <v>201.6</v>
      </c>
      <c r="O50" s="112">
        <v>0</v>
      </c>
      <c r="P50" s="112">
        <v>0.56000000000000005</v>
      </c>
      <c r="Q50" s="112">
        <v>4.8</v>
      </c>
    </row>
    <row r="51" spans="1:17" customFormat="1">
      <c r="A51" s="80">
        <v>45449.447916666664</v>
      </c>
      <c r="B51" s="112">
        <v>7.16</v>
      </c>
      <c r="C51" s="112">
        <v>6.11</v>
      </c>
      <c r="D51" s="112">
        <v>13.94</v>
      </c>
      <c r="E51" s="112">
        <v>16.47</v>
      </c>
      <c r="F51" s="112">
        <v>23.62</v>
      </c>
      <c r="G51" s="112">
        <v>34.35</v>
      </c>
      <c r="H51" s="112">
        <v>14.36</v>
      </c>
      <c r="I51" s="112">
        <v>7.84</v>
      </c>
      <c r="J51" s="112">
        <v>1.19</v>
      </c>
      <c r="K51" s="112">
        <v>283.67</v>
      </c>
      <c r="L51" s="112">
        <v>37.51</v>
      </c>
      <c r="M51" s="112">
        <v>41.74</v>
      </c>
      <c r="N51" s="112">
        <v>207.3</v>
      </c>
      <c r="O51" s="112">
        <v>0</v>
      </c>
      <c r="P51" s="112">
        <v>0.63</v>
      </c>
      <c r="Q51" s="112">
        <v>4.79</v>
      </c>
    </row>
    <row r="52" spans="1:17" customFormat="1">
      <c r="A52" s="80">
        <v>45449.458333333336</v>
      </c>
      <c r="B52" s="112">
        <v>7.18</v>
      </c>
      <c r="C52" s="112">
        <v>6.1</v>
      </c>
      <c r="D52" s="112">
        <v>13.95</v>
      </c>
      <c r="E52" s="112">
        <v>13.46</v>
      </c>
      <c r="F52" s="112">
        <v>34.049999999999997</v>
      </c>
      <c r="G52" s="112">
        <v>35.799999999999997</v>
      </c>
      <c r="H52" s="112">
        <v>13.67</v>
      </c>
      <c r="I52" s="112">
        <v>8.3800000000000008</v>
      </c>
      <c r="J52" s="112">
        <v>1.29</v>
      </c>
      <c r="K52" s="112">
        <v>296.37</v>
      </c>
      <c r="L52" s="112">
        <v>37.6</v>
      </c>
      <c r="M52" s="112">
        <v>40.17</v>
      </c>
      <c r="N52" s="112">
        <v>215.6</v>
      </c>
      <c r="O52" s="112">
        <v>0</v>
      </c>
      <c r="P52" s="112">
        <v>0.6</v>
      </c>
      <c r="Q52" s="112">
        <v>4.8099999999999996</v>
      </c>
    </row>
    <row r="53" spans="1:17" customFormat="1">
      <c r="A53" s="80">
        <v>45449.46875</v>
      </c>
      <c r="B53" s="112">
        <v>7.17</v>
      </c>
      <c r="C53" s="112">
        <v>6.07</v>
      </c>
      <c r="D53" s="112">
        <v>13.93</v>
      </c>
      <c r="E53" s="112">
        <v>12.82</v>
      </c>
      <c r="F53" s="112">
        <v>24.55</v>
      </c>
      <c r="G53" s="112">
        <v>39.58</v>
      </c>
      <c r="H53" s="112">
        <v>12.45</v>
      </c>
      <c r="I53" s="112">
        <v>8.3800000000000008</v>
      </c>
      <c r="J53" s="112">
        <v>1.42</v>
      </c>
      <c r="K53" s="112">
        <v>304.51</v>
      </c>
      <c r="L53" s="112">
        <v>38.04</v>
      </c>
      <c r="M53" s="112">
        <v>39.19</v>
      </c>
      <c r="N53" s="112">
        <v>228.7</v>
      </c>
      <c r="O53" s="112">
        <v>0</v>
      </c>
      <c r="P53" s="112">
        <v>0.59</v>
      </c>
      <c r="Q53" s="112">
        <v>4.8099999999999996</v>
      </c>
    </row>
    <row r="54" spans="1:17" customFormat="1">
      <c r="A54" s="80">
        <v>45449.479166666664</v>
      </c>
      <c r="B54" s="112">
        <v>7.18</v>
      </c>
      <c r="C54" s="112">
        <v>6.07</v>
      </c>
      <c r="D54" s="112">
        <v>13.94</v>
      </c>
      <c r="E54" s="112">
        <v>11.75</v>
      </c>
      <c r="F54" s="112">
        <v>29.85</v>
      </c>
      <c r="G54" s="112">
        <v>39.58</v>
      </c>
      <c r="H54" s="112">
        <v>12.45</v>
      </c>
      <c r="I54" s="112">
        <v>7.97</v>
      </c>
      <c r="J54" s="112">
        <v>1.38</v>
      </c>
      <c r="K54" s="112">
        <v>307.20999999999998</v>
      </c>
      <c r="L54" s="112">
        <v>38.26</v>
      </c>
      <c r="M54" s="112">
        <v>38.79</v>
      </c>
      <c r="N54" s="112">
        <v>245</v>
      </c>
      <c r="O54" s="112">
        <v>0</v>
      </c>
      <c r="P54" s="112">
        <v>0.59</v>
      </c>
      <c r="Q54" s="112">
        <v>4.82</v>
      </c>
    </row>
    <row r="55" spans="1:17" customFormat="1">
      <c r="A55" s="80">
        <v>45449.489583333336</v>
      </c>
      <c r="B55" s="112">
        <v>7.18</v>
      </c>
      <c r="C55" s="112">
        <v>6.11</v>
      </c>
      <c r="D55" s="112">
        <v>13.96</v>
      </c>
      <c r="E55" s="112">
        <v>11.98</v>
      </c>
      <c r="F55" s="112">
        <v>29.25</v>
      </c>
      <c r="G55" s="112">
        <v>39.58</v>
      </c>
      <c r="H55" s="112">
        <v>12.45</v>
      </c>
      <c r="I55" s="112">
        <v>7.71</v>
      </c>
      <c r="J55" s="112">
        <v>1.33</v>
      </c>
      <c r="K55" s="112">
        <v>299.95</v>
      </c>
      <c r="L55" s="112">
        <v>38.450000000000003</v>
      </c>
      <c r="M55" s="112">
        <v>38.01</v>
      </c>
      <c r="N55" s="112">
        <v>432.9</v>
      </c>
      <c r="O55" s="112">
        <v>0</v>
      </c>
      <c r="P55" s="112">
        <v>0.57999999999999996</v>
      </c>
      <c r="Q55" s="112">
        <v>4.8</v>
      </c>
    </row>
    <row r="56" spans="1:17" customFormat="1">
      <c r="A56" s="80">
        <v>45449.5</v>
      </c>
      <c r="B56" s="112">
        <v>7.2</v>
      </c>
      <c r="C56" s="112">
        <v>6.11</v>
      </c>
      <c r="D56" s="112">
        <v>13.97</v>
      </c>
      <c r="E56" s="112">
        <v>11.95</v>
      </c>
      <c r="F56" s="112">
        <v>36.97</v>
      </c>
      <c r="G56" s="112">
        <v>40.04</v>
      </c>
      <c r="H56" s="112">
        <v>13.18</v>
      </c>
      <c r="I56" s="112">
        <v>7.47</v>
      </c>
      <c r="J56" s="112">
        <v>1.04</v>
      </c>
      <c r="K56" s="112">
        <v>300.67</v>
      </c>
      <c r="L56" s="112">
        <v>38.9</v>
      </c>
      <c r="M56" s="112">
        <v>37.380000000000003</v>
      </c>
      <c r="N56" s="112">
        <v>735.8</v>
      </c>
      <c r="O56" s="112">
        <v>0</v>
      </c>
      <c r="P56" s="112">
        <v>0.56000000000000005</v>
      </c>
      <c r="Q56" s="112">
        <v>4.79</v>
      </c>
    </row>
    <row r="57" spans="1:17" customFormat="1">
      <c r="A57" s="80">
        <v>45449.510416666664</v>
      </c>
      <c r="B57" s="112">
        <v>7.2</v>
      </c>
      <c r="C57" s="112">
        <v>6.09</v>
      </c>
      <c r="D57" s="112">
        <v>13.97</v>
      </c>
      <c r="E57" s="112">
        <v>12.11</v>
      </c>
      <c r="F57" s="112">
        <v>35.82</v>
      </c>
      <c r="G57" s="112">
        <v>41.33</v>
      </c>
      <c r="H57" s="112">
        <v>14.5</v>
      </c>
      <c r="I57" s="112">
        <v>7.29</v>
      </c>
      <c r="J57" s="112">
        <v>0.56999999999999995</v>
      </c>
      <c r="K57" s="112">
        <v>303.52999999999997</v>
      </c>
      <c r="L57" s="112">
        <v>39.99</v>
      </c>
      <c r="M57" s="112">
        <v>35.299999999999997</v>
      </c>
      <c r="N57" s="112">
        <v>757.4</v>
      </c>
      <c r="O57" s="112">
        <v>0</v>
      </c>
      <c r="P57" s="112">
        <v>0.56000000000000005</v>
      </c>
      <c r="Q57" s="112">
        <v>4.79</v>
      </c>
    </row>
    <row r="58" spans="1:17" customFormat="1">
      <c r="A58" s="80">
        <v>45449.520833333336</v>
      </c>
      <c r="B58" s="112">
        <v>7.21</v>
      </c>
      <c r="C58" s="112">
        <v>6.06</v>
      </c>
      <c r="D58" s="112">
        <v>13.95</v>
      </c>
      <c r="E58" s="112">
        <v>12.31</v>
      </c>
      <c r="F58" s="112">
        <v>33.06</v>
      </c>
      <c r="G58" s="112">
        <v>41.33</v>
      </c>
      <c r="H58" s="112">
        <v>14.5</v>
      </c>
      <c r="I58" s="112">
        <v>7.08</v>
      </c>
      <c r="J58" s="112">
        <v>1.06</v>
      </c>
      <c r="K58" s="112">
        <v>301.14</v>
      </c>
      <c r="L58" s="112">
        <v>39.74</v>
      </c>
      <c r="M58" s="112">
        <v>35.06</v>
      </c>
      <c r="N58" s="112">
        <v>759.2</v>
      </c>
      <c r="O58" s="112">
        <v>0</v>
      </c>
      <c r="P58" s="112">
        <v>0.56000000000000005</v>
      </c>
      <c r="Q58" s="112">
        <v>4.8</v>
      </c>
    </row>
    <row r="59" spans="1:17" customFormat="1">
      <c r="A59" s="80">
        <v>45449.53125</v>
      </c>
      <c r="B59" s="112">
        <v>7.2</v>
      </c>
      <c r="C59" s="112">
        <v>6.05</v>
      </c>
      <c r="D59" s="112">
        <v>13.94</v>
      </c>
      <c r="E59" s="112">
        <v>13.5</v>
      </c>
      <c r="F59" s="112">
        <v>37.369999999999997</v>
      </c>
      <c r="G59" s="112">
        <v>41.33</v>
      </c>
      <c r="H59" s="112">
        <v>14.5</v>
      </c>
      <c r="I59" s="112">
        <v>6.71</v>
      </c>
      <c r="J59" s="112">
        <v>1.05</v>
      </c>
      <c r="K59" s="112">
        <v>315.12</v>
      </c>
      <c r="L59" s="112">
        <v>40.26</v>
      </c>
      <c r="M59" s="112">
        <v>32.92</v>
      </c>
      <c r="N59" s="112">
        <v>739.7</v>
      </c>
      <c r="O59" s="112">
        <v>0</v>
      </c>
      <c r="P59" s="112">
        <v>0.52</v>
      </c>
      <c r="Q59" s="112">
        <v>4.8099999999999996</v>
      </c>
    </row>
    <row r="60" spans="1:17" customFormat="1">
      <c r="A60" s="80">
        <v>45449.541666666664</v>
      </c>
      <c r="B60" s="112">
        <v>7.19</v>
      </c>
      <c r="C60" s="112">
        <v>6.06</v>
      </c>
      <c r="D60" s="112">
        <v>13.94</v>
      </c>
      <c r="E60" s="112">
        <v>14.4</v>
      </c>
      <c r="F60" s="112">
        <v>43.09</v>
      </c>
      <c r="G60" s="112">
        <v>41.36</v>
      </c>
      <c r="H60" s="112">
        <v>15.35</v>
      </c>
      <c r="I60" s="112">
        <v>6.52</v>
      </c>
      <c r="J60" s="112">
        <v>0.91</v>
      </c>
      <c r="K60" s="112">
        <v>331.75</v>
      </c>
      <c r="L60" s="112">
        <v>40.340000000000003</v>
      </c>
      <c r="M60" s="112">
        <v>31.5</v>
      </c>
      <c r="N60" s="112">
        <v>664.6</v>
      </c>
      <c r="O60" s="112">
        <v>0</v>
      </c>
      <c r="P60" s="112">
        <v>0.51</v>
      </c>
      <c r="Q60" s="112">
        <v>4.8</v>
      </c>
    </row>
    <row r="61" spans="1:17" customFormat="1">
      <c r="A61" s="80">
        <v>45449.552083333336</v>
      </c>
      <c r="B61" s="112">
        <v>7.2</v>
      </c>
      <c r="C61" s="112">
        <v>6.05</v>
      </c>
      <c r="D61" s="112">
        <v>13.94</v>
      </c>
      <c r="E61" s="112">
        <v>14.32</v>
      </c>
      <c r="F61" s="112">
        <v>37.07</v>
      </c>
      <c r="G61" s="112">
        <v>41.44</v>
      </c>
      <c r="H61" s="112">
        <v>16.920000000000002</v>
      </c>
      <c r="I61" s="112">
        <v>6.36</v>
      </c>
      <c r="J61" s="112">
        <v>0.71</v>
      </c>
      <c r="K61" s="112">
        <v>318.08</v>
      </c>
      <c r="L61" s="112">
        <v>40.909999999999997</v>
      </c>
      <c r="M61" s="112">
        <v>30.51</v>
      </c>
      <c r="N61" s="112">
        <v>711</v>
      </c>
      <c r="O61" s="112">
        <v>0</v>
      </c>
      <c r="P61" s="112">
        <v>0.51</v>
      </c>
      <c r="Q61" s="112">
        <v>4.8099999999999996</v>
      </c>
    </row>
    <row r="62" spans="1:17" customFormat="1">
      <c r="A62" s="80">
        <v>45449.5625</v>
      </c>
      <c r="B62" s="112">
        <v>7.2</v>
      </c>
      <c r="C62" s="112">
        <v>6.07</v>
      </c>
      <c r="D62" s="112">
        <v>13.96</v>
      </c>
      <c r="E62" s="112">
        <v>14.52</v>
      </c>
      <c r="F62" s="112">
        <v>36.450000000000003</v>
      </c>
      <c r="G62" s="112">
        <v>41.44</v>
      </c>
      <c r="H62" s="112">
        <v>16.920000000000002</v>
      </c>
      <c r="I62" s="112">
        <v>5.95</v>
      </c>
      <c r="J62" s="112">
        <v>1.28</v>
      </c>
      <c r="K62" s="112">
        <v>328.26</v>
      </c>
      <c r="L62" s="112">
        <v>40.57</v>
      </c>
      <c r="M62" s="112">
        <v>30.67</v>
      </c>
      <c r="N62" s="112">
        <v>390.1</v>
      </c>
      <c r="O62" s="112">
        <v>0</v>
      </c>
      <c r="P62" s="112">
        <v>0.51</v>
      </c>
      <c r="Q62" s="112">
        <v>4.8099999999999996</v>
      </c>
    </row>
    <row r="63" spans="1:17" customFormat="1">
      <c r="A63" s="80">
        <v>45449.572916666664</v>
      </c>
      <c r="B63" s="112">
        <v>7.19</v>
      </c>
      <c r="C63" s="112">
        <v>6.08</v>
      </c>
      <c r="D63" s="112">
        <v>13.95</v>
      </c>
      <c r="E63" s="112">
        <v>15.2</v>
      </c>
      <c r="F63" s="112">
        <v>37.86</v>
      </c>
      <c r="G63" s="112">
        <v>41.44</v>
      </c>
      <c r="H63" s="112">
        <v>16.920000000000002</v>
      </c>
      <c r="I63" s="112">
        <v>5.77</v>
      </c>
      <c r="J63" s="112">
        <v>0.83</v>
      </c>
      <c r="K63" s="112">
        <v>308.60000000000002</v>
      </c>
      <c r="L63" s="112">
        <v>40.93</v>
      </c>
      <c r="M63" s="112">
        <v>29.96</v>
      </c>
      <c r="N63" s="112">
        <v>278.8</v>
      </c>
      <c r="O63" s="112">
        <v>0</v>
      </c>
      <c r="P63" s="112">
        <v>0.48</v>
      </c>
      <c r="Q63" s="112">
        <v>4.8099999999999996</v>
      </c>
    </row>
    <row r="64" spans="1:17" customFormat="1">
      <c r="A64" s="80">
        <v>45449.583333333336</v>
      </c>
      <c r="B64" s="112">
        <v>7.19</v>
      </c>
      <c r="C64" s="112">
        <v>6.07</v>
      </c>
      <c r="D64" s="112">
        <v>13.95</v>
      </c>
      <c r="E64" s="112">
        <v>15.17</v>
      </c>
      <c r="F64" s="112">
        <v>43.59</v>
      </c>
      <c r="G64" s="112">
        <v>41.52</v>
      </c>
      <c r="H64" s="112">
        <v>16.350000000000001</v>
      </c>
      <c r="I64" s="112">
        <v>5.69</v>
      </c>
      <c r="J64" s="112">
        <v>0.85</v>
      </c>
      <c r="K64" s="112">
        <v>301.32</v>
      </c>
      <c r="L64" s="112">
        <v>40.89</v>
      </c>
      <c r="M64" s="112">
        <v>29.65</v>
      </c>
      <c r="N64" s="112">
        <v>668.6</v>
      </c>
      <c r="O64" s="112">
        <v>0</v>
      </c>
      <c r="P64" s="112">
        <v>0.48</v>
      </c>
      <c r="Q64" s="112">
        <v>4.82</v>
      </c>
    </row>
    <row r="65" spans="1:17" customFormat="1">
      <c r="A65" s="80">
        <v>45449.59375</v>
      </c>
      <c r="B65" s="112">
        <v>7.2</v>
      </c>
      <c r="C65" s="112">
        <v>6.07</v>
      </c>
      <c r="D65" s="112">
        <v>13.95</v>
      </c>
      <c r="E65" s="112">
        <v>14.89</v>
      </c>
      <c r="F65" s="112">
        <v>39.79</v>
      </c>
      <c r="G65" s="112">
        <v>41.74</v>
      </c>
      <c r="H65" s="112">
        <v>15.34</v>
      </c>
      <c r="I65" s="112">
        <v>5.57</v>
      </c>
      <c r="J65" s="112">
        <v>1.49</v>
      </c>
      <c r="K65" s="112">
        <v>45.26</v>
      </c>
      <c r="L65" s="112">
        <v>41.53</v>
      </c>
      <c r="M65" s="112">
        <v>28.36</v>
      </c>
      <c r="N65" s="112">
        <v>666.2</v>
      </c>
      <c r="O65" s="112">
        <v>0</v>
      </c>
      <c r="P65" s="112">
        <v>0.47</v>
      </c>
      <c r="Q65" s="112">
        <v>4.82</v>
      </c>
    </row>
    <row r="66" spans="1:17" customFormat="1">
      <c r="A66" s="80">
        <v>45449.604166666664</v>
      </c>
      <c r="B66" s="112">
        <v>7.19</v>
      </c>
      <c r="C66" s="112">
        <v>6.08</v>
      </c>
      <c r="D66" s="112">
        <v>13.95</v>
      </c>
      <c r="E66" s="112">
        <v>17.2</v>
      </c>
      <c r="F66" s="112">
        <v>36.6</v>
      </c>
      <c r="G66" s="112">
        <v>41.74</v>
      </c>
      <c r="H66" s="112">
        <v>15.34</v>
      </c>
      <c r="I66" s="112">
        <v>5.38</v>
      </c>
      <c r="J66" s="112">
        <v>1.9</v>
      </c>
      <c r="K66" s="112">
        <v>43.92</v>
      </c>
      <c r="L66" s="112">
        <v>40.9</v>
      </c>
      <c r="M66" s="112">
        <v>28.71</v>
      </c>
      <c r="N66" s="112">
        <v>573.1</v>
      </c>
      <c r="O66" s="112">
        <v>0</v>
      </c>
      <c r="P66" s="112">
        <v>0.52</v>
      </c>
      <c r="Q66" s="112">
        <v>4.82</v>
      </c>
    </row>
    <row r="67" spans="1:17" customFormat="1">
      <c r="A67" s="80">
        <v>45449.614583333336</v>
      </c>
      <c r="B67" s="112">
        <v>7.19</v>
      </c>
      <c r="C67" s="112">
        <v>6.07</v>
      </c>
      <c r="D67" s="112">
        <v>13.94</v>
      </c>
      <c r="E67" s="112">
        <v>18.600000000000001</v>
      </c>
      <c r="F67" s="112">
        <v>46.12</v>
      </c>
      <c r="G67" s="112">
        <v>41.74</v>
      </c>
      <c r="H67" s="112">
        <v>15.34</v>
      </c>
      <c r="I67" s="112">
        <v>5.17</v>
      </c>
      <c r="J67" s="112">
        <v>1.54</v>
      </c>
      <c r="K67" s="112">
        <v>31.85</v>
      </c>
      <c r="L67" s="112">
        <v>41.28</v>
      </c>
      <c r="M67" s="112">
        <v>27.54</v>
      </c>
      <c r="N67" s="112">
        <v>608.4</v>
      </c>
      <c r="O67" s="112">
        <v>0</v>
      </c>
      <c r="P67" s="112">
        <v>0.51</v>
      </c>
      <c r="Q67" s="112">
        <v>4.83</v>
      </c>
    </row>
    <row r="68" spans="1:17" customFormat="1">
      <c r="A68" s="80">
        <v>45449.625</v>
      </c>
      <c r="B68" s="112">
        <v>7.19</v>
      </c>
      <c r="C68" s="112">
        <v>6.09</v>
      </c>
      <c r="D68" s="112">
        <v>13.96</v>
      </c>
      <c r="E68" s="112">
        <v>21.2</v>
      </c>
      <c r="F68" s="112">
        <v>50.35</v>
      </c>
      <c r="G68" s="112">
        <v>42.55</v>
      </c>
      <c r="H68" s="112">
        <v>16</v>
      </c>
      <c r="I68" s="112">
        <v>5.17</v>
      </c>
      <c r="J68" s="112">
        <v>0.98</v>
      </c>
      <c r="K68" s="112">
        <v>39.340000000000003</v>
      </c>
      <c r="L68" s="112">
        <v>41.45</v>
      </c>
      <c r="M68" s="112">
        <v>26.54</v>
      </c>
      <c r="N68" s="112">
        <v>563.29999999999995</v>
      </c>
      <c r="O68" s="112">
        <v>0</v>
      </c>
      <c r="P68" s="112">
        <v>0.49</v>
      </c>
      <c r="Q68" s="112">
        <v>4.8099999999999996</v>
      </c>
    </row>
    <row r="69" spans="1:17" customFormat="1">
      <c r="A69" s="80">
        <v>45449.635416666664</v>
      </c>
      <c r="B69" s="112">
        <v>7.2</v>
      </c>
      <c r="C69" s="112">
        <v>6.09</v>
      </c>
      <c r="D69" s="112">
        <v>13.96</v>
      </c>
      <c r="E69" s="112">
        <v>25.43</v>
      </c>
      <c r="F69" s="112">
        <v>52.85</v>
      </c>
      <c r="G69" s="112">
        <v>44.64</v>
      </c>
      <c r="H69" s="112">
        <v>17.2</v>
      </c>
      <c r="I69" s="112">
        <v>5.03</v>
      </c>
      <c r="J69" s="112">
        <v>0.85</v>
      </c>
      <c r="K69" s="112">
        <v>355.34</v>
      </c>
      <c r="L69" s="112">
        <v>41.64</v>
      </c>
      <c r="M69" s="112">
        <v>26.79</v>
      </c>
      <c r="N69" s="112">
        <v>469.1</v>
      </c>
      <c r="O69" s="112">
        <v>0</v>
      </c>
      <c r="P69" s="112">
        <v>0.49</v>
      </c>
      <c r="Q69" s="112">
        <v>4.82</v>
      </c>
    </row>
    <row r="70" spans="1:17" customFormat="1">
      <c r="A70" s="80">
        <v>45449.645833333336</v>
      </c>
      <c r="B70" s="112">
        <v>7.16</v>
      </c>
      <c r="C70" s="112">
        <v>6.08</v>
      </c>
      <c r="D70" s="112">
        <v>13.93</v>
      </c>
      <c r="E70" s="112">
        <v>30.41</v>
      </c>
      <c r="F70" s="112">
        <v>47.02</v>
      </c>
      <c r="G70" s="112">
        <v>44.64</v>
      </c>
      <c r="H70" s="112">
        <v>17.2</v>
      </c>
      <c r="I70" s="112">
        <v>4.7300000000000004</v>
      </c>
      <c r="J70" s="112">
        <v>1.0900000000000001</v>
      </c>
      <c r="K70" s="112">
        <v>359.69</v>
      </c>
      <c r="L70" s="112">
        <v>41.44</v>
      </c>
      <c r="M70" s="112">
        <v>27.09</v>
      </c>
      <c r="N70" s="112">
        <v>471.9</v>
      </c>
      <c r="O70" s="112">
        <v>0</v>
      </c>
      <c r="P70" s="112">
        <v>0.5</v>
      </c>
      <c r="Q70" s="112">
        <v>4.8</v>
      </c>
    </row>
    <row r="71" spans="1:17" customFormat="1">
      <c r="A71" s="80">
        <v>45449.65625</v>
      </c>
      <c r="B71" s="112">
        <v>7.19</v>
      </c>
      <c r="C71" s="112">
        <v>6.09</v>
      </c>
      <c r="D71" s="112">
        <v>13.96</v>
      </c>
      <c r="E71" s="112">
        <v>28.69</v>
      </c>
      <c r="F71" s="112">
        <v>54.4</v>
      </c>
      <c r="G71" s="112">
        <v>44.64</v>
      </c>
      <c r="H71" s="112">
        <v>17.2</v>
      </c>
      <c r="I71" s="112">
        <v>4.62</v>
      </c>
      <c r="J71" s="112">
        <v>1.02</v>
      </c>
      <c r="K71" s="112">
        <v>45.73</v>
      </c>
      <c r="L71" s="112">
        <v>41.1</v>
      </c>
      <c r="M71" s="112">
        <v>27.22</v>
      </c>
      <c r="N71" s="112">
        <v>287.5</v>
      </c>
      <c r="O71" s="112">
        <v>0</v>
      </c>
      <c r="P71" s="112">
        <v>0.5</v>
      </c>
      <c r="Q71" s="112">
        <v>4.79</v>
      </c>
    </row>
    <row r="72" spans="1:17" customFormat="1">
      <c r="A72" s="80">
        <v>45449.666666666664</v>
      </c>
      <c r="B72" s="112">
        <v>7.16</v>
      </c>
      <c r="C72" s="112">
        <v>6.1</v>
      </c>
      <c r="D72" s="112">
        <v>13.93</v>
      </c>
      <c r="E72" s="112">
        <v>24.31</v>
      </c>
      <c r="F72" s="112">
        <v>57.5</v>
      </c>
      <c r="G72" s="112">
        <v>45.6</v>
      </c>
      <c r="H72" s="112">
        <v>17.329999999999998</v>
      </c>
      <c r="I72" s="112">
        <v>4.74</v>
      </c>
      <c r="J72" s="112">
        <v>1.1599999999999999</v>
      </c>
      <c r="K72" s="112">
        <v>57.92</v>
      </c>
      <c r="L72" s="112">
        <v>41.02</v>
      </c>
      <c r="M72" s="112">
        <v>27.05</v>
      </c>
      <c r="N72" s="112">
        <v>328.5</v>
      </c>
      <c r="O72" s="112">
        <v>0</v>
      </c>
      <c r="P72" s="112">
        <v>0.51</v>
      </c>
      <c r="Q72" s="112">
        <v>4.8</v>
      </c>
    </row>
    <row r="73" spans="1:17" customFormat="1">
      <c r="A73" s="80">
        <v>45449.677083333336</v>
      </c>
      <c r="B73" s="112">
        <v>7.19</v>
      </c>
      <c r="C73" s="112">
        <v>6.05</v>
      </c>
      <c r="D73" s="112">
        <v>13.93</v>
      </c>
      <c r="E73" s="112">
        <v>24.65</v>
      </c>
      <c r="F73" s="112">
        <v>49.62</v>
      </c>
      <c r="G73" s="112">
        <v>48.08</v>
      </c>
      <c r="H73" s="112">
        <v>17.95</v>
      </c>
      <c r="I73" s="112">
        <v>4.5599999999999996</v>
      </c>
      <c r="J73" s="112">
        <v>0.55000000000000004</v>
      </c>
      <c r="K73" s="112">
        <v>48.1</v>
      </c>
      <c r="L73" s="112">
        <v>41.35</v>
      </c>
      <c r="M73" s="112">
        <v>27.67</v>
      </c>
      <c r="N73" s="112">
        <v>243.9</v>
      </c>
      <c r="O73" s="112">
        <v>0</v>
      </c>
      <c r="P73" s="112">
        <v>0.53</v>
      </c>
      <c r="Q73" s="112">
        <v>4.8</v>
      </c>
    </row>
    <row r="74" spans="1:17" customFormat="1">
      <c r="A74" s="80">
        <v>45449.6875</v>
      </c>
      <c r="B74" s="112">
        <v>7.18</v>
      </c>
      <c r="C74" s="112">
        <v>6.06</v>
      </c>
      <c r="D74" s="112">
        <v>13.94</v>
      </c>
      <c r="E74" s="112">
        <v>16.829999999999998</v>
      </c>
      <c r="F74" s="112">
        <v>26.81</v>
      </c>
      <c r="G74" s="112">
        <v>48.08</v>
      </c>
      <c r="H74" s="112">
        <v>17.95</v>
      </c>
      <c r="I74" s="112">
        <v>4.1500000000000004</v>
      </c>
      <c r="J74" s="112">
        <v>0.6</v>
      </c>
      <c r="K74" s="112">
        <v>252.23</v>
      </c>
      <c r="L74" s="112">
        <v>38.42</v>
      </c>
      <c r="M74" s="112">
        <v>34.659999999999997</v>
      </c>
      <c r="N74" s="112">
        <v>128.80000000000001</v>
      </c>
      <c r="O74" s="112">
        <v>0</v>
      </c>
      <c r="P74" s="112">
        <v>0.53</v>
      </c>
      <c r="Q74" s="112">
        <v>4.78</v>
      </c>
    </row>
    <row r="75" spans="1:17" customFormat="1">
      <c r="A75" s="80">
        <v>45449.697916666664</v>
      </c>
      <c r="B75" s="112">
        <v>7.19</v>
      </c>
      <c r="C75" s="112">
        <v>6.05</v>
      </c>
      <c r="D75" s="112">
        <v>13.93</v>
      </c>
      <c r="E75" s="112">
        <v>13.19</v>
      </c>
      <c r="F75" s="112">
        <v>32.75</v>
      </c>
      <c r="G75" s="112">
        <v>48.08</v>
      </c>
      <c r="H75" s="112">
        <v>17.95</v>
      </c>
      <c r="I75" s="112">
        <v>4.43</v>
      </c>
      <c r="J75" s="112">
        <v>0.56000000000000005</v>
      </c>
      <c r="K75" s="112">
        <v>265.74</v>
      </c>
      <c r="L75" s="112">
        <v>37.42</v>
      </c>
      <c r="M75" s="112">
        <v>35.299999999999997</v>
      </c>
      <c r="N75" s="112">
        <v>106.8</v>
      </c>
      <c r="O75" s="112">
        <v>0</v>
      </c>
      <c r="P75" s="112">
        <v>0.52</v>
      </c>
      <c r="Q75" s="112">
        <v>4.79</v>
      </c>
    </row>
    <row r="76" spans="1:17" customFormat="1">
      <c r="A76" s="80">
        <v>45449.708333333336</v>
      </c>
      <c r="B76" s="112">
        <v>7.21</v>
      </c>
      <c r="C76" s="112">
        <v>6.03</v>
      </c>
      <c r="D76" s="112">
        <v>13.94</v>
      </c>
      <c r="E76" s="112">
        <v>23.06</v>
      </c>
      <c r="F76" s="112">
        <v>32.94</v>
      </c>
      <c r="G76" s="112">
        <v>48.73</v>
      </c>
      <c r="H76" s="112">
        <v>17.3</v>
      </c>
      <c r="I76" s="112">
        <v>5.05</v>
      </c>
      <c r="J76" s="112">
        <v>0.41</v>
      </c>
      <c r="K76" s="112">
        <v>291.01</v>
      </c>
      <c r="L76" s="112">
        <v>37.11</v>
      </c>
      <c r="M76" s="112">
        <v>35.99</v>
      </c>
      <c r="N76" s="112">
        <v>77.099999999999994</v>
      </c>
      <c r="O76" s="112">
        <v>0</v>
      </c>
      <c r="P76" s="112">
        <v>0.74</v>
      </c>
      <c r="Q76" s="112">
        <v>4.79</v>
      </c>
    </row>
    <row r="77" spans="1:17" customFormat="1">
      <c r="A77" s="80">
        <v>45449.71875</v>
      </c>
      <c r="B77" s="112">
        <v>7.19</v>
      </c>
      <c r="C77" s="112">
        <v>6.09</v>
      </c>
      <c r="D77" s="112">
        <v>13.95</v>
      </c>
      <c r="E77" s="112">
        <v>20.02</v>
      </c>
      <c r="F77" s="112">
        <v>28.36</v>
      </c>
      <c r="G77" s="112">
        <v>50.41</v>
      </c>
      <c r="H77" s="112">
        <v>16.170000000000002</v>
      </c>
      <c r="I77" s="112">
        <v>5.23</v>
      </c>
      <c r="J77" s="112">
        <v>0.66</v>
      </c>
      <c r="K77" s="112">
        <v>261.75</v>
      </c>
      <c r="L77" s="112">
        <v>36.18</v>
      </c>
      <c r="M77" s="112">
        <v>37.44</v>
      </c>
      <c r="N77" s="112">
        <v>54.4</v>
      </c>
      <c r="O77" s="112">
        <v>0</v>
      </c>
      <c r="P77" s="112">
        <v>0.64</v>
      </c>
      <c r="Q77" s="112">
        <v>4.8</v>
      </c>
    </row>
    <row r="78" spans="1:17" customFormat="1">
      <c r="A78" s="80">
        <v>45449.729166666664</v>
      </c>
      <c r="B78" s="112">
        <v>7.15</v>
      </c>
      <c r="C78" s="112">
        <v>6.13</v>
      </c>
      <c r="D78" s="112">
        <v>13.94</v>
      </c>
      <c r="E78" s="112">
        <v>13.05</v>
      </c>
      <c r="F78" s="112">
        <v>23.83</v>
      </c>
      <c r="G78" s="112">
        <v>50.41</v>
      </c>
      <c r="H78" s="112">
        <v>16.170000000000002</v>
      </c>
      <c r="I78" s="112">
        <v>6.11</v>
      </c>
      <c r="J78" s="112">
        <v>0.78</v>
      </c>
      <c r="K78" s="112">
        <v>257.14</v>
      </c>
      <c r="L78" s="112">
        <v>35.54</v>
      </c>
      <c r="M78" s="112">
        <v>38.450000000000003</v>
      </c>
      <c r="N78" s="112">
        <v>38.799999999999997</v>
      </c>
      <c r="O78" s="112">
        <v>0</v>
      </c>
      <c r="P78" s="112">
        <v>0.56999999999999995</v>
      </c>
      <c r="Q78" s="112">
        <v>4.79</v>
      </c>
    </row>
    <row r="79" spans="1:17" customFormat="1">
      <c r="A79" s="80">
        <v>45449.739583333336</v>
      </c>
      <c r="B79" s="112">
        <v>7.15</v>
      </c>
      <c r="C79" s="112">
        <v>6.1</v>
      </c>
      <c r="D79" s="112">
        <v>13.93</v>
      </c>
      <c r="E79" s="112">
        <v>11.27</v>
      </c>
      <c r="F79" s="112">
        <v>27.88</v>
      </c>
      <c r="G79" s="112">
        <v>50.41</v>
      </c>
      <c r="H79" s="112">
        <v>16.170000000000002</v>
      </c>
      <c r="I79" s="112">
        <v>6.09</v>
      </c>
      <c r="J79" s="112">
        <v>0.47</v>
      </c>
      <c r="K79" s="112">
        <v>237.8</v>
      </c>
      <c r="L79" s="112">
        <v>34.869999999999997</v>
      </c>
      <c r="M79" s="112">
        <v>41.53</v>
      </c>
      <c r="N79" s="112">
        <v>23.3</v>
      </c>
      <c r="O79" s="112">
        <v>0</v>
      </c>
      <c r="P79" s="112">
        <v>0.56999999999999995</v>
      </c>
      <c r="Q79" s="112">
        <v>4.78</v>
      </c>
    </row>
    <row r="80" spans="1:17" customFormat="1">
      <c r="A80" s="80">
        <v>45449.75</v>
      </c>
      <c r="B80" s="112">
        <v>7.16</v>
      </c>
      <c r="C80" s="112">
        <v>6.06</v>
      </c>
      <c r="D80" s="112">
        <v>13.92</v>
      </c>
      <c r="E80" s="112">
        <v>13.79</v>
      </c>
      <c r="F80" s="112">
        <v>40.43</v>
      </c>
      <c r="G80" s="112">
        <v>51.46</v>
      </c>
      <c r="H80" s="112">
        <v>17.190000000000001</v>
      </c>
      <c r="I80" s="112">
        <v>5.55</v>
      </c>
      <c r="J80" s="112">
        <v>0.33</v>
      </c>
      <c r="K80" s="112">
        <v>228.02</v>
      </c>
      <c r="L80" s="112">
        <v>34.6</v>
      </c>
      <c r="M80" s="112">
        <v>43.87</v>
      </c>
      <c r="N80" s="112">
        <v>16.899999999999999</v>
      </c>
      <c r="O80" s="112">
        <v>0</v>
      </c>
      <c r="P80" s="112">
        <v>0.68</v>
      </c>
      <c r="Q80" s="112">
        <v>4.79</v>
      </c>
    </row>
    <row r="81" spans="1:17" customFormat="1">
      <c r="A81" s="80">
        <v>45449.760416666664</v>
      </c>
      <c r="B81" s="112">
        <v>7.16</v>
      </c>
      <c r="C81" s="112">
        <v>6.07</v>
      </c>
      <c r="D81" s="112">
        <v>13.92</v>
      </c>
      <c r="E81" s="112">
        <v>10.92</v>
      </c>
      <c r="F81" s="112">
        <v>39.58</v>
      </c>
      <c r="G81" s="112">
        <v>54.19</v>
      </c>
      <c r="H81" s="112">
        <v>18.989999999999998</v>
      </c>
      <c r="I81" s="112">
        <v>6.06</v>
      </c>
      <c r="J81" s="112">
        <v>0.27</v>
      </c>
      <c r="K81" s="112">
        <v>228.6</v>
      </c>
      <c r="L81" s="112">
        <v>34.520000000000003</v>
      </c>
      <c r="M81" s="112">
        <v>44.23</v>
      </c>
      <c r="N81" s="112">
        <v>11.5</v>
      </c>
      <c r="O81" s="112">
        <v>0</v>
      </c>
      <c r="P81" s="112">
        <v>0.67</v>
      </c>
      <c r="Q81" s="112">
        <v>4.8099999999999996</v>
      </c>
    </row>
    <row r="82" spans="1:17" customFormat="1">
      <c r="A82" s="80">
        <v>45449.770833333336</v>
      </c>
      <c r="B82" s="112">
        <v>7.15</v>
      </c>
      <c r="C82" s="112">
        <v>6.06</v>
      </c>
      <c r="D82" s="112">
        <v>13.91</v>
      </c>
      <c r="E82" s="112">
        <v>13.27</v>
      </c>
      <c r="F82" s="112">
        <v>39.020000000000003</v>
      </c>
      <c r="G82" s="112">
        <v>54.19</v>
      </c>
      <c r="H82" s="112">
        <v>18.989999999999998</v>
      </c>
      <c r="I82" s="112">
        <v>6.66</v>
      </c>
      <c r="J82" s="112">
        <v>0.4</v>
      </c>
      <c r="K82" s="112">
        <v>267.19</v>
      </c>
      <c r="L82" s="112">
        <v>34.270000000000003</v>
      </c>
      <c r="M82" s="112">
        <v>45.16</v>
      </c>
      <c r="N82" s="112">
        <v>0.6</v>
      </c>
      <c r="O82" s="112">
        <v>0</v>
      </c>
      <c r="P82" s="112">
        <v>0.62</v>
      </c>
      <c r="Q82" s="112">
        <v>4.79</v>
      </c>
    </row>
    <row r="83" spans="1:17" customFormat="1">
      <c r="A83" s="80">
        <v>45449.78125</v>
      </c>
      <c r="B83" s="112">
        <v>7.16</v>
      </c>
      <c r="C83" s="112">
        <v>6.06</v>
      </c>
      <c r="D83" s="112">
        <v>13.92</v>
      </c>
      <c r="E83" s="112">
        <v>12.66</v>
      </c>
      <c r="F83" s="112">
        <v>42.33</v>
      </c>
      <c r="G83" s="112">
        <v>54.19</v>
      </c>
      <c r="H83" s="112">
        <v>18.989999999999998</v>
      </c>
      <c r="I83" s="112">
        <v>6.56</v>
      </c>
      <c r="J83" s="112">
        <v>0.24</v>
      </c>
      <c r="K83" s="112">
        <v>228.49</v>
      </c>
      <c r="L83" s="112">
        <v>34.17</v>
      </c>
      <c r="M83" s="112">
        <v>45.75</v>
      </c>
      <c r="N83" s="112">
        <v>0</v>
      </c>
      <c r="O83" s="112">
        <v>0</v>
      </c>
      <c r="P83" s="112">
        <v>0.54</v>
      </c>
      <c r="Q83" s="112">
        <v>4.8099999999999996</v>
      </c>
    </row>
    <row r="84" spans="1:17" customFormat="1">
      <c r="A84" s="80">
        <v>45449.791666666664</v>
      </c>
      <c r="B84" s="112">
        <v>7.16</v>
      </c>
      <c r="C84" s="112">
        <v>6.08</v>
      </c>
      <c r="D84" s="112">
        <v>13.93</v>
      </c>
      <c r="E84" s="112">
        <v>12.84</v>
      </c>
      <c r="F84" s="112">
        <v>37.96</v>
      </c>
      <c r="G84" s="112">
        <v>51.62</v>
      </c>
      <c r="H84" s="112">
        <v>18.670000000000002</v>
      </c>
      <c r="I84" s="112">
        <v>5.79</v>
      </c>
      <c r="J84" s="112">
        <v>0.45</v>
      </c>
      <c r="K84" s="112">
        <v>74.099999999999994</v>
      </c>
      <c r="L84" s="112">
        <v>34.270000000000003</v>
      </c>
      <c r="M84" s="112">
        <v>45.61</v>
      </c>
      <c r="N84" s="112">
        <v>0</v>
      </c>
      <c r="O84" s="112">
        <v>0</v>
      </c>
      <c r="P84" s="112">
        <v>0.56999999999999995</v>
      </c>
      <c r="Q84" s="112">
        <v>4.79</v>
      </c>
    </row>
    <row r="85" spans="1:17" customFormat="1">
      <c r="A85" s="80">
        <v>45449.802083333336</v>
      </c>
      <c r="B85" s="112">
        <v>7.17</v>
      </c>
      <c r="C85" s="112">
        <v>6.06</v>
      </c>
      <c r="D85" s="112">
        <v>13.93</v>
      </c>
      <c r="E85" s="112">
        <v>11.69</v>
      </c>
      <c r="F85" s="112">
        <v>23.75</v>
      </c>
      <c r="G85" s="112">
        <v>44.95</v>
      </c>
      <c r="H85" s="112">
        <v>18.079999999999998</v>
      </c>
      <c r="I85" s="112">
        <v>5.2</v>
      </c>
      <c r="J85" s="112">
        <v>0.68</v>
      </c>
      <c r="K85" s="112">
        <v>87.55</v>
      </c>
      <c r="L85" s="112">
        <v>34.68</v>
      </c>
      <c r="M85" s="112">
        <v>44.39</v>
      </c>
      <c r="N85" s="112">
        <v>0</v>
      </c>
      <c r="O85" s="112">
        <v>0</v>
      </c>
      <c r="P85" s="112">
        <v>0.59</v>
      </c>
      <c r="Q85" s="112">
        <v>4.8099999999999996</v>
      </c>
    </row>
    <row r="86" spans="1:17" customFormat="1">
      <c r="A86" s="80">
        <v>45449.8125</v>
      </c>
      <c r="B86" s="112">
        <v>7.21</v>
      </c>
      <c r="C86" s="112">
        <v>6.05</v>
      </c>
      <c r="D86" s="112">
        <v>13.95</v>
      </c>
      <c r="E86" s="112">
        <v>10.88</v>
      </c>
      <c r="F86" s="112">
        <v>14.34</v>
      </c>
      <c r="G86" s="112">
        <v>44.95</v>
      </c>
      <c r="H86" s="112">
        <v>18.079999999999998</v>
      </c>
      <c r="I86" s="112">
        <v>5.2</v>
      </c>
      <c r="J86" s="112">
        <v>0.54</v>
      </c>
      <c r="K86" s="112">
        <v>119.06</v>
      </c>
      <c r="L86" s="112">
        <v>34.17</v>
      </c>
      <c r="M86" s="112">
        <v>44.52</v>
      </c>
      <c r="N86" s="112">
        <v>0</v>
      </c>
      <c r="O86" s="112">
        <v>0</v>
      </c>
      <c r="P86" s="112">
        <v>0.56999999999999995</v>
      </c>
      <c r="Q86" s="112">
        <v>4.8</v>
      </c>
    </row>
    <row r="87" spans="1:17" customFormat="1">
      <c r="A87" s="80">
        <v>45449.822916666664</v>
      </c>
      <c r="B87" s="112">
        <v>7.22</v>
      </c>
      <c r="C87" s="112">
        <v>6.07</v>
      </c>
      <c r="D87" s="112">
        <v>13.97</v>
      </c>
      <c r="E87" s="112">
        <v>11.41</v>
      </c>
      <c r="F87" s="112">
        <v>29.12</v>
      </c>
      <c r="G87" s="112">
        <v>44.95</v>
      </c>
      <c r="H87" s="112">
        <v>18.079999999999998</v>
      </c>
      <c r="I87" s="112">
        <v>5.59</v>
      </c>
      <c r="J87" s="112">
        <v>0.31</v>
      </c>
      <c r="K87" s="112">
        <v>109.41</v>
      </c>
      <c r="L87" s="112">
        <v>33.46</v>
      </c>
      <c r="M87" s="112">
        <v>44.85</v>
      </c>
      <c r="N87" s="112">
        <v>0</v>
      </c>
      <c r="O87" s="112">
        <v>0</v>
      </c>
      <c r="P87" s="112">
        <v>0.96</v>
      </c>
      <c r="Q87" s="112">
        <v>4.8099999999999996</v>
      </c>
    </row>
    <row r="88" spans="1:17" customFormat="1">
      <c r="A88" s="80">
        <v>45449.833333333336</v>
      </c>
      <c r="B88" s="112">
        <v>7.2</v>
      </c>
      <c r="C88" s="112">
        <v>6.08</v>
      </c>
      <c r="D88" s="112">
        <v>13.96</v>
      </c>
      <c r="E88" s="112">
        <v>10.62</v>
      </c>
      <c r="F88" s="112">
        <v>39.29</v>
      </c>
      <c r="G88" s="112">
        <v>44.01</v>
      </c>
      <c r="H88" s="112">
        <v>18.149999999999999</v>
      </c>
      <c r="I88" s="112">
        <v>5.57</v>
      </c>
      <c r="J88" s="112">
        <v>0.05</v>
      </c>
      <c r="K88" s="112">
        <v>141.51</v>
      </c>
      <c r="L88" s="112">
        <v>32.92</v>
      </c>
      <c r="M88" s="112">
        <v>46.47</v>
      </c>
      <c r="N88" s="112">
        <v>0</v>
      </c>
      <c r="O88" s="112">
        <v>0</v>
      </c>
      <c r="P88" s="112">
        <v>0.94</v>
      </c>
      <c r="Q88" s="112">
        <v>4.8099999999999996</v>
      </c>
    </row>
    <row r="89" spans="1:17" customFormat="1">
      <c r="A89" s="80">
        <v>45449.84375</v>
      </c>
      <c r="B89" s="112">
        <v>7.19</v>
      </c>
      <c r="C89" s="112">
        <v>6.13</v>
      </c>
      <c r="D89" s="112">
        <v>13.98</v>
      </c>
      <c r="E89" s="112">
        <v>10.83</v>
      </c>
      <c r="F89" s="112">
        <v>39.65</v>
      </c>
      <c r="G89" s="112">
        <v>41.58</v>
      </c>
      <c r="H89" s="112">
        <v>18.260000000000002</v>
      </c>
      <c r="I89" s="112">
        <v>5.0999999999999996</v>
      </c>
      <c r="J89" s="112">
        <v>0.39</v>
      </c>
      <c r="K89" s="112">
        <v>230.22</v>
      </c>
      <c r="L89" s="112">
        <v>32.880000000000003</v>
      </c>
      <c r="M89" s="112">
        <v>46.6</v>
      </c>
      <c r="N89" s="112">
        <v>0</v>
      </c>
      <c r="O89" s="112">
        <v>0</v>
      </c>
      <c r="P89" s="112">
        <v>0.94</v>
      </c>
      <c r="Q89" s="112">
        <v>4.83</v>
      </c>
    </row>
    <row r="90" spans="1:17" customFormat="1">
      <c r="A90" s="80">
        <v>45449.854166666664</v>
      </c>
      <c r="B90" s="112">
        <v>7.21</v>
      </c>
      <c r="C90" s="112">
        <v>6.08</v>
      </c>
      <c r="D90" s="112">
        <v>13.97</v>
      </c>
      <c r="E90" s="112">
        <v>11.33</v>
      </c>
      <c r="F90" s="112">
        <v>38.99</v>
      </c>
      <c r="G90" s="112">
        <v>41.58</v>
      </c>
      <c r="H90" s="112">
        <v>18.260000000000002</v>
      </c>
      <c r="I90" s="112">
        <v>4.62</v>
      </c>
      <c r="J90" s="112">
        <v>0.09</v>
      </c>
      <c r="K90" s="112">
        <v>238</v>
      </c>
      <c r="L90" s="112">
        <v>32.869999999999997</v>
      </c>
      <c r="M90" s="112">
        <v>48.27</v>
      </c>
      <c r="N90" s="112">
        <v>0</v>
      </c>
      <c r="O90" s="112">
        <v>0</v>
      </c>
      <c r="P90" s="112">
        <v>0.94</v>
      </c>
      <c r="Q90" s="112">
        <v>4.8</v>
      </c>
    </row>
    <row r="91" spans="1:17" customFormat="1">
      <c r="A91" s="80">
        <v>45449.864583333336</v>
      </c>
      <c r="B91" s="112">
        <v>7.19</v>
      </c>
      <c r="C91" s="112">
        <v>6.07</v>
      </c>
      <c r="D91" s="112">
        <v>13.94</v>
      </c>
      <c r="E91" s="112">
        <v>11.31</v>
      </c>
      <c r="F91" s="112">
        <v>24.25</v>
      </c>
      <c r="G91" s="112">
        <v>41.58</v>
      </c>
      <c r="H91" s="112">
        <v>18.260000000000002</v>
      </c>
      <c r="I91" s="112">
        <v>4.62</v>
      </c>
      <c r="J91" s="112">
        <v>0.11</v>
      </c>
      <c r="K91" s="112">
        <v>141.94</v>
      </c>
      <c r="L91" s="112">
        <v>33.35</v>
      </c>
      <c r="M91" s="112">
        <v>47.14</v>
      </c>
      <c r="N91" s="112">
        <v>0</v>
      </c>
      <c r="O91" s="112">
        <v>0</v>
      </c>
      <c r="P91" s="112">
        <v>0.95</v>
      </c>
      <c r="Q91" s="112">
        <v>4.8099999999999996</v>
      </c>
    </row>
    <row r="92" spans="1:17" customFormat="1">
      <c r="A92" s="80">
        <v>45449.875</v>
      </c>
      <c r="B92" s="112">
        <v>7.19</v>
      </c>
      <c r="C92" s="112">
        <v>6.08</v>
      </c>
      <c r="D92" s="112">
        <v>13.95</v>
      </c>
      <c r="E92" s="112">
        <v>11.55</v>
      </c>
      <c r="F92" s="112">
        <v>38.35</v>
      </c>
      <c r="G92" s="112">
        <v>42.01</v>
      </c>
      <c r="H92" s="112">
        <v>18.600000000000001</v>
      </c>
      <c r="I92" s="112">
        <v>4.74</v>
      </c>
      <c r="J92" s="112">
        <v>0.18</v>
      </c>
      <c r="K92" s="112">
        <v>258.57</v>
      </c>
      <c r="L92" s="112">
        <v>32.630000000000003</v>
      </c>
      <c r="M92" s="112">
        <v>49.85</v>
      </c>
      <c r="N92" s="112">
        <v>0</v>
      </c>
      <c r="O92" s="112">
        <v>0</v>
      </c>
      <c r="P92" s="112">
        <v>0.94</v>
      </c>
      <c r="Q92" s="112">
        <v>4.8099999999999996</v>
      </c>
    </row>
    <row r="93" spans="1:17" customFormat="1">
      <c r="A93" s="80">
        <v>45449.885416666664</v>
      </c>
      <c r="B93" s="112">
        <v>7.17</v>
      </c>
      <c r="C93" s="112">
        <v>6.08</v>
      </c>
      <c r="D93" s="112">
        <v>13.93</v>
      </c>
      <c r="E93" s="112">
        <v>11.7</v>
      </c>
      <c r="F93" s="112">
        <v>22.38</v>
      </c>
      <c r="G93" s="112">
        <v>43.12</v>
      </c>
      <c r="H93" s="112">
        <v>19.2</v>
      </c>
      <c r="I93" s="112">
        <v>4.74</v>
      </c>
      <c r="J93" s="112">
        <v>0.32</v>
      </c>
      <c r="K93" s="112">
        <v>218.74</v>
      </c>
      <c r="L93" s="112">
        <v>32.58</v>
      </c>
      <c r="M93" s="112">
        <v>50.59</v>
      </c>
      <c r="N93" s="112">
        <v>0</v>
      </c>
      <c r="O93" s="112">
        <v>0</v>
      </c>
      <c r="P93" s="112">
        <v>0.95</v>
      </c>
      <c r="Q93" s="112">
        <v>4.82</v>
      </c>
    </row>
    <row r="94" spans="1:17" customFormat="1">
      <c r="A94" s="80">
        <v>45449.895833333336</v>
      </c>
      <c r="B94" s="112">
        <v>7.15</v>
      </c>
      <c r="C94" s="112">
        <v>6.07</v>
      </c>
      <c r="D94" s="112">
        <v>13.92</v>
      </c>
      <c r="E94" s="112">
        <v>10.78</v>
      </c>
      <c r="F94" s="112">
        <v>21.94</v>
      </c>
      <c r="G94" s="112">
        <v>43.12</v>
      </c>
      <c r="H94" s="112">
        <v>19.2</v>
      </c>
      <c r="I94" s="112">
        <v>4.6900000000000004</v>
      </c>
      <c r="J94" s="112">
        <v>0.28999999999999998</v>
      </c>
      <c r="K94" s="112">
        <v>225.35</v>
      </c>
      <c r="L94" s="112">
        <v>32.479999999999997</v>
      </c>
      <c r="M94" s="112">
        <v>51.49</v>
      </c>
      <c r="N94" s="112">
        <v>0</v>
      </c>
      <c r="O94" s="112">
        <v>0</v>
      </c>
      <c r="P94" s="112">
        <v>0.96</v>
      </c>
      <c r="Q94" s="112">
        <v>4.8099999999999996</v>
      </c>
    </row>
    <row r="95" spans="1:17" customFormat="1">
      <c r="A95" s="80">
        <v>45449.90625</v>
      </c>
      <c r="B95" s="112">
        <v>7.16</v>
      </c>
      <c r="C95" s="112">
        <v>6.08</v>
      </c>
      <c r="D95" s="112">
        <v>13.93</v>
      </c>
      <c r="E95" s="112">
        <v>10.76</v>
      </c>
      <c r="F95" s="112">
        <v>19.489999999999998</v>
      </c>
      <c r="G95" s="112">
        <v>43.12</v>
      </c>
      <c r="H95" s="112">
        <v>19.2</v>
      </c>
      <c r="I95" s="112">
        <v>4.79</v>
      </c>
      <c r="J95" s="112">
        <v>0.25</v>
      </c>
      <c r="K95" s="112">
        <v>224.21</v>
      </c>
      <c r="L95" s="112">
        <v>32.32</v>
      </c>
      <c r="M95" s="112">
        <v>52.37</v>
      </c>
      <c r="N95" s="112">
        <v>0</v>
      </c>
      <c r="O95" s="112">
        <v>0</v>
      </c>
      <c r="P95" s="112">
        <v>0.96</v>
      </c>
      <c r="Q95" s="112">
        <v>4.79</v>
      </c>
    </row>
    <row r="96" spans="1:17" customFormat="1">
      <c r="A96" s="80">
        <v>45449.916666666664</v>
      </c>
      <c r="B96" s="112">
        <v>7.16</v>
      </c>
      <c r="C96" s="112">
        <v>6.1</v>
      </c>
      <c r="D96" s="112">
        <v>13.94</v>
      </c>
      <c r="E96" s="112">
        <v>11.09</v>
      </c>
      <c r="F96" s="112">
        <v>20.53</v>
      </c>
      <c r="G96" s="112">
        <v>41.79</v>
      </c>
      <c r="H96" s="112">
        <v>18.899999999999999</v>
      </c>
      <c r="I96" s="112">
        <v>4.8499999999999996</v>
      </c>
      <c r="J96" s="112">
        <v>0.46</v>
      </c>
      <c r="K96" s="112">
        <v>253.56</v>
      </c>
      <c r="L96" s="112">
        <v>32.090000000000003</v>
      </c>
      <c r="M96" s="112">
        <v>53.13</v>
      </c>
      <c r="N96" s="112">
        <v>0</v>
      </c>
      <c r="O96" s="112">
        <v>0</v>
      </c>
      <c r="P96" s="112">
        <v>0.96</v>
      </c>
      <c r="Q96" s="112">
        <v>4.8</v>
      </c>
    </row>
    <row r="97" spans="1:22" customFormat="1">
      <c r="A97" s="80">
        <v>45449.927083333336</v>
      </c>
      <c r="B97" s="112">
        <v>7.16</v>
      </c>
      <c r="C97" s="112">
        <v>6.1</v>
      </c>
      <c r="D97" s="112">
        <v>13.94</v>
      </c>
      <c r="E97" s="112">
        <v>11.11</v>
      </c>
      <c r="F97" s="112">
        <v>17.12</v>
      </c>
      <c r="G97" s="112">
        <v>38.31</v>
      </c>
      <c r="H97" s="112">
        <v>17.63</v>
      </c>
      <c r="I97" s="112">
        <v>4.8499999999999996</v>
      </c>
      <c r="J97" s="112">
        <v>0.28000000000000003</v>
      </c>
      <c r="K97" s="112">
        <v>251.02</v>
      </c>
      <c r="L97" s="112">
        <v>31.96</v>
      </c>
      <c r="M97" s="112">
        <v>53.84</v>
      </c>
      <c r="N97" s="112">
        <v>0</v>
      </c>
      <c r="O97" s="112">
        <v>0</v>
      </c>
      <c r="P97" s="112">
        <v>0.96</v>
      </c>
      <c r="Q97" s="112">
        <v>4.82</v>
      </c>
    </row>
    <row r="98" spans="1:22" customFormat="1">
      <c r="A98" s="80">
        <v>45449.9375</v>
      </c>
      <c r="B98" s="112">
        <v>7.16</v>
      </c>
      <c r="C98" s="112">
        <v>6.11</v>
      </c>
      <c r="D98" s="112">
        <v>13.94</v>
      </c>
      <c r="E98" s="112">
        <v>10.68</v>
      </c>
      <c r="F98" s="112">
        <v>19.760000000000002</v>
      </c>
      <c r="G98" s="112">
        <v>38.31</v>
      </c>
      <c r="H98" s="112">
        <v>17.63</v>
      </c>
      <c r="I98" s="112">
        <v>4.82</v>
      </c>
      <c r="J98" s="112">
        <v>0.24</v>
      </c>
      <c r="K98" s="112">
        <v>267.49</v>
      </c>
      <c r="L98" s="112">
        <v>31.74</v>
      </c>
      <c r="M98" s="112">
        <v>56.19</v>
      </c>
      <c r="N98" s="112">
        <v>0</v>
      </c>
      <c r="O98" s="112">
        <v>0</v>
      </c>
      <c r="P98" s="112">
        <v>0.95</v>
      </c>
      <c r="Q98" s="112">
        <v>4.8099999999999996</v>
      </c>
    </row>
    <row r="99" spans="1:22" customFormat="1">
      <c r="A99" s="80">
        <v>45449.947916666664</v>
      </c>
      <c r="B99" s="112">
        <v>7.18</v>
      </c>
      <c r="C99" s="112">
        <v>6.08</v>
      </c>
      <c r="D99" s="112">
        <v>13.94</v>
      </c>
      <c r="E99" s="112">
        <v>10.8</v>
      </c>
      <c r="F99" s="112">
        <v>19.18</v>
      </c>
      <c r="G99" s="112">
        <v>38.31</v>
      </c>
      <c r="H99" s="112">
        <v>17.63</v>
      </c>
      <c r="I99" s="112">
        <v>4.7300000000000004</v>
      </c>
      <c r="J99" s="112">
        <v>0.35</v>
      </c>
      <c r="K99" s="112">
        <v>245.08</v>
      </c>
      <c r="L99" s="112">
        <v>31.55</v>
      </c>
      <c r="M99" s="112">
        <v>57.79</v>
      </c>
      <c r="N99" s="112">
        <v>0</v>
      </c>
      <c r="O99" s="112">
        <v>0</v>
      </c>
      <c r="P99" s="112">
        <v>0.95</v>
      </c>
      <c r="Q99" s="112">
        <v>4.82</v>
      </c>
    </row>
    <row r="100" spans="1:22" customFormat="1">
      <c r="A100" s="80">
        <v>45449.958333333336</v>
      </c>
      <c r="B100" s="112">
        <v>7.18</v>
      </c>
      <c r="C100" s="112">
        <v>6.08</v>
      </c>
      <c r="D100" s="112">
        <v>13.94</v>
      </c>
      <c r="E100" s="112">
        <v>10.47</v>
      </c>
      <c r="F100" s="112">
        <v>12.59</v>
      </c>
      <c r="G100" s="112">
        <v>36.86</v>
      </c>
      <c r="H100" s="112">
        <v>17.670000000000002</v>
      </c>
      <c r="I100" s="112">
        <v>4.76</v>
      </c>
      <c r="J100" s="112">
        <v>0.41</v>
      </c>
      <c r="K100" s="112">
        <v>245.74</v>
      </c>
      <c r="L100" s="112">
        <v>31.33</v>
      </c>
      <c r="M100" s="112">
        <v>59.15</v>
      </c>
      <c r="N100" s="112">
        <v>0</v>
      </c>
      <c r="O100" s="112">
        <v>0</v>
      </c>
      <c r="P100" s="112">
        <v>0.94</v>
      </c>
      <c r="Q100" s="112">
        <v>4.82</v>
      </c>
    </row>
    <row r="101" spans="1:22" customFormat="1">
      <c r="A101" s="80">
        <v>45449.96875</v>
      </c>
      <c r="B101" s="112">
        <v>7.18</v>
      </c>
      <c r="C101" s="112">
        <v>6.07</v>
      </c>
      <c r="D101" s="112">
        <v>13.93</v>
      </c>
      <c r="E101" s="112">
        <v>10.76</v>
      </c>
      <c r="F101" s="112">
        <v>16.32</v>
      </c>
      <c r="G101" s="112">
        <v>33.07</v>
      </c>
      <c r="H101" s="112">
        <v>17.75</v>
      </c>
      <c r="I101" s="112">
        <v>4.75</v>
      </c>
      <c r="J101" s="112">
        <v>0.24</v>
      </c>
      <c r="K101" s="112">
        <v>220.37</v>
      </c>
      <c r="L101" s="112">
        <v>31.27</v>
      </c>
      <c r="M101" s="112">
        <v>58.91</v>
      </c>
      <c r="N101" s="112">
        <v>0</v>
      </c>
      <c r="O101" s="112">
        <v>0</v>
      </c>
      <c r="P101" s="112">
        <v>0.94</v>
      </c>
      <c r="Q101" s="112">
        <v>4.82</v>
      </c>
    </row>
    <row r="102" spans="1:22" customFormat="1">
      <c r="A102" s="80">
        <v>45449.979166666664</v>
      </c>
      <c r="B102" s="112">
        <v>7.18</v>
      </c>
      <c r="C102" s="112">
        <v>6.08</v>
      </c>
      <c r="D102" s="112">
        <v>13.94</v>
      </c>
      <c r="E102" s="112">
        <v>10.53</v>
      </c>
      <c r="F102" s="112">
        <v>13.87</v>
      </c>
      <c r="G102" s="112">
        <v>33.07</v>
      </c>
      <c r="H102" s="112">
        <v>17.75</v>
      </c>
      <c r="I102" s="112">
        <v>4.6399999999999997</v>
      </c>
      <c r="J102" s="112">
        <v>0.26</v>
      </c>
      <c r="K102" s="112">
        <v>249.31</v>
      </c>
      <c r="L102" s="112">
        <v>31.06</v>
      </c>
      <c r="M102" s="112">
        <v>60.62</v>
      </c>
      <c r="N102" s="112">
        <v>0</v>
      </c>
      <c r="O102" s="112">
        <v>0</v>
      </c>
      <c r="P102" s="112">
        <v>0.94</v>
      </c>
      <c r="Q102" s="112">
        <v>4.8</v>
      </c>
    </row>
    <row r="103" spans="1:22" customFormat="1">
      <c r="A103" s="80">
        <v>45449.989583333336</v>
      </c>
      <c r="B103" s="112">
        <v>7.17</v>
      </c>
      <c r="C103" s="112">
        <v>6.08</v>
      </c>
      <c r="D103" s="112">
        <v>13.94</v>
      </c>
      <c r="E103" s="112">
        <v>10.36</v>
      </c>
      <c r="F103" s="112">
        <v>12.1</v>
      </c>
      <c r="G103" s="112">
        <v>33.07</v>
      </c>
      <c r="H103" s="112">
        <v>17.75</v>
      </c>
      <c r="I103" s="112">
        <v>4.71</v>
      </c>
      <c r="J103" s="112">
        <v>0.46</v>
      </c>
      <c r="K103" s="112">
        <v>254.54</v>
      </c>
      <c r="L103" s="112">
        <v>31.03</v>
      </c>
      <c r="M103" s="112">
        <v>57.7</v>
      </c>
      <c r="N103" s="112">
        <v>0</v>
      </c>
      <c r="O103" s="112">
        <v>0</v>
      </c>
      <c r="P103" s="112">
        <v>0.95</v>
      </c>
      <c r="Q103" s="112">
        <v>4.8099999999999996</v>
      </c>
    </row>
    <row r="104" spans="1:22" customFormat="1">
      <c r="A104" s="80">
        <v>45450</v>
      </c>
      <c r="B104" s="112">
        <v>7.18</v>
      </c>
      <c r="C104" s="112">
        <v>6.06</v>
      </c>
      <c r="D104" s="112">
        <v>13.94</v>
      </c>
      <c r="E104" s="112">
        <v>10.31</v>
      </c>
      <c r="F104" s="112">
        <v>14.27</v>
      </c>
      <c r="G104" s="112">
        <v>33.32</v>
      </c>
      <c r="H104" s="112">
        <v>17.23</v>
      </c>
      <c r="I104" s="112">
        <v>4.75</v>
      </c>
      <c r="J104" s="112">
        <v>0.43</v>
      </c>
      <c r="K104" s="112">
        <v>251.24</v>
      </c>
      <c r="L104" s="112">
        <v>31.04</v>
      </c>
      <c r="M104" s="112">
        <v>56.02</v>
      </c>
      <c r="N104" s="112">
        <v>0</v>
      </c>
      <c r="O104" s="112">
        <v>0</v>
      </c>
      <c r="P104" s="112">
        <v>0.94</v>
      </c>
      <c r="Q104" s="112">
        <v>4.82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7.13</v>
      </c>
      <c r="C106" s="184">
        <f>MIN(C9:C104)</f>
        <v>6.03</v>
      </c>
      <c r="D106" s="184">
        <f t="shared" ref="D106:Q106" si="0">MIN(D9:D104)</f>
        <v>13.91</v>
      </c>
      <c r="E106" s="184">
        <f t="shared" si="0"/>
        <v>7.64</v>
      </c>
      <c r="F106" s="184">
        <f t="shared" si="0"/>
        <v>6.51</v>
      </c>
      <c r="G106" s="184">
        <f t="shared" si="0"/>
        <v>24.81</v>
      </c>
      <c r="H106" s="184">
        <f t="shared" si="0"/>
        <v>12.4</v>
      </c>
      <c r="I106" s="184">
        <f t="shared" si="0"/>
        <v>4.12</v>
      </c>
      <c r="J106" s="184">
        <f t="shared" si="0"/>
        <v>0.04</v>
      </c>
      <c r="K106" s="184">
        <f t="shared" si="0"/>
        <v>31.85</v>
      </c>
      <c r="L106" s="184">
        <f t="shared" si="0"/>
        <v>29.77</v>
      </c>
      <c r="M106" s="184">
        <f t="shared" si="0"/>
        <v>26.54</v>
      </c>
      <c r="N106" s="184">
        <f t="shared" si="0"/>
        <v>0</v>
      </c>
      <c r="O106" s="184">
        <f t="shared" si="0"/>
        <v>0</v>
      </c>
      <c r="P106" s="184">
        <f t="shared" si="0"/>
        <v>0.4</v>
      </c>
      <c r="Q106" s="184">
        <f t="shared" si="0"/>
        <v>4.78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7.22</v>
      </c>
      <c r="C107" s="185">
        <f t="shared" ref="C107:Q107" si="1">MAX(C9:C104)</f>
        <v>6.13</v>
      </c>
      <c r="D107" s="185">
        <f t="shared" si="1"/>
        <v>13.98</v>
      </c>
      <c r="E107" s="185">
        <f t="shared" si="1"/>
        <v>30.41</v>
      </c>
      <c r="F107" s="185">
        <f t="shared" si="1"/>
        <v>57.5</v>
      </c>
      <c r="G107" s="185">
        <f t="shared" si="1"/>
        <v>54.19</v>
      </c>
      <c r="H107" s="185">
        <f t="shared" si="1"/>
        <v>19.2</v>
      </c>
      <c r="I107" s="185">
        <f t="shared" si="1"/>
        <v>8.3800000000000008</v>
      </c>
      <c r="J107" s="185">
        <f t="shared" si="1"/>
        <v>1.9</v>
      </c>
      <c r="K107" s="185">
        <f t="shared" si="1"/>
        <v>359.69</v>
      </c>
      <c r="L107" s="185">
        <f t="shared" si="1"/>
        <v>41.64</v>
      </c>
      <c r="M107" s="185">
        <f t="shared" si="1"/>
        <v>64.89</v>
      </c>
      <c r="N107" s="185">
        <f t="shared" si="1"/>
        <v>759.2</v>
      </c>
      <c r="O107" s="185">
        <f t="shared" si="1"/>
        <v>0</v>
      </c>
      <c r="P107" s="185">
        <f t="shared" si="1"/>
        <v>0.96</v>
      </c>
      <c r="Q107" s="185">
        <f t="shared" si="1"/>
        <v>4.83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7.1805208333333281</v>
      </c>
      <c r="C108" s="184">
        <f t="shared" ref="C108:Q108" si="2">AVERAGE(C9:C104)</f>
        <v>6.0737500000000013</v>
      </c>
      <c r="D108" s="184">
        <f t="shared" si="2"/>
        <v>13.940208333333358</v>
      </c>
      <c r="E108" s="184">
        <f t="shared" si="2"/>
        <v>12.466562499999993</v>
      </c>
      <c r="F108" s="184">
        <f t="shared" si="2"/>
        <v>24.599479166666654</v>
      </c>
      <c r="G108" s="184">
        <f t="shared" si="2"/>
        <v>37.573333333333316</v>
      </c>
      <c r="H108" s="184">
        <f t="shared" si="2"/>
        <v>15.764895833333346</v>
      </c>
      <c r="I108" s="184">
        <f t="shared" si="2"/>
        <v>5.1598958333333345</v>
      </c>
      <c r="J108" s="184">
        <f t="shared" si="2"/>
        <v>0.62197916666666675</v>
      </c>
      <c r="K108" s="184">
        <f t="shared" si="2"/>
        <v>233.82375000000005</v>
      </c>
      <c r="L108" s="184">
        <f t="shared" si="2"/>
        <v>34.316875000000003</v>
      </c>
      <c r="M108" s="184">
        <f t="shared" si="2"/>
        <v>48.521979166666654</v>
      </c>
      <c r="N108" s="184">
        <f t="shared" si="2"/>
        <v>146.76770833333327</v>
      </c>
      <c r="O108" s="184">
        <f t="shared" si="2"/>
        <v>0</v>
      </c>
      <c r="P108" s="184">
        <f t="shared" si="2"/>
        <v>0.58083333333333342</v>
      </c>
      <c r="Q108" s="184">
        <f t="shared" si="2"/>
        <v>4.8061458333333347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1.7190559934952488E-2</v>
      </c>
      <c r="C109" s="184">
        <f t="shared" ref="C109:Q109" si="3">STDEV(C9:C104)</f>
        <v>2.0888173435551615E-2</v>
      </c>
      <c r="D109" s="184">
        <f t="shared" si="3"/>
        <v>1.4065947433180157E-2</v>
      </c>
      <c r="E109" s="184">
        <f t="shared" si="3"/>
        <v>4.4147930339818764</v>
      </c>
      <c r="F109" s="184">
        <f t="shared" si="3"/>
        <v>12.928399369302978</v>
      </c>
      <c r="G109" s="184">
        <f t="shared" si="3"/>
        <v>7.8280930885822997</v>
      </c>
      <c r="H109" s="184">
        <f t="shared" si="3"/>
        <v>2.1077575985624595</v>
      </c>
      <c r="I109" s="184">
        <f t="shared" si="3"/>
        <v>1.0400784330663773</v>
      </c>
      <c r="J109" s="184">
        <f t="shared" si="3"/>
        <v>0.43834766253011304</v>
      </c>
      <c r="K109" s="184">
        <f t="shared" si="3"/>
        <v>72.644874332894886</v>
      </c>
      <c r="L109" s="184">
        <f t="shared" si="3"/>
        <v>3.895629484299918</v>
      </c>
      <c r="M109" s="184">
        <f t="shared" si="3"/>
        <v>12.011499456752444</v>
      </c>
      <c r="N109" s="184">
        <f t="shared" si="3"/>
        <v>223.34440221080882</v>
      </c>
      <c r="O109" s="184">
        <f t="shared" si="3"/>
        <v>0</v>
      </c>
      <c r="P109" s="184">
        <f t="shared" si="3"/>
        <v>0.18963492164886722</v>
      </c>
      <c r="Q109" s="184">
        <f t="shared" si="3"/>
        <v>1.1997349853562352E-2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8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45450.010416666664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45450.010416666664</v>
      </c>
      <c r="B9" s="112">
        <v>7.19</v>
      </c>
      <c r="C9" s="112">
        <v>6.02</v>
      </c>
      <c r="D9" s="112">
        <v>13.92</v>
      </c>
      <c r="E9" s="112">
        <v>10.3</v>
      </c>
      <c r="F9" s="112">
        <v>12.88</v>
      </c>
      <c r="G9" s="112">
        <v>33.97</v>
      </c>
      <c r="H9" s="112">
        <v>16.34</v>
      </c>
      <c r="I9" s="112">
        <v>4.6900000000000004</v>
      </c>
      <c r="J9" s="112">
        <v>0.45</v>
      </c>
      <c r="K9" s="112">
        <v>246.97</v>
      </c>
      <c r="L9" s="112">
        <v>30.92</v>
      </c>
      <c r="M9" s="112">
        <v>56.74</v>
      </c>
      <c r="N9" s="112">
        <v>0</v>
      </c>
      <c r="O9" s="112">
        <v>0</v>
      </c>
      <c r="P9" s="112">
        <v>0.94</v>
      </c>
      <c r="Q9" s="112">
        <v>4.8099999999999996</v>
      </c>
    </row>
    <row r="10" spans="1:21" customFormat="1">
      <c r="A10" s="80">
        <v>45450.020833333336</v>
      </c>
      <c r="B10" s="112">
        <v>7.17</v>
      </c>
      <c r="C10" s="112">
        <v>6.08</v>
      </c>
      <c r="D10" s="112">
        <v>13.94</v>
      </c>
      <c r="E10" s="112">
        <v>10.220000000000001</v>
      </c>
      <c r="F10" s="112">
        <v>11.69</v>
      </c>
      <c r="G10" s="112">
        <v>33.97</v>
      </c>
      <c r="H10" s="112">
        <v>16.34</v>
      </c>
      <c r="I10" s="112">
        <v>4.54</v>
      </c>
      <c r="J10" s="112">
        <v>0.6</v>
      </c>
      <c r="K10" s="112">
        <v>250.8</v>
      </c>
      <c r="L10" s="112">
        <v>30.69</v>
      </c>
      <c r="M10" s="112">
        <v>58.2</v>
      </c>
      <c r="N10" s="112">
        <v>0</v>
      </c>
      <c r="O10" s="112">
        <v>0</v>
      </c>
      <c r="P10" s="112">
        <v>0.94</v>
      </c>
      <c r="Q10" s="112">
        <v>4.82</v>
      </c>
    </row>
    <row r="11" spans="1:21" customFormat="1">
      <c r="A11" s="80">
        <v>45450.03125</v>
      </c>
      <c r="B11" s="112">
        <v>7.18</v>
      </c>
      <c r="C11" s="112">
        <v>6.08</v>
      </c>
      <c r="D11" s="112">
        <v>13.94</v>
      </c>
      <c r="E11" s="112">
        <v>10.55</v>
      </c>
      <c r="F11" s="112">
        <v>10.71</v>
      </c>
      <c r="G11" s="112">
        <v>33.97</v>
      </c>
      <c r="H11" s="112">
        <v>16.34</v>
      </c>
      <c r="I11" s="112">
        <v>4.57</v>
      </c>
      <c r="J11" s="112">
        <v>0.61</v>
      </c>
      <c r="K11" s="112">
        <v>249.09</v>
      </c>
      <c r="L11" s="112">
        <v>30.51</v>
      </c>
      <c r="M11" s="112">
        <v>59.3</v>
      </c>
      <c r="N11" s="112">
        <v>0</v>
      </c>
      <c r="O11" s="112">
        <v>0</v>
      </c>
      <c r="P11" s="112">
        <v>0.93</v>
      </c>
      <c r="Q11" s="112">
        <v>4.8099999999999996</v>
      </c>
    </row>
    <row r="12" spans="1:21" customFormat="1">
      <c r="A12" s="80">
        <v>45450.041666666664</v>
      </c>
      <c r="B12" s="112">
        <v>7.17</v>
      </c>
      <c r="C12" s="112">
        <v>6.05</v>
      </c>
      <c r="D12" s="112">
        <v>13.92</v>
      </c>
      <c r="E12" s="112">
        <v>10.53</v>
      </c>
      <c r="F12" s="112">
        <v>17.77</v>
      </c>
      <c r="G12" s="112">
        <v>32.340000000000003</v>
      </c>
      <c r="H12" s="112">
        <v>16.18</v>
      </c>
      <c r="I12" s="112">
        <v>4.67</v>
      </c>
      <c r="J12" s="112">
        <v>0.35</v>
      </c>
      <c r="K12" s="112">
        <v>250.24</v>
      </c>
      <c r="L12" s="112">
        <v>30.34</v>
      </c>
      <c r="M12" s="112">
        <v>60.31</v>
      </c>
      <c r="N12" s="112">
        <v>0</v>
      </c>
      <c r="O12" s="112">
        <v>0</v>
      </c>
      <c r="P12" s="112">
        <v>0.92</v>
      </c>
      <c r="Q12" s="112">
        <v>4.8</v>
      </c>
    </row>
    <row r="13" spans="1:21" customFormat="1">
      <c r="A13" s="80">
        <v>45450.052083333336</v>
      </c>
      <c r="B13" s="112">
        <v>7.16</v>
      </c>
      <c r="C13" s="112">
        <v>6.07</v>
      </c>
      <c r="D13" s="112">
        <v>13.93</v>
      </c>
      <c r="E13" s="112">
        <v>10.01</v>
      </c>
      <c r="F13" s="112">
        <v>18.48</v>
      </c>
      <c r="G13" s="112">
        <v>28.1</v>
      </c>
      <c r="H13" s="112">
        <v>15.9</v>
      </c>
      <c r="I13" s="112">
        <v>4.53</v>
      </c>
      <c r="J13" s="112">
        <v>0.23</v>
      </c>
      <c r="K13" s="112">
        <v>242.14</v>
      </c>
      <c r="L13" s="112">
        <v>30.26</v>
      </c>
      <c r="M13" s="112">
        <v>60.93</v>
      </c>
      <c r="N13" s="112">
        <v>0</v>
      </c>
      <c r="O13" s="112">
        <v>0</v>
      </c>
      <c r="P13" s="112">
        <v>0.91</v>
      </c>
      <c r="Q13" s="112">
        <v>4.82</v>
      </c>
    </row>
    <row r="14" spans="1:21" customFormat="1">
      <c r="A14" s="80">
        <v>45450.0625</v>
      </c>
      <c r="B14" s="112">
        <v>7.17</v>
      </c>
      <c r="C14" s="112">
        <v>6.09</v>
      </c>
      <c r="D14" s="112">
        <v>13.94</v>
      </c>
      <c r="E14" s="112">
        <v>9.81</v>
      </c>
      <c r="F14" s="112">
        <v>18.48</v>
      </c>
      <c r="G14" s="112">
        <v>28.1</v>
      </c>
      <c r="H14" s="112">
        <v>15.9</v>
      </c>
      <c r="I14" s="112">
        <v>4.3600000000000003</v>
      </c>
      <c r="J14" s="112">
        <v>0.23</v>
      </c>
      <c r="K14" s="112">
        <v>238.2</v>
      </c>
      <c r="L14" s="112">
        <v>30.2</v>
      </c>
      <c r="M14" s="112">
        <v>61.44</v>
      </c>
      <c r="N14" s="112">
        <v>0</v>
      </c>
      <c r="O14" s="112">
        <v>0</v>
      </c>
      <c r="P14" s="112">
        <v>0.9</v>
      </c>
      <c r="Q14" s="112">
        <v>4.82</v>
      </c>
    </row>
    <row r="15" spans="1:21" customFormat="1">
      <c r="A15" s="80">
        <v>45450.072916666664</v>
      </c>
      <c r="B15" s="112">
        <v>7.17</v>
      </c>
      <c r="C15" s="112">
        <v>6.06</v>
      </c>
      <c r="D15" s="112">
        <v>13.93</v>
      </c>
      <c r="E15" s="112">
        <v>9.69</v>
      </c>
      <c r="F15" s="112">
        <v>16.3</v>
      </c>
      <c r="G15" s="112">
        <v>28.1</v>
      </c>
      <c r="H15" s="112">
        <v>15.9</v>
      </c>
      <c r="I15" s="112">
        <v>4.18</v>
      </c>
      <c r="J15" s="112">
        <v>0.37</v>
      </c>
      <c r="K15" s="112">
        <v>241.46</v>
      </c>
      <c r="L15" s="112">
        <v>29.99</v>
      </c>
      <c r="M15" s="112">
        <v>61.35</v>
      </c>
      <c r="N15" s="112">
        <v>0</v>
      </c>
      <c r="O15" s="112">
        <v>0</v>
      </c>
      <c r="P15" s="112">
        <v>0.9</v>
      </c>
      <c r="Q15" s="112">
        <v>4.8099999999999996</v>
      </c>
    </row>
    <row r="16" spans="1:21" customFormat="1">
      <c r="A16" s="80">
        <v>45450.083333333336</v>
      </c>
      <c r="B16" s="112">
        <v>7.16</v>
      </c>
      <c r="C16" s="112">
        <v>6.07</v>
      </c>
      <c r="D16" s="112">
        <v>13.93</v>
      </c>
      <c r="E16" s="112">
        <v>9.7200000000000006</v>
      </c>
      <c r="F16" s="112">
        <v>19.36</v>
      </c>
      <c r="G16" s="112">
        <v>28.16</v>
      </c>
      <c r="H16" s="112">
        <v>16.09</v>
      </c>
      <c r="I16" s="112">
        <v>4.13</v>
      </c>
      <c r="J16" s="112">
        <v>0.35</v>
      </c>
      <c r="K16" s="112">
        <v>251.74</v>
      </c>
      <c r="L16" s="112">
        <v>29.92</v>
      </c>
      <c r="M16" s="112">
        <v>61.28</v>
      </c>
      <c r="N16" s="112">
        <v>0</v>
      </c>
      <c r="O16" s="112">
        <v>0</v>
      </c>
      <c r="P16" s="112">
        <v>0.9</v>
      </c>
      <c r="Q16" s="112">
        <v>4.8099999999999996</v>
      </c>
    </row>
    <row r="17" spans="1:17" customFormat="1">
      <c r="A17" s="80">
        <v>45450.09375</v>
      </c>
      <c r="B17" s="112">
        <v>7.19</v>
      </c>
      <c r="C17" s="112">
        <v>6.07</v>
      </c>
      <c r="D17" s="112">
        <v>13.95</v>
      </c>
      <c r="E17" s="112">
        <v>8.2899999999999991</v>
      </c>
      <c r="F17" s="112">
        <v>14.79</v>
      </c>
      <c r="G17" s="112">
        <v>28.32</v>
      </c>
      <c r="H17" s="112">
        <v>16.440000000000001</v>
      </c>
      <c r="I17" s="112">
        <v>4.18</v>
      </c>
      <c r="J17" s="112">
        <v>0.43</v>
      </c>
      <c r="K17" s="112">
        <v>246.38</v>
      </c>
      <c r="L17" s="112">
        <v>29.93</v>
      </c>
      <c r="M17" s="112">
        <v>60.69</v>
      </c>
      <c r="N17" s="112">
        <v>0</v>
      </c>
      <c r="O17" s="112">
        <v>0</v>
      </c>
      <c r="P17" s="112">
        <v>0.9</v>
      </c>
      <c r="Q17" s="112">
        <v>4.83</v>
      </c>
    </row>
    <row r="18" spans="1:17" customFormat="1">
      <c r="A18" s="80">
        <v>45450.104166666664</v>
      </c>
      <c r="B18" s="112">
        <v>7.19</v>
      </c>
      <c r="C18" s="112">
        <v>6.07</v>
      </c>
      <c r="D18" s="112">
        <v>13.95</v>
      </c>
      <c r="E18" s="112">
        <v>9.75</v>
      </c>
      <c r="F18" s="112">
        <v>16.940000000000001</v>
      </c>
      <c r="G18" s="112">
        <v>28.32</v>
      </c>
      <c r="H18" s="112">
        <v>16.440000000000001</v>
      </c>
      <c r="I18" s="112">
        <v>4.16</v>
      </c>
      <c r="J18" s="112">
        <v>0.39</v>
      </c>
      <c r="K18" s="112">
        <v>254.17</v>
      </c>
      <c r="L18" s="112">
        <v>29.84</v>
      </c>
      <c r="M18" s="112">
        <v>61.03</v>
      </c>
      <c r="N18" s="112">
        <v>0</v>
      </c>
      <c r="O18" s="112">
        <v>0</v>
      </c>
      <c r="P18" s="112">
        <v>0.89</v>
      </c>
      <c r="Q18" s="112">
        <v>4.8099999999999996</v>
      </c>
    </row>
    <row r="19" spans="1:17" customFormat="1">
      <c r="A19" s="80">
        <v>45450.114583333336</v>
      </c>
      <c r="B19" s="112">
        <v>7.17</v>
      </c>
      <c r="C19" s="112">
        <v>6.08</v>
      </c>
      <c r="D19" s="112">
        <v>13.94</v>
      </c>
      <c r="E19" s="112">
        <v>9.66</v>
      </c>
      <c r="F19" s="112">
        <v>15.74</v>
      </c>
      <c r="G19" s="112">
        <v>28.32</v>
      </c>
      <c r="H19" s="112">
        <v>16.440000000000001</v>
      </c>
      <c r="I19" s="112">
        <v>4.21</v>
      </c>
      <c r="J19" s="112">
        <v>0.35</v>
      </c>
      <c r="K19" s="112">
        <v>247.32</v>
      </c>
      <c r="L19" s="112">
        <v>29.95</v>
      </c>
      <c r="M19" s="112">
        <v>60.67</v>
      </c>
      <c r="N19" s="112">
        <v>0</v>
      </c>
      <c r="O19" s="112">
        <v>0</v>
      </c>
      <c r="P19" s="112">
        <v>0.89</v>
      </c>
      <c r="Q19" s="112">
        <v>4.82</v>
      </c>
    </row>
    <row r="20" spans="1:17" customFormat="1">
      <c r="A20" s="80">
        <v>45450.125</v>
      </c>
      <c r="B20" s="112">
        <v>7.18</v>
      </c>
      <c r="C20" s="112">
        <v>6.07</v>
      </c>
      <c r="D20" s="112">
        <v>13.94</v>
      </c>
      <c r="E20" s="112">
        <v>9.51</v>
      </c>
      <c r="F20" s="112">
        <v>16.95</v>
      </c>
      <c r="G20" s="112">
        <v>28.05</v>
      </c>
      <c r="H20" s="112">
        <v>15.18</v>
      </c>
      <c r="I20" s="112">
        <v>4.26</v>
      </c>
      <c r="J20" s="112">
        <v>0.47</v>
      </c>
      <c r="K20" s="112">
        <v>252.35</v>
      </c>
      <c r="L20" s="112">
        <v>29.79</v>
      </c>
      <c r="M20" s="112">
        <v>61.46</v>
      </c>
      <c r="N20" s="112">
        <v>0</v>
      </c>
      <c r="O20" s="112">
        <v>0</v>
      </c>
      <c r="P20" s="112">
        <v>0.89</v>
      </c>
      <c r="Q20" s="112">
        <v>4.8099999999999996</v>
      </c>
    </row>
    <row r="21" spans="1:17" customFormat="1">
      <c r="A21" s="80">
        <v>45450.135416666664</v>
      </c>
      <c r="B21" s="112">
        <v>7.18</v>
      </c>
      <c r="C21" s="112">
        <v>6.08</v>
      </c>
      <c r="D21" s="112">
        <v>13.94</v>
      </c>
      <c r="E21" s="112">
        <v>9.57</v>
      </c>
      <c r="F21" s="112">
        <v>17.649999999999999</v>
      </c>
      <c r="G21" s="112">
        <v>27.35</v>
      </c>
      <c r="H21" s="112">
        <v>12.81</v>
      </c>
      <c r="I21" s="112">
        <v>4.25</v>
      </c>
      <c r="J21" s="112">
        <v>0.47</v>
      </c>
      <c r="K21" s="112">
        <v>257.77</v>
      </c>
      <c r="L21" s="112">
        <v>29.68</v>
      </c>
      <c r="M21" s="112">
        <v>61.98</v>
      </c>
      <c r="N21" s="112">
        <v>0</v>
      </c>
      <c r="O21" s="112">
        <v>0</v>
      </c>
      <c r="P21" s="112">
        <v>0.89</v>
      </c>
      <c r="Q21" s="112">
        <v>4.8</v>
      </c>
    </row>
    <row r="22" spans="1:17" customFormat="1">
      <c r="A22" s="80">
        <v>45450.145833333336</v>
      </c>
      <c r="B22" s="112">
        <v>7.18</v>
      </c>
      <c r="C22" s="112">
        <v>6.09</v>
      </c>
      <c r="D22" s="112">
        <v>13.95</v>
      </c>
      <c r="E22" s="112">
        <v>9.4</v>
      </c>
      <c r="F22" s="112">
        <v>19.600000000000001</v>
      </c>
      <c r="G22" s="112">
        <v>27.35</v>
      </c>
      <c r="H22" s="112">
        <v>12.81</v>
      </c>
      <c r="I22" s="112">
        <v>4.13</v>
      </c>
      <c r="J22" s="112">
        <v>0.28000000000000003</v>
      </c>
      <c r="K22" s="112">
        <v>244.54</v>
      </c>
      <c r="L22" s="112">
        <v>29.76</v>
      </c>
      <c r="M22" s="112">
        <v>61.77</v>
      </c>
      <c r="N22" s="112">
        <v>0</v>
      </c>
      <c r="O22" s="112">
        <v>0</v>
      </c>
      <c r="P22" s="112">
        <v>0.87</v>
      </c>
      <c r="Q22" s="112">
        <v>4.8099999999999996</v>
      </c>
    </row>
    <row r="23" spans="1:17" customFormat="1">
      <c r="A23" s="80">
        <v>45450.15625</v>
      </c>
      <c r="B23" s="112">
        <v>7.19</v>
      </c>
      <c r="C23" s="112">
        <v>6.08</v>
      </c>
      <c r="D23" s="112">
        <v>13.95</v>
      </c>
      <c r="E23" s="112">
        <v>9.51</v>
      </c>
      <c r="F23" s="112">
        <v>21.33</v>
      </c>
      <c r="G23" s="112">
        <v>27.35</v>
      </c>
      <c r="H23" s="112">
        <v>12.81</v>
      </c>
      <c r="I23" s="112">
        <v>4.0999999999999996</v>
      </c>
      <c r="J23" s="112">
        <v>0.35</v>
      </c>
      <c r="K23" s="112">
        <v>266.72000000000003</v>
      </c>
      <c r="L23" s="112">
        <v>29.55</v>
      </c>
      <c r="M23" s="112">
        <v>62.49</v>
      </c>
      <c r="N23" s="112">
        <v>0</v>
      </c>
      <c r="O23" s="112">
        <v>0</v>
      </c>
      <c r="P23" s="112">
        <v>0.86</v>
      </c>
      <c r="Q23" s="112">
        <v>4.8</v>
      </c>
    </row>
    <row r="24" spans="1:17" customFormat="1">
      <c r="A24" s="80">
        <v>45450.166666666664</v>
      </c>
      <c r="B24" s="112">
        <v>7.19</v>
      </c>
      <c r="C24" s="112">
        <v>6.06</v>
      </c>
      <c r="D24" s="112">
        <v>13.94</v>
      </c>
      <c r="E24" s="112">
        <v>9.35</v>
      </c>
      <c r="F24" s="112">
        <v>22.51</v>
      </c>
      <c r="G24" s="112">
        <v>26.71</v>
      </c>
      <c r="H24" s="112">
        <v>13</v>
      </c>
      <c r="I24" s="112">
        <v>4</v>
      </c>
      <c r="J24" s="112">
        <v>0.22</v>
      </c>
      <c r="K24" s="112">
        <v>204.04</v>
      </c>
      <c r="L24" s="112">
        <v>29.36</v>
      </c>
      <c r="M24" s="112">
        <v>63.83</v>
      </c>
      <c r="N24" s="112">
        <v>0</v>
      </c>
      <c r="O24" s="112">
        <v>0</v>
      </c>
      <c r="P24" s="112">
        <v>0.87</v>
      </c>
      <c r="Q24" s="112">
        <v>4.8099999999999996</v>
      </c>
    </row>
    <row r="25" spans="1:17" customFormat="1">
      <c r="A25" s="80">
        <v>45450.177083333336</v>
      </c>
      <c r="B25" s="112">
        <v>7.2</v>
      </c>
      <c r="C25" s="112">
        <v>6.05</v>
      </c>
      <c r="D25" s="112">
        <v>13.94</v>
      </c>
      <c r="E25" s="112">
        <v>9.1</v>
      </c>
      <c r="F25" s="112">
        <v>21.06</v>
      </c>
      <c r="G25" s="112">
        <v>25.03</v>
      </c>
      <c r="H25" s="112">
        <v>13.89</v>
      </c>
      <c r="I25" s="112">
        <v>3.87</v>
      </c>
      <c r="J25" s="112">
        <v>0.2</v>
      </c>
      <c r="K25" s="112">
        <v>205.22</v>
      </c>
      <c r="L25" s="112">
        <v>29.02</v>
      </c>
      <c r="M25" s="112">
        <v>74.03</v>
      </c>
      <c r="N25" s="112">
        <v>0</v>
      </c>
      <c r="O25" s="112">
        <v>0</v>
      </c>
      <c r="P25" s="112">
        <v>0.86</v>
      </c>
      <c r="Q25" s="112">
        <v>4.8099999999999996</v>
      </c>
    </row>
    <row r="26" spans="1:17" customFormat="1">
      <c r="A26" s="80">
        <v>45450.1875</v>
      </c>
      <c r="B26" s="112">
        <v>7.21</v>
      </c>
      <c r="C26" s="112">
        <v>6.04</v>
      </c>
      <c r="D26" s="112">
        <v>13.94</v>
      </c>
      <c r="E26" s="112">
        <v>9.2799999999999994</v>
      </c>
      <c r="F26" s="112">
        <v>18.03</v>
      </c>
      <c r="G26" s="112">
        <v>25.03</v>
      </c>
      <c r="H26" s="112">
        <v>13.89</v>
      </c>
      <c r="I26" s="112">
        <v>3.72</v>
      </c>
      <c r="J26" s="112">
        <v>0.21</v>
      </c>
      <c r="K26" s="112">
        <v>225.82</v>
      </c>
      <c r="L26" s="112">
        <v>28.92</v>
      </c>
      <c r="M26" s="112">
        <v>66.78</v>
      </c>
      <c r="N26" s="112">
        <v>0</v>
      </c>
      <c r="O26" s="112">
        <v>0</v>
      </c>
      <c r="P26" s="112">
        <v>0.85</v>
      </c>
      <c r="Q26" s="112">
        <v>4.8099999999999996</v>
      </c>
    </row>
    <row r="27" spans="1:17" customFormat="1">
      <c r="A27" s="80">
        <v>45450.197916666664</v>
      </c>
      <c r="B27" s="112">
        <v>7.17</v>
      </c>
      <c r="C27" s="112">
        <v>6.05</v>
      </c>
      <c r="D27" s="112">
        <v>13.92</v>
      </c>
      <c r="E27" s="112">
        <v>9.41</v>
      </c>
      <c r="F27" s="112">
        <v>15.9</v>
      </c>
      <c r="G27" s="112">
        <v>25.03</v>
      </c>
      <c r="H27" s="112">
        <v>13.89</v>
      </c>
      <c r="I27" s="112">
        <v>3.78</v>
      </c>
      <c r="J27" s="112">
        <v>0.24</v>
      </c>
      <c r="K27" s="112">
        <v>229.97</v>
      </c>
      <c r="L27" s="112">
        <v>28.88</v>
      </c>
      <c r="M27" s="112">
        <v>67.41</v>
      </c>
      <c r="N27" s="112">
        <v>0</v>
      </c>
      <c r="O27" s="112">
        <v>0</v>
      </c>
      <c r="P27" s="112">
        <v>0.86</v>
      </c>
      <c r="Q27" s="112">
        <v>4.8</v>
      </c>
    </row>
    <row r="28" spans="1:17" customFormat="1">
      <c r="A28" s="80">
        <v>45450.208333333336</v>
      </c>
      <c r="B28" s="112">
        <v>7.16</v>
      </c>
      <c r="C28" s="112">
        <v>6.07</v>
      </c>
      <c r="D28" s="112">
        <v>13.92</v>
      </c>
      <c r="E28" s="112">
        <v>9.02</v>
      </c>
      <c r="F28" s="112">
        <v>17.2</v>
      </c>
      <c r="G28" s="112">
        <v>24.55</v>
      </c>
      <c r="H28" s="112">
        <v>13.34</v>
      </c>
      <c r="I28" s="112">
        <v>3.85</v>
      </c>
      <c r="J28" s="112">
        <v>0.21</v>
      </c>
      <c r="K28" s="112">
        <v>240.8</v>
      </c>
      <c r="L28" s="112">
        <v>28.7</v>
      </c>
      <c r="M28" s="112">
        <v>68.010000000000005</v>
      </c>
      <c r="N28" s="112">
        <v>0</v>
      </c>
      <c r="O28" s="112">
        <v>0</v>
      </c>
      <c r="P28" s="112">
        <v>0.85</v>
      </c>
      <c r="Q28" s="112">
        <v>4.8099999999999996</v>
      </c>
    </row>
    <row r="29" spans="1:17" customFormat="1">
      <c r="A29" s="80">
        <v>45450.21875</v>
      </c>
      <c r="B29" s="112">
        <v>7.17</v>
      </c>
      <c r="C29" s="112">
        <v>6.05</v>
      </c>
      <c r="D29" s="112">
        <v>13.92</v>
      </c>
      <c r="E29" s="112">
        <v>9.01</v>
      </c>
      <c r="F29" s="112">
        <v>13.95</v>
      </c>
      <c r="G29" s="112">
        <v>23.24</v>
      </c>
      <c r="H29" s="112">
        <v>12.3</v>
      </c>
      <c r="I29" s="112">
        <v>3.93</v>
      </c>
      <c r="J29" s="112">
        <v>0.26</v>
      </c>
      <c r="K29" s="112">
        <v>243.59</v>
      </c>
      <c r="L29" s="112">
        <v>28.81</v>
      </c>
      <c r="M29" s="112">
        <v>67.52</v>
      </c>
      <c r="N29" s="112">
        <v>0</v>
      </c>
      <c r="O29" s="112">
        <v>0</v>
      </c>
      <c r="P29" s="112">
        <v>0.86</v>
      </c>
      <c r="Q29" s="112">
        <v>4.8099999999999996</v>
      </c>
    </row>
    <row r="30" spans="1:17" customFormat="1">
      <c r="A30" s="80">
        <v>45450.229166666664</v>
      </c>
      <c r="B30" s="112">
        <v>7.18</v>
      </c>
      <c r="C30" s="112">
        <v>6.07</v>
      </c>
      <c r="D30" s="112">
        <v>13.94</v>
      </c>
      <c r="E30" s="112">
        <v>9.33</v>
      </c>
      <c r="F30" s="112">
        <v>10.45</v>
      </c>
      <c r="G30" s="112">
        <v>23.24</v>
      </c>
      <c r="H30" s="112">
        <v>12.3</v>
      </c>
      <c r="I30" s="112">
        <v>3.91</v>
      </c>
      <c r="J30" s="112">
        <v>0.51</v>
      </c>
      <c r="K30" s="112">
        <v>251.96</v>
      </c>
      <c r="L30" s="112">
        <v>28.94</v>
      </c>
      <c r="M30" s="112">
        <v>65.989999999999995</v>
      </c>
      <c r="N30" s="112">
        <v>1.6</v>
      </c>
      <c r="O30" s="112">
        <v>0</v>
      </c>
      <c r="P30" s="112">
        <v>0.88</v>
      </c>
      <c r="Q30" s="112">
        <v>4.82</v>
      </c>
    </row>
    <row r="31" spans="1:17" customFormat="1">
      <c r="A31" s="80">
        <v>45450.239583333336</v>
      </c>
      <c r="B31" s="112">
        <v>7.18</v>
      </c>
      <c r="C31" s="112">
        <v>6.08</v>
      </c>
      <c r="D31" s="112">
        <v>13.94</v>
      </c>
      <c r="E31" s="112">
        <v>9.4</v>
      </c>
      <c r="F31" s="112">
        <v>10.33</v>
      </c>
      <c r="G31" s="112">
        <v>23.24</v>
      </c>
      <c r="H31" s="112">
        <v>12.3</v>
      </c>
      <c r="I31" s="112">
        <v>4.0999999999999996</v>
      </c>
      <c r="J31" s="112">
        <v>0.41</v>
      </c>
      <c r="K31" s="112">
        <v>246.63</v>
      </c>
      <c r="L31" s="112">
        <v>29.29</v>
      </c>
      <c r="M31" s="112">
        <v>64.930000000000007</v>
      </c>
      <c r="N31" s="112">
        <v>11.7</v>
      </c>
      <c r="O31" s="112">
        <v>0</v>
      </c>
      <c r="P31" s="112">
        <v>0.89</v>
      </c>
      <c r="Q31" s="112">
        <v>4.8099999999999996</v>
      </c>
    </row>
    <row r="32" spans="1:17" customFormat="1">
      <c r="A32" s="80">
        <v>45450.25</v>
      </c>
      <c r="B32" s="112">
        <v>7.19</v>
      </c>
      <c r="C32" s="112">
        <v>6.07</v>
      </c>
      <c r="D32" s="112">
        <v>13.95</v>
      </c>
      <c r="E32" s="112">
        <v>9.32</v>
      </c>
      <c r="F32" s="112">
        <v>8.11</v>
      </c>
      <c r="G32" s="112">
        <v>22.48</v>
      </c>
      <c r="H32" s="112">
        <v>12.09</v>
      </c>
      <c r="I32" s="112">
        <v>4.3</v>
      </c>
      <c r="J32" s="112">
        <v>0.77</v>
      </c>
      <c r="K32" s="112">
        <v>252.55</v>
      </c>
      <c r="L32" s="112">
        <v>29.35</v>
      </c>
      <c r="M32" s="112">
        <v>65.209999999999994</v>
      </c>
      <c r="N32" s="112">
        <v>25.2</v>
      </c>
      <c r="O32" s="112">
        <v>0</v>
      </c>
      <c r="P32" s="112">
        <v>0.89</v>
      </c>
      <c r="Q32" s="112">
        <v>4.8</v>
      </c>
    </row>
    <row r="33" spans="1:17" customFormat="1">
      <c r="A33" s="80">
        <v>45450.260416666664</v>
      </c>
      <c r="B33" s="112">
        <v>7.21</v>
      </c>
      <c r="C33" s="112">
        <v>6.07</v>
      </c>
      <c r="D33" s="112">
        <v>13.96</v>
      </c>
      <c r="E33" s="112">
        <v>9.4600000000000009</v>
      </c>
      <c r="F33" s="112">
        <v>7.34</v>
      </c>
      <c r="G33" s="112">
        <v>20.5</v>
      </c>
      <c r="H33" s="112">
        <v>11.7</v>
      </c>
      <c r="I33" s="112">
        <v>4.3</v>
      </c>
      <c r="J33" s="112">
        <v>0.74</v>
      </c>
      <c r="K33" s="112">
        <v>253.22</v>
      </c>
      <c r="L33" s="112">
        <v>29.5</v>
      </c>
      <c r="M33" s="112">
        <v>65.349999999999994</v>
      </c>
      <c r="N33" s="112">
        <v>39</v>
      </c>
      <c r="O33" s="112">
        <v>0</v>
      </c>
      <c r="P33" s="112">
        <v>0.89</v>
      </c>
      <c r="Q33" s="112">
        <v>4.8099999999999996</v>
      </c>
    </row>
    <row r="34" spans="1:17" customFormat="1">
      <c r="A34" s="80">
        <v>45450.270833333336</v>
      </c>
      <c r="B34" s="112">
        <v>7.18</v>
      </c>
      <c r="C34" s="112">
        <v>6.08</v>
      </c>
      <c r="D34" s="112">
        <v>13.95</v>
      </c>
      <c r="E34" s="112">
        <v>9.5299999999999994</v>
      </c>
      <c r="F34" s="112">
        <v>7.83</v>
      </c>
      <c r="G34" s="112">
        <v>20.5</v>
      </c>
      <c r="H34" s="112">
        <v>11.7</v>
      </c>
      <c r="I34" s="112">
        <v>4.34</v>
      </c>
      <c r="J34" s="112">
        <v>0.77</v>
      </c>
      <c r="K34" s="112">
        <v>251.27</v>
      </c>
      <c r="L34" s="112">
        <v>29.71</v>
      </c>
      <c r="M34" s="112">
        <v>65.319999999999993</v>
      </c>
      <c r="N34" s="112">
        <v>52.6</v>
      </c>
      <c r="O34" s="112">
        <v>0</v>
      </c>
      <c r="P34" s="112">
        <v>0.89</v>
      </c>
      <c r="Q34" s="112">
        <v>4.8099999999999996</v>
      </c>
    </row>
    <row r="35" spans="1:17" customFormat="1">
      <c r="A35" s="80">
        <v>45450.28125</v>
      </c>
      <c r="B35" s="112">
        <v>7.18</v>
      </c>
      <c r="C35" s="112">
        <v>6.06</v>
      </c>
      <c r="D35" s="112">
        <v>13.94</v>
      </c>
      <c r="E35" s="112">
        <v>9.43</v>
      </c>
      <c r="F35" s="112">
        <v>7.32</v>
      </c>
      <c r="G35" s="112">
        <v>20.5</v>
      </c>
      <c r="H35" s="112">
        <v>11.7</v>
      </c>
      <c r="I35" s="112">
        <v>4.37</v>
      </c>
      <c r="J35" s="112">
        <v>0.92</v>
      </c>
      <c r="K35" s="112">
        <v>256.85000000000002</v>
      </c>
      <c r="L35" s="112">
        <v>29.85</v>
      </c>
      <c r="M35" s="112">
        <v>64.349999999999994</v>
      </c>
      <c r="N35" s="112">
        <v>65.8</v>
      </c>
      <c r="O35" s="112">
        <v>0</v>
      </c>
      <c r="P35" s="112">
        <v>0.9</v>
      </c>
      <c r="Q35" s="112">
        <v>4.8099999999999996</v>
      </c>
    </row>
    <row r="36" spans="1:17" customFormat="1">
      <c r="A36" s="80">
        <v>45450.291666666664</v>
      </c>
      <c r="B36" s="112">
        <v>7.2</v>
      </c>
      <c r="C36" s="112">
        <v>6.05</v>
      </c>
      <c r="D36" s="112">
        <v>13.94</v>
      </c>
      <c r="E36" s="112">
        <v>9.84</v>
      </c>
      <c r="F36" s="112">
        <v>7.51</v>
      </c>
      <c r="G36" s="112">
        <v>21.53</v>
      </c>
      <c r="H36" s="112">
        <v>11.95</v>
      </c>
      <c r="I36" s="112">
        <v>4.3899999999999997</v>
      </c>
      <c r="J36" s="112">
        <v>1.17</v>
      </c>
      <c r="K36" s="112">
        <v>260.3</v>
      </c>
      <c r="L36" s="112">
        <v>30.23</v>
      </c>
      <c r="M36" s="112">
        <v>62.08</v>
      </c>
      <c r="N36" s="112">
        <v>78.8</v>
      </c>
      <c r="O36" s="112">
        <v>0</v>
      </c>
      <c r="P36" s="112">
        <v>0.89</v>
      </c>
      <c r="Q36" s="112">
        <v>4.79</v>
      </c>
    </row>
    <row r="37" spans="1:17" customFormat="1">
      <c r="A37" s="80">
        <v>45450.302083333336</v>
      </c>
      <c r="B37" s="112">
        <v>7.19</v>
      </c>
      <c r="C37" s="112">
        <v>6.07</v>
      </c>
      <c r="D37" s="112">
        <v>13.95</v>
      </c>
      <c r="E37" s="112">
        <v>9.4</v>
      </c>
      <c r="F37" s="112">
        <v>6.98</v>
      </c>
      <c r="G37" s="112">
        <v>24.34</v>
      </c>
      <c r="H37" s="112">
        <v>12.41</v>
      </c>
      <c r="I37" s="112">
        <v>4.4000000000000004</v>
      </c>
      <c r="J37" s="112">
        <v>1.23</v>
      </c>
      <c r="K37" s="112">
        <v>258.85000000000002</v>
      </c>
      <c r="L37" s="112">
        <v>30.64</v>
      </c>
      <c r="M37" s="112">
        <v>60.57</v>
      </c>
      <c r="N37" s="112">
        <v>90.3</v>
      </c>
      <c r="O37" s="112">
        <v>0</v>
      </c>
      <c r="P37" s="112">
        <v>0.89</v>
      </c>
      <c r="Q37" s="112">
        <v>4.8099999999999996</v>
      </c>
    </row>
    <row r="38" spans="1:17" customFormat="1">
      <c r="A38" s="80">
        <v>45450.3125</v>
      </c>
      <c r="B38" s="112">
        <v>7.2</v>
      </c>
      <c r="C38" s="112">
        <v>6.08</v>
      </c>
      <c r="D38" s="112">
        <v>13.96</v>
      </c>
      <c r="E38" s="112">
        <v>9.35</v>
      </c>
      <c r="F38" s="112">
        <v>7.84</v>
      </c>
      <c r="G38" s="112">
        <v>24.34</v>
      </c>
      <c r="H38" s="112">
        <v>12.41</v>
      </c>
      <c r="I38" s="112">
        <v>4.43</v>
      </c>
      <c r="J38" s="112">
        <v>1.06</v>
      </c>
      <c r="K38" s="112">
        <v>258.08999999999997</v>
      </c>
      <c r="L38" s="112">
        <v>31.12</v>
      </c>
      <c r="M38" s="112">
        <v>59.56</v>
      </c>
      <c r="N38" s="112">
        <v>100.9</v>
      </c>
      <c r="O38" s="112">
        <v>0</v>
      </c>
      <c r="P38" s="112">
        <v>0.89</v>
      </c>
      <c r="Q38" s="112">
        <v>4.8</v>
      </c>
    </row>
    <row r="39" spans="1:17" customFormat="1">
      <c r="A39" s="80">
        <v>45450.322916666664</v>
      </c>
      <c r="B39" s="112">
        <v>7.22</v>
      </c>
      <c r="C39" s="112">
        <v>6.1</v>
      </c>
      <c r="D39" s="112">
        <v>13.98</v>
      </c>
      <c r="E39" s="112">
        <v>9.4600000000000009</v>
      </c>
      <c r="F39" s="112">
        <v>8.83</v>
      </c>
      <c r="G39" s="112">
        <v>24.34</v>
      </c>
      <c r="H39" s="112">
        <v>12.41</v>
      </c>
      <c r="I39" s="112">
        <v>4.42</v>
      </c>
      <c r="J39" s="112">
        <v>0.97</v>
      </c>
      <c r="K39" s="112">
        <v>258.95</v>
      </c>
      <c r="L39" s="112">
        <v>31.75</v>
      </c>
      <c r="M39" s="112">
        <v>58.6</v>
      </c>
      <c r="N39" s="112">
        <v>110.9</v>
      </c>
      <c r="O39" s="112">
        <v>0</v>
      </c>
      <c r="P39" s="112">
        <v>0.89</v>
      </c>
      <c r="Q39" s="112">
        <v>4.79</v>
      </c>
    </row>
    <row r="40" spans="1:17" customFormat="1">
      <c r="A40" s="80">
        <v>45450.333333333336</v>
      </c>
      <c r="B40" s="112">
        <v>7.21</v>
      </c>
      <c r="C40" s="112">
        <v>6.11</v>
      </c>
      <c r="D40" s="112">
        <v>13.98</v>
      </c>
      <c r="E40" s="112">
        <v>9.6300000000000008</v>
      </c>
      <c r="F40" s="112">
        <v>8.7200000000000006</v>
      </c>
      <c r="G40" s="112">
        <v>23.61</v>
      </c>
      <c r="H40" s="112">
        <v>12.86</v>
      </c>
      <c r="I40" s="112">
        <v>4.41</v>
      </c>
      <c r="J40" s="112">
        <v>1.07</v>
      </c>
      <c r="K40" s="112">
        <v>263.36</v>
      </c>
      <c r="L40" s="112">
        <v>32.04</v>
      </c>
      <c r="M40" s="112">
        <v>57.61</v>
      </c>
      <c r="N40" s="112">
        <v>121.8</v>
      </c>
      <c r="O40" s="112">
        <v>0</v>
      </c>
      <c r="P40" s="112">
        <v>0.89</v>
      </c>
      <c r="Q40" s="112">
        <v>4.82</v>
      </c>
    </row>
    <row r="41" spans="1:17" customFormat="1">
      <c r="A41" s="80">
        <v>45450.34375</v>
      </c>
      <c r="B41" s="112">
        <v>7.18</v>
      </c>
      <c r="C41" s="112">
        <v>6.1</v>
      </c>
      <c r="D41" s="112">
        <v>13.95</v>
      </c>
      <c r="E41" s="112">
        <v>9.73</v>
      </c>
      <c r="F41" s="112">
        <v>7.4</v>
      </c>
      <c r="G41" s="112">
        <v>21.71</v>
      </c>
      <c r="H41" s="112">
        <v>13.68</v>
      </c>
      <c r="I41" s="112">
        <v>4.33</v>
      </c>
      <c r="J41" s="112">
        <v>1.33</v>
      </c>
      <c r="K41" s="112">
        <v>262.11</v>
      </c>
      <c r="L41" s="112">
        <v>32.54</v>
      </c>
      <c r="M41" s="112">
        <v>55.34</v>
      </c>
      <c r="N41" s="112">
        <v>132.19999999999999</v>
      </c>
      <c r="O41" s="112">
        <v>0</v>
      </c>
      <c r="P41" s="112">
        <v>0.88</v>
      </c>
      <c r="Q41" s="112">
        <v>4.83</v>
      </c>
    </row>
    <row r="42" spans="1:17" customFormat="1">
      <c r="A42" s="80">
        <v>45450.354166666664</v>
      </c>
      <c r="B42" s="112">
        <v>7.18</v>
      </c>
      <c r="C42" s="112">
        <v>6.1</v>
      </c>
      <c r="D42" s="112">
        <v>13.96</v>
      </c>
      <c r="E42" s="112">
        <v>10.45</v>
      </c>
      <c r="F42" s="112">
        <v>8.42</v>
      </c>
      <c r="G42" s="112">
        <v>21.71</v>
      </c>
      <c r="H42" s="112">
        <v>13.68</v>
      </c>
      <c r="I42" s="112">
        <v>4.29</v>
      </c>
      <c r="J42" s="112">
        <v>1.31</v>
      </c>
      <c r="K42" s="112">
        <v>259.39999999999998</v>
      </c>
      <c r="L42" s="112">
        <v>32.729999999999997</v>
      </c>
      <c r="M42" s="112">
        <v>55.42</v>
      </c>
      <c r="N42" s="112">
        <v>140.4</v>
      </c>
      <c r="O42" s="112">
        <v>0</v>
      </c>
      <c r="P42" s="112">
        <v>0.88</v>
      </c>
      <c r="Q42" s="112">
        <v>4.83</v>
      </c>
    </row>
    <row r="43" spans="1:17" customFormat="1">
      <c r="A43" s="80">
        <v>45450.364583333336</v>
      </c>
      <c r="B43" s="112">
        <v>7.19</v>
      </c>
      <c r="C43" s="112">
        <v>6.09</v>
      </c>
      <c r="D43" s="112">
        <v>13.95</v>
      </c>
      <c r="E43" s="112">
        <v>9.85</v>
      </c>
      <c r="F43" s="112">
        <v>9.93</v>
      </c>
      <c r="G43" s="112">
        <v>21.71</v>
      </c>
      <c r="H43" s="112">
        <v>13.68</v>
      </c>
      <c r="I43" s="112">
        <v>4.33</v>
      </c>
      <c r="J43" s="112">
        <v>1.49</v>
      </c>
      <c r="K43" s="112">
        <v>273.10000000000002</v>
      </c>
      <c r="L43" s="112">
        <v>33.200000000000003</v>
      </c>
      <c r="M43" s="112">
        <v>53.82</v>
      </c>
      <c r="N43" s="112">
        <v>148.69999999999999</v>
      </c>
      <c r="O43" s="112">
        <v>0</v>
      </c>
      <c r="P43" s="112">
        <v>0.87</v>
      </c>
      <c r="Q43" s="112">
        <v>4.84</v>
      </c>
    </row>
    <row r="44" spans="1:17" customFormat="1">
      <c r="A44" s="80">
        <v>45450.375</v>
      </c>
      <c r="B44" s="112">
        <v>7.19</v>
      </c>
      <c r="C44" s="112">
        <v>6.08</v>
      </c>
      <c r="D44" s="112">
        <v>13.95</v>
      </c>
      <c r="E44" s="112">
        <v>10.45</v>
      </c>
      <c r="F44" s="112">
        <v>11.31</v>
      </c>
      <c r="G44" s="112">
        <v>24.32</v>
      </c>
      <c r="H44" s="112">
        <v>13.91</v>
      </c>
      <c r="I44" s="112">
        <v>4.2300000000000004</v>
      </c>
      <c r="J44" s="112">
        <v>1.26</v>
      </c>
      <c r="K44" s="112">
        <v>265.91000000000003</v>
      </c>
      <c r="L44" s="112">
        <v>33.590000000000003</v>
      </c>
      <c r="M44" s="112">
        <v>52.66</v>
      </c>
      <c r="N44" s="112">
        <v>155.19999999999999</v>
      </c>
      <c r="O44" s="112">
        <v>0</v>
      </c>
      <c r="P44" s="112">
        <v>0.87</v>
      </c>
      <c r="Q44" s="112">
        <v>4.82</v>
      </c>
    </row>
    <row r="45" spans="1:17" customFormat="1">
      <c r="A45" s="80">
        <v>45450.385416666664</v>
      </c>
      <c r="B45" s="112">
        <v>7.23</v>
      </c>
      <c r="C45" s="112">
        <v>6.07</v>
      </c>
      <c r="D45" s="112">
        <v>13.98</v>
      </c>
      <c r="E45" s="112">
        <v>11</v>
      </c>
      <c r="F45" s="112">
        <v>10.46</v>
      </c>
      <c r="G45" s="112">
        <v>31.12</v>
      </c>
      <c r="H45" s="112">
        <v>14.33</v>
      </c>
      <c r="I45" s="112">
        <v>4.13</v>
      </c>
      <c r="J45" s="112">
        <v>1.36</v>
      </c>
      <c r="K45" s="112">
        <v>267.94</v>
      </c>
      <c r="L45" s="112">
        <v>33.979999999999997</v>
      </c>
      <c r="M45" s="112">
        <v>51.69</v>
      </c>
      <c r="N45" s="112">
        <v>165.4</v>
      </c>
      <c r="O45" s="112">
        <v>0</v>
      </c>
      <c r="P45" s="112">
        <v>0.86</v>
      </c>
      <c r="Q45" s="112">
        <v>4.83</v>
      </c>
    </row>
    <row r="46" spans="1:17" customFormat="1">
      <c r="A46" s="80">
        <v>45450.395833333336</v>
      </c>
      <c r="B46" s="112">
        <v>7.23</v>
      </c>
      <c r="C46" s="112">
        <v>6.04</v>
      </c>
      <c r="D46" s="112">
        <v>13.96</v>
      </c>
      <c r="E46" s="112">
        <v>11.04</v>
      </c>
      <c r="F46" s="112">
        <v>11.67</v>
      </c>
      <c r="G46" s="112">
        <v>31.12</v>
      </c>
      <c r="H46" s="112">
        <v>14.33</v>
      </c>
      <c r="I46" s="112">
        <v>4.07</v>
      </c>
      <c r="J46" s="112">
        <v>1.3</v>
      </c>
      <c r="K46" s="112">
        <v>275.07</v>
      </c>
      <c r="L46" s="112">
        <v>34.590000000000003</v>
      </c>
      <c r="M46" s="112">
        <v>50.62</v>
      </c>
      <c r="N46" s="112">
        <v>172.1</v>
      </c>
      <c r="O46" s="112">
        <v>0</v>
      </c>
      <c r="P46" s="112">
        <v>0.86</v>
      </c>
      <c r="Q46" s="112">
        <v>4.8</v>
      </c>
    </row>
    <row r="47" spans="1:17" customFormat="1">
      <c r="A47" s="80">
        <v>45450.40625</v>
      </c>
      <c r="B47" s="112">
        <v>7.21</v>
      </c>
      <c r="C47" s="112">
        <v>6.07</v>
      </c>
      <c r="D47" s="112">
        <v>13.96</v>
      </c>
      <c r="E47" s="112">
        <v>12.2</v>
      </c>
      <c r="F47" s="112">
        <v>12.58</v>
      </c>
      <c r="G47" s="112">
        <v>31.12</v>
      </c>
      <c r="H47" s="112">
        <v>14.33</v>
      </c>
      <c r="I47" s="112">
        <v>4.0999999999999996</v>
      </c>
      <c r="J47" s="112">
        <v>0.87</v>
      </c>
      <c r="K47" s="112">
        <v>270.27999999999997</v>
      </c>
      <c r="L47" s="112">
        <v>35.229999999999997</v>
      </c>
      <c r="M47" s="112">
        <v>48.79</v>
      </c>
      <c r="N47" s="112">
        <v>179.5</v>
      </c>
      <c r="O47" s="112">
        <v>0</v>
      </c>
      <c r="P47" s="112">
        <v>0.86</v>
      </c>
      <c r="Q47" s="112">
        <v>4.8099999999999996</v>
      </c>
    </row>
    <row r="48" spans="1:17" customFormat="1">
      <c r="A48" s="80">
        <v>45450.416666666664</v>
      </c>
      <c r="B48" s="112">
        <v>7.23</v>
      </c>
      <c r="C48" s="112">
        <v>6.08</v>
      </c>
      <c r="D48" s="112">
        <v>13.98</v>
      </c>
      <c r="E48" s="112">
        <v>14.25</v>
      </c>
      <c r="F48" s="112">
        <v>14.96</v>
      </c>
      <c r="G48" s="112">
        <v>30.75</v>
      </c>
      <c r="H48" s="112">
        <v>14.08</v>
      </c>
      <c r="I48" s="112">
        <v>4.03</v>
      </c>
      <c r="J48" s="112">
        <v>1.1000000000000001</v>
      </c>
      <c r="K48" s="112">
        <v>268.06</v>
      </c>
      <c r="L48" s="112">
        <v>35.75</v>
      </c>
      <c r="M48" s="112">
        <v>46.66</v>
      </c>
      <c r="N48" s="112">
        <v>191.1</v>
      </c>
      <c r="O48" s="112">
        <v>0</v>
      </c>
      <c r="P48" s="112">
        <v>0.88</v>
      </c>
      <c r="Q48" s="112">
        <v>4.8</v>
      </c>
    </row>
    <row r="49" spans="1:17" customFormat="1">
      <c r="A49" s="80">
        <v>45450.427083333336</v>
      </c>
      <c r="B49" s="112">
        <v>7.23</v>
      </c>
      <c r="C49" s="112">
        <v>6.09</v>
      </c>
      <c r="D49" s="112">
        <v>13.99</v>
      </c>
      <c r="E49" s="112">
        <v>11.55</v>
      </c>
      <c r="F49" s="112">
        <v>16.12</v>
      </c>
      <c r="G49" s="112">
        <v>29.79</v>
      </c>
      <c r="H49" s="112">
        <v>13.03</v>
      </c>
      <c r="I49" s="112">
        <v>4.12</v>
      </c>
      <c r="J49" s="112">
        <v>0.86</v>
      </c>
      <c r="K49" s="112">
        <v>270.20999999999998</v>
      </c>
      <c r="L49" s="112">
        <v>36.19</v>
      </c>
      <c r="M49" s="112">
        <v>46.04</v>
      </c>
      <c r="N49" s="112">
        <v>199.8</v>
      </c>
      <c r="O49" s="112">
        <v>0</v>
      </c>
      <c r="P49" s="112">
        <v>0.92</v>
      </c>
      <c r="Q49" s="112">
        <v>4.8</v>
      </c>
    </row>
    <row r="50" spans="1:17" customFormat="1">
      <c r="A50" s="80">
        <v>45450.4375</v>
      </c>
      <c r="B50" s="112">
        <v>7.21</v>
      </c>
      <c r="C50" s="112">
        <v>6.09</v>
      </c>
      <c r="D50" s="112">
        <v>13.98</v>
      </c>
      <c r="E50" s="112">
        <v>18.170000000000002</v>
      </c>
      <c r="F50" s="112">
        <v>18.98</v>
      </c>
      <c r="G50" s="112">
        <v>29.79</v>
      </c>
      <c r="H50" s="112">
        <v>13.03</v>
      </c>
      <c r="I50" s="112">
        <v>4.45</v>
      </c>
      <c r="J50" s="112">
        <v>1.23</v>
      </c>
      <c r="K50" s="112">
        <v>285.39999999999998</v>
      </c>
      <c r="L50" s="112">
        <v>36.450000000000003</v>
      </c>
      <c r="M50" s="112">
        <v>44.46</v>
      </c>
      <c r="N50" s="112">
        <v>206.2</v>
      </c>
      <c r="O50" s="112">
        <v>0</v>
      </c>
      <c r="P50" s="112">
        <v>0.93</v>
      </c>
      <c r="Q50" s="112">
        <v>4.78</v>
      </c>
    </row>
    <row r="51" spans="1:17" customFormat="1">
      <c r="A51" s="80">
        <v>45450.447916666664</v>
      </c>
      <c r="B51" s="112">
        <v>7.19</v>
      </c>
      <c r="C51" s="112">
        <v>6.1</v>
      </c>
      <c r="D51" s="112">
        <v>13.96</v>
      </c>
      <c r="E51" s="112">
        <v>22.58</v>
      </c>
      <c r="F51" s="112">
        <v>24.25</v>
      </c>
      <c r="G51" s="112">
        <v>29.79</v>
      </c>
      <c r="H51" s="112">
        <v>13.03</v>
      </c>
      <c r="I51" s="112">
        <v>4.99</v>
      </c>
      <c r="J51" s="112">
        <v>1.07</v>
      </c>
      <c r="K51" s="112">
        <v>293.19</v>
      </c>
      <c r="L51" s="112">
        <v>36.83</v>
      </c>
      <c r="M51" s="112">
        <v>42.55</v>
      </c>
      <c r="N51" s="112">
        <v>214</v>
      </c>
      <c r="O51" s="112">
        <v>0</v>
      </c>
      <c r="P51" s="112">
        <v>0.97</v>
      </c>
      <c r="Q51" s="112">
        <v>4.79</v>
      </c>
    </row>
    <row r="52" spans="1:17" customFormat="1">
      <c r="A52" s="80">
        <v>45450.458333333336</v>
      </c>
      <c r="B52" s="112">
        <v>7.18</v>
      </c>
      <c r="C52" s="112">
        <v>6.07</v>
      </c>
      <c r="D52" s="112">
        <v>13.94</v>
      </c>
      <c r="E52" s="112">
        <v>23.07</v>
      </c>
      <c r="F52" s="112">
        <v>23.98</v>
      </c>
      <c r="G52" s="112">
        <v>31.09</v>
      </c>
      <c r="H52" s="112">
        <v>13.49</v>
      </c>
      <c r="I52" s="112">
        <v>5.24</v>
      </c>
      <c r="J52" s="112">
        <v>1.1200000000000001</v>
      </c>
      <c r="K52" s="112">
        <v>266.05</v>
      </c>
      <c r="L52" s="112">
        <v>37.03</v>
      </c>
      <c r="M52" s="112">
        <v>43.02</v>
      </c>
      <c r="N52" s="112">
        <v>226.8</v>
      </c>
      <c r="O52" s="112">
        <v>0</v>
      </c>
      <c r="P52" s="112">
        <v>0.99</v>
      </c>
      <c r="Q52" s="112">
        <v>4.8</v>
      </c>
    </row>
    <row r="53" spans="1:17" customFormat="1">
      <c r="A53" s="80">
        <v>45450.46875</v>
      </c>
      <c r="B53" s="112">
        <v>7.18</v>
      </c>
      <c r="C53" s="112">
        <v>6.05</v>
      </c>
      <c r="D53" s="112">
        <v>13.93</v>
      </c>
      <c r="E53" s="112">
        <v>21.79</v>
      </c>
      <c r="F53" s="112">
        <v>26.3</v>
      </c>
      <c r="G53" s="112">
        <v>34.450000000000003</v>
      </c>
      <c r="H53" s="112">
        <v>14.34</v>
      </c>
      <c r="I53" s="112">
        <v>5.96</v>
      </c>
      <c r="J53" s="112">
        <v>0.96</v>
      </c>
      <c r="K53" s="112">
        <v>275.77999999999997</v>
      </c>
      <c r="L53" s="112">
        <v>37.619999999999997</v>
      </c>
      <c r="M53" s="112">
        <v>42</v>
      </c>
      <c r="N53" s="112">
        <v>235.5</v>
      </c>
      <c r="O53" s="112">
        <v>0</v>
      </c>
      <c r="P53" s="112">
        <v>1.03</v>
      </c>
      <c r="Q53" s="112">
        <v>4.78</v>
      </c>
    </row>
    <row r="54" spans="1:17" customFormat="1">
      <c r="A54" s="80">
        <v>45450.479166666664</v>
      </c>
      <c r="B54" s="112">
        <v>7.15</v>
      </c>
      <c r="C54" s="112">
        <v>6.1</v>
      </c>
      <c r="D54" s="112">
        <v>13.93</v>
      </c>
      <c r="E54" s="112">
        <v>22.07</v>
      </c>
      <c r="F54" s="112">
        <v>27.4</v>
      </c>
      <c r="G54" s="112">
        <v>34.450000000000003</v>
      </c>
      <c r="H54" s="112">
        <v>14.34</v>
      </c>
      <c r="I54" s="112">
        <v>6.4</v>
      </c>
      <c r="J54" s="112">
        <v>0.83</v>
      </c>
      <c r="K54" s="112">
        <v>256.27999999999997</v>
      </c>
      <c r="L54" s="112">
        <v>38.1</v>
      </c>
      <c r="M54" s="112">
        <v>40.82</v>
      </c>
      <c r="N54" s="112">
        <v>245.8</v>
      </c>
      <c r="O54" s="112">
        <v>0</v>
      </c>
      <c r="P54" s="112">
        <v>1.06</v>
      </c>
      <c r="Q54" s="112">
        <v>4.78</v>
      </c>
    </row>
    <row r="55" spans="1:17" customFormat="1">
      <c r="A55" s="80">
        <v>45450.489583333336</v>
      </c>
      <c r="B55" s="112">
        <v>7.13</v>
      </c>
      <c r="C55" s="112">
        <v>6.1</v>
      </c>
      <c r="D55" s="112">
        <v>13.91</v>
      </c>
      <c r="E55" s="112">
        <v>28.1</v>
      </c>
      <c r="F55" s="112">
        <v>33.909999999999997</v>
      </c>
      <c r="G55" s="112">
        <v>34.450000000000003</v>
      </c>
      <c r="H55" s="112">
        <v>14.34</v>
      </c>
      <c r="I55" s="112">
        <v>7.1</v>
      </c>
      <c r="J55" s="112">
        <v>0.72</v>
      </c>
      <c r="K55" s="112">
        <v>279.3</v>
      </c>
      <c r="L55" s="112">
        <v>38.54</v>
      </c>
      <c r="M55" s="112">
        <v>40.03</v>
      </c>
      <c r="N55" s="112">
        <v>423.6</v>
      </c>
      <c r="O55" s="112">
        <v>0</v>
      </c>
      <c r="P55" s="112">
        <v>1.1100000000000001</v>
      </c>
      <c r="Q55" s="112">
        <v>4.8</v>
      </c>
    </row>
    <row r="56" spans="1:17" customFormat="1">
      <c r="A56" s="80">
        <v>45450.5</v>
      </c>
      <c r="B56" s="112">
        <v>7.13</v>
      </c>
      <c r="C56" s="112">
        <v>6.06</v>
      </c>
      <c r="D56" s="112">
        <v>13.9</v>
      </c>
      <c r="E56" s="112">
        <v>24.69</v>
      </c>
      <c r="F56" s="112">
        <v>32.75</v>
      </c>
      <c r="G56" s="112">
        <v>35.83</v>
      </c>
      <c r="H56" s="112">
        <v>16.64</v>
      </c>
      <c r="I56" s="112">
        <v>7.43</v>
      </c>
      <c r="J56" s="112">
        <v>0.95</v>
      </c>
      <c r="K56" s="112">
        <v>269</v>
      </c>
      <c r="L56" s="112">
        <v>38.950000000000003</v>
      </c>
      <c r="M56" s="112">
        <v>38.619999999999997</v>
      </c>
      <c r="N56" s="112">
        <v>752.5</v>
      </c>
      <c r="O56" s="112">
        <v>0</v>
      </c>
      <c r="P56" s="112">
        <v>1.1000000000000001</v>
      </c>
      <c r="Q56" s="112">
        <v>4.79</v>
      </c>
    </row>
    <row r="57" spans="1:17" customFormat="1">
      <c r="A57" s="80">
        <v>45450.510416666664</v>
      </c>
      <c r="B57" s="112">
        <v>7.16</v>
      </c>
      <c r="C57" s="112">
        <v>6.06</v>
      </c>
      <c r="D57" s="112">
        <v>13.91</v>
      </c>
      <c r="E57" s="112">
        <v>22.98</v>
      </c>
      <c r="F57" s="112">
        <v>36.950000000000003</v>
      </c>
      <c r="G57" s="112">
        <v>39.409999999999997</v>
      </c>
      <c r="H57" s="112">
        <v>20.67</v>
      </c>
      <c r="I57" s="112">
        <v>7.65</v>
      </c>
      <c r="J57" s="112">
        <v>0.75</v>
      </c>
      <c r="K57" s="112">
        <v>274.57</v>
      </c>
      <c r="L57" s="112">
        <v>39.18</v>
      </c>
      <c r="M57" s="112">
        <v>38.159999999999997</v>
      </c>
      <c r="N57" s="112">
        <v>752.1</v>
      </c>
      <c r="O57" s="112">
        <v>0</v>
      </c>
      <c r="P57" s="112">
        <v>1.1299999999999999</v>
      </c>
      <c r="Q57" s="112">
        <v>4.8</v>
      </c>
    </row>
    <row r="58" spans="1:17" customFormat="1">
      <c r="A58" s="80">
        <v>45450.520833333336</v>
      </c>
      <c r="B58" s="112">
        <v>7.15</v>
      </c>
      <c r="C58" s="112">
        <v>6.06</v>
      </c>
      <c r="D58" s="112">
        <v>13.91</v>
      </c>
      <c r="E58" s="112">
        <v>22.2</v>
      </c>
      <c r="F58" s="112">
        <v>31.22</v>
      </c>
      <c r="G58" s="112">
        <v>39.409999999999997</v>
      </c>
      <c r="H58" s="112">
        <v>20.67</v>
      </c>
      <c r="I58" s="112">
        <v>7.71</v>
      </c>
      <c r="J58" s="112">
        <v>1.07</v>
      </c>
      <c r="K58" s="112">
        <v>306.88</v>
      </c>
      <c r="L58" s="112">
        <v>39.29</v>
      </c>
      <c r="M58" s="112">
        <v>37.21</v>
      </c>
      <c r="N58" s="112">
        <v>758.5</v>
      </c>
      <c r="O58" s="112">
        <v>0</v>
      </c>
      <c r="P58" s="112">
        <v>1.1000000000000001</v>
      </c>
      <c r="Q58" s="112">
        <v>4.76</v>
      </c>
    </row>
    <row r="59" spans="1:17" customFormat="1">
      <c r="A59" s="80">
        <v>45450.53125</v>
      </c>
      <c r="B59" s="112">
        <v>7.18</v>
      </c>
      <c r="C59" s="112">
        <v>6.05</v>
      </c>
      <c r="D59" s="112">
        <v>13.93</v>
      </c>
      <c r="E59" s="112">
        <v>17.46</v>
      </c>
      <c r="F59" s="112">
        <v>23.36</v>
      </c>
      <c r="G59" s="112">
        <v>39.409999999999997</v>
      </c>
      <c r="H59" s="112">
        <v>20.67</v>
      </c>
      <c r="I59" s="112">
        <v>7.75</v>
      </c>
      <c r="J59" s="112">
        <v>1.68</v>
      </c>
      <c r="K59" s="112">
        <v>316.37</v>
      </c>
      <c r="L59" s="112">
        <v>39.44</v>
      </c>
      <c r="M59" s="112">
        <v>36.520000000000003</v>
      </c>
      <c r="N59" s="112">
        <v>742.8</v>
      </c>
      <c r="O59" s="112">
        <v>0</v>
      </c>
      <c r="P59" s="112">
        <v>1.1100000000000001</v>
      </c>
      <c r="Q59" s="112">
        <v>4.78</v>
      </c>
    </row>
    <row r="60" spans="1:17" customFormat="1">
      <c r="A60" s="80">
        <v>45450.541666666664</v>
      </c>
      <c r="B60" s="112">
        <v>7.18</v>
      </c>
      <c r="C60" s="112">
        <v>6.05</v>
      </c>
      <c r="D60" s="112">
        <v>13.93</v>
      </c>
      <c r="E60" s="112">
        <v>16.62</v>
      </c>
      <c r="F60" s="112">
        <v>35.79</v>
      </c>
      <c r="G60" s="112">
        <v>40.83</v>
      </c>
      <c r="H60" s="112">
        <v>20.84</v>
      </c>
      <c r="I60" s="112">
        <v>7.77</v>
      </c>
      <c r="J60" s="112">
        <v>0.9</v>
      </c>
      <c r="K60" s="112">
        <v>294.88</v>
      </c>
      <c r="L60" s="112">
        <v>39.57</v>
      </c>
      <c r="M60" s="112">
        <v>37.340000000000003</v>
      </c>
      <c r="N60" s="112">
        <v>692.6</v>
      </c>
      <c r="O60" s="112">
        <v>0</v>
      </c>
      <c r="P60" s="112">
        <v>1.0900000000000001</v>
      </c>
      <c r="Q60" s="112">
        <v>4.7699999999999996</v>
      </c>
    </row>
    <row r="61" spans="1:17" customFormat="1">
      <c r="A61" s="80">
        <v>45450.552083333336</v>
      </c>
      <c r="B61" s="112">
        <v>7.14</v>
      </c>
      <c r="C61" s="112">
        <v>6.07</v>
      </c>
      <c r="D61" s="112">
        <v>13.91</v>
      </c>
      <c r="E61" s="112">
        <v>15.34</v>
      </c>
      <c r="F61" s="112">
        <v>25.69</v>
      </c>
      <c r="G61" s="112">
        <v>44.54</v>
      </c>
      <c r="H61" s="112">
        <v>21.14</v>
      </c>
      <c r="I61" s="112">
        <v>7.56</v>
      </c>
      <c r="J61" s="112">
        <v>0.7</v>
      </c>
      <c r="K61" s="112">
        <v>279.11</v>
      </c>
      <c r="L61" s="112">
        <v>40.35</v>
      </c>
      <c r="M61" s="112">
        <v>36.369999999999997</v>
      </c>
      <c r="N61" s="112">
        <v>730.7</v>
      </c>
      <c r="O61" s="112">
        <v>0</v>
      </c>
      <c r="P61" s="112">
        <v>1.0900000000000001</v>
      </c>
      <c r="Q61" s="112">
        <v>4.7699999999999996</v>
      </c>
    </row>
    <row r="62" spans="1:17" customFormat="1">
      <c r="A62" s="80">
        <v>45450.5625</v>
      </c>
      <c r="B62" s="112">
        <v>7.12</v>
      </c>
      <c r="C62" s="112">
        <v>6.08</v>
      </c>
      <c r="D62" s="112">
        <v>13.89</v>
      </c>
      <c r="E62" s="112">
        <v>12.78</v>
      </c>
      <c r="F62" s="112">
        <v>17.96</v>
      </c>
      <c r="G62" s="112">
        <v>44.54</v>
      </c>
      <c r="H62" s="112">
        <v>21.14</v>
      </c>
      <c r="I62" s="112">
        <v>7.31</v>
      </c>
      <c r="J62" s="112">
        <v>1.02</v>
      </c>
      <c r="K62" s="112">
        <v>267.47000000000003</v>
      </c>
      <c r="L62" s="112">
        <v>40.229999999999997</v>
      </c>
      <c r="M62" s="112">
        <v>36.61</v>
      </c>
      <c r="N62" s="112">
        <v>326.8</v>
      </c>
      <c r="O62" s="112">
        <v>0</v>
      </c>
      <c r="P62" s="112">
        <v>1.1000000000000001</v>
      </c>
      <c r="Q62" s="112">
        <v>4.79</v>
      </c>
    </row>
    <row r="63" spans="1:17" customFormat="1">
      <c r="A63" s="80">
        <v>45450.572916666664</v>
      </c>
      <c r="B63" s="112">
        <v>7.14</v>
      </c>
      <c r="C63" s="112">
        <v>6.08</v>
      </c>
      <c r="D63" s="112">
        <v>13.91</v>
      </c>
      <c r="E63" s="112">
        <v>13.77</v>
      </c>
      <c r="F63" s="112">
        <v>27.12</v>
      </c>
      <c r="G63" s="112">
        <v>44.54</v>
      </c>
      <c r="H63" s="112">
        <v>21.14</v>
      </c>
      <c r="I63" s="112">
        <v>7.22</v>
      </c>
      <c r="J63" s="112">
        <v>0.28000000000000003</v>
      </c>
      <c r="K63" s="112">
        <v>194.47</v>
      </c>
      <c r="L63" s="112">
        <v>41.32</v>
      </c>
      <c r="M63" s="112">
        <v>35.96</v>
      </c>
      <c r="N63" s="112">
        <v>254.5</v>
      </c>
      <c r="O63" s="112">
        <v>0</v>
      </c>
      <c r="P63" s="112">
        <v>1.07</v>
      </c>
      <c r="Q63" s="112">
        <v>4.78</v>
      </c>
    </row>
    <row r="64" spans="1:17" customFormat="1">
      <c r="A64" s="80">
        <v>45450.583333333336</v>
      </c>
      <c r="B64" s="112">
        <v>7.16</v>
      </c>
      <c r="C64" s="112">
        <v>6.12</v>
      </c>
      <c r="D64" s="112">
        <v>13.94</v>
      </c>
      <c r="E64" s="112">
        <v>12.97</v>
      </c>
      <c r="F64" s="112">
        <v>24.83</v>
      </c>
      <c r="G64" s="112">
        <v>43.58</v>
      </c>
      <c r="H64" s="112">
        <v>20.05</v>
      </c>
      <c r="I64" s="112">
        <v>7.31</v>
      </c>
      <c r="J64" s="112">
        <v>1.06</v>
      </c>
      <c r="K64" s="112">
        <v>285.55</v>
      </c>
      <c r="L64" s="112">
        <v>41.1</v>
      </c>
      <c r="M64" s="112">
        <v>37.229999999999997</v>
      </c>
      <c r="N64" s="112">
        <v>649.70000000000005</v>
      </c>
      <c r="O64" s="112">
        <v>0</v>
      </c>
      <c r="P64" s="112">
        <v>1.07</v>
      </c>
      <c r="Q64" s="112">
        <v>4.78</v>
      </c>
    </row>
    <row r="65" spans="1:17" customFormat="1">
      <c r="A65" s="80">
        <v>45450.59375</v>
      </c>
      <c r="B65" s="112">
        <v>7.16</v>
      </c>
      <c r="C65" s="112">
        <v>6.1</v>
      </c>
      <c r="D65" s="112">
        <v>13.94</v>
      </c>
      <c r="E65" s="112">
        <v>12.64</v>
      </c>
      <c r="F65" s="112">
        <v>26.81</v>
      </c>
      <c r="G65" s="112">
        <v>41.07</v>
      </c>
      <c r="H65" s="112">
        <v>18.14</v>
      </c>
      <c r="I65" s="112">
        <v>6.92</v>
      </c>
      <c r="J65" s="112">
        <v>1.29</v>
      </c>
      <c r="K65" s="112">
        <v>315.13</v>
      </c>
      <c r="L65" s="112">
        <v>41.01</v>
      </c>
      <c r="M65" s="112">
        <v>33.840000000000003</v>
      </c>
      <c r="N65" s="112">
        <v>668.6</v>
      </c>
      <c r="O65" s="112">
        <v>0</v>
      </c>
      <c r="P65" s="112">
        <v>0.56999999999999995</v>
      </c>
      <c r="Q65" s="112">
        <v>4.79</v>
      </c>
    </row>
    <row r="66" spans="1:17" customFormat="1">
      <c r="A66" s="80">
        <v>45450.604166666664</v>
      </c>
      <c r="B66" s="112">
        <v>7.2</v>
      </c>
      <c r="C66" s="112">
        <v>6.08</v>
      </c>
      <c r="D66" s="112">
        <v>13.96</v>
      </c>
      <c r="E66" s="112">
        <v>12.71</v>
      </c>
      <c r="F66" s="112">
        <v>24.07</v>
      </c>
      <c r="G66" s="112">
        <v>41.07</v>
      </c>
      <c r="H66" s="112">
        <v>18.14</v>
      </c>
      <c r="I66" s="112">
        <v>6.76</v>
      </c>
      <c r="J66" s="112">
        <v>0.66</v>
      </c>
      <c r="K66" s="112">
        <v>252.61</v>
      </c>
      <c r="L66" s="112">
        <v>41.48</v>
      </c>
      <c r="M66" s="112">
        <v>33.5</v>
      </c>
      <c r="N66" s="112">
        <v>606.4</v>
      </c>
      <c r="O66" s="112">
        <v>0</v>
      </c>
      <c r="P66" s="112">
        <v>0.56999999999999995</v>
      </c>
      <c r="Q66" s="112">
        <v>4.78</v>
      </c>
    </row>
    <row r="67" spans="1:17" customFormat="1">
      <c r="A67" s="80">
        <v>45450.614583333336</v>
      </c>
      <c r="B67" s="112">
        <v>7.23</v>
      </c>
      <c r="C67" s="112">
        <v>6.11</v>
      </c>
      <c r="D67" s="112">
        <v>14</v>
      </c>
      <c r="E67" s="112">
        <v>11.8</v>
      </c>
      <c r="F67" s="112">
        <v>22.28</v>
      </c>
      <c r="G67" s="112">
        <v>41.07</v>
      </c>
      <c r="H67" s="112">
        <v>18.14</v>
      </c>
      <c r="I67" s="112">
        <v>6.56</v>
      </c>
      <c r="J67" s="112">
        <v>0.63</v>
      </c>
      <c r="K67" s="112">
        <v>283.43</v>
      </c>
      <c r="L67" s="112">
        <v>41.69</v>
      </c>
      <c r="M67" s="112">
        <v>33.33</v>
      </c>
      <c r="N67" s="112">
        <v>613.20000000000005</v>
      </c>
      <c r="O67" s="112">
        <v>0</v>
      </c>
      <c r="P67" s="112">
        <v>0.56999999999999995</v>
      </c>
      <c r="Q67" s="112">
        <v>4.78</v>
      </c>
    </row>
    <row r="68" spans="1:17" customFormat="1">
      <c r="A68" s="80">
        <v>45450.625</v>
      </c>
      <c r="B68" s="112">
        <v>7.24</v>
      </c>
      <c r="C68" s="112">
        <v>6.1</v>
      </c>
      <c r="D68" s="112">
        <v>14</v>
      </c>
      <c r="E68" s="112">
        <v>10.94</v>
      </c>
      <c r="F68" s="112">
        <v>17.53</v>
      </c>
      <c r="G68" s="112">
        <v>41.67</v>
      </c>
      <c r="H68" s="112">
        <v>18.600000000000001</v>
      </c>
      <c r="I68" s="112">
        <v>6.61</v>
      </c>
      <c r="J68" s="112">
        <v>1.1000000000000001</v>
      </c>
      <c r="K68" s="112">
        <v>302.18</v>
      </c>
      <c r="L68" s="112">
        <v>41.41</v>
      </c>
      <c r="M68" s="112">
        <v>32.630000000000003</v>
      </c>
      <c r="N68" s="112">
        <v>587.9</v>
      </c>
      <c r="O68" s="112">
        <v>0</v>
      </c>
      <c r="P68" s="112">
        <v>0.56999999999999995</v>
      </c>
      <c r="Q68" s="112">
        <v>4.8</v>
      </c>
    </row>
    <row r="69" spans="1:17" customFormat="1">
      <c r="A69" s="80">
        <v>45450.635416666664</v>
      </c>
      <c r="B69" s="112">
        <v>7.24</v>
      </c>
      <c r="C69" s="112">
        <v>6.07</v>
      </c>
      <c r="D69" s="112">
        <v>13.99</v>
      </c>
      <c r="E69" s="112">
        <v>11.04</v>
      </c>
      <c r="F69" s="112">
        <v>17.71</v>
      </c>
      <c r="G69" s="112">
        <v>43.25</v>
      </c>
      <c r="H69" s="112">
        <v>19.39</v>
      </c>
      <c r="I69" s="112">
        <v>6.57</v>
      </c>
      <c r="J69" s="112">
        <v>0.99</v>
      </c>
      <c r="K69" s="112">
        <v>292.19</v>
      </c>
      <c r="L69" s="112">
        <v>41.68</v>
      </c>
      <c r="M69" s="112">
        <v>31.61</v>
      </c>
      <c r="N69" s="112">
        <v>544.20000000000005</v>
      </c>
      <c r="O69" s="112">
        <v>0</v>
      </c>
      <c r="P69" s="112">
        <v>0.55000000000000004</v>
      </c>
      <c r="Q69" s="112">
        <v>4.8</v>
      </c>
    </row>
    <row r="70" spans="1:17" customFormat="1">
      <c r="A70" s="80">
        <v>45450.645833333336</v>
      </c>
      <c r="B70" s="112">
        <v>7.25</v>
      </c>
      <c r="C70" s="112">
        <v>6.1</v>
      </c>
      <c r="D70" s="112">
        <v>14.01</v>
      </c>
      <c r="E70" s="112">
        <v>11.54</v>
      </c>
      <c r="F70" s="112">
        <v>27.6</v>
      </c>
      <c r="G70" s="112">
        <v>43.25</v>
      </c>
      <c r="H70" s="112">
        <v>19.39</v>
      </c>
      <c r="I70" s="112">
        <v>6.48</v>
      </c>
      <c r="J70" s="112">
        <v>0.39</v>
      </c>
      <c r="K70" s="112">
        <v>287.87</v>
      </c>
      <c r="L70" s="112">
        <v>41.97</v>
      </c>
      <c r="M70" s="112">
        <v>30.26</v>
      </c>
      <c r="N70" s="112">
        <v>486.1</v>
      </c>
      <c r="O70" s="112">
        <v>0</v>
      </c>
      <c r="P70" s="112">
        <v>0.5</v>
      </c>
      <c r="Q70" s="112">
        <v>4.8099999999999996</v>
      </c>
    </row>
    <row r="71" spans="1:17" customFormat="1">
      <c r="A71" s="80">
        <v>45450.65625</v>
      </c>
      <c r="B71" s="112">
        <v>7.17</v>
      </c>
      <c r="C71" s="112">
        <v>6.11</v>
      </c>
      <c r="D71" s="112">
        <v>13.95</v>
      </c>
      <c r="E71" s="112">
        <v>11.76</v>
      </c>
      <c r="F71" s="112">
        <v>21.65</v>
      </c>
      <c r="G71" s="112">
        <v>43.25</v>
      </c>
      <c r="H71" s="112">
        <v>19.39</v>
      </c>
      <c r="I71" s="112">
        <v>6.16</v>
      </c>
      <c r="J71" s="112">
        <v>1.27</v>
      </c>
      <c r="K71" s="112">
        <v>303.07</v>
      </c>
      <c r="L71" s="112">
        <v>41.62</v>
      </c>
      <c r="M71" s="112">
        <v>31.51</v>
      </c>
      <c r="N71" s="112">
        <v>432.3</v>
      </c>
      <c r="O71" s="112">
        <v>0</v>
      </c>
      <c r="P71" s="112">
        <v>0.5</v>
      </c>
      <c r="Q71" s="112">
        <v>4.82</v>
      </c>
    </row>
    <row r="72" spans="1:17" customFormat="1">
      <c r="A72" s="80">
        <v>45450.666666666664</v>
      </c>
      <c r="B72" s="112">
        <v>7.15</v>
      </c>
      <c r="C72" s="112">
        <v>6.11</v>
      </c>
      <c r="D72" s="112">
        <v>13.93</v>
      </c>
      <c r="E72" s="112">
        <v>11.76</v>
      </c>
      <c r="F72" s="112">
        <v>37.42</v>
      </c>
      <c r="G72" s="112">
        <v>43.51</v>
      </c>
      <c r="H72" s="112">
        <v>19.52</v>
      </c>
      <c r="I72" s="112">
        <v>5.69</v>
      </c>
      <c r="J72" s="112">
        <v>0.9</v>
      </c>
      <c r="K72" s="112">
        <v>298.52</v>
      </c>
      <c r="L72" s="112">
        <v>40.9</v>
      </c>
      <c r="M72" s="112">
        <v>32.729999999999997</v>
      </c>
      <c r="N72" s="112">
        <v>258.89999999999998</v>
      </c>
      <c r="O72" s="112">
        <v>0</v>
      </c>
      <c r="P72" s="112">
        <v>0.47</v>
      </c>
      <c r="Q72" s="112">
        <v>4.8099999999999996</v>
      </c>
    </row>
    <row r="73" spans="1:17" customFormat="1">
      <c r="A73" s="80">
        <v>45450.677083333336</v>
      </c>
      <c r="B73" s="112">
        <v>7.17</v>
      </c>
      <c r="C73" s="112">
        <v>6.09</v>
      </c>
      <c r="D73" s="112">
        <v>13.94</v>
      </c>
      <c r="E73" s="112">
        <v>12.55</v>
      </c>
      <c r="F73" s="112">
        <v>44.63</v>
      </c>
      <c r="G73" s="112">
        <v>44.19</v>
      </c>
      <c r="H73" s="112">
        <v>20.05</v>
      </c>
      <c r="I73" s="112">
        <v>5.57</v>
      </c>
      <c r="J73" s="112">
        <v>0.52</v>
      </c>
      <c r="K73" s="112">
        <v>307.99</v>
      </c>
      <c r="L73" s="112">
        <v>40.659999999999997</v>
      </c>
      <c r="M73" s="112">
        <v>32.51</v>
      </c>
      <c r="N73" s="112">
        <v>174.4</v>
      </c>
      <c r="O73" s="112">
        <v>0</v>
      </c>
      <c r="P73" s="112">
        <v>0.43</v>
      </c>
      <c r="Q73" s="112">
        <v>4.8099999999999996</v>
      </c>
    </row>
    <row r="74" spans="1:17" customFormat="1">
      <c r="A74" s="80">
        <v>45450.6875</v>
      </c>
      <c r="B74" s="112">
        <v>7.18</v>
      </c>
      <c r="C74" s="112">
        <v>6.06</v>
      </c>
      <c r="D74" s="112">
        <v>13.93</v>
      </c>
      <c r="E74" s="112">
        <v>13.02</v>
      </c>
      <c r="F74" s="112">
        <v>49.2</v>
      </c>
      <c r="G74" s="112">
        <v>44.19</v>
      </c>
      <c r="H74" s="112">
        <v>20.05</v>
      </c>
      <c r="I74" s="112">
        <v>4.83</v>
      </c>
      <c r="J74" s="112">
        <v>0.53</v>
      </c>
      <c r="K74" s="112">
        <v>295.81</v>
      </c>
      <c r="L74" s="112">
        <v>40.56</v>
      </c>
      <c r="M74" s="112">
        <v>32.57</v>
      </c>
      <c r="N74" s="112">
        <v>165.5</v>
      </c>
      <c r="O74" s="112">
        <v>0</v>
      </c>
      <c r="P74" s="112">
        <v>0.43</v>
      </c>
      <c r="Q74" s="112">
        <v>4.8099999999999996</v>
      </c>
    </row>
    <row r="75" spans="1:17" customFormat="1">
      <c r="A75" s="80">
        <v>45450.697916666664</v>
      </c>
      <c r="B75" s="112">
        <v>7.19</v>
      </c>
      <c r="C75" s="112">
        <v>6.06</v>
      </c>
      <c r="D75" s="112">
        <v>13.94</v>
      </c>
      <c r="E75" s="112">
        <v>13.16</v>
      </c>
      <c r="F75" s="112">
        <v>53.64</v>
      </c>
      <c r="G75" s="112">
        <v>44.19</v>
      </c>
      <c r="H75" s="112">
        <v>20.05</v>
      </c>
      <c r="I75" s="112">
        <v>4.54</v>
      </c>
      <c r="J75" s="112">
        <v>0.66</v>
      </c>
      <c r="K75" s="112">
        <v>340.1</v>
      </c>
      <c r="L75" s="112">
        <v>40.619999999999997</v>
      </c>
      <c r="M75" s="112">
        <v>31.41</v>
      </c>
      <c r="N75" s="112">
        <v>103.2</v>
      </c>
      <c r="O75" s="112">
        <v>0</v>
      </c>
      <c r="P75" s="112">
        <v>0.41</v>
      </c>
      <c r="Q75" s="112">
        <v>4.82</v>
      </c>
    </row>
    <row r="76" spans="1:17" customFormat="1">
      <c r="A76" s="80">
        <v>45450.708333333336</v>
      </c>
      <c r="B76" s="112">
        <v>7.2</v>
      </c>
      <c r="C76" s="112">
        <v>6.07</v>
      </c>
      <c r="D76" s="112">
        <v>13.96</v>
      </c>
      <c r="E76" s="112">
        <v>14.28</v>
      </c>
      <c r="F76" s="112">
        <v>29.93</v>
      </c>
      <c r="G76" s="112">
        <v>44.64</v>
      </c>
      <c r="H76" s="112">
        <v>17.690000000000001</v>
      </c>
      <c r="I76" s="112">
        <v>4.25</v>
      </c>
      <c r="J76" s="112">
        <v>0.9</v>
      </c>
      <c r="K76" s="112">
        <v>317.97000000000003</v>
      </c>
      <c r="L76" s="112">
        <v>38.51</v>
      </c>
      <c r="M76" s="112">
        <v>36.22</v>
      </c>
      <c r="N76" s="112">
        <v>61.6</v>
      </c>
      <c r="O76" s="112">
        <v>0</v>
      </c>
      <c r="P76" s="112">
        <v>0.41</v>
      </c>
      <c r="Q76" s="112">
        <v>4.8</v>
      </c>
    </row>
    <row r="77" spans="1:17" customFormat="1">
      <c r="A77" s="80">
        <v>45450.71875</v>
      </c>
      <c r="B77" s="112">
        <v>7.22</v>
      </c>
      <c r="C77" s="112">
        <v>6.08</v>
      </c>
      <c r="D77" s="112">
        <v>13.98</v>
      </c>
      <c r="E77" s="112">
        <v>14.43</v>
      </c>
      <c r="F77" s="112">
        <v>28.26</v>
      </c>
      <c r="G77" s="112">
        <v>45.81</v>
      </c>
      <c r="H77" s="112">
        <v>13.55</v>
      </c>
      <c r="I77" s="112">
        <v>4.2</v>
      </c>
      <c r="J77" s="112">
        <v>0.76</v>
      </c>
      <c r="K77" s="112">
        <v>4.7</v>
      </c>
      <c r="L77" s="112">
        <v>38.15</v>
      </c>
      <c r="M77" s="112">
        <v>36.56</v>
      </c>
      <c r="N77" s="112">
        <v>36.299999999999997</v>
      </c>
      <c r="O77" s="112">
        <v>0</v>
      </c>
      <c r="P77" s="112">
        <v>0.45</v>
      </c>
      <c r="Q77" s="112">
        <v>4.8099999999999996</v>
      </c>
    </row>
    <row r="78" spans="1:17" customFormat="1">
      <c r="A78" s="80">
        <v>45450.729166666664</v>
      </c>
      <c r="B78" s="112">
        <v>7.2</v>
      </c>
      <c r="C78" s="112">
        <v>6.07</v>
      </c>
      <c r="D78" s="112">
        <v>13.96</v>
      </c>
      <c r="E78" s="112">
        <v>18.05</v>
      </c>
      <c r="F78" s="112">
        <v>24.53</v>
      </c>
      <c r="G78" s="112">
        <v>45.81</v>
      </c>
      <c r="H78" s="112">
        <v>13.55</v>
      </c>
      <c r="I78" s="112">
        <v>4.47</v>
      </c>
      <c r="J78" s="112">
        <v>0.99</v>
      </c>
      <c r="K78" s="112">
        <v>324.98</v>
      </c>
      <c r="L78" s="112">
        <v>37.82</v>
      </c>
      <c r="M78" s="112">
        <v>37.130000000000003</v>
      </c>
      <c r="N78" s="112">
        <v>27.5</v>
      </c>
      <c r="O78" s="112">
        <v>0</v>
      </c>
      <c r="P78" s="112">
        <v>0.48</v>
      </c>
      <c r="Q78" s="112">
        <v>4.8099999999999996</v>
      </c>
    </row>
    <row r="79" spans="1:17" customFormat="1">
      <c r="A79" s="80">
        <v>45450.739583333336</v>
      </c>
      <c r="B79" s="112">
        <v>7.16</v>
      </c>
      <c r="C79" s="112">
        <v>6.12</v>
      </c>
      <c r="D79" s="112">
        <v>13.95</v>
      </c>
      <c r="E79" s="112">
        <v>22.15</v>
      </c>
      <c r="F79" s="112">
        <v>18.5</v>
      </c>
      <c r="G79" s="112">
        <v>45.81</v>
      </c>
      <c r="H79" s="112">
        <v>13.55</v>
      </c>
      <c r="I79" s="112">
        <v>4.72</v>
      </c>
      <c r="J79" s="112">
        <v>1.06</v>
      </c>
      <c r="K79" s="112">
        <v>335.53</v>
      </c>
      <c r="L79" s="112">
        <v>37.53</v>
      </c>
      <c r="M79" s="112">
        <v>37.51</v>
      </c>
      <c r="N79" s="112">
        <v>20.100000000000001</v>
      </c>
      <c r="O79" s="112">
        <v>0</v>
      </c>
      <c r="P79" s="112">
        <v>0.49</v>
      </c>
      <c r="Q79" s="112">
        <v>4.8099999999999996</v>
      </c>
    </row>
    <row r="80" spans="1:17" customFormat="1">
      <c r="A80" s="80">
        <v>45450.75</v>
      </c>
      <c r="B80" s="112">
        <v>7.18</v>
      </c>
      <c r="C80" s="112">
        <v>6.08</v>
      </c>
      <c r="D80" s="112">
        <v>13.94</v>
      </c>
      <c r="E80" s="112">
        <v>22.87</v>
      </c>
      <c r="F80" s="112">
        <v>22.24</v>
      </c>
      <c r="G80" s="112">
        <v>50.53</v>
      </c>
      <c r="H80" s="112">
        <v>16.68</v>
      </c>
      <c r="I80" s="112">
        <v>5.01</v>
      </c>
      <c r="J80" s="112">
        <v>1.1100000000000001</v>
      </c>
      <c r="K80" s="112">
        <v>18.47</v>
      </c>
      <c r="L80" s="112">
        <v>36.770000000000003</v>
      </c>
      <c r="M80" s="112">
        <v>38.380000000000003</v>
      </c>
      <c r="N80" s="112">
        <v>15.1</v>
      </c>
      <c r="O80" s="112">
        <v>0</v>
      </c>
      <c r="P80" s="112">
        <v>0.51</v>
      </c>
      <c r="Q80" s="112">
        <v>4.8</v>
      </c>
    </row>
    <row r="81" spans="1:17" customFormat="1">
      <c r="A81" s="80">
        <v>45450.760416666664</v>
      </c>
      <c r="B81" s="112">
        <v>7.2</v>
      </c>
      <c r="C81" s="112">
        <v>6.08</v>
      </c>
      <c r="D81" s="112">
        <v>13.96</v>
      </c>
      <c r="E81" s="112">
        <v>19.850000000000001</v>
      </c>
      <c r="F81" s="112">
        <v>16.7</v>
      </c>
      <c r="G81" s="112">
        <v>62.81</v>
      </c>
      <c r="H81" s="112">
        <v>22.16</v>
      </c>
      <c r="I81" s="112">
        <v>5.17</v>
      </c>
      <c r="J81" s="112">
        <v>2.04</v>
      </c>
      <c r="K81" s="112">
        <v>41.39</v>
      </c>
      <c r="L81" s="112">
        <v>35.61</v>
      </c>
      <c r="M81" s="112">
        <v>40.39</v>
      </c>
      <c r="N81" s="112">
        <v>10.5</v>
      </c>
      <c r="O81" s="112">
        <v>0</v>
      </c>
      <c r="P81" s="112">
        <v>0.51</v>
      </c>
      <c r="Q81" s="112">
        <v>4.82</v>
      </c>
    </row>
    <row r="82" spans="1:17" customFormat="1">
      <c r="A82" s="80">
        <v>45450.770833333336</v>
      </c>
      <c r="B82" s="112">
        <v>7.17</v>
      </c>
      <c r="C82" s="112">
        <v>6.07</v>
      </c>
      <c r="D82" s="112">
        <v>13.93</v>
      </c>
      <c r="E82" s="112">
        <v>19.29</v>
      </c>
      <c r="F82" s="112">
        <v>15.51</v>
      </c>
      <c r="G82" s="112">
        <v>62.81</v>
      </c>
      <c r="H82" s="112">
        <v>22.16</v>
      </c>
      <c r="I82" s="112">
        <v>5.28</v>
      </c>
      <c r="J82" s="112">
        <v>1.9</v>
      </c>
      <c r="K82" s="112">
        <v>60.5</v>
      </c>
      <c r="L82" s="112">
        <v>35.130000000000003</v>
      </c>
      <c r="M82" s="112">
        <v>41.07</v>
      </c>
      <c r="N82" s="112">
        <v>1</v>
      </c>
      <c r="O82" s="112">
        <v>0</v>
      </c>
      <c r="P82" s="112">
        <v>0.5</v>
      </c>
      <c r="Q82" s="112">
        <v>4.83</v>
      </c>
    </row>
    <row r="83" spans="1:17" customFormat="1">
      <c r="A83" s="80">
        <v>45450.78125</v>
      </c>
      <c r="B83" s="112">
        <v>7.19</v>
      </c>
      <c r="C83" s="112">
        <v>6.02</v>
      </c>
      <c r="D83" s="112">
        <v>13.92</v>
      </c>
      <c r="E83" s="112">
        <v>13.43</v>
      </c>
      <c r="F83" s="112">
        <v>9.4</v>
      </c>
      <c r="G83" s="112">
        <v>62.81</v>
      </c>
      <c r="H83" s="112">
        <v>22.16</v>
      </c>
      <c r="I83" s="112">
        <v>5.21</v>
      </c>
      <c r="J83" s="112">
        <v>0.66</v>
      </c>
      <c r="K83" s="112">
        <v>118.14</v>
      </c>
      <c r="L83" s="112">
        <v>34.44</v>
      </c>
      <c r="M83" s="112">
        <v>45.44</v>
      </c>
      <c r="N83" s="112">
        <v>0</v>
      </c>
      <c r="O83" s="112">
        <v>0</v>
      </c>
      <c r="P83" s="112">
        <v>0.5</v>
      </c>
      <c r="Q83" s="112">
        <v>4.82</v>
      </c>
    </row>
    <row r="84" spans="1:17" customFormat="1">
      <c r="A84" s="80">
        <v>45450.791666666664</v>
      </c>
      <c r="B84" s="112">
        <v>7.19</v>
      </c>
      <c r="C84" s="112">
        <v>6.04</v>
      </c>
      <c r="D84" s="112">
        <v>13.93</v>
      </c>
      <c r="E84" s="112">
        <v>11.9</v>
      </c>
      <c r="F84" s="112">
        <v>10.17</v>
      </c>
      <c r="G84" s="112">
        <v>64.22</v>
      </c>
      <c r="H84" s="112">
        <v>22.14</v>
      </c>
      <c r="I84" s="112">
        <v>5.24</v>
      </c>
      <c r="J84" s="112">
        <v>0.65</v>
      </c>
      <c r="K84" s="112">
        <v>118.57</v>
      </c>
      <c r="L84" s="112">
        <v>31.62</v>
      </c>
      <c r="M84" s="112">
        <v>57.76</v>
      </c>
      <c r="N84" s="112">
        <v>0</v>
      </c>
      <c r="O84" s="112">
        <v>0</v>
      </c>
      <c r="P84" s="112">
        <v>0.48</v>
      </c>
      <c r="Q84" s="112">
        <v>4.82</v>
      </c>
    </row>
    <row r="85" spans="1:17" customFormat="1">
      <c r="A85" s="80">
        <v>45450.802083333336</v>
      </c>
      <c r="B85" s="112">
        <v>7.19</v>
      </c>
      <c r="C85" s="112">
        <v>6.06</v>
      </c>
      <c r="D85" s="112">
        <v>13.94</v>
      </c>
      <c r="E85" s="112">
        <v>11.31</v>
      </c>
      <c r="F85" s="112">
        <v>9.58</v>
      </c>
      <c r="G85" s="112">
        <v>67.89</v>
      </c>
      <c r="H85" s="112">
        <v>22.12</v>
      </c>
      <c r="I85" s="112">
        <v>5.15</v>
      </c>
      <c r="J85" s="112">
        <v>0.43</v>
      </c>
      <c r="K85" s="112">
        <v>133.12</v>
      </c>
      <c r="L85" s="112">
        <v>30.22</v>
      </c>
      <c r="M85" s="112">
        <v>60.57</v>
      </c>
      <c r="N85" s="112">
        <v>0</v>
      </c>
      <c r="O85" s="112">
        <v>0</v>
      </c>
      <c r="P85" s="112">
        <v>0.48</v>
      </c>
      <c r="Q85" s="112">
        <v>4.83</v>
      </c>
    </row>
    <row r="86" spans="1:17" customFormat="1">
      <c r="A86" s="80">
        <v>45450.8125</v>
      </c>
      <c r="B86" s="112">
        <v>7.16</v>
      </c>
      <c r="C86" s="112">
        <v>6.12</v>
      </c>
      <c r="D86" s="112">
        <v>13.95</v>
      </c>
      <c r="E86" s="112">
        <v>11.15</v>
      </c>
      <c r="F86" s="112">
        <v>14.96</v>
      </c>
      <c r="G86" s="112">
        <v>67.89</v>
      </c>
      <c r="H86" s="112">
        <v>22.12</v>
      </c>
      <c r="I86" s="112">
        <v>5.12</v>
      </c>
      <c r="J86" s="112">
        <v>0.17</v>
      </c>
      <c r="K86" s="112">
        <v>222.22</v>
      </c>
      <c r="L86" s="112">
        <v>30.55</v>
      </c>
      <c r="M86" s="112">
        <v>56.01</v>
      </c>
      <c r="N86" s="112">
        <v>0</v>
      </c>
      <c r="O86" s="112">
        <v>0</v>
      </c>
      <c r="P86" s="112">
        <v>0.46</v>
      </c>
      <c r="Q86" s="112">
        <v>4.82</v>
      </c>
    </row>
    <row r="87" spans="1:17" customFormat="1">
      <c r="A87" s="80">
        <v>45450.822916666664</v>
      </c>
      <c r="B87" s="112">
        <v>7.16</v>
      </c>
      <c r="C87" s="112">
        <v>6.08</v>
      </c>
      <c r="D87" s="112">
        <v>13.92</v>
      </c>
      <c r="E87" s="112">
        <v>10.51</v>
      </c>
      <c r="F87" s="112">
        <v>17.53</v>
      </c>
      <c r="G87" s="112">
        <v>67.89</v>
      </c>
      <c r="H87" s="112">
        <v>22.12</v>
      </c>
      <c r="I87" s="112">
        <v>5.01</v>
      </c>
      <c r="J87" s="112">
        <v>0.24</v>
      </c>
      <c r="K87" s="112">
        <v>282.83</v>
      </c>
      <c r="L87" s="112">
        <v>30.47</v>
      </c>
      <c r="M87" s="112">
        <v>57.4</v>
      </c>
      <c r="N87" s="112">
        <v>0</v>
      </c>
      <c r="O87" s="112">
        <v>0</v>
      </c>
      <c r="P87" s="112">
        <v>0.44</v>
      </c>
      <c r="Q87" s="112">
        <v>4.8099999999999996</v>
      </c>
    </row>
    <row r="88" spans="1:17" customFormat="1">
      <c r="A88" s="80">
        <v>45450.833333333336</v>
      </c>
      <c r="B88" s="112">
        <v>7.16</v>
      </c>
      <c r="C88" s="112">
        <v>6.08</v>
      </c>
      <c r="D88" s="112">
        <v>13.92</v>
      </c>
      <c r="E88" s="112">
        <v>10.050000000000001</v>
      </c>
      <c r="F88" s="112">
        <v>22</v>
      </c>
      <c r="G88" s="112">
        <v>63.23</v>
      </c>
      <c r="H88" s="112">
        <v>20.09</v>
      </c>
      <c r="I88" s="112">
        <v>4.83</v>
      </c>
      <c r="J88" s="112">
        <v>0.28000000000000003</v>
      </c>
      <c r="K88" s="112">
        <v>273.02</v>
      </c>
      <c r="L88" s="112">
        <v>30.13</v>
      </c>
      <c r="M88" s="112">
        <v>55.58</v>
      </c>
      <c r="N88" s="112">
        <v>0</v>
      </c>
      <c r="O88" s="112">
        <v>0</v>
      </c>
      <c r="P88" s="112">
        <v>0.42</v>
      </c>
      <c r="Q88" s="112">
        <v>4.8</v>
      </c>
    </row>
    <row r="89" spans="1:17" customFormat="1">
      <c r="A89" s="80">
        <v>45450.84375</v>
      </c>
      <c r="B89" s="112">
        <v>7.15</v>
      </c>
      <c r="C89" s="112">
        <v>6.1</v>
      </c>
      <c r="D89" s="112">
        <v>13.93</v>
      </c>
      <c r="E89" s="112">
        <v>9.7100000000000009</v>
      </c>
      <c r="F89" s="112">
        <v>23.14</v>
      </c>
      <c r="G89" s="112">
        <v>51.13</v>
      </c>
      <c r="H89" s="112">
        <v>16.53</v>
      </c>
      <c r="I89" s="112">
        <v>4.62</v>
      </c>
      <c r="J89" s="112">
        <v>0.03</v>
      </c>
      <c r="K89" s="112">
        <v>286.48</v>
      </c>
      <c r="L89" s="112">
        <v>30.16</v>
      </c>
      <c r="M89" s="112">
        <v>56.9</v>
      </c>
      <c r="N89" s="112">
        <v>0</v>
      </c>
      <c r="O89" s="112">
        <v>0</v>
      </c>
      <c r="P89" s="112">
        <v>0.41</v>
      </c>
      <c r="Q89" s="112">
        <v>4.79</v>
      </c>
    </row>
    <row r="90" spans="1:17" customFormat="1">
      <c r="A90" s="80">
        <v>45450.854166666664</v>
      </c>
      <c r="B90" s="112">
        <v>7.17</v>
      </c>
      <c r="C90" s="112">
        <v>6.05</v>
      </c>
      <c r="D90" s="112">
        <v>13.92</v>
      </c>
      <c r="E90" s="112">
        <v>8.6199999999999992</v>
      </c>
      <c r="F90" s="112">
        <v>21.83</v>
      </c>
      <c r="G90" s="112">
        <v>51.13</v>
      </c>
      <c r="H90" s="112">
        <v>16.53</v>
      </c>
      <c r="I90" s="112">
        <v>4.38</v>
      </c>
      <c r="J90" s="112">
        <v>0.18</v>
      </c>
      <c r="K90" s="112">
        <v>233.95</v>
      </c>
      <c r="L90" s="112">
        <v>29.91</v>
      </c>
      <c r="M90" s="112">
        <v>57.89</v>
      </c>
      <c r="N90" s="112">
        <v>0</v>
      </c>
      <c r="O90" s="112">
        <v>0</v>
      </c>
      <c r="P90" s="112">
        <v>0.39</v>
      </c>
      <c r="Q90" s="112">
        <v>4.8</v>
      </c>
    </row>
    <row r="91" spans="1:17" customFormat="1">
      <c r="A91" s="80">
        <v>45450.864583333336</v>
      </c>
      <c r="B91" s="112">
        <v>7.17</v>
      </c>
      <c r="C91" s="112">
        <v>6.08</v>
      </c>
      <c r="D91" s="112">
        <v>13.93</v>
      </c>
      <c r="E91" s="112">
        <v>9.2899999999999991</v>
      </c>
      <c r="F91" s="112">
        <v>25.1</v>
      </c>
      <c r="G91" s="112">
        <v>51.13</v>
      </c>
      <c r="H91" s="112">
        <v>16.53</v>
      </c>
      <c r="I91" s="112">
        <v>4.3</v>
      </c>
      <c r="J91" s="112">
        <v>0.17</v>
      </c>
      <c r="K91" s="112">
        <v>213.71</v>
      </c>
      <c r="L91" s="112">
        <v>29.83</v>
      </c>
      <c r="M91" s="112">
        <v>56.76</v>
      </c>
      <c r="N91" s="112">
        <v>0</v>
      </c>
      <c r="O91" s="112">
        <v>0</v>
      </c>
      <c r="P91" s="112">
        <v>0.38</v>
      </c>
      <c r="Q91" s="112">
        <v>4.8099999999999996</v>
      </c>
    </row>
    <row r="92" spans="1:17" customFormat="1">
      <c r="A92" s="80">
        <v>45450.875</v>
      </c>
      <c r="B92" s="112">
        <v>7.17</v>
      </c>
      <c r="C92" s="112">
        <v>6.07</v>
      </c>
      <c r="D92" s="112">
        <v>13.93</v>
      </c>
      <c r="E92" s="112">
        <v>8.7200000000000006</v>
      </c>
      <c r="F92" s="112">
        <v>24.8</v>
      </c>
      <c r="G92" s="112">
        <v>47.43</v>
      </c>
      <c r="H92" s="112">
        <v>14.6</v>
      </c>
      <c r="I92" s="112">
        <v>4.3600000000000003</v>
      </c>
      <c r="J92" s="112">
        <v>0.08</v>
      </c>
      <c r="K92" s="112">
        <v>236.85</v>
      </c>
      <c r="L92" s="112">
        <v>30.11</v>
      </c>
      <c r="M92" s="112">
        <v>53.47</v>
      </c>
      <c r="N92" s="112">
        <v>0</v>
      </c>
      <c r="O92" s="112">
        <v>0</v>
      </c>
      <c r="P92" s="112">
        <v>0.37</v>
      </c>
      <c r="Q92" s="112">
        <v>4.8099999999999996</v>
      </c>
    </row>
    <row r="93" spans="1:17" customFormat="1">
      <c r="A93" s="80">
        <v>45450.885416666664</v>
      </c>
      <c r="B93" s="112">
        <v>7.19</v>
      </c>
      <c r="C93" s="112">
        <v>6.08</v>
      </c>
      <c r="D93" s="112">
        <v>13.95</v>
      </c>
      <c r="E93" s="112">
        <v>8.5500000000000007</v>
      </c>
      <c r="F93" s="112">
        <v>22.62</v>
      </c>
      <c r="G93" s="112">
        <v>37.82</v>
      </c>
      <c r="H93" s="112">
        <v>11.09</v>
      </c>
      <c r="I93" s="112">
        <v>4.2699999999999996</v>
      </c>
      <c r="J93" s="112">
        <v>0.25</v>
      </c>
      <c r="K93" s="112">
        <v>298.60000000000002</v>
      </c>
      <c r="L93" s="112">
        <v>30.02</v>
      </c>
      <c r="M93" s="112">
        <v>54.18</v>
      </c>
      <c r="N93" s="112">
        <v>0</v>
      </c>
      <c r="O93" s="112">
        <v>0</v>
      </c>
      <c r="P93" s="112">
        <v>0.36</v>
      </c>
      <c r="Q93" s="112">
        <v>4.8099999999999996</v>
      </c>
    </row>
    <row r="94" spans="1:17" customFormat="1">
      <c r="A94" s="80">
        <v>45450.895833333336</v>
      </c>
      <c r="B94" s="112">
        <v>7.22</v>
      </c>
      <c r="C94" s="112">
        <v>6.06</v>
      </c>
      <c r="D94" s="112">
        <v>13.97</v>
      </c>
      <c r="E94" s="112">
        <v>8.6</v>
      </c>
      <c r="F94" s="112">
        <v>25.36</v>
      </c>
      <c r="G94" s="112">
        <v>37.82</v>
      </c>
      <c r="H94" s="112">
        <v>11.09</v>
      </c>
      <c r="I94" s="112">
        <v>4.08</v>
      </c>
      <c r="J94" s="112">
        <v>0.31</v>
      </c>
      <c r="K94" s="112">
        <v>324.33</v>
      </c>
      <c r="L94" s="112">
        <v>29.99</v>
      </c>
      <c r="M94" s="112">
        <v>56.26</v>
      </c>
      <c r="N94" s="112">
        <v>0</v>
      </c>
      <c r="O94" s="112">
        <v>0</v>
      </c>
      <c r="P94" s="112">
        <v>0.35</v>
      </c>
      <c r="Q94" s="112">
        <v>4.8099999999999996</v>
      </c>
    </row>
    <row r="95" spans="1:17" customFormat="1">
      <c r="A95" s="80">
        <v>45450.90625</v>
      </c>
      <c r="B95" s="112">
        <v>7.24</v>
      </c>
      <c r="C95" s="112">
        <v>6.06</v>
      </c>
      <c r="D95" s="112">
        <v>13.98</v>
      </c>
      <c r="E95" s="112">
        <v>8.48</v>
      </c>
      <c r="F95" s="112">
        <v>25.8</v>
      </c>
      <c r="G95" s="112">
        <v>37.82</v>
      </c>
      <c r="H95" s="112">
        <v>11.09</v>
      </c>
      <c r="I95" s="112">
        <v>3.99</v>
      </c>
      <c r="J95" s="112">
        <v>0.35</v>
      </c>
      <c r="K95" s="112">
        <v>268.01</v>
      </c>
      <c r="L95" s="112">
        <v>29.72</v>
      </c>
      <c r="M95" s="112">
        <v>57.75</v>
      </c>
      <c r="N95" s="112">
        <v>0</v>
      </c>
      <c r="O95" s="112">
        <v>0</v>
      </c>
      <c r="P95" s="112">
        <v>0.35</v>
      </c>
      <c r="Q95" s="112">
        <v>4.8</v>
      </c>
    </row>
    <row r="96" spans="1:17" customFormat="1">
      <c r="A96" s="80">
        <v>45450.916666666664</v>
      </c>
      <c r="B96" s="112">
        <v>7.26</v>
      </c>
      <c r="C96" s="112">
        <v>6.05</v>
      </c>
      <c r="D96" s="112">
        <v>13.99</v>
      </c>
      <c r="E96" s="112">
        <v>8.6</v>
      </c>
      <c r="F96" s="112">
        <v>35.590000000000003</v>
      </c>
      <c r="G96" s="112">
        <v>33.97</v>
      </c>
      <c r="H96" s="112">
        <v>11.39</v>
      </c>
      <c r="I96" s="112">
        <v>4</v>
      </c>
      <c r="J96" s="112">
        <v>0.24</v>
      </c>
      <c r="K96" s="112">
        <v>269.61</v>
      </c>
      <c r="L96" s="112">
        <v>29.83</v>
      </c>
      <c r="M96" s="112">
        <v>56.79</v>
      </c>
      <c r="N96" s="112">
        <v>0</v>
      </c>
      <c r="O96" s="112">
        <v>0</v>
      </c>
      <c r="P96" s="112">
        <v>0.33</v>
      </c>
      <c r="Q96" s="112">
        <v>4.8099999999999996</v>
      </c>
    </row>
    <row r="97" spans="1:22" customFormat="1">
      <c r="A97" s="80">
        <v>45450.927083333336</v>
      </c>
      <c r="B97" s="112">
        <v>7.28</v>
      </c>
      <c r="C97" s="112">
        <v>6.04</v>
      </c>
      <c r="D97" s="112">
        <v>14</v>
      </c>
      <c r="E97" s="112">
        <v>8.64</v>
      </c>
      <c r="F97" s="112">
        <v>27.12</v>
      </c>
      <c r="G97" s="112">
        <v>23.94</v>
      </c>
      <c r="H97" s="112">
        <v>12.63</v>
      </c>
      <c r="I97" s="112">
        <v>3.91</v>
      </c>
      <c r="J97" s="112">
        <v>0.54</v>
      </c>
      <c r="K97" s="112">
        <v>256.42</v>
      </c>
      <c r="L97" s="112">
        <v>30.1</v>
      </c>
      <c r="M97" s="112">
        <v>55.46</v>
      </c>
      <c r="N97" s="112">
        <v>0</v>
      </c>
      <c r="O97" s="112">
        <v>0</v>
      </c>
      <c r="P97" s="112">
        <v>0.33</v>
      </c>
      <c r="Q97" s="112">
        <v>4.82</v>
      </c>
    </row>
    <row r="98" spans="1:22" customFormat="1">
      <c r="A98" s="80">
        <v>45450.9375</v>
      </c>
      <c r="B98" s="112">
        <v>7.29</v>
      </c>
      <c r="C98" s="112">
        <v>6.07</v>
      </c>
      <c r="D98" s="112">
        <v>14.02</v>
      </c>
      <c r="E98" s="112">
        <v>8.6199999999999992</v>
      </c>
      <c r="F98" s="112">
        <v>21.11</v>
      </c>
      <c r="G98" s="112">
        <v>23.94</v>
      </c>
      <c r="H98" s="112">
        <v>12.63</v>
      </c>
      <c r="I98" s="112">
        <v>3.63</v>
      </c>
      <c r="J98" s="112">
        <v>0.75</v>
      </c>
      <c r="K98" s="112">
        <v>257.14999999999998</v>
      </c>
      <c r="L98" s="112">
        <v>30.12</v>
      </c>
      <c r="M98" s="112">
        <v>54.71</v>
      </c>
      <c r="N98" s="112">
        <v>0</v>
      </c>
      <c r="O98" s="112">
        <v>0</v>
      </c>
      <c r="P98" s="112">
        <v>0.33</v>
      </c>
      <c r="Q98" s="112">
        <v>4.8099999999999996</v>
      </c>
    </row>
    <row r="99" spans="1:22" customFormat="1">
      <c r="A99" s="80">
        <v>45450.947916666664</v>
      </c>
      <c r="B99" s="112">
        <v>7.28</v>
      </c>
      <c r="C99" s="112">
        <v>6.04</v>
      </c>
      <c r="D99" s="112">
        <v>14.01</v>
      </c>
      <c r="E99" s="112">
        <v>8.74</v>
      </c>
      <c r="F99" s="112">
        <v>19.2</v>
      </c>
      <c r="G99" s="112">
        <v>23.94</v>
      </c>
      <c r="H99" s="112">
        <v>12.63</v>
      </c>
      <c r="I99" s="112">
        <v>3.67</v>
      </c>
      <c r="J99" s="112">
        <v>0.73</v>
      </c>
      <c r="K99" s="112">
        <v>258.75</v>
      </c>
      <c r="L99" s="112">
        <v>30.26</v>
      </c>
      <c r="M99" s="112">
        <v>53.22</v>
      </c>
      <c r="N99" s="112">
        <v>0</v>
      </c>
      <c r="O99" s="112">
        <v>0</v>
      </c>
      <c r="P99" s="112">
        <v>0.33</v>
      </c>
      <c r="Q99" s="112">
        <v>4.82</v>
      </c>
    </row>
    <row r="100" spans="1:22" customFormat="1">
      <c r="A100" s="80">
        <v>45450.958333333336</v>
      </c>
      <c r="B100" s="112">
        <v>7.27</v>
      </c>
      <c r="C100" s="112">
        <v>6.07</v>
      </c>
      <c r="D100" s="112">
        <v>14.02</v>
      </c>
      <c r="E100" s="112">
        <v>8.27</v>
      </c>
      <c r="F100" s="112">
        <v>20.079999999999998</v>
      </c>
      <c r="G100" s="112">
        <v>22.65</v>
      </c>
      <c r="H100" s="112">
        <v>11.88</v>
      </c>
      <c r="I100" s="112">
        <v>3.88</v>
      </c>
      <c r="J100" s="112">
        <v>0.73</v>
      </c>
      <c r="K100" s="112">
        <v>256.58</v>
      </c>
      <c r="L100" s="112">
        <v>30.19</v>
      </c>
      <c r="M100" s="112">
        <v>52.75</v>
      </c>
      <c r="N100" s="112">
        <v>0</v>
      </c>
      <c r="O100" s="112">
        <v>0</v>
      </c>
      <c r="P100" s="112">
        <v>0.32</v>
      </c>
      <c r="Q100" s="112">
        <v>4.8099999999999996</v>
      </c>
    </row>
    <row r="101" spans="1:22" customFormat="1">
      <c r="A101" s="80">
        <v>45450.96875</v>
      </c>
      <c r="B101" s="112">
        <v>7.25</v>
      </c>
      <c r="C101" s="112">
        <v>6.07</v>
      </c>
      <c r="D101" s="112">
        <v>14</v>
      </c>
      <c r="E101" s="112">
        <v>8.3000000000000007</v>
      </c>
      <c r="F101" s="112">
        <v>17.2</v>
      </c>
      <c r="G101" s="112">
        <v>19.29</v>
      </c>
      <c r="H101" s="112">
        <v>10.56</v>
      </c>
      <c r="I101" s="112">
        <v>3.88</v>
      </c>
      <c r="J101" s="112">
        <v>0.82</v>
      </c>
      <c r="K101" s="112">
        <v>268.3</v>
      </c>
      <c r="L101" s="112">
        <v>29.98</v>
      </c>
      <c r="M101" s="112">
        <v>53.26</v>
      </c>
      <c r="N101" s="112">
        <v>0</v>
      </c>
      <c r="O101" s="112">
        <v>0</v>
      </c>
      <c r="P101" s="112">
        <v>0.32</v>
      </c>
      <c r="Q101" s="112">
        <v>4.8099999999999996</v>
      </c>
    </row>
    <row r="102" spans="1:22" customFormat="1">
      <c r="A102" s="80">
        <v>45450.979166666664</v>
      </c>
      <c r="B102" s="112">
        <v>7.24</v>
      </c>
      <c r="C102" s="112">
        <v>6.04</v>
      </c>
      <c r="D102" s="112">
        <v>13.97</v>
      </c>
      <c r="E102" s="112">
        <v>8.2799999999999994</v>
      </c>
      <c r="F102" s="112">
        <v>16.23</v>
      </c>
      <c r="G102" s="112">
        <v>19.29</v>
      </c>
      <c r="H102" s="112">
        <v>10.56</v>
      </c>
      <c r="I102" s="112">
        <v>3.69</v>
      </c>
      <c r="J102" s="112">
        <v>0.81</v>
      </c>
      <c r="K102" s="112">
        <v>264.99</v>
      </c>
      <c r="L102" s="112">
        <v>29.81</v>
      </c>
      <c r="M102" s="112">
        <v>54.44</v>
      </c>
      <c r="N102" s="112">
        <v>0</v>
      </c>
      <c r="O102" s="112">
        <v>0</v>
      </c>
      <c r="P102" s="112">
        <v>0.32</v>
      </c>
      <c r="Q102" s="112">
        <v>4.82</v>
      </c>
    </row>
    <row r="103" spans="1:22" customFormat="1">
      <c r="A103" s="80">
        <v>45450.989583333336</v>
      </c>
      <c r="B103" s="112">
        <v>7.22</v>
      </c>
      <c r="C103" s="112">
        <v>6.09</v>
      </c>
      <c r="D103" s="112">
        <v>13.98</v>
      </c>
      <c r="E103" s="112">
        <v>8.2100000000000009</v>
      </c>
      <c r="F103" s="112">
        <v>16.03</v>
      </c>
      <c r="G103" s="112">
        <v>19.29</v>
      </c>
      <c r="H103" s="112">
        <v>10.56</v>
      </c>
      <c r="I103" s="112">
        <v>3.77</v>
      </c>
      <c r="J103" s="112">
        <v>0.53</v>
      </c>
      <c r="K103" s="112">
        <v>248.07</v>
      </c>
      <c r="L103" s="112">
        <v>29.69</v>
      </c>
      <c r="M103" s="112">
        <v>55.78</v>
      </c>
      <c r="N103" s="112">
        <v>0</v>
      </c>
      <c r="O103" s="112">
        <v>0</v>
      </c>
      <c r="P103" s="112">
        <v>0.31</v>
      </c>
      <c r="Q103" s="112">
        <v>4.83</v>
      </c>
    </row>
    <row r="104" spans="1:22" customFormat="1">
      <c r="A104" s="80">
        <v>45451</v>
      </c>
      <c r="B104" s="112">
        <v>7.22</v>
      </c>
      <c r="C104" s="112">
        <v>6.08</v>
      </c>
      <c r="D104" s="112">
        <v>13.98</v>
      </c>
      <c r="E104" s="112">
        <v>7.7</v>
      </c>
      <c r="F104" s="112">
        <v>29.86</v>
      </c>
      <c r="G104" s="112">
        <v>17.850000000000001</v>
      </c>
      <c r="H104" s="112">
        <v>9.49</v>
      </c>
      <c r="I104" s="112">
        <v>3.78</v>
      </c>
      <c r="J104" s="112">
        <v>0.3</v>
      </c>
      <c r="K104" s="112">
        <v>251.02</v>
      </c>
      <c r="L104" s="112">
        <v>29.75</v>
      </c>
      <c r="M104" s="112">
        <v>54.71</v>
      </c>
      <c r="N104" s="112">
        <v>0</v>
      </c>
      <c r="O104" s="112">
        <v>0</v>
      </c>
      <c r="P104" s="112">
        <v>0.28999999999999998</v>
      </c>
      <c r="Q104" s="112">
        <v>4.83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7.12</v>
      </c>
      <c r="C106" s="184">
        <f>MIN(C9:C104)</f>
        <v>6.02</v>
      </c>
      <c r="D106" s="184">
        <f t="shared" ref="D106:Q106" si="0">MIN(D9:D104)</f>
        <v>13.89</v>
      </c>
      <c r="E106" s="184">
        <f t="shared" si="0"/>
        <v>7.7</v>
      </c>
      <c r="F106" s="184">
        <f t="shared" si="0"/>
        <v>6.98</v>
      </c>
      <c r="G106" s="184">
        <f t="shared" si="0"/>
        <v>17.850000000000001</v>
      </c>
      <c r="H106" s="184">
        <f t="shared" si="0"/>
        <v>9.49</v>
      </c>
      <c r="I106" s="184">
        <f t="shared" si="0"/>
        <v>3.63</v>
      </c>
      <c r="J106" s="184">
        <f t="shared" si="0"/>
        <v>0.03</v>
      </c>
      <c r="K106" s="184">
        <f t="shared" si="0"/>
        <v>4.7</v>
      </c>
      <c r="L106" s="184">
        <f t="shared" si="0"/>
        <v>28.7</v>
      </c>
      <c r="M106" s="184">
        <f t="shared" si="0"/>
        <v>30.26</v>
      </c>
      <c r="N106" s="184">
        <f t="shared" si="0"/>
        <v>0</v>
      </c>
      <c r="O106" s="184">
        <f t="shared" si="0"/>
        <v>0</v>
      </c>
      <c r="P106" s="184">
        <f t="shared" si="0"/>
        <v>0.28999999999999998</v>
      </c>
      <c r="Q106" s="184">
        <f t="shared" si="0"/>
        <v>4.76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7.29</v>
      </c>
      <c r="C107" s="185">
        <f t="shared" ref="C107:Q107" si="1">MAX(C9:C104)</f>
        <v>6.12</v>
      </c>
      <c r="D107" s="185">
        <f t="shared" si="1"/>
        <v>14.02</v>
      </c>
      <c r="E107" s="185">
        <f t="shared" si="1"/>
        <v>28.1</v>
      </c>
      <c r="F107" s="185">
        <f t="shared" si="1"/>
        <v>53.64</v>
      </c>
      <c r="G107" s="185">
        <f t="shared" si="1"/>
        <v>67.89</v>
      </c>
      <c r="H107" s="185">
        <f t="shared" si="1"/>
        <v>22.16</v>
      </c>
      <c r="I107" s="185">
        <f t="shared" si="1"/>
        <v>7.77</v>
      </c>
      <c r="J107" s="185">
        <f t="shared" si="1"/>
        <v>2.04</v>
      </c>
      <c r="K107" s="185">
        <f t="shared" si="1"/>
        <v>340.1</v>
      </c>
      <c r="L107" s="185">
        <f t="shared" si="1"/>
        <v>41.97</v>
      </c>
      <c r="M107" s="185">
        <f t="shared" si="1"/>
        <v>74.03</v>
      </c>
      <c r="N107" s="185">
        <f t="shared" si="1"/>
        <v>758.5</v>
      </c>
      <c r="O107" s="185">
        <f t="shared" si="1"/>
        <v>0</v>
      </c>
      <c r="P107" s="185">
        <f t="shared" si="1"/>
        <v>1.1299999999999999</v>
      </c>
      <c r="Q107" s="185">
        <f t="shared" si="1"/>
        <v>4.84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7.191041666666667</v>
      </c>
      <c r="C108" s="184">
        <f t="shared" ref="C108:Q108" si="2">AVERAGE(C9:C104)</f>
        <v>6.073854166666667</v>
      </c>
      <c r="D108" s="184">
        <f t="shared" si="2"/>
        <v>13.949270833333344</v>
      </c>
      <c r="E108" s="184">
        <f t="shared" si="2"/>
        <v>12.192395833333329</v>
      </c>
      <c r="F108" s="184">
        <f t="shared" si="2"/>
        <v>19.946249999999999</v>
      </c>
      <c r="G108" s="184">
        <f t="shared" si="2"/>
        <v>35.320208333333333</v>
      </c>
      <c r="H108" s="184">
        <f t="shared" si="2"/>
        <v>15.59770833333333</v>
      </c>
      <c r="I108" s="184">
        <f t="shared" si="2"/>
        <v>4.890833333333334</v>
      </c>
      <c r="J108" s="184">
        <f t="shared" si="2"/>
        <v>0.71937500000000021</v>
      </c>
      <c r="K108" s="184">
        <f t="shared" si="2"/>
        <v>251.88437500000006</v>
      </c>
      <c r="L108" s="184">
        <f t="shared" si="2"/>
        <v>33.638124999999995</v>
      </c>
      <c r="M108" s="184">
        <f t="shared" si="2"/>
        <v>50.989375000000031</v>
      </c>
      <c r="N108" s="184">
        <f t="shared" si="2"/>
        <v>147.99895833333335</v>
      </c>
      <c r="O108" s="184">
        <f t="shared" si="2"/>
        <v>0</v>
      </c>
      <c r="P108" s="184">
        <f t="shared" si="2"/>
        <v>0.72385416666666635</v>
      </c>
      <c r="Q108" s="184">
        <f t="shared" si="2"/>
        <v>4.8063541666666669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3.3887714484492133E-2</v>
      </c>
      <c r="C109" s="184">
        <f t="shared" ref="C109:Q109" si="3">STDEV(C9:C104)</f>
        <v>2.0994725737001937E-2</v>
      </c>
      <c r="D109" s="184">
        <f t="shared" si="3"/>
        <v>2.7424337699306797E-2</v>
      </c>
      <c r="E109" s="184">
        <f t="shared" si="3"/>
        <v>4.5719287061696789</v>
      </c>
      <c r="F109" s="184">
        <f t="shared" si="3"/>
        <v>9.2137289153912025</v>
      </c>
      <c r="G109" s="184">
        <f t="shared" si="3"/>
        <v>12.658543108918604</v>
      </c>
      <c r="H109" s="184">
        <f t="shared" si="3"/>
        <v>3.5220832588762301</v>
      </c>
      <c r="I109" s="184">
        <f t="shared" si="3"/>
        <v>1.1637106410703397</v>
      </c>
      <c r="J109" s="184">
        <f t="shared" si="3"/>
        <v>0.42025258695468531</v>
      </c>
      <c r="K109" s="184">
        <f t="shared" si="3"/>
        <v>59.32274664139328</v>
      </c>
      <c r="L109" s="184">
        <f t="shared" si="3"/>
        <v>4.5030720069748202</v>
      </c>
      <c r="M109" s="184">
        <f t="shared" si="3"/>
        <v>11.571136669134352</v>
      </c>
      <c r="N109" s="184">
        <f t="shared" si="3"/>
        <v>227.2606046369589</v>
      </c>
      <c r="O109" s="184">
        <f t="shared" si="3"/>
        <v>0</v>
      </c>
      <c r="P109" s="184">
        <f t="shared" si="3"/>
        <v>0.2639432546337705</v>
      </c>
      <c r="Q109" s="184">
        <f t="shared" si="3"/>
        <v>1.5226002113190383E-2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45451.010416666664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45451.010416666664</v>
      </c>
      <c r="B9" s="112">
        <v>7.18</v>
      </c>
      <c r="C9" s="112">
        <v>6.04</v>
      </c>
      <c r="D9" s="112">
        <v>13.92</v>
      </c>
      <c r="E9" s="112">
        <v>8.0399999999999991</v>
      </c>
      <c r="F9" s="112">
        <v>15.42</v>
      </c>
      <c r="G9" s="112">
        <v>14.12</v>
      </c>
      <c r="H9" s="112">
        <v>7.6</v>
      </c>
      <c r="I9" s="112">
        <v>3.6</v>
      </c>
      <c r="J9" s="112">
        <v>0.4</v>
      </c>
      <c r="K9" s="112">
        <v>256.07</v>
      </c>
      <c r="L9" s="112">
        <v>29.99</v>
      </c>
      <c r="M9" s="112">
        <v>52.43</v>
      </c>
      <c r="N9" s="112">
        <v>0</v>
      </c>
      <c r="O9" s="112">
        <v>0</v>
      </c>
      <c r="P9" s="112">
        <v>0.3</v>
      </c>
      <c r="Q9" s="112">
        <v>4.82</v>
      </c>
    </row>
    <row r="10" spans="1:21" customFormat="1">
      <c r="A10" s="80">
        <v>45451.020833333336</v>
      </c>
      <c r="B10" s="112">
        <v>7.16</v>
      </c>
      <c r="C10" s="112">
        <v>6.08</v>
      </c>
      <c r="D10" s="112">
        <v>13.92</v>
      </c>
      <c r="E10" s="112">
        <v>8.5</v>
      </c>
      <c r="F10" s="112">
        <v>14.56</v>
      </c>
      <c r="G10" s="112">
        <v>14.12</v>
      </c>
      <c r="H10" s="112">
        <v>7.6</v>
      </c>
      <c r="I10" s="112">
        <v>3.26</v>
      </c>
      <c r="J10" s="112">
        <v>0.65</v>
      </c>
      <c r="K10" s="112">
        <v>272.56</v>
      </c>
      <c r="L10" s="112">
        <v>29.93</v>
      </c>
      <c r="M10" s="112">
        <v>52.67</v>
      </c>
      <c r="N10" s="112">
        <v>0</v>
      </c>
      <c r="O10" s="112">
        <v>0</v>
      </c>
      <c r="P10" s="112">
        <v>0.33</v>
      </c>
      <c r="Q10" s="112">
        <v>4.8099999999999996</v>
      </c>
    </row>
    <row r="11" spans="1:21" customFormat="1">
      <c r="A11" s="80">
        <v>45451.03125</v>
      </c>
      <c r="B11" s="112">
        <v>7.16</v>
      </c>
      <c r="C11" s="112">
        <v>6.07</v>
      </c>
      <c r="D11" s="112">
        <v>13.92</v>
      </c>
      <c r="E11" s="112">
        <v>8.34</v>
      </c>
      <c r="F11" s="112">
        <v>14.15</v>
      </c>
      <c r="G11" s="112">
        <v>14.12</v>
      </c>
      <c r="H11" s="112">
        <v>7.6</v>
      </c>
      <c r="I11" s="112">
        <v>3.53</v>
      </c>
      <c r="J11" s="112">
        <v>0.57999999999999996</v>
      </c>
      <c r="K11" s="112">
        <v>264.51</v>
      </c>
      <c r="L11" s="112">
        <v>30.17</v>
      </c>
      <c r="M11" s="112">
        <v>53.37</v>
      </c>
      <c r="N11" s="112">
        <v>0</v>
      </c>
      <c r="O11" s="112">
        <v>0</v>
      </c>
      <c r="P11" s="112">
        <v>0.33</v>
      </c>
      <c r="Q11" s="112">
        <v>4.8</v>
      </c>
    </row>
    <row r="12" spans="1:21" customFormat="1">
      <c r="A12" s="80">
        <v>45451.041666666664</v>
      </c>
      <c r="B12" s="112">
        <v>7.17</v>
      </c>
      <c r="C12" s="112">
        <v>6.05</v>
      </c>
      <c r="D12" s="112">
        <v>13.92</v>
      </c>
      <c r="E12" s="112">
        <v>8.4499999999999993</v>
      </c>
      <c r="F12" s="112">
        <v>17.16</v>
      </c>
      <c r="G12" s="112">
        <v>13.42</v>
      </c>
      <c r="H12" s="112">
        <v>8.0500000000000007</v>
      </c>
      <c r="I12" s="112">
        <v>3.71</v>
      </c>
      <c r="J12" s="112">
        <v>0.31</v>
      </c>
      <c r="K12" s="112">
        <v>234.45</v>
      </c>
      <c r="L12" s="112">
        <v>30.45</v>
      </c>
      <c r="M12" s="112">
        <v>54.14</v>
      </c>
      <c r="N12" s="112">
        <v>0</v>
      </c>
      <c r="O12" s="112">
        <v>0</v>
      </c>
      <c r="P12" s="112">
        <v>0.33</v>
      </c>
      <c r="Q12" s="112">
        <v>4.8099999999999996</v>
      </c>
    </row>
    <row r="13" spans="1:21" customFormat="1">
      <c r="A13" s="80">
        <v>45451.052083333336</v>
      </c>
      <c r="B13" s="112">
        <v>7.16</v>
      </c>
      <c r="C13" s="112">
        <v>6.05</v>
      </c>
      <c r="D13" s="112">
        <v>13.91</v>
      </c>
      <c r="E13" s="112">
        <v>8.66</v>
      </c>
      <c r="F13" s="112">
        <v>16.079999999999998</v>
      </c>
      <c r="G13" s="112">
        <v>11.57</v>
      </c>
      <c r="H13" s="112">
        <v>8.83</v>
      </c>
      <c r="I13" s="112">
        <v>3.59</v>
      </c>
      <c r="J13" s="112">
        <v>0.22</v>
      </c>
      <c r="K13" s="112">
        <v>220.6</v>
      </c>
      <c r="L13" s="112">
        <v>30.37</v>
      </c>
      <c r="M13" s="112">
        <v>55.22</v>
      </c>
      <c r="N13" s="112">
        <v>0</v>
      </c>
      <c r="O13" s="112">
        <v>0</v>
      </c>
      <c r="P13" s="112">
        <v>0.33</v>
      </c>
      <c r="Q13" s="112">
        <v>4.82</v>
      </c>
    </row>
    <row r="14" spans="1:21" customFormat="1">
      <c r="A14" s="80">
        <v>45451.0625</v>
      </c>
      <c r="B14" s="112">
        <v>7.15</v>
      </c>
      <c r="C14" s="112">
        <v>6.09</v>
      </c>
      <c r="D14" s="112">
        <v>13.93</v>
      </c>
      <c r="E14" s="112">
        <v>8.83</v>
      </c>
      <c r="F14" s="112">
        <v>15.03</v>
      </c>
      <c r="G14" s="112">
        <v>11.57</v>
      </c>
      <c r="H14" s="112">
        <v>8.83</v>
      </c>
      <c r="I14" s="112">
        <v>3.48</v>
      </c>
      <c r="J14" s="112">
        <v>0.31</v>
      </c>
      <c r="K14" s="112">
        <v>248.2</v>
      </c>
      <c r="L14" s="112">
        <v>30.17</v>
      </c>
      <c r="M14" s="112">
        <v>57.21</v>
      </c>
      <c r="N14" s="112">
        <v>0</v>
      </c>
      <c r="O14" s="112">
        <v>0</v>
      </c>
      <c r="P14" s="112">
        <v>0.32</v>
      </c>
      <c r="Q14" s="112">
        <v>4.83</v>
      </c>
    </row>
    <row r="15" spans="1:21" customFormat="1">
      <c r="A15" s="80">
        <v>45451.072916666664</v>
      </c>
      <c r="B15" s="112">
        <v>7.11</v>
      </c>
      <c r="C15" s="112">
        <v>6.06</v>
      </c>
      <c r="D15" s="112">
        <v>13.87</v>
      </c>
      <c r="E15" s="112">
        <v>8.9</v>
      </c>
      <c r="F15" s="112">
        <v>15.74</v>
      </c>
      <c r="G15" s="112">
        <v>11.57</v>
      </c>
      <c r="H15" s="112">
        <v>8.83</v>
      </c>
      <c r="I15" s="112">
        <v>3.42</v>
      </c>
      <c r="J15" s="112">
        <v>0.26</v>
      </c>
      <c r="K15" s="112">
        <v>234.82</v>
      </c>
      <c r="L15" s="112">
        <v>29.94</v>
      </c>
      <c r="M15" s="112">
        <v>59.11</v>
      </c>
      <c r="N15" s="112">
        <v>0</v>
      </c>
      <c r="O15" s="112">
        <v>0</v>
      </c>
      <c r="P15" s="112">
        <v>0.33</v>
      </c>
      <c r="Q15" s="112">
        <v>4.8099999999999996</v>
      </c>
    </row>
    <row r="16" spans="1:21" customFormat="1">
      <c r="A16" s="80">
        <v>45451.083333333336</v>
      </c>
      <c r="B16" s="112">
        <v>7.08</v>
      </c>
      <c r="C16" s="112">
        <v>6.07</v>
      </c>
      <c r="D16" s="112">
        <v>13.86</v>
      </c>
      <c r="E16" s="112">
        <v>8.86</v>
      </c>
      <c r="F16" s="112">
        <v>10.23</v>
      </c>
      <c r="G16" s="112">
        <v>13.99</v>
      </c>
      <c r="H16" s="112">
        <v>8.5500000000000007</v>
      </c>
      <c r="I16" s="112">
        <v>3.38</v>
      </c>
      <c r="J16" s="112">
        <v>0.41</v>
      </c>
      <c r="K16" s="112">
        <v>253.38</v>
      </c>
      <c r="L16" s="112">
        <v>29.91</v>
      </c>
      <c r="M16" s="112">
        <v>60.29</v>
      </c>
      <c r="N16" s="112">
        <v>0</v>
      </c>
      <c r="O16" s="112">
        <v>0</v>
      </c>
      <c r="P16" s="112">
        <v>0.33</v>
      </c>
      <c r="Q16" s="112">
        <v>4.8099999999999996</v>
      </c>
    </row>
    <row r="17" spans="1:17" customFormat="1">
      <c r="A17" s="80">
        <v>45451.09375</v>
      </c>
      <c r="B17" s="112">
        <v>7.1</v>
      </c>
      <c r="C17" s="112">
        <v>6.05</v>
      </c>
      <c r="D17" s="112">
        <v>13.87</v>
      </c>
      <c r="E17" s="112">
        <v>7.84</v>
      </c>
      <c r="F17" s="112">
        <v>10.56</v>
      </c>
      <c r="G17" s="112">
        <v>20.27</v>
      </c>
      <c r="H17" s="112">
        <v>8.02</v>
      </c>
      <c r="I17" s="112">
        <v>3.4</v>
      </c>
      <c r="J17" s="112">
        <v>0.47</v>
      </c>
      <c r="K17" s="112">
        <v>250.89</v>
      </c>
      <c r="L17" s="112">
        <v>29.9</v>
      </c>
      <c r="M17" s="112">
        <v>61.32</v>
      </c>
      <c r="N17" s="112">
        <v>0</v>
      </c>
      <c r="O17" s="112">
        <v>0</v>
      </c>
      <c r="P17" s="112">
        <v>0.33</v>
      </c>
      <c r="Q17" s="112">
        <v>4.8099999999999996</v>
      </c>
    </row>
    <row r="18" spans="1:17" customFormat="1">
      <c r="A18" s="80">
        <v>45451.104166666664</v>
      </c>
      <c r="B18" s="112">
        <v>7.1</v>
      </c>
      <c r="C18" s="112">
        <v>6.05</v>
      </c>
      <c r="D18" s="112">
        <v>13.87</v>
      </c>
      <c r="E18" s="112">
        <v>9.43</v>
      </c>
      <c r="F18" s="112">
        <v>17.21</v>
      </c>
      <c r="G18" s="112">
        <v>20.27</v>
      </c>
      <c r="H18" s="112">
        <v>8.02</v>
      </c>
      <c r="I18" s="112">
        <v>3.46</v>
      </c>
      <c r="J18" s="112">
        <v>0.75</v>
      </c>
      <c r="K18" s="112">
        <v>264.95</v>
      </c>
      <c r="L18" s="112">
        <v>29.84</v>
      </c>
      <c r="M18" s="112">
        <v>62.39</v>
      </c>
      <c r="N18" s="112">
        <v>0</v>
      </c>
      <c r="O18" s="112">
        <v>0</v>
      </c>
      <c r="P18" s="112">
        <v>0.34</v>
      </c>
      <c r="Q18" s="112">
        <v>4.82</v>
      </c>
    </row>
    <row r="19" spans="1:17" customFormat="1">
      <c r="A19" s="80">
        <v>45451.114583333336</v>
      </c>
      <c r="B19" s="112">
        <v>7.09</v>
      </c>
      <c r="C19" s="112">
        <v>6.06</v>
      </c>
      <c r="D19" s="112">
        <v>13.86</v>
      </c>
      <c r="E19" s="112">
        <v>9.7100000000000009</v>
      </c>
      <c r="F19" s="112">
        <v>17.55</v>
      </c>
      <c r="G19" s="112">
        <v>20.27</v>
      </c>
      <c r="H19" s="112">
        <v>8.02</v>
      </c>
      <c r="I19" s="112">
        <v>3.45</v>
      </c>
      <c r="J19" s="112">
        <v>0.42</v>
      </c>
      <c r="K19" s="112">
        <v>257.56</v>
      </c>
      <c r="L19" s="112">
        <v>29.95</v>
      </c>
      <c r="M19" s="112">
        <v>62.53</v>
      </c>
      <c r="N19" s="112">
        <v>0</v>
      </c>
      <c r="O19" s="112">
        <v>0</v>
      </c>
      <c r="P19" s="112">
        <v>0.33</v>
      </c>
      <c r="Q19" s="112">
        <v>4.82</v>
      </c>
    </row>
    <row r="20" spans="1:17" customFormat="1">
      <c r="A20" s="80">
        <v>45451.125</v>
      </c>
      <c r="B20" s="112">
        <v>7.1</v>
      </c>
      <c r="C20" s="112">
        <v>6.06</v>
      </c>
      <c r="D20" s="112">
        <v>13.87</v>
      </c>
      <c r="E20" s="112">
        <v>9.68</v>
      </c>
      <c r="F20" s="112">
        <v>13.05</v>
      </c>
      <c r="G20" s="112">
        <v>19.89</v>
      </c>
      <c r="H20" s="112">
        <v>8.76</v>
      </c>
      <c r="I20" s="112">
        <v>3.52</v>
      </c>
      <c r="J20" s="112">
        <v>0.22</v>
      </c>
      <c r="K20" s="112">
        <v>224.65</v>
      </c>
      <c r="L20" s="112">
        <v>29.9</v>
      </c>
      <c r="M20" s="112">
        <v>63.11</v>
      </c>
      <c r="N20" s="112">
        <v>0</v>
      </c>
      <c r="O20" s="112">
        <v>0</v>
      </c>
      <c r="P20" s="112">
        <v>0.33</v>
      </c>
      <c r="Q20" s="112">
        <v>4.82</v>
      </c>
    </row>
    <row r="21" spans="1:17" customFormat="1">
      <c r="A21" s="80">
        <v>45451.135416666664</v>
      </c>
      <c r="B21" s="112">
        <v>7.1</v>
      </c>
      <c r="C21" s="112">
        <v>6.05</v>
      </c>
      <c r="D21" s="112">
        <v>13.86</v>
      </c>
      <c r="E21" s="112">
        <v>9.85</v>
      </c>
      <c r="F21" s="112">
        <v>13.84</v>
      </c>
      <c r="G21" s="112">
        <v>18.850000000000001</v>
      </c>
      <c r="H21" s="112">
        <v>10.09</v>
      </c>
      <c r="I21" s="112">
        <v>3.45</v>
      </c>
      <c r="J21" s="112">
        <v>0.19</v>
      </c>
      <c r="K21" s="112">
        <v>212.3</v>
      </c>
      <c r="L21" s="112">
        <v>29.9</v>
      </c>
      <c r="M21" s="112">
        <v>63.54</v>
      </c>
      <c r="N21" s="112">
        <v>0</v>
      </c>
      <c r="O21" s="112">
        <v>0</v>
      </c>
      <c r="P21" s="112">
        <v>0.33</v>
      </c>
      <c r="Q21" s="112">
        <v>4.82</v>
      </c>
    </row>
    <row r="22" spans="1:17" customFormat="1">
      <c r="A22" s="80">
        <v>45451.145833333336</v>
      </c>
      <c r="B22" s="112">
        <v>7.09</v>
      </c>
      <c r="C22" s="112">
        <v>6.09</v>
      </c>
      <c r="D22" s="112">
        <v>13.87</v>
      </c>
      <c r="E22" s="112">
        <v>9.7799999999999994</v>
      </c>
      <c r="F22" s="112">
        <v>10.58</v>
      </c>
      <c r="G22" s="112">
        <v>18.850000000000001</v>
      </c>
      <c r="H22" s="112">
        <v>10.09</v>
      </c>
      <c r="I22" s="112">
        <v>3.37</v>
      </c>
      <c r="J22" s="112">
        <v>0.19</v>
      </c>
      <c r="K22" s="112">
        <v>231.27</v>
      </c>
      <c r="L22" s="112">
        <v>29.6</v>
      </c>
      <c r="M22" s="112">
        <v>65.95</v>
      </c>
      <c r="N22" s="112">
        <v>0</v>
      </c>
      <c r="O22" s="112">
        <v>0</v>
      </c>
      <c r="P22" s="112">
        <v>0.33</v>
      </c>
      <c r="Q22" s="112">
        <v>4.82</v>
      </c>
    </row>
    <row r="23" spans="1:17" customFormat="1">
      <c r="A23" s="80">
        <v>45451.15625</v>
      </c>
      <c r="B23" s="112">
        <v>7.1</v>
      </c>
      <c r="C23" s="112">
        <v>6.08</v>
      </c>
      <c r="D23" s="112">
        <v>13.88</v>
      </c>
      <c r="E23" s="112">
        <v>9.75</v>
      </c>
      <c r="F23" s="112">
        <v>9.76</v>
      </c>
      <c r="G23" s="112">
        <v>18.850000000000001</v>
      </c>
      <c r="H23" s="112">
        <v>10.09</v>
      </c>
      <c r="I23" s="112">
        <v>3.38</v>
      </c>
      <c r="J23" s="112">
        <v>0.25</v>
      </c>
      <c r="K23" s="112">
        <v>258.52999999999997</v>
      </c>
      <c r="L23" s="112">
        <v>29.5</v>
      </c>
      <c r="M23" s="112">
        <v>66.09</v>
      </c>
      <c r="N23" s="112">
        <v>0</v>
      </c>
      <c r="O23" s="112">
        <v>0</v>
      </c>
      <c r="P23" s="112">
        <v>0.33</v>
      </c>
      <c r="Q23" s="112">
        <v>4.83</v>
      </c>
    </row>
    <row r="24" spans="1:17" customFormat="1">
      <c r="A24" s="80">
        <v>45451.166666666664</v>
      </c>
      <c r="B24" s="112">
        <v>7.11</v>
      </c>
      <c r="C24" s="112">
        <v>6.07</v>
      </c>
      <c r="D24" s="112">
        <v>13.88</v>
      </c>
      <c r="E24" s="112">
        <v>9.7799999999999994</v>
      </c>
      <c r="F24" s="112">
        <v>10.039999999999999</v>
      </c>
      <c r="G24" s="112">
        <v>19.34</v>
      </c>
      <c r="H24" s="112">
        <v>9.86</v>
      </c>
      <c r="I24" s="112">
        <v>3.35</v>
      </c>
      <c r="J24" s="112">
        <v>0.31</v>
      </c>
      <c r="K24" s="112">
        <v>237.02</v>
      </c>
      <c r="L24" s="112">
        <v>29.56</v>
      </c>
      <c r="M24" s="112">
        <v>65.67</v>
      </c>
      <c r="N24" s="112">
        <v>0</v>
      </c>
      <c r="O24" s="112">
        <v>0</v>
      </c>
      <c r="P24" s="112">
        <v>0.34</v>
      </c>
      <c r="Q24" s="112">
        <v>4.83</v>
      </c>
    </row>
    <row r="25" spans="1:17" customFormat="1">
      <c r="A25" s="80">
        <v>45451.177083333336</v>
      </c>
      <c r="B25" s="112">
        <v>7.09</v>
      </c>
      <c r="C25" s="112">
        <v>6.1</v>
      </c>
      <c r="D25" s="112">
        <v>13.88</v>
      </c>
      <c r="E25" s="112">
        <v>10.07</v>
      </c>
      <c r="F25" s="112">
        <v>11.34</v>
      </c>
      <c r="G25" s="112">
        <v>20.69</v>
      </c>
      <c r="H25" s="112">
        <v>8.84</v>
      </c>
      <c r="I25" s="112">
        <v>3.36</v>
      </c>
      <c r="J25" s="112">
        <v>0.31</v>
      </c>
      <c r="K25" s="112">
        <v>249.76</v>
      </c>
      <c r="L25" s="112">
        <v>29.71</v>
      </c>
      <c r="M25" s="112">
        <v>65.41</v>
      </c>
      <c r="N25" s="112">
        <v>0</v>
      </c>
      <c r="O25" s="112">
        <v>0</v>
      </c>
      <c r="P25" s="112">
        <v>0.33</v>
      </c>
      <c r="Q25" s="112">
        <v>4.83</v>
      </c>
    </row>
    <row r="26" spans="1:17" customFormat="1">
      <c r="A26" s="80">
        <v>45451.1875</v>
      </c>
      <c r="B26" s="112">
        <v>7.08</v>
      </c>
      <c r="C26" s="112">
        <v>6.1</v>
      </c>
      <c r="D26" s="112">
        <v>13.87</v>
      </c>
      <c r="E26" s="112">
        <v>10.56</v>
      </c>
      <c r="F26" s="112">
        <v>7.36</v>
      </c>
      <c r="G26" s="112">
        <v>20.69</v>
      </c>
      <c r="H26" s="112">
        <v>8.84</v>
      </c>
      <c r="I26" s="112">
        <v>3.4</v>
      </c>
      <c r="J26" s="112">
        <v>0.23</v>
      </c>
      <c r="K26" s="112">
        <v>253.25</v>
      </c>
      <c r="L26" s="112">
        <v>29.86</v>
      </c>
      <c r="M26" s="112">
        <v>65.31</v>
      </c>
      <c r="N26" s="112">
        <v>0</v>
      </c>
      <c r="O26" s="112">
        <v>0</v>
      </c>
      <c r="P26" s="112">
        <v>0.34</v>
      </c>
      <c r="Q26" s="112">
        <v>4.82</v>
      </c>
    </row>
    <row r="27" spans="1:17" customFormat="1">
      <c r="A27" s="80">
        <v>45451.197916666664</v>
      </c>
      <c r="B27" s="112">
        <v>7.08</v>
      </c>
      <c r="C27" s="112">
        <v>6.06</v>
      </c>
      <c r="D27" s="112">
        <v>13.86</v>
      </c>
      <c r="E27" s="112">
        <v>10.38</v>
      </c>
      <c r="F27" s="112">
        <v>8.1999999999999993</v>
      </c>
      <c r="G27" s="112">
        <v>20.69</v>
      </c>
      <c r="H27" s="112">
        <v>8.84</v>
      </c>
      <c r="I27" s="112">
        <v>3.47</v>
      </c>
      <c r="J27" s="112">
        <v>0.45</v>
      </c>
      <c r="K27" s="112">
        <v>248.42</v>
      </c>
      <c r="L27" s="112">
        <v>29.67</v>
      </c>
      <c r="M27" s="112">
        <v>65.92</v>
      </c>
      <c r="N27" s="112">
        <v>0</v>
      </c>
      <c r="O27" s="112">
        <v>0</v>
      </c>
      <c r="P27" s="112">
        <v>0.34</v>
      </c>
      <c r="Q27" s="112">
        <v>4.8099999999999996</v>
      </c>
    </row>
    <row r="28" spans="1:17" customFormat="1">
      <c r="A28" s="80">
        <v>45451.208333333336</v>
      </c>
      <c r="B28" s="112">
        <v>7.09</v>
      </c>
      <c r="C28" s="112">
        <v>6.07</v>
      </c>
      <c r="D28" s="112">
        <v>13.87</v>
      </c>
      <c r="E28" s="112">
        <v>10.41</v>
      </c>
      <c r="F28" s="112">
        <v>7.73</v>
      </c>
      <c r="G28" s="112">
        <v>20.48</v>
      </c>
      <c r="H28" s="112">
        <v>9.27</v>
      </c>
      <c r="I28" s="112">
        <v>3.45</v>
      </c>
      <c r="J28" s="112">
        <v>0.39</v>
      </c>
      <c r="K28" s="112">
        <v>249.65</v>
      </c>
      <c r="L28" s="112">
        <v>29.75</v>
      </c>
      <c r="M28" s="112">
        <v>65.88</v>
      </c>
      <c r="N28" s="112">
        <v>0</v>
      </c>
      <c r="O28" s="112">
        <v>0</v>
      </c>
      <c r="P28" s="112">
        <v>0.34</v>
      </c>
      <c r="Q28" s="112">
        <v>4.8099999999999996</v>
      </c>
    </row>
    <row r="29" spans="1:17" customFormat="1">
      <c r="A29" s="80">
        <v>45451.21875</v>
      </c>
      <c r="B29" s="112">
        <v>7.08</v>
      </c>
      <c r="C29" s="112">
        <v>6.08</v>
      </c>
      <c r="D29" s="112">
        <v>13.86</v>
      </c>
      <c r="E29" s="112">
        <v>10.76</v>
      </c>
      <c r="F29" s="112">
        <v>15.54</v>
      </c>
      <c r="G29" s="112">
        <v>19.96</v>
      </c>
      <c r="H29" s="112">
        <v>10.039999999999999</v>
      </c>
      <c r="I29" s="112">
        <v>3.5</v>
      </c>
      <c r="J29" s="112">
        <v>0.22</v>
      </c>
      <c r="K29" s="112">
        <v>220.39</v>
      </c>
      <c r="L29" s="112">
        <v>29.67</v>
      </c>
      <c r="M29" s="112">
        <v>66.569999999999993</v>
      </c>
      <c r="N29" s="112">
        <v>0</v>
      </c>
      <c r="O29" s="112">
        <v>0</v>
      </c>
      <c r="P29" s="112">
        <v>0.34</v>
      </c>
      <c r="Q29" s="112">
        <v>4.8</v>
      </c>
    </row>
    <row r="30" spans="1:17" customFormat="1">
      <c r="A30" s="80">
        <v>45451.229166666664</v>
      </c>
      <c r="B30" s="112">
        <v>7.07</v>
      </c>
      <c r="C30" s="112">
        <v>6.09</v>
      </c>
      <c r="D30" s="112">
        <v>13.86</v>
      </c>
      <c r="E30" s="112">
        <v>10.54</v>
      </c>
      <c r="F30" s="112">
        <v>19.940000000000001</v>
      </c>
      <c r="G30" s="112">
        <v>19.96</v>
      </c>
      <c r="H30" s="112">
        <v>10.039999999999999</v>
      </c>
      <c r="I30" s="112">
        <v>3.53</v>
      </c>
      <c r="J30" s="112">
        <v>0.26</v>
      </c>
      <c r="K30" s="112">
        <v>272.12</v>
      </c>
      <c r="L30" s="112">
        <v>29.48</v>
      </c>
      <c r="M30" s="112">
        <v>67.959999999999994</v>
      </c>
      <c r="N30" s="112">
        <v>5.5</v>
      </c>
      <c r="O30" s="112">
        <v>0</v>
      </c>
      <c r="P30" s="112">
        <v>0.33</v>
      </c>
      <c r="Q30" s="112">
        <v>4.83</v>
      </c>
    </row>
    <row r="31" spans="1:17" customFormat="1">
      <c r="A31" s="80">
        <v>45451.239583333336</v>
      </c>
      <c r="B31" s="112">
        <v>7.07</v>
      </c>
      <c r="C31" s="112">
        <v>6.1</v>
      </c>
      <c r="D31" s="112">
        <v>13.86</v>
      </c>
      <c r="E31" s="112">
        <v>10.53</v>
      </c>
      <c r="F31" s="112">
        <v>17.04</v>
      </c>
      <c r="G31" s="112">
        <v>19.96</v>
      </c>
      <c r="H31" s="112">
        <v>10.039999999999999</v>
      </c>
      <c r="I31" s="112">
        <v>3.38</v>
      </c>
      <c r="J31" s="112">
        <v>0.35</v>
      </c>
      <c r="K31" s="112">
        <v>248.86</v>
      </c>
      <c r="L31" s="112">
        <v>29.67</v>
      </c>
      <c r="M31" s="112">
        <v>67.58</v>
      </c>
      <c r="N31" s="112">
        <v>19.5</v>
      </c>
      <c r="O31" s="112">
        <v>0</v>
      </c>
      <c r="P31" s="112">
        <v>0.32</v>
      </c>
      <c r="Q31" s="112">
        <v>4.8499999999999996</v>
      </c>
    </row>
    <row r="32" spans="1:17" customFormat="1">
      <c r="A32" s="80">
        <v>45451.25</v>
      </c>
      <c r="B32" s="112">
        <v>7.08</v>
      </c>
      <c r="C32" s="112">
        <v>6.1</v>
      </c>
      <c r="D32" s="112">
        <v>13.88</v>
      </c>
      <c r="E32" s="112">
        <v>10.36</v>
      </c>
      <c r="F32" s="112">
        <v>19.170000000000002</v>
      </c>
      <c r="G32" s="112">
        <v>20.059999999999999</v>
      </c>
      <c r="H32" s="112">
        <v>9.6199999999999992</v>
      </c>
      <c r="I32" s="112">
        <v>3.25</v>
      </c>
      <c r="J32" s="112">
        <v>0.38</v>
      </c>
      <c r="K32" s="112">
        <v>258.13</v>
      </c>
      <c r="L32" s="112">
        <v>29.79</v>
      </c>
      <c r="M32" s="112">
        <v>67.739999999999995</v>
      </c>
      <c r="N32" s="112">
        <v>33.299999999999997</v>
      </c>
      <c r="O32" s="112">
        <v>0</v>
      </c>
      <c r="P32" s="112">
        <v>0.32</v>
      </c>
      <c r="Q32" s="112">
        <v>4.84</v>
      </c>
    </row>
    <row r="33" spans="1:17" customFormat="1">
      <c r="A33" s="80">
        <v>45451.260416666664</v>
      </c>
      <c r="B33" s="112">
        <v>7.07</v>
      </c>
      <c r="C33" s="112">
        <v>6.08</v>
      </c>
      <c r="D33" s="112">
        <v>13.86</v>
      </c>
      <c r="E33" s="112">
        <v>9.93</v>
      </c>
      <c r="F33" s="112">
        <v>13.65</v>
      </c>
      <c r="G33" s="112">
        <v>20.32</v>
      </c>
      <c r="H33" s="112">
        <v>8.89</v>
      </c>
      <c r="I33" s="112">
        <v>3.29</v>
      </c>
      <c r="J33" s="112">
        <v>0.56999999999999995</v>
      </c>
      <c r="K33" s="112">
        <v>262.44</v>
      </c>
      <c r="L33" s="112">
        <v>29.92</v>
      </c>
      <c r="M33" s="112">
        <v>67.650000000000006</v>
      </c>
      <c r="N33" s="112">
        <v>43.9</v>
      </c>
      <c r="O33" s="112">
        <v>0</v>
      </c>
      <c r="P33" s="112">
        <v>0.31</v>
      </c>
      <c r="Q33" s="112">
        <v>4.83</v>
      </c>
    </row>
    <row r="34" spans="1:17" customFormat="1">
      <c r="A34" s="80">
        <v>45451.270833333336</v>
      </c>
      <c r="B34" s="112">
        <v>7.09</v>
      </c>
      <c r="C34" s="112">
        <v>6.05</v>
      </c>
      <c r="D34" s="112">
        <v>13.85</v>
      </c>
      <c r="E34" s="112">
        <v>9.9499999999999993</v>
      </c>
      <c r="F34" s="112">
        <v>14.82</v>
      </c>
      <c r="G34" s="112">
        <v>20.32</v>
      </c>
      <c r="H34" s="112">
        <v>8.89</v>
      </c>
      <c r="I34" s="112">
        <v>3.4</v>
      </c>
      <c r="J34" s="112">
        <v>0.6</v>
      </c>
      <c r="K34" s="112">
        <v>272.45</v>
      </c>
      <c r="L34" s="112">
        <v>30.04</v>
      </c>
      <c r="M34" s="112">
        <v>67.91</v>
      </c>
      <c r="N34" s="112">
        <v>53.5</v>
      </c>
      <c r="O34" s="112">
        <v>0</v>
      </c>
      <c r="P34" s="112">
        <v>0.31</v>
      </c>
      <c r="Q34" s="112">
        <v>4.83</v>
      </c>
    </row>
    <row r="35" spans="1:17" customFormat="1">
      <c r="A35" s="80">
        <v>45451.28125</v>
      </c>
      <c r="B35" s="112">
        <v>7.09</v>
      </c>
      <c r="C35" s="112">
        <v>6.08</v>
      </c>
      <c r="D35" s="112">
        <v>13.87</v>
      </c>
      <c r="E35" s="112">
        <v>9.94</v>
      </c>
      <c r="F35" s="112">
        <v>26.67</v>
      </c>
      <c r="G35" s="112">
        <v>20.32</v>
      </c>
      <c r="H35" s="112">
        <v>8.89</v>
      </c>
      <c r="I35" s="112">
        <v>3.44</v>
      </c>
      <c r="J35" s="112">
        <v>0.53</v>
      </c>
      <c r="K35" s="112">
        <v>269.54000000000002</v>
      </c>
      <c r="L35" s="112">
        <v>30.19</v>
      </c>
      <c r="M35" s="112">
        <v>68.52</v>
      </c>
      <c r="N35" s="112">
        <v>60</v>
      </c>
      <c r="O35" s="112">
        <v>0</v>
      </c>
      <c r="P35" s="112">
        <v>0.32</v>
      </c>
      <c r="Q35" s="112">
        <v>4.8499999999999996</v>
      </c>
    </row>
    <row r="36" spans="1:17" customFormat="1">
      <c r="A36" s="80">
        <v>45451.291666666664</v>
      </c>
      <c r="B36" s="112">
        <v>7.1</v>
      </c>
      <c r="C36" s="112">
        <v>6.07</v>
      </c>
      <c r="D36" s="112">
        <v>13.88</v>
      </c>
      <c r="E36" s="112">
        <v>9.9700000000000006</v>
      </c>
      <c r="F36" s="112">
        <v>16.09</v>
      </c>
      <c r="G36" s="112">
        <v>21.26</v>
      </c>
      <c r="H36" s="112">
        <v>9.0299999999999994</v>
      </c>
      <c r="I36" s="112">
        <v>3.47</v>
      </c>
      <c r="J36" s="112">
        <v>0.6</v>
      </c>
      <c r="K36" s="112">
        <v>276.70999999999998</v>
      </c>
      <c r="L36" s="112">
        <v>30.5</v>
      </c>
      <c r="M36" s="112">
        <v>67.37</v>
      </c>
      <c r="N36" s="112">
        <v>71.8</v>
      </c>
      <c r="O36" s="112">
        <v>0</v>
      </c>
      <c r="P36" s="112">
        <v>0.31</v>
      </c>
      <c r="Q36" s="112">
        <v>4.83</v>
      </c>
    </row>
    <row r="37" spans="1:17" customFormat="1">
      <c r="A37" s="80">
        <v>45451.302083333336</v>
      </c>
      <c r="B37" s="112">
        <v>7.13</v>
      </c>
      <c r="C37" s="112">
        <v>6.06</v>
      </c>
      <c r="D37" s="112">
        <v>13.89</v>
      </c>
      <c r="E37" s="112">
        <v>10.19</v>
      </c>
      <c r="F37" s="112">
        <v>17.010000000000002</v>
      </c>
      <c r="G37" s="112">
        <v>23.7</v>
      </c>
      <c r="H37" s="112">
        <v>9.3000000000000007</v>
      </c>
      <c r="I37" s="112">
        <v>3.49</v>
      </c>
      <c r="J37" s="112">
        <v>0.66</v>
      </c>
      <c r="K37" s="112">
        <v>271.86</v>
      </c>
      <c r="L37" s="112">
        <v>30.88</v>
      </c>
      <c r="M37" s="112">
        <v>66.02</v>
      </c>
      <c r="N37" s="112">
        <v>84.2</v>
      </c>
      <c r="O37" s="112">
        <v>0</v>
      </c>
      <c r="P37" s="112">
        <v>0.31</v>
      </c>
      <c r="Q37" s="112">
        <v>4.82</v>
      </c>
    </row>
    <row r="38" spans="1:17" customFormat="1">
      <c r="A38" s="80">
        <v>45451.3125</v>
      </c>
      <c r="B38" s="112">
        <v>7.12</v>
      </c>
      <c r="C38" s="112">
        <v>6.05</v>
      </c>
      <c r="D38" s="112">
        <v>13.88</v>
      </c>
      <c r="E38" s="112">
        <v>9.99</v>
      </c>
      <c r="F38" s="112">
        <v>13.19</v>
      </c>
      <c r="G38" s="112">
        <v>23.7</v>
      </c>
      <c r="H38" s="112">
        <v>9.3000000000000007</v>
      </c>
      <c r="I38" s="112">
        <v>3.55</v>
      </c>
      <c r="J38" s="112">
        <v>0.89</v>
      </c>
      <c r="K38" s="112">
        <v>267.33999999999997</v>
      </c>
      <c r="L38" s="112">
        <v>31.08</v>
      </c>
      <c r="M38" s="112">
        <v>63.9</v>
      </c>
      <c r="N38" s="112">
        <v>96.1</v>
      </c>
      <c r="O38" s="112">
        <v>0</v>
      </c>
      <c r="P38" s="112">
        <v>0.33</v>
      </c>
      <c r="Q38" s="112">
        <v>4.8099999999999996</v>
      </c>
    </row>
    <row r="39" spans="1:17" customFormat="1">
      <c r="A39" s="80">
        <v>45451.322916666664</v>
      </c>
      <c r="B39" s="112">
        <v>7.12</v>
      </c>
      <c r="C39" s="112">
        <v>6.04</v>
      </c>
      <c r="D39" s="112">
        <v>13.87</v>
      </c>
      <c r="E39" s="112">
        <v>9.32</v>
      </c>
      <c r="F39" s="112">
        <v>12.62</v>
      </c>
      <c r="G39" s="112">
        <v>23.7</v>
      </c>
      <c r="H39" s="112">
        <v>9.3000000000000007</v>
      </c>
      <c r="I39" s="112">
        <v>3.64</v>
      </c>
      <c r="J39" s="112">
        <v>1.02</v>
      </c>
      <c r="K39" s="112">
        <v>265.16000000000003</v>
      </c>
      <c r="L39" s="112">
        <v>31.21</v>
      </c>
      <c r="M39" s="112">
        <v>63.36</v>
      </c>
      <c r="N39" s="112">
        <v>116.1</v>
      </c>
      <c r="O39" s="112">
        <v>0</v>
      </c>
      <c r="P39" s="112">
        <v>0.31</v>
      </c>
      <c r="Q39" s="112">
        <v>4.82</v>
      </c>
    </row>
    <row r="40" spans="1:17" customFormat="1">
      <c r="A40" s="80">
        <v>45451.333333333336</v>
      </c>
      <c r="B40" s="112">
        <v>7.12</v>
      </c>
      <c r="C40" s="112">
        <v>6.06</v>
      </c>
      <c r="D40" s="112">
        <v>13.88</v>
      </c>
      <c r="E40" s="112">
        <v>10.119999999999999</v>
      </c>
      <c r="F40" s="112">
        <v>12.22</v>
      </c>
      <c r="G40" s="112">
        <v>23.64</v>
      </c>
      <c r="H40" s="112">
        <v>9.86</v>
      </c>
      <c r="I40" s="112">
        <v>3.75</v>
      </c>
      <c r="J40" s="112">
        <v>1.21</v>
      </c>
      <c r="K40" s="112">
        <v>268.93</v>
      </c>
      <c r="L40" s="112">
        <v>31.49</v>
      </c>
      <c r="M40" s="112">
        <v>62.45</v>
      </c>
      <c r="N40" s="112">
        <v>134.5</v>
      </c>
      <c r="O40" s="112">
        <v>0</v>
      </c>
      <c r="P40" s="112">
        <v>0.32</v>
      </c>
      <c r="Q40" s="112">
        <v>4.82</v>
      </c>
    </row>
    <row r="41" spans="1:17" customFormat="1">
      <c r="A41" s="80">
        <v>45451.34375</v>
      </c>
      <c r="B41" s="112">
        <v>7.12</v>
      </c>
      <c r="C41" s="112">
        <v>6.05</v>
      </c>
      <c r="D41" s="112">
        <v>13.88</v>
      </c>
      <c r="E41" s="112">
        <v>9.3000000000000007</v>
      </c>
      <c r="F41" s="112">
        <v>9.9</v>
      </c>
      <c r="G41" s="112">
        <v>23.49</v>
      </c>
      <c r="H41" s="112">
        <v>10.91</v>
      </c>
      <c r="I41" s="112">
        <v>3.77</v>
      </c>
      <c r="J41" s="112">
        <v>1.56</v>
      </c>
      <c r="K41" s="112">
        <v>271.33</v>
      </c>
      <c r="L41" s="112">
        <v>31.63</v>
      </c>
      <c r="M41" s="112">
        <v>61.78</v>
      </c>
      <c r="N41" s="112">
        <v>153.19999999999999</v>
      </c>
      <c r="O41" s="112">
        <v>0</v>
      </c>
      <c r="P41" s="112">
        <v>0.31</v>
      </c>
      <c r="Q41" s="112">
        <v>4.82</v>
      </c>
    </row>
    <row r="42" spans="1:17" customFormat="1">
      <c r="A42" s="80">
        <v>45451.354166666664</v>
      </c>
      <c r="B42" s="112">
        <v>7.12</v>
      </c>
      <c r="C42" s="112">
        <v>6.05</v>
      </c>
      <c r="D42" s="112">
        <v>13.88</v>
      </c>
      <c r="E42" s="112">
        <v>9.07</v>
      </c>
      <c r="F42" s="112">
        <v>11.14</v>
      </c>
      <c r="G42" s="112">
        <v>23.49</v>
      </c>
      <c r="H42" s="112">
        <v>10.91</v>
      </c>
      <c r="I42" s="112">
        <v>3.78</v>
      </c>
      <c r="J42" s="112">
        <v>1.52</v>
      </c>
      <c r="K42" s="112">
        <v>274.64999999999998</v>
      </c>
      <c r="L42" s="112">
        <v>32.32</v>
      </c>
      <c r="M42" s="112">
        <v>59.77</v>
      </c>
      <c r="N42" s="112">
        <v>181.8</v>
      </c>
      <c r="O42" s="112">
        <v>0</v>
      </c>
      <c r="P42" s="112">
        <v>0.31</v>
      </c>
      <c r="Q42" s="112">
        <v>4.8099999999999996</v>
      </c>
    </row>
    <row r="43" spans="1:17" customFormat="1">
      <c r="A43" s="80">
        <v>45451.364583333336</v>
      </c>
      <c r="B43" s="112">
        <v>7.13</v>
      </c>
      <c r="C43" s="112">
        <v>6.05</v>
      </c>
      <c r="D43" s="112">
        <v>13.88</v>
      </c>
      <c r="E43" s="112">
        <v>9.24</v>
      </c>
      <c r="F43" s="112">
        <v>11.15</v>
      </c>
      <c r="G43" s="112">
        <v>23.49</v>
      </c>
      <c r="H43" s="112">
        <v>10.91</v>
      </c>
      <c r="I43" s="112">
        <v>3.76</v>
      </c>
      <c r="J43" s="112">
        <v>1.3</v>
      </c>
      <c r="K43" s="112">
        <v>267.10000000000002</v>
      </c>
      <c r="L43" s="112">
        <v>32.82</v>
      </c>
      <c r="M43" s="112">
        <v>58.56</v>
      </c>
      <c r="N43" s="112">
        <v>196.7</v>
      </c>
      <c r="O43" s="112">
        <v>0</v>
      </c>
      <c r="P43" s="112">
        <v>0.32</v>
      </c>
      <c r="Q43" s="112">
        <v>4.82</v>
      </c>
    </row>
    <row r="44" spans="1:17" customFormat="1">
      <c r="A44" s="80">
        <v>45451.375</v>
      </c>
      <c r="B44" s="112">
        <v>7.13</v>
      </c>
      <c r="C44" s="112">
        <v>6.06</v>
      </c>
      <c r="D44" s="112">
        <v>13.89</v>
      </c>
      <c r="E44" s="112">
        <v>9.42</v>
      </c>
      <c r="F44" s="112">
        <v>14.85</v>
      </c>
      <c r="G44" s="112">
        <v>22.57</v>
      </c>
      <c r="H44" s="112">
        <v>10.39</v>
      </c>
      <c r="I44" s="112">
        <v>3.69</v>
      </c>
      <c r="J44" s="112">
        <v>1.24</v>
      </c>
      <c r="K44" s="112">
        <v>278.52999999999997</v>
      </c>
      <c r="L44" s="112">
        <v>33.03</v>
      </c>
      <c r="M44" s="112">
        <v>57.57</v>
      </c>
      <c r="N44" s="112">
        <v>234.9</v>
      </c>
      <c r="O44" s="112">
        <v>0</v>
      </c>
      <c r="P44" s="112">
        <v>0.33</v>
      </c>
      <c r="Q44" s="112">
        <v>4.8099999999999996</v>
      </c>
    </row>
    <row r="45" spans="1:17" customFormat="1">
      <c r="A45" s="80">
        <v>45451.385416666664</v>
      </c>
      <c r="B45" s="112">
        <v>7.13</v>
      </c>
      <c r="C45" s="112">
        <v>6.06</v>
      </c>
      <c r="D45" s="112">
        <v>13.89</v>
      </c>
      <c r="E45" s="112">
        <v>9.52</v>
      </c>
      <c r="F45" s="112">
        <v>12.74</v>
      </c>
      <c r="G45" s="112">
        <v>20.18</v>
      </c>
      <c r="H45" s="112">
        <v>9.4700000000000006</v>
      </c>
      <c r="I45" s="112">
        <v>3.71</v>
      </c>
      <c r="J45" s="112">
        <v>1.35</v>
      </c>
      <c r="K45" s="112">
        <v>269.81</v>
      </c>
      <c r="L45" s="112">
        <v>33.07</v>
      </c>
      <c r="M45" s="112">
        <v>57.39</v>
      </c>
      <c r="N45" s="112">
        <v>231</v>
      </c>
      <c r="O45" s="112">
        <v>0</v>
      </c>
      <c r="P45" s="112">
        <v>0.31</v>
      </c>
      <c r="Q45" s="112">
        <v>4.84</v>
      </c>
    </row>
    <row r="46" spans="1:17" customFormat="1">
      <c r="A46" s="80">
        <v>45451.395833333336</v>
      </c>
      <c r="B46" s="112">
        <v>7.13</v>
      </c>
      <c r="C46" s="112">
        <v>6.07</v>
      </c>
      <c r="D46" s="112">
        <v>13.9</v>
      </c>
      <c r="E46" s="112">
        <v>10.93</v>
      </c>
      <c r="F46" s="112">
        <v>17.32</v>
      </c>
      <c r="G46" s="112">
        <v>20.18</v>
      </c>
      <c r="H46" s="112">
        <v>9.4700000000000006</v>
      </c>
      <c r="I46" s="112">
        <v>3.68</v>
      </c>
      <c r="J46" s="112">
        <v>1.1200000000000001</v>
      </c>
      <c r="K46" s="112">
        <v>269.64999999999998</v>
      </c>
      <c r="L46" s="112">
        <v>33.450000000000003</v>
      </c>
      <c r="M46" s="112">
        <v>56.61</v>
      </c>
      <c r="N46" s="112">
        <v>217.9</v>
      </c>
      <c r="O46" s="112">
        <v>0</v>
      </c>
      <c r="P46" s="112">
        <v>0.32</v>
      </c>
      <c r="Q46" s="112">
        <v>4.83</v>
      </c>
    </row>
    <row r="47" spans="1:17" customFormat="1">
      <c r="A47" s="80">
        <v>45451.40625</v>
      </c>
      <c r="B47" s="112">
        <v>7.12</v>
      </c>
      <c r="C47" s="112">
        <v>6.08</v>
      </c>
      <c r="D47" s="112">
        <v>13.9</v>
      </c>
      <c r="E47" s="112">
        <v>11.61</v>
      </c>
      <c r="F47" s="112">
        <v>15.32</v>
      </c>
      <c r="G47" s="112">
        <v>20.18</v>
      </c>
      <c r="H47" s="112">
        <v>9.4700000000000006</v>
      </c>
      <c r="I47" s="112">
        <v>3.72</v>
      </c>
      <c r="J47" s="112">
        <v>0.88</v>
      </c>
      <c r="K47" s="112">
        <v>264.69</v>
      </c>
      <c r="L47" s="112">
        <v>34.369999999999997</v>
      </c>
      <c r="M47" s="112">
        <v>53.94</v>
      </c>
      <c r="N47" s="112">
        <v>229.7</v>
      </c>
      <c r="O47" s="112">
        <v>0</v>
      </c>
      <c r="P47" s="112">
        <v>0.34</v>
      </c>
      <c r="Q47" s="112">
        <v>4.83</v>
      </c>
    </row>
    <row r="48" spans="1:17" customFormat="1">
      <c r="A48" s="80">
        <v>45451.416666666664</v>
      </c>
      <c r="B48" s="112">
        <v>7.12</v>
      </c>
      <c r="C48" s="112">
        <v>6.09</v>
      </c>
      <c r="D48" s="112">
        <v>13.9</v>
      </c>
      <c r="E48" s="112">
        <v>12.89</v>
      </c>
      <c r="F48" s="112">
        <v>18.28</v>
      </c>
      <c r="G48" s="112">
        <v>21.08</v>
      </c>
      <c r="H48" s="112">
        <v>9.43</v>
      </c>
      <c r="I48" s="112">
        <v>3.86</v>
      </c>
      <c r="J48" s="112">
        <v>1.18</v>
      </c>
      <c r="K48" s="112">
        <v>270.76</v>
      </c>
      <c r="L48" s="112">
        <v>34.61</v>
      </c>
      <c r="M48" s="112">
        <v>53.23</v>
      </c>
      <c r="N48" s="112">
        <v>243.6</v>
      </c>
      <c r="O48" s="112">
        <v>0</v>
      </c>
      <c r="P48" s="112">
        <v>0.39</v>
      </c>
      <c r="Q48" s="112">
        <v>4.82</v>
      </c>
    </row>
    <row r="49" spans="1:17" customFormat="1">
      <c r="A49" s="80">
        <v>45451.427083333336</v>
      </c>
      <c r="B49" s="112">
        <v>7.11</v>
      </c>
      <c r="C49" s="112">
        <v>6.1</v>
      </c>
      <c r="D49" s="112">
        <v>13.9</v>
      </c>
      <c r="E49" s="112">
        <v>9.64</v>
      </c>
      <c r="F49" s="112">
        <v>17.329999999999998</v>
      </c>
      <c r="G49" s="112">
        <v>23.42</v>
      </c>
      <c r="H49" s="112">
        <v>9.25</v>
      </c>
      <c r="I49" s="112">
        <v>4.08</v>
      </c>
      <c r="J49" s="167" t="s">
        <v>14</v>
      </c>
      <c r="K49" s="167" t="s">
        <v>14</v>
      </c>
      <c r="L49" s="112">
        <v>35.19</v>
      </c>
      <c r="M49" s="112">
        <v>51.05</v>
      </c>
      <c r="N49" s="112">
        <v>251.7</v>
      </c>
      <c r="O49" s="112">
        <v>0</v>
      </c>
      <c r="P49" s="112">
        <v>0.41</v>
      </c>
      <c r="Q49" s="112">
        <v>4.8</v>
      </c>
    </row>
    <row r="50" spans="1:17" customFormat="1">
      <c r="A50" s="80">
        <v>45451.4375</v>
      </c>
      <c r="B50" s="149" t="s">
        <v>4</v>
      </c>
      <c r="C50" s="149" t="s">
        <v>4</v>
      </c>
      <c r="D50" s="149" t="s">
        <v>4</v>
      </c>
      <c r="E50" s="149" t="s">
        <v>4</v>
      </c>
      <c r="F50" s="149" t="s">
        <v>4</v>
      </c>
      <c r="G50" s="149" t="s">
        <v>4</v>
      </c>
      <c r="H50" s="149" t="s">
        <v>4</v>
      </c>
      <c r="I50" s="149" t="s">
        <v>4</v>
      </c>
      <c r="J50" s="149" t="s">
        <v>4</v>
      </c>
      <c r="K50" s="149" t="s">
        <v>4</v>
      </c>
      <c r="L50" s="149" t="s">
        <v>4</v>
      </c>
      <c r="M50" s="149" t="s">
        <v>4</v>
      </c>
      <c r="N50" s="149" t="s">
        <v>4</v>
      </c>
      <c r="O50" s="149" t="s">
        <v>4</v>
      </c>
      <c r="P50" s="149" t="s">
        <v>4</v>
      </c>
      <c r="Q50" s="149" t="s">
        <v>4</v>
      </c>
    </row>
    <row r="51" spans="1:17" customFormat="1">
      <c r="A51" s="80">
        <v>45451.447916666664</v>
      </c>
      <c r="B51" s="149" t="s">
        <v>4</v>
      </c>
      <c r="C51" s="149" t="s">
        <v>4</v>
      </c>
      <c r="D51" s="149" t="s">
        <v>4</v>
      </c>
      <c r="E51" s="149" t="s">
        <v>4</v>
      </c>
      <c r="F51" s="149" t="s">
        <v>4</v>
      </c>
      <c r="G51" s="149" t="s">
        <v>4</v>
      </c>
      <c r="H51" s="149" t="s">
        <v>4</v>
      </c>
      <c r="I51" s="149" t="s">
        <v>4</v>
      </c>
      <c r="J51" s="149" t="s">
        <v>4</v>
      </c>
      <c r="K51" s="149" t="s">
        <v>4</v>
      </c>
      <c r="L51" s="149" t="s">
        <v>4</v>
      </c>
      <c r="M51" s="149" t="s">
        <v>4</v>
      </c>
      <c r="N51" s="149" t="s">
        <v>4</v>
      </c>
      <c r="O51" s="149" t="s">
        <v>4</v>
      </c>
      <c r="P51" s="149" t="s">
        <v>4</v>
      </c>
      <c r="Q51" s="149" t="s">
        <v>4</v>
      </c>
    </row>
    <row r="52" spans="1:17" customFormat="1">
      <c r="A52" s="80">
        <v>45451.458333333336</v>
      </c>
      <c r="B52" s="149" t="s">
        <v>4</v>
      </c>
      <c r="C52" s="149" t="s">
        <v>4</v>
      </c>
      <c r="D52" s="149" t="s">
        <v>4</v>
      </c>
      <c r="E52" s="149" t="s">
        <v>4</v>
      </c>
      <c r="F52" s="149" t="s">
        <v>4</v>
      </c>
      <c r="G52" s="149" t="s">
        <v>4</v>
      </c>
      <c r="H52" s="149" t="s">
        <v>4</v>
      </c>
      <c r="I52" s="149" t="s">
        <v>4</v>
      </c>
      <c r="J52" s="149" t="s">
        <v>4</v>
      </c>
      <c r="K52" s="149" t="s">
        <v>4</v>
      </c>
      <c r="L52" s="149" t="s">
        <v>4</v>
      </c>
      <c r="M52" s="149" t="s">
        <v>4</v>
      </c>
      <c r="N52" s="149" t="s">
        <v>4</v>
      </c>
      <c r="O52" s="149" t="s">
        <v>4</v>
      </c>
      <c r="P52" s="149" t="s">
        <v>4</v>
      </c>
      <c r="Q52" s="149" t="s">
        <v>4</v>
      </c>
    </row>
    <row r="53" spans="1:17" customFormat="1">
      <c r="A53" s="80">
        <v>45451.46875</v>
      </c>
      <c r="B53" s="149" t="s">
        <v>4</v>
      </c>
      <c r="C53" s="149" t="s">
        <v>4</v>
      </c>
      <c r="D53" s="149" t="s">
        <v>4</v>
      </c>
      <c r="E53" s="149" t="s">
        <v>4</v>
      </c>
      <c r="F53" s="149" t="s">
        <v>4</v>
      </c>
      <c r="G53" s="149" t="s">
        <v>4</v>
      </c>
      <c r="H53" s="149" t="s">
        <v>4</v>
      </c>
      <c r="I53" s="149" t="s">
        <v>4</v>
      </c>
      <c r="J53" s="149" t="s">
        <v>4</v>
      </c>
      <c r="K53" s="149" t="s">
        <v>4</v>
      </c>
      <c r="L53" s="149" t="s">
        <v>4</v>
      </c>
      <c r="M53" s="149" t="s">
        <v>4</v>
      </c>
      <c r="N53" s="149" t="s">
        <v>4</v>
      </c>
      <c r="O53" s="149" t="s">
        <v>4</v>
      </c>
      <c r="P53" s="149" t="s">
        <v>4</v>
      </c>
      <c r="Q53" s="149" t="s">
        <v>4</v>
      </c>
    </row>
    <row r="54" spans="1:17" customFormat="1">
      <c r="A54" s="80">
        <v>45451.479166666664</v>
      </c>
      <c r="B54" s="149" t="s">
        <v>4</v>
      </c>
      <c r="C54" s="149" t="s">
        <v>4</v>
      </c>
      <c r="D54" s="149" t="s">
        <v>4</v>
      </c>
      <c r="E54" s="149" t="s">
        <v>4</v>
      </c>
      <c r="F54" s="149" t="s">
        <v>4</v>
      </c>
      <c r="G54" s="149" t="s">
        <v>4</v>
      </c>
      <c r="H54" s="149" t="s">
        <v>4</v>
      </c>
      <c r="I54" s="149" t="s">
        <v>4</v>
      </c>
      <c r="J54" s="149" t="s">
        <v>4</v>
      </c>
      <c r="K54" s="149" t="s">
        <v>4</v>
      </c>
      <c r="L54" s="149" t="s">
        <v>4</v>
      </c>
      <c r="M54" s="149" t="s">
        <v>4</v>
      </c>
      <c r="N54" s="149" t="s">
        <v>4</v>
      </c>
      <c r="O54" s="149" t="s">
        <v>4</v>
      </c>
      <c r="P54" s="149" t="s">
        <v>4</v>
      </c>
      <c r="Q54" s="149" t="s">
        <v>4</v>
      </c>
    </row>
    <row r="55" spans="1:17" customFormat="1">
      <c r="A55" s="80">
        <v>45451.489583333336</v>
      </c>
      <c r="B55" s="170" t="s">
        <v>21</v>
      </c>
      <c r="C55" s="170" t="s">
        <v>21</v>
      </c>
      <c r="D55" s="170" t="s">
        <v>21</v>
      </c>
      <c r="E55" s="112">
        <v>20.77</v>
      </c>
      <c r="F55" s="170" t="s">
        <v>21</v>
      </c>
      <c r="G55" s="112">
        <v>16.12</v>
      </c>
      <c r="H55" s="112">
        <v>6.47</v>
      </c>
      <c r="I55" s="170" t="s">
        <v>21</v>
      </c>
      <c r="J55" s="112">
        <v>1.38</v>
      </c>
      <c r="K55" s="112">
        <v>292.24</v>
      </c>
      <c r="L55" s="112">
        <v>37.96</v>
      </c>
      <c r="M55" s="112">
        <v>40.380000000000003</v>
      </c>
      <c r="N55" s="112">
        <v>495.7</v>
      </c>
      <c r="O55" s="112">
        <v>0</v>
      </c>
      <c r="P55" s="112">
        <v>0.45</v>
      </c>
      <c r="Q55" s="170" t="s">
        <v>21</v>
      </c>
    </row>
    <row r="56" spans="1:17" customFormat="1">
      <c r="A56" s="80">
        <v>45451.5</v>
      </c>
      <c r="B56" s="112">
        <v>7.99</v>
      </c>
      <c r="C56" s="112">
        <v>6.1</v>
      </c>
      <c r="D56" s="112">
        <v>14.52</v>
      </c>
      <c r="E56" s="112">
        <v>5.1100000000000003</v>
      </c>
      <c r="F56" s="112">
        <v>30.44</v>
      </c>
      <c r="G56" s="112">
        <v>21.55</v>
      </c>
      <c r="H56" s="112">
        <v>6.57</v>
      </c>
      <c r="I56" s="170" t="s">
        <v>21</v>
      </c>
      <c r="J56" s="112">
        <v>1.21</v>
      </c>
      <c r="K56" s="112">
        <v>292.62</v>
      </c>
      <c r="L56" s="112">
        <v>38.24</v>
      </c>
      <c r="M56" s="112">
        <v>40.03</v>
      </c>
      <c r="N56" s="112">
        <v>709.2</v>
      </c>
      <c r="O56" s="112">
        <v>0</v>
      </c>
      <c r="P56" s="112">
        <v>0.47</v>
      </c>
      <c r="Q56" s="170" t="s">
        <v>21</v>
      </c>
    </row>
    <row r="57" spans="1:17" customFormat="1">
      <c r="A57" s="80">
        <v>45451.510416666664</v>
      </c>
      <c r="B57" s="112">
        <v>6.62</v>
      </c>
      <c r="C57" s="112">
        <v>6.06</v>
      </c>
      <c r="D57" s="112">
        <v>13.49</v>
      </c>
      <c r="E57" s="112">
        <v>8</v>
      </c>
      <c r="F57" s="112">
        <v>46.65</v>
      </c>
      <c r="G57" s="112">
        <v>38.950000000000003</v>
      </c>
      <c r="H57" s="112">
        <v>6.77</v>
      </c>
      <c r="I57" s="170" t="s">
        <v>21</v>
      </c>
      <c r="J57" s="112">
        <v>0.82</v>
      </c>
      <c r="K57" s="112">
        <v>306.86</v>
      </c>
      <c r="L57" s="112">
        <v>38.32</v>
      </c>
      <c r="M57" s="112">
        <v>39.31</v>
      </c>
      <c r="N57" s="112">
        <v>708.6</v>
      </c>
      <c r="O57" s="112">
        <v>0</v>
      </c>
      <c r="P57" s="112">
        <v>0.46</v>
      </c>
      <c r="Q57" s="112">
        <v>26.54</v>
      </c>
    </row>
    <row r="58" spans="1:17" customFormat="1">
      <c r="A58" s="80">
        <v>45451.520833333336</v>
      </c>
      <c r="B58" s="112">
        <v>5.85</v>
      </c>
      <c r="C58" s="112">
        <v>5.97</v>
      </c>
      <c r="D58" s="112">
        <v>12.82</v>
      </c>
      <c r="E58" s="112">
        <v>10.5</v>
      </c>
      <c r="F58" s="112">
        <v>54.97</v>
      </c>
      <c r="G58" s="112">
        <v>38.950000000000003</v>
      </c>
      <c r="H58" s="112">
        <v>6.77</v>
      </c>
      <c r="I58" s="170" t="s">
        <v>21</v>
      </c>
      <c r="J58" s="112">
        <v>0.92</v>
      </c>
      <c r="K58" s="112">
        <v>291.01</v>
      </c>
      <c r="L58" s="112">
        <v>39.28</v>
      </c>
      <c r="M58" s="112">
        <v>37.26</v>
      </c>
      <c r="N58" s="112">
        <v>710.7</v>
      </c>
      <c r="O58" s="112">
        <v>0</v>
      </c>
      <c r="P58" s="112">
        <v>0.43</v>
      </c>
      <c r="Q58" s="112">
        <v>5.25</v>
      </c>
    </row>
    <row r="59" spans="1:17" customFormat="1">
      <c r="A59" s="80">
        <v>45451.53125</v>
      </c>
      <c r="B59" s="112">
        <v>5.52</v>
      </c>
      <c r="C59" s="112">
        <v>5.94</v>
      </c>
      <c r="D59" s="112">
        <v>12.54</v>
      </c>
      <c r="E59" s="112">
        <v>10.37</v>
      </c>
      <c r="F59" s="112">
        <v>62.53</v>
      </c>
      <c r="G59" s="112">
        <v>38.950000000000003</v>
      </c>
      <c r="H59" s="112">
        <v>6.77</v>
      </c>
      <c r="I59" s="112">
        <v>4.12</v>
      </c>
      <c r="J59" s="112">
        <v>1.02</v>
      </c>
      <c r="K59" s="112">
        <v>275.43</v>
      </c>
      <c r="L59" s="112">
        <v>39.06</v>
      </c>
      <c r="M59" s="112">
        <v>37.299999999999997</v>
      </c>
      <c r="N59" s="112">
        <v>698.3</v>
      </c>
      <c r="O59" s="112">
        <v>0</v>
      </c>
      <c r="P59" s="112">
        <v>0.47</v>
      </c>
      <c r="Q59" s="112">
        <v>4.71</v>
      </c>
    </row>
    <row r="60" spans="1:17" customFormat="1">
      <c r="A60" s="80">
        <v>45451.541666666664</v>
      </c>
      <c r="B60" s="112">
        <v>5.35</v>
      </c>
      <c r="C60" s="112">
        <v>5.95</v>
      </c>
      <c r="D60" s="112">
        <v>12.41</v>
      </c>
      <c r="E60" s="112">
        <v>6.82</v>
      </c>
      <c r="F60" s="112">
        <v>60.17</v>
      </c>
      <c r="G60" s="112">
        <v>37.619999999999997</v>
      </c>
      <c r="H60" s="112">
        <v>7.79</v>
      </c>
      <c r="I60" s="112">
        <v>5.0599999999999996</v>
      </c>
      <c r="J60" s="112">
        <v>1.06</v>
      </c>
      <c r="K60" s="112">
        <v>294.83999999999997</v>
      </c>
      <c r="L60" s="112">
        <v>39.340000000000003</v>
      </c>
      <c r="M60" s="112">
        <v>36.31</v>
      </c>
      <c r="N60" s="112">
        <v>665.4</v>
      </c>
      <c r="O60" s="112">
        <v>0</v>
      </c>
      <c r="P60" s="112">
        <v>0.45</v>
      </c>
      <c r="Q60" s="112">
        <v>4.6100000000000003</v>
      </c>
    </row>
    <row r="61" spans="1:17" customFormat="1">
      <c r="A61" s="80">
        <v>45451.552083333336</v>
      </c>
      <c r="B61" s="112">
        <v>5.34</v>
      </c>
      <c r="C61" s="112">
        <v>6</v>
      </c>
      <c r="D61" s="112">
        <v>12.43</v>
      </c>
      <c r="E61" s="112">
        <v>6.59</v>
      </c>
      <c r="F61" s="112">
        <v>58.22</v>
      </c>
      <c r="G61" s="112">
        <v>33.94</v>
      </c>
      <c r="H61" s="112">
        <v>9.69</v>
      </c>
      <c r="I61" s="112">
        <v>5.19</v>
      </c>
      <c r="J61" s="112">
        <v>1.1000000000000001</v>
      </c>
      <c r="K61" s="112">
        <v>306.41000000000003</v>
      </c>
      <c r="L61" s="112">
        <v>38.950000000000003</v>
      </c>
      <c r="M61" s="112">
        <v>36.79</v>
      </c>
      <c r="N61" s="112">
        <v>526.70000000000005</v>
      </c>
      <c r="O61" s="112">
        <v>0</v>
      </c>
      <c r="P61" s="112">
        <v>0.46</v>
      </c>
      <c r="Q61" s="112">
        <v>4.6100000000000003</v>
      </c>
    </row>
    <row r="62" spans="1:17" customFormat="1">
      <c r="A62" s="80">
        <v>45451.5625</v>
      </c>
      <c r="B62" s="112">
        <v>5.35</v>
      </c>
      <c r="C62" s="112">
        <v>5.99</v>
      </c>
      <c r="D62" s="112">
        <v>12.43</v>
      </c>
      <c r="E62" s="112">
        <v>6.61</v>
      </c>
      <c r="F62" s="112">
        <v>61.87</v>
      </c>
      <c r="G62" s="112">
        <v>33.94</v>
      </c>
      <c r="H62" s="112">
        <v>9.69</v>
      </c>
      <c r="I62" s="112">
        <v>5.19</v>
      </c>
      <c r="J62" s="112">
        <v>1.01</v>
      </c>
      <c r="K62" s="112">
        <v>303.82</v>
      </c>
      <c r="L62" s="112">
        <v>38.630000000000003</v>
      </c>
      <c r="M62" s="112">
        <v>37.81</v>
      </c>
      <c r="N62" s="112">
        <v>243.4</v>
      </c>
      <c r="O62" s="112">
        <v>0</v>
      </c>
      <c r="P62" s="112">
        <v>0.45</v>
      </c>
      <c r="Q62" s="112">
        <v>4.5999999999999996</v>
      </c>
    </row>
    <row r="63" spans="1:17" customFormat="1">
      <c r="A63" s="80">
        <v>45451.572916666664</v>
      </c>
      <c r="B63" s="151" t="s">
        <v>12</v>
      </c>
      <c r="C63" s="151" t="s">
        <v>12</v>
      </c>
      <c r="D63" s="151" t="s">
        <v>12</v>
      </c>
      <c r="E63" s="151" t="s">
        <v>12</v>
      </c>
      <c r="F63" s="151" t="s">
        <v>12</v>
      </c>
      <c r="G63" s="112">
        <v>33.94</v>
      </c>
      <c r="H63" s="112">
        <v>9.69</v>
      </c>
      <c r="I63" s="112">
        <v>5.24</v>
      </c>
      <c r="J63" s="112">
        <v>0.57999999999999996</v>
      </c>
      <c r="K63" s="112">
        <v>259.33</v>
      </c>
      <c r="L63" s="112">
        <v>39.24</v>
      </c>
      <c r="M63" s="112">
        <v>36.72</v>
      </c>
      <c r="N63" s="112">
        <v>310.5</v>
      </c>
      <c r="O63" s="112">
        <v>0</v>
      </c>
      <c r="P63" s="112">
        <v>0.1</v>
      </c>
      <c r="Q63" s="112">
        <v>4.58</v>
      </c>
    </row>
    <row r="64" spans="1:17" customFormat="1">
      <c r="A64" s="80">
        <v>45451.583333333336</v>
      </c>
      <c r="B64" s="151" t="s">
        <v>12</v>
      </c>
      <c r="C64" s="151" t="s">
        <v>12</v>
      </c>
      <c r="D64" s="151" t="s">
        <v>12</v>
      </c>
      <c r="E64" s="151" t="s">
        <v>12</v>
      </c>
      <c r="F64" s="151" t="s">
        <v>12</v>
      </c>
      <c r="G64" s="112">
        <v>35.340000000000003</v>
      </c>
      <c r="H64" s="112">
        <v>12.02</v>
      </c>
      <c r="I64" s="112">
        <v>5.1100000000000003</v>
      </c>
      <c r="J64" s="112">
        <v>0.92</v>
      </c>
      <c r="K64" s="112">
        <v>279.74</v>
      </c>
      <c r="L64" s="112">
        <v>39.32</v>
      </c>
      <c r="M64" s="112">
        <v>36.520000000000003</v>
      </c>
      <c r="N64" s="112">
        <v>525.20000000000005</v>
      </c>
      <c r="O64" s="112">
        <v>0</v>
      </c>
      <c r="P64" s="151" t="s">
        <v>12</v>
      </c>
      <c r="Q64" s="112">
        <v>4.57</v>
      </c>
    </row>
    <row r="65" spans="1:17" customFormat="1">
      <c r="A65" s="80">
        <v>45451.59375</v>
      </c>
      <c r="B65" s="112">
        <v>7.27</v>
      </c>
      <c r="C65" s="112">
        <v>4.53</v>
      </c>
      <c r="D65" s="112">
        <v>11.76</v>
      </c>
      <c r="E65" s="112">
        <v>5.0199999999999996</v>
      </c>
      <c r="F65" s="112">
        <v>68.39</v>
      </c>
      <c r="G65" s="112">
        <v>38.99</v>
      </c>
      <c r="H65" s="112">
        <v>16.39</v>
      </c>
      <c r="I65" s="112">
        <v>4.8499999999999996</v>
      </c>
      <c r="J65" s="112">
        <v>-0.65</v>
      </c>
      <c r="K65" s="112">
        <v>0.1</v>
      </c>
      <c r="L65" s="112">
        <v>39.32</v>
      </c>
      <c r="M65" s="112">
        <v>35.79</v>
      </c>
      <c r="N65" s="112">
        <v>467.8</v>
      </c>
      <c r="O65" s="112">
        <v>0</v>
      </c>
      <c r="P65" s="112">
        <v>0.44</v>
      </c>
      <c r="Q65" s="112">
        <v>4.59</v>
      </c>
    </row>
    <row r="66" spans="1:17" customFormat="1">
      <c r="A66" s="80">
        <v>45451.604166666664</v>
      </c>
      <c r="B66" s="112">
        <v>7.3</v>
      </c>
      <c r="C66" s="112">
        <v>3.98</v>
      </c>
      <c r="D66" s="112">
        <v>12.38</v>
      </c>
      <c r="E66" s="112">
        <v>15.19</v>
      </c>
      <c r="F66" s="112">
        <v>56.86</v>
      </c>
      <c r="G66" s="112">
        <v>38.99</v>
      </c>
      <c r="H66" s="112">
        <v>16.39</v>
      </c>
      <c r="I66" s="112">
        <v>4.88</v>
      </c>
      <c r="J66" s="112">
        <v>0.78</v>
      </c>
      <c r="K66" s="112">
        <v>271.42</v>
      </c>
      <c r="L66" s="112">
        <v>39.549999999999997</v>
      </c>
      <c r="M66" s="112">
        <v>35.049999999999997</v>
      </c>
      <c r="N66" s="112">
        <v>517.5</v>
      </c>
      <c r="O66" s="112">
        <v>0</v>
      </c>
      <c r="P66" s="112">
        <v>0.46</v>
      </c>
      <c r="Q66" s="112">
        <v>4.58</v>
      </c>
    </row>
    <row r="67" spans="1:17" customFormat="1">
      <c r="A67" s="80">
        <v>45451.614583333336</v>
      </c>
      <c r="B67" s="112">
        <v>7.32</v>
      </c>
      <c r="C67" s="112">
        <v>3.97</v>
      </c>
      <c r="D67" s="112">
        <v>12.39</v>
      </c>
      <c r="E67" s="112">
        <v>18.78</v>
      </c>
      <c r="F67" s="112">
        <v>66.400000000000006</v>
      </c>
      <c r="G67" s="112">
        <v>38.99</v>
      </c>
      <c r="H67" s="112">
        <v>16.39</v>
      </c>
      <c r="I67" s="112">
        <v>4.95</v>
      </c>
      <c r="J67" s="112">
        <v>0.77</v>
      </c>
      <c r="K67" s="112">
        <v>284.79000000000002</v>
      </c>
      <c r="L67" s="112">
        <v>39.880000000000003</v>
      </c>
      <c r="M67" s="112">
        <v>35.21</v>
      </c>
      <c r="N67" s="112">
        <v>535</v>
      </c>
      <c r="O67" s="112">
        <v>0</v>
      </c>
      <c r="P67" s="112">
        <v>0.47</v>
      </c>
      <c r="Q67" s="112">
        <v>4.58</v>
      </c>
    </row>
    <row r="68" spans="1:17" customFormat="1">
      <c r="A68" s="80">
        <v>45451.625</v>
      </c>
      <c r="B68" s="112">
        <v>7.34</v>
      </c>
      <c r="C68" s="112">
        <v>3.97</v>
      </c>
      <c r="D68" s="112">
        <v>12.41</v>
      </c>
      <c r="E68" s="112">
        <v>14.58</v>
      </c>
      <c r="F68" s="112">
        <v>57.08</v>
      </c>
      <c r="G68" s="112">
        <v>38.78</v>
      </c>
      <c r="H68" s="112">
        <v>16.61</v>
      </c>
      <c r="I68" s="112">
        <v>5.04</v>
      </c>
      <c r="J68" s="112">
        <v>0.75</v>
      </c>
      <c r="K68" s="112">
        <v>258.19</v>
      </c>
      <c r="L68" s="112">
        <v>39.97</v>
      </c>
      <c r="M68" s="112">
        <v>35.67</v>
      </c>
      <c r="N68" s="112">
        <v>509</v>
      </c>
      <c r="O68" s="112">
        <v>0</v>
      </c>
      <c r="P68" s="112">
        <v>0.41</v>
      </c>
      <c r="Q68" s="112">
        <v>4.58</v>
      </c>
    </row>
    <row r="69" spans="1:17" customFormat="1">
      <c r="A69" s="80">
        <v>45451.635416666664</v>
      </c>
      <c r="B69" s="112">
        <v>7.37</v>
      </c>
      <c r="C69" s="112">
        <v>3.99</v>
      </c>
      <c r="D69" s="112">
        <v>12.45</v>
      </c>
      <c r="E69" s="112">
        <v>13.83</v>
      </c>
      <c r="F69" s="112">
        <v>61.63</v>
      </c>
      <c r="G69" s="112">
        <v>38.25</v>
      </c>
      <c r="H69" s="112">
        <v>17.04</v>
      </c>
      <c r="I69" s="112">
        <v>4.8499999999999996</v>
      </c>
      <c r="J69" s="112">
        <v>0.69</v>
      </c>
      <c r="K69" s="112">
        <v>271.39</v>
      </c>
      <c r="L69" s="112">
        <v>39.979999999999997</v>
      </c>
      <c r="M69" s="112">
        <v>35.96</v>
      </c>
      <c r="N69" s="112">
        <v>461.7</v>
      </c>
      <c r="O69" s="112">
        <v>0</v>
      </c>
      <c r="P69" s="112">
        <v>0.41</v>
      </c>
      <c r="Q69" s="112">
        <v>4.57</v>
      </c>
    </row>
    <row r="70" spans="1:17" customFormat="1">
      <c r="A70" s="80">
        <v>45451.645833333336</v>
      </c>
      <c r="B70" s="112">
        <v>7.38</v>
      </c>
      <c r="C70" s="112">
        <v>3.94</v>
      </c>
      <c r="D70" s="112">
        <v>12.43</v>
      </c>
      <c r="E70" s="112">
        <v>12.53</v>
      </c>
      <c r="F70" s="112">
        <v>53.29</v>
      </c>
      <c r="G70" s="112">
        <v>38.25</v>
      </c>
      <c r="H70" s="112">
        <v>17.04</v>
      </c>
      <c r="I70" s="112">
        <v>4.46</v>
      </c>
      <c r="J70" s="112">
        <v>0.81</v>
      </c>
      <c r="K70" s="112">
        <v>266.38</v>
      </c>
      <c r="L70" s="112">
        <v>40.28</v>
      </c>
      <c r="M70" s="112">
        <v>35.4</v>
      </c>
      <c r="N70" s="112">
        <v>439.7</v>
      </c>
      <c r="O70" s="112">
        <v>0</v>
      </c>
      <c r="P70" s="112">
        <v>0.37</v>
      </c>
      <c r="Q70" s="112">
        <v>4.54</v>
      </c>
    </row>
    <row r="71" spans="1:17" customFormat="1">
      <c r="A71" s="80">
        <v>45451.65625</v>
      </c>
      <c r="B71" s="112">
        <v>7.35</v>
      </c>
      <c r="C71" s="112">
        <v>3.94</v>
      </c>
      <c r="D71" s="112">
        <v>12.4</v>
      </c>
      <c r="E71" s="112">
        <v>11.65</v>
      </c>
      <c r="F71" s="112">
        <v>49.66</v>
      </c>
      <c r="G71" s="112">
        <v>38.25</v>
      </c>
      <c r="H71" s="112">
        <v>17.04</v>
      </c>
      <c r="I71" s="112">
        <v>4.1100000000000003</v>
      </c>
      <c r="J71" s="112">
        <v>0.5</v>
      </c>
      <c r="K71" s="112">
        <v>254.68</v>
      </c>
      <c r="L71" s="112">
        <v>39.700000000000003</v>
      </c>
      <c r="M71" s="112">
        <v>36.1</v>
      </c>
      <c r="N71" s="112">
        <v>382.9</v>
      </c>
      <c r="O71" s="112">
        <v>0</v>
      </c>
      <c r="P71" s="112">
        <v>0.38</v>
      </c>
      <c r="Q71" s="112">
        <v>4.54</v>
      </c>
    </row>
    <row r="72" spans="1:17" customFormat="1">
      <c r="A72" s="80">
        <v>45451.666666666664</v>
      </c>
      <c r="B72" s="112">
        <v>7.37</v>
      </c>
      <c r="C72" s="112">
        <v>3.95</v>
      </c>
      <c r="D72" s="112">
        <v>12.42</v>
      </c>
      <c r="E72" s="112">
        <v>11.28</v>
      </c>
      <c r="F72" s="112">
        <v>57.87</v>
      </c>
      <c r="G72" s="112">
        <v>38.19</v>
      </c>
      <c r="H72" s="112">
        <v>16.77</v>
      </c>
      <c r="I72" s="112">
        <v>3.95</v>
      </c>
      <c r="J72" s="112">
        <v>0.52</v>
      </c>
      <c r="K72" s="112">
        <v>256.10000000000002</v>
      </c>
      <c r="L72" s="112">
        <v>40.07</v>
      </c>
      <c r="M72" s="112">
        <v>35.43</v>
      </c>
      <c r="N72" s="112">
        <v>311.5</v>
      </c>
      <c r="O72" s="112">
        <v>0</v>
      </c>
      <c r="P72" s="112">
        <v>0.36</v>
      </c>
      <c r="Q72" s="112">
        <v>4.53</v>
      </c>
    </row>
    <row r="73" spans="1:17" customFormat="1">
      <c r="A73" s="80">
        <v>45451.677083333336</v>
      </c>
      <c r="B73" s="112">
        <v>7.35</v>
      </c>
      <c r="C73" s="112">
        <v>3.99</v>
      </c>
      <c r="D73" s="112">
        <v>12.42</v>
      </c>
      <c r="E73" s="112">
        <v>22.19</v>
      </c>
      <c r="F73" s="112">
        <v>47.95</v>
      </c>
      <c r="G73" s="112">
        <v>38.06</v>
      </c>
      <c r="H73" s="112">
        <v>15.46</v>
      </c>
      <c r="I73" s="112">
        <v>3.87</v>
      </c>
      <c r="J73" s="112">
        <v>0.67</v>
      </c>
      <c r="K73" s="112">
        <v>266.69</v>
      </c>
      <c r="L73" s="112">
        <v>39.15</v>
      </c>
      <c r="M73" s="112">
        <v>36.96</v>
      </c>
      <c r="N73" s="112">
        <v>196.7</v>
      </c>
      <c r="O73" s="112">
        <v>0</v>
      </c>
      <c r="P73" s="112">
        <v>0.34</v>
      </c>
      <c r="Q73" s="112">
        <v>4.53</v>
      </c>
    </row>
    <row r="74" spans="1:17" customFormat="1">
      <c r="A74" s="80">
        <v>45451.6875</v>
      </c>
      <c r="B74" s="112">
        <v>7.4</v>
      </c>
      <c r="C74" s="112">
        <v>4.08</v>
      </c>
      <c r="D74" s="112">
        <v>12.51</v>
      </c>
      <c r="E74" s="112">
        <v>35.4</v>
      </c>
      <c r="F74" s="112">
        <v>21.63</v>
      </c>
      <c r="G74" s="112">
        <v>38.06</v>
      </c>
      <c r="H74" s="112">
        <v>15.46</v>
      </c>
      <c r="I74" s="112">
        <v>8.1</v>
      </c>
      <c r="J74" s="112">
        <v>0.75</v>
      </c>
      <c r="K74" s="112">
        <v>263.92</v>
      </c>
      <c r="L74" s="112">
        <v>38.869999999999997</v>
      </c>
      <c r="M74" s="112">
        <v>37.71</v>
      </c>
      <c r="N74" s="112">
        <v>113.9</v>
      </c>
      <c r="O74" s="112">
        <v>0</v>
      </c>
      <c r="P74" s="112">
        <v>0.25</v>
      </c>
      <c r="Q74" s="112">
        <v>4.5599999999999996</v>
      </c>
    </row>
    <row r="75" spans="1:17" customFormat="1">
      <c r="A75" s="80">
        <v>45451.697916666664</v>
      </c>
      <c r="B75" s="112">
        <v>7.49</v>
      </c>
      <c r="C75" s="112">
        <v>4.01</v>
      </c>
      <c r="D75" s="112">
        <v>12.55</v>
      </c>
      <c r="E75" s="112">
        <v>32.28</v>
      </c>
      <c r="F75" s="112">
        <v>19.66</v>
      </c>
      <c r="G75" s="112">
        <v>38.06</v>
      </c>
      <c r="H75" s="112">
        <v>15.46</v>
      </c>
      <c r="I75" s="112">
        <v>26.56</v>
      </c>
      <c r="J75" s="112">
        <v>0.82</v>
      </c>
      <c r="K75" s="112">
        <v>276.74</v>
      </c>
      <c r="L75" s="112">
        <v>38.56</v>
      </c>
      <c r="M75" s="112">
        <v>37.26</v>
      </c>
      <c r="N75" s="112">
        <v>95.2</v>
      </c>
      <c r="O75" s="112">
        <v>0</v>
      </c>
      <c r="P75" s="112">
        <v>0.18</v>
      </c>
      <c r="Q75" s="112">
        <v>4.5999999999999996</v>
      </c>
    </row>
    <row r="76" spans="1:17" customFormat="1">
      <c r="A76" s="80">
        <v>45451.708333333336</v>
      </c>
      <c r="B76" s="112">
        <v>7.59</v>
      </c>
      <c r="C76" s="112">
        <v>3.97</v>
      </c>
      <c r="D76" s="112">
        <v>12.61</v>
      </c>
      <c r="E76" s="112">
        <v>28.19</v>
      </c>
      <c r="F76" s="112">
        <v>34.61</v>
      </c>
      <c r="G76" s="112">
        <v>36.840000000000003</v>
      </c>
      <c r="H76" s="112">
        <v>15.66</v>
      </c>
      <c r="I76" s="112">
        <v>39.93</v>
      </c>
      <c r="J76" s="112">
        <v>0.63</v>
      </c>
      <c r="K76" s="112">
        <v>269.02999999999997</v>
      </c>
      <c r="L76" s="112">
        <v>38.299999999999997</v>
      </c>
      <c r="M76" s="112">
        <v>38.72</v>
      </c>
      <c r="N76" s="112">
        <v>63.3</v>
      </c>
      <c r="O76" s="112">
        <v>0</v>
      </c>
      <c r="P76" s="112">
        <v>0.15</v>
      </c>
      <c r="Q76" s="112">
        <v>4.62</v>
      </c>
    </row>
    <row r="77" spans="1:17" customFormat="1">
      <c r="A77" s="80">
        <v>45451.71875</v>
      </c>
      <c r="B77" s="112">
        <v>7.65</v>
      </c>
      <c r="C77" s="112">
        <v>3.98</v>
      </c>
      <c r="D77" s="112">
        <v>12.66</v>
      </c>
      <c r="E77" s="112">
        <v>23.51</v>
      </c>
      <c r="F77" s="112">
        <v>40.81</v>
      </c>
      <c r="G77" s="112">
        <v>33.49</v>
      </c>
      <c r="H77" s="112">
        <v>16.03</v>
      </c>
      <c r="I77" s="112">
        <v>36.25</v>
      </c>
      <c r="J77" s="112">
        <v>0.9</v>
      </c>
      <c r="K77" s="112">
        <v>268.23</v>
      </c>
      <c r="L77" s="112">
        <v>37.72</v>
      </c>
      <c r="M77" s="112">
        <v>39.450000000000003</v>
      </c>
      <c r="N77" s="112">
        <v>35</v>
      </c>
      <c r="O77" s="112">
        <v>0</v>
      </c>
      <c r="P77" s="112">
        <v>0.12</v>
      </c>
      <c r="Q77" s="112">
        <v>4.6100000000000003</v>
      </c>
    </row>
    <row r="78" spans="1:17" customFormat="1">
      <c r="A78" s="80">
        <v>45451.729166666664</v>
      </c>
      <c r="B78" s="112">
        <v>7.65</v>
      </c>
      <c r="C78" s="112">
        <v>3.96</v>
      </c>
      <c r="D78" s="112">
        <v>12.65</v>
      </c>
      <c r="E78" s="112">
        <v>25.87</v>
      </c>
      <c r="F78" s="112">
        <v>34.61</v>
      </c>
      <c r="G78" s="112">
        <v>33.49</v>
      </c>
      <c r="H78" s="112">
        <v>16.03</v>
      </c>
      <c r="I78" s="112">
        <v>29.73</v>
      </c>
      <c r="J78" s="112">
        <v>1.2</v>
      </c>
      <c r="K78" s="112">
        <v>321.69</v>
      </c>
      <c r="L78" s="112">
        <v>36.840000000000003</v>
      </c>
      <c r="M78" s="112">
        <v>38.39</v>
      </c>
      <c r="N78" s="112">
        <v>19.399999999999999</v>
      </c>
      <c r="O78" s="112">
        <v>0</v>
      </c>
      <c r="P78" s="112">
        <v>0.14000000000000001</v>
      </c>
      <c r="Q78" s="112">
        <v>4.62</v>
      </c>
    </row>
    <row r="79" spans="1:17" customFormat="1">
      <c r="A79" s="80">
        <v>45451.739583333336</v>
      </c>
      <c r="B79" s="112">
        <v>7.69</v>
      </c>
      <c r="C79" s="112">
        <v>3.95</v>
      </c>
      <c r="D79" s="112">
        <v>12.68</v>
      </c>
      <c r="E79" s="112">
        <v>22.53</v>
      </c>
      <c r="F79" s="112">
        <v>31.32</v>
      </c>
      <c r="G79" s="112">
        <v>33.49</v>
      </c>
      <c r="H79" s="112">
        <v>16.03</v>
      </c>
      <c r="I79" s="112">
        <v>25.52</v>
      </c>
      <c r="J79" s="112">
        <v>1.1499999999999999</v>
      </c>
      <c r="K79" s="112">
        <v>331.13</v>
      </c>
      <c r="L79" s="112">
        <v>35.9</v>
      </c>
      <c r="M79" s="112">
        <v>40.07</v>
      </c>
      <c r="N79" s="112">
        <v>15.6</v>
      </c>
      <c r="O79" s="112">
        <v>0</v>
      </c>
      <c r="P79" s="112">
        <v>0.11</v>
      </c>
      <c r="Q79" s="112">
        <v>4.6100000000000003</v>
      </c>
    </row>
    <row r="80" spans="1:17" customFormat="1">
      <c r="A80" s="80">
        <v>45451.75</v>
      </c>
      <c r="B80" s="112">
        <v>7.6</v>
      </c>
      <c r="C80" s="112">
        <v>3.96</v>
      </c>
      <c r="D80" s="112">
        <v>12.61</v>
      </c>
      <c r="E80" s="112">
        <v>21.51</v>
      </c>
      <c r="F80" s="112">
        <v>28.62</v>
      </c>
      <c r="G80" s="112">
        <v>35.71</v>
      </c>
      <c r="H80" s="112">
        <v>16.670000000000002</v>
      </c>
      <c r="I80" s="112">
        <v>23.96</v>
      </c>
      <c r="J80" s="112">
        <v>1.29</v>
      </c>
      <c r="K80" s="112">
        <v>0.61</v>
      </c>
      <c r="L80" s="112">
        <v>34.75</v>
      </c>
      <c r="M80" s="112">
        <v>44.05</v>
      </c>
      <c r="N80" s="112">
        <v>10.8</v>
      </c>
      <c r="O80" s="112">
        <v>0</v>
      </c>
      <c r="P80" s="112">
        <v>0.13</v>
      </c>
      <c r="Q80" s="112">
        <v>4.6100000000000003</v>
      </c>
    </row>
    <row r="81" spans="1:17" customFormat="1">
      <c r="A81" s="80">
        <v>45451.760416666664</v>
      </c>
      <c r="B81" s="112">
        <v>7.53</v>
      </c>
      <c r="C81" s="112">
        <v>3.98</v>
      </c>
      <c r="D81" s="112">
        <v>12.57</v>
      </c>
      <c r="E81" s="112">
        <v>11.53</v>
      </c>
      <c r="F81" s="112">
        <v>27.83</v>
      </c>
      <c r="G81" s="112">
        <v>41.81</v>
      </c>
      <c r="H81" s="112">
        <v>17.87</v>
      </c>
      <c r="I81" s="112">
        <v>22.73</v>
      </c>
      <c r="J81" s="112">
        <v>4.0999999999999996</v>
      </c>
      <c r="K81" s="112">
        <v>40.72</v>
      </c>
      <c r="L81" s="112">
        <v>32</v>
      </c>
      <c r="M81" s="112">
        <v>54.19</v>
      </c>
      <c r="N81" s="112">
        <v>10</v>
      </c>
      <c r="O81" s="112">
        <v>0</v>
      </c>
      <c r="P81" s="112">
        <v>0.11</v>
      </c>
      <c r="Q81" s="112">
        <v>4.63</v>
      </c>
    </row>
    <row r="82" spans="1:17" customFormat="1">
      <c r="A82" s="80">
        <v>45451.770833333336</v>
      </c>
      <c r="B82" s="112">
        <v>7.53</v>
      </c>
      <c r="C82" s="112">
        <v>4</v>
      </c>
      <c r="D82" s="112">
        <v>12.58</v>
      </c>
      <c r="E82" s="112">
        <v>16.95</v>
      </c>
      <c r="F82" s="112">
        <v>22.78</v>
      </c>
      <c r="G82" s="112">
        <v>41.81</v>
      </c>
      <c r="H82" s="112">
        <v>17.87</v>
      </c>
      <c r="I82" s="112">
        <v>21.73</v>
      </c>
      <c r="J82" s="112">
        <v>2.65</v>
      </c>
      <c r="K82" s="112">
        <v>43.94</v>
      </c>
      <c r="L82" s="112">
        <v>31.17</v>
      </c>
      <c r="M82" s="112">
        <v>56.4</v>
      </c>
      <c r="N82" s="112">
        <v>4.0999999999999996</v>
      </c>
      <c r="O82" s="112">
        <v>0</v>
      </c>
      <c r="P82" s="112">
        <v>0.11</v>
      </c>
      <c r="Q82" s="112">
        <v>4.62</v>
      </c>
    </row>
    <row r="83" spans="1:17" customFormat="1">
      <c r="A83" s="80">
        <v>45451.78125</v>
      </c>
      <c r="B83" s="112">
        <v>7.53</v>
      </c>
      <c r="C83" s="112">
        <v>3.96</v>
      </c>
      <c r="D83" s="112">
        <v>12.55</v>
      </c>
      <c r="E83" s="112">
        <v>16.68</v>
      </c>
      <c r="F83" s="112">
        <v>23.69</v>
      </c>
      <c r="G83" s="112">
        <v>41.81</v>
      </c>
      <c r="H83" s="112">
        <v>17.87</v>
      </c>
      <c r="I83" s="112">
        <v>20.07</v>
      </c>
      <c r="J83" s="112">
        <v>2.76</v>
      </c>
      <c r="K83" s="112">
        <v>49.06</v>
      </c>
      <c r="L83" s="112">
        <v>31.16</v>
      </c>
      <c r="M83" s="112">
        <v>55.58</v>
      </c>
      <c r="N83" s="112">
        <v>2.1</v>
      </c>
      <c r="O83" s="112">
        <v>0</v>
      </c>
      <c r="P83" s="112">
        <v>0.12</v>
      </c>
      <c r="Q83" s="112">
        <v>4.6100000000000003</v>
      </c>
    </row>
    <row r="84" spans="1:17" customFormat="1">
      <c r="A84" s="80">
        <v>45451.791666666664</v>
      </c>
      <c r="B84" s="112">
        <v>7.52</v>
      </c>
      <c r="C84" s="112">
        <v>3.94</v>
      </c>
      <c r="D84" s="112">
        <v>12.54</v>
      </c>
      <c r="E84" s="112">
        <v>16.28</v>
      </c>
      <c r="F84" s="112">
        <v>21.49</v>
      </c>
      <c r="G84" s="112">
        <v>46.96</v>
      </c>
      <c r="H84" s="112">
        <v>17.73</v>
      </c>
      <c r="I84" s="112">
        <v>19.66</v>
      </c>
      <c r="J84" s="112">
        <v>2.0299999999999998</v>
      </c>
      <c r="K84" s="112">
        <v>40.56</v>
      </c>
      <c r="L84" s="112">
        <v>31.31</v>
      </c>
      <c r="M84" s="112">
        <v>53.89</v>
      </c>
      <c r="N84" s="112">
        <v>1.5</v>
      </c>
      <c r="O84" s="112">
        <v>0</v>
      </c>
      <c r="P84" s="112">
        <v>0.14000000000000001</v>
      </c>
      <c r="Q84" s="112">
        <v>4.6100000000000003</v>
      </c>
    </row>
    <row r="85" spans="1:17" customFormat="1">
      <c r="A85" s="80">
        <v>45451.802083333336</v>
      </c>
      <c r="B85" s="112">
        <v>7.51</v>
      </c>
      <c r="C85" s="112">
        <v>3.95</v>
      </c>
      <c r="D85" s="112">
        <v>12.54</v>
      </c>
      <c r="E85" s="112">
        <v>15.79</v>
      </c>
      <c r="F85" s="112">
        <v>22.13</v>
      </c>
      <c r="G85" s="112">
        <v>60.36</v>
      </c>
      <c r="H85" s="112">
        <v>17.489999999999998</v>
      </c>
      <c r="I85" s="112">
        <v>19.12</v>
      </c>
      <c r="J85" s="112">
        <v>2.38</v>
      </c>
      <c r="K85" s="112">
        <v>48.03</v>
      </c>
      <c r="L85" s="112">
        <v>31.28</v>
      </c>
      <c r="M85" s="112">
        <v>53.74</v>
      </c>
      <c r="N85" s="112">
        <v>1.9</v>
      </c>
      <c r="O85" s="112">
        <v>0</v>
      </c>
      <c r="P85" s="112">
        <v>0.14000000000000001</v>
      </c>
      <c r="Q85" s="112">
        <v>4.5999999999999996</v>
      </c>
    </row>
    <row r="86" spans="1:17" customFormat="1">
      <c r="A86" s="80">
        <v>45451.8125</v>
      </c>
      <c r="B86" s="112">
        <v>7.52</v>
      </c>
      <c r="C86" s="112">
        <v>3.95</v>
      </c>
      <c r="D86" s="112">
        <v>12.55</v>
      </c>
      <c r="E86" s="112">
        <v>14.82</v>
      </c>
      <c r="F86" s="112">
        <v>18.77</v>
      </c>
      <c r="G86" s="112">
        <v>60.36</v>
      </c>
      <c r="H86" s="112">
        <v>17.489999999999998</v>
      </c>
      <c r="I86" s="112">
        <v>18.190000000000001</v>
      </c>
      <c r="J86" s="112">
        <v>1.46</v>
      </c>
      <c r="K86" s="112">
        <v>42.04</v>
      </c>
      <c r="L86" s="112">
        <v>31.09</v>
      </c>
      <c r="M86" s="112">
        <v>54.93</v>
      </c>
      <c r="N86" s="112">
        <v>1.9</v>
      </c>
      <c r="O86" s="112">
        <v>0</v>
      </c>
      <c r="P86" s="112">
        <v>0.15</v>
      </c>
      <c r="Q86" s="112">
        <v>4.62</v>
      </c>
    </row>
    <row r="87" spans="1:17" customFormat="1">
      <c r="A87" s="80">
        <v>45451.822916666664</v>
      </c>
      <c r="B87" s="112">
        <v>7.51</v>
      </c>
      <c r="C87" s="112">
        <v>3.97</v>
      </c>
      <c r="D87" s="112">
        <v>12.54</v>
      </c>
      <c r="E87" s="112">
        <v>15.15</v>
      </c>
      <c r="F87" s="112">
        <v>24.02</v>
      </c>
      <c r="G87" s="112">
        <v>60.36</v>
      </c>
      <c r="H87" s="112">
        <v>17.489999999999998</v>
      </c>
      <c r="I87" s="112">
        <v>17.38</v>
      </c>
      <c r="J87" s="112">
        <v>1.08</v>
      </c>
      <c r="K87" s="112">
        <v>41.06</v>
      </c>
      <c r="L87" s="112">
        <v>31.07</v>
      </c>
      <c r="M87" s="112">
        <v>54.74</v>
      </c>
      <c r="N87" s="112">
        <v>1.5</v>
      </c>
      <c r="O87" s="112">
        <v>0</v>
      </c>
      <c r="P87" s="112">
        <v>0.16</v>
      </c>
      <c r="Q87" s="112">
        <v>4.62</v>
      </c>
    </row>
    <row r="88" spans="1:17" customFormat="1">
      <c r="A88" s="80">
        <v>45451.833333333336</v>
      </c>
      <c r="B88" s="112">
        <v>7.52</v>
      </c>
      <c r="C88" s="112">
        <v>3.98</v>
      </c>
      <c r="D88" s="112">
        <v>12.56</v>
      </c>
      <c r="E88" s="112">
        <v>15.76</v>
      </c>
      <c r="F88" s="112">
        <v>25.23</v>
      </c>
      <c r="G88" s="112">
        <v>58.86</v>
      </c>
      <c r="H88" s="112">
        <v>16.579999999999998</v>
      </c>
      <c r="I88" s="112">
        <v>16.489999999999998</v>
      </c>
      <c r="J88" s="112">
        <v>0.96</v>
      </c>
      <c r="K88" s="112">
        <v>37.659999999999997</v>
      </c>
      <c r="L88" s="112">
        <v>31.13</v>
      </c>
      <c r="M88" s="112">
        <v>53.54</v>
      </c>
      <c r="N88" s="112">
        <v>1.3</v>
      </c>
      <c r="O88" s="112">
        <v>0</v>
      </c>
      <c r="P88" s="112">
        <v>0.19</v>
      </c>
      <c r="Q88" s="112">
        <v>4.5999999999999996</v>
      </c>
    </row>
    <row r="89" spans="1:17" customFormat="1">
      <c r="A89" s="80">
        <v>45451.84375</v>
      </c>
      <c r="B89" s="112">
        <v>7.53</v>
      </c>
      <c r="C89" s="112">
        <v>3.98</v>
      </c>
      <c r="D89" s="112">
        <v>12.57</v>
      </c>
      <c r="E89" s="112">
        <v>23.97</v>
      </c>
      <c r="F89" s="112">
        <v>16.89</v>
      </c>
      <c r="G89" s="112">
        <v>54.97</v>
      </c>
      <c r="H89" s="112">
        <v>14.89</v>
      </c>
      <c r="I89" s="112">
        <v>16.010000000000002</v>
      </c>
      <c r="J89" s="112">
        <v>0.67</v>
      </c>
      <c r="K89" s="112">
        <v>281.64</v>
      </c>
      <c r="L89" s="112">
        <v>31.26</v>
      </c>
      <c r="M89" s="112">
        <v>53.38</v>
      </c>
      <c r="N89" s="112">
        <v>1.1000000000000001</v>
      </c>
      <c r="O89" s="112">
        <v>0</v>
      </c>
      <c r="P89" s="112">
        <v>0.19</v>
      </c>
      <c r="Q89" s="112">
        <v>4.6100000000000003</v>
      </c>
    </row>
    <row r="90" spans="1:17" customFormat="1">
      <c r="A90" s="80">
        <v>45451.854166666664</v>
      </c>
      <c r="B90" s="112">
        <v>7.53</v>
      </c>
      <c r="C90" s="112">
        <v>3.95</v>
      </c>
      <c r="D90" s="112">
        <v>12.55</v>
      </c>
      <c r="E90" s="112">
        <v>21.02</v>
      </c>
      <c r="F90" s="112">
        <v>20.07</v>
      </c>
      <c r="G90" s="112">
        <v>54.97</v>
      </c>
      <c r="H90" s="112">
        <v>14.89</v>
      </c>
      <c r="I90" s="112">
        <v>15.02</v>
      </c>
      <c r="J90" s="112">
        <v>0.48</v>
      </c>
      <c r="K90" s="112">
        <v>293.10000000000002</v>
      </c>
      <c r="L90" s="112">
        <v>31.54</v>
      </c>
      <c r="M90" s="112">
        <v>51.36</v>
      </c>
      <c r="N90" s="112">
        <v>0.9</v>
      </c>
      <c r="O90" s="112">
        <v>0</v>
      </c>
      <c r="P90" s="112">
        <v>0.21</v>
      </c>
      <c r="Q90" s="112">
        <v>4.6100000000000003</v>
      </c>
    </row>
    <row r="91" spans="1:17" customFormat="1">
      <c r="A91" s="80">
        <v>45451.864583333336</v>
      </c>
      <c r="B91" s="112">
        <v>7.52</v>
      </c>
      <c r="C91" s="112">
        <v>3.96</v>
      </c>
      <c r="D91" s="112">
        <v>12.55</v>
      </c>
      <c r="E91" s="112">
        <v>22.15</v>
      </c>
      <c r="F91" s="112">
        <v>16.11</v>
      </c>
      <c r="G91" s="112">
        <v>54.97</v>
      </c>
      <c r="H91" s="112">
        <v>14.89</v>
      </c>
      <c r="I91" s="112">
        <v>14.84</v>
      </c>
      <c r="J91" s="112">
        <v>0.59</v>
      </c>
      <c r="K91" s="112">
        <v>265.32</v>
      </c>
      <c r="L91" s="112">
        <v>31.81</v>
      </c>
      <c r="M91" s="112">
        <v>49.88</v>
      </c>
      <c r="N91" s="112">
        <v>1.1000000000000001</v>
      </c>
      <c r="O91" s="112">
        <v>0</v>
      </c>
      <c r="P91" s="112">
        <v>0.21</v>
      </c>
      <c r="Q91" s="112">
        <v>4.6100000000000003</v>
      </c>
    </row>
    <row r="92" spans="1:17" customFormat="1">
      <c r="A92" s="80">
        <v>45451.875</v>
      </c>
      <c r="B92" s="112">
        <v>7.53</v>
      </c>
      <c r="C92" s="112">
        <v>3.93</v>
      </c>
      <c r="D92" s="112">
        <v>12.54</v>
      </c>
      <c r="E92" s="112">
        <v>17.579999999999998</v>
      </c>
      <c r="F92" s="112">
        <v>16.93</v>
      </c>
      <c r="G92" s="112">
        <v>56.28</v>
      </c>
      <c r="H92" s="112">
        <v>16.149999999999999</v>
      </c>
      <c r="I92" s="112">
        <v>15.1</v>
      </c>
      <c r="J92" s="112">
        <v>0.88</v>
      </c>
      <c r="K92" s="112">
        <v>266.02999999999997</v>
      </c>
      <c r="L92" s="112">
        <v>31.59</v>
      </c>
      <c r="M92" s="112">
        <v>52.57</v>
      </c>
      <c r="N92" s="112">
        <v>1.9</v>
      </c>
      <c r="O92" s="112">
        <v>0</v>
      </c>
      <c r="P92" s="112">
        <v>0.22</v>
      </c>
      <c r="Q92" s="112">
        <v>4.63</v>
      </c>
    </row>
    <row r="93" spans="1:17" customFormat="1">
      <c r="A93" s="80">
        <v>45451.885416666664</v>
      </c>
      <c r="B93" s="112">
        <v>7.5</v>
      </c>
      <c r="C93" s="112">
        <v>3.94</v>
      </c>
      <c r="D93" s="112">
        <v>12.53</v>
      </c>
      <c r="E93" s="112">
        <v>16.420000000000002</v>
      </c>
      <c r="F93" s="112">
        <v>19.7</v>
      </c>
      <c r="G93" s="112">
        <v>59.9</v>
      </c>
      <c r="H93" s="112">
        <v>18.510000000000002</v>
      </c>
      <c r="I93" s="112">
        <v>14.59</v>
      </c>
      <c r="J93" s="112">
        <v>0.72</v>
      </c>
      <c r="K93" s="112">
        <v>266.2</v>
      </c>
      <c r="L93" s="112">
        <v>31.08</v>
      </c>
      <c r="M93" s="112">
        <v>55.07</v>
      </c>
      <c r="N93" s="112">
        <v>2</v>
      </c>
      <c r="O93" s="112">
        <v>0</v>
      </c>
      <c r="P93" s="112">
        <v>0.25</v>
      </c>
      <c r="Q93" s="112">
        <v>4.6100000000000003</v>
      </c>
    </row>
    <row r="94" spans="1:17" customFormat="1">
      <c r="A94" s="80">
        <v>45451.895833333336</v>
      </c>
      <c r="B94" s="112">
        <v>7.5</v>
      </c>
      <c r="C94" s="112">
        <v>3.96</v>
      </c>
      <c r="D94" s="112">
        <v>12.53</v>
      </c>
      <c r="E94" s="112">
        <v>15.76</v>
      </c>
      <c r="F94" s="112">
        <v>20.420000000000002</v>
      </c>
      <c r="G94" s="112">
        <v>59.9</v>
      </c>
      <c r="H94" s="112">
        <v>18.510000000000002</v>
      </c>
      <c r="I94" s="112">
        <v>14.84</v>
      </c>
      <c r="J94" s="112">
        <v>0.82</v>
      </c>
      <c r="K94" s="112">
        <v>266.76</v>
      </c>
      <c r="L94" s="112">
        <v>30.75</v>
      </c>
      <c r="M94" s="112">
        <v>56.51</v>
      </c>
      <c r="N94" s="112">
        <v>2</v>
      </c>
      <c r="O94" s="112">
        <v>0</v>
      </c>
      <c r="P94" s="112">
        <v>0.28000000000000003</v>
      </c>
      <c r="Q94" s="112">
        <v>4.62</v>
      </c>
    </row>
    <row r="95" spans="1:17" customFormat="1">
      <c r="A95" s="80">
        <v>45451.90625</v>
      </c>
      <c r="B95" s="112">
        <v>7.51</v>
      </c>
      <c r="C95" s="112">
        <v>3.99</v>
      </c>
      <c r="D95" s="112">
        <v>12.56</v>
      </c>
      <c r="E95" s="112">
        <v>13.09</v>
      </c>
      <c r="F95" s="112">
        <v>25.1</v>
      </c>
      <c r="G95" s="112">
        <v>59.9</v>
      </c>
      <c r="H95" s="112">
        <v>18.510000000000002</v>
      </c>
      <c r="I95" s="112">
        <v>12.42</v>
      </c>
      <c r="J95" s="112">
        <v>0.62</v>
      </c>
      <c r="K95" s="112">
        <v>266.35000000000002</v>
      </c>
      <c r="L95" s="112">
        <v>30.52</v>
      </c>
      <c r="M95" s="112">
        <v>58.45</v>
      </c>
      <c r="N95" s="112">
        <v>1.8</v>
      </c>
      <c r="O95" s="112">
        <v>0</v>
      </c>
      <c r="P95" s="112">
        <v>0.26</v>
      </c>
      <c r="Q95" s="112">
        <v>4.62</v>
      </c>
    </row>
    <row r="96" spans="1:17" customFormat="1">
      <c r="A96" s="80">
        <v>45451.916666666664</v>
      </c>
      <c r="B96" s="112">
        <v>7.51</v>
      </c>
      <c r="C96" s="112">
        <v>3.97</v>
      </c>
      <c r="D96" s="112">
        <v>12.55</v>
      </c>
      <c r="E96" s="112">
        <v>12.85</v>
      </c>
      <c r="F96" s="112">
        <v>40.32</v>
      </c>
      <c r="G96" s="112">
        <v>59.96</v>
      </c>
      <c r="H96" s="112">
        <v>18.79</v>
      </c>
      <c r="I96" s="112">
        <v>9.67</v>
      </c>
      <c r="J96" s="112">
        <v>0.31</v>
      </c>
      <c r="K96" s="112">
        <v>229.39</v>
      </c>
      <c r="L96" s="112">
        <v>30.47</v>
      </c>
      <c r="M96" s="112">
        <v>58.85</v>
      </c>
      <c r="N96" s="112">
        <v>1.4</v>
      </c>
      <c r="O96" s="112">
        <v>0</v>
      </c>
      <c r="P96" s="112">
        <v>0.23</v>
      </c>
      <c r="Q96" s="112">
        <v>4.63</v>
      </c>
    </row>
    <row r="97" spans="1:22" customFormat="1">
      <c r="A97" s="80">
        <v>45451.927083333336</v>
      </c>
      <c r="B97" s="112">
        <v>7.52</v>
      </c>
      <c r="C97" s="112">
        <v>3.94</v>
      </c>
      <c r="D97" s="112">
        <v>12.54</v>
      </c>
      <c r="E97" s="112">
        <v>11.9</v>
      </c>
      <c r="F97" s="112">
        <v>38.07</v>
      </c>
      <c r="G97" s="112">
        <v>60.13</v>
      </c>
      <c r="H97" s="112">
        <v>20.12</v>
      </c>
      <c r="I97" s="112">
        <v>8.76</v>
      </c>
      <c r="J97" s="112">
        <v>0.4</v>
      </c>
      <c r="K97" s="112">
        <v>239.99</v>
      </c>
      <c r="L97" s="112">
        <v>30.48</v>
      </c>
      <c r="M97" s="112">
        <v>58.28</v>
      </c>
      <c r="N97" s="112">
        <v>1.3</v>
      </c>
      <c r="O97" s="112">
        <v>0</v>
      </c>
      <c r="P97" s="112">
        <v>0.19</v>
      </c>
      <c r="Q97" s="112">
        <v>4.6500000000000004</v>
      </c>
    </row>
    <row r="98" spans="1:22" customFormat="1">
      <c r="A98" s="80">
        <v>45451.9375</v>
      </c>
      <c r="B98" s="112">
        <v>7.51</v>
      </c>
      <c r="C98" s="112">
        <v>3.95</v>
      </c>
      <c r="D98" s="112">
        <v>12.54</v>
      </c>
      <c r="E98" s="112">
        <v>9.84</v>
      </c>
      <c r="F98" s="112">
        <v>29.84</v>
      </c>
      <c r="G98" s="112">
        <v>60.13</v>
      </c>
      <c r="H98" s="112">
        <v>20.12</v>
      </c>
      <c r="I98" s="112">
        <v>8.7100000000000009</v>
      </c>
      <c r="J98" s="112">
        <v>0.77</v>
      </c>
      <c r="K98" s="112">
        <v>260.54000000000002</v>
      </c>
      <c r="L98" s="112">
        <v>30.13</v>
      </c>
      <c r="M98" s="112">
        <v>58.04</v>
      </c>
      <c r="N98" s="112">
        <v>2.2999999999999998</v>
      </c>
      <c r="O98" s="112">
        <v>0</v>
      </c>
      <c r="P98" s="112">
        <v>0.18</v>
      </c>
      <c r="Q98" s="112">
        <v>4.6900000000000004</v>
      </c>
    </row>
    <row r="99" spans="1:22" customFormat="1">
      <c r="A99" s="80">
        <v>45451.947916666664</v>
      </c>
      <c r="B99" s="112">
        <v>7.51</v>
      </c>
      <c r="C99" s="112">
        <v>3.98</v>
      </c>
      <c r="D99" s="112">
        <v>12.56</v>
      </c>
      <c r="E99" s="112">
        <v>8.83</v>
      </c>
      <c r="F99" s="112">
        <v>32.229999999999997</v>
      </c>
      <c r="G99" s="112">
        <v>60.13</v>
      </c>
      <c r="H99" s="112">
        <v>20.12</v>
      </c>
      <c r="I99" s="112">
        <v>8.2200000000000006</v>
      </c>
      <c r="J99" s="112">
        <v>0.55000000000000004</v>
      </c>
      <c r="K99" s="112">
        <v>253.95</v>
      </c>
      <c r="L99" s="112">
        <v>29.45</v>
      </c>
      <c r="M99" s="112">
        <v>64.16</v>
      </c>
      <c r="N99" s="112">
        <v>2.2000000000000002</v>
      </c>
      <c r="O99" s="112">
        <v>0</v>
      </c>
      <c r="P99" s="112">
        <v>0.16</v>
      </c>
      <c r="Q99" s="112">
        <v>6.41</v>
      </c>
    </row>
    <row r="100" spans="1:22" customFormat="1">
      <c r="A100" s="80">
        <v>45451.958333333336</v>
      </c>
      <c r="B100" s="112">
        <v>7.52</v>
      </c>
      <c r="C100" s="112">
        <v>3.96</v>
      </c>
      <c r="D100" s="112">
        <v>12.55</v>
      </c>
      <c r="E100" s="112">
        <v>8.32</v>
      </c>
      <c r="F100" s="112">
        <v>40.119999999999997</v>
      </c>
      <c r="G100" s="112">
        <v>55.78</v>
      </c>
      <c r="H100" s="112">
        <v>19.25</v>
      </c>
      <c r="I100" s="112">
        <v>8.34</v>
      </c>
      <c r="J100" s="112">
        <v>0.62</v>
      </c>
      <c r="K100" s="112">
        <v>260.52</v>
      </c>
      <c r="L100" s="112">
        <v>29.09</v>
      </c>
      <c r="M100" s="112">
        <v>66.92</v>
      </c>
      <c r="N100" s="112">
        <v>2</v>
      </c>
      <c r="O100" s="112">
        <v>0</v>
      </c>
      <c r="P100" s="112">
        <v>0.14000000000000001</v>
      </c>
      <c r="Q100" s="112">
        <v>6.07</v>
      </c>
    </row>
    <row r="101" spans="1:22" customFormat="1">
      <c r="A101" s="80">
        <v>45451.96875</v>
      </c>
      <c r="B101" s="112">
        <v>7.5</v>
      </c>
      <c r="C101" s="112">
        <v>3.97</v>
      </c>
      <c r="D101" s="112">
        <v>12.54</v>
      </c>
      <c r="E101" s="112">
        <v>7.92</v>
      </c>
      <c r="F101" s="112">
        <v>29.7</v>
      </c>
      <c r="G101" s="112">
        <v>44.45</v>
      </c>
      <c r="H101" s="112">
        <v>17.7</v>
      </c>
      <c r="I101" s="112">
        <v>9.2200000000000006</v>
      </c>
      <c r="J101" s="112">
        <v>0.65</v>
      </c>
      <c r="K101" s="112">
        <v>260.2</v>
      </c>
      <c r="L101" s="112">
        <v>28.85</v>
      </c>
      <c r="M101" s="112">
        <v>68.5</v>
      </c>
      <c r="N101" s="112">
        <v>2</v>
      </c>
      <c r="O101" s="112">
        <v>0</v>
      </c>
      <c r="P101" s="112">
        <v>0.13</v>
      </c>
      <c r="Q101" s="112">
        <v>5.75</v>
      </c>
    </row>
    <row r="102" spans="1:22" customFormat="1">
      <c r="A102" s="80">
        <v>45451.979166666664</v>
      </c>
      <c r="B102" s="112">
        <v>7.52</v>
      </c>
      <c r="C102" s="112">
        <v>3.98</v>
      </c>
      <c r="D102" s="112">
        <v>12.56</v>
      </c>
      <c r="E102" s="112">
        <v>7.47</v>
      </c>
      <c r="F102" s="112">
        <v>42.41</v>
      </c>
      <c r="G102" s="112">
        <v>44.45</v>
      </c>
      <c r="H102" s="112">
        <v>17.7</v>
      </c>
      <c r="I102" s="112">
        <v>8.48</v>
      </c>
      <c r="J102" s="112">
        <v>0.41</v>
      </c>
      <c r="K102" s="112">
        <v>247.06</v>
      </c>
      <c r="L102" s="112">
        <v>28.69</v>
      </c>
      <c r="M102" s="112">
        <v>69.260000000000005</v>
      </c>
      <c r="N102" s="112">
        <v>1.7</v>
      </c>
      <c r="O102" s="112">
        <v>0</v>
      </c>
      <c r="P102" s="112">
        <v>0.11</v>
      </c>
      <c r="Q102" s="112">
        <v>5.23</v>
      </c>
    </row>
    <row r="103" spans="1:22" customFormat="1">
      <c r="A103" s="80">
        <v>45451.989583333336</v>
      </c>
      <c r="B103" s="112">
        <v>7.56</v>
      </c>
      <c r="C103" s="112">
        <v>3.98</v>
      </c>
      <c r="D103" s="112">
        <v>12.59</v>
      </c>
      <c r="E103" s="112">
        <v>7.19</v>
      </c>
      <c r="F103" s="112">
        <v>42.98</v>
      </c>
      <c r="G103" s="112">
        <v>44.45</v>
      </c>
      <c r="H103" s="112">
        <v>17.7</v>
      </c>
      <c r="I103" s="112">
        <v>8</v>
      </c>
      <c r="J103" s="112">
        <v>0.26</v>
      </c>
      <c r="K103" s="112">
        <v>241.46</v>
      </c>
      <c r="L103" s="112">
        <v>28.7</v>
      </c>
      <c r="M103" s="112">
        <v>68.67</v>
      </c>
      <c r="N103" s="112">
        <v>1.4</v>
      </c>
      <c r="O103" s="112">
        <v>0</v>
      </c>
      <c r="P103" s="112">
        <v>0.1</v>
      </c>
      <c r="Q103" s="112">
        <v>4.8099999999999996</v>
      </c>
    </row>
    <row r="104" spans="1:22" customFormat="1">
      <c r="A104" s="80">
        <v>45452</v>
      </c>
      <c r="B104" s="112">
        <v>7.55</v>
      </c>
      <c r="C104" s="112">
        <v>3.97</v>
      </c>
      <c r="D104" s="112">
        <v>12.58</v>
      </c>
      <c r="E104" s="112">
        <v>6.23</v>
      </c>
      <c r="F104" s="112">
        <v>49.03</v>
      </c>
      <c r="G104" s="112">
        <v>43.16</v>
      </c>
      <c r="H104" s="112">
        <v>17.059999999999999</v>
      </c>
      <c r="I104" s="112">
        <v>7.4</v>
      </c>
      <c r="J104" s="112">
        <v>0.24</v>
      </c>
      <c r="K104" s="112">
        <v>229.92</v>
      </c>
      <c r="L104" s="112">
        <v>28.69</v>
      </c>
      <c r="M104" s="112">
        <v>68.069999999999993</v>
      </c>
      <c r="N104" s="112">
        <v>1.3</v>
      </c>
      <c r="O104" s="112">
        <v>0</v>
      </c>
      <c r="P104" s="112">
        <v>0.1</v>
      </c>
      <c r="Q104" s="112">
        <v>4.68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5.34</v>
      </c>
      <c r="C106" s="184">
        <f>MIN(C9:C104)</f>
        <v>3.93</v>
      </c>
      <c r="D106" s="184">
        <f t="shared" ref="D106:Q106" si="0">MIN(D9:D104)</f>
        <v>11.76</v>
      </c>
      <c r="E106" s="184">
        <f t="shared" si="0"/>
        <v>5.0199999999999996</v>
      </c>
      <c r="F106" s="184">
        <f t="shared" si="0"/>
        <v>7.36</v>
      </c>
      <c r="G106" s="184">
        <f t="shared" si="0"/>
        <v>11.57</v>
      </c>
      <c r="H106" s="184">
        <f t="shared" si="0"/>
        <v>6.47</v>
      </c>
      <c r="I106" s="184">
        <f t="shared" si="0"/>
        <v>3.25</v>
      </c>
      <c r="J106" s="184">
        <f t="shared" si="0"/>
        <v>-0.65</v>
      </c>
      <c r="K106" s="184">
        <f t="shared" si="0"/>
        <v>0.1</v>
      </c>
      <c r="L106" s="184">
        <f t="shared" si="0"/>
        <v>28.69</v>
      </c>
      <c r="M106" s="184">
        <f t="shared" si="0"/>
        <v>35.049999999999997</v>
      </c>
      <c r="N106" s="184">
        <f t="shared" si="0"/>
        <v>0</v>
      </c>
      <c r="O106" s="184">
        <f t="shared" si="0"/>
        <v>0</v>
      </c>
      <c r="P106" s="184">
        <f t="shared" si="0"/>
        <v>0.1</v>
      </c>
      <c r="Q106" s="184">
        <f t="shared" si="0"/>
        <v>4.53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7.99</v>
      </c>
      <c r="C107" s="185">
        <f t="shared" ref="C107:Q107" si="1">MAX(C9:C104)</f>
        <v>6.1</v>
      </c>
      <c r="D107" s="185">
        <f t="shared" si="1"/>
        <v>14.52</v>
      </c>
      <c r="E107" s="185">
        <f t="shared" si="1"/>
        <v>35.4</v>
      </c>
      <c r="F107" s="185">
        <f t="shared" si="1"/>
        <v>68.39</v>
      </c>
      <c r="G107" s="185">
        <f t="shared" si="1"/>
        <v>60.36</v>
      </c>
      <c r="H107" s="185">
        <f t="shared" si="1"/>
        <v>20.12</v>
      </c>
      <c r="I107" s="185">
        <f t="shared" si="1"/>
        <v>39.93</v>
      </c>
      <c r="J107" s="185">
        <f t="shared" si="1"/>
        <v>4.0999999999999996</v>
      </c>
      <c r="K107" s="185">
        <f t="shared" si="1"/>
        <v>331.13</v>
      </c>
      <c r="L107" s="185">
        <f t="shared" si="1"/>
        <v>40.28</v>
      </c>
      <c r="M107" s="185">
        <f t="shared" si="1"/>
        <v>69.260000000000005</v>
      </c>
      <c r="N107" s="185">
        <f t="shared" si="1"/>
        <v>710.7</v>
      </c>
      <c r="O107" s="185">
        <f t="shared" si="1"/>
        <v>0</v>
      </c>
      <c r="P107" s="185">
        <f t="shared" si="1"/>
        <v>0.47</v>
      </c>
      <c r="Q107" s="185">
        <f t="shared" si="1"/>
        <v>26.54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7.1952272727272684</v>
      </c>
      <c r="C108" s="184">
        <f t="shared" ref="C108:Q108" si="2">AVERAGE(C9:C104)</f>
        <v>5.1152272727272745</v>
      </c>
      <c r="D108" s="184">
        <f t="shared" si="2"/>
        <v>13.186249999999985</v>
      </c>
      <c r="E108" s="184">
        <f t="shared" si="2"/>
        <v>12.602808988764043</v>
      </c>
      <c r="F108" s="184">
        <f t="shared" si="2"/>
        <v>26.735000000000003</v>
      </c>
      <c r="G108" s="184">
        <f t="shared" si="2"/>
        <v>33.073076923076918</v>
      </c>
      <c r="H108" s="184">
        <f t="shared" si="2"/>
        <v>12.593846153846151</v>
      </c>
      <c r="I108" s="184">
        <f t="shared" si="2"/>
        <v>8.5135632183908072</v>
      </c>
      <c r="J108" s="184">
        <f t="shared" si="2"/>
        <v>0.80855555555555569</v>
      </c>
      <c r="K108" s="184">
        <f t="shared" si="2"/>
        <v>238.64644444444448</v>
      </c>
      <c r="L108" s="184">
        <f t="shared" si="2"/>
        <v>32.99967032967033</v>
      </c>
      <c r="M108" s="184">
        <f t="shared" si="2"/>
        <v>53.792527472527482</v>
      </c>
      <c r="N108" s="184">
        <f t="shared" si="2"/>
        <v>137.12417582417578</v>
      </c>
      <c r="O108" s="184">
        <f t="shared" si="2"/>
        <v>0</v>
      </c>
      <c r="P108" s="184">
        <f t="shared" si="2"/>
        <v>0.28911111111111132</v>
      </c>
      <c r="Q108" s="184">
        <f t="shared" si="2"/>
        <v>5.0173033707865189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0.47946084967819286</v>
      </c>
      <c r="C109" s="184">
        <f t="shared" ref="C109:Q109" si="3">STDEV(C9:C104)</f>
        <v>1.0419047293273795</v>
      </c>
      <c r="D109" s="184">
        <f t="shared" si="3"/>
        <v>0.7015816490938287</v>
      </c>
      <c r="E109" s="184">
        <f t="shared" si="3"/>
        <v>5.8769865091736593</v>
      </c>
      <c r="F109" s="184">
        <f t="shared" si="3"/>
        <v>16.755826367009746</v>
      </c>
      <c r="G109" s="184">
        <f t="shared" si="3"/>
        <v>15.038949630306826</v>
      </c>
      <c r="H109" s="184">
        <f t="shared" si="3"/>
        <v>4.2503377040290236</v>
      </c>
      <c r="I109" s="184">
        <f t="shared" si="3"/>
        <v>8.0395316849913723</v>
      </c>
      <c r="J109" s="184">
        <f t="shared" si="3"/>
        <v>0.63298394660068735</v>
      </c>
      <c r="K109" s="184">
        <f t="shared" si="3"/>
        <v>75.654065788707143</v>
      </c>
      <c r="L109" s="184">
        <f t="shared" si="3"/>
        <v>3.8918208964583823</v>
      </c>
      <c r="M109" s="184">
        <f t="shared" si="3"/>
        <v>11.489529687058226</v>
      </c>
      <c r="N109" s="184">
        <f t="shared" si="3"/>
        <v>208.77196615800665</v>
      </c>
      <c r="O109" s="184">
        <f t="shared" si="3"/>
        <v>0</v>
      </c>
      <c r="P109" s="184">
        <f t="shared" si="3"/>
        <v>0.10706130181847236</v>
      </c>
      <c r="Q109" s="184">
        <f t="shared" si="3"/>
        <v>2.3246543066780214</v>
      </c>
      <c r="R109" s="188"/>
      <c r="S109" s="188"/>
      <c r="T109" s="188"/>
      <c r="U109" s="188"/>
    </row>
    <row r="110" spans="1:22">
      <c r="A110" s="183" t="s">
        <v>52</v>
      </c>
      <c r="B110" s="185">
        <v>96</v>
      </c>
      <c r="C110" s="185">
        <v>96</v>
      </c>
      <c r="D110" s="185">
        <v>96</v>
      </c>
      <c r="E110" s="185">
        <v>96</v>
      </c>
      <c r="F110" s="185">
        <v>96</v>
      </c>
      <c r="G110" s="185">
        <v>96</v>
      </c>
      <c r="H110" s="185">
        <v>96</v>
      </c>
      <c r="I110" s="185">
        <v>96</v>
      </c>
      <c r="J110" s="185">
        <v>96</v>
      </c>
      <c r="K110" s="185">
        <v>96</v>
      </c>
      <c r="L110" s="185">
        <v>96</v>
      </c>
      <c r="M110" s="185">
        <v>96</v>
      </c>
      <c r="N110" s="185">
        <v>96</v>
      </c>
      <c r="O110" s="185">
        <v>96</v>
      </c>
      <c r="P110" s="185">
        <v>96</v>
      </c>
      <c r="Q110" s="185"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49" activePane="bottomRight" state="frozen"/>
      <selection activeCell="A9" sqref="A9"/>
      <selection pane="topRight" activeCell="A9" sqref="A9"/>
      <selection pane="bottomLeft" activeCell="A9" sqref="A9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45452.010416666664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93">
        <v>45452.010416666664</v>
      </c>
      <c r="B9">
        <v>9.1</v>
      </c>
      <c r="C9">
        <v>4.09</v>
      </c>
      <c r="D9">
        <v>13.89</v>
      </c>
      <c r="E9">
        <v>6.52</v>
      </c>
      <c r="F9">
        <v>41.49</v>
      </c>
      <c r="G9">
        <v>39.799999999999997</v>
      </c>
      <c r="H9">
        <v>15.92</v>
      </c>
      <c r="I9">
        <v>6.6</v>
      </c>
      <c r="J9">
        <v>0.47</v>
      </c>
      <c r="K9">
        <v>281.14</v>
      </c>
      <c r="L9">
        <v>28.91</v>
      </c>
      <c r="M9">
        <v>66.430000000000007</v>
      </c>
      <c r="N9">
        <v>1.2</v>
      </c>
      <c r="O9">
        <v>0</v>
      </c>
      <c r="P9">
        <v>0.1</v>
      </c>
      <c r="Q9">
        <v>4.66</v>
      </c>
    </row>
    <row r="10" spans="1:21" customFormat="1">
      <c r="A10" s="193">
        <v>45452.020833333336</v>
      </c>
      <c r="B10">
        <v>9.09</v>
      </c>
      <c r="C10">
        <v>4.0999999999999996</v>
      </c>
      <c r="D10">
        <v>13.88</v>
      </c>
      <c r="E10">
        <v>6.99</v>
      </c>
      <c r="F10">
        <v>35.33</v>
      </c>
      <c r="G10">
        <v>39.799999999999997</v>
      </c>
      <c r="H10">
        <v>15.92</v>
      </c>
      <c r="I10">
        <v>6.01</v>
      </c>
      <c r="J10">
        <v>0.6</v>
      </c>
      <c r="K10">
        <v>263.76</v>
      </c>
      <c r="L10">
        <v>28.64</v>
      </c>
      <c r="M10">
        <v>67.48</v>
      </c>
      <c r="N10">
        <v>1.6</v>
      </c>
      <c r="O10">
        <v>0</v>
      </c>
      <c r="P10">
        <v>0.1</v>
      </c>
      <c r="Q10">
        <v>4.6399999999999997</v>
      </c>
    </row>
    <row r="11" spans="1:21" customFormat="1">
      <c r="A11" s="193">
        <v>45452.03125</v>
      </c>
      <c r="B11">
        <v>9.08</v>
      </c>
      <c r="C11">
        <v>4.07</v>
      </c>
      <c r="D11">
        <v>13.86</v>
      </c>
      <c r="E11">
        <v>6.77</v>
      </c>
      <c r="F11">
        <v>30.77</v>
      </c>
      <c r="G11">
        <v>39.799999999999997</v>
      </c>
      <c r="H11">
        <v>15.92</v>
      </c>
      <c r="I11">
        <v>6.24</v>
      </c>
      <c r="J11">
        <v>0.46</v>
      </c>
      <c r="K11">
        <v>253.63</v>
      </c>
      <c r="L11">
        <v>28.53</v>
      </c>
      <c r="M11">
        <v>69.010000000000005</v>
      </c>
      <c r="N11">
        <v>1.6</v>
      </c>
      <c r="O11">
        <v>0</v>
      </c>
      <c r="P11">
        <v>0.11</v>
      </c>
      <c r="Q11">
        <v>4.63</v>
      </c>
    </row>
    <row r="12" spans="1:21" customFormat="1">
      <c r="A12" s="193">
        <v>45452.041666666664</v>
      </c>
      <c r="B12">
        <v>9.1</v>
      </c>
      <c r="C12">
        <v>4.04</v>
      </c>
      <c r="D12">
        <v>13.86</v>
      </c>
      <c r="E12">
        <v>6.09</v>
      </c>
      <c r="F12">
        <v>42.47</v>
      </c>
      <c r="G12">
        <v>36.549999999999997</v>
      </c>
      <c r="H12">
        <v>15.95</v>
      </c>
      <c r="I12">
        <v>6.94</v>
      </c>
      <c r="J12">
        <v>0.27</v>
      </c>
      <c r="K12">
        <v>236.06</v>
      </c>
      <c r="L12">
        <v>28.47</v>
      </c>
      <c r="M12">
        <v>68.81</v>
      </c>
      <c r="N12">
        <v>1.4</v>
      </c>
      <c r="O12">
        <v>0</v>
      </c>
      <c r="P12">
        <v>0.1</v>
      </c>
      <c r="Q12">
        <v>4.6500000000000004</v>
      </c>
    </row>
    <row r="13" spans="1:21" customFormat="1">
      <c r="A13" s="193">
        <v>45452.052083333336</v>
      </c>
      <c r="B13">
        <v>9.09</v>
      </c>
      <c r="C13">
        <v>4.08</v>
      </c>
      <c r="D13">
        <v>13.87</v>
      </c>
      <c r="E13">
        <v>6.05</v>
      </c>
      <c r="F13">
        <v>40.98</v>
      </c>
      <c r="G13">
        <v>28.1</v>
      </c>
      <c r="H13">
        <v>16.02</v>
      </c>
      <c r="I13">
        <v>6.75</v>
      </c>
      <c r="J13">
        <v>0.2</v>
      </c>
      <c r="K13">
        <v>253.7</v>
      </c>
      <c r="L13">
        <v>28.6</v>
      </c>
      <c r="M13">
        <v>67.55</v>
      </c>
      <c r="N13">
        <v>1.3</v>
      </c>
      <c r="O13">
        <v>0</v>
      </c>
      <c r="P13">
        <v>0.1</v>
      </c>
      <c r="Q13">
        <v>4.6399999999999997</v>
      </c>
    </row>
    <row r="14" spans="1:21" customFormat="1">
      <c r="A14" s="193">
        <v>45452.0625</v>
      </c>
      <c r="B14">
        <v>9.11</v>
      </c>
      <c r="C14">
        <v>4.0599999999999996</v>
      </c>
      <c r="D14">
        <v>13.87</v>
      </c>
      <c r="E14">
        <v>5.87</v>
      </c>
      <c r="F14">
        <v>43.08</v>
      </c>
      <c r="G14">
        <v>28.1</v>
      </c>
      <c r="H14">
        <v>16.02</v>
      </c>
      <c r="I14">
        <v>6.09</v>
      </c>
      <c r="J14">
        <v>0.28999999999999998</v>
      </c>
      <c r="K14">
        <v>267.14</v>
      </c>
      <c r="L14">
        <v>28.5</v>
      </c>
      <c r="M14">
        <v>67.989999999999995</v>
      </c>
      <c r="N14">
        <v>1.4</v>
      </c>
      <c r="O14">
        <v>0</v>
      </c>
      <c r="P14">
        <v>0.1</v>
      </c>
      <c r="Q14">
        <v>4.6399999999999997</v>
      </c>
    </row>
    <row r="15" spans="1:21" customFormat="1">
      <c r="A15" s="193">
        <v>45452.072916666664</v>
      </c>
      <c r="B15">
        <v>9.1199999999999992</v>
      </c>
      <c r="C15">
        <v>4.04</v>
      </c>
      <c r="D15">
        <v>13.88</v>
      </c>
      <c r="E15">
        <v>6.4</v>
      </c>
      <c r="F15">
        <v>26.51</v>
      </c>
      <c r="G15">
        <v>28.1</v>
      </c>
      <c r="H15">
        <v>16.02</v>
      </c>
      <c r="I15">
        <v>5.78</v>
      </c>
      <c r="J15">
        <v>0.26</v>
      </c>
      <c r="K15">
        <v>241.41</v>
      </c>
      <c r="L15">
        <v>28.6</v>
      </c>
      <c r="M15">
        <v>67.849999999999994</v>
      </c>
      <c r="N15">
        <v>1.4</v>
      </c>
      <c r="O15">
        <v>0</v>
      </c>
      <c r="P15">
        <v>0.1</v>
      </c>
      <c r="Q15">
        <v>4.66</v>
      </c>
    </row>
    <row r="16" spans="1:21" customFormat="1">
      <c r="A16" s="193">
        <v>45452.083333333336</v>
      </c>
      <c r="B16">
        <v>9.11</v>
      </c>
      <c r="C16">
        <v>4.09</v>
      </c>
      <c r="D16">
        <v>13.89</v>
      </c>
      <c r="E16">
        <v>7.23</v>
      </c>
      <c r="F16">
        <v>15.32</v>
      </c>
      <c r="G16">
        <v>27.23</v>
      </c>
      <c r="H16">
        <v>14.31</v>
      </c>
      <c r="I16">
        <v>5.62</v>
      </c>
      <c r="J16">
        <v>0.3</v>
      </c>
      <c r="K16">
        <v>237.04</v>
      </c>
      <c r="L16">
        <v>28.46</v>
      </c>
      <c r="M16">
        <v>69.14</v>
      </c>
      <c r="N16">
        <v>1.6</v>
      </c>
      <c r="O16">
        <v>0</v>
      </c>
      <c r="P16">
        <v>0.12</v>
      </c>
      <c r="Q16">
        <v>4.6399999999999997</v>
      </c>
    </row>
    <row r="17" spans="1:17" customFormat="1">
      <c r="A17" s="193">
        <v>45452.09375</v>
      </c>
      <c r="B17">
        <v>9.16</v>
      </c>
      <c r="C17">
        <v>4.07</v>
      </c>
      <c r="D17">
        <v>13.92</v>
      </c>
      <c r="E17">
        <v>8.69</v>
      </c>
      <c r="F17">
        <v>18.2</v>
      </c>
      <c r="G17">
        <v>24.97</v>
      </c>
      <c r="H17">
        <v>11.25</v>
      </c>
      <c r="I17">
        <v>6.65</v>
      </c>
      <c r="J17">
        <v>0.46</v>
      </c>
      <c r="K17">
        <v>247.45</v>
      </c>
      <c r="L17">
        <v>28.48</v>
      </c>
      <c r="M17">
        <v>69.010000000000005</v>
      </c>
      <c r="N17">
        <v>1.6</v>
      </c>
      <c r="O17">
        <v>0</v>
      </c>
      <c r="P17">
        <v>0.11</v>
      </c>
      <c r="Q17">
        <v>4.62</v>
      </c>
    </row>
    <row r="18" spans="1:17" customFormat="1">
      <c r="A18" s="193">
        <v>45452.104166666664</v>
      </c>
      <c r="B18">
        <v>9.1300000000000008</v>
      </c>
      <c r="C18">
        <v>4.0599999999999996</v>
      </c>
      <c r="D18">
        <v>13.89</v>
      </c>
      <c r="E18">
        <v>10.41</v>
      </c>
      <c r="F18">
        <v>18.27</v>
      </c>
      <c r="G18">
        <v>24.97</v>
      </c>
      <c r="H18">
        <v>11.25</v>
      </c>
      <c r="I18">
        <v>7.65</v>
      </c>
      <c r="J18">
        <v>0.32</v>
      </c>
      <c r="K18">
        <v>247.28</v>
      </c>
      <c r="L18">
        <v>28.19</v>
      </c>
      <c r="M18">
        <v>70.97</v>
      </c>
      <c r="N18">
        <v>1.7</v>
      </c>
      <c r="O18">
        <v>0</v>
      </c>
      <c r="P18">
        <v>0.11</v>
      </c>
      <c r="Q18">
        <v>4.62</v>
      </c>
    </row>
    <row r="19" spans="1:17" customFormat="1">
      <c r="A19" s="193">
        <v>45452.114583333336</v>
      </c>
      <c r="B19">
        <v>9.1</v>
      </c>
      <c r="C19">
        <v>4.05</v>
      </c>
      <c r="D19">
        <v>13.87</v>
      </c>
      <c r="E19">
        <v>10.83</v>
      </c>
      <c r="F19">
        <v>15.42</v>
      </c>
      <c r="G19">
        <v>24.97</v>
      </c>
      <c r="H19">
        <v>11.25</v>
      </c>
      <c r="I19">
        <v>7.49</v>
      </c>
      <c r="J19">
        <v>0.53</v>
      </c>
      <c r="K19">
        <v>260.56</v>
      </c>
      <c r="L19">
        <v>28.12</v>
      </c>
      <c r="M19">
        <v>70.92</v>
      </c>
      <c r="N19">
        <v>1.5</v>
      </c>
      <c r="O19">
        <v>0</v>
      </c>
      <c r="P19">
        <v>0.11</v>
      </c>
      <c r="Q19">
        <v>4.62</v>
      </c>
    </row>
    <row r="20" spans="1:17" customFormat="1">
      <c r="A20" s="193">
        <v>45452.125</v>
      </c>
      <c r="B20">
        <v>9.11</v>
      </c>
      <c r="C20">
        <v>4.04</v>
      </c>
      <c r="D20">
        <v>13.86</v>
      </c>
      <c r="E20">
        <v>11.37</v>
      </c>
      <c r="F20">
        <v>14.93</v>
      </c>
      <c r="G20">
        <v>23.96</v>
      </c>
      <c r="H20">
        <v>11.25</v>
      </c>
      <c r="I20">
        <v>7.45</v>
      </c>
      <c r="J20">
        <v>0.52</v>
      </c>
      <c r="K20">
        <v>252.69</v>
      </c>
      <c r="L20">
        <v>27.87</v>
      </c>
      <c r="M20">
        <v>72.42</v>
      </c>
      <c r="N20">
        <v>1.6</v>
      </c>
      <c r="O20">
        <v>0</v>
      </c>
      <c r="P20">
        <v>0.11</v>
      </c>
      <c r="Q20">
        <v>4.63</v>
      </c>
    </row>
    <row r="21" spans="1:17" customFormat="1">
      <c r="A21" s="193">
        <v>45452.135416666664</v>
      </c>
      <c r="B21">
        <v>9.1199999999999992</v>
      </c>
      <c r="C21">
        <v>4.03</v>
      </c>
      <c r="D21">
        <v>13.86</v>
      </c>
      <c r="E21">
        <v>11.08</v>
      </c>
      <c r="F21">
        <v>15.5</v>
      </c>
      <c r="G21">
        <v>21.33</v>
      </c>
      <c r="H21">
        <v>11.25</v>
      </c>
      <c r="I21">
        <v>7.5</v>
      </c>
      <c r="J21">
        <v>0.45</v>
      </c>
      <c r="K21">
        <v>260.16000000000003</v>
      </c>
      <c r="L21">
        <v>27.85</v>
      </c>
      <c r="M21">
        <v>73.319999999999993</v>
      </c>
      <c r="N21">
        <v>1.5</v>
      </c>
      <c r="O21">
        <v>0</v>
      </c>
      <c r="P21">
        <v>0.1</v>
      </c>
      <c r="Q21">
        <v>4.63</v>
      </c>
    </row>
    <row r="22" spans="1:17" customFormat="1">
      <c r="A22" s="193">
        <v>45452.145833333336</v>
      </c>
      <c r="B22">
        <v>9.1</v>
      </c>
      <c r="C22">
        <v>4.03</v>
      </c>
      <c r="D22">
        <v>13.85</v>
      </c>
      <c r="E22">
        <v>11.46</v>
      </c>
      <c r="F22">
        <v>13.88</v>
      </c>
      <c r="G22">
        <v>21.33</v>
      </c>
      <c r="H22">
        <v>11.25</v>
      </c>
      <c r="I22">
        <v>7.47</v>
      </c>
      <c r="J22">
        <v>0.5</v>
      </c>
      <c r="K22">
        <v>247.05</v>
      </c>
      <c r="L22">
        <v>27.57</v>
      </c>
      <c r="M22">
        <v>75.33</v>
      </c>
      <c r="N22">
        <v>1.5</v>
      </c>
      <c r="O22">
        <v>0</v>
      </c>
      <c r="P22">
        <v>0.1</v>
      </c>
      <c r="Q22">
        <v>4.6399999999999997</v>
      </c>
    </row>
    <row r="23" spans="1:17" customFormat="1">
      <c r="A23" s="193">
        <v>45452.15625</v>
      </c>
      <c r="B23">
        <v>9.09</v>
      </c>
      <c r="C23">
        <v>4.07</v>
      </c>
      <c r="D23">
        <v>13.86</v>
      </c>
      <c r="E23">
        <v>11.43</v>
      </c>
      <c r="F23">
        <v>12.65</v>
      </c>
      <c r="G23">
        <v>21.33</v>
      </c>
      <c r="H23">
        <v>11.25</v>
      </c>
      <c r="I23">
        <v>7.36</v>
      </c>
      <c r="J23">
        <v>0.62</v>
      </c>
      <c r="K23">
        <v>255.8</v>
      </c>
      <c r="L23">
        <v>27.44</v>
      </c>
      <c r="M23">
        <v>76.7</v>
      </c>
      <c r="N23">
        <v>1.6</v>
      </c>
      <c r="O23">
        <v>0</v>
      </c>
      <c r="P23">
        <v>0.1</v>
      </c>
      <c r="Q23">
        <v>4.6500000000000004</v>
      </c>
    </row>
    <row r="24" spans="1:17" customFormat="1">
      <c r="A24" s="193">
        <v>45452.166666666664</v>
      </c>
      <c r="B24">
        <v>9.08</v>
      </c>
      <c r="C24">
        <v>4.08</v>
      </c>
      <c r="D24">
        <v>13.86</v>
      </c>
      <c r="E24">
        <v>11.55</v>
      </c>
      <c r="F24">
        <v>12.7</v>
      </c>
      <c r="G24">
        <v>21.24</v>
      </c>
      <c r="H24">
        <v>10.91</v>
      </c>
      <c r="I24">
        <v>7.34</v>
      </c>
      <c r="J24">
        <v>0.52</v>
      </c>
      <c r="K24">
        <v>253.08</v>
      </c>
      <c r="L24">
        <v>27.28</v>
      </c>
      <c r="M24">
        <v>77.319999999999993</v>
      </c>
      <c r="N24">
        <v>1.5</v>
      </c>
      <c r="O24">
        <v>0</v>
      </c>
      <c r="P24">
        <v>0.1</v>
      </c>
      <c r="Q24">
        <v>4.6399999999999997</v>
      </c>
    </row>
    <row r="25" spans="1:17" customFormat="1">
      <c r="A25" s="193">
        <v>45452.177083333336</v>
      </c>
      <c r="B25">
        <v>9.07</v>
      </c>
      <c r="C25">
        <v>4.0999999999999996</v>
      </c>
      <c r="D25">
        <v>13.87</v>
      </c>
      <c r="E25">
        <v>11.48</v>
      </c>
      <c r="F25">
        <v>12.99</v>
      </c>
      <c r="G25">
        <v>21.02</v>
      </c>
      <c r="H25">
        <v>9.41</v>
      </c>
      <c r="I25">
        <v>7.33</v>
      </c>
      <c r="J25">
        <v>0.46</v>
      </c>
      <c r="K25">
        <v>250.66</v>
      </c>
      <c r="L25">
        <v>27.38</v>
      </c>
      <c r="M25">
        <v>77.28</v>
      </c>
      <c r="N25">
        <v>1.4</v>
      </c>
      <c r="O25">
        <v>0</v>
      </c>
      <c r="P25">
        <v>0.1</v>
      </c>
      <c r="Q25">
        <v>4.6399999999999997</v>
      </c>
    </row>
    <row r="26" spans="1:17" customFormat="1">
      <c r="A26" s="193">
        <v>45452.1875</v>
      </c>
      <c r="B26">
        <v>9.07</v>
      </c>
      <c r="C26">
        <v>4.0999999999999996</v>
      </c>
      <c r="D26">
        <v>13.87</v>
      </c>
      <c r="E26">
        <v>11.58</v>
      </c>
      <c r="F26">
        <v>13.13</v>
      </c>
      <c r="G26">
        <v>21.02</v>
      </c>
      <c r="H26">
        <v>9.41</v>
      </c>
      <c r="I26">
        <v>7.26</v>
      </c>
      <c r="J26">
        <v>0.56000000000000005</v>
      </c>
      <c r="K26">
        <v>261.45999999999998</v>
      </c>
      <c r="L26">
        <v>27.27</v>
      </c>
      <c r="M26">
        <v>77.83</v>
      </c>
      <c r="N26">
        <v>1.5</v>
      </c>
      <c r="O26">
        <v>0</v>
      </c>
      <c r="P26">
        <v>0.1</v>
      </c>
      <c r="Q26">
        <v>4.63</v>
      </c>
    </row>
    <row r="27" spans="1:17" customFormat="1">
      <c r="A27" s="193">
        <v>45452.197916666664</v>
      </c>
      <c r="B27">
        <v>9.09</v>
      </c>
      <c r="C27">
        <v>4.0599999999999996</v>
      </c>
      <c r="D27">
        <v>13.86</v>
      </c>
      <c r="E27">
        <v>11.33</v>
      </c>
      <c r="F27">
        <v>12.48</v>
      </c>
      <c r="G27">
        <v>21.02</v>
      </c>
      <c r="H27">
        <v>9.41</v>
      </c>
      <c r="I27">
        <v>7.2</v>
      </c>
      <c r="J27">
        <v>0.44</v>
      </c>
      <c r="K27">
        <v>254.61</v>
      </c>
      <c r="L27">
        <v>27.5</v>
      </c>
      <c r="M27">
        <v>76.45</v>
      </c>
      <c r="N27">
        <v>1.3</v>
      </c>
      <c r="O27">
        <v>0</v>
      </c>
      <c r="P27">
        <v>0.1</v>
      </c>
      <c r="Q27">
        <v>4.6399999999999997</v>
      </c>
    </row>
    <row r="28" spans="1:17" customFormat="1">
      <c r="A28" s="193">
        <v>45452.208333333336</v>
      </c>
      <c r="B28">
        <v>9.08</v>
      </c>
      <c r="C28">
        <v>4.07</v>
      </c>
      <c r="D28">
        <v>13.86</v>
      </c>
      <c r="E28">
        <v>11.33</v>
      </c>
      <c r="F28">
        <v>13.3</v>
      </c>
      <c r="G28">
        <v>20.309999999999999</v>
      </c>
      <c r="H28">
        <v>8.49</v>
      </c>
      <c r="I28">
        <v>7.14</v>
      </c>
      <c r="J28">
        <v>0.4</v>
      </c>
      <c r="K28">
        <v>245.7</v>
      </c>
      <c r="L28">
        <v>27.62</v>
      </c>
      <c r="M28">
        <v>75.52</v>
      </c>
      <c r="N28">
        <v>1.6</v>
      </c>
      <c r="O28">
        <v>0</v>
      </c>
      <c r="P28">
        <v>0.1</v>
      </c>
      <c r="Q28">
        <v>4.66</v>
      </c>
    </row>
    <row r="29" spans="1:17" customFormat="1">
      <c r="A29" s="193">
        <v>45452.21875</v>
      </c>
      <c r="B29">
        <v>9.07</v>
      </c>
      <c r="C29">
        <v>4.07</v>
      </c>
      <c r="D29">
        <v>13.85</v>
      </c>
      <c r="E29">
        <v>11.53</v>
      </c>
      <c r="F29">
        <v>12.82</v>
      </c>
      <c r="G29">
        <v>18.47</v>
      </c>
      <c r="H29">
        <v>6.76</v>
      </c>
      <c r="I29">
        <v>7.01</v>
      </c>
      <c r="J29">
        <v>0.34</v>
      </c>
      <c r="K29">
        <v>247.18</v>
      </c>
      <c r="L29">
        <v>27.77</v>
      </c>
      <c r="M29">
        <v>74.959999999999994</v>
      </c>
      <c r="N29">
        <v>3.8</v>
      </c>
      <c r="O29">
        <v>0</v>
      </c>
      <c r="P29">
        <v>0.1</v>
      </c>
      <c r="Q29">
        <v>4.66</v>
      </c>
    </row>
    <row r="30" spans="1:17" customFormat="1">
      <c r="A30" s="193">
        <v>45452.229166666664</v>
      </c>
      <c r="B30">
        <v>9.0500000000000007</v>
      </c>
      <c r="C30">
        <v>4.09</v>
      </c>
      <c r="D30">
        <v>13.85</v>
      </c>
      <c r="E30">
        <v>11.44</v>
      </c>
      <c r="F30">
        <v>13.06</v>
      </c>
      <c r="G30">
        <v>18.47</v>
      </c>
      <c r="H30">
        <v>6.76</v>
      </c>
      <c r="I30">
        <v>6.92</v>
      </c>
      <c r="J30">
        <v>0.19</v>
      </c>
      <c r="K30">
        <v>237.97</v>
      </c>
      <c r="L30">
        <v>27.76</v>
      </c>
      <c r="M30">
        <v>75.540000000000006</v>
      </c>
      <c r="N30">
        <v>7.7</v>
      </c>
      <c r="O30">
        <v>0</v>
      </c>
      <c r="P30">
        <v>0.1</v>
      </c>
      <c r="Q30">
        <v>4.68</v>
      </c>
    </row>
    <row r="31" spans="1:17" customFormat="1">
      <c r="A31" s="193">
        <v>45452.239583333336</v>
      </c>
      <c r="B31">
        <v>9.07</v>
      </c>
      <c r="C31">
        <v>4.08</v>
      </c>
      <c r="D31">
        <v>13.85</v>
      </c>
      <c r="E31">
        <v>11.7</v>
      </c>
      <c r="F31">
        <v>12.92</v>
      </c>
      <c r="G31">
        <v>18.47</v>
      </c>
      <c r="H31">
        <v>6.76</v>
      </c>
      <c r="I31">
        <v>6.9</v>
      </c>
      <c r="J31">
        <v>0.24</v>
      </c>
      <c r="K31">
        <v>245.44</v>
      </c>
      <c r="L31">
        <v>27.9</v>
      </c>
      <c r="M31">
        <v>75.28</v>
      </c>
      <c r="N31">
        <v>16.899999999999999</v>
      </c>
      <c r="O31">
        <v>0</v>
      </c>
      <c r="P31">
        <v>0.1</v>
      </c>
      <c r="Q31">
        <v>4.71</v>
      </c>
    </row>
    <row r="32" spans="1:17" customFormat="1">
      <c r="A32" s="193">
        <v>45452.25</v>
      </c>
      <c r="B32">
        <v>9.08</v>
      </c>
      <c r="C32">
        <v>4.07</v>
      </c>
      <c r="D32">
        <v>13.86</v>
      </c>
      <c r="E32">
        <v>11.98</v>
      </c>
      <c r="F32">
        <v>12.57</v>
      </c>
      <c r="G32">
        <v>17.91</v>
      </c>
      <c r="H32">
        <v>7.11</v>
      </c>
      <c r="I32">
        <v>6.86</v>
      </c>
      <c r="J32">
        <v>0.35</v>
      </c>
      <c r="K32">
        <v>243.51</v>
      </c>
      <c r="L32">
        <v>28.06</v>
      </c>
      <c r="M32">
        <v>74.489999999999995</v>
      </c>
      <c r="N32">
        <v>31.3</v>
      </c>
      <c r="O32">
        <v>0</v>
      </c>
      <c r="P32">
        <v>0.1</v>
      </c>
      <c r="Q32">
        <v>4.84</v>
      </c>
    </row>
    <row r="33" spans="1:17" customFormat="1">
      <c r="A33" s="193">
        <v>45452.260416666664</v>
      </c>
      <c r="B33">
        <v>9.07</v>
      </c>
      <c r="C33">
        <v>4.05</v>
      </c>
      <c r="D33">
        <v>13.84</v>
      </c>
      <c r="E33">
        <v>12.02</v>
      </c>
      <c r="F33">
        <v>12.43</v>
      </c>
      <c r="G33">
        <v>16.48</v>
      </c>
      <c r="H33">
        <v>7.74</v>
      </c>
      <c r="I33">
        <v>6.84</v>
      </c>
      <c r="J33">
        <v>0.39</v>
      </c>
      <c r="K33">
        <v>251.11</v>
      </c>
      <c r="L33">
        <v>28.38</v>
      </c>
      <c r="M33">
        <v>73.23</v>
      </c>
      <c r="N33">
        <v>49.1</v>
      </c>
      <c r="O33">
        <v>0</v>
      </c>
      <c r="P33">
        <v>0.1</v>
      </c>
      <c r="Q33">
        <v>4.7</v>
      </c>
    </row>
    <row r="34" spans="1:17" customFormat="1">
      <c r="A34" s="193">
        <v>45452.270833333336</v>
      </c>
      <c r="B34">
        <v>9.06</v>
      </c>
      <c r="C34">
        <v>4.07</v>
      </c>
      <c r="D34">
        <v>13.84</v>
      </c>
      <c r="E34">
        <v>11.9</v>
      </c>
      <c r="F34">
        <v>12.72</v>
      </c>
      <c r="G34">
        <v>16.48</v>
      </c>
      <c r="H34">
        <v>7.74</v>
      </c>
      <c r="I34">
        <v>6.83</v>
      </c>
      <c r="J34">
        <v>0.38</v>
      </c>
      <c r="K34">
        <v>242.1</v>
      </c>
      <c r="L34">
        <v>28.88</v>
      </c>
      <c r="M34">
        <v>71.209999999999994</v>
      </c>
      <c r="N34">
        <v>73</v>
      </c>
      <c r="O34">
        <v>0</v>
      </c>
      <c r="P34">
        <v>0.1</v>
      </c>
      <c r="Q34">
        <v>4.68</v>
      </c>
    </row>
    <row r="35" spans="1:17" customFormat="1">
      <c r="A35" s="193">
        <v>45452.28125</v>
      </c>
      <c r="B35">
        <v>9.07</v>
      </c>
      <c r="C35">
        <v>4.03</v>
      </c>
      <c r="D35">
        <v>13.83</v>
      </c>
      <c r="E35">
        <v>11.03</v>
      </c>
      <c r="F35">
        <v>18.91</v>
      </c>
      <c r="G35">
        <v>16.48</v>
      </c>
      <c r="H35">
        <v>7.74</v>
      </c>
      <c r="I35">
        <v>6.79</v>
      </c>
      <c r="J35">
        <v>0.4</v>
      </c>
      <c r="K35">
        <v>252.43</v>
      </c>
      <c r="L35">
        <v>29.32</v>
      </c>
      <c r="M35">
        <v>70.11</v>
      </c>
      <c r="N35">
        <v>92</v>
      </c>
      <c r="O35">
        <v>0</v>
      </c>
      <c r="P35">
        <v>0.11</v>
      </c>
      <c r="Q35">
        <v>4.67</v>
      </c>
    </row>
    <row r="36" spans="1:17" customFormat="1">
      <c r="A36" s="193">
        <v>45452.291666666664</v>
      </c>
      <c r="B36">
        <v>9.07</v>
      </c>
      <c r="C36">
        <v>4.0599999999999996</v>
      </c>
      <c r="D36">
        <v>13.84</v>
      </c>
      <c r="E36">
        <v>10.91</v>
      </c>
      <c r="F36">
        <v>22.96</v>
      </c>
      <c r="G36">
        <v>16.23</v>
      </c>
      <c r="H36">
        <v>7.78</v>
      </c>
      <c r="I36">
        <v>6.6</v>
      </c>
      <c r="J36">
        <v>0.56999999999999995</v>
      </c>
      <c r="K36">
        <v>257.91000000000003</v>
      </c>
      <c r="L36">
        <v>29.8</v>
      </c>
      <c r="M36">
        <v>68.5</v>
      </c>
      <c r="N36">
        <v>111.4</v>
      </c>
      <c r="O36">
        <v>0</v>
      </c>
      <c r="P36">
        <v>0.12</v>
      </c>
      <c r="Q36">
        <v>4.67</v>
      </c>
    </row>
    <row r="37" spans="1:17" customFormat="1">
      <c r="A37" s="193">
        <v>45452.302083333336</v>
      </c>
      <c r="B37">
        <v>9.1</v>
      </c>
      <c r="C37">
        <v>4.09</v>
      </c>
      <c r="D37">
        <v>13.88</v>
      </c>
      <c r="E37">
        <v>10.55</v>
      </c>
      <c r="F37">
        <v>23.56</v>
      </c>
      <c r="G37">
        <v>15.53</v>
      </c>
      <c r="H37">
        <v>7.83</v>
      </c>
      <c r="I37">
        <v>6.12</v>
      </c>
      <c r="J37">
        <v>0.64</v>
      </c>
      <c r="K37">
        <v>267.58</v>
      </c>
      <c r="L37">
        <v>30.18</v>
      </c>
      <c r="M37">
        <v>67.48</v>
      </c>
      <c r="N37">
        <v>118</v>
      </c>
      <c r="O37">
        <v>0</v>
      </c>
      <c r="P37">
        <v>0.12</v>
      </c>
      <c r="Q37">
        <v>4.66</v>
      </c>
    </row>
    <row r="38" spans="1:17" customFormat="1">
      <c r="A38" s="193">
        <v>45452.3125</v>
      </c>
      <c r="B38">
        <v>9.07</v>
      </c>
      <c r="C38">
        <v>4.08</v>
      </c>
      <c r="D38">
        <v>13.86</v>
      </c>
      <c r="E38">
        <v>10.5</v>
      </c>
      <c r="F38">
        <v>24.87</v>
      </c>
      <c r="G38">
        <v>15.53</v>
      </c>
      <c r="H38">
        <v>7.83</v>
      </c>
      <c r="I38">
        <v>5.71</v>
      </c>
      <c r="J38">
        <v>0.56999999999999995</v>
      </c>
      <c r="K38">
        <v>265.45</v>
      </c>
      <c r="L38">
        <v>30.55</v>
      </c>
      <c r="M38">
        <v>66.36</v>
      </c>
      <c r="N38">
        <v>118.5</v>
      </c>
      <c r="O38">
        <v>0</v>
      </c>
      <c r="P38">
        <v>0.1</v>
      </c>
      <c r="Q38">
        <v>4.67</v>
      </c>
    </row>
    <row r="39" spans="1:17" customFormat="1">
      <c r="A39" s="193">
        <v>45452.322916666664</v>
      </c>
      <c r="B39">
        <v>9.07</v>
      </c>
      <c r="C39">
        <v>4.07</v>
      </c>
      <c r="D39">
        <v>13.85</v>
      </c>
      <c r="E39">
        <v>10.130000000000001</v>
      </c>
      <c r="F39">
        <v>19.87</v>
      </c>
      <c r="G39">
        <v>15.53</v>
      </c>
      <c r="H39">
        <v>7.83</v>
      </c>
      <c r="I39">
        <v>5.5</v>
      </c>
      <c r="J39">
        <v>0.96</v>
      </c>
      <c r="K39">
        <v>270.07</v>
      </c>
      <c r="L39">
        <v>31.08</v>
      </c>
      <c r="M39">
        <v>64.94</v>
      </c>
      <c r="N39">
        <v>146.4</v>
      </c>
      <c r="O39">
        <v>0</v>
      </c>
      <c r="P39">
        <v>0.1</v>
      </c>
      <c r="Q39">
        <v>4.6900000000000004</v>
      </c>
    </row>
    <row r="40" spans="1:17" customFormat="1">
      <c r="A40" s="193">
        <v>45452.333333333336</v>
      </c>
      <c r="B40">
        <v>9.09</v>
      </c>
      <c r="C40">
        <v>4.05</v>
      </c>
      <c r="D40">
        <v>13.85</v>
      </c>
      <c r="E40">
        <v>10.19</v>
      </c>
      <c r="F40">
        <v>23.21</v>
      </c>
      <c r="G40">
        <v>16.38</v>
      </c>
      <c r="H40">
        <v>8.8699999999999992</v>
      </c>
      <c r="I40">
        <v>5.56</v>
      </c>
      <c r="J40">
        <v>0.72</v>
      </c>
      <c r="K40">
        <v>273.60000000000002</v>
      </c>
      <c r="L40">
        <v>31.96</v>
      </c>
      <c r="M40">
        <v>62.16</v>
      </c>
      <c r="N40">
        <v>146.5</v>
      </c>
      <c r="O40">
        <v>0</v>
      </c>
      <c r="P40">
        <v>0.1</v>
      </c>
      <c r="Q40">
        <v>4.7</v>
      </c>
    </row>
    <row r="41" spans="1:17" customFormat="1">
      <c r="A41" s="193">
        <v>45452.34375</v>
      </c>
      <c r="B41">
        <v>9.11</v>
      </c>
      <c r="C41">
        <v>4.07</v>
      </c>
      <c r="D41">
        <v>13.89</v>
      </c>
      <c r="E41">
        <v>10.49</v>
      </c>
      <c r="F41">
        <v>20.13</v>
      </c>
      <c r="G41">
        <v>18.61</v>
      </c>
      <c r="H41">
        <v>10.82</v>
      </c>
      <c r="I41">
        <v>5.64</v>
      </c>
      <c r="J41">
        <v>0.84</v>
      </c>
      <c r="K41">
        <v>253.86</v>
      </c>
      <c r="L41">
        <v>32.369999999999997</v>
      </c>
      <c r="M41">
        <v>60.32</v>
      </c>
      <c r="N41">
        <v>152.4</v>
      </c>
      <c r="O41">
        <v>0</v>
      </c>
      <c r="P41">
        <v>0.11</v>
      </c>
      <c r="Q41">
        <v>4.6900000000000004</v>
      </c>
    </row>
    <row r="42" spans="1:17" customFormat="1">
      <c r="A42" s="193">
        <v>45452.354166666664</v>
      </c>
      <c r="B42">
        <v>9.1300000000000008</v>
      </c>
      <c r="C42">
        <v>4.0599999999999996</v>
      </c>
      <c r="D42">
        <v>13.89</v>
      </c>
      <c r="E42">
        <v>10.199999999999999</v>
      </c>
      <c r="F42">
        <v>24.43</v>
      </c>
      <c r="G42">
        <v>18.61</v>
      </c>
      <c r="H42">
        <v>10.82</v>
      </c>
      <c r="I42">
        <v>5.47</v>
      </c>
      <c r="J42">
        <v>1</v>
      </c>
      <c r="K42">
        <v>273.72000000000003</v>
      </c>
      <c r="L42">
        <v>32.340000000000003</v>
      </c>
      <c r="M42">
        <v>60.64</v>
      </c>
      <c r="N42">
        <v>160.69999999999999</v>
      </c>
      <c r="O42">
        <v>0</v>
      </c>
      <c r="P42">
        <v>0.11</v>
      </c>
      <c r="Q42">
        <v>4.7</v>
      </c>
    </row>
    <row r="43" spans="1:17" customFormat="1">
      <c r="A43" s="193">
        <v>45452.364583333336</v>
      </c>
      <c r="B43">
        <v>9.1199999999999992</v>
      </c>
      <c r="C43">
        <v>4.0599999999999996</v>
      </c>
      <c r="D43">
        <v>13.88</v>
      </c>
      <c r="E43">
        <v>10.51</v>
      </c>
      <c r="F43">
        <v>25.72</v>
      </c>
      <c r="G43">
        <v>18.61</v>
      </c>
      <c r="H43">
        <v>10.82</v>
      </c>
      <c r="I43">
        <v>5.56</v>
      </c>
      <c r="J43">
        <v>0.7</v>
      </c>
      <c r="K43">
        <v>264.02999999999997</v>
      </c>
      <c r="L43">
        <v>33.090000000000003</v>
      </c>
      <c r="M43">
        <v>58.77</v>
      </c>
      <c r="N43">
        <v>173.7</v>
      </c>
      <c r="O43">
        <v>0</v>
      </c>
      <c r="P43">
        <v>0.11</v>
      </c>
      <c r="Q43">
        <v>4.67</v>
      </c>
    </row>
    <row r="44" spans="1:17" customFormat="1">
      <c r="A44" s="193">
        <v>45452.375</v>
      </c>
      <c r="B44">
        <v>9.11</v>
      </c>
      <c r="C44">
        <v>4.07</v>
      </c>
      <c r="D44">
        <v>13.88</v>
      </c>
      <c r="E44">
        <v>10.29</v>
      </c>
      <c r="F44">
        <v>29.4</v>
      </c>
      <c r="G44">
        <v>20.149999999999999</v>
      </c>
      <c r="H44">
        <v>10.93</v>
      </c>
      <c r="I44">
        <v>5.57</v>
      </c>
      <c r="J44">
        <v>1.1299999999999999</v>
      </c>
      <c r="K44">
        <v>287.93</v>
      </c>
      <c r="L44">
        <v>33.78</v>
      </c>
      <c r="M44">
        <v>55.59</v>
      </c>
      <c r="N44">
        <v>187.2</v>
      </c>
      <c r="O44">
        <v>0</v>
      </c>
      <c r="P44">
        <v>0.12</v>
      </c>
      <c r="Q44">
        <v>4.68</v>
      </c>
    </row>
    <row r="45" spans="1:17" customFormat="1">
      <c r="A45" s="193">
        <v>45452.385416666664</v>
      </c>
      <c r="B45">
        <v>9.11</v>
      </c>
      <c r="C45">
        <v>4.07</v>
      </c>
      <c r="D45">
        <v>13.88</v>
      </c>
      <c r="E45">
        <v>9.9</v>
      </c>
      <c r="F45">
        <v>25.44</v>
      </c>
      <c r="G45">
        <v>24.15</v>
      </c>
      <c r="H45">
        <v>11.15</v>
      </c>
      <c r="I45">
        <v>5.41</v>
      </c>
      <c r="J45">
        <v>1.01</v>
      </c>
      <c r="K45">
        <v>264.57</v>
      </c>
      <c r="L45">
        <v>34.18</v>
      </c>
      <c r="M45">
        <v>53.66</v>
      </c>
      <c r="N45">
        <v>197.4</v>
      </c>
      <c r="O45">
        <v>0</v>
      </c>
      <c r="P45">
        <v>0.1</v>
      </c>
      <c r="Q45">
        <v>4.67</v>
      </c>
    </row>
    <row r="46" spans="1:17" customFormat="1">
      <c r="A46" s="193">
        <v>45452.395833333336</v>
      </c>
      <c r="B46">
        <v>9.1</v>
      </c>
      <c r="C46">
        <v>4.0999999999999996</v>
      </c>
      <c r="D46">
        <v>13.89</v>
      </c>
      <c r="E46">
        <v>10.17</v>
      </c>
      <c r="F46">
        <v>22.84</v>
      </c>
      <c r="G46">
        <v>24.15</v>
      </c>
      <c r="H46">
        <v>11.15</v>
      </c>
      <c r="I46">
        <v>5.37</v>
      </c>
      <c r="J46">
        <v>1.33</v>
      </c>
      <c r="K46">
        <v>286.54000000000002</v>
      </c>
      <c r="L46">
        <v>34.450000000000003</v>
      </c>
      <c r="M46">
        <v>52.39</v>
      </c>
      <c r="N46">
        <v>205.4</v>
      </c>
      <c r="O46">
        <v>0</v>
      </c>
      <c r="P46">
        <v>0.12</v>
      </c>
      <c r="Q46">
        <v>4.68</v>
      </c>
    </row>
    <row r="47" spans="1:17" customFormat="1">
      <c r="A47" s="193">
        <v>45452.40625</v>
      </c>
      <c r="B47">
        <v>9.1</v>
      </c>
      <c r="C47">
        <v>4.08</v>
      </c>
      <c r="D47">
        <v>13.88</v>
      </c>
      <c r="E47">
        <v>10.94</v>
      </c>
      <c r="F47">
        <v>26.42</v>
      </c>
      <c r="G47">
        <v>24.15</v>
      </c>
      <c r="H47">
        <v>11.15</v>
      </c>
      <c r="I47">
        <v>5.35</v>
      </c>
      <c r="J47">
        <v>1.22</v>
      </c>
      <c r="K47">
        <v>298.07</v>
      </c>
      <c r="L47">
        <v>34.96</v>
      </c>
      <c r="M47">
        <v>50.33</v>
      </c>
      <c r="N47">
        <v>225.9</v>
      </c>
      <c r="O47">
        <v>0</v>
      </c>
      <c r="P47">
        <v>0.16</v>
      </c>
      <c r="Q47">
        <v>4.66</v>
      </c>
    </row>
    <row r="48" spans="1:17" customFormat="1">
      <c r="A48" s="193">
        <v>45452.416666666664</v>
      </c>
      <c r="B48">
        <v>9.1</v>
      </c>
      <c r="C48">
        <v>4.09</v>
      </c>
      <c r="D48">
        <v>13.89</v>
      </c>
      <c r="E48">
        <v>11.81</v>
      </c>
      <c r="F48">
        <v>25.47</v>
      </c>
      <c r="G48">
        <v>22.4</v>
      </c>
      <c r="H48">
        <v>11.28</v>
      </c>
      <c r="I48">
        <v>5.43</v>
      </c>
      <c r="J48">
        <v>1.1499999999999999</v>
      </c>
      <c r="K48">
        <v>290.24</v>
      </c>
      <c r="L48">
        <v>35.49</v>
      </c>
      <c r="M48">
        <v>48.46</v>
      </c>
      <c r="N48">
        <v>253.8</v>
      </c>
      <c r="O48">
        <v>0</v>
      </c>
      <c r="P48">
        <v>0.17</v>
      </c>
      <c r="Q48">
        <v>4.66</v>
      </c>
    </row>
    <row r="49" spans="1:17" customFormat="1">
      <c r="A49" s="193">
        <v>45452.427083333336</v>
      </c>
      <c r="B49">
        <v>9.09</v>
      </c>
      <c r="C49">
        <v>4.07</v>
      </c>
      <c r="D49">
        <v>13.87</v>
      </c>
      <c r="E49">
        <v>11.98</v>
      </c>
      <c r="F49">
        <v>33.74</v>
      </c>
      <c r="G49">
        <v>17.84</v>
      </c>
      <c r="H49">
        <v>11.82</v>
      </c>
      <c r="I49">
        <v>5.62</v>
      </c>
      <c r="J49">
        <v>1.24</v>
      </c>
      <c r="K49">
        <v>304.99</v>
      </c>
      <c r="L49">
        <v>35.69</v>
      </c>
      <c r="M49">
        <v>47.39</v>
      </c>
      <c r="N49">
        <v>276</v>
      </c>
      <c r="O49">
        <v>0</v>
      </c>
      <c r="P49">
        <v>0.23</v>
      </c>
      <c r="Q49">
        <v>4.6399999999999997</v>
      </c>
    </row>
    <row r="50" spans="1:17" customFormat="1">
      <c r="A50" s="193">
        <v>45452.4375</v>
      </c>
      <c r="B50">
        <v>9.09</v>
      </c>
      <c r="C50">
        <v>4.09</v>
      </c>
      <c r="D50">
        <v>13.87</v>
      </c>
      <c r="E50">
        <v>16.940000000000001</v>
      </c>
      <c r="F50">
        <v>39.520000000000003</v>
      </c>
      <c r="G50">
        <v>17.84</v>
      </c>
      <c r="H50">
        <v>11.82</v>
      </c>
      <c r="I50">
        <v>5.93</v>
      </c>
      <c r="J50">
        <v>1.0900000000000001</v>
      </c>
      <c r="K50">
        <v>320.26</v>
      </c>
      <c r="L50">
        <v>36.11</v>
      </c>
      <c r="M50">
        <v>46.7</v>
      </c>
      <c r="N50">
        <v>252.2</v>
      </c>
      <c r="O50">
        <v>0</v>
      </c>
      <c r="P50">
        <v>0.23</v>
      </c>
      <c r="Q50">
        <v>4.6399999999999997</v>
      </c>
    </row>
    <row r="51" spans="1:17" customFormat="1">
      <c r="A51" s="193">
        <v>45452.447916666664</v>
      </c>
      <c r="B51">
        <v>9.09</v>
      </c>
      <c r="C51">
        <v>4.07</v>
      </c>
      <c r="D51">
        <v>13.87</v>
      </c>
      <c r="E51">
        <v>18.989999999999998</v>
      </c>
      <c r="F51">
        <v>41.55</v>
      </c>
      <c r="G51">
        <v>17.84</v>
      </c>
      <c r="H51">
        <v>11.82</v>
      </c>
      <c r="I51">
        <v>6.24</v>
      </c>
      <c r="J51">
        <v>1.03</v>
      </c>
      <c r="K51">
        <v>331.15</v>
      </c>
      <c r="L51">
        <v>36.33</v>
      </c>
      <c r="M51">
        <v>46.1</v>
      </c>
      <c r="N51">
        <v>274.3</v>
      </c>
      <c r="O51">
        <v>0</v>
      </c>
      <c r="P51">
        <v>0.25</v>
      </c>
      <c r="Q51">
        <v>4.6399999999999997</v>
      </c>
    </row>
    <row r="52" spans="1:17" customFormat="1">
      <c r="A52" s="193">
        <v>45452.458333333336</v>
      </c>
      <c r="B52">
        <v>9.09</v>
      </c>
      <c r="C52">
        <v>4.08</v>
      </c>
      <c r="D52">
        <v>13.87</v>
      </c>
      <c r="E52">
        <v>17.059999999999999</v>
      </c>
      <c r="F52">
        <v>43.99</v>
      </c>
      <c r="G52">
        <v>19.579999999999998</v>
      </c>
      <c r="H52">
        <v>12.7</v>
      </c>
      <c r="I52">
        <v>6.32</v>
      </c>
      <c r="J52">
        <v>1.18</v>
      </c>
      <c r="K52">
        <v>323.94</v>
      </c>
      <c r="L52">
        <v>36.65</v>
      </c>
      <c r="M52">
        <v>44.34</v>
      </c>
      <c r="N52">
        <v>292.8</v>
      </c>
      <c r="O52">
        <v>0</v>
      </c>
      <c r="P52">
        <v>0.26</v>
      </c>
      <c r="Q52">
        <v>4.6399999999999997</v>
      </c>
    </row>
    <row r="53" spans="1:17" customFormat="1">
      <c r="A53" s="193">
        <v>45452.46875</v>
      </c>
      <c r="B53">
        <v>9.1</v>
      </c>
      <c r="C53">
        <v>4.07</v>
      </c>
      <c r="D53">
        <v>13.87</v>
      </c>
      <c r="E53">
        <v>15.83</v>
      </c>
      <c r="F53">
        <v>31.42</v>
      </c>
      <c r="G53">
        <v>24.09</v>
      </c>
      <c r="H53">
        <v>14.24</v>
      </c>
      <c r="I53">
        <v>6.13</v>
      </c>
      <c r="J53">
        <v>0.83</v>
      </c>
      <c r="K53">
        <v>320.87</v>
      </c>
      <c r="L53">
        <v>36.96</v>
      </c>
      <c r="M53">
        <v>43.53</v>
      </c>
      <c r="N53">
        <v>293.7</v>
      </c>
      <c r="O53">
        <v>0</v>
      </c>
      <c r="P53">
        <v>0.24</v>
      </c>
      <c r="Q53">
        <v>4.6500000000000004</v>
      </c>
    </row>
    <row r="54" spans="1:17" customFormat="1">
      <c r="A54" s="193">
        <v>45452.479166666664</v>
      </c>
      <c r="B54">
        <v>9.1199999999999992</v>
      </c>
      <c r="C54">
        <v>4.08</v>
      </c>
      <c r="D54">
        <v>13.9</v>
      </c>
      <c r="E54">
        <v>15.06</v>
      </c>
      <c r="F54">
        <v>38.72</v>
      </c>
      <c r="G54">
        <v>24.09</v>
      </c>
      <c r="H54">
        <v>14.24</v>
      </c>
      <c r="I54">
        <v>6</v>
      </c>
      <c r="J54">
        <v>0.71</v>
      </c>
      <c r="K54">
        <v>317.45</v>
      </c>
      <c r="L54">
        <v>37.47</v>
      </c>
      <c r="M54">
        <v>42.41</v>
      </c>
      <c r="N54">
        <v>299.8</v>
      </c>
      <c r="O54">
        <v>0</v>
      </c>
      <c r="P54">
        <v>0.19</v>
      </c>
      <c r="Q54">
        <v>4.6500000000000004</v>
      </c>
    </row>
    <row r="55" spans="1:17" customFormat="1">
      <c r="A55" s="193">
        <v>45452.489583333336</v>
      </c>
      <c r="B55">
        <v>9.1199999999999992</v>
      </c>
      <c r="C55">
        <v>4.04</v>
      </c>
      <c r="D55">
        <v>13.88</v>
      </c>
      <c r="E55">
        <v>14.74</v>
      </c>
      <c r="F55">
        <v>32.1</v>
      </c>
      <c r="G55">
        <v>24.09</v>
      </c>
      <c r="H55">
        <v>14.24</v>
      </c>
      <c r="I55">
        <v>6.17</v>
      </c>
      <c r="J55">
        <v>0.62</v>
      </c>
      <c r="K55">
        <v>280.41000000000003</v>
      </c>
      <c r="L55">
        <v>38.19</v>
      </c>
      <c r="M55">
        <v>41.05</v>
      </c>
      <c r="N55">
        <v>464.3</v>
      </c>
      <c r="O55">
        <v>0</v>
      </c>
      <c r="P55">
        <v>0.16</v>
      </c>
      <c r="Q55">
        <v>4.67</v>
      </c>
    </row>
    <row r="56" spans="1:17" customFormat="1">
      <c r="A56" s="193">
        <v>45452.5</v>
      </c>
      <c r="B56">
        <v>9.11</v>
      </c>
      <c r="C56">
        <v>4.0599999999999996</v>
      </c>
      <c r="D56">
        <v>13.87</v>
      </c>
      <c r="E56">
        <v>14.4</v>
      </c>
      <c r="F56">
        <v>28.72</v>
      </c>
      <c r="G56">
        <v>24.63</v>
      </c>
      <c r="H56">
        <v>13.72</v>
      </c>
      <c r="I56">
        <v>6.27</v>
      </c>
      <c r="J56">
        <v>0.71</v>
      </c>
      <c r="K56">
        <v>259.77999999999997</v>
      </c>
      <c r="L56">
        <v>38.229999999999997</v>
      </c>
      <c r="M56">
        <v>40.729999999999997</v>
      </c>
      <c r="N56">
        <v>425.5</v>
      </c>
      <c r="O56">
        <v>0</v>
      </c>
      <c r="P56">
        <v>0.15</v>
      </c>
      <c r="Q56">
        <v>4.6500000000000004</v>
      </c>
    </row>
    <row r="57" spans="1:17" customFormat="1">
      <c r="A57" s="193">
        <v>45452.510416666664</v>
      </c>
      <c r="B57">
        <v>9.1199999999999992</v>
      </c>
      <c r="C57">
        <v>4.0599999999999996</v>
      </c>
      <c r="D57">
        <v>13.88</v>
      </c>
      <c r="E57">
        <v>14.83</v>
      </c>
      <c r="F57">
        <v>36.159999999999997</v>
      </c>
      <c r="G57">
        <v>26.05</v>
      </c>
      <c r="H57">
        <v>12.8</v>
      </c>
      <c r="I57">
        <v>6.27</v>
      </c>
      <c r="J57">
        <v>0.96</v>
      </c>
      <c r="K57">
        <v>320.39</v>
      </c>
      <c r="L57">
        <v>38.14</v>
      </c>
      <c r="M57">
        <v>40.22</v>
      </c>
      <c r="N57">
        <v>749.1</v>
      </c>
      <c r="O57">
        <v>0</v>
      </c>
      <c r="P57">
        <v>0.16</v>
      </c>
      <c r="Q57">
        <v>4.62</v>
      </c>
    </row>
    <row r="58" spans="1:17" customFormat="1">
      <c r="A58" s="193">
        <v>45452.520833333336</v>
      </c>
      <c r="B58">
        <v>9.1300000000000008</v>
      </c>
      <c r="C58">
        <v>4.07</v>
      </c>
      <c r="D58">
        <v>13.9</v>
      </c>
      <c r="E58">
        <v>14.43</v>
      </c>
      <c r="F58">
        <v>31.68</v>
      </c>
      <c r="G58">
        <v>26.05</v>
      </c>
      <c r="H58">
        <v>12.8</v>
      </c>
      <c r="I58">
        <v>6.22</v>
      </c>
      <c r="J58">
        <v>1</v>
      </c>
      <c r="K58">
        <v>282.52</v>
      </c>
      <c r="L58">
        <v>38.47</v>
      </c>
      <c r="M58">
        <v>39.909999999999997</v>
      </c>
      <c r="N58">
        <v>501.6</v>
      </c>
      <c r="O58">
        <v>0</v>
      </c>
      <c r="P58">
        <v>0.16</v>
      </c>
      <c r="Q58">
        <v>4.66</v>
      </c>
    </row>
    <row r="59" spans="1:17" customFormat="1">
      <c r="A59" s="193">
        <v>45452.53125</v>
      </c>
      <c r="B59">
        <v>9.14</v>
      </c>
      <c r="C59">
        <v>4.09</v>
      </c>
      <c r="D59">
        <v>13.91</v>
      </c>
      <c r="E59">
        <v>15.55</v>
      </c>
      <c r="F59">
        <v>45.4</v>
      </c>
      <c r="G59">
        <v>26.05</v>
      </c>
      <c r="H59">
        <v>12.8</v>
      </c>
      <c r="I59">
        <v>6.12</v>
      </c>
      <c r="J59">
        <v>0.41</v>
      </c>
      <c r="K59">
        <v>294.39</v>
      </c>
      <c r="L59">
        <v>37.89</v>
      </c>
      <c r="M59">
        <v>41.41</v>
      </c>
      <c r="N59">
        <v>394.1</v>
      </c>
      <c r="O59">
        <v>0</v>
      </c>
      <c r="P59">
        <v>0.15</v>
      </c>
      <c r="Q59">
        <v>4.66</v>
      </c>
    </row>
    <row r="60" spans="1:17" customFormat="1">
      <c r="A60" s="193">
        <v>45452.541666666664</v>
      </c>
      <c r="B60">
        <v>9.14</v>
      </c>
      <c r="C60">
        <v>4.1100000000000003</v>
      </c>
      <c r="D60">
        <v>13.92</v>
      </c>
      <c r="E60">
        <v>17.100000000000001</v>
      </c>
      <c r="F60">
        <v>35.1</v>
      </c>
      <c r="G60">
        <v>28.78</v>
      </c>
      <c r="H60">
        <v>13.64</v>
      </c>
      <c r="I60">
        <v>6</v>
      </c>
      <c r="J60">
        <v>0.66</v>
      </c>
      <c r="K60">
        <v>269.64999999999998</v>
      </c>
      <c r="L60">
        <v>38.24</v>
      </c>
      <c r="M60">
        <v>40.78</v>
      </c>
      <c r="N60">
        <v>480.2</v>
      </c>
      <c r="O60">
        <v>0</v>
      </c>
      <c r="P60">
        <v>0.15</v>
      </c>
      <c r="Q60">
        <v>4.63</v>
      </c>
    </row>
    <row r="61" spans="1:17" customFormat="1">
      <c r="A61" s="193">
        <v>45452.552083333336</v>
      </c>
      <c r="B61">
        <v>9.19</v>
      </c>
      <c r="C61">
        <v>4.0599999999999996</v>
      </c>
      <c r="D61">
        <v>13.94</v>
      </c>
      <c r="E61">
        <v>16.309999999999999</v>
      </c>
      <c r="F61">
        <v>41.93</v>
      </c>
      <c r="G61">
        <v>35.89</v>
      </c>
      <c r="H61">
        <v>15.11</v>
      </c>
      <c r="I61">
        <v>5.78</v>
      </c>
      <c r="J61">
        <v>0.6</v>
      </c>
      <c r="K61">
        <v>285.67</v>
      </c>
      <c r="L61">
        <v>39.119999999999997</v>
      </c>
      <c r="M61">
        <v>39.090000000000003</v>
      </c>
      <c r="N61">
        <v>607.29999999999995</v>
      </c>
      <c r="O61">
        <v>0</v>
      </c>
      <c r="P61">
        <v>0.15</v>
      </c>
      <c r="Q61">
        <v>4.33</v>
      </c>
    </row>
    <row r="62" spans="1:17" customFormat="1">
      <c r="A62" s="193">
        <v>45452.5625</v>
      </c>
      <c r="B62">
        <v>9.16</v>
      </c>
      <c r="C62">
        <v>4.07</v>
      </c>
      <c r="D62">
        <v>13.92</v>
      </c>
      <c r="E62">
        <v>16.97</v>
      </c>
      <c r="F62">
        <v>40.61</v>
      </c>
      <c r="G62">
        <v>35.89</v>
      </c>
      <c r="H62">
        <v>15.11</v>
      </c>
      <c r="I62">
        <v>5.81</v>
      </c>
      <c r="J62">
        <v>0.91</v>
      </c>
      <c r="K62">
        <v>306.66000000000003</v>
      </c>
      <c r="L62">
        <v>38.909999999999997</v>
      </c>
      <c r="M62">
        <v>38.9</v>
      </c>
      <c r="N62">
        <v>418.2</v>
      </c>
      <c r="O62">
        <v>0</v>
      </c>
      <c r="P62">
        <v>0.17</v>
      </c>
      <c r="Q62">
        <v>4.6900000000000004</v>
      </c>
    </row>
    <row r="63" spans="1:17" customFormat="1">
      <c r="A63" s="193">
        <v>45452.572916666664</v>
      </c>
      <c r="B63">
        <v>9.16</v>
      </c>
      <c r="C63">
        <v>4.03</v>
      </c>
      <c r="D63">
        <v>13.9</v>
      </c>
      <c r="E63">
        <v>17.77</v>
      </c>
      <c r="F63">
        <v>38.69</v>
      </c>
      <c r="G63">
        <v>35.89</v>
      </c>
      <c r="H63">
        <v>15.11</v>
      </c>
      <c r="I63">
        <v>5.94</v>
      </c>
      <c r="J63">
        <v>0.49</v>
      </c>
      <c r="K63">
        <v>292.39</v>
      </c>
      <c r="L63">
        <v>39.409999999999997</v>
      </c>
      <c r="M63">
        <v>37.46</v>
      </c>
      <c r="N63">
        <v>281.2</v>
      </c>
      <c r="O63">
        <v>0</v>
      </c>
      <c r="P63">
        <v>0.17</v>
      </c>
      <c r="Q63">
        <v>4.63</v>
      </c>
    </row>
    <row r="64" spans="1:17" customFormat="1">
      <c r="A64" s="193">
        <v>45452.583333333336</v>
      </c>
      <c r="B64">
        <v>9.14</v>
      </c>
      <c r="C64">
        <v>4.07</v>
      </c>
      <c r="D64">
        <v>13.91</v>
      </c>
      <c r="E64">
        <v>18.559999999999999</v>
      </c>
      <c r="F64">
        <v>51.69</v>
      </c>
      <c r="G64">
        <v>37.49</v>
      </c>
      <c r="H64">
        <v>16.18</v>
      </c>
      <c r="I64">
        <v>5.83</v>
      </c>
      <c r="J64">
        <v>0.79</v>
      </c>
      <c r="K64">
        <v>338.14</v>
      </c>
      <c r="L64">
        <v>38.9</v>
      </c>
      <c r="M64">
        <v>38.28</v>
      </c>
      <c r="N64">
        <v>406.2</v>
      </c>
      <c r="O64">
        <v>0</v>
      </c>
      <c r="P64">
        <v>0.18</v>
      </c>
      <c r="Q64">
        <v>4.63</v>
      </c>
    </row>
    <row r="65" spans="1:17" customFormat="1">
      <c r="A65" s="193">
        <v>45452.59375</v>
      </c>
      <c r="B65">
        <v>9.15</v>
      </c>
      <c r="C65">
        <v>4.0599999999999996</v>
      </c>
      <c r="D65">
        <v>13.91</v>
      </c>
      <c r="E65">
        <v>19.260000000000002</v>
      </c>
      <c r="F65">
        <v>42.41</v>
      </c>
      <c r="G65">
        <v>41.65</v>
      </c>
      <c r="H65">
        <v>18.059999999999999</v>
      </c>
      <c r="I65">
        <v>5.76</v>
      </c>
      <c r="J65">
        <v>0.78</v>
      </c>
      <c r="K65">
        <v>312.18</v>
      </c>
      <c r="L65">
        <v>39.39</v>
      </c>
      <c r="M65">
        <v>37.200000000000003</v>
      </c>
      <c r="N65">
        <v>461.3</v>
      </c>
      <c r="O65">
        <v>0</v>
      </c>
      <c r="P65">
        <v>0.43</v>
      </c>
      <c r="Q65">
        <v>4.6500000000000004</v>
      </c>
    </row>
    <row r="66" spans="1:17" customFormat="1">
      <c r="A66" s="193">
        <v>45452.604166666664</v>
      </c>
      <c r="B66">
        <v>9.14</v>
      </c>
      <c r="C66">
        <v>4.07</v>
      </c>
      <c r="D66">
        <v>13.9</v>
      </c>
      <c r="E66">
        <v>19.77</v>
      </c>
      <c r="F66">
        <v>48.56</v>
      </c>
      <c r="G66">
        <v>41.65</v>
      </c>
      <c r="H66">
        <v>18.059999999999999</v>
      </c>
      <c r="I66">
        <v>5.63</v>
      </c>
      <c r="J66">
        <v>0.96</v>
      </c>
      <c r="K66">
        <v>51.82</v>
      </c>
      <c r="L66">
        <v>39.369999999999997</v>
      </c>
      <c r="M66">
        <v>36.92</v>
      </c>
      <c r="N66">
        <v>496.8</v>
      </c>
      <c r="O66">
        <v>0</v>
      </c>
      <c r="P66">
        <v>0.47</v>
      </c>
      <c r="Q66">
        <v>4.67</v>
      </c>
    </row>
    <row r="67" spans="1:17" customFormat="1">
      <c r="A67" s="193">
        <v>45452.614583333336</v>
      </c>
      <c r="B67">
        <v>9.14</v>
      </c>
      <c r="C67">
        <v>4.05</v>
      </c>
      <c r="D67">
        <v>13.89</v>
      </c>
      <c r="E67">
        <v>19.440000000000001</v>
      </c>
      <c r="F67">
        <v>46.59</v>
      </c>
      <c r="G67">
        <v>41.65</v>
      </c>
      <c r="H67">
        <v>18.059999999999999</v>
      </c>
      <c r="I67">
        <v>5.43</v>
      </c>
      <c r="J67">
        <v>0.66</v>
      </c>
      <c r="K67">
        <v>69.400000000000006</v>
      </c>
      <c r="L67">
        <v>40.57</v>
      </c>
      <c r="M67">
        <v>34</v>
      </c>
      <c r="N67">
        <v>538.5</v>
      </c>
      <c r="O67">
        <v>0</v>
      </c>
      <c r="P67">
        <v>0.45</v>
      </c>
      <c r="Q67">
        <v>4.6500000000000004</v>
      </c>
    </row>
    <row r="68" spans="1:17" customFormat="1">
      <c r="A68" s="193">
        <v>45452.625</v>
      </c>
      <c r="B68">
        <v>9.1199999999999992</v>
      </c>
      <c r="C68">
        <v>4.05</v>
      </c>
      <c r="D68">
        <v>13.88</v>
      </c>
      <c r="E68">
        <v>19.59</v>
      </c>
      <c r="F68">
        <v>47.58</v>
      </c>
      <c r="G68">
        <v>42.2</v>
      </c>
      <c r="H68">
        <v>18.48</v>
      </c>
      <c r="I68">
        <v>5.47</v>
      </c>
      <c r="J68">
        <v>0.92</v>
      </c>
      <c r="K68">
        <v>320.51</v>
      </c>
      <c r="L68">
        <v>39.700000000000003</v>
      </c>
      <c r="M68">
        <v>35.28</v>
      </c>
      <c r="N68">
        <v>446.6</v>
      </c>
      <c r="O68">
        <v>0</v>
      </c>
      <c r="P68">
        <v>0.46</v>
      </c>
      <c r="Q68">
        <v>4.66</v>
      </c>
    </row>
    <row r="69" spans="1:17" customFormat="1">
      <c r="A69" s="193">
        <v>45452.635416666664</v>
      </c>
      <c r="B69">
        <v>9.11</v>
      </c>
      <c r="C69">
        <v>4.0599999999999996</v>
      </c>
      <c r="D69">
        <v>13.88</v>
      </c>
      <c r="E69">
        <v>21.75</v>
      </c>
      <c r="F69">
        <v>55.04</v>
      </c>
      <c r="G69">
        <v>43.63</v>
      </c>
      <c r="H69">
        <v>19.22</v>
      </c>
      <c r="I69">
        <v>5.49</v>
      </c>
      <c r="J69">
        <v>1.1499999999999999</v>
      </c>
      <c r="K69">
        <v>23.44</v>
      </c>
      <c r="L69">
        <v>39.14</v>
      </c>
      <c r="M69">
        <v>36.68</v>
      </c>
      <c r="N69">
        <v>247.1</v>
      </c>
      <c r="O69">
        <v>0</v>
      </c>
      <c r="P69">
        <v>0.47</v>
      </c>
      <c r="Q69">
        <v>4.66</v>
      </c>
    </row>
    <row r="70" spans="1:17" customFormat="1">
      <c r="A70" s="193">
        <v>45452.645833333336</v>
      </c>
      <c r="B70">
        <v>9.1199999999999992</v>
      </c>
      <c r="C70">
        <v>4.07</v>
      </c>
      <c r="D70">
        <v>13.89</v>
      </c>
      <c r="E70">
        <v>21.93</v>
      </c>
      <c r="F70">
        <v>52.44</v>
      </c>
      <c r="G70">
        <v>43.63</v>
      </c>
      <c r="H70">
        <v>19.22</v>
      </c>
      <c r="I70">
        <v>5.36</v>
      </c>
      <c r="J70">
        <v>0.76</v>
      </c>
      <c r="K70">
        <v>350.64</v>
      </c>
      <c r="L70">
        <v>39.19</v>
      </c>
      <c r="M70">
        <v>36.49</v>
      </c>
      <c r="N70">
        <v>415.3</v>
      </c>
      <c r="O70">
        <v>0</v>
      </c>
      <c r="P70">
        <v>0.47</v>
      </c>
      <c r="Q70">
        <v>4.67</v>
      </c>
    </row>
    <row r="71" spans="1:17" customFormat="1">
      <c r="A71" s="193">
        <v>45452.65625</v>
      </c>
      <c r="B71">
        <v>9.11</v>
      </c>
      <c r="C71">
        <v>4.09</v>
      </c>
      <c r="D71">
        <v>13.89</v>
      </c>
      <c r="E71">
        <v>21.86</v>
      </c>
      <c r="F71">
        <v>39.93</v>
      </c>
      <c r="G71">
        <v>43.63</v>
      </c>
      <c r="H71">
        <v>19.22</v>
      </c>
      <c r="I71">
        <v>5.33</v>
      </c>
      <c r="J71">
        <v>1.1499999999999999</v>
      </c>
      <c r="K71">
        <v>60.78</v>
      </c>
      <c r="L71">
        <v>39.03</v>
      </c>
      <c r="M71">
        <v>37.36</v>
      </c>
      <c r="N71">
        <v>244.4</v>
      </c>
      <c r="O71">
        <v>0</v>
      </c>
      <c r="P71">
        <v>0.48</v>
      </c>
      <c r="Q71">
        <v>4.66</v>
      </c>
    </row>
    <row r="72" spans="1:17" customFormat="1">
      <c r="A72" s="193">
        <v>45452.666666666664</v>
      </c>
      <c r="B72">
        <v>9.1199999999999992</v>
      </c>
      <c r="C72">
        <v>4.0599999999999996</v>
      </c>
      <c r="D72">
        <v>13.88</v>
      </c>
      <c r="E72">
        <v>16.95</v>
      </c>
      <c r="F72">
        <v>19.760000000000002</v>
      </c>
      <c r="G72">
        <v>49.73</v>
      </c>
      <c r="H72">
        <v>19.579999999999998</v>
      </c>
      <c r="I72">
        <v>5.23</v>
      </c>
      <c r="J72">
        <v>1.85</v>
      </c>
      <c r="K72">
        <v>115.9</v>
      </c>
      <c r="L72">
        <v>30.15</v>
      </c>
      <c r="M72">
        <v>68.28</v>
      </c>
      <c r="N72">
        <v>87.7</v>
      </c>
      <c r="O72">
        <v>7.8</v>
      </c>
      <c r="P72">
        <v>0.46</v>
      </c>
      <c r="Q72">
        <v>4.66</v>
      </c>
    </row>
    <row r="73" spans="1:17" customFormat="1">
      <c r="A73" s="193">
        <v>45452.677083333336</v>
      </c>
      <c r="B73">
        <v>9.1</v>
      </c>
      <c r="C73">
        <v>4.0599999999999996</v>
      </c>
      <c r="D73">
        <v>13.87</v>
      </c>
      <c r="E73">
        <v>15.26</v>
      </c>
      <c r="F73">
        <v>26.76</v>
      </c>
      <c r="G73">
        <v>65.599999999999994</v>
      </c>
      <c r="H73">
        <v>21.12</v>
      </c>
      <c r="I73">
        <v>5.47</v>
      </c>
      <c r="J73">
        <v>1.07</v>
      </c>
      <c r="K73">
        <v>208.24</v>
      </c>
      <c r="L73">
        <v>23.07</v>
      </c>
      <c r="M73">
        <v>99.84</v>
      </c>
      <c r="N73">
        <v>66.400000000000006</v>
      </c>
      <c r="O73">
        <v>10.8</v>
      </c>
      <c r="P73">
        <v>0.47</v>
      </c>
      <c r="Q73">
        <v>4.6399999999999997</v>
      </c>
    </row>
    <row r="74" spans="1:17" customFormat="1">
      <c r="A74" s="193">
        <v>45452.6875</v>
      </c>
      <c r="B74">
        <v>9.11</v>
      </c>
      <c r="C74">
        <v>4.08</v>
      </c>
      <c r="D74">
        <v>13.89</v>
      </c>
      <c r="E74">
        <v>13.6</v>
      </c>
      <c r="F74">
        <v>24.97</v>
      </c>
      <c r="G74">
        <v>65.599999999999994</v>
      </c>
      <c r="H74">
        <v>21.12</v>
      </c>
      <c r="I74">
        <v>5.68</v>
      </c>
      <c r="J74">
        <v>0.39</v>
      </c>
      <c r="K74">
        <v>280.77999999999997</v>
      </c>
      <c r="L74">
        <v>23.24</v>
      </c>
      <c r="M74">
        <v>102.2</v>
      </c>
      <c r="N74">
        <v>14.3</v>
      </c>
      <c r="O74">
        <v>2.2000000000000002</v>
      </c>
      <c r="P74">
        <v>0.45</v>
      </c>
      <c r="Q74">
        <v>4.62</v>
      </c>
    </row>
    <row r="75" spans="1:17" customFormat="1">
      <c r="A75" s="193">
        <v>45452.697916666664</v>
      </c>
      <c r="B75">
        <v>9.1</v>
      </c>
      <c r="C75">
        <v>4.07</v>
      </c>
      <c r="D75">
        <v>13.87</v>
      </c>
      <c r="E75">
        <v>12.76</v>
      </c>
      <c r="F75">
        <v>41.77</v>
      </c>
      <c r="G75">
        <v>65.599999999999994</v>
      </c>
      <c r="H75">
        <v>21.12</v>
      </c>
      <c r="I75">
        <v>5.25</v>
      </c>
      <c r="J75">
        <v>0.27</v>
      </c>
      <c r="K75">
        <v>267.08</v>
      </c>
      <c r="L75">
        <v>24.09</v>
      </c>
      <c r="M75">
        <v>103.12</v>
      </c>
      <c r="N75">
        <v>9.6999999999999993</v>
      </c>
      <c r="O75">
        <v>0.8</v>
      </c>
      <c r="P75">
        <v>0.45</v>
      </c>
      <c r="Q75">
        <v>4.62</v>
      </c>
    </row>
    <row r="76" spans="1:17" customFormat="1">
      <c r="A76" s="193">
        <v>45452.708333333336</v>
      </c>
      <c r="B76">
        <v>9.08</v>
      </c>
      <c r="C76">
        <v>4.05</v>
      </c>
      <c r="D76">
        <v>13.85</v>
      </c>
      <c r="E76">
        <v>12.01</v>
      </c>
      <c r="F76">
        <v>20.81</v>
      </c>
      <c r="G76">
        <v>61.56</v>
      </c>
      <c r="H76">
        <v>20.329999999999998</v>
      </c>
      <c r="I76">
        <v>4.7</v>
      </c>
      <c r="J76">
        <v>1.72</v>
      </c>
      <c r="K76">
        <v>278.16000000000003</v>
      </c>
      <c r="L76">
        <v>25.26</v>
      </c>
      <c r="M76">
        <v>103.25</v>
      </c>
      <c r="N76">
        <v>9.6999999999999993</v>
      </c>
      <c r="O76">
        <v>0</v>
      </c>
      <c r="P76">
        <v>0.44</v>
      </c>
      <c r="Q76">
        <v>4.6500000000000004</v>
      </c>
    </row>
    <row r="77" spans="1:17" customFormat="1">
      <c r="A77" s="193">
        <v>45452.71875</v>
      </c>
      <c r="B77" s="149" t="s">
        <v>4</v>
      </c>
      <c r="C77" s="149" t="s">
        <v>4</v>
      </c>
      <c r="D77" s="149" t="s">
        <v>4</v>
      </c>
      <c r="E77" s="149" t="s">
        <v>4</v>
      </c>
      <c r="F77" s="149" t="s">
        <v>4</v>
      </c>
      <c r="G77" s="149" t="s">
        <v>4</v>
      </c>
      <c r="H77" s="149" t="s">
        <v>4</v>
      </c>
      <c r="I77" s="149" t="s">
        <v>4</v>
      </c>
      <c r="J77" s="149" t="s">
        <v>4</v>
      </c>
      <c r="K77" s="149" t="s">
        <v>4</v>
      </c>
      <c r="L77" s="149" t="s">
        <v>4</v>
      </c>
      <c r="M77" s="149" t="s">
        <v>4</v>
      </c>
      <c r="N77" s="149" t="s">
        <v>4</v>
      </c>
      <c r="O77" s="149" t="s">
        <v>4</v>
      </c>
      <c r="P77" s="149" t="s">
        <v>4</v>
      </c>
      <c r="Q77" s="149" t="s">
        <v>4</v>
      </c>
    </row>
    <row r="78" spans="1:17" customFormat="1">
      <c r="A78" s="193">
        <v>45452.729166666664</v>
      </c>
      <c r="B78" s="149" t="s">
        <v>4</v>
      </c>
      <c r="C78" s="149" t="s">
        <v>4</v>
      </c>
      <c r="D78" s="149" t="s">
        <v>4</v>
      </c>
      <c r="E78" s="149" t="s">
        <v>4</v>
      </c>
      <c r="F78" s="149" t="s">
        <v>4</v>
      </c>
      <c r="G78" s="149" t="s">
        <v>4</v>
      </c>
      <c r="H78" s="149" t="s">
        <v>4</v>
      </c>
      <c r="I78" s="149" t="s">
        <v>4</v>
      </c>
      <c r="J78" s="149" t="s">
        <v>4</v>
      </c>
      <c r="K78" s="149" t="s">
        <v>4</v>
      </c>
      <c r="L78" s="149" t="s">
        <v>4</v>
      </c>
      <c r="M78" s="149" t="s">
        <v>4</v>
      </c>
      <c r="N78" s="149" t="s">
        <v>4</v>
      </c>
      <c r="O78" s="149" t="s">
        <v>4</v>
      </c>
      <c r="P78" s="149" t="s">
        <v>4</v>
      </c>
      <c r="Q78" s="149" t="s">
        <v>4</v>
      </c>
    </row>
    <row r="79" spans="1:17" customFormat="1">
      <c r="A79" s="193">
        <v>45452.739583333336</v>
      </c>
      <c r="B79" s="149" t="s">
        <v>4</v>
      </c>
      <c r="C79" s="149" t="s">
        <v>4</v>
      </c>
      <c r="D79" s="149" t="s">
        <v>4</v>
      </c>
      <c r="E79" s="149" t="s">
        <v>4</v>
      </c>
      <c r="F79" s="149" t="s">
        <v>4</v>
      </c>
      <c r="G79" s="149" t="s">
        <v>4</v>
      </c>
      <c r="H79" s="149" t="s">
        <v>4</v>
      </c>
      <c r="I79" s="149" t="s">
        <v>4</v>
      </c>
      <c r="J79" s="149" t="s">
        <v>4</v>
      </c>
      <c r="K79" s="149" t="s">
        <v>4</v>
      </c>
      <c r="L79" s="149" t="s">
        <v>4</v>
      </c>
      <c r="M79" s="149" t="s">
        <v>4</v>
      </c>
      <c r="N79" s="149" t="s">
        <v>4</v>
      </c>
      <c r="O79" s="149" t="s">
        <v>4</v>
      </c>
      <c r="P79" s="149" t="s">
        <v>4</v>
      </c>
      <c r="Q79" s="149" t="s">
        <v>4</v>
      </c>
    </row>
    <row r="80" spans="1:17" customFormat="1">
      <c r="A80" s="193">
        <v>45452.75</v>
      </c>
      <c r="B80" s="149" t="s">
        <v>4</v>
      </c>
      <c r="C80" s="149" t="s">
        <v>4</v>
      </c>
      <c r="D80" s="149" t="s">
        <v>4</v>
      </c>
      <c r="E80" s="149" t="s">
        <v>4</v>
      </c>
      <c r="F80" s="149" t="s">
        <v>4</v>
      </c>
      <c r="G80" s="149" t="s">
        <v>4</v>
      </c>
      <c r="H80" s="149" t="s">
        <v>4</v>
      </c>
      <c r="I80" s="149" t="s">
        <v>4</v>
      </c>
      <c r="J80" s="149" t="s">
        <v>4</v>
      </c>
      <c r="K80" s="149" t="s">
        <v>4</v>
      </c>
      <c r="L80" s="149" t="s">
        <v>4</v>
      </c>
      <c r="M80" s="149" t="s">
        <v>4</v>
      </c>
      <c r="N80" s="149" t="s">
        <v>4</v>
      </c>
      <c r="O80" s="149" t="s">
        <v>4</v>
      </c>
      <c r="P80" s="149" t="s">
        <v>4</v>
      </c>
      <c r="Q80" s="149" t="s">
        <v>4</v>
      </c>
    </row>
    <row r="81" spans="1:17" customFormat="1">
      <c r="A81" s="193">
        <v>45452.760416666664</v>
      </c>
      <c r="B81" s="149" t="s">
        <v>4</v>
      </c>
      <c r="C81" s="149" t="s">
        <v>4</v>
      </c>
      <c r="D81" s="149" t="s">
        <v>4</v>
      </c>
      <c r="E81" s="149" t="s">
        <v>4</v>
      </c>
      <c r="F81" s="149" t="s">
        <v>4</v>
      </c>
      <c r="G81" s="149" t="s">
        <v>4</v>
      </c>
      <c r="H81" s="149" t="s">
        <v>4</v>
      </c>
      <c r="I81" s="149" t="s">
        <v>4</v>
      </c>
      <c r="J81" s="149" t="s">
        <v>4</v>
      </c>
      <c r="K81" s="149" t="s">
        <v>4</v>
      </c>
      <c r="L81" s="149" t="s">
        <v>4</v>
      </c>
      <c r="M81" s="149" t="s">
        <v>4</v>
      </c>
      <c r="N81" s="149" t="s">
        <v>4</v>
      </c>
      <c r="O81" s="149" t="s">
        <v>4</v>
      </c>
      <c r="P81" s="149" t="s">
        <v>4</v>
      </c>
      <c r="Q81" s="149" t="s">
        <v>4</v>
      </c>
    </row>
    <row r="82" spans="1:17" customFormat="1">
      <c r="A82" s="193">
        <v>45452.770833333336</v>
      </c>
      <c r="B82" s="149" t="s">
        <v>4</v>
      </c>
      <c r="C82" s="149" t="s">
        <v>4</v>
      </c>
      <c r="D82" s="149" t="s">
        <v>4</v>
      </c>
      <c r="E82" s="149" t="s">
        <v>4</v>
      </c>
      <c r="F82" s="149" t="s">
        <v>4</v>
      </c>
      <c r="G82" s="149" t="s">
        <v>4</v>
      </c>
      <c r="H82" s="149" t="s">
        <v>4</v>
      </c>
      <c r="I82" s="149" t="s">
        <v>4</v>
      </c>
      <c r="J82" s="149" t="s">
        <v>4</v>
      </c>
      <c r="K82" s="149" t="s">
        <v>4</v>
      </c>
      <c r="L82" s="149" t="s">
        <v>4</v>
      </c>
      <c r="M82" s="149" t="s">
        <v>4</v>
      </c>
      <c r="N82" s="149" t="s">
        <v>4</v>
      </c>
      <c r="O82" s="149" t="s">
        <v>4</v>
      </c>
      <c r="P82" s="149" t="s">
        <v>4</v>
      </c>
      <c r="Q82" s="149" t="s">
        <v>4</v>
      </c>
    </row>
    <row r="83" spans="1:17" customFormat="1">
      <c r="A83" s="193">
        <v>45452.78125</v>
      </c>
      <c r="B83" s="149" t="s">
        <v>4</v>
      </c>
      <c r="C83" s="149" t="s">
        <v>4</v>
      </c>
      <c r="D83" s="149" t="s">
        <v>4</v>
      </c>
      <c r="E83" s="149" t="s">
        <v>4</v>
      </c>
      <c r="F83" s="149" t="s">
        <v>4</v>
      </c>
      <c r="G83" s="149" t="s">
        <v>4</v>
      </c>
      <c r="H83" s="149" t="s">
        <v>4</v>
      </c>
      <c r="I83" s="149" t="s">
        <v>4</v>
      </c>
      <c r="J83" s="149" t="s">
        <v>4</v>
      </c>
      <c r="K83" s="149" t="s">
        <v>4</v>
      </c>
      <c r="L83" s="149" t="s">
        <v>4</v>
      </c>
      <c r="M83" s="149" t="s">
        <v>4</v>
      </c>
      <c r="N83" s="149" t="s">
        <v>4</v>
      </c>
      <c r="O83" s="149" t="s">
        <v>4</v>
      </c>
      <c r="P83" s="149" t="s">
        <v>4</v>
      </c>
      <c r="Q83" s="149" t="s">
        <v>4</v>
      </c>
    </row>
    <row r="84" spans="1:17" customFormat="1">
      <c r="A84" s="193">
        <v>45452.791666666664</v>
      </c>
      <c r="B84" s="149" t="s">
        <v>4</v>
      </c>
      <c r="C84" s="149" t="s">
        <v>4</v>
      </c>
      <c r="D84" s="149" t="s">
        <v>4</v>
      </c>
      <c r="E84" s="149" t="s">
        <v>4</v>
      </c>
      <c r="F84" s="149" t="s">
        <v>4</v>
      </c>
      <c r="G84" s="149" t="s">
        <v>4</v>
      </c>
      <c r="H84" s="149" t="s">
        <v>4</v>
      </c>
      <c r="I84" s="149" t="s">
        <v>4</v>
      </c>
      <c r="J84" s="149" t="s">
        <v>4</v>
      </c>
      <c r="K84" s="149" t="s">
        <v>4</v>
      </c>
      <c r="L84" s="149" t="s">
        <v>4</v>
      </c>
      <c r="M84" s="149" t="s">
        <v>4</v>
      </c>
      <c r="N84" s="149" t="s">
        <v>4</v>
      </c>
      <c r="O84" s="149" t="s">
        <v>4</v>
      </c>
      <c r="P84" s="149" t="s">
        <v>4</v>
      </c>
      <c r="Q84" s="149" t="s">
        <v>4</v>
      </c>
    </row>
    <row r="85" spans="1:17" customFormat="1">
      <c r="A85" s="193">
        <v>45452.802083333336</v>
      </c>
      <c r="B85" s="149" t="s">
        <v>4</v>
      </c>
      <c r="C85" s="149" t="s">
        <v>4</v>
      </c>
      <c r="D85" s="149" t="s">
        <v>4</v>
      </c>
      <c r="E85" s="149" t="s">
        <v>4</v>
      </c>
      <c r="F85" s="149" t="s">
        <v>4</v>
      </c>
      <c r="G85" s="149" t="s">
        <v>4</v>
      </c>
      <c r="H85" s="149" t="s">
        <v>4</v>
      </c>
      <c r="I85" s="149" t="s">
        <v>4</v>
      </c>
      <c r="J85" s="149" t="s">
        <v>4</v>
      </c>
      <c r="K85" s="149" t="s">
        <v>4</v>
      </c>
      <c r="L85" s="149" t="s">
        <v>4</v>
      </c>
      <c r="M85" s="149" t="s">
        <v>4</v>
      </c>
      <c r="N85" s="149" t="s">
        <v>4</v>
      </c>
      <c r="O85" s="149" t="s">
        <v>4</v>
      </c>
      <c r="P85" s="149" t="s">
        <v>4</v>
      </c>
      <c r="Q85" s="149" t="s">
        <v>4</v>
      </c>
    </row>
    <row r="86" spans="1:17" customFormat="1">
      <c r="A86" s="193">
        <v>45452.8125</v>
      </c>
      <c r="B86" s="149" t="s">
        <v>4</v>
      </c>
      <c r="C86" s="149" t="s">
        <v>4</v>
      </c>
      <c r="D86" s="149" t="s">
        <v>4</v>
      </c>
      <c r="E86" s="149" t="s">
        <v>4</v>
      </c>
      <c r="F86" s="149" t="s">
        <v>4</v>
      </c>
      <c r="G86" s="149" t="s">
        <v>4</v>
      </c>
      <c r="H86" s="149" t="s">
        <v>4</v>
      </c>
      <c r="I86" s="149" t="s">
        <v>4</v>
      </c>
      <c r="J86" s="149" t="s">
        <v>4</v>
      </c>
      <c r="K86" s="149" t="s">
        <v>4</v>
      </c>
      <c r="L86" s="149" t="s">
        <v>4</v>
      </c>
      <c r="M86" s="149" t="s">
        <v>4</v>
      </c>
      <c r="N86" s="149" t="s">
        <v>4</v>
      </c>
      <c r="O86" s="149" t="s">
        <v>4</v>
      </c>
      <c r="P86" s="149" t="s">
        <v>4</v>
      </c>
      <c r="Q86" s="149" t="s">
        <v>4</v>
      </c>
    </row>
    <row r="87" spans="1:17" customFormat="1">
      <c r="A87" s="193">
        <v>45452.822916666664</v>
      </c>
      <c r="B87" s="149" t="s">
        <v>4</v>
      </c>
      <c r="C87" s="149" t="s">
        <v>4</v>
      </c>
      <c r="D87" s="149" t="s">
        <v>4</v>
      </c>
      <c r="E87" s="149" t="s">
        <v>4</v>
      </c>
      <c r="F87" s="149" t="s">
        <v>4</v>
      </c>
      <c r="G87" s="149" t="s">
        <v>4</v>
      </c>
      <c r="H87" s="149" t="s">
        <v>4</v>
      </c>
      <c r="I87" s="149" t="s">
        <v>4</v>
      </c>
      <c r="J87" s="149" t="s">
        <v>4</v>
      </c>
      <c r="K87" s="149" t="s">
        <v>4</v>
      </c>
      <c r="L87" s="149" t="s">
        <v>4</v>
      </c>
      <c r="M87" s="149" t="s">
        <v>4</v>
      </c>
      <c r="N87" s="149" t="s">
        <v>4</v>
      </c>
      <c r="O87" s="149" t="s">
        <v>4</v>
      </c>
      <c r="P87" s="149" t="s">
        <v>4</v>
      </c>
      <c r="Q87" s="149" t="s">
        <v>4</v>
      </c>
    </row>
    <row r="88" spans="1:17" customFormat="1">
      <c r="A88" s="193">
        <v>45452.833333333336</v>
      </c>
      <c r="B88" s="149" t="s">
        <v>4</v>
      </c>
      <c r="C88" s="149" t="s">
        <v>4</v>
      </c>
      <c r="D88" s="149" t="s">
        <v>4</v>
      </c>
      <c r="E88" s="149" t="s">
        <v>4</v>
      </c>
      <c r="F88" s="149" t="s">
        <v>4</v>
      </c>
      <c r="G88" s="149" t="s">
        <v>4</v>
      </c>
      <c r="H88" s="149" t="s">
        <v>4</v>
      </c>
      <c r="I88" s="149" t="s">
        <v>4</v>
      </c>
      <c r="J88" s="149" t="s">
        <v>4</v>
      </c>
      <c r="K88" s="149" t="s">
        <v>4</v>
      </c>
      <c r="L88" s="149" t="s">
        <v>4</v>
      </c>
      <c r="M88" s="149" t="s">
        <v>4</v>
      </c>
      <c r="N88" s="149" t="s">
        <v>4</v>
      </c>
      <c r="O88" s="149" t="s">
        <v>4</v>
      </c>
      <c r="P88" s="149" t="s">
        <v>4</v>
      </c>
      <c r="Q88" s="149" t="s">
        <v>4</v>
      </c>
    </row>
    <row r="89" spans="1:17" customFormat="1">
      <c r="A89" s="193">
        <v>45452.84375</v>
      </c>
      <c r="B89" s="149" t="s">
        <v>4</v>
      </c>
      <c r="C89" s="149" t="s">
        <v>4</v>
      </c>
      <c r="D89" s="149" t="s">
        <v>4</v>
      </c>
      <c r="E89" s="149" t="s">
        <v>4</v>
      </c>
      <c r="F89" s="149" t="s">
        <v>4</v>
      </c>
      <c r="G89" s="149" t="s">
        <v>4</v>
      </c>
      <c r="H89" s="149" t="s">
        <v>4</v>
      </c>
      <c r="I89" s="149" t="s">
        <v>4</v>
      </c>
      <c r="J89" s="149" t="s">
        <v>4</v>
      </c>
      <c r="K89" s="149" t="s">
        <v>4</v>
      </c>
      <c r="L89" s="149" t="s">
        <v>4</v>
      </c>
      <c r="M89" s="149" t="s">
        <v>4</v>
      </c>
      <c r="N89" s="149" t="s">
        <v>4</v>
      </c>
      <c r="O89" s="149" t="s">
        <v>4</v>
      </c>
      <c r="P89" s="149" t="s">
        <v>4</v>
      </c>
      <c r="Q89" s="149" t="s">
        <v>4</v>
      </c>
    </row>
    <row r="90" spans="1:17" customFormat="1">
      <c r="A90" s="193">
        <v>45452.854166666664</v>
      </c>
      <c r="B90" s="149" t="s">
        <v>4</v>
      </c>
      <c r="C90" s="149" t="s">
        <v>4</v>
      </c>
      <c r="D90" s="149" t="s">
        <v>4</v>
      </c>
      <c r="E90" s="149" t="s">
        <v>4</v>
      </c>
      <c r="F90" s="149" t="s">
        <v>4</v>
      </c>
      <c r="G90" s="149" t="s">
        <v>4</v>
      </c>
      <c r="H90" s="149" t="s">
        <v>4</v>
      </c>
      <c r="I90" s="149" t="s">
        <v>4</v>
      </c>
      <c r="J90" s="149" t="s">
        <v>4</v>
      </c>
      <c r="K90" s="149" t="s">
        <v>4</v>
      </c>
      <c r="L90" s="149" t="s">
        <v>4</v>
      </c>
      <c r="M90" s="149" t="s">
        <v>4</v>
      </c>
      <c r="N90" s="149" t="s">
        <v>4</v>
      </c>
      <c r="O90" s="149" t="s">
        <v>4</v>
      </c>
      <c r="P90" s="149" t="s">
        <v>4</v>
      </c>
      <c r="Q90" s="149" t="s">
        <v>4</v>
      </c>
    </row>
    <row r="91" spans="1:17" customFormat="1">
      <c r="A91" s="193">
        <v>45452.864583333336</v>
      </c>
      <c r="B91" s="149" t="s">
        <v>4</v>
      </c>
      <c r="C91" s="149" t="s">
        <v>4</v>
      </c>
      <c r="D91" s="149" t="s">
        <v>4</v>
      </c>
      <c r="E91" s="149" t="s">
        <v>4</v>
      </c>
      <c r="F91" s="149" t="s">
        <v>4</v>
      </c>
      <c r="G91" s="149" t="s">
        <v>4</v>
      </c>
      <c r="H91" s="149" t="s">
        <v>4</v>
      </c>
      <c r="I91" s="149" t="s">
        <v>4</v>
      </c>
      <c r="J91" s="149" t="s">
        <v>4</v>
      </c>
      <c r="K91" s="149" t="s">
        <v>4</v>
      </c>
      <c r="L91" s="149" t="s">
        <v>4</v>
      </c>
      <c r="M91" s="149" t="s">
        <v>4</v>
      </c>
      <c r="N91" s="149" t="s">
        <v>4</v>
      </c>
      <c r="O91" s="149" t="s">
        <v>4</v>
      </c>
      <c r="P91" s="149" t="s">
        <v>4</v>
      </c>
      <c r="Q91" s="149" t="s">
        <v>4</v>
      </c>
    </row>
    <row r="92" spans="1:17" customFormat="1">
      <c r="A92" s="193">
        <v>45452.875</v>
      </c>
      <c r="B92" s="149" t="s">
        <v>4</v>
      </c>
      <c r="C92" s="149" t="s">
        <v>4</v>
      </c>
      <c r="D92" s="149" t="s">
        <v>4</v>
      </c>
      <c r="E92" s="149" t="s">
        <v>4</v>
      </c>
      <c r="F92" s="149" t="s">
        <v>4</v>
      </c>
      <c r="G92" s="149" t="s">
        <v>4</v>
      </c>
      <c r="H92" s="149" t="s">
        <v>4</v>
      </c>
      <c r="I92" s="149" t="s">
        <v>4</v>
      </c>
      <c r="J92" s="149" t="s">
        <v>4</v>
      </c>
      <c r="K92" s="149" t="s">
        <v>4</v>
      </c>
      <c r="L92" s="149" t="s">
        <v>4</v>
      </c>
      <c r="M92" s="149" t="s">
        <v>4</v>
      </c>
      <c r="N92" s="149" t="s">
        <v>4</v>
      </c>
      <c r="O92" s="149" t="s">
        <v>4</v>
      </c>
      <c r="P92" s="149" t="s">
        <v>4</v>
      </c>
      <c r="Q92" s="149" t="s">
        <v>4</v>
      </c>
    </row>
    <row r="93" spans="1:17" customFormat="1">
      <c r="A93" s="193">
        <v>45452.885416666664</v>
      </c>
      <c r="B93" s="149" t="s">
        <v>4</v>
      </c>
      <c r="C93" s="149" t="s">
        <v>4</v>
      </c>
      <c r="D93" s="149" t="s">
        <v>4</v>
      </c>
      <c r="E93" s="149" t="s">
        <v>4</v>
      </c>
      <c r="F93" s="149" t="s">
        <v>4</v>
      </c>
      <c r="G93" s="149" t="s">
        <v>4</v>
      </c>
      <c r="H93" s="149" t="s">
        <v>4</v>
      </c>
      <c r="I93" s="149" t="s">
        <v>4</v>
      </c>
      <c r="J93" s="149" t="s">
        <v>4</v>
      </c>
      <c r="K93" s="149" t="s">
        <v>4</v>
      </c>
      <c r="L93" s="149" t="s">
        <v>4</v>
      </c>
      <c r="M93" s="149" t="s">
        <v>4</v>
      </c>
      <c r="N93" s="149" t="s">
        <v>4</v>
      </c>
      <c r="O93" s="149" t="s">
        <v>4</v>
      </c>
      <c r="P93" s="149" t="s">
        <v>4</v>
      </c>
      <c r="Q93" s="149" t="s">
        <v>4</v>
      </c>
    </row>
    <row r="94" spans="1:17" customFormat="1">
      <c r="A94" s="193">
        <v>45452.895833333336</v>
      </c>
      <c r="B94" s="149" t="s">
        <v>4</v>
      </c>
      <c r="C94" s="149" t="s">
        <v>4</v>
      </c>
      <c r="D94" s="149" t="s">
        <v>4</v>
      </c>
      <c r="E94" s="149" t="s">
        <v>4</v>
      </c>
      <c r="F94" s="149" t="s">
        <v>4</v>
      </c>
      <c r="G94" s="149" t="s">
        <v>4</v>
      </c>
      <c r="H94" s="149" t="s">
        <v>4</v>
      </c>
      <c r="I94" s="149" t="s">
        <v>4</v>
      </c>
      <c r="J94" s="149" t="s">
        <v>4</v>
      </c>
      <c r="K94" s="149" t="s">
        <v>4</v>
      </c>
      <c r="L94" s="149" t="s">
        <v>4</v>
      </c>
      <c r="M94" s="149" t="s">
        <v>4</v>
      </c>
      <c r="N94" s="149" t="s">
        <v>4</v>
      </c>
      <c r="O94" s="149" t="s">
        <v>4</v>
      </c>
      <c r="P94" s="149" t="s">
        <v>4</v>
      </c>
      <c r="Q94" s="149" t="s">
        <v>4</v>
      </c>
    </row>
    <row r="95" spans="1:17" customFormat="1">
      <c r="A95" s="193">
        <v>45452.90625</v>
      </c>
      <c r="B95" s="149" t="s">
        <v>4</v>
      </c>
      <c r="C95" s="149" t="s">
        <v>4</v>
      </c>
      <c r="D95" s="149" t="s">
        <v>4</v>
      </c>
      <c r="E95" s="149" t="s">
        <v>4</v>
      </c>
      <c r="F95" s="149" t="s">
        <v>4</v>
      </c>
      <c r="G95" s="149" t="s">
        <v>4</v>
      </c>
      <c r="H95" s="149" t="s">
        <v>4</v>
      </c>
      <c r="I95" s="149" t="s">
        <v>4</v>
      </c>
      <c r="J95" s="149" t="s">
        <v>4</v>
      </c>
      <c r="K95" s="149" t="s">
        <v>4</v>
      </c>
      <c r="L95" s="149" t="s">
        <v>4</v>
      </c>
      <c r="M95" s="149" t="s">
        <v>4</v>
      </c>
      <c r="N95" s="149" t="s">
        <v>4</v>
      </c>
      <c r="O95" s="149" t="s">
        <v>4</v>
      </c>
      <c r="P95" s="149" t="s">
        <v>4</v>
      </c>
      <c r="Q95" s="149" t="s">
        <v>4</v>
      </c>
    </row>
    <row r="96" spans="1:17" customFormat="1">
      <c r="A96" s="193">
        <v>45452.916666666664</v>
      </c>
      <c r="B96" s="149" t="s">
        <v>4</v>
      </c>
      <c r="C96" s="149" t="s">
        <v>4</v>
      </c>
      <c r="D96" s="149" t="s">
        <v>4</v>
      </c>
      <c r="E96" s="149" t="s">
        <v>4</v>
      </c>
      <c r="F96" s="149" t="s">
        <v>4</v>
      </c>
      <c r="G96" s="149" t="s">
        <v>4</v>
      </c>
      <c r="H96" s="149" t="s">
        <v>4</v>
      </c>
      <c r="I96" s="149" t="s">
        <v>4</v>
      </c>
      <c r="J96" s="149" t="s">
        <v>4</v>
      </c>
      <c r="K96" s="149" t="s">
        <v>4</v>
      </c>
      <c r="L96" s="149" t="s">
        <v>4</v>
      </c>
      <c r="M96" s="149" t="s">
        <v>4</v>
      </c>
      <c r="N96" s="149" t="s">
        <v>4</v>
      </c>
      <c r="O96" s="149" t="s">
        <v>4</v>
      </c>
      <c r="P96" s="149" t="s">
        <v>4</v>
      </c>
      <c r="Q96" s="149" t="s">
        <v>4</v>
      </c>
    </row>
    <row r="97" spans="1:22" customFormat="1">
      <c r="A97" s="193">
        <v>45452.927083333336</v>
      </c>
      <c r="B97" s="149" t="s">
        <v>4</v>
      </c>
      <c r="C97" s="149" t="s">
        <v>4</v>
      </c>
      <c r="D97" s="149" t="s">
        <v>4</v>
      </c>
      <c r="E97" s="149" t="s">
        <v>4</v>
      </c>
      <c r="F97" s="149" t="s">
        <v>4</v>
      </c>
      <c r="G97" s="149" t="s">
        <v>4</v>
      </c>
      <c r="H97" s="149" t="s">
        <v>4</v>
      </c>
      <c r="I97" s="149" t="s">
        <v>4</v>
      </c>
      <c r="J97" s="149" t="s">
        <v>4</v>
      </c>
      <c r="K97" s="149" t="s">
        <v>4</v>
      </c>
      <c r="L97" s="149" t="s">
        <v>4</v>
      </c>
      <c r="M97" s="149" t="s">
        <v>4</v>
      </c>
      <c r="N97" s="149" t="s">
        <v>4</v>
      </c>
      <c r="O97" s="149" t="s">
        <v>4</v>
      </c>
      <c r="P97" s="149" t="s">
        <v>4</v>
      </c>
      <c r="Q97" s="149" t="s">
        <v>4</v>
      </c>
    </row>
    <row r="98" spans="1:22" customFormat="1">
      <c r="A98" s="193">
        <v>45452.9375</v>
      </c>
      <c r="B98" s="149" t="s">
        <v>4</v>
      </c>
      <c r="C98" s="149" t="s">
        <v>4</v>
      </c>
      <c r="D98" s="149" t="s">
        <v>4</v>
      </c>
      <c r="E98" s="149" t="s">
        <v>4</v>
      </c>
      <c r="F98" s="149" t="s">
        <v>4</v>
      </c>
      <c r="G98" s="149" t="s">
        <v>4</v>
      </c>
      <c r="H98" s="149" t="s">
        <v>4</v>
      </c>
      <c r="I98" s="149" t="s">
        <v>4</v>
      </c>
      <c r="J98" s="149" t="s">
        <v>4</v>
      </c>
      <c r="K98" s="149" t="s">
        <v>4</v>
      </c>
      <c r="L98" s="149" t="s">
        <v>4</v>
      </c>
      <c r="M98" s="149" t="s">
        <v>4</v>
      </c>
      <c r="N98" s="149" t="s">
        <v>4</v>
      </c>
      <c r="O98" s="149" t="s">
        <v>4</v>
      </c>
      <c r="P98" s="149" t="s">
        <v>4</v>
      </c>
      <c r="Q98" s="149" t="s">
        <v>4</v>
      </c>
    </row>
    <row r="99" spans="1:22" customFormat="1">
      <c r="A99" s="193">
        <v>45452.947916666664</v>
      </c>
      <c r="B99" s="149" t="s">
        <v>4</v>
      </c>
      <c r="C99" s="149" t="s">
        <v>4</v>
      </c>
      <c r="D99" s="149" t="s">
        <v>4</v>
      </c>
      <c r="E99" s="149" t="s">
        <v>4</v>
      </c>
      <c r="F99" s="149" t="s">
        <v>4</v>
      </c>
      <c r="G99" s="149" t="s">
        <v>4</v>
      </c>
      <c r="H99" s="149" t="s">
        <v>4</v>
      </c>
      <c r="I99" s="149" t="s">
        <v>4</v>
      </c>
      <c r="J99" s="149" t="s">
        <v>4</v>
      </c>
      <c r="K99" s="149" t="s">
        <v>4</v>
      </c>
      <c r="L99" s="149" t="s">
        <v>4</v>
      </c>
      <c r="M99" s="149" t="s">
        <v>4</v>
      </c>
      <c r="N99" s="149" t="s">
        <v>4</v>
      </c>
      <c r="O99" s="149" t="s">
        <v>4</v>
      </c>
      <c r="P99" s="149" t="s">
        <v>4</v>
      </c>
      <c r="Q99" s="149" t="s">
        <v>4</v>
      </c>
    </row>
    <row r="100" spans="1:22" customFormat="1">
      <c r="A100" s="193">
        <v>45452.958333333336</v>
      </c>
      <c r="B100" s="149" t="s">
        <v>4</v>
      </c>
      <c r="C100" s="149" t="s">
        <v>4</v>
      </c>
      <c r="D100" s="149" t="s">
        <v>4</v>
      </c>
      <c r="E100" s="149" t="s">
        <v>4</v>
      </c>
      <c r="F100" s="149" t="s">
        <v>4</v>
      </c>
      <c r="G100" s="149" t="s">
        <v>4</v>
      </c>
      <c r="H100" s="149" t="s">
        <v>4</v>
      </c>
      <c r="I100" s="149" t="s">
        <v>4</v>
      </c>
      <c r="J100" s="149" t="s">
        <v>4</v>
      </c>
      <c r="K100" s="149" t="s">
        <v>4</v>
      </c>
      <c r="L100" s="149" t="s">
        <v>4</v>
      </c>
      <c r="M100" s="149" t="s">
        <v>4</v>
      </c>
      <c r="N100" s="149" t="s">
        <v>4</v>
      </c>
      <c r="O100" s="149" t="s">
        <v>4</v>
      </c>
      <c r="P100" s="149" t="s">
        <v>4</v>
      </c>
      <c r="Q100" s="149" t="s">
        <v>4</v>
      </c>
    </row>
    <row r="101" spans="1:22" customFormat="1">
      <c r="A101" s="193">
        <v>45452.96875</v>
      </c>
      <c r="B101" s="149" t="s">
        <v>4</v>
      </c>
      <c r="C101" s="149" t="s">
        <v>4</v>
      </c>
      <c r="D101" s="149" t="s">
        <v>4</v>
      </c>
      <c r="E101" s="149" t="s">
        <v>4</v>
      </c>
      <c r="F101" s="149" t="s">
        <v>4</v>
      </c>
      <c r="G101" s="149" t="s">
        <v>4</v>
      </c>
      <c r="H101" s="149" t="s">
        <v>4</v>
      </c>
      <c r="I101" s="149" t="s">
        <v>4</v>
      </c>
      <c r="J101" s="149" t="s">
        <v>4</v>
      </c>
      <c r="K101" s="149" t="s">
        <v>4</v>
      </c>
      <c r="L101" s="149" t="s">
        <v>4</v>
      </c>
      <c r="M101" s="149" t="s">
        <v>4</v>
      </c>
      <c r="N101" s="149" t="s">
        <v>4</v>
      </c>
      <c r="O101" s="149" t="s">
        <v>4</v>
      </c>
      <c r="P101" s="149" t="s">
        <v>4</v>
      </c>
      <c r="Q101" s="149" t="s">
        <v>4</v>
      </c>
    </row>
    <row r="102" spans="1:22" customFormat="1">
      <c r="A102" s="193">
        <v>45452.979166666664</v>
      </c>
      <c r="B102" s="149" t="s">
        <v>4</v>
      </c>
      <c r="C102" s="149" t="s">
        <v>4</v>
      </c>
      <c r="D102" s="149" t="s">
        <v>4</v>
      </c>
      <c r="E102" s="149" t="s">
        <v>4</v>
      </c>
      <c r="F102" s="149" t="s">
        <v>4</v>
      </c>
      <c r="G102" s="149" t="s">
        <v>4</v>
      </c>
      <c r="H102" s="149" t="s">
        <v>4</v>
      </c>
      <c r="I102" s="149" t="s">
        <v>4</v>
      </c>
      <c r="J102" s="149" t="s">
        <v>4</v>
      </c>
      <c r="K102" s="149" t="s">
        <v>4</v>
      </c>
      <c r="L102" s="149" t="s">
        <v>4</v>
      </c>
      <c r="M102" s="149" t="s">
        <v>4</v>
      </c>
      <c r="N102" s="149" t="s">
        <v>4</v>
      </c>
      <c r="O102" s="149" t="s">
        <v>4</v>
      </c>
      <c r="P102" s="149" t="s">
        <v>4</v>
      </c>
      <c r="Q102" s="149" t="s">
        <v>4</v>
      </c>
    </row>
    <row r="103" spans="1:22" customFormat="1">
      <c r="A103" s="193">
        <v>45452.989583333336</v>
      </c>
      <c r="B103" s="149" t="s">
        <v>4</v>
      </c>
      <c r="C103" s="149" t="s">
        <v>4</v>
      </c>
      <c r="D103" s="149" t="s">
        <v>4</v>
      </c>
      <c r="E103" s="149" t="s">
        <v>4</v>
      </c>
      <c r="F103" s="149" t="s">
        <v>4</v>
      </c>
      <c r="G103" s="149" t="s">
        <v>4</v>
      </c>
      <c r="H103" s="149" t="s">
        <v>4</v>
      </c>
      <c r="I103" s="149" t="s">
        <v>4</v>
      </c>
      <c r="J103" s="149" t="s">
        <v>4</v>
      </c>
      <c r="K103" s="149" t="s">
        <v>4</v>
      </c>
      <c r="L103" s="149" t="s">
        <v>4</v>
      </c>
      <c r="M103" s="149" t="s">
        <v>4</v>
      </c>
      <c r="N103" s="149" t="s">
        <v>4</v>
      </c>
      <c r="O103" s="149" t="s">
        <v>4</v>
      </c>
      <c r="P103" s="149" t="s">
        <v>4</v>
      </c>
      <c r="Q103" s="149" t="s">
        <v>4</v>
      </c>
    </row>
    <row r="104" spans="1:22" customFormat="1">
      <c r="A104" s="193">
        <v>45453</v>
      </c>
      <c r="B104" s="149" t="s">
        <v>4</v>
      </c>
      <c r="C104" s="149" t="s">
        <v>4</v>
      </c>
      <c r="D104" s="149" t="s">
        <v>4</v>
      </c>
      <c r="E104" s="149" t="s">
        <v>4</v>
      </c>
      <c r="F104" s="149" t="s">
        <v>4</v>
      </c>
      <c r="G104" s="149" t="s">
        <v>4</v>
      </c>
      <c r="H104" s="149" t="s">
        <v>4</v>
      </c>
      <c r="I104" s="149" t="s">
        <v>4</v>
      </c>
      <c r="J104" s="149" t="s">
        <v>4</v>
      </c>
      <c r="K104" s="149" t="s">
        <v>4</v>
      </c>
      <c r="L104" s="149" t="s">
        <v>4</v>
      </c>
      <c r="M104" s="149" t="s">
        <v>4</v>
      </c>
      <c r="N104" s="149" t="s">
        <v>4</v>
      </c>
      <c r="O104" s="149" t="s">
        <v>4</v>
      </c>
      <c r="P104" s="149" t="s">
        <v>4</v>
      </c>
      <c r="Q104" s="149" t="s">
        <v>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9.0500000000000007</v>
      </c>
      <c r="C106" s="184">
        <f>MIN(C9:C104)</f>
        <v>4.03</v>
      </c>
      <c r="D106" s="184">
        <f t="shared" ref="D106:Q106" si="0">MIN(D9:D104)</f>
        <v>13.83</v>
      </c>
      <c r="E106" s="184">
        <f t="shared" si="0"/>
        <v>5.87</v>
      </c>
      <c r="F106" s="184">
        <f t="shared" si="0"/>
        <v>12.43</v>
      </c>
      <c r="G106" s="184">
        <f t="shared" si="0"/>
        <v>15.53</v>
      </c>
      <c r="H106" s="184">
        <f t="shared" si="0"/>
        <v>6.76</v>
      </c>
      <c r="I106" s="184">
        <f t="shared" si="0"/>
        <v>4.7</v>
      </c>
      <c r="J106" s="184">
        <f t="shared" si="0"/>
        <v>0.19</v>
      </c>
      <c r="K106" s="184">
        <f t="shared" si="0"/>
        <v>23.44</v>
      </c>
      <c r="L106" s="184">
        <f t="shared" si="0"/>
        <v>23.07</v>
      </c>
      <c r="M106" s="184">
        <f t="shared" si="0"/>
        <v>34</v>
      </c>
      <c r="N106" s="184">
        <f t="shared" si="0"/>
        <v>1.2</v>
      </c>
      <c r="O106" s="184">
        <f t="shared" si="0"/>
        <v>0</v>
      </c>
      <c r="P106" s="184">
        <f t="shared" si="0"/>
        <v>0.1</v>
      </c>
      <c r="Q106" s="184">
        <f t="shared" si="0"/>
        <v>4.33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9.19</v>
      </c>
      <c r="C107" s="185">
        <f t="shared" ref="C107:Q107" si="1">MAX(C9:C104)</f>
        <v>4.1100000000000003</v>
      </c>
      <c r="D107" s="185">
        <f t="shared" si="1"/>
        <v>13.94</v>
      </c>
      <c r="E107" s="185">
        <f t="shared" si="1"/>
        <v>21.93</v>
      </c>
      <c r="F107" s="185">
        <f t="shared" si="1"/>
        <v>55.04</v>
      </c>
      <c r="G107" s="185">
        <f t="shared" si="1"/>
        <v>65.599999999999994</v>
      </c>
      <c r="H107" s="185">
        <f t="shared" si="1"/>
        <v>21.12</v>
      </c>
      <c r="I107" s="185">
        <f t="shared" si="1"/>
        <v>7.65</v>
      </c>
      <c r="J107" s="185">
        <f t="shared" si="1"/>
        <v>1.85</v>
      </c>
      <c r="K107" s="185">
        <f t="shared" si="1"/>
        <v>350.64</v>
      </c>
      <c r="L107" s="185">
        <f t="shared" si="1"/>
        <v>40.57</v>
      </c>
      <c r="M107" s="185">
        <f t="shared" si="1"/>
        <v>103.25</v>
      </c>
      <c r="N107" s="185">
        <f t="shared" si="1"/>
        <v>749.1</v>
      </c>
      <c r="O107" s="185">
        <f t="shared" si="1"/>
        <v>10.8</v>
      </c>
      <c r="P107" s="185">
        <f t="shared" si="1"/>
        <v>0.48</v>
      </c>
      <c r="Q107" s="185">
        <f t="shared" si="1"/>
        <v>4.84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9.1050000000000022</v>
      </c>
      <c r="C108" s="184">
        <f t="shared" ref="C108:Q108" si="2">AVERAGE(C9:C104)</f>
        <v>4.0680882352941179</v>
      </c>
      <c r="D108" s="184">
        <f t="shared" si="2"/>
        <v>13.876323529411762</v>
      </c>
      <c r="E108" s="184">
        <f t="shared" si="2"/>
        <v>12.843382352941175</v>
      </c>
      <c r="F108" s="184">
        <f t="shared" si="2"/>
        <v>28.48220588235294</v>
      </c>
      <c r="G108" s="184">
        <f t="shared" si="2"/>
        <v>28.470000000000006</v>
      </c>
      <c r="H108" s="184">
        <f t="shared" si="2"/>
        <v>12.986323529411761</v>
      </c>
      <c r="I108" s="184">
        <f t="shared" si="2"/>
        <v>6.1876470588235302</v>
      </c>
      <c r="J108" s="184">
        <f t="shared" si="2"/>
        <v>0.70102941176470568</v>
      </c>
      <c r="K108" s="184">
        <f t="shared" si="2"/>
        <v>257.81294117647064</v>
      </c>
      <c r="L108" s="184">
        <f t="shared" si="2"/>
        <v>32.213088235294137</v>
      </c>
      <c r="M108" s="184">
        <f t="shared" si="2"/>
        <v>60.598088235294121</v>
      </c>
      <c r="N108" s="184">
        <f t="shared" si="2"/>
        <v>175.81176470588238</v>
      </c>
      <c r="O108" s="184">
        <f t="shared" si="2"/>
        <v>0.31764705882352945</v>
      </c>
      <c r="P108" s="184">
        <f t="shared" si="2"/>
        <v>0.18852941176470597</v>
      </c>
      <c r="Q108" s="184">
        <f t="shared" si="2"/>
        <v>4.6523529411764697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2.7345222508325794E-2</v>
      </c>
      <c r="C109" s="184">
        <f t="shared" ref="C109:Q109" si="3">STDEV(C9:C104)</f>
        <v>1.8386996779536226E-2</v>
      </c>
      <c r="D109" s="184">
        <f t="shared" si="3"/>
        <v>2.177938308712736E-2</v>
      </c>
      <c r="E109" s="184">
        <f t="shared" si="3"/>
        <v>4.0727766062552488</v>
      </c>
      <c r="F109" s="184">
        <f t="shared" si="3"/>
        <v>12.429298541174266</v>
      </c>
      <c r="G109" s="184">
        <f t="shared" si="3"/>
        <v>12.742600896674901</v>
      </c>
      <c r="H109" s="184">
        <f t="shared" si="3"/>
        <v>4.033545125795218</v>
      </c>
      <c r="I109" s="184">
        <f t="shared" si="3"/>
        <v>0.73033036410755481</v>
      </c>
      <c r="J109" s="184">
        <f t="shared" si="3"/>
        <v>0.35752106588965171</v>
      </c>
      <c r="K109" s="184">
        <f t="shared" si="3"/>
        <v>62.359438143305148</v>
      </c>
      <c r="L109" s="184">
        <f t="shared" si="3"/>
        <v>5.0018194472753326</v>
      </c>
      <c r="M109" s="184">
        <f t="shared" si="3"/>
        <v>17.922091700397889</v>
      </c>
      <c r="N109" s="184">
        <f t="shared" si="3"/>
        <v>190.2321406130217</v>
      </c>
      <c r="O109" s="184">
        <f t="shared" si="3"/>
        <v>1.6212157936847003</v>
      </c>
      <c r="P109" s="184">
        <f t="shared" si="3"/>
        <v>0.13204776053510092</v>
      </c>
      <c r="Q109" s="184">
        <f t="shared" si="3"/>
        <v>5.0611710256629007E-2</v>
      </c>
      <c r="R109" s="188"/>
      <c r="S109" s="188"/>
      <c r="T109" s="188"/>
      <c r="U109" s="188"/>
    </row>
    <row r="110" spans="1:22">
      <c r="A110" s="183" t="s">
        <v>52</v>
      </c>
      <c r="B110" s="185">
        <v>96</v>
      </c>
      <c r="C110" s="185">
        <v>96</v>
      </c>
      <c r="D110" s="185">
        <v>96</v>
      </c>
      <c r="E110" s="185">
        <v>96</v>
      </c>
      <c r="F110" s="185">
        <v>96</v>
      </c>
      <c r="G110" s="185">
        <v>96</v>
      </c>
      <c r="H110" s="185">
        <v>96</v>
      </c>
      <c r="I110" s="185">
        <v>96</v>
      </c>
      <c r="J110" s="185">
        <v>96</v>
      </c>
      <c r="K110" s="185">
        <v>96</v>
      </c>
      <c r="L110" s="185">
        <v>96</v>
      </c>
      <c r="M110" s="185">
        <v>96</v>
      </c>
      <c r="N110" s="185">
        <v>96</v>
      </c>
      <c r="O110" s="185">
        <v>96</v>
      </c>
      <c r="P110" s="185">
        <v>96</v>
      </c>
      <c r="Q110" s="185"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42" activePane="bottomRight" state="frozen"/>
      <selection activeCell="A9" sqref="A9"/>
      <selection pane="topRight" activeCell="A9" sqref="A9"/>
      <selection pane="bottomLeft" activeCell="A9" sqref="A9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45453.010416666664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45453.010416666664</v>
      </c>
      <c r="B9" s="149" t="s">
        <v>4</v>
      </c>
      <c r="C9" s="149" t="s">
        <v>4</v>
      </c>
      <c r="D9" s="149" t="s">
        <v>4</v>
      </c>
      <c r="E9" s="149" t="s">
        <v>4</v>
      </c>
      <c r="F9" s="149" t="s">
        <v>4</v>
      </c>
      <c r="G9" s="149" t="s">
        <v>4</v>
      </c>
      <c r="H9" s="149" t="s">
        <v>4</v>
      </c>
      <c r="I9" s="149" t="s">
        <v>4</v>
      </c>
      <c r="J9" s="149" t="s">
        <v>4</v>
      </c>
      <c r="K9" s="149" t="s">
        <v>4</v>
      </c>
      <c r="L9" s="149" t="s">
        <v>4</v>
      </c>
      <c r="M9" s="149" t="s">
        <v>4</v>
      </c>
      <c r="N9" s="149" t="s">
        <v>4</v>
      </c>
      <c r="O9" s="149" t="s">
        <v>4</v>
      </c>
      <c r="P9" s="149" t="s">
        <v>4</v>
      </c>
      <c r="Q9" s="149" t="s">
        <v>4</v>
      </c>
    </row>
    <row r="10" spans="1:21" customFormat="1">
      <c r="A10" s="82">
        <v>45453.020833333336</v>
      </c>
      <c r="B10" s="149" t="s">
        <v>4</v>
      </c>
      <c r="C10" s="149" t="s">
        <v>4</v>
      </c>
      <c r="D10" s="149" t="s">
        <v>4</v>
      </c>
      <c r="E10" s="149" t="s">
        <v>4</v>
      </c>
      <c r="F10" s="149" t="s">
        <v>4</v>
      </c>
      <c r="G10" s="149" t="s">
        <v>4</v>
      </c>
      <c r="H10" s="149" t="s">
        <v>4</v>
      </c>
      <c r="I10" s="149" t="s">
        <v>4</v>
      </c>
      <c r="J10" s="149" t="s">
        <v>4</v>
      </c>
      <c r="K10" s="149" t="s">
        <v>4</v>
      </c>
      <c r="L10" s="149" t="s">
        <v>4</v>
      </c>
      <c r="M10" s="149" t="s">
        <v>4</v>
      </c>
      <c r="N10" s="149" t="s">
        <v>4</v>
      </c>
      <c r="O10" s="149" t="s">
        <v>4</v>
      </c>
      <c r="P10" s="149" t="s">
        <v>4</v>
      </c>
      <c r="Q10" s="149" t="s">
        <v>4</v>
      </c>
    </row>
    <row r="11" spans="1:21" customFormat="1">
      <c r="A11" s="82">
        <v>45453.03125</v>
      </c>
      <c r="B11" s="149" t="s">
        <v>4</v>
      </c>
      <c r="C11" s="149" t="s">
        <v>4</v>
      </c>
      <c r="D11" s="149" t="s">
        <v>4</v>
      </c>
      <c r="E11" s="149" t="s">
        <v>4</v>
      </c>
      <c r="F11" s="149" t="s">
        <v>4</v>
      </c>
      <c r="G11" s="149" t="s">
        <v>4</v>
      </c>
      <c r="H11" s="149" t="s">
        <v>4</v>
      </c>
      <c r="I11" s="149" t="s">
        <v>4</v>
      </c>
      <c r="J11" s="149" t="s">
        <v>4</v>
      </c>
      <c r="K11" s="149" t="s">
        <v>4</v>
      </c>
      <c r="L11" s="149" t="s">
        <v>4</v>
      </c>
      <c r="M11" s="149" t="s">
        <v>4</v>
      </c>
      <c r="N11" s="149" t="s">
        <v>4</v>
      </c>
      <c r="O11" s="149" t="s">
        <v>4</v>
      </c>
      <c r="P11" s="149" t="s">
        <v>4</v>
      </c>
      <c r="Q11" s="149" t="s">
        <v>4</v>
      </c>
    </row>
    <row r="12" spans="1:21" customFormat="1">
      <c r="A12" s="82">
        <v>45453.041666666664</v>
      </c>
      <c r="B12" s="149" t="s">
        <v>4</v>
      </c>
      <c r="C12" s="149" t="s">
        <v>4</v>
      </c>
      <c r="D12" s="149" t="s">
        <v>4</v>
      </c>
      <c r="E12" s="149" t="s">
        <v>4</v>
      </c>
      <c r="F12" s="149" t="s">
        <v>4</v>
      </c>
      <c r="G12" s="149" t="s">
        <v>4</v>
      </c>
      <c r="H12" s="149" t="s">
        <v>4</v>
      </c>
      <c r="I12" s="149" t="s">
        <v>4</v>
      </c>
      <c r="J12" s="149" t="s">
        <v>4</v>
      </c>
      <c r="K12" s="149" t="s">
        <v>4</v>
      </c>
      <c r="L12" s="149" t="s">
        <v>4</v>
      </c>
      <c r="M12" s="149" t="s">
        <v>4</v>
      </c>
      <c r="N12" s="149" t="s">
        <v>4</v>
      </c>
      <c r="O12" s="149" t="s">
        <v>4</v>
      </c>
      <c r="P12" s="149" t="s">
        <v>4</v>
      </c>
      <c r="Q12" s="149" t="s">
        <v>4</v>
      </c>
    </row>
    <row r="13" spans="1:21" customFormat="1">
      <c r="A13" s="82">
        <v>45453.052083333336</v>
      </c>
      <c r="B13" s="149" t="s">
        <v>4</v>
      </c>
      <c r="C13" s="149" t="s">
        <v>4</v>
      </c>
      <c r="D13" s="149" t="s">
        <v>4</v>
      </c>
      <c r="E13" s="149" t="s">
        <v>4</v>
      </c>
      <c r="F13" s="149" t="s">
        <v>4</v>
      </c>
      <c r="G13" s="149" t="s">
        <v>4</v>
      </c>
      <c r="H13" s="149" t="s">
        <v>4</v>
      </c>
      <c r="I13" s="149" t="s">
        <v>4</v>
      </c>
      <c r="J13" s="149" t="s">
        <v>4</v>
      </c>
      <c r="K13" s="149" t="s">
        <v>4</v>
      </c>
      <c r="L13" s="149" t="s">
        <v>4</v>
      </c>
      <c r="M13" s="149" t="s">
        <v>4</v>
      </c>
      <c r="N13" s="149" t="s">
        <v>4</v>
      </c>
      <c r="O13" s="149" t="s">
        <v>4</v>
      </c>
      <c r="P13" s="149" t="s">
        <v>4</v>
      </c>
      <c r="Q13" s="149" t="s">
        <v>4</v>
      </c>
    </row>
    <row r="14" spans="1:21" customFormat="1">
      <c r="A14" s="82">
        <v>45453.0625</v>
      </c>
      <c r="B14" s="149" t="s">
        <v>4</v>
      </c>
      <c r="C14" s="149" t="s">
        <v>4</v>
      </c>
      <c r="D14" s="149" t="s">
        <v>4</v>
      </c>
      <c r="E14" s="149" t="s">
        <v>4</v>
      </c>
      <c r="F14" s="149" t="s">
        <v>4</v>
      </c>
      <c r="G14" s="149" t="s">
        <v>4</v>
      </c>
      <c r="H14" s="149" t="s">
        <v>4</v>
      </c>
      <c r="I14" s="149" t="s">
        <v>4</v>
      </c>
      <c r="J14" s="149" t="s">
        <v>4</v>
      </c>
      <c r="K14" s="149" t="s">
        <v>4</v>
      </c>
      <c r="L14" s="149" t="s">
        <v>4</v>
      </c>
      <c r="M14" s="149" t="s">
        <v>4</v>
      </c>
      <c r="N14" s="149" t="s">
        <v>4</v>
      </c>
      <c r="O14" s="149" t="s">
        <v>4</v>
      </c>
      <c r="P14" s="149" t="s">
        <v>4</v>
      </c>
      <c r="Q14" s="149" t="s">
        <v>4</v>
      </c>
    </row>
    <row r="15" spans="1:21" customFormat="1">
      <c r="A15" s="82">
        <v>45453.072916666664</v>
      </c>
      <c r="B15" s="149" t="s">
        <v>4</v>
      </c>
      <c r="C15" s="149" t="s">
        <v>4</v>
      </c>
      <c r="D15" s="149" t="s">
        <v>4</v>
      </c>
      <c r="E15" s="149" t="s">
        <v>4</v>
      </c>
      <c r="F15" s="149" t="s">
        <v>4</v>
      </c>
      <c r="G15" s="149" t="s">
        <v>4</v>
      </c>
      <c r="H15" s="149" t="s">
        <v>4</v>
      </c>
      <c r="I15" s="149" t="s">
        <v>4</v>
      </c>
      <c r="J15" s="149" t="s">
        <v>4</v>
      </c>
      <c r="K15" s="149" t="s">
        <v>4</v>
      </c>
      <c r="L15" s="149" t="s">
        <v>4</v>
      </c>
      <c r="M15" s="149" t="s">
        <v>4</v>
      </c>
      <c r="N15" s="149" t="s">
        <v>4</v>
      </c>
      <c r="O15" s="149" t="s">
        <v>4</v>
      </c>
      <c r="P15" s="149" t="s">
        <v>4</v>
      </c>
      <c r="Q15" s="149" t="s">
        <v>4</v>
      </c>
    </row>
    <row r="16" spans="1:21" customFormat="1">
      <c r="A16" s="82">
        <v>45453.083333333336</v>
      </c>
      <c r="B16" s="149" t="s">
        <v>4</v>
      </c>
      <c r="C16" s="149" t="s">
        <v>4</v>
      </c>
      <c r="D16" s="149" t="s">
        <v>4</v>
      </c>
      <c r="E16" s="149" t="s">
        <v>4</v>
      </c>
      <c r="F16" s="149" t="s">
        <v>4</v>
      </c>
      <c r="G16" s="149" t="s">
        <v>4</v>
      </c>
      <c r="H16" s="149" t="s">
        <v>4</v>
      </c>
      <c r="I16" s="149" t="s">
        <v>4</v>
      </c>
      <c r="J16" s="149" t="s">
        <v>4</v>
      </c>
      <c r="K16" s="149" t="s">
        <v>4</v>
      </c>
      <c r="L16" s="149" t="s">
        <v>4</v>
      </c>
      <c r="M16" s="149" t="s">
        <v>4</v>
      </c>
      <c r="N16" s="149" t="s">
        <v>4</v>
      </c>
      <c r="O16" s="149" t="s">
        <v>4</v>
      </c>
      <c r="P16" s="149" t="s">
        <v>4</v>
      </c>
      <c r="Q16" s="149" t="s">
        <v>4</v>
      </c>
    </row>
    <row r="17" spans="1:17" customFormat="1">
      <c r="A17" s="82">
        <v>45453.09375</v>
      </c>
      <c r="B17" s="149" t="s">
        <v>4</v>
      </c>
      <c r="C17" s="149" t="s">
        <v>4</v>
      </c>
      <c r="D17" s="149" t="s">
        <v>4</v>
      </c>
      <c r="E17" s="149" t="s">
        <v>4</v>
      </c>
      <c r="F17" s="149" t="s">
        <v>4</v>
      </c>
      <c r="G17" s="149" t="s">
        <v>4</v>
      </c>
      <c r="H17" s="149" t="s">
        <v>4</v>
      </c>
      <c r="I17" s="149" t="s">
        <v>4</v>
      </c>
      <c r="J17" s="149" t="s">
        <v>4</v>
      </c>
      <c r="K17" s="149" t="s">
        <v>4</v>
      </c>
      <c r="L17" s="149" t="s">
        <v>4</v>
      </c>
      <c r="M17" s="149" t="s">
        <v>4</v>
      </c>
      <c r="N17" s="149" t="s">
        <v>4</v>
      </c>
      <c r="O17" s="149" t="s">
        <v>4</v>
      </c>
      <c r="P17" s="149" t="s">
        <v>4</v>
      </c>
      <c r="Q17" s="149" t="s">
        <v>4</v>
      </c>
    </row>
    <row r="18" spans="1:17" customFormat="1">
      <c r="A18" s="82">
        <v>45453.104166666664</v>
      </c>
      <c r="B18" s="149" t="s">
        <v>4</v>
      </c>
      <c r="C18" s="149" t="s">
        <v>4</v>
      </c>
      <c r="D18" s="149" t="s">
        <v>4</v>
      </c>
      <c r="E18" s="149" t="s">
        <v>4</v>
      </c>
      <c r="F18" s="149" t="s">
        <v>4</v>
      </c>
      <c r="G18" s="149" t="s">
        <v>4</v>
      </c>
      <c r="H18" s="149" t="s">
        <v>4</v>
      </c>
      <c r="I18" s="149" t="s">
        <v>4</v>
      </c>
      <c r="J18" s="149" t="s">
        <v>4</v>
      </c>
      <c r="K18" s="149" t="s">
        <v>4</v>
      </c>
      <c r="L18" s="149" t="s">
        <v>4</v>
      </c>
      <c r="M18" s="149" t="s">
        <v>4</v>
      </c>
      <c r="N18" s="149" t="s">
        <v>4</v>
      </c>
      <c r="O18" s="149" t="s">
        <v>4</v>
      </c>
      <c r="P18" s="149" t="s">
        <v>4</v>
      </c>
      <c r="Q18" s="149" t="s">
        <v>4</v>
      </c>
    </row>
    <row r="19" spans="1:17" customFormat="1">
      <c r="A19" s="82">
        <v>45453.114583333336</v>
      </c>
      <c r="B19" s="149" t="s">
        <v>4</v>
      </c>
      <c r="C19" s="149" t="s">
        <v>4</v>
      </c>
      <c r="D19" s="149" t="s">
        <v>4</v>
      </c>
      <c r="E19" s="149" t="s">
        <v>4</v>
      </c>
      <c r="F19" s="149" t="s">
        <v>4</v>
      </c>
      <c r="G19" s="149" t="s">
        <v>4</v>
      </c>
      <c r="H19" s="149" t="s">
        <v>4</v>
      </c>
      <c r="I19" s="149" t="s">
        <v>4</v>
      </c>
      <c r="J19" s="149" t="s">
        <v>4</v>
      </c>
      <c r="K19" s="149" t="s">
        <v>4</v>
      </c>
      <c r="L19" s="149" t="s">
        <v>4</v>
      </c>
      <c r="M19" s="149" t="s">
        <v>4</v>
      </c>
      <c r="N19" s="149" t="s">
        <v>4</v>
      </c>
      <c r="O19" s="149" t="s">
        <v>4</v>
      </c>
      <c r="P19" s="149" t="s">
        <v>4</v>
      </c>
      <c r="Q19" s="149" t="s">
        <v>4</v>
      </c>
    </row>
    <row r="20" spans="1:17" customFormat="1">
      <c r="A20" s="82">
        <v>45453.125</v>
      </c>
      <c r="B20" s="149" t="s">
        <v>4</v>
      </c>
      <c r="C20" s="149" t="s">
        <v>4</v>
      </c>
      <c r="D20" s="149" t="s">
        <v>4</v>
      </c>
      <c r="E20" s="149" t="s">
        <v>4</v>
      </c>
      <c r="F20" s="149" t="s">
        <v>4</v>
      </c>
      <c r="G20" s="149" t="s">
        <v>4</v>
      </c>
      <c r="H20" s="149" t="s">
        <v>4</v>
      </c>
      <c r="I20" s="149" t="s">
        <v>4</v>
      </c>
      <c r="J20" s="149" t="s">
        <v>4</v>
      </c>
      <c r="K20" s="149" t="s">
        <v>4</v>
      </c>
      <c r="L20" s="149" t="s">
        <v>4</v>
      </c>
      <c r="M20" s="149" t="s">
        <v>4</v>
      </c>
      <c r="N20" s="149" t="s">
        <v>4</v>
      </c>
      <c r="O20" s="149" t="s">
        <v>4</v>
      </c>
      <c r="P20" s="149" t="s">
        <v>4</v>
      </c>
      <c r="Q20" s="149" t="s">
        <v>4</v>
      </c>
    </row>
    <row r="21" spans="1:17" customFormat="1">
      <c r="A21" s="82">
        <v>45453.135416666664</v>
      </c>
      <c r="B21" s="149" t="s">
        <v>4</v>
      </c>
      <c r="C21" s="149" t="s">
        <v>4</v>
      </c>
      <c r="D21" s="149" t="s">
        <v>4</v>
      </c>
      <c r="E21" s="149" t="s">
        <v>4</v>
      </c>
      <c r="F21" s="149" t="s">
        <v>4</v>
      </c>
      <c r="G21" s="149" t="s">
        <v>4</v>
      </c>
      <c r="H21" s="149" t="s">
        <v>4</v>
      </c>
      <c r="I21" s="149" t="s">
        <v>4</v>
      </c>
      <c r="J21" s="149" t="s">
        <v>4</v>
      </c>
      <c r="K21" s="149" t="s">
        <v>4</v>
      </c>
      <c r="L21" s="149" t="s">
        <v>4</v>
      </c>
      <c r="M21" s="149" t="s">
        <v>4</v>
      </c>
      <c r="N21" s="149" t="s">
        <v>4</v>
      </c>
      <c r="O21" s="149" t="s">
        <v>4</v>
      </c>
      <c r="P21" s="149" t="s">
        <v>4</v>
      </c>
      <c r="Q21" s="149" t="s">
        <v>4</v>
      </c>
    </row>
    <row r="22" spans="1:17" customFormat="1">
      <c r="A22" s="82">
        <v>45453.145833333336</v>
      </c>
      <c r="B22" s="149" t="s">
        <v>4</v>
      </c>
      <c r="C22" s="149" t="s">
        <v>4</v>
      </c>
      <c r="D22" s="149" t="s">
        <v>4</v>
      </c>
      <c r="E22" s="149" t="s">
        <v>4</v>
      </c>
      <c r="F22" s="149" t="s">
        <v>4</v>
      </c>
      <c r="G22" s="149" t="s">
        <v>4</v>
      </c>
      <c r="H22" s="149" t="s">
        <v>4</v>
      </c>
      <c r="I22" s="149" t="s">
        <v>4</v>
      </c>
      <c r="J22" s="149" t="s">
        <v>4</v>
      </c>
      <c r="K22" s="149" t="s">
        <v>4</v>
      </c>
      <c r="L22" s="149" t="s">
        <v>4</v>
      </c>
      <c r="M22" s="149" t="s">
        <v>4</v>
      </c>
      <c r="N22" s="149" t="s">
        <v>4</v>
      </c>
      <c r="O22" s="149" t="s">
        <v>4</v>
      </c>
      <c r="P22" s="149" t="s">
        <v>4</v>
      </c>
      <c r="Q22" s="149" t="s">
        <v>4</v>
      </c>
    </row>
    <row r="23" spans="1:17" customFormat="1">
      <c r="A23" s="82">
        <v>45453.15625</v>
      </c>
      <c r="B23" s="149" t="s">
        <v>4</v>
      </c>
      <c r="C23" s="149" t="s">
        <v>4</v>
      </c>
      <c r="D23" s="149" t="s">
        <v>4</v>
      </c>
      <c r="E23" s="149" t="s">
        <v>4</v>
      </c>
      <c r="F23" s="149" t="s">
        <v>4</v>
      </c>
      <c r="G23" s="149" t="s">
        <v>4</v>
      </c>
      <c r="H23" s="149" t="s">
        <v>4</v>
      </c>
      <c r="I23" s="149" t="s">
        <v>4</v>
      </c>
      <c r="J23" s="149" t="s">
        <v>4</v>
      </c>
      <c r="K23" s="149" t="s">
        <v>4</v>
      </c>
      <c r="L23" s="149" t="s">
        <v>4</v>
      </c>
      <c r="M23" s="149" t="s">
        <v>4</v>
      </c>
      <c r="N23" s="149" t="s">
        <v>4</v>
      </c>
      <c r="O23" s="149" t="s">
        <v>4</v>
      </c>
      <c r="P23" s="149" t="s">
        <v>4</v>
      </c>
      <c r="Q23" s="149" t="s">
        <v>4</v>
      </c>
    </row>
    <row r="24" spans="1:17" customFormat="1">
      <c r="A24" s="82">
        <v>45453.166666666664</v>
      </c>
      <c r="B24" s="149" t="s">
        <v>4</v>
      </c>
      <c r="C24" s="149" t="s">
        <v>4</v>
      </c>
      <c r="D24" s="149" t="s">
        <v>4</v>
      </c>
      <c r="E24" s="149" t="s">
        <v>4</v>
      </c>
      <c r="F24" s="149" t="s">
        <v>4</v>
      </c>
      <c r="G24" s="149" t="s">
        <v>4</v>
      </c>
      <c r="H24" s="149" t="s">
        <v>4</v>
      </c>
      <c r="I24" s="149" t="s">
        <v>4</v>
      </c>
      <c r="J24" s="149" t="s">
        <v>4</v>
      </c>
      <c r="K24" s="149" t="s">
        <v>4</v>
      </c>
      <c r="L24" s="149" t="s">
        <v>4</v>
      </c>
      <c r="M24" s="149" t="s">
        <v>4</v>
      </c>
      <c r="N24" s="149" t="s">
        <v>4</v>
      </c>
      <c r="O24" s="149" t="s">
        <v>4</v>
      </c>
      <c r="P24" s="149" t="s">
        <v>4</v>
      </c>
      <c r="Q24" s="149" t="s">
        <v>4</v>
      </c>
    </row>
    <row r="25" spans="1:17" customFormat="1">
      <c r="A25" s="82">
        <v>45453.177083333336</v>
      </c>
      <c r="B25" s="149" t="s">
        <v>4</v>
      </c>
      <c r="C25" s="149" t="s">
        <v>4</v>
      </c>
      <c r="D25" s="149" t="s">
        <v>4</v>
      </c>
      <c r="E25" s="149" t="s">
        <v>4</v>
      </c>
      <c r="F25" s="149" t="s">
        <v>4</v>
      </c>
      <c r="G25" s="149" t="s">
        <v>4</v>
      </c>
      <c r="H25" s="149" t="s">
        <v>4</v>
      </c>
      <c r="I25" s="149" t="s">
        <v>4</v>
      </c>
      <c r="J25" s="149" t="s">
        <v>4</v>
      </c>
      <c r="K25" s="149" t="s">
        <v>4</v>
      </c>
      <c r="L25" s="149" t="s">
        <v>4</v>
      </c>
      <c r="M25" s="149" t="s">
        <v>4</v>
      </c>
      <c r="N25" s="149" t="s">
        <v>4</v>
      </c>
      <c r="O25" s="149" t="s">
        <v>4</v>
      </c>
      <c r="P25" s="149" t="s">
        <v>4</v>
      </c>
      <c r="Q25" s="149" t="s">
        <v>4</v>
      </c>
    </row>
    <row r="26" spans="1:17" customFormat="1">
      <c r="A26" s="82">
        <v>45453.1875</v>
      </c>
      <c r="B26" s="149" t="s">
        <v>4</v>
      </c>
      <c r="C26" s="149" t="s">
        <v>4</v>
      </c>
      <c r="D26" s="149" t="s">
        <v>4</v>
      </c>
      <c r="E26" s="149" t="s">
        <v>4</v>
      </c>
      <c r="F26" s="149" t="s">
        <v>4</v>
      </c>
      <c r="G26" s="149" t="s">
        <v>4</v>
      </c>
      <c r="H26" s="149" t="s">
        <v>4</v>
      </c>
      <c r="I26" s="149" t="s">
        <v>4</v>
      </c>
      <c r="J26" s="149" t="s">
        <v>4</v>
      </c>
      <c r="K26" s="149" t="s">
        <v>4</v>
      </c>
      <c r="L26" s="149" t="s">
        <v>4</v>
      </c>
      <c r="M26" s="149" t="s">
        <v>4</v>
      </c>
      <c r="N26" s="149" t="s">
        <v>4</v>
      </c>
      <c r="O26" s="149" t="s">
        <v>4</v>
      </c>
      <c r="P26" s="149" t="s">
        <v>4</v>
      </c>
      <c r="Q26" s="149" t="s">
        <v>4</v>
      </c>
    </row>
    <row r="27" spans="1:17" customFormat="1">
      <c r="A27" s="82">
        <v>45453.197916666664</v>
      </c>
      <c r="B27" s="149" t="s">
        <v>4</v>
      </c>
      <c r="C27" s="149" t="s">
        <v>4</v>
      </c>
      <c r="D27" s="149" t="s">
        <v>4</v>
      </c>
      <c r="E27" s="149" t="s">
        <v>4</v>
      </c>
      <c r="F27" s="149" t="s">
        <v>4</v>
      </c>
      <c r="G27" s="149" t="s">
        <v>4</v>
      </c>
      <c r="H27" s="149" t="s">
        <v>4</v>
      </c>
      <c r="I27" s="149" t="s">
        <v>4</v>
      </c>
      <c r="J27" s="149" t="s">
        <v>4</v>
      </c>
      <c r="K27" s="149" t="s">
        <v>4</v>
      </c>
      <c r="L27" s="149" t="s">
        <v>4</v>
      </c>
      <c r="M27" s="149" t="s">
        <v>4</v>
      </c>
      <c r="N27" s="149" t="s">
        <v>4</v>
      </c>
      <c r="O27" s="149" t="s">
        <v>4</v>
      </c>
      <c r="P27" s="149" t="s">
        <v>4</v>
      </c>
      <c r="Q27" s="149" t="s">
        <v>4</v>
      </c>
    </row>
    <row r="28" spans="1:17" customFormat="1">
      <c r="A28" s="82">
        <v>45453.208333333336</v>
      </c>
      <c r="B28" s="149" t="s">
        <v>4</v>
      </c>
      <c r="C28" s="149" t="s">
        <v>4</v>
      </c>
      <c r="D28" s="149" t="s">
        <v>4</v>
      </c>
      <c r="E28" s="149" t="s">
        <v>4</v>
      </c>
      <c r="F28" s="149" t="s">
        <v>4</v>
      </c>
      <c r="G28" s="149" t="s">
        <v>4</v>
      </c>
      <c r="H28" s="149" t="s">
        <v>4</v>
      </c>
      <c r="I28" s="149" t="s">
        <v>4</v>
      </c>
      <c r="J28" s="149" t="s">
        <v>4</v>
      </c>
      <c r="K28" s="149" t="s">
        <v>4</v>
      </c>
      <c r="L28" s="149" t="s">
        <v>4</v>
      </c>
      <c r="M28" s="149" t="s">
        <v>4</v>
      </c>
      <c r="N28" s="149" t="s">
        <v>4</v>
      </c>
      <c r="O28" s="149" t="s">
        <v>4</v>
      </c>
      <c r="P28" s="149" t="s">
        <v>4</v>
      </c>
      <c r="Q28" s="149" t="s">
        <v>4</v>
      </c>
    </row>
    <row r="29" spans="1:17" customFormat="1">
      <c r="A29" s="82">
        <v>45453.21875</v>
      </c>
      <c r="B29" s="149" t="s">
        <v>4</v>
      </c>
      <c r="C29" s="149" t="s">
        <v>4</v>
      </c>
      <c r="D29" s="149" t="s">
        <v>4</v>
      </c>
      <c r="E29" s="149" t="s">
        <v>4</v>
      </c>
      <c r="F29" s="149" t="s">
        <v>4</v>
      </c>
      <c r="G29" s="149" t="s">
        <v>4</v>
      </c>
      <c r="H29" s="149" t="s">
        <v>4</v>
      </c>
      <c r="I29" s="149" t="s">
        <v>4</v>
      </c>
      <c r="J29" s="149" t="s">
        <v>4</v>
      </c>
      <c r="K29" s="149" t="s">
        <v>4</v>
      </c>
      <c r="L29" s="149" t="s">
        <v>4</v>
      </c>
      <c r="M29" s="149" t="s">
        <v>4</v>
      </c>
      <c r="N29" s="149" t="s">
        <v>4</v>
      </c>
      <c r="O29" s="149" t="s">
        <v>4</v>
      </c>
      <c r="P29" s="149" t="s">
        <v>4</v>
      </c>
      <c r="Q29" s="149" t="s">
        <v>4</v>
      </c>
    </row>
    <row r="30" spans="1:17" customFormat="1">
      <c r="A30" s="82">
        <v>45453.229166666664</v>
      </c>
      <c r="B30" s="149" t="s">
        <v>4</v>
      </c>
      <c r="C30" s="149" t="s">
        <v>4</v>
      </c>
      <c r="D30" s="149" t="s">
        <v>4</v>
      </c>
      <c r="E30" s="149" t="s">
        <v>4</v>
      </c>
      <c r="F30" s="149" t="s">
        <v>4</v>
      </c>
      <c r="G30" s="149" t="s">
        <v>4</v>
      </c>
      <c r="H30" s="149" t="s">
        <v>4</v>
      </c>
      <c r="I30" s="149" t="s">
        <v>4</v>
      </c>
      <c r="J30" s="149" t="s">
        <v>4</v>
      </c>
      <c r="K30" s="149" t="s">
        <v>4</v>
      </c>
      <c r="L30" s="149" t="s">
        <v>4</v>
      </c>
      <c r="M30" s="149" t="s">
        <v>4</v>
      </c>
      <c r="N30" s="149" t="s">
        <v>4</v>
      </c>
      <c r="O30" s="149" t="s">
        <v>4</v>
      </c>
      <c r="P30" s="149" t="s">
        <v>4</v>
      </c>
      <c r="Q30" s="149" t="s">
        <v>4</v>
      </c>
    </row>
    <row r="31" spans="1:17" customFormat="1">
      <c r="A31" s="82">
        <v>45453.239583333336</v>
      </c>
      <c r="B31" s="149" t="s">
        <v>4</v>
      </c>
      <c r="C31" s="149" t="s">
        <v>4</v>
      </c>
      <c r="D31" s="149" t="s">
        <v>4</v>
      </c>
      <c r="E31" s="149" t="s">
        <v>4</v>
      </c>
      <c r="F31" s="149" t="s">
        <v>4</v>
      </c>
      <c r="G31" s="149" t="s">
        <v>4</v>
      </c>
      <c r="H31" s="149" t="s">
        <v>4</v>
      </c>
      <c r="I31" s="149" t="s">
        <v>4</v>
      </c>
      <c r="J31" s="149" t="s">
        <v>4</v>
      </c>
      <c r="K31" s="149" t="s">
        <v>4</v>
      </c>
      <c r="L31" s="149" t="s">
        <v>4</v>
      </c>
      <c r="M31" s="149" t="s">
        <v>4</v>
      </c>
      <c r="N31" s="149" t="s">
        <v>4</v>
      </c>
      <c r="O31" s="149" t="s">
        <v>4</v>
      </c>
      <c r="P31" s="149" t="s">
        <v>4</v>
      </c>
      <c r="Q31" s="149" t="s">
        <v>4</v>
      </c>
    </row>
    <row r="32" spans="1:17" customFormat="1">
      <c r="A32" s="82">
        <v>45453.25</v>
      </c>
      <c r="B32" s="149" t="s">
        <v>4</v>
      </c>
      <c r="C32" s="149" t="s">
        <v>4</v>
      </c>
      <c r="D32" s="149" t="s">
        <v>4</v>
      </c>
      <c r="E32" s="149" t="s">
        <v>4</v>
      </c>
      <c r="F32" s="149" t="s">
        <v>4</v>
      </c>
      <c r="G32" s="149" t="s">
        <v>4</v>
      </c>
      <c r="H32" s="149" t="s">
        <v>4</v>
      </c>
      <c r="I32" s="149" t="s">
        <v>4</v>
      </c>
      <c r="J32" s="149" t="s">
        <v>4</v>
      </c>
      <c r="K32" s="149" t="s">
        <v>4</v>
      </c>
      <c r="L32" s="149" t="s">
        <v>4</v>
      </c>
      <c r="M32" s="149" t="s">
        <v>4</v>
      </c>
      <c r="N32" s="149" t="s">
        <v>4</v>
      </c>
      <c r="O32" s="149" t="s">
        <v>4</v>
      </c>
      <c r="P32" s="149" t="s">
        <v>4</v>
      </c>
      <c r="Q32" s="149" t="s">
        <v>4</v>
      </c>
    </row>
    <row r="33" spans="1:17" customFormat="1">
      <c r="A33" s="82">
        <v>45453.260416666664</v>
      </c>
      <c r="B33" s="149" t="s">
        <v>4</v>
      </c>
      <c r="C33" s="149" t="s">
        <v>4</v>
      </c>
      <c r="D33" s="149" t="s">
        <v>4</v>
      </c>
      <c r="E33" s="149" t="s">
        <v>4</v>
      </c>
      <c r="F33" s="149" t="s">
        <v>4</v>
      </c>
      <c r="G33" s="149" t="s">
        <v>4</v>
      </c>
      <c r="H33" s="149" t="s">
        <v>4</v>
      </c>
      <c r="I33" s="149" t="s">
        <v>4</v>
      </c>
      <c r="J33" s="149" t="s">
        <v>4</v>
      </c>
      <c r="K33" s="149" t="s">
        <v>4</v>
      </c>
      <c r="L33" s="149" t="s">
        <v>4</v>
      </c>
      <c r="M33" s="149" t="s">
        <v>4</v>
      </c>
      <c r="N33" s="149" t="s">
        <v>4</v>
      </c>
      <c r="O33" s="149" t="s">
        <v>4</v>
      </c>
      <c r="P33" s="149" t="s">
        <v>4</v>
      </c>
      <c r="Q33" s="149" t="s">
        <v>4</v>
      </c>
    </row>
    <row r="34" spans="1:17" customFormat="1">
      <c r="A34" s="82">
        <v>45453.270833333336</v>
      </c>
      <c r="B34" s="149" t="s">
        <v>4</v>
      </c>
      <c r="C34" s="149" t="s">
        <v>4</v>
      </c>
      <c r="D34" s="149" t="s">
        <v>4</v>
      </c>
      <c r="E34" s="149" t="s">
        <v>4</v>
      </c>
      <c r="F34" s="149" t="s">
        <v>4</v>
      </c>
      <c r="G34" s="149" t="s">
        <v>4</v>
      </c>
      <c r="H34" s="149" t="s">
        <v>4</v>
      </c>
      <c r="I34" s="149" t="s">
        <v>4</v>
      </c>
      <c r="J34" s="149" t="s">
        <v>4</v>
      </c>
      <c r="K34" s="149" t="s">
        <v>4</v>
      </c>
      <c r="L34" s="149" t="s">
        <v>4</v>
      </c>
      <c r="M34" s="149" t="s">
        <v>4</v>
      </c>
      <c r="N34" s="149" t="s">
        <v>4</v>
      </c>
      <c r="O34" s="149" t="s">
        <v>4</v>
      </c>
      <c r="P34" s="149" t="s">
        <v>4</v>
      </c>
      <c r="Q34" s="149" t="s">
        <v>4</v>
      </c>
    </row>
    <row r="35" spans="1:17" customFormat="1">
      <c r="A35" s="82">
        <v>45453.28125</v>
      </c>
      <c r="B35" s="149" t="s">
        <v>4</v>
      </c>
      <c r="C35" s="149" t="s">
        <v>4</v>
      </c>
      <c r="D35" s="149" t="s">
        <v>4</v>
      </c>
      <c r="E35" s="149" t="s">
        <v>4</v>
      </c>
      <c r="F35" s="149" t="s">
        <v>4</v>
      </c>
      <c r="G35" s="149" t="s">
        <v>4</v>
      </c>
      <c r="H35" s="149" t="s">
        <v>4</v>
      </c>
      <c r="I35" s="149" t="s">
        <v>4</v>
      </c>
      <c r="J35" s="149" t="s">
        <v>4</v>
      </c>
      <c r="K35" s="149" t="s">
        <v>4</v>
      </c>
      <c r="L35" s="149" t="s">
        <v>4</v>
      </c>
      <c r="M35" s="149" t="s">
        <v>4</v>
      </c>
      <c r="N35" s="149" t="s">
        <v>4</v>
      </c>
      <c r="O35" s="149" t="s">
        <v>4</v>
      </c>
      <c r="P35" s="149" t="s">
        <v>4</v>
      </c>
      <c r="Q35" s="149" t="s">
        <v>4</v>
      </c>
    </row>
    <row r="36" spans="1:17" customFormat="1">
      <c r="A36" s="82">
        <v>45453.291666666664</v>
      </c>
      <c r="B36" s="149" t="s">
        <v>4</v>
      </c>
      <c r="C36" s="149" t="s">
        <v>4</v>
      </c>
      <c r="D36" s="149" t="s">
        <v>4</v>
      </c>
      <c r="E36" s="149" t="s">
        <v>4</v>
      </c>
      <c r="F36" s="149" t="s">
        <v>4</v>
      </c>
      <c r="G36" s="149" t="s">
        <v>4</v>
      </c>
      <c r="H36" s="149" t="s">
        <v>4</v>
      </c>
      <c r="I36" s="149" t="s">
        <v>4</v>
      </c>
      <c r="J36" s="149" t="s">
        <v>4</v>
      </c>
      <c r="K36" s="149" t="s">
        <v>4</v>
      </c>
      <c r="L36" s="149" t="s">
        <v>4</v>
      </c>
      <c r="M36" s="149" t="s">
        <v>4</v>
      </c>
      <c r="N36" s="149" t="s">
        <v>4</v>
      </c>
      <c r="O36" s="149" t="s">
        <v>4</v>
      </c>
      <c r="P36" s="149" t="s">
        <v>4</v>
      </c>
      <c r="Q36" s="149" t="s">
        <v>4</v>
      </c>
    </row>
    <row r="37" spans="1:17" customFormat="1">
      <c r="A37" s="82">
        <v>45453.302083333336</v>
      </c>
      <c r="B37" s="149" t="s">
        <v>4</v>
      </c>
      <c r="C37" s="149" t="s">
        <v>4</v>
      </c>
      <c r="D37" s="149" t="s">
        <v>4</v>
      </c>
      <c r="E37" s="149" t="s">
        <v>4</v>
      </c>
      <c r="F37" s="149" t="s">
        <v>4</v>
      </c>
      <c r="G37" s="149" t="s">
        <v>4</v>
      </c>
      <c r="H37" s="149" t="s">
        <v>4</v>
      </c>
      <c r="I37" s="149" t="s">
        <v>4</v>
      </c>
      <c r="J37" s="149" t="s">
        <v>4</v>
      </c>
      <c r="K37" s="149" t="s">
        <v>4</v>
      </c>
      <c r="L37" s="149" t="s">
        <v>4</v>
      </c>
      <c r="M37" s="149" t="s">
        <v>4</v>
      </c>
      <c r="N37" s="149" t="s">
        <v>4</v>
      </c>
      <c r="O37" s="149" t="s">
        <v>4</v>
      </c>
      <c r="P37" s="149" t="s">
        <v>4</v>
      </c>
      <c r="Q37" s="149" t="s">
        <v>4</v>
      </c>
    </row>
    <row r="38" spans="1:17" customFormat="1">
      <c r="A38" s="82">
        <v>45453.3125</v>
      </c>
      <c r="B38" s="149" t="s">
        <v>4</v>
      </c>
      <c r="C38" s="149" t="s">
        <v>4</v>
      </c>
      <c r="D38" s="149" t="s">
        <v>4</v>
      </c>
      <c r="E38" s="149" t="s">
        <v>4</v>
      </c>
      <c r="F38" s="149" t="s">
        <v>4</v>
      </c>
      <c r="G38" s="149" t="s">
        <v>4</v>
      </c>
      <c r="H38" s="149" t="s">
        <v>4</v>
      </c>
      <c r="I38" s="149" t="s">
        <v>4</v>
      </c>
      <c r="J38" s="149" t="s">
        <v>4</v>
      </c>
      <c r="K38" s="149" t="s">
        <v>4</v>
      </c>
      <c r="L38" s="149" t="s">
        <v>4</v>
      </c>
      <c r="M38" s="149" t="s">
        <v>4</v>
      </c>
      <c r="N38" s="149" t="s">
        <v>4</v>
      </c>
      <c r="O38" s="149" t="s">
        <v>4</v>
      </c>
      <c r="P38" s="149" t="s">
        <v>4</v>
      </c>
      <c r="Q38" s="149" t="s">
        <v>4</v>
      </c>
    </row>
    <row r="39" spans="1:17" customFormat="1">
      <c r="A39" s="82">
        <v>45453.322916666664</v>
      </c>
      <c r="B39" s="149" t="s">
        <v>4</v>
      </c>
      <c r="C39" s="149" t="s">
        <v>4</v>
      </c>
      <c r="D39" s="149" t="s">
        <v>4</v>
      </c>
      <c r="E39" s="149" t="s">
        <v>4</v>
      </c>
      <c r="F39" s="149" t="s">
        <v>4</v>
      </c>
      <c r="G39" s="149" t="s">
        <v>4</v>
      </c>
      <c r="H39" s="149" t="s">
        <v>4</v>
      </c>
      <c r="I39" s="149" t="s">
        <v>4</v>
      </c>
      <c r="J39" s="149" t="s">
        <v>4</v>
      </c>
      <c r="K39" s="149" t="s">
        <v>4</v>
      </c>
      <c r="L39" s="149" t="s">
        <v>4</v>
      </c>
      <c r="M39" s="149" t="s">
        <v>4</v>
      </c>
      <c r="N39" s="149" t="s">
        <v>4</v>
      </c>
      <c r="O39" s="149" t="s">
        <v>4</v>
      </c>
      <c r="P39" s="149" t="s">
        <v>4</v>
      </c>
      <c r="Q39" s="149" t="s">
        <v>4</v>
      </c>
    </row>
    <row r="40" spans="1:17" customFormat="1">
      <c r="A40" s="82">
        <v>45453.333333333336</v>
      </c>
      <c r="B40" s="149" t="s">
        <v>4</v>
      </c>
      <c r="C40" s="149" t="s">
        <v>4</v>
      </c>
      <c r="D40" s="149" t="s">
        <v>4</v>
      </c>
      <c r="E40" s="149" t="s">
        <v>4</v>
      </c>
      <c r="F40" s="149" t="s">
        <v>4</v>
      </c>
      <c r="G40" s="149" t="s">
        <v>4</v>
      </c>
      <c r="H40" s="149" t="s">
        <v>4</v>
      </c>
      <c r="I40" s="149" t="s">
        <v>4</v>
      </c>
      <c r="J40" s="149" t="s">
        <v>4</v>
      </c>
      <c r="K40" s="149" t="s">
        <v>4</v>
      </c>
      <c r="L40" s="149" t="s">
        <v>4</v>
      </c>
      <c r="M40" s="149" t="s">
        <v>4</v>
      </c>
      <c r="N40" s="149" t="s">
        <v>4</v>
      </c>
      <c r="O40" s="149" t="s">
        <v>4</v>
      </c>
      <c r="P40" s="149" t="s">
        <v>4</v>
      </c>
      <c r="Q40" s="149" t="s">
        <v>4</v>
      </c>
    </row>
    <row r="41" spans="1:17" customFormat="1">
      <c r="A41" s="82">
        <v>45453.34375</v>
      </c>
      <c r="B41" s="149" t="s">
        <v>4</v>
      </c>
      <c r="C41" s="149" t="s">
        <v>4</v>
      </c>
      <c r="D41" s="149" t="s">
        <v>4</v>
      </c>
      <c r="E41" s="149" t="s">
        <v>4</v>
      </c>
      <c r="F41" s="149" t="s">
        <v>4</v>
      </c>
      <c r="G41" s="149" t="s">
        <v>4</v>
      </c>
      <c r="H41" s="149" t="s">
        <v>4</v>
      </c>
      <c r="I41" s="149" t="s">
        <v>4</v>
      </c>
      <c r="J41" s="149" t="s">
        <v>4</v>
      </c>
      <c r="K41" s="149" t="s">
        <v>4</v>
      </c>
      <c r="L41" s="149" t="s">
        <v>4</v>
      </c>
      <c r="M41" s="149" t="s">
        <v>4</v>
      </c>
      <c r="N41" s="149" t="s">
        <v>4</v>
      </c>
      <c r="O41" s="149" t="s">
        <v>4</v>
      </c>
      <c r="P41" s="149" t="s">
        <v>4</v>
      </c>
      <c r="Q41" s="149" t="s">
        <v>4</v>
      </c>
    </row>
    <row r="42" spans="1:17" customFormat="1">
      <c r="A42" s="82">
        <v>45453.354166666664</v>
      </c>
      <c r="B42" s="149" t="s">
        <v>4</v>
      </c>
      <c r="C42" s="149" t="s">
        <v>4</v>
      </c>
      <c r="D42" s="149" t="s">
        <v>4</v>
      </c>
      <c r="E42" s="149" t="s">
        <v>4</v>
      </c>
      <c r="F42" s="149" t="s">
        <v>4</v>
      </c>
      <c r="G42" s="149" t="s">
        <v>4</v>
      </c>
      <c r="H42" s="149" t="s">
        <v>4</v>
      </c>
      <c r="I42" s="149" t="s">
        <v>4</v>
      </c>
      <c r="J42" s="149" t="s">
        <v>4</v>
      </c>
      <c r="K42" s="149" t="s">
        <v>4</v>
      </c>
      <c r="L42" s="149" t="s">
        <v>4</v>
      </c>
      <c r="M42" s="149" t="s">
        <v>4</v>
      </c>
      <c r="N42" s="149" t="s">
        <v>4</v>
      </c>
      <c r="O42" s="149" t="s">
        <v>4</v>
      </c>
      <c r="P42" s="149" t="s">
        <v>4</v>
      </c>
      <c r="Q42" s="149" t="s">
        <v>4</v>
      </c>
    </row>
    <row r="43" spans="1:17" customFormat="1">
      <c r="A43" s="82">
        <v>45453.364583333336</v>
      </c>
      <c r="B43" s="149" t="s">
        <v>4</v>
      </c>
      <c r="C43" s="149" t="s">
        <v>4</v>
      </c>
      <c r="D43" s="149" t="s">
        <v>4</v>
      </c>
      <c r="E43" s="149" t="s">
        <v>4</v>
      </c>
      <c r="F43" s="149" t="s">
        <v>4</v>
      </c>
      <c r="G43" s="149" t="s">
        <v>4</v>
      </c>
      <c r="H43" s="149" t="s">
        <v>4</v>
      </c>
      <c r="I43" s="149" t="s">
        <v>4</v>
      </c>
      <c r="J43" s="149" t="s">
        <v>4</v>
      </c>
      <c r="K43" s="149" t="s">
        <v>4</v>
      </c>
      <c r="L43" s="149" t="s">
        <v>4</v>
      </c>
      <c r="M43" s="149" t="s">
        <v>4</v>
      </c>
      <c r="N43" s="149" t="s">
        <v>4</v>
      </c>
      <c r="O43" s="149" t="s">
        <v>4</v>
      </c>
      <c r="P43" s="149" t="s">
        <v>4</v>
      </c>
      <c r="Q43" s="149" t="s">
        <v>4</v>
      </c>
    </row>
    <row r="44" spans="1:17" customFormat="1">
      <c r="A44" s="82">
        <v>45453.375</v>
      </c>
      <c r="B44" s="149" t="s">
        <v>4</v>
      </c>
      <c r="C44" s="149" t="s">
        <v>4</v>
      </c>
      <c r="D44" s="149" t="s">
        <v>4</v>
      </c>
      <c r="E44" s="149" t="s">
        <v>4</v>
      </c>
      <c r="F44" s="149" t="s">
        <v>4</v>
      </c>
      <c r="G44" s="149" t="s">
        <v>4</v>
      </c>
      <c r="H44" s="149" t="s">
        <v>4</v>
      </c>
      <c r="I44" s="149" t="s">
        <v>4</v>
      </c>
      <c r="J44" s="149" t="s">
        <v>4</v>
      </c>
      <c r="K44" s="149" t="s">
        <v>4</v>
      </c>
      <c r="L44" s="149" t="s">
        <v>4</v>
      </c>
      <c r="M44" s="149" t="s">
        <v>4</v>
      </c>
      <c r="N44" s="149" t="s">
        <v>4</v>
      </c>
      <c r="O44" s="149" t="s">
        <v>4</v>
      </c>
      <c r="P44" s="149" t="s">
        <v>4</v>
      </c>
      <c r="Q44" s="149" t="s">
        <v>4</v>
      </c>
    </row>
    <row r="45" spans="1:17" customFormat="1">
      <c r="A45" s="82">
        <v>45453.385416666664</v>
      </c>
      <c r="B45" s="149" t="s">
        <v>4</v>
      </c>
      <c r="C45" s="149" t="s">
        <v>4</v>
      </c>
      <c r="D45" s="149" t="s">
        <v>4</v>
      </c>
      <c r="E45" s="149" t="s">
        <v>4</v>
      </c>
      <c r="F45" s="149" t="s">
        <v>4</v>
      </c>
      <c r="G45" s="149" t="s">
        <v>4</v>
      </c>
      <c r="H45" s="149" t="s">
        <v>4</v>
      </c>
      <c r="I45" s="149" t="s">
        <v>4</v>
      </c>
      <c r="J45" s="149" t="s">
        <v>4</v>
      </c>
      <c r="K45" s="149" t="s">
        <v>4</v>
      </c>
      <c r="L45" s="149" t="s">
        <v>4</v>
      </c>
      <c r="M45" s="149" t="s">
        <v>4</v>
      </c>
      <c r="N45" s="149" t="s">
        <v>4</v>
      </c>
      <c r="O45" s="149" t="s">
        <v>4</v>
      </c>
      <c r="P45" s="149" t="s">
        <v>4</v>
      </c>
      <c r="Q45" s="149" t="s">
        <v>4</v>
      </c>
    </row>
    <row r="46" spans="1:17" customFormat="1">
      <c r="A46" s="82">
        <v>45453.395833333336</v>
      </c>
      <c r="B46" s="149" t="s">
        <v>4</v>
      </c>
      <c r="C46" s="149" t="s">
        <v>4</v>
      </c>
      <c r="D46" s="149" t="s">
        <v>4</v>
      </c>
      <c r="E46" s="149" t="s">
        <v>4</v>
      </c>
      <c r="F46" s="149" t="s">
        <v>4</v>
      </c>
      <c r="G46" s="149" t="s">
        <v>4</v>
      </c>
      <c r="H46" s="149" t="s">
        <v>4</v>
      </c>
      <c r="I46" s="149" t="s">
        <v>4</v>
      </c>
      <c r="J46" s="149" t="s">
        <v>4</v>
      </c>
      <c r="K46" s="149" t="s">
        <v>4</v>
      </c>
      <c r="L46" s="149" t="s">
        <v>4</v>
      </c>
      <c r="M46" s="149" t="s">
        <v>4</v>
      </c>
      <c r="N46" s="149" t="s">
        <v>4</v>
      </c>
      <c r="O46" s="149" t="s">
        <v>4</v>
      </c>
      <c r="P46" s="149" t="s">
        <v>4</v>
      </c>
      <c r="Q46" s="149" t="s">
        <v>4</v>
      </c>
    </row>
    <row r="47" spans="1:17" customFormat="1">
      <c r="A47" s="82">
        <v>45453.40625</v>
      </c>
      <c r="B47" s="149" t="s">
        <v>4</v>
      </c>
      <c r="C47" s="149" t="s">
        <v>4</v>
      </c>
      <c r="D47" s="149" t="s">
        <v>4</v>
      </c>
      <c r="E47" s="149" t="s">
        <v>4</v>
      </c>
      <c r="F47" s="149" t="s">
        <v>4</v>
      </c>
      <c r="G47" s="149" t="s">
        <v>4</v>
      </c>
      <c r="H47" s="149" t="s">
        <v>4</v>
      </c>
      <c r="I47" s="149" t="s">
        <v>4</v>
      </c>
      <c r="J47" s="149" t="s">
        <v>4</v>
      </c>
      <c r="K47" s="149" t="s">
        <v>4</v>
      </c>
      <c r="L47" s="149" t="s">
        <v>4</v>
      </c>
      <c r="M47" s="149" t="s">
        <v>4</v>
      </c>
      <c r="N47" s="149" t="s">
        <v>4</v>
      </c>
      <c r="O47" s="149" t="s">
        <v>4</v>
      </c>
      <c r="P47" s="149" t="s">
        <v>4</v>
      </c>
      <c r="Q47" s="149" t="s">
        <v>4</v>
      </c>
    </row>
    <row r="48" spans="1:17" customFormat="1">
      <c r="A48" s="82">
        <v>45453.416666666664</v>
      </c>
      <c r="B48" s="149" t="s">
        <v>4</v>
      </c>
      <c r="C48" s="149" t="s">
        <v>4</v>
      </c>
      <c r="D48" s="149" t="s">
        <v>4</v>
      </c>
      <c r="E48" s="149" t="s">
        <v>4</v>
      </c>
      <c r="F48" s="149" t="s">
        <v>4</v>
      </c>
      <c r="G48" s="149" t="s">
        <v>4</v>
      </c>
      <c r="H48" s="149" t="s">
        <v>4</v>
      </c>
      <c r="I48" s="149" t="s">
        <v>4</v>
      </c>
      <c r="J48" s="149" t="s">
        <v>4</v>
      </c>
      <c r="K48" s="149" t="s">
        <v>4</v>
      </c>
      <c r="L48" s="149" t="s">
        <v>4</v>
      </c>
      <c r="M48" s="149" t="s">
        <v>4</v>
      </c>
      <c r="N48" s="149" t="s">
        <v>4</v>
      </c>
      <c r="O48" s="149" t="s">
        <v>4</v>
      </c>
      <c r="P48" s="149" t="s">
        <v>4</v>
      </c>
      <c r="Q48" s="149" t="s">
        <v>4</v>
      </c>
    </row>
    <row r="49" spans="1:17" customFormat="1">
      <c r="A49" s="82">
        <v>45453.427083333336</v>
      </c>
      <c r="B49" s="149" t="s">
        <v>4</v>
      </c>
      <c r="C49" s="149" t="s">
        <v>4</v>
      </c>
      <c r="D49" s="149" t="s">
        <v>4</v>
      </c>
      <c r="E49" s="149" t="s">
        <v>4</v>
      </c>
      <c r="F49" s="149" t="s">
        <v>4</v>
      </c>
      <c r="G49" s="149" t="s">
        <v>4</v>
      </c>
      <c r="H49" s="149" t="s">
        <v>4</v>
      </c>
      <c r="I49" s="149" t="s">
        <v>4</v>
      </c>
      <c r="J49" s="149" t="s">
        <v>4</v>
      </c>
      <c r="K49" s="149" t="s">
        <v>4</v>
      </c>
      <c r="L49" s="149" t="s">
        <v>4</v>
      </c>
      <c r="M49" s="149" t="s">
        <v>4</v>
      </c>
      <c r="N49" s="149" t="s">
        <v>4</v>
      </c>
      <c r="O49" s="149" t="s">
        <v>4</v>
      </c>
      <c r="P49" s="149" t="s">
        <v>4</v>
      </c>
      <c r="Q49" s="149" t="s">
        <v>4</v>
      </c>
    </row>
    <row r="50" spans="1:17" customFormat="1">
      <c r="A50" s="82">
        <v>45453.4375</v>
      </c>
      <c r="B50" s="149" t="s">
        <v>4</v>
      </c>
      <c r="C50" s="149" t="s">
        <v>4</v>
      </c>
      <c r="D50" s="149" t="s">
        <v>4</v>
      </c>
      <c r="E50" s="149" t="s">
        <v>4</v>
      </c>
      <c r="F50" s="149" t="s">
        <v>4</v>
      </c>
      <c r="G50" s="149" t="s">
        <v>4</v>
      </c>
      <c r="H50" s="149" t="s">
        <v>4</v>
      </c>
      <c r="I50" s="149" t="s">
        <v>4</v>
      </c>
      <c r="J50" s="149" t="s">
        <v>4</v>
      </c>
      <c r="K50" s="149" t="s">
        <v>4</v>
      </c>
      <c r="L50" s="149" t="s">
        <v>4</v>
      </c>
      <c r="M50" s="149" t="s">
        <v>4</v>
      </c>
      <c r="N50" s="149" t="s">
        <v>4</v>
      </c>
      <c r="O50" s="149" t="s">
        <v>4</v>
      </c>
      <c r="P50" s="149" t="s">
        <v>4</v>
      </c>
      <c r="Q50" s="149" t="s">
        <v>4</v>
      </c>
    </row>
    <row r="51" spans="1:17" customFormat="1">
      <c r="A51" s="82">
        <v>45453.447916666664</v>
      </c>
      <c r="B51" s="149" t="s">
        <v>4</v>
      </c>
      <c r="C51" s="149" t="s">
        <v>4</v>
      </c>
      <c r="D51" s="149" t="s">
        <v>4</v>
      </c>
      <c r="E51" s="149" t="s">
        <v>4</v>
      </c>
      <c r="F51" s="149" t="s">
        <v>4</v>
      </c>
      <c r="G51" s="149" t="s">
        <v>4</v>
      </c>
      <c r="H51" s="149" t="s">
        <v>4</v>
      </c>
      <c r="I51" s="149" t="s">
        <v>4</v>
      </c>
      <c r="J51" s="149" t="s">
        <v>4</v>
      </c>
      <c r="K51" s="149" t="s">
        <v>4</v>
      </c>
      <c r="L51" s="149" t="s">
        <v>4</v>
      </c>
      <c r="M51" s="149" t="s">
        <v>4</v>
      </c>
      <c r="N51" s="149" t="s">
        <v>4</v>
      </c>
      <c r="O51" s="149" t="s">
        <v>4</v>
      </c>
      <c r="P51" s="149" t="s">
        <v>4</v>
      </c>
      <c r="Q51" s="149" t="s">
        <v>4</v>
      </c>
    </row>
    <row r="52" spans="1:17" customFormat="1">
      <c r="A52" s="82">
        <v>45453.458333333336</v>
      </c>
      <c r="B52" s="149" t="s">
        <v>4</v>
      </c>
      <c r="C52" s="149" t="s">
        <v>4</v>
      </c>
      <c r="D52" s="149" t="s">
        <v>4</v>
      </c>
      <c r="E52" s="149" t="s">
        <v>4</v>
      </c>
      <c r="F52" s="149" t="s">
        <v>4</v>
      </c>
      <c r="G52" s="149" t="s">
        <v>4</v>
      </c>
      <c r="H52" s="149" t="s">
        <v>4</v>
      </c>
      <c r="I52" s="149" t="s">
        <v>4</v>
      </c>
      <c r="J52" s="149" t="s">
        <v>4</v>
      </c>
      <c r="K52" s="149" t="s">
        <v>4</v>
      </c>
      <c r="L52" s="149" t="s">
        <v>4</v>
      </c>
      <c r="M52" s="149" t="s">
        <v>4</v>
      </c>
      <c r="N52" s="149" t="s">
        <v>4</v>
      </c>
      <c r="O52" s="149" t="s">
        <v>4</v>
      </c>
      <c r="P52" s="149" t="s">
        <v>4</v>
      </c>
      <c r="Q52" s="149" t="s">
        <v>4</v>
      </c>
    </row>
    <row r="53" spans="1:17" customFormat="1">
      <c r="A53" s="82">
        <v>45453.46875</v>
      </c>
      <c r="B53" s="149" t="s">
        <v>4</v>
      </c>
      <c r="C53" s="149" t="s">
        <v>4</v>
      </c>
      <c r="D53" s="149" t="s">
        <v>4</v>
      </c>
      <c r="E53" s="149" t="s">
        <v>4</v>
      </c>
      <c r="F53" s="149" t="s">
        <v>4</v>
      </c>
      <c r="G53" s="149" t="s">
        <v>4</v>
      </c>
      <c r="H53" s="149" t="s">
        <v>4</v>
      </c>
      <c r="I53" s="149" t="s">
        <v>4</v>
      </c>
      <c r="J53" s="149" t="s">
        <v>4</v>
      </c>
      <c r="K53" s="149" t="s">
        <v>4</v>
      </c>
      <c r="L53" s="149" t="s">
        <v>4</v>
      </c>
      <c r="M53" s="149" t="s">
        <v>4</v>
      </c>
      <c r="N53" s="149" t="s">
        <v>4</v>
      </c>
      <c r="O53" s="149" t="s">
        <v>4</v>
      </c>
      <c r="P53" s="149" t="s">
        <v>4</v>
      </c>
      <c r="Q53" s="149" t="s">
        <v>4</v>
      </c>
    </row>
    <row r="54" spans="1:17" customFormat="1">
      <c r="A54" s="82">
        <v>45453.479166666664</v>
      </c>
      <c r="B54" s="149" t="s">
        <v>4</v>
      </c>
      <c r="C54" s="149" t="s">
        <v>4</v>
      </c>
      <c r="D54" s="149" t="s">
        <v>4</v>
      </c>
      <c r="E54" s="149" t="s">
        <v>4</v>
      </c>
      <c r="F54" s="149" t="s">
        <v>4</v>
      </c>
      <c r="G54" s="149" t="s">
        <v>4</v>
      </c>
      <c r="H54" s="149" t="s">
        <v>4</v>
      </c>
      <c r="I54" s="149" t="s">
        <v>4</v>
      </c>
      <c r="J54" s="149" t="s">
        <v>4</v>
      </c>
      <c r="K54" s="149" t="s">
        <v>4</v>
      </c>
      <c r="L54" s="149" t="s">
        <v>4</v>
      </c>
      <c r="M54" s="149" t="s">
        <v>4</v>
      </c>
      <c r="N54" s="149" t="s">
        <v>4</v>
      </c>
      <c r="O54" s="149" t="s">
        <v>4</v>
      </c>
      <c r="P54" s="149" t="s">
        <v>4</v>
      </c>
      <c r="Q54" s="149" t="s">
        <v>4</v>
      </c>
    </row>
    <row r="55" spans="1:17" customFormat="1">
      <c r="A55" s="82">
        <v>45453.489583333336</v>
      </c>
      <c r="B55" s="149" t="s">
        <v>4</v>
      </c>
      <c r="C55" s="149" t="s">
        <v>4</v>
      </c>
      <c r="D55" s="149" t="s">
        <v>4</v>
      </c>
      <c r="E55" s="149" t="s">
        <v>4</v>
      </c>
      <c r="F55" s="149" t="s">
        <v>4</v>
      </c>
      <c r="G55" s="149" t="s">
        <v>4</v>
      </c>
      <c r="H55" s="149" t="s">
        <v>4</v>
      </c>
      <c r="I55" s="149" t="s">
        <v>4</v>
      </c>
      <c r="J55" s="149" t="s">
        <v>4</v>
      </c>
      <c r="K55" s="149" t="s">
        <v>4</v>
      </c>
      <c r="L55" s="149" t="s">
        <v>4</v>
      </c>
      <c r="M55" s="149" t="s">
        <v>4</v>
      </c>
      <c r="N55" s="149" t="s">
        <v>4</v>
      </c>
      <c r="O55" s="149" t="s">
        <v>4</v>
      </c>
      <c r="P55" s="149" t="s">
        <v>4</v>
      </c>
      <c r="Q55" s="149" t="s">
        <v>4</v>
      </c>
    </row>
    <row r="56" spans="1:17" customFormat="1">
      <c r="A56" s="82">
        <v>45453.5</v>
      </c>
      <c r="B56" s="170" t="s">
        <v>21</v>
      </c>
      <c r="C56" s="170" t="s">
        <v>21</v>
      </c>
      <c r="D56" s="170" t="s">
        <v>21</v>
      </c>
      <c r="E56" s="170" t="s">
        <v>21</v>
      </c>
      <c r="F56" s="6">
        <v>49.74</v>
      </c>
      <c r="G56" s="6">
        <v>28.43</v>
      </c>
      <c r="H56" s="6">
        <v>8.57</v>
      </c>
      <c r="I56" s="6">
        <v>6.01</v>
      </c>
      <c r="J56" s="6">
        <v>0.64</v>
      </c>
      <c r="K56" s="6">
        <v>275.45</v>
      </c>
      <c r="L56" s="6">
        <v>37.64</v>
      </c>
      <c r="M56" s="6">
        <v>42.45</v>
      </c>
      <c r="N56" s="6">
        <v>804.3</v>
      </c>
      <c r="O56" s="6">
        <v>0</v>
      </c>
      <c r="P56" s="6">
        <v>0.39</v>
      </c>
      <c r="Q56" s="170" t="s">
        <v>21</v>
      </c>
    </row>
    <row r="57" spans="1:17" customFormat="1">
      <c r="A57" s="82">
        <v>45453.510416666664</v>
      </c>
      <c r="B57" s="6">
        <v>8</v>
      </c>
      <c r="C57" s="6">
        <v>4.0599999999999996</v>
      </c>
      <c r="D57" s="6">
        <v>12.98</v>
      </c>
      <c r="E57" s="170" t="s">
        <v>21</v>
      </c>
      <c r="F57" s="6">
        <v>39.68</v>
      </c>
      <c r="G57" s="6">
        <v>35.32</v>
      </c>
      <c r="H57" s="6">
        <v>12.32</v>
      </c>
      <c r="I57" s="6">
        <v>5.09</v>
      </c>
      <c r="J57" s="6">
        <v>0.66</v>
      </c>
      <c r="K57" s="6">
        <v>321.33</v>
      </c>
      <c r="L57" s="6">
        <v>37.619999999999997</v>
      </c>
      <c r="M57" s="6">
        <v>41.81</v>
      </c>
      <c r="N57" s="6">
        <v>807.3</v>
      </c>
      <c r="O57" s="6">
        <v>0</v>
      </c>
      <c r="P57" s="6">
        <v>0.46</v>
      </c>
      <c r="Q57" s="170" t="s">
        <v>21</v>
      </c>
    </row>
    <row r="58" spans="1:17" customFormat="1">
      <c r="A58" s="82">
        <v>45453.520833333336</v>
      </c>
      <c r="B58" s="6">
        <v>8.5500000000000007</v>
      </c>
      <c r="C58" s="6">
        <v>4.0199999999999996</v>
      </c>
      <c r="D58" s="6">
        <v>13.41</v>
      </c>
      <c r="E58" s="6">
        <v>4.12</v>
      </c>
      <c r="F58" s="6">
        <v>67.239999999999995</v>
      </c>
      <c r="G58" s="6">
        <v>35.32</v>
      </c>
      <c r="H58" s="6">
        <v>12.32</v>
      </c>
      <c r="I58" s="6">
        <v>5.38</v>
      </c>
      <c r="J58" s="6">
        <v>0.36</v>
      </c>
      <c r="K58" s="6">
        <v>27.62</v>
      </c>
      <c r="L58" s="6">
        <v>37.72</v>
      </c>
      <c r="M58" s="6">
        <v>41.1</v>
      </c>
      <c r="N58" s="6">
        <v>796.2</v>
      </c>
      <c r="O58" s="6">
        <v>0</v>
      </c>
      <c r="P58" s="6">
        <v>0.46</v>
      </c>
      <c r="Q58" s="6">
        <v>4.83</v>
      </c>
    </row>
    <row r="59" spans="1:17" customFormat="1">
      <c r="A59" s="82">
        <v>45453.53125</v>
      </c>
      <c r="B59" s="6">
        <v>8.67</v>
      </c>
      <c r="C59" s="6">
        <v>4.01</v>
      </c>
      <c r="D59" s="6">
        <v>13.5</v>
      </c>
      <c r="E59" s="6">
        <v>6.57</v>
      </c>
      <c r="F59" s="6">
        <v>58.43</v>
      </c>
      <c r="G59" s="6">
        <v>35.32</v>
      </c>
      <c r="H59" s="6">
        <v>12.32</v>
      </c>
      <c r="I59" s="6">
        <v>4.17</v>
      </c>
      <c r="J59" s="6">
        <v>0.22</v>
      </c>
      <c r="K59" s="6">
        <v>225.84</v>
      </c>
      <c r="L59" s="6">
        <v>38.26</v>
      </c>
      <c r="M59" s="6">
        <v>41.36</v>
      </c>
      <c r="N59" s="6">
        <v>735.9</v>
      </c>
      <c r="O59" s="6">
        <v>0</v>
      </c>
      <c r="P59" s="6">
        <v>0.47</v>
      </c>
      <c r="Q59" s="6">
        <v>4.3099999999999996</v>
      </c>
    </row>
    <row r="60" spans="1:17" customFormat="1">
      <c r="A60" s="82">
        <v>45453.541666666664</v>
      </c>
      <c r="B60" s="6">
        <v>8.59</v>
      </c>
      <c r="C60" s="6">
        <v>4.03</v>
      </c>
      <c r="D60" s="6">
        <v>13.45</v>
      </c>
      <c r="E60" s="6">
        <v>8.5299999999999994</v>
      </c>
      <c r="F60" s="6">
        <v>33.67</v>
      </c>
      <c r="G60" s="6">
        <v>39.130000000000003</v>
      </c>
      <c r="H60" s="6">
        <v>15.92</v>
      </c>
      <c r="I60" s="6">
        <v>4.0599999999999996</v>
      </c>
      <c r="J60" s="6">
        <v>0.72</v>
      </c>
      <c r="K60" s="6">
        <v>262.89999999999998</v>
      </c>
      <c r="L60" s="6">
        <v>38.54</v>
      </c>
      <c r="M60" s="6">
        <v>40.380000000000003</v>
      </c>
      <c r="N60" s="6">
        <v>770.6</v>
      </c>
      <c r="O60" s="6">
        <v>0</v>
      </c>
      <c r="P60" s="6">
        <v>0.49</v>
      </c>
      <c r="Q60" s="6">
        <v>4.1399999999999997</v>
      </c>
    </row>
    <row r="61" spans="1:17" customFormat="1">
      <c r="A61" s="82">
        <v>45453.552083333336</v>
      </c>
      <c r="B61" s="6">
        <v>8.56</v>
      </c>
      <c r="C61" s="6">
        <v>4.01</v>
      </c>
      <c r="D61" s="6">
        <v>13.41</v>
      </c>
      <c r="E61" s="6">
        <v>3.76</v>
      </c>
      <c r="F61" s="6">
        <v>40.85</v>
      </c>
      <c r="G61" s="6">
        <v>49.03</v>
      </c>
      <c r="H61" s="6">
        <v>22.65</v>
      </c>
      <c r="I61" s="6">
        <v>4.1100000000000003</v>
      </c>
      <c r="J61" s="6">
        <v>0.08</v>
      </c>
      <c r="K61" s="6">
        <v>254.98</v>
      </c>
      <c r="L61" s="6">
        <v>38.85</v>
      </c>
      <c r="M61" s="6">
        <v>39.49</v>
      </c>
      <c r="N61" s="6">
        <v>783.6</v>
      </c>
      <c r="O61" s="6">
        <v>0</v>
      </c>
      <c r="P61" s="6">
        <v>0.5</v>
      </c>
      <c r="Q61" s="6">
        <v>4.08</v>
      </c>
    </row>
    <row r="62" spans="1:17" customFormat="1">
      <c r="A62" s="82">
        <v>45453.5625</v>
      </c>
      <c r="B62" s="6">
        <v>8.5399999999999991</v>
      </c>
      <c r="C62" s="6">
        <v>4.0199999999999996</v>
      </c>
      <c r="D62" s="6">
        <v>13.4</v>
      </c>
      <c r="E62" s="172" t="s">
        <v>8</v>
      </c>
      <c r="F62" s="6">
        <v>25.64</v>
      </c>
      <c r="G62" s="6">
        <v>49.03</v>
      </c>
      <c r="H62" s="6">
        <v>22.65</v>
      </c>
      <c r="I62" s="6">
        <v>4.55</v>
      </c>
      <c r="J62" s="6">
        <v>0.57999999999999996</v>
      </c>
      <c r="K62" s="6">
        <v>244.07</v>
      </c>
      <c r="L62" s="6">
        <v>39.42</v>
      </c>
      <c r="M62" s="6">
        <v>38.799999999999997</v>
      </c>
      <c r="N62" s="6">
        <v>412.6</v>
      </c>
      <c r="O62" s="6">
        <v>0</v>
      </c>
      <c r="P62" s="6">
        <v>0.49</v>
      </c>
      <c r="Q62" s="6">
        <v>4.0999999999999996</v>
      </c>
    </row>
    <row r="63" spans="1:17" customFormat="1">
      <c r="A63" s="82">
        <v>45453.572916666664</v>
      </c>
      <c r="B63" s="6">
        <v>8.51</v>
      </c>
      <c r="C63" s="6">
        <v>4.03</v>
      </c>
      <c r="D63" s="6">
        <v>13.38</v>
      </c>
      <c r="E63" s="172" t="s">
        <v>8</v>
      </c>
      <c r="F63" s="6">
        <v>36.26</v>
      </c>
      <c r="G63" s="6">
        <v>49.03</v>
      </c>
      <c r="H63" s="6">
        <v>22.65</v>
      </c>
      <c r="I63" s="6">
        <v>4.45</v>
      </c>
      <c r="J63" s="6">
        <v>0.33</v>
      </c>
      <c r="K63" s="6">
        <v>191.01</v>
      </c>
      <c r="L63" s="6">
        <v>40.08</v>
      </c>
      <c r="M63" s="6">
        <v>37.159999999999997</v>
      </c>
      <c r="N63" s="6">
        <v>246.5</v>
      </c>
      <c r="O63" s="6">
        <v>0</v>
      </c>
      <c r="P63" s="6">
        <v>0.47</v>
      </c>
      <c r="Q63" s="6">
        <v>4.09</v>
      </c>
    </row>
    <row r="64" spans="1:17" customFormat="1">
      <c r="A64" s="82">
        <v>45453.583333333336</v>
      </c>
      <c r="B64" s="6">
        <v>8.52</v>
      </c>
      <c r="C64" s="6">
        <v>4.05</v>
      </c>
      <c r="D64" s="6">
        <v>13.39</v>
      </c>
      <c r="E64" s="172" t="s">
        <v>8</v>
      </c>
      <c r="F64" s="6">
        <v>24.74</v>
      </c>
      <c r="G64" s="6">
        <v>45.76</v>
      </c>
      <c r="H64" s="6">
        <v>20.97</v>
      </c>
      <c r="I64" s="6">
        <v>4.71</v>
      </c>
      <c r="J64" s="6">
        <v>0.36</v>
      </c>
      <c r="K64" s="6">
        <v>225.26</v>
      </c>
      <c r="L64" s="6">
        <v>39.880000000000003</v>
      </c>
      <c r="M64" s="6">
        <v>36.57</v>
      </c>
      <c r="N64" s="6">
        <v>642.1</v>
      </c>
      <c r="O64" s="6">
        <v>0</v>
      </c>
      <c r="P64" s="6">
        <v>0.48</v>
      </c>
      <c r="Q64" s="6">
        <v>4.07</v>
      </c>
    </row>
    <row r="65" spans="1:17" customFormat="1">
      <c r="A65" s="82">
        <v>45453.59375</v>
      </c>
      <c r="B65" s="6">
        <v>8.5</v>
      </c>
      <c r="C65" s="6">
        <v>4.0199999999999996</v>
      </c>
      <c r="D65" s="6">
        <v>13.37</v>
      </c>
      <c r="E65" s="172" t="s">
        <v>8</v>
      </c>
      <c r="F65" s="6">
        <v>30.71</v>
      </c>
      <c r="G65" s="6">
        <v>36.770000000000003</v>
      </c>
      <c r="H65" s="6">
        <v>17.95</v>
      </c>
      <c r="I65" s="6">
        <v>4.42</v>
      </c>
      <c r="J65" s="6">
        <v>0.17</v>
      </c>
      <c r="K65" s="6">
        <v>312.27</v>
      </c>
      <c r="L65" s="6">
        <v>39.909999999999997</v>
      </c>
      <c r="M65" s="6">
        <v>35</v>
      </c>
      <c r="N65" s="6">
        <v>699.1</v>
      </c>
      <c r="O65" s="6">
        <v>0</v>
      </c>
      <c r="P65" s="6">
        <v>0.36</v>
      </c>
      <c r="Q65" s="6">
        <v>4.05</v>
      </c>
    </row>
    <row r="66" spans="1:17" customFormat="1">
      <c r="A66" s="82">
        <v>45453.604166666664</v>
      </c>
      <c r="B66" s="6">
        <v>8.52</v>
      </c>
      <c r="C66" s="6">
        <v>4.04</v>
      </c>
      <c r="D66" s="6">
        <v>13.39</v>
      </c>
      <c r="E66" s="172" t="s">
        <v>8</v>
      </c>
      <c r="F66" s="6">
        <v>23.8</v>
      </c>
      <c r="G66" s="6">
        <v>36.770000000000003</v>
      </c>
      <c r="H66" s="6">
        <v>17.95</v>
      </c>
      <c r="I66" s="6">
        <v>4.58</v>
      </c>
      <c r="J66" s="6">
        <v>0.19</v>
      </c>
      <c r="K66" s="6">
        <v>203.37</v>
      </c>
      <c r="L66" s="6">
        <v>40.380000000000003</v>
      </c>
      <c r="M66" s="6">
        <v>32.700000000000003</v>
      </c>
      <c r="N66" s="6">
        <v>644.79999999999995</v>
      </c>
      <c r="O66" s="6">
        <v>0</v>
      </c>
      <c r="P66" s="6">
        <v>0.37</v>
      </c>
      <c r="Q66" s="6">
        <v>4.05</v>
      </c>
    </row>
    <row r="67" spans="1:17" customFormat="1">
      <c r="A67" s="82">
        <v>45453.614583333336</v>
      </c>
      <c r="B67" s="6">
        <v>8.59</v>
      </c>
      <c r="C67" s="6">
        <v>4.0199999999999996</v>
      </c>
      <c r="D67" s="6">
        <v>13.44</v>
      </c>
      <c r="E67" s="172" t="s">
        <v>8</v>
      </c>
      <c r="F67" s="6">
        <v>26.72</v>
      </c>
      <c r="G67" s="6">
        <v>36.770000000000003</v>
      </c>
      <c r="H67" s="6">
        <v>17.95</v>
      </c>
      <c r="I67" s="6">
        <v>4.42</v>
      </c>
      <c r="J67" s="6">
        <v>0.66</v>
      </c>
      <c r="K67" s="6">
        <v>269.04000000000002</v>
      </c>
      <c r="L67" s="6">
        <v>39.76</v>
      </c>
      <c r="M67" s="6">
        <v>33.51</v>
      </c>
      <c r="N67" s="6">
        <v>642</v>
      </c>
      <c r="O67" s="6">
        <v>0</v>
      </c>
      <c r="P67" s="6">
        <v>0.37</v>
      </c>
      <c r="Q67" s="6">
        <v>4.1100000000000003</v>
      </c>
    </row>
    <row r="68" spans="1:17" customFormat="1">
      <c r="A68" s="82">
        <v>45453.625</v>
      </c>
      <c r="B68" s="6">
        <v>8.59</v>
      </c>
      <c r="C68" s="6">
        <v>4.01</v>
      </c>
      <c r="D68" s="6">
        <v>13.43</v>
      </c>
      <c r="E68" s="172" t="s">
        <v>8</v>
      </c>
      <c r="F68" s="6">
        <v>31.87</v>
      </c>
      <c r="G68" s="6">
        <v>35.35</v>
      </c>
      <c r="H68" s="6">
        <v>16.27</v>
      </c>
      <c r="I68" s="6">
        <v>4.6100000000000003</v>
      </c>
      <c r="J68" s="6">
        <v>0.67</v>
      </c>
      <c r="K68" s="6">
        <v>287.75</v>
      </c>
      <c r="L68" s="6">
        <v>39.54</v>
      </c>
      <c r="M68" s="6">
        <v>33.75</v>
      </c>
      <c r="N68" s="6">
        <v>601.79999999999995</v>
      </c>
      <c r="O68" s="6">
        <v>0</v>
      </c>
      <c r="P68" s="6">
        <v>0.38</v>
      </c>
      <c r="Q68" s="6">
        <v>4.1900000000000004</v>
      </c>
    </row>
    <row r="69" spans="1:17" customFormat="1">
      <c r="A69" s="82">
        <v>45453.635416666664</v>
      </c>
      <c r="B69" s="6">
        <v>8.58</v>
      </c>
      <c r="C69" s="6">
        <v>4.03</v>
      </c>
      <c r="D69" s="6">
        <v>13.44</v>
      </c>
      <c r="E69" s="172" t="s">
        <v>8</v>
      </c>
      <c r="F69" s="6">
        <v>29.41</v>
      </c>
      <c r="G69" s="6">
        <v>31.67</v>
      </c>
      <c r="H69" s="6">
        <v>13.12</v>
      </c>
      <c r="I69" s="6">
        <v>4.63</v>
      </c>
      <c r="J69" s="6">
        <v>0.56999999999999995</v>
      </c>
      <c r="K69" s="6">
        <v>268.32</v>
      </c>
      <c r="L69" s="6">
        <v>40.08</v>
      </c>
      <c r="M69" s="6">
        <v>34.82</v>
      </c>
      <c r="N69" s="6">
        <v>552.9</v>
      </c>
      <c r="O69" s="6">
        <v>0</v>
      </c>
      <c r="P69" s="6">
        <v>0.37</v>
      </c>
      <c r="Q69" s="6">
        <v>4.17</v>
      </c>
    </row>
    <row r="70" spans="1:17" customFormat="1">
      <c r="A70" s="82">
        <v>45453.645833333336</v>
      </c>
      <c r="B70" s="6">
        <v>8.56</v>
      </c>
      <c r="C70" s="6">
        <v>3.99</v>
      </c>
      <c r="D70" s="6">
        <v>13.4</v>
      </c>
      <c r="E70" s="172" t="s">
        <v>8</v>
      </c>
      <c r="F70" s="6">
        <v>29.58</v>
      </c>
      <c r="G70" s="6">
        <v>31.67</v>
      </c>
      <c r="H70" s="6">
        <v>13.12</v>
      </c>
      <c r="I70" s="6">
        <v>4.6100000000000003</v>
      </c>
      <c r="J70" s="6">
        <v>0.31</v>
      </c>
      <c r="K70" s="6">
        <v>236.34</v>
      </c>
      <c r="L70" s="6">
        <v>40.33</v>
      </c>
      <c r="M70" s="6">
        <v>34.74</v>
      </c>
      <c r="N70" s="6">
        <v>497.6</v>
      </c>
      <c r="O70" s="6">
        <v>0</v>
      </c>
      <c r="P70" s="6">
        <v>0.37</v>
      </c>
      <c r="Q70" s="6">
        <v>4.1100000000000003</v>
      </c>
    </row>
    <row r="71" spans="1:17" customFormat="1">
      <c r="A71" s="82">
        <v>45453.65625</v>
      </c>
      <c r="B71" s="6">
        <v>8.5500000000000007</v>
      </c>
      <c r="C71" s="6">
        <v>4.01</v>
      </c>
      <c r="D71" s="6">
        <v>13.4</v>
      </c>
      <c r="E71" s="172" t="s">
        <v>8</v>
      </c>
      <c r="F71" s="6">
        <v>34.020000000000003</v>
      </c>
      <c r="G71" s="6">
        <v>31.67</v>
      </c>
      <c r="H71" s="6">
        <v>13.12</v>
      </c>
      <c r="I71" s="6">
        <v>4.58</v>
      </c>
      <c r="J71" s="6">
        <v>0.53</v>
      </c>
      <c r="K71" s="6">
        <v>274.52999999999997</v>
      </c>
      <c r="L71" s="6">
        <v>40.01</v>
      </c>
      <c r="M71" s="6">
        <v>34.72</v>
      </c>
      <c r="N71" s="6">
        <v>451</v>
      </c>
      <c r="O71" s="6">
        <v>0</v>
      </c>
      <c r="P71" s="6">
        <v>0.37</v>
      </c>
      <c r="Q71" s="6">
        <v>4.09</v>
      </c>
    </row>
    <row r="72" spans="1:17" customFormat="1">
      <c r="A72" s="82">
        <v>45453.666666666664</v>
      </c>
      <c r="B72" s="6">
        <v>8.52</v>
      </c>
      <c r="C72" s="6">
        <v>4.0199999999999996</v>
      </c>
      <c r="D72" s="6">
        <v>13.39</v>
      </c>
      <c r="E72" s="172" t="s">
        <v>8</v>
      </c>
      <c r="F72" s="6">
        <v>46.15</v>
      </c>
      <c r="G72" s="6">
        <v>31.08</v>
      </c>
      <c r="H72" s="6">
        <v>13.68</v>
      </c>
      <c r="I72" s="6">
        <v>4.5999999999999996</v>
      </c>
      <c r="J72" s="6">
        <v>0.37</v>
      </c>
      <c r="K72" s="6">
        <v>290.3</v>
      </c>
      <c r="L72" s="6">
        <v>39.74</v>
      </c>
      <c r="M72" s="6">
        <v>34.58</v>
      </c>
      <c r="N72" s="6">
        <v>396.4</v>
      </c>
      <c r="O72" s="6">
        <v>0</v>
      </c>
      <c r="P72" s="6">
        <v>0.39</v>
      </c>
      <c r="Q72" s="6">
        <v>4.0999999999999996</v>
      </c>
    </row>
    <row r="73" spans="1:17" customFormat="1">
      <c r="A73" s="82">
        <v>45453.677083333336</v>
      </c>
      <c r="B73" s="6">
        <v>8.5399999999999991</v>
      </c>
      <c r="C73" s="6">
        <v>4.01</v>
      </c>
      <c r="D73" s="6">
        <v>13.39</v>
      </c>
      <c r="E73" s="172" t="s">
        <v>8</v>
      </c>
      <c r="F73" s="6">
        <v>42.64</v>
      </c>
      <c r="G73" s="6">
        <v>29.55</v>
      </c>
      <c r="H73" s="6">
        <v>16.39</v>
      </c>
      <c r="I73" s="6">
        <v>4.5599999999999996</v>
      </c>
      <c r="J73" s="6">
        <v>0.47</v>
      </c>
      <c r="K73" s="6">
        <v>211.41</v>
      </c>
      <c r="L73" s="6">
        <v>39.979999999999997</v>
      </c>
      <c r="M73" s="6">
        <v>34.69</v>
      </c>
      <c r="N73" s="6">
        <v>259.3</v>
      </c>
      <c r="O73" s="6">
        <v>0</v>
      </c>
      <c r="P73" s="6">
        <v>0.38</v>
      </c>
      <c r="Q73" s="6">
        <v>4.16</v>
      </c>
    </row>
    <row r="74" spans="1:17" customFormat="1">
      <c r="A74" s="82">
        <v>45453.6875</v>
      </c>
      <c r="B74" s="6">
        <v>8.58</v>
      </c>
      <c r="C74" s="6">
        <v>4.0199999999999996</v>
      </c>
      <c r="D74" s="6">
        <v>13.43</v>
      </c>
      <c r="E74" s="172" t="s">
        <v>8</v>
      </c>
      <c r="F74" s="6">
        <v>44.51</v>
      </c>
      <c r="G74" s="6">
        <v>29.55</v>
      </c>
      <c r="H74" s="6">
        <v>16.39</v>
      </c>
      <c r="I74" s="6">
        <v>4.26</v>
      </c>
      <c r="J74" s="6">
        <v>0.6</v>
      </c>
      <c r="K74" s="6">
        <v>268.52</v>
      </c>
      <c r="L74" s="6">
        <v>39.450000000000003</v>
      </c>
      <c r="M74" s="6">
        <v>34.69</v>
      </c>
      <c r="N74" s="6">
        <v>210.5</v>
      </c>
      <c r="O74" s="6">
        <v>0</v>
      </c>
      <c r="P74" s="6">
        <v>0.38</v>
      </c>
      <c r="Q74" s="6">
        <v>4.1399999999999997</v>
      </c>
    </row>
    <row r="75" spans="1:17" customFormat="1">
      <c r="A75" s="82">
        <v>45453.697916666664</v>
      </c>
      <c r="B75" s="6">
        <v>8.59</v>
      </c>
      <c r="C75" s="6">
        <v>4.03</v>
      </c>
      <c r="D75" s="6">
        <v>13.45</v>
      </c>
      <c r="E75" s="172" t="s">
        <v>8</v>
      </c>
      <c r="F75" s="6">
        <v>53.41</v>
      </c>
      <c r="G75" s="6">
        <v>29.55</v>
      </c>
      <c r="H75" s="6">
        <v>16.39</v>
      </c>
      <c r="I75" s="6">
        <v>4.4800000000000004</v>
      </c>
      <c r="J75" s="6">
        <v>0.31</v>
      </c>
      <c r="K75" s="6">
        <v>298.33999999999997</v>
      </c>
      <c r="L75" s="6">
        <v>38.97</v>
      </c>
      <c r="M75" s="6">
        <v>34.78</v>
      </c>
      <c r="N75" s="6">
        <v>132.1</v>
      </c>
      <c r="O75" s="6">
        <v>0</v>
      </c>
      <c r="P75" s="6">
        <v>0.39</v>
      </c>
      <c r="Q75" s="6">
        <v>4.0999999999999996</v>
      </c>
    </row>
    <row r="76" spans="1:17" customFormat="1">
      <c r="A76" s="82">
        <v>45453.708333333336</v>
      </c>
      <c r="B76" s="6">
        <v>8.61</v>
      </c>
      <c r="C76" s="6">
        <v>4.04</v>
      </c>
      <c r="D76" s="6">
        <v>13.46</v>
      </c>
      <c r="E76" s="172" t="s">
        <v>8</v>
      </c>
      <c r="F76" s="6">
        <v>61.76</v>
      </c>
      <c r="G76" s="6">
        <v>31.58</v>
      </c>
      <c r="H76" s="6">
        <v>15.68</v>
      </c>
      <c r="I76" s="6">
        <v>4.4000000000000004</v>
      </c>
      <c r="J76" s="6">
        <v>0.1</v>
      </c>
      <c r="K76" s="6">
        <v>297.52</v>
      </c>
      <c r="L76" s="6">
        <v>38.97</v>
      </c>
      <c r="M76" s="6">
        <v>35.86</v>
      </c>
      <c r="N76" s="6">
        <v>115.6</v>
      </c>
      <c r="O76" s="6">
        <v>0</v>
      </c>
      <c r="P76" s="6">
        <v>0.39</v>
      </c>
      <c r="Q76" s="6">
        <v>4.08</v>
      </c>
    </row>
    <row r="77" spans="1:17" customFormat="1">
      <c r="A77" s="82">
        <v>45453.71875</v>
      </c>
      <c r="B77" s="6">
        <v>8.5500000000000007</v>
      </c>
      <c r="C77" s="6">
        <v>4.05</v>
      </c>
      <c r="D77" s="6">
        <v>13.42</v>
      </c>
      <c r="E77" s="172" t="s">
        <v>8</v>
      </c>
      <c r="F77" s="6">
        <v>59.05</v>
      </c>
      <c r="G77" s="6">
        <v>36.86</v>
      </c>
      <c r="H77" s="6">
        <v>14.37</v>
      </c>
      <c r="I77" s="6">
        <v>4.32</v>
      </c>
      <c r="J77" s="6">
        <v>0.09</v>
      </c>
      <c r="K77" s="6">
        <v>323.77</v>
      </c>
      <c r="L77" s="6">
        <v>39</v>
      </c>
      <c r="M77" s="6">
        <v>35.07</v>
      </c>
      <c r="N77" s="6">
        <v>105.4</v>
      </c>
      <c r="O77" s="6">
        <v>0</v>
      </c>
      <c r="P77" s="6">
        <v>0.4</v>
      </c>
      <c r="Q77" s="6">
        <v>4.12</v>
      </c>
    </row>
    <row r="78" spans="1:17" customFormat="1">
      <c r="A78" s="82">
        <v>45453.729166666664</v>
      </c>
      <c r="B78" s="6">
        <v>8.52</v>
      </c>
      <c r="C78" s="6">
        <v>4.04</v>
      </c>
      <c r="D78" s="6">
        <v>13.4</v>
      </c>
      <c r="E78" s="172" t="s">
        <v>8</v>
      </c>
      <c r="F78" s="6">
        <v>50.67</v>
      </c>
      <c r="G78" s="6">
        <v>36.86</v>
      </c>
      <c r="H78" s="6">
        <v>14.37</v>
      </c>
      <c r="I78" s="6">
        <v>4.12</v>
      </c>
      <c r="J78" s="6">
        <v>0.16</v>
      </c>
      <c r="K78" s="6">
        <v>95.47</v>
      </c>
      <c r="L78" s="6">
        <v>38.880000000000003</v>
      </c>
      <c r="M78" s="6">
        <v>35.22</v>
      </c>
      <c r="N78" s="6">
        <v>97.5</v>
      </c>
      <c r="O78" s="6">
        <v>0</v>
      </c>
      <c r="P78" s="6">
        <v>0.42</v>
      </c>
      <c r="Q78" s="6">
        <v>4.08</v>
      </c>
    </row>
    <row r="79" spans="1:17" customFormat="1">
      <c r="A79" s="82">
        <v>45453.739583333336</v>
      </c>
      <c r="B79" s="6">
        <v>8.5500000000000007</v>
      </c>
      <c r="C79" s="6">
        <v>4.04</v>
      </c>
      <c r="D79" s="6">
        <v>13.42</v>
      </c>
      <c r="E79" s="172" t="s">
        <v>8</v>
      </c>
      <c r="F79" s="6">
        <v>61.86</v>
      </c>
      <c r="G79" s="6">
        <v>36.86</v>
      </c>
      <c r="H79" s="6">
        <v>14.37</v>
      </c>
      <c r="I79" s="6">
        <v>4.2699999999999996</v>
      </c>
      <c r="J79" s="6">
        <v>0.23</v>
      </c>
      <c r="K79" s="6">
        <v>167.83</v>
      </c>
      <c r="L79" s="6">
        <v>38.49</v>
      </c>
      <c r="M79" s="6">
        <v>36.92</v>
      </c>
      <c r="N79" s="6">
        <v>76.5</v>
      </c>
      <c r="O79" s="6">
        <v>0</v>
      </c>
      <c r="P79" s="6">
        <v>0.38</v>
      </c>
      <c r="Q79" s="6">
        <v>4.07</v>
      </c>
    </row>
    <row r="80" spans="1:17" customFormat="1">
      <c r="A80" s="82">
        <v>45453.75</v>
      </c>
      <c r="B80" s="6">
        <v>8.57</v>
      </c>
      <c r="C80" s="6">
        <v>4.01</v>
      </c>
      <c r="D80" s="6">
        <v>13.42</v>
      </c>
      <c r="E80" s="172" t="s">
        <v>8</v>
      </c>
      <c r="F80" s="6">
        <v>71.84</v>
      </c>
      <c r="G80" s="6">
        <v>36.76</v>
      </c>
      <c r="H80" s="6">
        <v>14.52</v>
      </c>
      <c r="I80" s="6">
        <v>4.29</v>
      </c>
      <c r="J80" s="6">
        <v>0.32</v>
      </c>
      <c r="K80" s="6">
        <v>166.1</v>
      </c>
      <c r="L80" s="6">
        <v>38.21</v>
      </c>
      <c r="M80" s="6">
        <v>37.49</v>
      </c>
      <c r="N80" s="6">
        <v>48.3</v>
      </c>
      <c r="O80" s="6">
        <v>0</v>
      </c>
      <c r="P80" s="6">
        <v>0.35</v>
      </c>
      <c r="Q80" s="6">
        <v>4.07</v>
      </c>
    </row>
    <row r="81" spans="1:17" customFormat="1">
      <c r="A81" s="82">
        <v>45453.760416666664</v>
      </c>
      <c r="B81" s="6">
        <v>8.56</v>
      </c>
      <c r="C81" s="6">
        <v>4.01</v>
      </c>
      <c r="D81" s="6">
        <v>13.41</v>
      </c>
      <c r="E81" s="6">
        <v>10.15</v>
      </c>
      <c r="F81" s="6">
        <v>70.09</v>
      </c>
      <c r="G81" s="6">
        <v>36.49</v>
      </c>
      <c r="H81" s="6">
        <v>14.79</v>
      </c>
      <c r="I81" s="6">
        <v>3.97</v>
      </c>
      <c r="J81" s="6">
        <v>0.23</v>
      </c>
      <c r="K81" s="6">
        <v>174.04</v>
      </c>
      <c r="L81" s="6">
        <v>37.21</v>
      </c>
      <c r="M81" s="6">
        <v>40.18</v>
      </c>
      <c r="N81" s="6">
        <v>21.9</v>
      </c>
      <c r="O81" s="6">
        <v>0</v>
      </c>
      <c r="P81" s="6">
        <v>0.36</v>
      </c>
      <c r="Q81" s="6">
        <v>4.0599999999999996</v>
      </c>
    </row>
    <row r="82" spans="1:17" customFormat="1">
      <c r="A82" s="82">
        <v>45453.770833333336</v>
      </c>
      <c r="B82" s="6">
        <v>8.56</v>
      </c>
      <c r="C82" s="6">
        <v>4.03</v>
      </c>
      <c r="D82" s="6">
        <v>13.42</v>
      </c>
      <c r="E82" s="6">
        <v>12.95</v>
      </c>
      <c r="F82" s="6">
        <v>68.349999999999994</v>
      </c>
      <c r="G82" s="6">
        <v>36.49</v>
      </c>
      <c r="H82" s="6">
        <v>14.79</v>
      </c>
      <c r="I82" s="6">
        <v>3.52</v>
      </c>
      <c r="J82" s="6">
        <v>0.19</v>
      </c>
      <c r="K82" s="6">
        <v>180.68</v>
      </c>
      <c r="L82" s="6">
        <v>36.36</v>
      </c>
      <c r="M82" s="6">
        <v>42.09</v>
      </c>
      <c r="N82" s="6">
        <v>6.5</v>
      </c>
      <c r="O82" s="6">
        <v>0</v>
      </c>
      <c r="P82" s="6">
        <v>0.39</v>
      </c>
      <c r="Q82" s="6">
        <v>4.01</v>
      </c>
    </row>
    <row r="83" spans="1:17" customFormat="1">
      <c r="A83" s="82">
        <v>45453.78125</v>
      </c>
      <c r="B83" s="6">
        <v>8.52</v>
      </c>
      <c r="C83" s="6">
        <v>4.05</v>
      </c>
      <c r="D83" s="6">
        <v>13.39</v>
      </c>
      <c r="E83" s="6">
        <v>12.62</v>
      </c>
      <c r="F83" s="6">
        <v>57.17</v>
      </c>
      <c r="G83" s="6">
        <v>36.49</v>
      </c>
      <c r="H83" s="6">
        <v>14.79</v>
      </c>
      <c r="I83" s="6">
        <v>3.43</v>
      </c>
      <c r="J83" s="6">
        <v>0.28999999999999998</v>
      </c>
      <c r="K83" s="6">
        <v>171.17</v>
      </c>
      <c r="L83" s="6">
        <v>35.729999999999997</v>
      </c>
      <c r="M83" s="6">
        <v>45.69</v>
      </c>
      <c r="N83" s="6">
        <v>2.7</v>
      </c>
      <c r="O83" s="6">
        <v>0</v>
      </c>
      <c r="P83" s="6">
        <v>0.42</v>
      </c>
      <c r="Q83" s="6">
        <v>3.96</v>
      </c>
    </row>
    <row r="84" spans="1:17" customFormat="1">
      <c r="A84" s="82">
        <v>45453.791666666664</v>
      </c>
      <c r="B84" s="6">
        <v>8.4600000000000009</v>
      </c>
      <c r="C84" s="6">
        <v>4.04</v>
      </c>
      <c r="D84" s="6">
        <v>13.35</v>
      </c>
      <c r="E84" s="6">
        <v>12.32</v>
      </c>
      <c r="F84" s="6">
        <v>57.01</v>
      </c>
      <c r="G84" s="6">
        <v>37.1</v>
      </c>
      <c r="H84" s="6">
        <v>14.77</v>
      </c>
      <c r="I84" s="6">
        <v>3.62</v>
      </c>
      <c r="J84" s="6">
        <v>0.22</v>
      </c>
      <c r="K84" s="6">
        <v>171.98</v>
      </c>
      <c r="L84" s="6">
        <v>35.21</v>
      </c>
      <c r="M84" s="6">
        <v>50.02</v>
      </c>
      <c r="N84" s="6">
        <v>2.1</v>
      </c>
      <c r="O84" s="6">
        <v>0</v>
      </c>
      <c r="P84" s="6">
        <v>0.54</v>
      </c>
      <c r="Q84" s="6">
        <v>3.98</v>
      </c>
    </row>
    <row r="85" spans="1:17" customFormat="1">
      <c r="A85" s="82">
        <v>45453.802083333336</v>
      </c>
      <c r="B85" s="6">
        <v>8.5</v>
      </c>
      <c r="C85" s="6">
        <v>4.01</v>
      </c>
      <c r="D85" s="6">
        <v>13.36</v>
      </c>
      <c r="E85" s="6">
        <v>11.35</v>
      </c>
      <c r="F85" s="6">
        <v>28.47</v>
      </c>
      <c r="G85" s="6">
        <v>38.69</v>
      </c>
      <c r="H85" s="6">
        <v>14.73</v>
      </c>
      <c r="I85" s="6">
        <v>4.0599999999999996</v>
      </c>
      <c r="J85" s="6">
        <v>0.22</v>
      </c>
      <c r="K85" s="6">
        <v>190.17</v>
      </c>
      <c r="L85" s="6">
        <v>33.97</v>
      </c>
      <c r="M85" s="6">
        <v>58.1</v>
      </c>
      <c r="N85" s="6">
        <v>2.4</v>
      </c>
      <c r="O85" s="6">
        <v>0</v>
      </c>
      <c r="P85" s="6">
        <v>0.52</v>
      </c>
      <c r="Q85" s="6">
        <v>4.01</v>
      </c>
    </row>
    <row r="86" spans="1:17" customFormat="1">
      <c r="A86" s="82">
        <v>45453.8125</v>
      </c>
      <c r="B86" s="6">
        <v>8.5299999999999994</v>
      </c>
      <c r="C86" s="6">
        <v>4</v>
      </c>
      <c r="D86" s="6">
        <v>13.38</v>
      </c>
      <c r="E86" s="6">
        <v>10.87</v>
      </c>
      <c r="F86" s="6">
        <v>36.909999999999997</v>
      </c>
      <c r="G86" s="6">
        <v>38.69</v>
      </c>
      <c r="H86" s="6">
        <v>14.73</v>
      </c>
      <c r="I86" s="6">
        <v>6.23</v>
      </c>
      <c r="J86" s="6">
        <v>0.13</v>
      </c>
      <c r="K86" s="6">
        <v>225.71</v>
      </c>
      <c r="L86" s="6">
        <v>33.97</v>
      </c>
      <c r="M86" s="6">
        <v>50.91</v>
      </c>
      <c r="N86" s="6">
        <v>1.4</v>
      </c>
      <c r="O86" s="6">
        <v>0</v>
      </c>
      <c r="P86" s="6">
        <v>0.47</v>
      </c>
      <c r="Q86" s="6">
        <v>3.99</v>
      </c>
    </row>
    <row r="87" spans="1:17" customFormat="1">
      <c r="A87" s="82">
        <v>45453.822916666664</v>
      </c>
      <c r="B87" s="6">
        <v>8.5399999999999991</v>
      </c>
      <c r="C87" s="6">
        <v>4.0199999999999996</v>
      </c>
      <c r="D87" s="6">
        <v>13.4</v>
      </c>
      <c r="E87" s="6">
        <v>9.68</v>
      </c>
      <c r="F87" s="6">
        <v>39.79</v>
      </c>
      <c r="G87" s="6">
        <v>38.69</v>
      </c>
      <c r="H87" s="6">
        <v>14.73</v>
      </c>
      <c r="I87" s="6">
        <v>5.27</v>
      </c>
      <c r="J87" s="6">
        <v>0.09</v>
      </c>
      <c r="K87" s="6">
        <v>211.04</v>
      </c>
      <c r="L87" s="6">
        <v>34.130000000000003</v>
      </c>
      <c r="M87" s="6">
        <v>48.25</v>
      </c>
      <c r="N87" s="6">
        <v>1.5</v>
      </c>
      <c r="O87" s="6">
        <v>0</v>
      </c>
      <c r="P87" s="6">
        <v>0.46</v>
      </c>
      <c r="Q87" s="6">
        <v>3.96</v>
      </c>
    </row>
    <row r="88" spans="1:17" customFormat="1">
      <c r="A88" s="82">
        <v>45453.833333333336</v>
      </c>
      <c r="B88" s="6">
        <v>8.5500000000000007</v>
      </c>
      <c r="C88" s="6">
        <v>4.04</v>
      </c>
      <c r="D88" s="6">
        <v>13.42</v>
      </c>
      <c r="E88" s="6">
        <v>10.73</v>
      </c>
      <c r="F88" s="6">
        <v>40.090000000000003</v>
      </c>
      <c r="G88" s="6">
        <v>37.659999999999997</v>
      </c>
      <c r="H88" s="6">
        <v>14.76</v>
      </c>
      <c r="I88" s="6">
        <v>4.74</v>
      </c>
      <c r="J88" s="6">
        <v>0.12</v>
      </c>
      <c r="K88" s="6">
        <v>214.74</v>
      </c>
      <c r="L88" s="6">
        <v>34</v>
      </c>
      <c r="M88" s="6">
        <v>48.01</v>
      </c>
      <c r="N88" s="6">
        <v>1.4</v>
      </c>
      <c r="O88" s="6">
        <v>0</v>
      </c>
      <c r="P88" s="6">
        <v>0.49</v>
      </c>
      <c r="Q88" s="6">
        <v>3.98</v>
      </c>
    </row>
    <row r="89" spans="1:17" customFormat="1">
      <c r="A89" s="82">
        <v>45453.84375</v>
      </c>
      <c r="B89" s="6">
        <v>8.56</v>
      </c>
      <c r="C89" s="6">
        <v>4.04</v>
      </c>
      <c r="D89" s="6">
        <v>13.42</v>
      </c>
      <c r="E89" s="6">
        <v>9.1</v>
      </c>
      <c r="F89" s="6">
        <v>34.200000000000003</v>
      </c>
      <c r="G89" s="6">
        <v>34.979999999999997</v>
      </c>
      <c r="H89" s="6">
        <v>14.83</v>
      </c>
      <c r="I89" s="6">
        <v>4.88</v>
      </c>
      <c r="J89" s="6">
        <v>0.16</v>
      </c>
      <c r="K89" s="6">
        <v>230.23</v>
      </c>
      <c r="L89" s="6">
        <v>33.78</v>
      </c>
      <c r="M89" s="6">
        <v>48.79</v>
      </c>
      <c r="N89" s="6">
        <v>1.7</v>
      </c>
      <c r="O89" s="6">
        <v>0</v>
      </c>
      <c r="P89" s="6">
        <v>0.45</v>
      </c>
      <c r="Q89" s="6">
        <v>3.99</v>
      </c>
    </row>
    <row r="90" spans="1:17" customFormat="1">
      <c r="A90" s="82">
        <v>45453.854166666664</v>
      </c>
      <c r="B90" s="6">
        <v>8.5399999999999991</v>
      </c>
      <c r="C90" s="6">
        <v>4.04</v>
      </c>
      <c r="D90" s="6">
        <v>13.41</v>
      </c>
      <c r="E90" s="6">
        <v>8.15</v>
      </c>
      <c r="F90" s="6">
        <v>35.47</v>
      </c>
      <c r="G90" s="6">
        <v>34.979999999999997</v>
      </c>
      <c r="H90" s="6">
        <v>14.83</v>
      </c>
      <c r="I90" s="6">
        <v>5.25</v>
      </c>
      <c r="J90" s="6">
        <v>0.12</v>
      </c>
      <c r="K90" s="6">
        <v>202.79</v>
      </c>
      <c r="L90" s="6">
        <v>33.74</v>
      </c>
      <c r="M90" s="6">
        <v>48.75</v>
      </c>
      <c r="N90" s="6">
        <v>1.7</v>
      </c>
      <c r="O90" s="6">
        <v>0</v>
      </c>
      <c r="P90" s="6">
        <v>0.45</v>
      </c>
      <c r="Q90" s="6">
        <v>3.98</v>
      </c>
    </row>
    <row r="91" spans="1:17" customFormat="1">
      <c r="A91" s="82">
        <v>45453.864583333336</v>
      </c>
      <c r="B91" s="6">
        <v>8.51</v>
      </c>
      <c r="C91" s="6">
        <v>4.07</v>
      </c>
      <c r="D91" s="6">
        <v>13.4</v>
      </c>
      <c r="E91" s="6">
        <v>8.06</v>
      </c>
      <c r="F91" s="6">
        <v>35.840000000000003</v>
      </c>
      <c r="G91" s="6">
        <v>34.979999999999997</v>
      </c>
      <c r="H91" s="6">
        <v>14.83</v>
      </c>
      <c r="I91" s="6">
        <v>4.71</v>
      </c>
      <c r="J91" s="6">
        <v>0.08</v>
      </c>
      <c r="K91" s="6">
        <v>221.28</v>
      </c>
      <c r="L91" s="6">
        <v>33.56</v>
      </c>
      <c r="M91" s="6">
        <v>49.28</v>
      </c>
      <c r="N91" s="6">
        <v>1.7</v>
      </c>
      <c r="O91" s="6">
        <v>0</v>
      </c>
      <c r="P91" s="6">
        <v>0.45</v>
      </c>
      <c r="Q91" s="6">
        <v>3.99</v>
      </c>
    </row>
    <row r="92" spans="1:17" customFormat="1">
      <c r="A92" s="82">
        <v>45453.875</v>
      </c>
      <c r="B92" s="6">
        <v>8.5</v>
      </c>
      <c r="C92" s="6">
        <v>4.08</v>
      </c>
      <c r="D92" s="6">
        <v>13.4</v>
      </c>
      <c r="E92" s="6">
        <v>8.1199999999999992</v>
      </c>
      <c r="F92" s="6">
        <v>24.34</v>
      </c>
      <c r="G92" s="6">
        <v>37.99</v>
      </c>
      <c r="H92" s="6">
        <v>15.28</v>
      </c>
      <c r="I92" s="6">
        <v>4.74</v>
      </c>
      <c r="J92" s="6">
        <v>0.51</v>
      </c>
      <c r="K92" s="6">
        <v>35.01</v>
      </c>
      <c r="L92" s="6">
        <v>33.770000000000003</v>
      </c>
      <c r="M92" s="6">
        <v>48.44</v>
      </c>
      <c r="N92" s="6">
        <v>0.9</v>
      </c>
      <c r="O92" s="6">
        <v>0</v>
      </c>
      <c r="P92" s="6">
        <v>0.59</v>
      </c>
      <c r="Q92" s="6">
        <v>4</v>
      </c>
    </row>
    <row r="93" spans="1:17" customFormat="1">
      <c r="A93" s="82">
        <v>45453.885416666664</v>
      </c>
      <c r="B93" s="6">
        <v>8.5</v>
      </c>
      <c r="C93" s="6">
        <v>4.04</v>
      </c>
      <c r="D93" s="6">
        <v>13.38</v>
      </c>
      <c r="E93" s="6">
        <v>11.02</v>
      </c>
      <c r="F93" s="6">
        <v>22.39</v>
      </c>
      <c r="G93" s="6">
        <v>45.83</v>
      </c>
      <c r="H93" s="6">
        <v>16.09</v>
      </c>
      <c r="I93" s="6">
        <v>4.75</v>
      </c>
      <c r="J93" s="6">
        <v>1.17</v>
      </c>
      <c r="K93" s="6">
        <v>46.84</v>
      </c>
      <c r="L93" s="6">
        <v>34.479999999999997</v>
      </c>
      <c r="M93" s="6">
        <v>45.19</v>
      </c>
      <c r="N93" s="6">
        <v>0.7</v>
      </c>
      <c r="O93" s="6">
        <v>0</v>
      </c>
      <c r="P93" s="6">
        <v>0.52</v>
      </c>
      <c r="Q93" s="6">
        <v>4.0199999999999996</v>
      </c>
    </row>
    <row r="94" spans="1:17" customFormat="1">
      <c r="A94" s="82">
        <v>45453.895833333336</v>
      </c>
      <c r="B94" s="6">
        <v>8.52</v>
      </c>
      <c r="C94" s="6">
        <v>4.04</v>
      </c>
      <c r="D94" s="6">
        <v>13.39</v>
      </c>
      <c r="E94" s="6">
        <v>17.28</v>
      </c>
      <c r="F94" s="6">
        <v>25.95</v>
      </c>
      <c r="G94" s="6">
        <v>45.83</v>
      </c>
      <c r="H94" s="6">
        <v>16.09</v>
      </c>
      <c r="I94" s="6">
        <v>5.45</v>
      </c>
      <c r="J94" s="6">
        <v>0.55000000000000004</v>
      </c>
      <c r="K94" s="6">
        <v>81.81</v>
      </c>
      <c r="L94" s="6">
        <v>34.57</v>
      </c>
      <c r="M94" s="6">
        <v>45.37</v>
      </c>
      <c r="N94" s="6">
        <v>1.7</v>
      </c>
      <c r="O94" s="6">
        <v>0</v>
      </c>
      <c r="P94" s="6">
        <v>0.48</v>
      </c>
      <c r="Q94" s="6">
        <v>4.01</v>
      </c>
    </row>
    <row r="95" spans="1:17" customFormat="1">
      <c r="A95" s="82">
        <v>45453.90625</v>
      </c>
      <c r="B95" s="6">
        <v>8.5399999999999991</v>
      </c>
      <c r="C95" s="6">
        <v>4.03</v>
      </c>
      <c r="D95" s="6">
        <v>13.4</v>
      </c>
      <c r="E95" s="6">
        <v>18.71</v>
      </c>
      <c r="F95" s="6">
        <v>18.899999999999999</v>
      </c>
      <c r="G95" s="6">
        <v>45.83</v>
      </c>
      <c r="H95" s="6">
        <v>16.09</v>
      </c>
      <c r="I95" s="6">
        <v>5.38</v>
      </c>
      <c r="J95" s="6">
        <v>0.52</v>
      </c>
      <c r="K95" s="6">
        <v>28.23</v>
      </c>
      <c r="L95" s="6">
        <v>34.409999999999997</v>
      </c>
      <c r="M95" s="6">
        <v>46.22</v>
      </c>
      <c r="N95" s="6">
        <v>1.8</v>
      </c>
      <c r="O95" s="6">
        <v>0</v>
      </c>
      <c r="P95" s="6">
        <v>0.54</v>
      </c>
      <c r="Q95" s="6">
        <v>4</v>
      </c>
    </row>
    <row r="96" spans="1:17" customFormat="1">
      <c r="A96" s="82">
        <v>45453.916666666664</v>
      </c>
      <c r="B96" s="6">
        <v>8.5399999999999991</v>
      </c>
      <c r="C96" s="6">
        <v>4.03</v>
      </c>
      <c r="D96" s="6">
        <v>13.41</v>
      </c>
      <c r="E96" s="6">
        <v>18.84</v>
      </c>
      <c r="F96" s="6">
        <v>17.77</v>
      </c>
      <c r="G96" s="6">
        <v>53.97</v>
      </c>
      <c r="H96" s="6">
        <v>16.78</v>
      </c>
      <c r="I96" s="6">
        <v>4.6500000000000004</v>
      </c>
      <c r="J96" s="6">
        <v>0.35</v>
      </c>
      <c r="K96" s="6">
        <v>69.52</v>
      </c>
      <c r="L96" s="6">
        <v>33.880000000000003</v>
      </c>
      <c r="M96" s="6">
        <v>49.55</v>
      </c>
      <c r="N96" s="6">
        <v>2</v>
      </c>
      <c r="O96" s="6">
        <v>0</v>
      </c>
      <c r="P96" s="6">
        <v>0.55000000000000004</v>
      </c>
      <c r="Q96" s="6">
        <v>4.0199999999999996</v>
      </c>
    </row>
    <row r="97" spans="1:22" customFormat="1">
      <c r="A97" s="82">
        <v>45453.927083333336</v>
      </c>
      <c r="B97" s="6">
        <v>8.5500000000000007</v>
      </c>
      <c r="C97" s="6">
        <v>4.04</v>
      </c>
      <c r="D97" s="6">
        <v>13.42</v>
      </c>
      <c r="E97" s="6">
        <v>17.61</v>
      </c>
      <c r="F97" s="6">
        <v>14.54</v>
      </c>
      <c r="G97" s="6">
        <v>75.14</v>
      </c>
      <c r="H97" s="6">
        <v>19.68</v>
      </c>
      <c r="I97" s="6">
        <v>4.9400000000000004</v>
      </c>
      <c r="J97" s="6">
        <v>0.79</v>
      </c>
      <c r="K97" s="6">
        <v>71.209999999999994</v>
      </c>
      <c r="L97" s="6">
        <v>33.65</v>
      </c>
      <c r="M97" s="6">
        <v>50.83</v>
      </c>
      <c r="N97" s="6">
        <v>2</v>
      </c>
      <c r="O97" s="6">
        <v>0</v>
      </c>
      <c r="P97" s="6">
        <v>0.51</v>
      </c>
      <c r="Q97" s="6">
        <v>4.01</v>
      </c>
    </row>
    <row r="98" spans="1:22" customFormat="1">
      <c r="A98" s="82">
        <v>45453.9375</v>
      </c>
      <c r="B98" s="6">
        <v>8.59</v>
      </c>
      <c r="C98" s="6">
        <v>4.0199999999999996</v>
      </c>
      <c r="D98" s="6">
        <v>13.44</v>
      </c>
      <c r="E98" s="6">
        <v>14.19</v>
      </c>
      <c r="F98" s="6">
        <v>16.420000000000002</v>
      </c>
      <c r="G98" s="6">
        <v>75.14</v>
      </c>
      <c r="H98" s="6">
        <v>19.68</v>
      </c>
      <c r="I98" s="6">
        <v>4.8</v>
      </c>
      <c r="J98" s="6">
        <v>0.3</v>
      </c>
      <c r="K98" s="6">
        <v>85.12</v>
      </c>
      <c r="L98" s="6">
        <v>33.369999999999997</v>
      </c>
      <c r="M98" s="6">
        <v>52.2</v>
      </c>
      <c r="N98" s="6">
        <v>2.1</v>
      </c>
      <c r="O98" s="6">
        <v>0</v>
      </c>
      <c r="P98" s="6">
        <v>0.47</v>
      </c>
      <c r="Q98" s="6">
        <v>4</v>
      </c>
    </row>
    <row r="99" spans="1:22" customFormat="1">
      <c r="A99" s="82">
        <v>45453.947916666664</v>
      </c>
      <c r="B99" s="6">
        <v>8.58</v>
      </c>
      <c r="C99" s="6">
        <v>4.01</v>
      </c>
      <c r="D99" s="6">
        <v>13.43</v>
      </c>
      <c r="E99" s="6">
        <v>10.09</v>
      </c>
      <c r="F99" s="6">
        <v>16.43</v>
      </c>
      <c r="G99" s="6">
        <v>75.14</v>
      </c>
      <c r="H99" s="6">
        <v>19.68</v>
      </c>
      <c r="I99" s="6">
        <v>5.07</v>
      </c>
      <c r="J99" s="6">
        <v>0.19</v>
      </c>
      <c r="K99" s="6">
        <v>224.01</v>
      </c>
      <c r="L99" s="6">
        <v>32.54</v>
      </c>
      <c r="M99" s="6">
        <v>56.38</v>
      </c>
      <c r="N99" s="6">
        <v>2.2999999999999998</v>
      </c>
      <c r="O99" s="6">
        <v>0</v>
      </c>
      <c r="P99" s="6">
        <v>0.48</v>
      </c>
      <c r="Q99" s="6">
        <v>3.99</v>
      </c>
    </row>
    <row r="100" spans="1:22" customFormat="1">
      <c r="A100" s="82">
        <v>45453.958333333336</v>
      </c>
      <c r="B100" s="6">
        <v>8.58</v>
      </c>
      <c r="C100" s="6">
        <v>4.01</v>
      </c>
      <c r="D100" s="6">
        <v>13.42</v>
      </c>
      <c r="E100" s="6">
        <v>9.25</v>
      </c>
      <c r="F100" s="6">
        <v>15.49</v>
      </c>
      <c r="G100" s="6">
        <v>77.41</v>
      </c>
      <c r="H100" s="6">
        <v>18.64</v>
      </c>
      <c r="I100" s="6">
        <v>5.01</v>
      </c>
      <c r="J100" s="6">
        <v>0.11</v>
      </c>
      <c r="K100" s="6">
        <v>223.73</v>
      </c>
      <c r="L100" s="6">
        <v>31.95</v>
      </c>
      <c r="M100" s="6">
        <v>58.45</v>
      </c>
      <c r="N100" s="6">
        <v>2.1</v>
      </c>
      <c r="O100" s="6">
        <v>0</v>
      </c>
      <c r="P100" s="6">
        <v>0.5</v>
      </c>
      <c r="Q100" s="6">
        <v>4</v>
      </c>
    </row>
    <row r="101" spans="1:22" customFormat="1">
      <c r="A101" s="82">
        <v>45453.96875</v>
      </c>
      <c r="B101" s="6">
        <v>8.57</v>
      </c>
      <c r="C101" s="6">
        <v>4.03</v>
      </c>
      <c r="D101" s="6">
        <v>13.43</v>
      </c>
      <c r="E101" s="6">
        <v>10.64</v>
      </c>
      <c r="F101" s="6">
        <v>14.03</v>
      </c>
      <c r="G101" s="6">
        <v>83.31</v>
      </c>
      <c r="H101" s="6">
        <v>16.690000000000001</v>
      </c>
      <c r="I101" s="6">
        <v>5.22</v>
      </c>
      <c r="J101" s="6">
        <v>0.12</v>
      </c>
      <c r="K101" s="6">
        <v>228.9</v>
      </c>
      <c r="L101" s="6">
        <v>31.6</v>
      </c>
      <c r="M101" s="6">
        <v>60.6</v>
      </c>
      <c r="N101" s="6">
        <v>2</v>
      </c>
      <c r="O101" s="6">
        <v>0</v>
      </c>
      <c r="P101" s="6">
        <v>0.5</v>
      </c>
      <c r="Q101" s="6">
        <v>4.01</v>
      </c>
    </row>
    <row r="102" spans="1:22" customFormat="1">
      <c r="A102" s="82">
        <v>45453.979166666664</v>
      </c>
      <c r="B102" s="6">
        <v>8.57</v>
      </c>
      <c r="C102" s="6">
        <v>4.0199999999999996</v>
      </c>
      <c r="D102" s="6">
        <v>13.42</v>
      </c>
      <c r="E102" s="6">
        <v>9.2100000000000009</v>
      </c>
      <c r="F102" s="6">
        <v>4.3899999999999997</v>
      </c>
      <c r="G102" s="6">
        <v>83.31</v>
      </c>
      <c r="H102" s="6">
        <v>16.690000000000001</v>
      </c>
      <c r="I102" s="6">
        <v>5.14</v>
      </c>
      <c r="J102" s="6">
        <v>0.15</v>
      </c>
      <c r="K102" s="6">
        <v>340.09</v>
      </c>
      <c r="L102" s="6">
        <v>31.61</v>
      </c>
      <c r="M102" s="6">
        <v>60.41</v>
      </c>
      <c r="N102" s="6">
        <v>1.4</v>
      </c>
      <c r="O102" s="6">
        <v>0</v>
      </c>
      <c r="P102" s="6">
        <v>0.54</v>
      </c>
      <c r="Q102" s="6">
        <v>4</v>
      </c>
    </row>
    <row r="103" spans="1:22" customFormat="1">
      <c r="A103" s="82">
        <v>45453.989583333336</v>
      </c>
      <c r="B103" s="6">
        <v>8.5299999999999994</v>
      </c>
      <c r="C103" s="6">
        <v>4.04</v>
      </c>
      <c r="D103" s="6">
        <v>13.4</v>
      </c>
      <c r="E103" s="6">
        <v>8.69</v>
      </c>
      <c r="F103" s="6">
        <v>5.55</v>
      </c>
      <c r="G103" s="6">
        <v>83.31</v>
      </c>
      <c r="H103" s="6">
        <v>16.690000000000001</v>
      </c>
      <c r="I103" s="6">
        <v>5.05</v>
      </c>
      <c r="J103" s="6">
        <v>0.11</v>
      </c>
      <c r="K103" s="6">
        <v>79.58</v>
      </c>
      <c r="L103" s="6">
        <v>31.94</v>
      </c>
      <c r="M103" s="6">
        <v>59.9</v>
      </c>
      <c r="N103" s="6">
        <v>1.4</v>
      </c>
      <c r="O103" s="6">
        <v>0</v>
      </c>
      <c r="P103" s="6">
        <v>0.55000000000000004</v>
      </c>
      <c r="Q103" s="6">
        <v>4.0199999999999996</v>
      </c>
    </row>
    <row r="104" spans="1:22" customFormat="1">
      <c r="A104" s="82">
        <v>45454</v>
      </c>
      <c r="B104" s="6">
        <v>8.51</v>
      </c>
      <c r="C104" s="6">
        <v>4.0599999999999996</v>
      </c>
      <c r="D104" s="6">
        <v>13.4</v>
      </c>
      <c r="E104" s="6">
        <v>10.31</v>
      </c>
      <c r="F104" s="6">
        <v>8.0500000000000007</v>
      </c>
      <c r="G104" s="6">
        <v>84.94</v>
      </c>
      <c r="H104" s="6">
        <v>17.96</v>
      </c>
      <c r="I104" s="6">
        <v>5.46</v>
      </c>
      <c r="J104" s="6">
        <v>0.17</v>
      </c>
      <c r="K104" s="6">
        <v>162</v>
      </c>
      <c r="L104" s="6">
        <v>32.26</v>
      </c>
      <c r="M104" s="6">
        <v>57.32</v>
      </c>
      <c r="N104" s="6">
        <v>1.2</v>
      </c>
      <c r="O104" s="6">
        <v>0</v>
      </c>
      <c r="P104" s="6">
        <v>0.55000000000000004</v>
      </c>
      <c r="Q104" s="6">
        <v>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8</v>
      </c>
      <c r="C106" s="184">
        <f>MIN(C9:C104)</f>
        <v>3.99</v>
      </c>
      <c r="D106" s="184">
        <f t="shared" ref="D106:Q106" si="0">MIN(D9:D104)</f>
        <v>12.98</v>
      </c>
      <c r="E106" s="184">
        <f t="shared" si="0"/>
        <v>3.76</v>
      </c>
      <c r="F106" s="184">
        <f t="shared" si="0"/>
        <v>4.3899999999999997</v>
      </c>
      <c r="G106" s="184">
        <f t="shared" si="0"/>
        <v>28.43</v>
      </c>
      <c r="H106" s="184">
        <f t="shared" si="0"/>
        <v>8.57</v>
      </c>
      <c r="I106" s="184">
        <f t="shared" si="0"/>
        <v>3.43</v>
      </c>
      <c r="J106" s="184">
        <f t="shared" si="0"/>
        <v>0.08</v>
      </c>
      <c r="K106" s="184">
        <f t="shared" si="0"/>
        <v>27.62</v>
      </c>
      <c r="L106" s="184">
        <f t="shared" si="0"/>
        <v>31.6</v>
      </c>
      <c r="M106" s="184">
        <f t="shared" si="0"/>
        <v>32.700000000000003</v>
      </c>
      <c r="N106" s="184">
        <f t="shared" si="0"/>
        <v>0.7</v>
      </c>
      <c r="O106" s="184">
        <f t="shared" si="0"/>
        <v>0</v>
      </c>
      <c r="P106" s="184">
        <f t="shared" si="0"/>
        <v>0.35</v>
      </c>
      <c r="Q106" s="184">
        <f t="shared" si="0"/>
        <v>3.96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8.67</v>
      </c>
      <c r="C107" s="185">
        <f t="shared" ref="C107:Q107" si="1">MAX(C9:C104)</f>
        <v>4.08</v>
      </c>
      <c r="D107" s="185">
        <f t="shared" si="1"/>
        <v>13.5</v>
      </c>
      <c r="E107" s="185">
        <f t="shared" si="1"/>
        <v>18.84</v>
      </c>
      <c r="F107" s="185">
        <f t="shared" si="1"/>
        <v>71.84</v>
      </c>
      <c r="G107" s="185">
        <f t="shared" si="1"/>
        <v>84.94</v>
      </c>
      <c r="H107" s="185">
        <f t="shared" si="1"/>
        <v>22.65</v>
      </c>
      <c r="I107" s="185">
        <f t="shared" si="1"/>
        <v>6.23</v>
      </c>
      <c r="J107" s="185">
        <f t="shared" si="1"/>
        <v>1.17</v>
      </c>
      <c r="K107" s="185">
        <f t="shared" si="1"/>
        <v>340.09</v>
      </c>
      <c r="L107" s="185">
        <f t="shared" si="1"/>
        <v>40.380000000000003</v>
      </c>
      <c r="M107" s="185">
        <f t="shared" si="1"/>
        <v>60.6</v>
      </c>
      <c r="N107" s="185">
        <f t="shared" si="1"/>
        <v>807.3</v>
      </c>
      <c r="O107" s="185">
        <f t="shared" si="1"/>
        <v>0</v>
      </c>
      <c r="P107" s="185">
        <f t="shared" si="1"/>
        <v>0.59</v>
      </c>
      <c r="Q107" s="185">
        <f t="shared" si="1"/>
        <v>4.83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8.5368750000000002</v>
      </c>
      <c r="C108" s="184">
        <f t="shared" ref="C108:Q108" si="2">AVERAGE(C9:C104)</f>
        <v>4.0293749999999999</v>
      </c>
      <c r="D108" s="184">
        <f t="shared" si="2"/>
        <v>13.401458333333329</v>
      </c>
      <c r="E108" s="184">
        <f t="shared" si="2"/>
        <v>10.818571428571429</v>
      </c>
      <c r="F108" s="184">
        <f t="shared" si="2"/>
        <v>36.365102040816325</v>
      </c>
      <c r="G108" s="184">
        <f t="shared" si="2"/>
        <v>44.450612244897968</v>
      </c>
      <c r="H108" s="184">
        <f t="shared" si="2"/>
        <v>16.012857142857147</v>
      </c>
      <c r="I108" s="184">
        <f t="shared" si="2"/>
        <v>4.673877551020408</v>
      </c>
      <c r="J108" s="184">
        <f t="shared" si="2"/>
        <v>0.33857142857142863</v>
      </c>
      <c r="K108" s="184">
        <f t="shared" si="2"/>
        <v>201.41265306122449</v>
      </c>
      <c r="L108" s="184">
        <f t="shared" si="2"/>
        <v>36.559183673469391</v>
      </c>
      <c r="M108" s="184">
        <f t="shared" si="2"/>
        <v>43.64469387755102</v>
      </c>
      <c r="N108" s="184">
        <f t="shared" si="2"/>
        <v>236.6632653061225</v>
      </c>
      <c r="O108" s="184">
        <f t="shared" si="2"/>
        <v>0</v>
      </c>
      <c r="P108" s="184">
        <f t="shared" si="2"/>
        <v>0.45020408163265313</v>
      </c>
      <c r="Q108" s="184">
        <f t="shared" si="2"/>
        <v>4.0702127659574474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8.6937401054595936E-2</v>
      </c>
      <c r="C109" s="184">
        <f t="shared" ref="C109:Q109" si="3">STDEV(C9:C104)</f>
        <v>1.8265914075711594E-2</v>
      </c>
      <c r="D109" s="184">
        <f t="shared" si="3"/>
        <v>6.750853636592552E-2</v>
      </c>
      <c r="E109" s="184">
        <f t="shared" si="3"/>
        <v>3.807041929630961</v>
      </c>
      <c r="F109" s="184">
        <f t="shared" si="3"/>
        <v>17.834708216757324</v>
      </c>
      <c r="G109" s="184">
        <f t="shared" si="3"/>
        <v>16.752099546047351</v>
      </c>
      <c r="H109" s="184">
        <f t="shared" si="3"/>
        <v>2.7990720188424119</v>
      </c>
      <c r="I109" s="184">
        <f t="shared" si="3"/>
        <v>0.56707883169849971</v>
      </c>
      <c r="J109" s="184">
        <f t="shared" si="3"/>
        <v>0.23675761163406478</v>
      </c>
      <c r="K109" s="184">
        <f t="shared" si="3"/>
        <v>84.310500353739698</v>
      </c>
      <c r="L109" s="184">
        <f t="shared" si="3"/>
        <v>2.9463401285426332</v>
      </c>
      <c r="M109" s="184">
        <f t="shared" si="3"/>
        <v>8.4689275447663643</v>
      </c>
      <c r="N109" s="184">
        <f t="shared" si="3"/>
        <v>300.87454313348331</v>
      </c>
      <c r="O109" s="184">
        <f t="shared" si="3"/>
        <v>0</v>
      </c>
      <c r="P109" s="184">
        <f t="shared" si="3"/>
        <v>6.5239615901636946E-2</v>
      </c>
      <c r="Q109" s="184">
        <f t="shared" si="3"/>
        <v>0.13326158260621054</v>
      </c>
      <c r="R109" s="188"/>
      <c r="S109" s="188"/>
      <c r="T109" s="188"/>
      <c r="U109" s="188"/>
    </row>
    <row r="110" spans="1:22">
      <c r="A110" s="183" t="s">
        <v>52</v>
      </c>
      <c r="B110" s="185">
        <v>96</v>
      </c>
      <c r="C110" s="185">
        <v>96</v>
      </c>
      <c r="D110" s="185">
        <v>96</v>
      </c>
      <c r="E110" s="185">
        <v>96</v>
      </c>
      <c r="F110" s="185">
        <v>96</v>
      </c>
      <c r="G110" s="185">
        <v>96</v>
      </c>
      <c r="H110" s="185">
        <v>96</v>
      </c>
      <c r="I110" s="185">
        <v>96</v>
      </c>
      <c r="J110" s="185">
        <v>96</v>
      </c>
      <c r="K110" s="185">
        <v>96</v>
      </c>
      <c r="L110" s="185">
        <v>96</v>
      </c>
      <c r="M110" s="185">
        <v>96</v>
      </c>
      <c r="N110" s="185">
        <v>96</v>
      </c>
      <c r="O110" s="185">
        <v>96</v>
      </c>
      <c r="P110" s="185">
        <v>96</v>
      </c>
      <c r="Q110" s="185"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45454.010416666664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45454.010416666664</v>
      </c>
      <c r="B9" s="6">
        <v>9.3699999999999992</v>
      </c>
      <c r="C9" s="6">
        <v>4.1100000000000003</v>
      </c>
      <c r="D9" s="6">
        <v>14.11</v>
      </c>
      <c r="E9" s="6">
        <v>11.01</v>
      </c>
      <c r="F9" s="6">
        <v>6.73</v>
      </c>
      <c r="G9" s="6">
        <v>89.16</v>
      </c>
      <c r="H9" s="6">
        <v>20.27</v>
      </c>
      <c r="I9" s="6">
        <v>5.52</v>
      </c>
      <c r="J9" s="6">
        <v>0.39</v>
      </c>
      <c r="K9" s="6">
        <v>24.75</v>
      </c>
      <c r="L9" s="6">
        <v>32.1</v>
      </c>
      <c r="M9" s="6">
        <v>56.69</v>
      </c>
      <c r="N9" s="6">
        <v>1.5</v>
      </c>
      <c r="O9" s="6">
        <v>0</v>
      </c>
      <c r="P9" s="6">
        <v>0.56000000000000005</v>
      </c>
      <c r="Q9" s="6">
        <v>4</v>
      </c>
    </row>
    <row r="10" spans="1:21" customFormat="1">
      <c r="A10" s="82">
        <v>45454.020833333336</v>
      </c>
      <c r="B10" s="6">
        <v>9.3800000000000008</v>
      </c>
      <c r="C10" s="6">
        <v>4.0999999999999996</v>
      </c>
      <c r="D10" s="6">
        <v>14.12</v>
      </c>
      <c r="E10" s="6">
        <v>13.51</v>
      </c>
      <c r="F10" s="6">
        <v>6.22</v>
      </c>
      <c r="G10" s="6">
        <v>89.16</v>
      </c>
      <c r="H10" s="6">
        <v>20.27</v>
      </c>
      <c r="I10" s="6">
        <v>5.7</v>
      </c>
      <c r="J10" s="6">
        <v>0.14000000000000001</v>
      </c>
      <c r="K10" s="6">
        <v>5.62</v>
      </c>
      <c r="L10" s="6">
        <v>32.159999999999997</v>
      </c>
      <c r="M10" s="6">
        <v>56.63</v>
      </c>
      <c r="N10" s="6">
        <v>1.6</v>
      </c>
      <c r="O10" s="6">
        <v>0</v>
      </c>
      <c r="P10" s="6">
        <v>0.56999999999999995</v>
      </c>
      <c r="Q10" s="6">
        <v>4.0199999999999996</v>
      </c>
    </row>
    <row r="11" spans="1:21" customFormat="1">
      <c r="A11" s="82">
        <v>45454.03125</v>
      </c>
      <c r="B11" s="6">
        <v>9.3800000000000008</v>
      </c>
      <c r="C11" s="6">
        <v>4.0599999999999996</v>
      </c>
      <c r="D11" s="6">
        <v>14.09</v>
      </c>
      <c r="E11" s="6">
        <v>14.36</v>
      </c>
      <c r="F11" s="6">
        <v>6.52</v>
      </c>
      <c r="G11" s="6">
        <v>89.16</v>
      </c>
      <c r="H11" s="6">
        <v>20.27</v>
      </c>
      <c r="I11" s="6">
        <v>5.87</v>
      </c>
      <c r="J11" s="6">
        <v>0.27</v>
      </c>
      <c r="K11" s="6">
        <v>34.83</v>
      </c>
      <c r="L11" s="6">
        <v>31.92</v>
      </c>
      <c r="M11" s="6">
        <v>57.51</v>
      </c>
      <c r="N11" s="6">
        <v>1.8</v>
      </c>
      <c r="O11" s="6">
        <v>0</v>
      </c>
      <c r="P11" s="6">
        <v>0.57999999999999996</v>
      </c>
      <c r="Q11" s="6">
        <v>4</v>
      </c>
    </row>
    <row r="12" spans="1:21" customFormat="1">
      <c r="A12" s="82">
        <v>45454.041666666664</v>
      </c>
      <c r="B12" s="6">
        <v>9.39</v>
      </c>
      <c r="C12" s="6">
        <v>4.08</v>
      </c>
      <c r="D12" s="6">
        <v>14.11</v>
      </c>
      <c r="E12" s="6">
        <v>15.13</v>
      </c>
      <c r="F12" s="6">
        <v>6.34</v>
      </c>
      <c r="G12" s="6">
        <v>90.66</v>
      </c>
      <c r="H12" s="6">
        <v>21.76</v>
      </c>
      <c r="I12" s="6">
        <v>6.05</v>
      </c>
      <c r="J12" s="6">
        <v>0.13</v>
      </c>
      <c r="K12" s="6">
        <v>320.56</v>
      </c>
      <c r="L12" s="6">
        <v>31.65</v>
      </c>
      <c r="M12" s="6">
        <v>57.5</v>
      </c>
      <c r="N12" s="6">
        <v>1.8</v>
      </c>
      <c r="O12" s="6">
        <v>0</v>
      </c>
      <c r="P12" s="6">
        <v>0.6</v>
      </c>
      <c r="Q12" s="6">
        <v>4.01</v>
      </c>
    </row>
    <row r="13" spans="1:21" customFormat="1">
      <c r="A13" s="82">
        <v>45454.052083333336</v>
      </c>
      <c r="B13" s="6">
        <v>9.3800000000000008</v>
      </c>
      <c r="C13" s="6">
        <v>4.09</v>
      </c>
      <c r="D13" s="6">
        <v>14.11</v>
      </c>
      <c r="E13" s="6">
        <v>15.05</v>
      </c>
      <c r="F13" s="6">
        <v>5.8</v>
      </c>
      <c r="G13" s="6">
        <v>94.55</v>
      </c>
      <c r="H13" s="6">
        <v>24.48</v>
      </c>
      <c r="I13" s="6">
        <v>6.3</v>
      </c>
      <c r="J13" s="6">
        <v>0.5</v>
      </c>
      <c r="K13" s="6">
        <v>59.53</v>
      </c>
      <c r="L13" s="6">
        <v>31.58</v>
      </c>
      <c r="M13" s="6">
        <v>57.29</v>
      </c>
      <c r="N13" s="6">
        <v>1.7</v>
      </c>
      <c r="O13" s="6">
        <v>0</v>
      </c>
      <c r="P13" s="6">
        <v>0.6</v>
      </c>
      <c r="Q13" s="6">
        <v>4.03</v>
      </c>
    </row>
    <row r="14" spans="1:21" customFormat="1">
      <c r="A14" s="82">
        <v>45454.0625</v>
      </c>
      <c r="B14" s="6">
        <v>9.41</v>
      </c>
      <c r="C14" s="6">
        <v>4.07</v>
      </c>
      <c r="D14" s="6">
        <v>14.12</v>
      </c>
      <c r="E14" s="6">
        <v>13.56</v>
      </c>
      <c r="F14" s="6">
        <v>10.99</v>
      </c>
      <c r="G14" s="6">
        <v>94.55</v>
      </c>
      <c r="H14" s="6">
        <v>24.48</v>
      </c>
      <c r="I14" s="6">
        <v>6.39</v>
      </c>
      <c r="J14" s="6">
        <v>0.56000000000000005</v>
      </c>
      <c r="K14" s="6">
        <v>48.1</v>
      </c>
      <c r="L14" s="6">
        <v>31.46</v>
      </c>
      <c r="M14" s="6">
        <v>57.86</v>
      </c>
      <c r="N14" s="6">
        <v>1.7</v>
      </c>
      <c r="O14" s="6">
        <v>0</v>
      </c>
      <c r="P14" s="6">
        <v>0.62</v>
      </c>
      <c r="Q14" s="6">
        <v>4.03</v>
      </c>
    </row>
    <row r="15" spans="1:21" customFormat="1">
      <c r="A15" s="82">
        <v>45454.072916666664</v>
      </c>
      <c r="B15" s="6">
        <v>9.41</v>
      </c>
      <c r="C15" s="6">
        <v>4.07</v>
      </c>
      <c r="D15" s="6">
        <v>14.12</v>
      </c>
      <c r="E15" s="6">
        <v>13.58</v>
      </c>
      <c r="F15" s="6">
        <v>4.0199999999999996</v>
      </c>
      <c r="G15" s="6">
        <v>94.55</v>
      </c>
      <c r="H15" s="6">
        <v>24.48</v>
      </c>
      <c r="I15" s="6">
        <v>6.46</v>
      </c>
      <c r="J15" s="6">
        <v>0.1</v>
      </c>
      <c r="K15" s="6">
        <v>103.9</v>
      </c>
      <c r="L15" s="6">
        <v>31.23</v>
      </c>
      <c r="M15" s="6">
        <v>60.84</v>
      </c>
      <c r="N15" s="6">
        <v>2</v>
      </c>
      <c r="O15" s="6">
        <v>0</v>
      </c>
      <c r="P15" s="6">
        <v>0.63</v>
      </c>
      <c r="Q15" s="6">
        <v>4.0199999999999996</v>
      </c>
    </row>
    <row r="16" spans="1:21" customFormat="1">
      <c r="A16" s="82">
        <v>45454.083333333336</v>
      </c>
      <c r="B16" s="6">
        <v>9.41</v>
      </c>
      <c r="C16" s="6">
        <v>4.12</v>
      </c>
      <c r="D16" s="6">
        <v>14.15</v>
      </c>
      <c r="E16" s="6">
        <v>12.17</v>
      </c>
      <c r="F16" s="6">
        <v>2.2400000000000002</v>
      </c>
      <c r="G16" s="6">
        <v>97.73</v>
      </c>
      <c r="H16" s="6">
        <v>26.21</v>
      </c>
      <c r="I16" s="6">
        <v>6.49</v>
      </c>
      <c r="J16" s="6">
        <v>0.2</v>
      </c>
      <c r="K16" s="6">
        <v>183.02</v>
      </c>
      <c r="L16" s="6">
        <v>30.53</v>
      </c>
      <c r="M16" s="6">
        <v>66.44</v>
      </c>
      <c r="N16" s="6">
        <v>2.2000000000000002</v>
      </c>
      <c r="O16" s="6">
        <v>0</v>
      </c>
      <c r="P16" s="6">
        <v>0.64</v>
      </c>
      <c r="Q16" s="6">
        <v>4.0199999999999996</v>
      </c>
    </row>
    <row r="17" spans="1:17" customFormat="1">
      <c r="A17" s="82">
        <v>45454.09375</v>
      </c>
      <c r="B17" s="6">
        <v>9.4</v>
      </c>
      <c r="C17" s="6">
        <v>4.13</v>
      </c>
      <c r="D17" s="6">
        <v>14.14</v>
      </c>
      <c r="E17" s="6">
        <v>11.87</v>
      </c>
      <c r="F17" s="6">
        <v>1.26</v>
      </c>
      <c r="G17" s="6">
        <v>106.49</v>
      </c>
      <c r="H17" s="6">
        <v>29.44</v>
      </c>
      <c r="I17" s="6">
        <v>6.71</v>
      </c>
      <c r="J17" s="6">
        <v>0.2</v>
      </c>
      <c r="K17" s="6">
        <v>172.18</v>
      </c>
      <c r="L17" s="6">
        <v>30.09</v>
      </c>
      <c r="M17" s="6">
        <v>69.64</v>
      </c>
      <c r="N17" s="6">
        <v>2</v>
      </c>
      <c r="O17" s="6">
        <v>0</v>
      </c>
      <c r="P17" s="6">
        <v>0.64</v>
      </c>
      <c r="Q17" s="6">
        <v>4.01</v>
      </c>
    </row>
    <row r="18" spans="1:17" customFormat="1">
      <c r="A18" s="82">
        <v>45454.104166666664</v>
      </c>
      <c r="B18" s="6">
        <v>9.43</v>
      </c>
      <c r="C18" s="6">
        <v>4.0999999999999996</v>
      </c>
      <c r="D18" s="6">
        <v>14.15</v>
      </c>
      <c r="E18" s="6">
        <v>16.52</v>
      </c>
      <c r="F18" s="6">
        <v>1.1299999999999999</v>
      </c>
      <c r="G18" s="6">
        <v>106.49</v>
      </c>
      <c r="H18" s="6">
        <v>29.44</v>
      </c>
      <c r="I18" s="6">
        <v>6.82</v>
      </c>
      <c r="J18" s="6">
        <v>0.2</v>
      </c>
      <c r="K18" s="6">
        <v>207.89</v>
      </c>
      <c r="L18" s="6">
        <v>29.78</v>
      </c>
      <c r="M18" s="6">
        <v>70.92</v>
      </c>
      <c r="N18" s="6">
        <v>1.9</v>
      </c>
      <c r="O18" s="6">
        <v>0</v>
      </c>
      <c r="P18" s="6">
        <v>0.64</v>
      </c>
      <c r="Q18" s="6">
        <v>4.01</v>
      </c>
    </row>
    <row r="19" spans="1:17" customFormat="1">
      <c r="A19" s="82">
        <v>45454.114583333336</v>
      </c>
      <c r="B19" s="6">
        <v>9.43</v>
      </c>
      <c r="C19" s="6">
        <v>4.08</v>
      </c>
      <c r="D19" s="6">
        <v>14.14</v>
      </c>
      <c r="E19" s="6">
        <v>16.34</v>
      </c>
      <c r="F19" s="6">
        <v>1.04</v>
      </c>
      <c r="G19" s="6">
        <v>106.49</v>
      </c>
      <c r="H19" s="6">
        <v>29.44</v>
      </c>
      <c r="I19" s="6">
        <v>6.83</v>
      </c>
      <c r="J19" s="6">
        <v>0.24</v>
      </c>
      <c r="K19" s="6">
        <v>217.76</v>
      </c>
      <c r="L19" s="6">
        <v>29.7</v>
      </c>
      <c r="M19" s="6">
        <v>71.39</v>
      </c>
      <c r="N19" s="6">
        <v>1.8</v>
      </c>
      <c r="O19" s="6">
        <v>0</v>
      </c>
      <c r="P19" s="6">
        <v>0.64</v>
      </c>
      <c r="Q19" s="6">
        <v>4.0199999999999996</v>
      </c>
    </row>
    <row r="20" spans="1:17" customFormat="1">
      <c r="A20" s="82">
        <v>45454.125</v>
      </c>
      <c r="B20" s="6">
        <v>9.43</v>
      </c>
      <c r="C20" s="6">
        <v>4.09</v>
      </c>
      <c r="D20" s="6">
        <v>14.14</v>
      </c>
      <c r="E20" s="6">
        <v>14.91</v>
      </c>
      <c r="F20" s="6">
        <v>1.21</v>
      </c>
      <c r="G20" s="6">
        <v>107.21</v>
      </c>
      <c r="H20" s="6">
        <v>29.39</v>
      </c>
      <c r="I20" s="6">
        <v>6.9</v>
      </c>
      <c r="J20" s="6">
        <v>0.18</v>
      </c>
      <c r="K20" s="6">
        <v>240.58</v>
      </c>
      <c r="L20" s="6">
        <v>29.25</v>
      </c>
      <c r="M20" s="6">
        <v>73.739999999999995</v>
      </c>
      <c r="N20" s="6">
        <v>1.9</v>
      </c>
      <c r="O20" s="6">
        <v>0</v>
      </c>
      <c r="P20" s="6">
        <v>0.64</v>
      </c>
      <c r="Q20" s="6">
        <v>4.01</v>
      </c>
    </row>
    <row r="21" spans="1:17" customFormat="1">
      <c r="A21" s="82">
        <v>45454.135416666664</v>
      </c>
      <c r="B21" s="6">
        <v>9.42</v>
      </c>
      <c r="C21" s="6">
        <v>4.09</v>
      </c>
      <c r="D21" s="6">
        <v>14.14</v>
      </c>
      <c r="E21" s="6">
        <v>14.41</v>
      </c>
      <c r="F21" s="6">
        <v>1.19</v>
      </c>
      <c r="G21" s="6">
        <v>109.18</v>
      </c>
      <c r="H21" s="6">
        <v>29.3</v>
      </c>
      <c r="I21" s="6">
        <v>6.85</v>
      </c>
      <c r="J21" s="6">
        <v>0.19</v>
      </c>
      <c r="K21" s="6">
        <v>275.2</v>
      </c>
      <c r="L21" s="6">
        <v>29.62</v>
      </c>
      <c r="M21" s="6">
        <v>71.27</v>
      </c>
      <c r="N21" s="6">
        <v>1.2</v>
      </c>
      <c r="O21" s="6">
        <v>0</v>
      </c>
      <c r="P21" s="6">
        <v>0.65</v>
      </c>
      <c r="Q21" s="6">
        <v>4.0199999999999996</v>
      </c>
    </row>
    <row r="22" spans="1:17" customFormat="1">
      <c r="A22" s="82">
        <v>45454.145833333336</v>
      </c>
      <c r="B22" s="6">
        <v>9.42</v>
      </c>
      <c r="C22" s="6">
        <v>4.08</v>
      </c>
      <c r="D22" s="6">
        <v>14.13</v>
      </c>
      <c r="E22" s="6">
        <v>14.35</v>
      </c>
      <c r="F22" s="6">
        <v>1.0900000000000001</v>
      </c>
      <c r="G22" s="6">
        <v>109.18</v>
      </c>
      <c r="H22" s="6">
        <v>29.3</v>
      </c>
      <c r="I22" s="6">
        <v>6.85</v>
      </c>
      <c r="J22" s="6">
        <v>0.13</v>
      </c>
      <c r="K22" s="6">
        <v>185.41</v>
      </c>
      <c r="L22" s="6">
        <v>29.48</v>
      </c>
      <c r="M22" s="6">
        <v>72.37</v>
      </c>
      <c r="N22" s="6">
        <v>1.8</v>
      </c>
      <c r="O22" s="6">
        <v>0</v>
      </c>
      <c r="P22" s="6">
        <v>0.66</v>
      </c>
      <c r="Q22" s="6">
        <v>4.01</v>
      </c>
    </row>
    <row r="23" spans="1:17" customFormat="1">
      <c r="A23" s="82">
        <v>45454.15625</v>
      </c>
      <c r="B23" s="6">
        <v>9.43</v>
      </c>
      <c r="C23" s="6">
        <v>4.1399999999999997</v>
      </c>
      <c r="D23" s="6">
        <v>14.18</v>
      </c>
      <c r="E23" s="6">
        <v>17.72</v>
      </c>
      <c r="F23" s="6">
        <v>2.0499999999999998</v>
      </c>
      <c r="G23" s="6">
        <v>109.18</v>
      </c>
      <c r="H23" s="6">
        <v>29.3</v>
      </c>
      <c r="I23" s="6">
        <v>6.87</v>
      </c>
      <c r="J23" s="6">
        <v>0.01</v>
      </c>
      <c r="K23" s="6">
        <v>103.72</v>
      </c>
      <c r="L23" s="6">
        <v>29.55</v>
      </c>
      <c r="M23" s="6">
        <v>71.75</v>
      </c>
      <c r="N23" s="6">
        <v>1.5</v>
      </c>
      <c r="O23" s="6">
        <v>0</v>
      </c>
      <c r="P23" s="6">
        <v>0.66</v>
      </c>
      <c r="Q23" s="6">
        <v>4</v>
      </c>
    </row>
    <row r="24" spans="1:17" customFormat="1">
      <c r="A24" s="82">
        <v>45454.166666666664</v>
      </c>
      <c r="B24" s="6">
        <v>9.4600000000000009</v>
      </c>
      <c r="C24" s="6">
        <v>4.1399999999999997</v>
      </c>
      <c r="D24" s="6">
        <v>14.2</v>
      </c>
      <c r="E24" s="6">
        <v>22.06</v>
      </c>
      <c r="F24" s="6">
        <v>1.02</v>
      </c>
      <c r="G24" s="6">
        <v>108.83</v>
      </c>
      <c r="H24" s="6">
        <v>29.72</v>
      </c>
      <c r="I24" s="6">
        <v>6.99</v>
      </c>
      <c r="J24" s="6">
        <v>0.27</v>
      </c>
      <c r="K24" s="6">
        <v>327.44</v>
      </c>
      <c r="L24" s="6">
        <v>29.72</v>
      </c>
      <c r="M24" s="6">
        <v>68.69</v>
      </c>
      <c r="N24" s="6">
        <v>1.2</v>
      </c>
      <c r="O24" s="6">
        <v>0</v>
      </c>
      <c r="P24" s="6">
        <v>0.69</v>
      </c>
      <c r="Q24" s="6">
        <v>4</v>
      </c>
    </row>
    <row r="25" spans="1:17" customFormat="1">
      <c r="A25" s="82">
        <v>45454.177083333336</v>
      </c>
      <c r="B25" s="6">
        <v>9.4700000000000006</v>
      </c>
      <c r="C25" s="6">
        <v>4.13</v>
      </c>
      <c r="D25" s="6">
        <v>14.2</v>
      </c>
      <c r="E25" s="6">
        <v>22.76</v>
      </c>
      <c r="F25" s="6">
        <v>6.73</v>
      </c>
      <c r="G25" s="6">
        <v>107.85</v>
      </c>
      <c r="H25" s="6">
        <v>31.74</v>
      </c>
      <c r="I25" s="6">
        <v>6.96</v>
      </c>
      <c r="J25" s="6">
        <v>0.5</v>
      </c>
      <c r="K25" s="6">
        <v>313.51</v>
      </c>
      <c r="L25" s="6">
        <v>30.02</v>
      </c>
      <c r="M25" s="6">
        <v>64.86</v>
      </c>
      <c r="N25" s="6">
        <v>1.3</v>
      </c>
      <c r="O25" s="6">
        <v>0</v>
      </c>
      <c r="P25" s="6">
        <v>0.67</v>
      </c>
      <c r="Q25" s="6">
        <v>4</v>
      </c>
    </row>
    <row r="26" spans="1:17" customFormat="1">
      <c r="A26" s="82">
        <v>45454.1875</v>
      </c>
      <c r="B26" s="6">
        <v>9.48</v>
      </c>
      <c r="C26" s="6">
        <v>4.13</v>
      </c>
      <c r="D26" s="6">
        <v>14.21</v>
      </c>
      <c r="E26" s="6">
        <v>19.14</v>
      </c>
      <c r="F26" s="6">
        <v>10.39</v>
      </c>
      <c r="G26" s="6">
        <v>107.85</v>
      </c>
      <c r="H26" s="6">
        <v>31.74</v>
      </c>
      <c r="I26" s="6">
        <v>7.3</v>
      </c>
      <c r="J26" s="6">
        <v>0.34</v>
      </c>
      <c r="K26" s="6">
        <v>296.23</v>
      </c>
      <c r="L26" s="6">
        <v>30.02</v>
      </c>
      <c r="M26" s="6">
        <v>62.95</v>
      </c>
      <c r="N26" s="6">
        <v>1.6</v>
      </c>
      <c r="O26" s="6">
        <v>0</v>
      </c>
      <c r="P26" s="6">
        <v>0.55000000000000004</v>
      </c>
      <c r="Q26" s="6">
        <v>4</v>
      </c>
    </row>
    <row r="27" spans="1:17" customFormat="1">
      <c r="A27" s="82">
        <v>45454.197916666664</v>
      </c>
      <c r="B27" s="6">
        <v>9.48</v>
      </c>
      <c r="C27" s="6">
        <v>4.0999999999999996</v>
      </c>
      <c r="D27" s="6">
        <v>14.2</v>
      </c>
      <c r="E27" s="6">
        <v>15.78</v>
      </c>
      <c r="F27" s="6">
        <v>13.71</v>
      </c>
      <c r="G27" s="6">
        <v>107.85</v>
      </c>
      <c r="H27" s="6">
        <v>31.74</v>
      </c>
      <c r="I27" s="6">
        <v>6.47</v>
      </c>
      <c r="J27" s="6">
        <v>0.25</v>
      </c>
      <c r="K27" s="6">
        <v>253.17</v>
      </c>
      <c r="L27" s="6">
        <v>30</v>
      </c>
      <c r="M27" s="6">
        <v>62.96</v>
      </c>
      <c r="N27" s="6">
        <v>1.9</v>
      </c>
      <c r="O27" s="6">
        <v>0</v>
      </c>
      <c r="P27" s="6">
        <v>0.56999999999999995</v>
      </c>
      <c r="Q27" s="6">
        <v>4.0199999999999996</v>
      </c>
    </row>
    <row r="28" spans="1:17" customFormat="1">
      <c r="A28" s="82">
        <v>45454.208333333336</v>
      </c>
      <c r="B28" s="6">
        <v>9.48</v>
      </c>
      <c r="C28" s="6">
        <v>4.09</v>
      </c>
      <c r="D28" s="6">
        <v>14.19</v>
      </c>
      <c r="E28" s="6">
        <v>13.66</v>
      </c>
      <c r="F28" s="6">
        <v>17.760000000000002</v>
      </c>
      <c r="G28" s="6">
        <v>102.23</v>
      </c>
      <c r="H28" s="6">
        <v>29.03</v>
      </c>
      <c r="I28" s="6">
        <v>6.06</v>
      </c>
      <c r="J28" s="6">
        <v>0.18</v>
      </c>
      <c r="K28" s="6">
        <v>214.69</v>
      </c>
      <c r="L28" s="6">
        <v>29.46</v>
      </c>
      <c r="M28" s="6">
        <v>66.86</v>
      </c>
      <c r="N28" s="6">
        <v>2.2000000000000002</v>
      </c>
      <c r="O28" s="6">
        <v>0</v>
      </c>
      <c r="P28" s="6">
        <v>0.42</v>
      </c>
      <c r="Q28" s="6">
        <v>4.04</v>
      </c>
    </row>
    <row r="29" spans="1:17" customFormat="1">
      <c r="A29" s="82">
        <v>45454.21875</v>
      </c>
      <c r="B29" s="6">
        <v>9.44</v>
      </c>
      <c r="C29" s="6">
        <v>4.07</v>
      </c>
      <c r="D29" s="6">
        <v>14.15</v>
      </c>
      <c r="E29" s="6">
        <v>12.62</v>
      </c>
      <c r="F29" s="6">
        <v>20.51</v>
      </c>
      <c r="G29" s="6">
        <v>87.62</v>
      </c>
      <c r="H29" s="6">
        <v>23.97</v>
      </c>
      <c r="I29" s="6">
        <v>7.37</v>
      </c>
      <c r="J29" s="6">
        <v>0.21</v>
      </c>
      <c r="K29" s="6">
        <v>169.37</v>
      </c>
      <c r="L29" s="6">
        <v>29.51</v>
      </c>
      <c r="M29" s="6">
        <v>66.62</v>
      </c>
      <c r="N29" s="6">
        <v>3.6</v>
      </c>
      <c r="O29" s="6">
        <v>0</v>
      </c>
      <c r="P29" s="6">
        <v>0.41</v>
      </c>
      <c r="Q29" s="6">
        <v>4.04</v>
      </c>
    </row>
    <row r="30" spans="1:17" customFormat="1">
      <c r="A30" s="82">
        <v>45454.229166666664</v>
      </c>
      <c r="B30" s="6">
        <v>9.4</v>
      </c>
      <c r="C30" s="6">
        <v>4.0999999999999996</v>
      </c>
      <c r="D30" s="6">
        <v>14.13</v>
      </c>
      <c r="E30" s="6">
        <v>13.15</v>
      </c>
      <c r="F30" s="6">
        <v>20.25</v>
      </c>
      <c r="G30" s="6">
        <v>87.62</v>
      </c>
      <c r="H30" s="6">
        <v>23.97</v>
      </c>
      <c r="I30" s="6">
        <v>6.09</v>
      </c>
      <c r="J30" s="6">
        <v>0.12</v>
      </c>
      <c r="K30" s="6">
        <v>201.26</v>
      </c>
      <c r="L30" s="6">
        <v>29.1</v>
      </c>
      <c r="M30" s="6">
        <v>68.58</v>
      </c>
      <c r="N30" s="6">
        <v>8.1999999999999993</v>
      </c>
      <c r="O30" s="6">
        <v>0</v>
      </c>
      <c r="P30" s="6">
        <v>0.43</v>
      </c>
      <c r="Q30" s="6">
        <v>4.05</v>
      </c>
    </row>
    <row r="31" spans="1:17" customFormat="1">
      <c r="A31" s="82">
        <v>45454.239583333336</v>
      </c>
      <c r="B31" s="6">
        <v>9.43</v>
      </c>
      <c r="C31" s="6">
        <v>4.0999999999999996</v>
      </c>
      <c r="D31" s="6">
        <v>14.15</v>
      </c>
      <c r="E31" s="6">
        <v>13.56</v>
      </c>
      <c r="F31" s="6">
        <v>20.43</v>
      </c>
      <c r="G31" s="6">
        <v>87.62</v>
      </c>
      <c r="H31" s="6">
        <v>23.97</v>
      </c>
      <c r="I31" s="6">
        <v>7.98</v>
      </c>
      <c r="J31" s="6">
        <v>0.2</v>
      </c>
      <c r="K31" s="6">
        <v>175.04</v>
      </c>
      <c r="L31" s="6">
        <v>29.25</v>
      </c>
      <c r="M31" s="6">
        <v>68.19</v>
      </c>
      <c r="N31" s="6">
        <v>15</v>
      </c>
      <c r="O31" s="6">
        <v>0</v>
      </c>
      <c r="P31" s="6">
        <v>0.54</v>
      </c>
      <c r="Q31" s="6">
        <v>4.03</v>
      </c>
    </row>
    <row r="32" spans="1:17" customFormat="1">
      <c r="A32" s="82">
        <v>45454.25</v>
      </c>
      <c r="B32" s="6">
        <v>9.43</v>
      </c>
      <c r="C32" s="6">
        <v>4.07</v>
      </c>
      <c r="D32" s="6">
        <v>14.14</v>
      </c>
      <c r="E32" s="6">
        <v>13.4</v>
      </c>
      <c r="F32" s="6">
        <v>17.14</v>
      </c>
      <c r="G32" s="6">
        <v>82.96</v>
      </c>
      <c r="H32" s="6">
        <v>22.51</v>
      </c>
      <c r="I32" s="6">
        <v>8.6999999999999993</v>
      </c>
      <c r="J32" s="6">
        <v>0.18</v>
      </c>
      <c r="K32" s="6">
        <v>179.29</v>
      </c>
      <c r="L32" s="6">
        <v>29.1</v>
      </c>
      <c r="M32" s="6">
        <v>70.900000000000006</v>
      </c>
      <c r="N32" s="6">
        <v>33.299999999999997</v>
      </c>
      <c r="O32" s="6">
        <v>0</v>
      </c>
      <c r="P32" s="6">
        <v>0.56000000000000005</v>
      </c>
      <c r="Q32" s="6">
        <v>4.03</v>
      </c>
    </row>
    <row r="33" spans="1:17" customFormat="1">
      <c r="A33" s="82">
        <v>45454.260416666664</v>
      </c>
      <c r="B33" s="6">
        <v>9.39</v>
      </c>
      <c r="C33" s="6">
        <v>4.0999999999999996</v>
      </c>
      <c r="D33" s="6">
        <v>14.12</v>
      </c>
      <c r="E33" s="6">
        <v>13.67</v>
      </c>
      <c r="F33" s="6">
        <v>16.350000000000001</v>
      </c>
      <c r="G33" s="6">
        <v>70.13</v>
      </c>
      <c r="H33" s="6">
        <v>19.79</v>
      </c>
      <c r="I33" s="6">
        <v>9.9700000000000006</v>
      </c>
      <c r="J33" s="6">
        <v>0.31</v>
      </c>
      <c r="K33" s="6">
        <v>242.11</v>
      </c>
      <c r="L33" s="6">
        <v>29.56</v>
      </c>
      <c r="M33" s="6">
        <v>66.75</v>
      </c>
      <c r="N33" s="6">
        <v>46</v>
      </c>
      <c r="O33" s="6">
        <v>0</v>
      </c>
      <c r="P33" s="6">
        <v>0.48</v>
      </c>
      <c r="Q33" s="6">
        <v>4.05</v>
      </c>
    </row>
    <row r="34" spans="1:17" customFormat="1">
      <c r="A34" s="82">
        <v>45454.270833333336</v>
      </c>
      <c r="B34" s="6">
        <v>9.3800000000000008</v>
      </c>
      <c r="C34" s="6">
        <v>4.0999999999999996</v>
      </c>
      <c r="D34" s="6">
        <v>14.11</v>
      </c>
      <c r="E34" s="6">
        <v>14.39</v>
      </c>
      <c r="F34" s="6">
        <v>19.34</v>
      </c>
      <c r="G34" s="6">
        <v>70.13</v>
      </c>
      <c r="H34" s="6">
        <v>19.79</v>
      </c>
      <c r="I34" s="6">
        <v>10.46</v>
      </c>
      <c r="J34" s="6">
        <v>0.5</v>
      </c>
      <c r="K34" s="6">
        <v>260.17</v>
      </c>
      <c r="L34" s="6">
        <v>30.02</v>
      </c>
      <c r="M34" s="6">
        <v>63.8</v>
      </c>
      <c r="N34" s="6">
        <v>54.4</v>
      </c>
      <c r="O34" s="6">
        <v>0</v>
      </c>
      <c r="P34" s="6">
        <v>0.46</v>
      </c>
      <c r="Q34" s="6">
        <v>4.0199999999999996</v>
      </c>
    </row>
    <row r="35" spans="1:17" customFormat="1">
      <c r="A35" s="82">
        <v>45454.28125</v>
      </c>
      <c r="B35" s="6">
        <v>9.41</v>
      </c>
      <c r="C35" s="6">
        <v>4.0999999999999996</v>
      </c>
      <c r="D35" s="6">
        <v>14.14</v>
      </c>
      <c r="E35" s="6">
        <v>12.57</v>
      </c>
      <c r="F35" s="6">
        <v>18.48</v>
      </c>
      <c r="G35" s="6">
        <v>70.13</v>
      </c>
      <c r="H35" s="6">
        <v>19.79</v>
      </c>
      <c r="I35" s="6">
        <v>8.08</v>
      </c>
      <c r="J35" s="6">
        <v>0.72</v>
      </c>
      <c r="K35" s="6">
        <v>263.37</v>
      </c>
      <c r="L35" s="6">
        <v>30.44</v>
      </c>
      <c r="M35" s="6">
        <v>61.87</v>
      </c>
      <c r="N35" s="6">
        <v>67.400000000000006</v>
      </c>
      <c r="O35" s="6">
        <v>0</v>
      </c>
      <c r="P35" s="6">
        <v>0.46</v>
      </c>
      <c r="Q35" s="6">
        <v>4.03</v>
      </c>
    </row>
    <row r="36" spans="1:17" customFormat="1">
      <c r="A36" s="82">
        <v>45454.291666666664</v>
      </c>
      <c r="B36" s="6">
        <v>9.43</v>
      </c>
      <c r="C36" s="6">
        <v>4.0999999999999996</v>
      </c>
      <c r="D36" s="6">
        <v>14.15</v>
      </c>
      <c r="E36" s="6">
        <v>11.82</v>
      </c>
      <c r="F36" s="6">
        <v>16.93</v>
      </c>
      <c r="G36" s="6">
        <v>66.75</v>
      </c>
      <c r="H36" s="6">
        <v>20.6</v>
      </c>
      <c r="I36" s="6">
        <v>6.89</v>
      </c>
      <c r="J36" s="6">
        <v>0.85</v>
      </c>
      <c r="K36" s="6">
        <v>264.39</v>
      </c>
      <c r="L36" s="6">
        <v>30.8</v>
      </c>
      <c r="M36" s="6">
        <v>61.81</v>
      </c>
      <c r="N36" s="6">
        <v>85.4</v>
      </c>
      <c r="O36" s="6">
        <v>0</v>
      </c>
      <c r="P36" s="6">
        <v>0.45</v>
      </c>
      <c r="Q36" s="6">
        <v>4.0199999999999996</v>
      </c>
    </row>
    <row r="37" spans="1:17" customFormat="1">
      <c r="A37" s="82">
        <v>45454.302083333336</v>
      </c>
      <c r="B37" s="6">
        <v>9.41</v>
      </c>
      <c r="C37" s="6">
        <v>4.07</v>
      </c>
      <c r="D37" s="6">
        <v>14.13</v>
      </c>
      <c r="E37" s="6">
        <v>10.69</v>
      </c>
      <c r="F37" s="6">
        <v>12.17</v>
      </c>
      <c r="G37" s="6">
        <v>57.98</v>
      </c>
      <c r="H37" s="6">
        <v>22.11</v>
      </c>
      <c r="I37" s="6">
        <v>6.74</v>
      </c>
      <c r="J37" s="6">
        <v>0.93</v>
      </c>
      <c r="K37" s="6">
        <v>264.44</v>
      </c>
      <c r="L37" s="6">
        <v>31.12</v>
      </c>
      <c r="M37" s="6">
        <v>61.4</v>
      </c>
      <c r="N37" s="6">
        <v>92.6</v>
      </c>
      <c r="O37" s="6">
        <v>0</v>
      </c>
      <c r="P37" s="6">
        <v>0.47</v>
      </c>
      <c r="Q37" s="6">
        <v>4.03</v>
      </c>
    </row>
    <row r="38" spans="1:17" customFormat="1">
      <c r="A38" s="82">
        <v>45454.3125</v>
      </c>
      <c r="B38" s="6">
        <v>9.36</v>
      </c>
      <c r="C38" s="6">
        <v>4.04</v>
      </c>
      <c r="D38" s="6">
        <v>14.07</v>
      </c>
      <c r="E38" s="6">
        <v>10.96</v>
      </c>
      <c r="F38" s="6">
        <v>16.010000000000002</v>
      </c>
      <c r="G38" s="6">
        <v>57.98</v>
      </c>
      <c r="H38" s="6">
        <v>22.11</v>
      </c>
      <c r="I38" s="6">
        <v>6.6</v>
      </c>
      <c r="J38" s="6">
        <v>0.94</v>
      </c>
      <c r="K38" s="6">
        <v>268.02</v>
      </c>
      <c r="L38" s="6">
        <v>31.71</v>
      </c>
      <c r="M38" s="6">
        <v>60.55</v>
      </c>
      <c r="N38" s="6">
        <v>116.3</v>
      </c>
      <c r="O38" s="6">
        <v>0</v>
      </c>
      <c r="P38" s="6">
        <v>0.44</v>
      </c>
      <c r="Q38" s="6">
        <v>4.0199999999999996</v>
      </c>
    </row>
    <row r="39" spans="1:17" customFormat="1">
      <c r="A39" s="82">
        <v>45454.322916666664</v>
      </c>
      <c r="B39" s="6">
        <v>9.33</v>
      </c>
      <c r="C39" s="6">
        <v>4.08</v>
      </c>
      <c r="D39" s="6">
        <v>14.06</v>
      </c>
      <c r="E39" s="6">
        <v>12.32</v>
      </c>
      <c r="F39" s="6">
        <v>15.78</v>
      </c>
      <c r="G39" s="6">
        <v>57.98</v>
      </c>
      <c r="H39" s="6">
        <v>22.11</v>
      </c>
      <c r="I39" s="6">
        <v>6.84</v>
      </c>
      <c r="J39" s="6">
        <v>0.95</v>
      </c>
      <c r="K39" s="6">
        <v>266.95999999999998</v>
      </c>
      <c r="L39" s="6">
        <v>32.28</v>
      </c>
      <c r="M39" s="6">
        <v>59.09</v>
      </c>
      <c r="N39" s="6">
        <v>127.4</v>
      </c>
      <c r="O39" s="6">
        <v>0</v>
      </c>
      <c r="P39" s="6">
        <v>0.45</v>
      </c>
      <c r="Q39" s="6">
        <v>4.03</v>
      </c>
    </row>
    <row r="40" spans="1:17" customFormat="1">
      <c r="A40" s="82">
        <v>45454.333333333336</v>
      </c>
      <c r="B40" s="6">
        <v>9.35</v>
      </c>
      <c r="C40" s="6">
        <v>4.09</v>
      </c>
      <c r="D40" s="6">
        <v>14.08</v>
      </c>
      <c r="E40" s="6">
        <v>14.56</v>
      </c>
      <c r="F40" s="6">
        <v>13.39</v>
      </c>
      <c r="G40" s="6">
        <v>53.9</v>
      </c>
      <c r="H40" s="6">
        <v>21.53</v>
      </c>
      <c r="I40" s="6">
        <v>6.37</v>
      </c>
      <c r="J40" s="6">
        <v>0.99</v>
      </c>
      <c r="K40" s="6">
        <v>274.82</v>
      </c>
      <c r="L40" s="6">
        <v>32.72</v>
      </c>
      <c r="M40" s="6">
        <v>57.86</v>
      </c>
      <c r="N40" s="6">
        <v>137.30000000000001</v>
      </c>
      <c r="O40" s="6">
        <v>0</v>
      </c>
      <c r="P40" s="6">
        <v>0.48</v>
      </c>
      <c r="Q40" s="6">
        <v>4.03</v>
      </c>
    </row>
    <row r="41" spans="1:17" customFormat="1">
      <c r="A41" s="82">
        <v>45454.34375</v>
      </c>
      <c r="B41" s="6">
        <v>9.39</v>
      </c>
      <c r="C41" s="6">
        <v>4.0999999999999996</v>
      </c>
      <c r="D41" s="6">
        <v>14.12</v>
      </c>
      <c r="E41" s="6">
        <v>12.88</v>
      </c>
      <c r="F41" s="6">
        <v>8.61</v>
      </c>
      <c r="G41" s="6">
        <v>43.3</v>
      </c>
      <c r="H41" s="6">
        <v>20.48</v>
      </c>
      <c r="I41" s="6">
        <v>6.39</v>
      </c>
      <c r="J41" s="6">
        <v>0.93</v>
      </c>
      <c r="K41" s="6">
        <v>274.98</v>
      </c>
      <c r="L41" s="6">
        <v>33.24</v>
      </c>
      <c r="M41" s="6">
        <v>56</v>
      </c>
      <c r="N41" s="6">
        <v>147.1</v>
      </c>
      <c r="O41" s="6">
        <v>0</v>
      </c>
      <c r="P41" s="6">
        <v>0.52</v>
      </c>
      <c r="Q41" s="6">
        <v>4.01</v>
      </c>
    </row>
    <row r="42" spans="1:17" customFormat="1">
      <c r="A42" s="82">
        <v>45454.354166666664</v>
      </c>
      <c r="B42" s="6">
        <v>9.44</v>
      </c>
      <c r="C42" s="6">
        <v>4.08</v>
      </c>
      <c r="D42" s="6">
        <v>14.15</v>
      </c>
      <c r="E42" s="6">
        <v>14.67</v>
      </c>
      <c r="F42" s="6">
        <v>11.15</v>
      </c>
      <c r="G42" s="6">
        <v>43.3</v>
      </c>
      <c r="H42" s="6">
        <v>20.48</v>
      </c>
      <c r="I42" s="6">
        <v>6.9</v>
      </c>
      <c r="J42" s="6">
        <v>0.91</v>
      </c>
      <c r="K42" s="6">
        <v>292.35000000000002</v>
      </c>
      <c r="L42" s="6">
        <v>33.92</v>
      </c>
      <c r="M42" s="6">
        <v>54.27</v>
      </c>
      <c r="N42" s="6">
        <v>155.9</v>
      </c>
      <c r="O42" s="6">
        <v>0</v>
      </c>
      <c r="P42" s="6">
        <v>0.6</v>
      </c>
      <c r="Q42" s="6">
        <v>4.0199999999999996</v>
      </c>
    </row>
    <row r="43" spans="1:17" customFormat="1">
      <c r="A43" s="82">
        <v>45454.364583333336</v>
      </c>
      <c r="B43" s="6">
        <v>9.4499999999999993</v>
      </c>
      <c r="C43" s="6">
        <v>4.09</v>
      </c>
      <c r="D43" s="6">
        <v>14.17</v>
      </c>
      <c r="E43" s="6">
        <v>15.7</v>
      </c>
      <c r="F43" s="6">
        <v>10.31</v>
      </c>
      <c r="G43" s="6">
        <v>43.3</v>
      </c>
      <c r="H43" s="6">
        <v>20.48</v>
      </c>
      <c r="I43" s="6">
        <v>7.3</v>
      </c>
      <c r="J43" s="6">
        <v>1.06</v>
      </c>
      <c r="K43" s="6">
        <v>290.76</v>
      </c>
      <c r="L43" s="6">
        <v>34.46</v>
      </c>
      <c r="M43" s="6">
        <v>52.6</v>
      </c>
      <c r="N43" s="6">
        <v>164.6</v>
      </c>
      <c r="O43" s="6">
        <v>0</v>
      </c>
      <c r="P43" s="6">
        <v>0.65</v>
      </c>
      <c r="Q43" s="6">
        <v>4.01</v>
      </c>
    </row>
    <row r="44" spans="1:17" customFormat="1">
      <c r="A44" s="82">
        <v>45454.375</v>
      </c>
      <c r="B44" s="6">
        <v>9.48</v>
      </c>
      <c r="C44" s="6">
        <v>4.09</v>
      </c>
      <c r="D44" s="6">
        <v>14.19</v>
      </c>
      <c r="E44" s="6">
        <v>13.43</v>
      </c>
      <c r="F44" s="6">
        <v>13.86</v>
      </c>
      <c r="G44" s="6">
        <v>45.09</v>
      </c>
      <c r="H44" s="6">
        <v>20.420000000000002</v>
      </c>
      <c r="I44" s="6">
        <v>7.57</v>
      </c>
      <c r="J44" s="6">
        <v>0.93</v>
      </c>
      <c r="K44" s="6">
        <v>301.19</v>
      </c>
      <c r="L44" s="6">
        <v>34.74</v>
      </c>
      <c r="M44" s="6">
        <v>50.37</v>
      </c>
      <c r="N44" s="6">
        <v>172.1</v>
      </c>
      <c r="O44" s="6">
        <v>0</v>
      </c>
      <c r="P44" s="6">
        <v>0.59</v>
      </c>
      <c r="Q44" s="6">
        <v>4.01</v>
      </c>
    </row>
    <row r="45" spans="1:17" customFormat="1">
      <c r="A45" s="82">
        <v>45454.385416666664</v>
      </c>
      <c r="B45" s="6">
        <v>9.51</v>
      </c>
      <c r="C45" s="6">
        <v>4.09</v>
      </c>
      <c r="D45" s="6">
        <v>14.22</v>
      </c>
      <c r="E45" s="6">
        <v>13.65</v>
      </c>
      <c r="F45" s="6">
        <v>12.79</v>
      </c>
      <c r="G45" s="6">
        <v>49.75</v>
      </c>
      <c r="H45" s="6">
        <v>20.3</v>
      </c>
      <c r="I45" s="6">
        <v>7.95</v>
      </c>
      <c r="J45" s="6">
        <v>0.91</v>
      </c>
      <c r="K45" s="6">
        <v>293.51</v>
      </c>
      <c r="L45" s="6">
        <v>35.380000000000003</v>
      </c>
      <c r="M45" s="6">
        <v>48.65</v>
      </c>
      <c r="N45" s="6">
        <v>182.3</v>
      </c>
      <c r="O45" s="6">
        <v>0</v>
      </c>
      <c r="P45" s="6">
        <v>0.6</v>
      </c>
      <c r="Q45" s="6">
        <v>4.01</v>
      </c>
    </row>
    <row r="46" spans="1:17" customFormat="1">
      <c r="A46" s="82">
        <v>45454.395833333336</v>
      </c>
      <c r="B46" s="6">
        <v>9.4700000000000006</v>
      </c>
      <c r="C46" s="6">
        <v>4.13</v>
      </c>
      <c r="D46" s="6">
        <v>14.2</v>
      </c>
      <c r="E46" s="6">
        <v>12.86</v>
      </c>
      <c r="F46" s="6">
        <v>16.39</v>
      </c>
      <c r="G46" s="6">
        <v>49.75</v>
      </c>
      <c r="H46" s="6">
        <v>20.3</v>
      </c>
      <c r="I46" s="6">
        <v>7.51</v>
      </c>
      <c r="J46" s="6">
        <v>1.4</v>
      </c>
      <c r="K46" s="6">
        <v>323.49</v>
      </c>
      <c r="L46" s="6">
        <v>35.799999999999997</v>
      </c>
      <c r="M46" s="6">
        <v>46.64</v>
      </c>
      <c r="N46" s="6">
        <v>192.5</v>
      </c>
      <c r="O46" s="6">
        <v>0</v>
      </c>
      <c r="P46" s="6">
        <v>0.6</v>
      </c>
      <c r="Q46" s="6">
        <v>4.01</v>
      </c>
    </row>
    <row r="47" spans="1:17" customFormat="1">
      <c r="A47" s="82">
        <v>45454.40625</v>
      </c>
      <c r="B47" s="6">
        <v>9.44</v>
      </c>
      <c r="C47" s="6">
        <v>4.12</v>
      </c>
      <c r="D47" s="6">
        <v>14.17</v>
      </c>
      <c r="E47" s="6">
        <v>12.4</v>
      </c>
      <c r="F47" s="6">
        <v>14.9</v>
      </c>
      <c r="G47" s="6">
        <v>49.75</v>
      </c>
      <c r="H47" s="6">
        <v>20.3</v>
      </c>
      <c r="I47" s="6">
        <v>7.42</v>
      </c>
      <c r="J47" s="6">
        <v>0.95</v>
      </c>
      <c r="K47" s="6">
        <v>312.23</v>
      </c>
      <c r="L47" s="6">
        <v>36.229999999999997</v>
      </c>
      <c r="M47" s="6">
        <v>45.51</v>
      </c>
      <c r="N47" s="6">
        <v>200.8</v>
      </c>
      <c r="O47" s="6">
        <v>0</v>
      </c>
      <c r="P47" s="6">
        <v>0.57999999999999996</v>
      </c>
      <c r="Q47" s="6">
        <v>4.0199999999999996</v>
      </c>
    </row>
    <row r="48" spans="1:17" customFormat="1">
      <c r="A48" s="82">
        <v>45454.416666666664</v>
      </c>
      <c r="B48" s="6">
        <v>9.4600000000000009</v>
      </c>
      <c r="C48" s="6">
        <v>4.09</v>
      </c>
      <c r="D48" s="6">
        <v>14.17</v>
      </c>
      <c r="E48" s="6">
        <v>12.09</v>
      </c>
      <c r="F48" s="6">
        <v>20.2</v>
      </c>
      <c r="G48" s="6">
        <v>49.84</v>
      </c>
      <c r="H48" s="6">
        <v>20.190000000000001</v>
      </c>
      <c r="I48" s="6">
        <v>7.22</v>
      </c>
      <c r="J48" s="6">
        <v>1.1000000000000001</v>
      </c>
      <c r="K48" s="6">
        <v>324.25</v>
      </c>
      <c r="L48" s="6">
        <v>36.51</v>
      </c>
      <c r="M48" s="6">
        <v>43.95</v>
      </c>
      <c r="N48" s="6">
        <v>211.5</v>
      </c>
      <c r="O48" s="6">
        <v>0</v>
      </c>
      <c r="P48" s="6">
        <v>0.56999999999999995</v>
      </c>
      <c r="Q48" s="6">
        <v>4.0199999999999996</v>
      </c>
    </row>
    <row r="49" spans="1:17" customFormat="1">
      <c r="A49" s="82">
        <v>45454.427083333336</v>
      </c>
      <c r="B49" s="6">
        <v>9.44</v>
      </c>
      <c r="C49" s="6">
        <v>4.1500000000000004</v>
      </c>
      <c r="D49" s="6">
        <v>14.19</v>
      </c>
      <c r="E49" s="6">
        <v>11.39</v>
      </c>
      <c r="F49" s="6">
        <v>18.62</v>
      </c>
      <c r="G49" s="6">
        <v>50.1</v>
      </c>
      <c r="H49" s="6">
        <v>19.66</v>
      </c>
      <c r="I49" s="6">
        <v>7.04</v>
      </c>
      <c r="J49" s="6">
        <v>1.1599999999999999</v>
      </c>
      <c r="K49" s="6">
        <v>309.77</v>
      </c>
      <c r="L49" s="6">
        <v>36.869999999999997</v>
      </c>
      <c r="M49" s="6">
        <v>43.37</v>
      </c>
      <c r="N49" s="6">
        <v>218.5</v>
      </c>
      <c r="O49" s="6">
        <v>0</v>
      </c>
      <c r="P49" s="6">
        <v>0.57999999999999996</v>
      </c>
      <c r="Q49" s="6">
        <v>4.01</v>
      </c>
    </row>
    <row r="50" spans="1:17" customFormat="1">
      <c r="A50" s="82">
        <v>45454.4375</v>
      </c>
      <c r="B50" s="6">
        <v>9.4600000000000009</v>
      </c>
      <c r="C50" s="6">
        <v>4.1100000000000003</v>
      </c>
      <c r="D50" s="6">
        <v>14.19</v>
      </c>
      <c r="E50" s="6">
        <v>12.37</v>
      </c>
      <c r="F50" s="6">
        <v>16.27</v>
      </c>
      <c r="G50" s="6">
        <v>50.1</v>
      </c>
      <c r="H50" s="6">
        <v>19.66</v>
      </c>
      <c r="I50" s="6">
        <v>6.86</v>
      </c>
      <c r="J50" s="6">
        <v>1.32</v>
      </c>
      <c r="K50" s="6">
        <v>301.93</v>
      </c>
      <c r="L50" s="6">
        <v>37.25</v>
      </c>
      <c r="M50" s="6">
        <v>42.08</v>
      </c>
      <c r="N50" s="6">
        <v>228.7</v>
      </c>
      <c r="O50" s="6">
        <v>0</v>
      </c>
      <c r="P50" s="6">
        <v>0.57999999999999996</v>
      </c>
      <c r="Q50" s="6">
        <v>4.0199999999999996</v>
      </c>
    </row>
    <row r="51" spans="1:17" customFormat="1">
      <c r="A51" s="82">
        <v>45454.447916666664</v>
      </c>
      <c r="B51" s="6">
        <v>9.4600000000000009</v>
      </c>
      <c r="C51" s="6">
        <v>4.09</v>
      </c>
      <c r="D51" s="6">
        <v>14.18</v>
      </c>
      <c r="E51" s="6">
        <v>13.15</v>
      </c>
      <c r="F51" s="6">
        <v>27.66</v>
      </c>
      <c r="G51" s="6">
        <v>50.1</v>
      </c>
      <c r="H51" s="6">
        <v>19.66</v>
      </c>
      <c r="I51" s="6">
        <v>6.8</v>
      </c>
      <c r="J51" s="6">
        <v>1.25</v>
      </c>
      <c r="K51" s="6">
        <v>315.91000000000003</v>
      </c>
      <c r="L51" s="6">
        <v>37.58</v>
      </c>
      <c r="M51" s="6">
        <v>40.69</v>
      </c>
      <c r="N51" s="6">
        <v>238.1</v>
      </c>
      <c r="O51" s="6">
        <v>0</v>
      </c>
      <c r="P51" s="6">
        <v>0.57999999999999996</v>
      </c>
      <c r="Q51" s="6">
        <v>4.0199999999999996</v>
      </c>
    </row>
    <row r="52" spans="1:17" customFormat="1">
      <c r="A52" s="82">
        <v>45454.458333333336</v>
      </c>
      <c r="B52" s="6">
        <v>9.4600000000000009</v>
      </c>
      <c r="C52" s="6">
        <v>4.1100000000000003</v>
      </c>
      <c r="D52" s="6">
        <v>14.19</v>
      </c>
      <c r="E52" s="6">
        <v>13.23</v>
      </c>
      <c r="F52" s="6">
        <v>19.239999999999998</v>
      </c>
      <c r="G52" s="6">
        <v>49.55</v>
      </c>
      <c r="H52" s="6">
        <v>20.7</v>
      </c>
      <c r="I52" s="6">
        <v>6.74</v>
      </c>
      <c r="J52" s="6">
        <v>1.43</v>
      </c>
      <c r="K52" s="6">
        <v>294.24</v>
      </c>
      <c r="L52" s="6">
        <v>37.83</v>
      </c>
      <c r="M52" s="6">
        <v>39.39</v>
      </c>
      <c r="N52" s="6">
        <v>249.8</v>
      </c>
      <c r="O52" s="6">
        <v>0</v>
      </c>
      <c r="P52" s="6">
        <v>0.56999999999999995</v>
      </c>
      <c r="Q52" s="6">
        <v>4.03</v>
      </c>
    </row>
    <row r="53" spans="1:17" customFormat="1">
      <c r="A53" s="82">
        <v>45454.46875</v>
      </c>
      <c r="B53" s="6">
        <v>9.48</v>
      </c>
      <c r="C53" s="6">
        <v>4.09</v>
      </c>
      <c r="D53" s="6">
        <v>14.19</v>
      </c>
      <c r="E53" s="6">
        <v>13.57</v>
      </c>
      <c r="F53" s="6">
        <v>22.24</v>
      </c>
      <c r="G53" s="6">
        <v>48.13</v>
      </c>
      <c r="H53" s="6">
        <v>22.6</v>
      </c>
      <c r="I53" s="6">
        <v>6.49</v>
      </c>
      <c r="J53" s="6">
        <v>1.42</v>
      </c>
      <c r="K53" s="6">
        <v>302.85000000000002</v>
      </c>
      <c r="L53" s="6">
        <v>38.26</v>
      </c>
      <c r="M53" s="6">
        <v>38.049999999999997</v>
      </c>
      <c r="N53" s="6">
        <v>263.89999999999998</v>
      </c>
      <c r="O53" s="6">
        <v>0</v>
      </c>
      <c r="P53" s="6">
        <v>0.56999999999999995</v>
      </c>
      <c r="Q53" s="6">
        <v>4.0199999999999996</v>
      </c>
    </row>
    <row r="54" spans="1:17" customFormat="1">
      <c r="A54" s="82">
        <v>45454.479166666664</v>
      </c>
      <c r="B54" s="6">
        <v>9.49</v>
      </c>
      <c r="C54" s="6">
        <v>4.09</v>
      </c>
      <c r="D54" s="6">
        <v>14.2</v>
      </c>
      <c r="E54" s="6">
        <v>15.44</v>
      </c>
      <c r="F54" s="6">
        <v>28.77</v>
      </c>
      <c r="G54" s="6">
        <v>48.13</v>
      </c>
      <c r="H54" s="6">
        <v>22.6</v>
      </c>
      <c r="I54" s="6">
        <v>6.5</v>
      </c>
      <c r="J54" s="6">
        <v>1.21</v>
      </c>
      <c r="K54" s="6">
        <v>307.7</v>
      </c>
      <c r="L54" s="6">
        <v>39</v>
      </c>
      <c r="M54" s="6">
        <v>36.18</v>
      </c>
      <c r="N54" s="6">
        <v>281.7</v>
      </c>
      <c r="O54" s="6">
        <v>0</v>
      </c>
      <c r="P54" s="6">
        <v>0.56000000000000005</v>
      </c>
      <c r="Q54" s="6">
        <v>4</v>
      </c>
    </row>
    <row r="55" spans="1:17" customFormat="1">
      <c r="A55" s="82">
        <v>45454.489583333336</v>
      </c>
      <c r="B55" s="6">
        <v>9.4700000000000006</v>
      </c>
      <c r="C55" s="6">
        <v>4.1100000000000003</v>
      </c>
      <c r="D55" s="6">
        <v>14.19</v>
      </c>
      <c r="E55" s="6">
        <v>14.88</v>
      </c>
      <c r="F55" s="6">
        <v>28.64</v>
      </c>
      <c r="G55" s="6">
        <v>48.13</v>
      </c>
      <c r="H55" s="6">
        <v>22.6</v>
      </c>
      <c r="I55" s="6">
        <v>6.47</v>
      </c>
      <c r="J55" s="6">
        <v>0.84</v>
      </c>
      <c r="K55" s="6">
        <v>300.41000000000003</v>
      </c>
      <c r="L55" s="6">
        <v>39.119999999999997</v>
      </c>
      <c r="M55" s="6">
        <v>34.92</v>
      </c>
      <c r="N55" s="6">
        <v>469.7</v>
      </c>
      <c r="O55" s="6">
        <v>0</v>
      </c>
      <c r="P55" s="6">
        <v>0.54</v>
      </c>
      <c r="Q55" s="6">
        <v>4.0199999999999996</v>
      </c>
    </row>
    <row r="56" spans="1:17" customFormat="1">
      <c r="A56" s="82">
        <v>45454.5</v>
      </c>
      <c r="B56" s="6">
        <v>9.49</v>
      </c>
      <c r="C56" s="6">
        <v>4.07</v>
      </c>
      <c r="D56" s="6">
        <v>14.19</v>
      </c>
      <c r="E56" s="6">
        <v>15.96</v>
      </c>
      <c r="F56" s="6">
        <v>29.11</v>
      </c>
      <c r="G56" s="6">
        <v>49.68</v>
      </c>
      <c r="H56" s="6">
        <v>23.16</v>
      </c>
      <c r="I56" s="6">
        <v>6.16</v>
      </c>
      <c r="J56" s="6">
        <v>1.03</v>
      </c>
      <c r="K56" s="6">
        <v>312.33</v>
      </c>
      <c r="L56" s="6">
        <v>39.43</v>
      </c>
      <c r="M56" s="6">
        <v>34.01</v>
      </c>
      <c r="N56" s="6">
        <v>722.7</v>
      </c>
      <c r="O56" s="6">
        <v>0</v>
      </c>
      <c r="P56" s="6">
        <v>0.54</v>
      </c>
      <c r="Q56" s="6">
        <v>4.0199999999999996</v>
      </c>
    </row>
    <row r="57" spans="1:17" customFormat="1">
      <c r="A57" s="82">
        <v>45454.510416666664</v>
      </c>
      <c r="B57" s="6">
        <v>9.48</v>
      </c>
      <c r="C57" s="6">
        <v>4.1100000000000003</v>
      </c>
      <c r="D57" s="6">
        <v>14.19</v>
      </c>
      <c r="E57" s="6">
        <v>16.64</v>
      </c>
      <c r="F57" s="6">
        <v>42.25</v>
      </c>
      <c r="G57" s="6">
        <v>53.7</v>
      </c>
      <c r="H57" s="6">
        <v>24.13</v>
      </c>
      <c r="I57" s="6">
        <v>6.11</v>
      </c>
      <c r="J57" s="6">
        <v>0.59</v>
      </c>
      <c r="K57" s="6">
        <v>310.37</v>
      </c>
      <c r="L57" s="6">
        <v>39.950000000000003</v>
      </c>
      <c r="M57" s="6">
        <v>32.909999999999997</v>
      </c>
      <c r="N57" s="6">
        <v>723.4</v>
      </c>
      <c r="O57" s="6">
        <v>0</v>
      </c>
      <c r="P57" s="6">
        <v>0.52</v>
      </c>
      <c r="Q57" s="6">
        <v>4.0199999999999996</v>
      </c>
    </row>
    <row r="58" spans="1:17" customFormat="1">
      <c r="A58" s="82">
        <v>45454.520833333336</v>
      </c>
      <c r="B58" s="6">
        <v>9.5</v>
      </c>
      <c r="C58" s="6">
        <v>4.0999999999999996</v>
      </c>
      <c r="D58" s="6">
        <v>14.21</v>
      </c>
      <c r="E58" s="6">
        <v>16.899999999999999</v>
      </c>
      <c r="F58" s="6">
        <v>28.42</v>
      </c>
      <c r="G58" s="6">
        <v>53.7</v>
      </c>
      <c r="H58" s="6">
        <v>24.13</v>
      </c>
      <c r="I58" s="6">
        <v>5.91</v>
      </c>
      <c r="J58" s="6">
        <v>1.21</v>
      </c>
      <c r="K58" s="6">
        <v>315.12</v>
      </c>
      <c r="L58" s="6">
        <v>40.6</v>
      </c>
      <c r="M58" s="6">
        <v>30.99</v>
      </c>
      <c r="N58" s="6">
        <v>731.6</v>
      </c>
      <c r="O58" s="6">
        <v>0</v>
      </c>
      <c r="P58" s="6">
        <v>0.52</v>
      </c>
      <c r="Q58" s="6">
        <v>4.0199999999999996</v>
      </c>
    </row>
    <row r="59" spans="1:17" customFormat="1">
      <c r="A59" s="82">
        <v>45454.53125</v>
      </c>
      <c r="B59" s="6">
        <v>9.5</v>
      </c>
      <c r="C59" s="6">
        <v>4.08</v>
      </c>
      <c r="D59" s="6">
        <v>14.2</v>
      </c>
      <c r="E59" s="6">
        <v>16.57</v>
      </c>
      <c r="F59" s="6">
        <v>43.96</v>
      </c>
      <c r="G59" s="6">
        <v>53.7</v>
      </c>
      <c r="H59" s="6">
        <v>24.13</v>
      </c>
      <c r="I59" s="6">
        <v>5.51</v>
      </c>
      <c r="J59" s="6">
        <v>0.86</v>
      </c>
      <c r="K59" s="6">
        <v>338.46</v>
      </c>
      <c r="L59" s="6">
        <v>40.57</v>
      </c>
      <c r="M59" s="6">
        <v>30.17</v>
      </c>
      <c r="N59" s="6">
        <v>668.8</v>
      </c>
      <c r="O59" s="6">
        <v>0</v>
      </c>
      <c r="P59" s="6">
        <v>0.5</v>
      </c>
      <c r="Q59" s="6">
        <v>4.03</v>
      </c>
    </row>
    <row r="60" spans="1:17" customFormat="1">
      <c r="A60" s="82">
        <v>45454.541666666664</v>
      </c>
      <c r="B60" s="6">
        <v>9.51</v>
      </c>
      <c r="C60" s="6">
        <v>4.07</v>
      </c>
      <c r="D60" s="6">
        <v>14.2</v>
      </c>
      <c r="E60" s="6">
        <v>17.989999999999998</v>
      </c>
      <c r="F60" s="6">
        <v>39.380000000000003</v>
      </c>
      <c r="G60" s="6">
        <v>54.53</v>
      </c>
      <c r="H60" s="6">
        <v>23.72</v>
      </c>
      <c r="I60" s="6">
        <v>5.67</v>
      </c>
      <c r="J60" s="6">
        <v>1.29</v>
      </c>
      <c r="K60" s="6">
        <v>312.42</v>
      </c>
      <c r="L60" s="6">
        <v>41.04</v>
      </c>
      <c r="M60" s="6">
        <v>29.87</v>
      </c>
      <c r="N60" s="6">
        <v>701.7</v>
      </c>
      <c r="O60" s="6">
        <v>0</v>
      </c>
      <c r="P60" s="6">
        <v>0.48</v>
      </c>
      <c r="Q60" s="6">
        <v>4.01</v>
      </c>
    </row>
    <row r="61" spans="1:17" customFormat="1">
      <c r="A61" s="82">
        <v>45454.552083333336</v>
      </c>
      <c r="B61" s="6">
        <v>9.5</v>
      </c>
      <c r="C61" s="6">
        <v>4.07</v>
      </c>
      <c r="D61" s="6">
        <v>14.2</v>
      </c>
      <c r="E61" s="6">
        <v>18.690000000000001</v>
      </c>
      <c r="F61" s="6">
        <v>46.78</v>
      </c>
      <c r="G61" s="6">
        <v>56.68</v>
      </c>
      <c r="H61" s="6">
        <v>23</v>
      </c>
      <c r="I61" s="6">
        <v>5.19</v>
      </c>
      <c r="J61" s="6">
        <v>0.73</v>
      </c>
      <c r="K61" s="6">
        <v>335.45</v>
      </c>
      <c r="L61" s="6">
        <v>40.75</v>
      </c>
      <c r="M61" s="6">
        <v>29.63</v>
      </c>
      <c r="N61" s="6">
        <v>333.8</v>
      </c>
      <c r="O61" s="6">
        <v>0</v>
      </c>
      <c r="P61" s="6">
        <v>0.5</v>
      </c>
      <c r="Q61" s="6">
        <v>4.01</v>
      </c>
    </row>
    <row r="62" spans="1:17" customFormat="1">
      <c r="A62" s="82">
        <v>45454.5625</v>
      </c>
      <c r="B62" s="6">
        <v>9.44</v>
      </c>
      <c r="C62" s="6">
        <v>4.07</v>
      </c>
      <c r="D62" s="6">
        <v>14.15</v>
      </c>
      <c r="E62" s="6">
        <v>22.71</v>
      </c>
      <c r="F62" s="6">
        <v>53.2</v>
      </c>
      <c r="G62" s="6">
        <v>56.68</v>
      </c>
      <c r="H62" s="6">
        <v>23</v>
      </c>
      <c r="I62" s="6">
        <v>5.18</v>
      </c>
      <c r="J62" s="6">
        <v>0.61</v>
      </c>
      <c r="K62" s="6">
        <v>54.07</v>
      </c>
      <c r="L62" s="6">
        <v>41.45</v>
      </c>
      <c r="M62" s="6">
        <v>28.46</v>
      </c>
      <c r="N62" s="6">
        <v>397.9</v>
      </c>
      <c r="O62" s="6">
        <v>0</v>
      </c>
      <c r="P62" s="6">
        <v>0.5</v>
      </c>
      <c r="Q62" s="6">
        <v>3.99</v>
      </c>
    </row>
    <row r="63" spans="1:17" customFormat="1">
      <c r="A63" s="82">
        <v>45454.572916666664</v>
      </c>
      <c r="B63" s="6">
        <v>9.3800000000000008</v>
      </c>
      <c r="C63" s="6">
        <v>4.07</v>
      </c>
      <c r="D63" s="6">
        <v>14.1</v>
      </c>
      <c r="E63" s="6">
        <v>22.78</v>
      </c>
      <c r="F63" s="6">
        <v>53.73</v>
      </c>
      <c r="G63" s="6">
        <v>56.68</v>
      </c>
      <c r="H63" s="6">
        <v>23</v>
      </c>
      <c r="I63" s="6">
        <v>5.17</v>
      </c>
      <c r="J63" s="6">
        <v>0.88</v>
      </c>
      <c r="K63" s="6">
        <v>32.83</v>
      </c>
      <c r="L63" s="6">
        <v>41.62</v>
      </c>
      <c r="M63" s="6">
        <v>27.82</v>
      </c>
      <c r="N63" s="6">
        <v>313.7</v>
      </c>
      <c r="O63" s="6">
        <v>0</v>
      </c>
      <c r="P63" s="6">
        <v>0.49</v>
      </c>
      <c r="Q63" s="6">
        <v>3.97</v>
      </c>
    </row>
    <row r="64" spans="1:17" customFormat="1">
      <c r="A64" s="82">
        <v>45454.583333333336</v>
      </c>
      <c r="B64" s="6">
        <v>9.32</v>
      </c>
      <c r="C64" s="6">
        <v>4.05</v>
      </c>
      <c r="D64" s="6">
        <v>14.05</v>
      </c>
      <c r="E64" s="6">
        <v>21.5</v>
      </c>
      <c r="F64" s="6">
        <v>42.73</v>
      </c>
      <c r="G64" s="6">
        <v>57.39</v>
      </c>
      <c r="H64" s="6">
        <v>23.19</v>
      </c>
      <c r="I64" s="6">
        <v>5.12</v>
      </c>
      <c r="J64" s="6">
        <v>0.55000000000000004</v>
      </c>
      <c r="K64" s="6">
        <v>336.6</v>
      </c>
      <c r="L64" s="6">
        <v>41.67</v>
      </c>
      <c r="M64" s="6">
        <v>28.22</v>
      </c>
      <c r="N64" s="6">
        <v>564.70000000000005</v>
      </c>
      <c r="O64" s="6">
        <v>0</v>
      </c>
      <c r="P64" s="6">
        <v>0.51</v>
      </c>
      <c r="Q64" s="6">
        <v>3.98</v>
      </c>
    </row>
    <row r="65" spans="1:17" customFormat="1">
      <c r="A65" s="82">
        <v>45454.59375</v>
      </c>
      <c r="B65" s="6">
        <v>9.2799999999999994</v>
      </c>
      <c r="C65" s="6">
        <v>4.09</v>
      </c>
      <c r="D65" s="6">
        <v>14.03</v>
      </c>
      <c r="E65" s="6">
        <v>20.07</v>
      </c>
      <c r="F65" s="6">
        <v>45.43</v>
      </c>
      <c r="G65" s="6">
        <v>59.24</v>
      </c>
      <c r="H65" s="6">
        <v>23.6</v>
      </c>
      <c r="I65" s="6">
        <v>5.01</v>
      </c>
      <c r="J65" s="6">
        <v>1.29</v>
      </c>
      <c r="K65" s="6">
        <v>43.26</v>
      </c>
      <c r="L65" s="6">
        <v>41.51</v>
      </c>
      <c r="M65" s="6">
        <v>27.99</v>
      </c>
      <c r="N65" s="6">
        <v>369.4</v>
      </c>
      <c r="O65" s="6">
        <v>0</v>
      </c>
      <c r="P65" s="6">
        <v>0.49</v>
      </c>
      <c r="Q65" s="6">
        <v>3.99</v>
      </c>
    </row>
    <row r="66" spans="1:17" customFormat="1">
      <c r="A66" s="82">
        <v>45454.604166666664</v>
      </c>
      <c r="B66" s="6">
        <v>9.31</v>
      </c>
      <c r="C66" s="6">
        <v>4.08</v>
      </c>
      <c r="D66" s="6">
        <v>14.05</v>
      </c>
      <c r="E66" s="6">
        <v>19.600000000000001</v>
      </c>
      <c r="F66" s="6">
        <v>34.78</v>
      </c>
      <c r="G66" s="6">
        <v>59.24</v>
      </c>
      <c r="H66" s="6">
        <v>23.6</v>
      </c>
      <c r="I66" s="6">
        <v>5.29</v>
      </c>
      <c r="J66" s="6">
        <v>1</v>
      </c>
      <c r="K66" s="6">
        <v>5.93</v>
      </c>
      <c r="L66" s="6">
        <v>40.619999999999997</v>
      </c>
      <c r="M66" s="6">
        <v>30.27</v>
      </c>
      <c r="N66" s="6">
        <v>294.89999999999998</v>
      </c>
      <c r="O66" s="6">
        <v>0</v>
      </c>
      <c r="P66" s="6">
        <v>0.54</v>
      </c>
      <c r="Q66" s="6">
        <v>3.96</v>
      </c>
    </row>
    <row r="67" spans="1:17" customFormat="1">
      <c r="A67" s="82">
        <v>45454.614583333336</v>
      </c>
      <c r="B67" s="6">
        <v>9.32</v>
      </c>
      <c r="C67" s="6">
        <v>4.0599999999999996</v>
      </c>
      <c r="D67" s="6">
        <v>14.05</v>
      </c>
      <c r="E67" s="6">
        <v>19.61</v>
      </c>
      <c r="F67" s="6">
        <v>44.34</v>
      </c>
      <c r="G67" s="6">
        <v>59.24</v>
      </c>
      <c r="H67" s="6">
        <v>23.6</v>
      </c>
      <c r="I67" s="6">
        <v>5.29</v>
      </c>
      <c r="J67" s="6">
        <v>0.76</v>
      </c>
      <c r="K67" s="6">
        <v>326.83999999999997</v>
      </c>
      <c r="L67" s="6">
        <v>40.97</v>
      </c>
      <c r="M67" s="6">
        <v>28.8</v>
      </c>
      <c r="N67" s="6">
        <v>515</v>
      </c>
      <c r="O67" s="6">
        <v>0</v>
      </c>
      <c r="P67" s="6">
        <v>0.52</v>
      </c>
      <c r="Q67" s="6">
        <v>3.94</v>
      </c>
    </row>
    <row r="68" spans="1:17" customFormat="1">
      <c r="A68" s="82">
        <v>45454.625</v>
      </c>
      <c r="B68" s="6">
        <v>9.31</v>
      </c>
      <c r="C68" s="6">
        <v>4.09</v>
      </c>
      <c r="D68" s="6">
        <v>14.05</v>
      </c>
      <c r="E68" s="6">
        <v>19.850000000000001</v>
      </c>
      <c r="F68" s="6">
        <v>50.07</v>
      </c>
      <c r="G68" s="6">
        <v>59.35</v>
      </c>
      <c r="H68" s="6">
        <v>23.64</v>
      </c>
      <c r="I68" s="6">
        <v>5.47</v>
      </c>
      <c r="J68" s="6">
        <v>0.6</v>
      </c>
      <c r="K68" s="6">
        <v>350.45</v>
      </c>
      <c r="L68" s="6">
        <v>42.01</v>
      </c>
      <c r="M68" s="6">
        <v>26.69</v>
      </c>
      <c r="N68" s="6">
        <v>458.5</v>
      </c>
      <c r="O68" s="6">
        <v>0</v>
      </c>
      <c r="P68" s="6">
        <v>0.49</v>
      </c>
      <c r="Q68" s="6">
        <v>3.93</v>
      </c>
    </row>
    <row r="69" spans="1:17" customFormat="1">
      <c r="A69" s="82">
        <v>45454.635416666664</v>
      </c>
      <c r="B69" s="6">
        <v>9.33</v>
      </c>
      <c r="C69" s="6">
        <v>4.09</v>
      </c>
      <c r="D69" s="6">
        <v>14.07</v>
      </c>
      <c r="E69" s="6">
        <v>23.83</v>
      </c>
      <c r="F69" s="6">
        <v>40.44</v>
      </c>
      <c r="G69" s="6">
        <v>59.66</v>
      </c>
      <c r="H69" s="6">
        <v>23.72</v>
      </c>
      <c r="I69" s="6">
        <v>5.28</v>
      </c>
      <c r="J69" s="6">
        <v>0.91</v>
      </c>
      <c r="K69" s="6">
        <v>325.27</v>
      </c>
      <c r="L69" s="6">
        <v>41.06</v>
      </c>
      <c r="M69" s="6">
        <v>29</v>
      </c>
      <c r="N69" s="6">
        <v>251.2</v>
      </c>
      <c r="O69" s="6">
        <v>0</v>
      </c>
      <c r="P69" s="6">
        <v>0.53</v>
      </c>
      <c r="Q69" s="6">
        <v>3.97</v>
      </c>
    </row>
    <row r="70" spans="1:17" customFormat="1">
      <c r="A70" s="82">
        <v>45454.645833333336</v>
      </c>
      <c r="B70" s="6">
        <v>9.32</v>
      </c>
      <c r="C70" s="6">
        <v>4.09</v>
      </c>
      <c r="D70" s="6">
        <v>14.06</v>
      </c>
      <c r="E70" s="6">
        <v>23.24</v>
      </c>
      <c r="F70" s="6">
        <v>25.92</v>
      </c>
      <c r="G70" s="6">
        <v>59.66</v>
      </c>
      <c r="H70" s="6">
        <v>23.72</v>
      </c>
      <c r="I70" s="6">
        <v>4.8</v>
      </c>
      <c r="J70" s="6">
        <v>2.0699999999999998</v>
      </c>
      <c r="K70" s="6">
        <v>15.58</v>
      </c>
      <c r="L70" s="6">
        <v>39.42</v>
      </c>
      <c r="M70" s="6">
        <v>32.11</v>
      </c>
      <c r="N70" s="6">
        <v>87</v>
      </c>
      <c r="O70" s="6">
        <v>0</v>
      </c>
      <c r="P70" s="6">
        <v>0.54</v>
      </c>
      <c r="Q70" s="6">
        <v>3.97</v>
      </c>
    </row>
    <row r="71" spans="1:17" customFormat="1">
      <c r="A71" s="82">
        <v>45454.65625</v>
      </c>
      <c r="B71" s="6">
        <v>9.31</v>
      </c>
      <c r="C71" s="6">
        <v>4.0999999999999996</v>
      </c>
      <c r="D71" s="6">
        <v>14.06</v>
      </c>
      <c r="E71" s="6">
        <v>15.83</v>
      </c>
      <c r="F71" s="6">
        <v>27.03</v>
      </c>
      <c r="G71" s="6">
        <v>59.66</v>
      </c>
      <c r="H71" s="6">
        <v>23.72</v>
      </c>
      <c r="I71" s="6">
        <v>5.2</v>
      </c>
      <c r="J71" s="6">
        <v>3.02</v>
      </c>
      <c r="K71" s="6">
        <v>35.520000000000003</v>
      </c>
      <c r="L71" s="6">
        <v>34.67</v>
      </c>
      <c r="M71" s="6">
        <v>41.52</v>
      </c>
      <c r="N71" s="6">
        <v>70.599999999999994</v>
      </c>
      <c r="O71" s="6">
        <v>0</v>
      </c>
      <c r="P71" s="6">
        <v>0.52</v>
      </c>
      <c r="Q71" s="6">
        <v>3.97</v>
      </c>
    </row>
    <row r="72" spans="1:17" customFormat="1">
      <c r="A72" s="82">
        <v>45454.666666666664</v>
      </c>
      <c r="B72" s="6">
        <v>9.32</v>
      </c>
      <c r="C72" s="6">
        <v>4.08</v>
      </c>
      <c r="D72" s="6">
        <v>14.06</v>
      </c>
      <c r="E72" s="6">
        <v>12.44</v>
      </c>
      <c r="F72" s="6">
        <v>28.18</v>
      </c>
      <c r="G72" s="6">
        <v>61.94</v>
      </c>
      <c r="H72" s="6">
        <v>23.72</v>
      </c>
      <c r="I72" s="6">
        <v>5.73</v>
      </c>
      <c r="J72" s="6">
        <v>2.14</v>
      </c>
      <c r="K72" s="6">
        <v>31.68</v>
      </c>
      <c r="L72" s="6">
        <v>33.340000000000003</v>
      </c>
      <c r="M72" s="6">
        <v>42.53</v>
      </c>
      <c r="N72" s="6">
        <v>67.400000000000006</v>
      </c>
      <c r="O72" s="6">
        <v>0</v>
      </c>
      <c r="P72" s="6">
        <v>0.5</v>
      </c>
      <c r="Q72" s="6">
        <v>3.98</v>
      </c>
    </row>
    <row r="73" spans="1:17" customFormat="1">
      <c r="A73" s="82">
        <v>45454.677083333336</v>
      </c>
      <c r="B73" s="6">
        <v>9.3000000000000007</v>
      </c>
      <c r="C73" s="6">
        <v>4.0599999999999996</v>
      </c>
      <c r="D73" s="6">
        <v>14.03</v>
      </c>
      <c r="E73" s="6">
        <v>11.61</v>
      </c>
      <c r="F73" s="6">
        <v>28.91</v>
      </c>
      <c r="G73" s="6">
        <v>67.87</v>
      </c>
      <c r="H73" s="6">
        <v>23.74</v>
      </c>
      <c r="I73" s="6">
        <v>5.55</v>
      </c>
      <c r="J73" s="6">
        <v>0.85</v>
      </c>
      <c r="K73" s="6">
        <v>20.51</v>
      </c>
      <c r="L73" s="6">
        <v>33.83</v>
      </c>
      <c r="M73" s="6">
        <v>41.25</v>
      </c>
      <c r="N73" s="6">
        <v>71.7</v>
      </c>
      <c r="O73" s="6">
        <v>0</v>
      </c>
      <c r="P73" s="6">
        <v>0.49</v>
      </c>
      <c r="Q73" s="6">
        <v>3.98</v>
      </c>
    </row>
    <row r="74" spans="1:17" customFormat="1">
      <c r="A74" s="82">
        <v>45454.6875</v>
      </c>
      <c r="B74" s="6">
        <v>9.3000000000000007</v>
      </c>
      <c r="C74" s="6">
        <v>4.07</v>
      </c>
      <c r="D74" s="6">
        <v>14.03</v>
      </c>
      <c r="E74" s="6">
        <v>13.42</v>
      </c>
      <c r="F74" s="6">
        <v>35.229999999999997</v>
      </c>
      <c r="G74" s="6">
        <v>67.87</v>
      </c>
      <c r="H74" s="6">
        <v>23.74</v>
      </c>
      <c r="I74" s="6">
        <v>5.37</v>
      </c>
      <c r="J74" s="6">
        <v>1.17</v>
      </c>
      <c r="K74" s="6">
        <v>39.97</v>
      </c>
      <c r="L74" s="6">
        <v>35.04</v>
      </c>
      <c r="M74" s="6">
        <v>40.06</v>
      </c>
      <c r="N74" s="6">
        <v>82.5</v>
      </c>
      <c r="O74" s="6">
        <v>0</v>
      </c>
      <c r="P74" s="6">
        <v>0.5</v>
      </c>
      <c r="Q74" s="6">
        <v>3.98</v>
      </c>
    </row>
    <row r="75" spans="1:17" customFormat="1">
      <c r="A75" s="82">
        <v>45454.697916666664</v>
      </c>
      <c r="B75" s="6">
        <v>9.2899999999999991</v>
      </c>
      <c r="C75" s="6">
        <v>4.08</v>
      </c>
      <c r="D75" s="6">
        <v>14.03</v>
      </c>
      <c r="E75" s="6">
        <v>19.05</v>
      </c>
      <c r="F75" s="6">
        <v>30.61</v>
      </c>
      <c r="G75" s="6">
        <v>67.87</v>
      </c>
      <c r="H75" s="6">
        <v>23.74</v>
      </c>
      <c r="I75" s="6">
        <v>5.26</v>
      </c>
      <c r="J75" s="6">
        <v>1.2</v>
      </c>
      <c r="K75" s="6">
        <v>55.26</v>
      </c>
      <c r="L75" s="6">
        <v>35.44</v>
      </c>
      <c r="M75" s="6">
        <v>41.48</v>
      </c>
      <c r="N75" s="6">
        <v>113.3</v>
      </c>
      <c r="O75" s="6">
        <v>0</v>
      </c>
      <c r="P75" s="6">
        <v>0.53</v>
      </c>
      <c r="Q75" s="6">
        <v>3.97</v>
      </c>
    </row>
    <row r="76" spans="1:17" customFormat="1">
      <c r="A76" s="82">
        <v>45454.708333333336</v>
      </c>
      <c r="B76" s="6">
        <v>9.3000000000000007</v>
      </c>
      <c r="C76" s="6">
        <v>4.0999999999999996</v>
      </c>
      <c r="D76" s="6">
        <v>14.05</v>
      </c>
      <c r="E76" s="6">
        <v>30.07</v>
      </c>
      <c r="F76" s="6">
        <v>35.31</v>
      </c>
      <c r="G76" s="6">
        <v>67.849999999999994</v>
      </c>
      <c r="H76" s="6">
        <v>22.04</v>
      </c>
      <c r="I76" s="6">
        <v>5.44</v>
      </c>
      <c r="J76" s="6">
        <v>0.4</v>
      </c>
      <c r="K76" s="6">
        <v>74.98</v>
      </c>
      <c r="L76" s="6">
        <v>36.020000000000003</v>
      </c>
      <c r="M76" s="6">
        <v>41.41</v>
      </c>
      <c r="N76" s="6">
        <v>97</v>
      </c>
      <c r="O76" s="6">
        <v>0</v>
      </c>
      <c r="P76" s="6">
        <v>0.6</v>
      </c>
      <c r="Q76" s="6">
        <v>3.97</v>
      </c>
    </row>
    <row r="77" spans="1:17" customFormat="1">
      <c r="A77" s="82">
        <v>45454.71875</v>
      </c>
      <c r="B77" s="6">
        <v>9.32</v>
      </c>
      <c r="C77" s="6">
        <v>4.08</v>
      </c>
      <c r="D77" s="6">
        <v>14.06</v>
      </c>
      <c r="E77" s="6">
        <v>15.97</v>
      </c>
      <c r="F77" s="6">
        <v>23.86</v>
      </c>
      <c r="G77" s="6">
        <v>67.78</v>
      </c>
      <c r="H77" s="6">
        <v>19.079999999999998</v>
      </c>
      <c r="I77" s="6">
        <v>5.4</v>
      </c>
      <c r="J77" s="6">
        <v>0.41</v>
      </c>
      <c r="K77" s="6">
        <v>125.23</v>
      </c>
      <c r="L77" s="6">
        <v>35.65</v>
      </c>
      <c r="M77" s="6">
        <v>42.54</v>
      </c>
      <c r="N77" s="6">
        <v>61.8</v>
      </c>
      <c r="O77" s="6">
        <v>0</v>
      </c>
      <c r="P77" s="6">
        <v>0.5</v>
      </c>
      <c r="Q77" s="6">
        <v>4</v>
      </c>
    </row>
    <row r="78" spans="1:17" customFormat="1">
      <c r="A78" s="82">
        <v>45454.729166666664</v>
      </c>
      <c r="B78" s="6">
        <v>9.3000000000000007</v>
      </c>
      <c r="C78" s="6">
        <v>4.1100000000000003</v>
      </c>
      <c r="D78" s="6">
        <v>14.06</v>
      </c>
      <c r="E78" s="6">
        <v>12.69</v>
      </c>
      <c r="F78" s="6">
        <v>19.3</v>
      </c>
      <c r="G78" s="6">
        <v>67.78</v>
      </c>
      <c r="H78" s="6">
        <v>19.079999999999998</v>
      </c>
      <c r="I78" s="6">
        <v>5.46</v>
      </c>
      <c r="J78" s="6">
        <v>0.66</v>
      </c>
      <c r="K78" s="6">
        <v>90.34</v>
      </c>
      <c r="L78" s="6">
        <v>35.04</v>
      </c>
      <c r="M78" s="6">
        <v>44.8</v>
      </c>
      <c r="N78" s="6">
        <v>33.9</v>
      </c>
      <c r="O78" s="6">
        <v>0</v>
      </c>
      <c r="P78" s="6">
        <v>0.49</v>
      </c>
      <c r="Q78" s="6">
        <v>3.97</v>
      </c>
    </row>
    <row r="79" spans="1:17" customFormat="1">
      <c r="A79" s="82">
        <v>45454.739583333336</v>
      </c>
      <c r="B79" s="6">
        <v>9.34</v>
      </c>
      <c r="C79" s="6">
        <v>4.0999999999999996</v>
      </c>
      <c r="D79" s="6">
        <v>14.08</v>
      </c>
      <c r="E79" s="6">
        <v>10.9</v>
      </c>
      <c r="F79" s="6">
        <v>22.24</v>
      </c>
      <c r="G79" s="6">
        <v>67.78</v>
      </c>
      <c r="H79" s="6">
        <v>19.079999999999998</v>
      </c>
      <c r="I79" s="6">
        <v>5.5</v>
      </c>
      <c r="J79" s="6">
        <v>0.15</v>
      </c>
      <c r="K79" s="6">
        <v>215.46</v>
      </c>
      <c r="L79" s="6">
        <v>32.049999999999997</v>
      </c>
      <c r="M79" s="6">
        <v>55.89</v>
      </c>
      <c r="N79" s="6">
        <v>19.5</v>
      </c>
      <c r="O79" s="6">
        <v>0</v>
      </c>
      <c r="P79" s="6">
        <v>0.49</v>
      </c>
      <c r="Q79" s="6">
        <v>4</v>
      </c>
    </row>
    <row r="80" spans="1:17" customFormat="1">
      <c r="A80" s="82">
        <v>45454.75</v>
      </c>
      <c r="B80" s="6">
        <v>9.3800000000000008</v>
      </c>
      <c r="C80" s="6">
        <v>4.12</v>
      </c>
      <c r="D80" s="6">
        <v>14.12</v>
      </c>
      <c r="E80" s="6">
        <v>11.36</v>
      </c>
      <c r="F80" s="6">
        <v>30.93</v>
      </c>
      <c r="G80" s="6">
        <v>65.459999999999994</v>
      </c>
      <c r="H80" s="6">
        <v>20.03</v>
      </c>
      <c r="I80" s="6">
        <v>5.42</v>
      </c>
      <c r="J80" s="6">
        <v>0.56999999999999995</v>
      </c>
      <c r="K80" s="6">
        <v>256.37</v>
      </c>
      <c r="L80" s="6">
        <v>32.18</v>
      </c>
      <c r="M80" s="6">
        <v>55.59</v>
      </c>
      <c r="N80" s="6">
        <v>15.7</v>
      </c>
      <c r="O80" s="6">
        <v>0</v>
      </c>
      <c r="P80" s="6">
        <v>0.44</v>
      </c>
      <c r="Q80" s="6">
        <v>4.01</v>
      </c>
    </row>
    <row r="81" spans="1:17" customFormat="1">
      <c r="A81" s="82">
        <v>45454.760416666664</v>
      </c>
      <c r="B81" s="6">
        <v>9.44</v>
      </c>
      <c r="C81" s="6">
        <v>4.1100000000000003</v>
      </c>
      <c r="D81" s="6">
        <v>14.17</v>
      </c>
      <c r="E81" s="6">
        <v>10.7</v>
      </c>
      <c r="F81" s="6">
        <v>33.47</v>
      </c>
      <c r="G81" s="6">
        <v>59.41</v>
      </c>
      <c r="H81" s="6">
        <v>21.7</v>
      </c>
      <c r="I81" s="6">
        <v>5.28</v>
      </c>
      <c r="J81" s="6">
        <v>0.44</v>
      </c>
      <c r="K81" s="6">
        <v>315.33999999999997</v>
      </c>
      <c r="L81" s="6">
        <v>32.35</v>
      </c>
      <c r="M81" s="6">
        <v>54.99</v>
      </c>
      <c r="N81" s="6">
        <v>13.1</v>
      </c>
      <c r="O81" s="6">
        <v>0</v>
      </c>
      <c r="P81" s="6">
        <v>0.46</v>
      </c>
      <c r="Q81" s="6">
        <v>4</v>
      </c>
    </row>
    <row r="82" spans="1:17" customFormat="1">
      <c r="A82" s="82">
        <v>45454.770833333336</v>
      </c>
      <c r="B82" s="6">
        <v>9.39</v>
      </c>
      <c r="C82" s="6">
        <v>4.16</v>
      </c>
      <c r="D82" s="6">
        <v>14.16</v>
      </c>
      <c r="E82" s="6">
        <v>13.32</v>
      </c>
      <c r="F82" s="6">
        <v>21.97</v>
      </c>
      <c r="G82" s="6">
        <v>59.41</v>
      </c>
      <c r="H82" s="6">
        <v>21.7</v>
      </c>
      <c r="I82" s="6">
        <v>4.93</v>
      </c>
      <c r="J82" s="6">
        <v>0.53</v>
      </c>
      <c r="K82" s="6">
        <v>357.26</v>
      </c>
      <c r="L82" s="6">
        <v>32.65</v>
      </c>
      <c r="M82" s="6">
        <v>54.72</v>
      </c>
      <c r="N82" s="6">
        <v>3.5</v>
      </c>
      <c r="O82" s="6">
        <v>0</v>
      </c>
      <c r="P82" s="6">
        <v>0.61</v>
      </c>
      <c r="Q82" s="6">
        <v>4.0599999999999996</v>
      </c>
    </row>
    <row r="83" spans="1:17" customFormat="1">
      <c r="A83" s="82">
        <v>45454.78125</v>
      </c>
      <c r="B83" s="6">
        <v>9.4</v>
      </c>
      <c r="C83" s="6">
        <v>4.0999999999999996</v>
      </c>
      <c r="D83" s="6">
        <v>14.13</v>
      </c>
      <c r="E83" s="6">
        <v>13.49</v>
      </c>
      <c r="F83" s="6">
        <v>15.47</v>
      </c>
      <c r="G83" s="6">
        <v>59.41</v>
      </c>
      <c r="H83" s="6">
        <v>21.7</v>
      </c>
      <c r="I83" s="6">
        <v>4.92</v>
      </c>
      <c r="J83" s="6">
        <v>0.34</v>
      </c>
      <c r="K83" s="6">
        <v>134.38999999999999</v>
      </c>
      <c r="L83" s="6">
        <v>33.049999999999997</v>
      </c>
      <c r="M83" s="6">
        <v>58.41</v>
      </c>
      <c r="N83" s="6">
        <v>2.1</v>
      </c>
      <c r="O83" s="6">
        <v>0</v>
      </c>
      <c r="P83" s="6">
        <v>0.55000000000000004</v>
      </c>
      <c r="Q83" s="6">
        <v>4.03</v>
      </c>
    </row>
    <row r="84" spans="1:17" customFormat="1">
      <c r="A84" s="82">
        <v>45454.791666666664</v>
      </c>
      <c r="B84" s="6">
        <v>9.41</v>
      </c>
      <c r="C84" s="6">
        <v>4.08</v>
      </c>
      <c r="D84" s="6">
        <v>14.13</v>
      </c>
      <c r="E84" s="6">
        <v>13.61</v>
      </c>
      <c r="F84" s="6">
        <v>27.19</v>
      </c>
      <c r="G84" s="6">
        <v>63.05</v>
      </c>
      <c r="H84" s="6">
        <v>22.95</v>
      </c>
      <c r="I84" s="6">
        <v>5.88</v>
      </c>
      <c r="J84" s="6">
        <v>0.13</v>
      </c>
      <c r="K84" s="6">
        <v>196.16</v>
      </c>
      <c r="L84" s="6">
        <v>32.18</v>
      </c>
      <c r="M84" s="6">
        <v>61.95</v>
      </c>
      <c r="N84" s="6">
        <v>2.4</v>
      </c>
      <c r="O84" s="6">
        <v>0</v>
      </c>
      <c r="P84" s="6">
        <v>0.49</v>
      </c>
      <c r="Q84" s="6">
        <v>4.03</v>
      </c>
    </row>
    <row r="85" spans="1:17" customFormat="1">
      <c r="A85" s="82">
        <v>45454.802083333336</v>
      </c>
      <c r="B85" s="6">
        <v>9.44</v>
      </c>
      <c r="C85" s="6">
        <v>4.05</v>
      </c>
      <c r="D85" s="6">
        <v>14.13</v>
      </c>
      <c r="E85" s="6">
        <v>12.15</v>
      </c>
      <c r="F85" s="6">
        <v>19.57</v>
      </c>
      <c r="G85" s="6">
        <v>72.5</v>
      </c>
      <c r="H85" s="6">
        <v>25.14</v>
      </c>
      <c r="I85" s="6">
        <v>5.68</v>
      </c>
      <c r="J85" s="6">
        <v>0.4</v>
      </c>
      <c r="K85" s="6">
        <v>241.83</v>
      </c>
      <c r="L85" s="6">
        <v>31.89</v>
      </c>
      <c r="M85" s="6">
        <v>62.84</v>
      </c>
      <c r="N85" s="6">
        <v>2</v>
      </c>
      <c r="O85" s="6">
        <v>0</v>
      </c>
      <c r="P85" s="6">
        <v>0.49</v>
      </c>
      <c r="Q85" s="6">
        <v>4.03</v>
      </c>
    </row>
    <row r="86" spans="1:17" customFormat="1">
      <c r="A86" s="82">
        <v>45454.8125</v>
      </c>
      <c r="B86" s="6">
        <v>9.42</v>
      </c>
      <c r="C86" s="6">
        <v>4.08</v>
      </c>
      <c r="D86" s="6">
        <v>14.13</v>
      </c>
      <c r="E86" s="6">
        <v>12.4</v>
      </c>
      <c r="F86" s="6">
        <v>19.809999999999999</v>
      </c>
      <c r="G86" s="6">
        <v>72.5</v>
      </c>
      <c r="H86" s="6">
        <v>25.14</v>
      </c>
      <c r="I86" s="6">
        <v>5.32</v>
      </c>
      <c r="J86" s="6">
        <v>0.44</v>
      </c>
      <c r="K86" s="6">
        <v>256.85000000000002</v>
      </c>
      <c r="L86" s="6">
        <v>31.87</v>
      </c>
      <c r="M86" s="6">
        <v>61.29</v>
      </c>
      <c r="N86" s="6">
        <v>1.7</v>
      </c>
      <c r="O86" s="6">
        <v>0</v>
      </c>
      <c r="P86" s="6">
        <v>0.5</v>
      </c>
      <c r="Q86" s="6">
        <v>4</v>
      </c>
    </row>
    <row r="87" spans="1:17" customFormat="1">
      <c r="A87" s="82">
        <v>45454.822916666664</v>
      </c>
      <c r="B87" s="6">
        <v>9.41</v>
      </c>
      <c r="C87" s="6">
        <v>4.08</v>
      </c>
      <c r="D87" s="6">
        <v>14.13</v>
      </c>
      <c r="E87" s="6">
        <v>12</v>
      </c>
      <c r="F87" s="6">
        <v>22.52</v>
      </c>
      <c r="G87" s="6">
        <v>72.5</v>
      </c>
      <c r="H87" s="6">
        <v>25.14</v>
      </c>
      <c r="I87" s="6">
        <v>5.31</v>
      </c>
      <c r="J87" s="6">
        <v>0.26</v>
      </c>
      <c r="K87" s="6">
        <v>234.65</v>
      </c>
      <c r="L87" s="6">
        <v>31.92</v>
      </c>
      <c r="M87" s="6">
        <v>59.67</v>
      </c>
      <c r="N87" s="6">
        <v>1.8</v>
      </c>
      <c r="O87" s="6">
        <v>0</v>
      </c>
      <c r="P87" s="6">
        <v>0.49</v>
      </c>
      <c r="Q87" s="6">
        <v>4.04</v>
      </c>
    </row>
    <row r="88" spans="1:17" customFormat="1">
      <c r="A88" s="82">
        <v>45454.833333333336</v>
      </c>
      <c r="B88" s="6">
        <v>9.42</v>
      </c>
      <c r="C88" s="6">
        <v>4.0999999999999996</v>
      </c>
      <c r="D88" s="6">
        <v>14.15</v>
      </c>
      <c r="E88" s="6">
        <v>11.74</v>
      </c>
      <c r="F88" s="6">
        <v>24.55</v>
      </c>
      <c r="G88" s="6">
        <v>67.61</v>
      </c>
      <c r="H88" s="6">
        <v>24.15</v>
      </c>
      <c r="I88" s="6">
        <v>5.45</v>
      </c>
      <c r="J88" s="6">
        <v>0.21</v>
      </c>
      <c r="K88" s="6">
        <v>222.91</v>
      </c>
      <c r="L88" s="6">
        <v>31.81</v>
      </c>
      <c r="M88" s="6">
        <v>59.64</v>
      </c>
      <c r="N88" s="6">
        <v>1.8</v>
      </c>
      <c r="O88" s="6">
        <v>0</v>
      </c>
      <c r="P88" s="6">
        <v>0.47</v>
      </c>
      <c r="Q88" s="6">
        <v>4.08</v>
      </c>
    </row>
    <row r="89" spans="1:17" customFormat="1">
      <c r="A89" s="82">
        <v>45454.84375</v>
      </c>
      <c r="B89" s="6">
        <v>9.42</v>
      </c>
      <c r="C89" s="6">
        <v>4.0999999999999996</v>
      </c>
      <c r="D89" s="6">
        <v>14.15</v>
      </c>
      <c r="E89" s="6">
        <v>12.02</v>
      </c>
      <c r="F89" s="6">
        <v>22.89</v>
      </c>
      <c r="G89" s="6">
        <v>54.9</v>
      </c>
      <c r="H89" s="6">
        <v>22.41</v>
      </c>
      <c r="I89" s="6">
        <v>5.26</v>
      </c>
      <c r="J89" s="6">
        <v>0.17</v>
      </c>
      <c r="K89" s="6">
        <v>172.64</v>
      </c>
      <c r="L89" s="6">
        <v>31.73</v>
      </c>
      <c r="M89" s="6">
        <v>60.41</v>
      </c>
      <c r="N89" s="6">
        <v>1.9</v>
      </c>
      <c r="O89" s="6">
        <v>0</v>
      </c>
      <c r="P89" s="6">
        <v>0.47</v>
      </c>
      <c r="Q89" s="6">
        <v>4.0199999999999996</v>
      </c>
    </row>
    <row r="90" spans="1:17" customFormat="1">
      <c r="A90" s="82">
        <v>45454.854166666664</v>
      </c>
      <c r="B90" s="6">
        <v>9.41</v>
      </c>
      <c r="C90" s="6">
        <v>4.0999999999999996</v>
      </c>
      <c r="D90" s="6">
        <v>14.14</v>
      </c>
      <c r="E90" s="6">
        <v>12.15</v>
      </c>
      <c r="F90" s="6">
        <v>23.67</v>
      </c>
      <c r="G90" s="6">
        <v>54.9</v>
      </c>
      <c r="H90" s="6">
        <v>22.41</v>
      </c>
      <c r="I90" s="6">
        <v>5.04</v>
      </c>
      <c r="J90" s="6">
        <v>0.25</v>
      </c>
      <c r="K90" s="6">
        <v>217.23</v>
      </c>
      <c r="L90" s="6">
        <v>31.32</v>
      </c>
      <c r="M90" s="6">
        <v>63.35</v>
      </c>
      <c r="N90" s="6">
        <v>1.9</v>
      </c>
      <c r="O90" s="6">
        <v>0</v>
      </c>
      <c r="P90" s="6">
        <v>0.48</v>
      </c>
      <c r="Q90" s="6">
        <v>4.01</v>
      </c>
    </row>
    <row r="91" spans="1:17" customFormat="1">
      <c r="A91" s="82">
        <v>45454.864583333336</v>
      </c>
      <c r="B91" s="6">
        <v>9.41</v>
      </c>
      <c r="C91" s="6">
        <v>4.09</v>
      </c>
      <c r="D91" s="6">
        <v>14.13</v>
      </c>
      <c r="E91" s="6">
        <v>12.22</v>
      </c>
      <c r="F91" s="6">
        <v>18.95</v>
      </c>
      <c r="G91" s="6">
        <v>54.9</v>
      </c>
      <c r="H91" s="6">
        <v>22.41</v>
      </c>
      <c r="I91" s="6">
        <v>5.15</v>
      </c>
      <c r="J91" s="6">
        <v>0.23</v>
      </c>
      <c r="K91" s="6">
        <v>208.02</v>
      </c>
      <c r="L91" s="6">
        <v>31.37</v>
      </c>
      <c r="M91" s="6">
        <v>64.17</v>
      </c>
      <c r="N91" s="6">
        <v>1.7</v>
      </c>
      <c r="O91" s="6">
        <v>0</v>
      </c>
      <c r="P91" s="6">
        <v>0.49</v>
      </c>
      <c r="Q91" s="6">
        <v>4.0199999999999996</v>
      </c>
    </row>
    <row r="92" spans="1:17" customFormat="1">
      <c r="A92" s="82">
        <v>45454.875</v>
      </c>
      <c r="B92" s="6">
        <v>9.41</v>
      </c>
      <c r="C92" s="6">
        <v>4.09</v>
      </c>
      <c r="D92" s="6">
        <v>14.13</v>
      </c>
      <c r="E92" s="6">
        <v>12.61</v>
      </c>
      <c r="F92" s="6">
        <v>17.5</v>
      </c>
      <c r="G92" s="6">
        <v>53.11</v>
      </c>
      <c r="H92" s="6">
        <v>22.13</v>
      </c>
      <c r="I92" s="6">
        <v>5.0599999999999996</v>
      </c>
      <c r="J92" s="6">
        <v>0.28000000000000003</v>
      </c>
      <c r="K92" s="6">
        <v>223.3</v>
      </c>
      <c r="L92" s="6">
        <v>30.96</v>
      </c>
      <c r="M92" s="6">
        <v>66.98</v>
      </c>
      <c r="N92" s="6">
        <v>1.9</v>
      </c>
      <c r="O92" s="6">
        <v>0</v>
      </c>
      <c r="P92" s="6">
        <v>0.49</v>
      </c>
      <c r="Q92" s="6">
        <v>4.01</v>
      </c>
    </row>
    <row r="93" spans="1:17" customFormat="1">
      <c r="A93" s="82">
        <v>45454.885416666664</v>
      </c>
      <c r="B93" s="6">
        <v>9.43</v>
      </c>
      <c r="C93" s="6">
        <v>4.0599999999999996</v>
      </c>
      <c r="D93" s="6">
        <v>14.13</v>
      </c>
      <c r="E93" s="6">
        <v>12.32</v>
      </c>
      <c r="F93" s="6">
        <v>16.600000000000001</v>
      </c>
      <c r="G93" s="6">
        <v>48.47</v>
      </c>
      <c r="H93" s="6">
        <v>21.66</v>
      </c>
      <c r="I93" s="6">
        <v>5.2</v>
      </c>
      <c r="J93" s="6">
        <v>0.35</v>
      </c>
      <c r="K93" s="6">
        <v>253.38</v>
      </c>
      <c r="L93" s="6">
        <v>30.85</v>
      </c>
      <c r="M93" s="6">
        <v>65.510000000000005</v>
      </c>
      <c r="N93" s="6">
        <v>1.8</v>
      </c>
      <c r="O93" s="6">
        <v>0</v>
      </c>
      <c r="P93" s="6">
        <v>0.49</v>
      </c>
      <c r="Q93" s="6">
        <v>4</v>
      </c>
    </row>
    <row r="94" spans="1:17" customFormat="1">
      <c r="A94" s="82">
        <v>45454.895833333336</v>
      </c>
      <c r="B94" s="6">
        <v>9.42</v>
      </c>
      <c r="C94" s="6">
        <v>4.1100000000000003</v>
      </c>
      <c r="D94" s="6">
        <v>14.15</v>
      </c>
      <c r="E94" s="6">
        <v>12.01</v>
      </c>
      <c r="F94" s="6">
        <v>12.92</v>
      </c>
      <c r="G94" s="6">
        <v>48.47</v>
      </c>
      <c r="H94" s="6">
        <v>21.66</v>
      </c>
      <c r="I94" s="6">
        <v>5.2</v>
      </c>
      <c r="J94" s="6">
        <v>0.49</v>
      </c>
      <c r="K94" s="6">
        <v>256.70999999999998</v>
      </c>
      <c r="L94" s="6">
        <v>30.85</v>
      </c>
      <c r="M94" s="6">
        <v>63.76</v>
      </c>
      <c r="N94" s="6">
        <v>1.6</v>
      </c>
      <c r="O94" s="6">
        <v>0</v>
      </c>
      <c r="P94" s="6">
        <v>0.48</v>
      </c>
      <c r="Q94" s="6">
        <v>4</v>
      </c>
    </row>
    <row r="95" spans="1:17" customFormat="1">
      <c r="A95" s="82">
        <v>45454.90625</v>
      </c>
      <c r="B95" s="6">
        <v>9.43</v>
      </c>
      <c r="C95" s="6">
        <v>4.09</v>
      </c>
      <c r="D95" s="6">
        <v>14.15</v>
      </c>
      <c r="E95" s="6">
        <v>12.13</v>
      </c>
      <c r="F95" s="6">
        <v>11.77</v>
      </c>
      <c r="G95" s="6">
        <v>48.47</v>
      </c>
      <c r="H95" s="6">
        <v>21.66</v>
      </c>
      <c r="I95" s="6">
        <v>5.18</v>
      </c>
      <c r="J95" s="6">
        <v>0.41</v>
      </c>
      <c r="K95" s="6">
        <v>246.38</v>
      </c>
      <c r="L95" s="6">
        <v>30.56</v>
      </c>
      <c r="M95" s="6">
        <v>62.83</v>
      </c>
      <c r="N95" s="6">
        <v>2</v>
      </c>
      <c r="O95" s="6">
        <v>0</v>
      </c>
      <c r="P95" s="6">
        <v>0.47</v>
      </c>
      <c r="Q95" s="6">
        <v>4.07</v>
      </c>
    </row>
    <row r="96" spans="1:17" customFormat="1">
      <c r="A96" s="82">
        <v>45454.916666666664</v>
      </c>
      <c r="B96" s="6">
        <v>9.43</v>
      </c>
      <c r="C96" s="6">
        <v>4.09</v>
      </c>
      <c r="D96" s="6">
        <v>14.14</v>
      </c>
      <c r="E96" s="6">
        <v>11.98</v>
      </c>
      <c r="F96" s="6">
        <v>11.74</v>
      </c>
      <c r="G96" s="6">
        <v>46.74</v>
      </c>
      <c r="H96" s="6">
        <v>21.27</v>
      </c>
      <c r="I96" s="6">
        <v>5.21</v>
      </c>
      <c r="J96" s="6">
        <v>0.35</v>
      </c>
      <c r="K96" s="6">
        <v>258.23</v>
      </c>
      <c r="L96" s="6">
        <v>30.42</v>
      </c>
      <c r="M96" s="6">
        <v>62.7</v>
      </c>
      <c r="N96" s="6">
        <v>2</v>
      </c>
      <c r="O96" s="6">
        <v>0</v>
      </c>
      <c r="P96" s="6">
        <v>0.46</v>
      </c>
      <c r="Q96" s="6">
        <v>4.08</v>
      </c>
    </row>
    <row r="97" spans="1:22" customFormat="1">
      <c r="A97" s="82">
        <v>45454.927083333336</v>
      </c>
      <c r="B97" s="6">
        <v>9.43</v>
      </c>
      <c r="C97" s="6">
        <v>4.0999999999999996</v>
      </c>
      <c r="D97" s="6">
        <v>14.15</v>
      </c>
      <c r="E97" s="6">
        <v>11.58</v>
      </c>
      <c r="F97" s="6">
        <v>11.9</v>
      </c>
      <c r="G97" s="6">
        <v>42.25</v>
      </c>
      <c r="H97" s="6">
        <v>19.63</v>
      </c>
      <c r="I97" s="6">
        <v>5.14</v>
      </c>
      <c r="J97" s="6">
        <v>0.3</v>
      </c>
      <c r="K97" s="6">
        <v>249.41</v>
      </c>
      <c r="L97" s="6">
        <v>30.14</v>
      </c>
      <c r="M97" s="6">
        <v>63.46</v>
      </c>
      <c r="N97" s="6">
        <v>2.1</v>
      </c>
      <c r="O97" s="6">
        <v>0</v>
      </c>
      <c r="P97" s="6">
        <v>0.45</v>
      </c>
      <c r="Q97" s="6">
        <v>4.03</v>
      </c>
    </row>
    <row r="98" spans="1:22" customFormat="1">
      <c r="A98" s="82">
        <v>45454.9375</v>
      </c>
      <c r="B98" s="6">
        <v>9.44</v>
      </c>
      <c r="C98" s="6">
        <v>4.07</v>
      </c>
      <c r="D98" s="6">
        <v>14.14</v>
      </c>
      <c r="E98" s="6">
        <v>11.44</v>
      </c>
      <c r="F98" s="6">
        <v>16.13</v>
      </c>
      <c r="G98" s="6">
        <v>42.25</v>
      </c>
      <c r="H98" s="6">
        <v>19.63</v>
      </c>
      <c r="I98" s="6">
        <v>5.08</v>
      </c>
      <c r="J98" s="6">
        <v>0.41</v>
      </c>
      <c r="K98" s="6">
        <v>249.41</v>
      </c>
      <c r="L98" s="6">
        <v>29.86</v>
      </c>
      <c r="M98" s="6">
        <v>64.81</v>
      </c>
      <c r="N98" s="6">
        <v>2</v>
      </c>
      <c r="O98" s="6">
        <v>0</v>
      </c>
      <c r="P98" s="6">
        <v>0.44</v>
      </c>
      <c r="Q98" s="6">
        <v>4.01</v>
      </c>
    </row>
    <row r="99" spans="1:22" customFormat="1">
      <c r="A99" s="82">
        <v>45454.947916666664</v>
      </c>
      <c r="B99" s="6">
        <v>9.43</v>
      </c>
      <c r="C99" s="6">
        <v>4.07</v>
      </c>
      <c r="D99" s="6">
        <v>14.14</v>
      </c>
      <c r="E99" s="6">
        <v>11.65</v>
      </c>
      <c r="F99" s="6">
        <v>22.41</v>
      </c>
      <c r="G99" s="6">
        <v>42.25</v>
      </c>
      <c r="H99" s="6">
        <v>19.63</v>
      </c>
      <c r="I99" s="6">
        <v>4.96</v>
      </c>
      <c r="J99" s="6">
        <v>0.31</v>
      </c>
      <c r="K99" s="6">
        <v>263.2</v>
      </c>
      <c r="L99" s="6">
        <v>29.65</v>
      </c>
      <c r="M99" s="6">
        <v>65.34</v>
      </c>
      <c r="N99" s="6">
        <v>2</v>
      </c>
      <c r="O99" s="6">
        <v>0</v>
      </c>
      <c r="P99" s="6">
        <v>0.42</v>
      </c>
      <c r="Q99" s="6">
        <v>4</v>
      </c>
    </row>
    <row r="100" spans="1:22" customFormat="1">
      <c r="A100" s="82">
        <v>45454.958333333336</v>
      </c>
      <c r="B100" s="6">
        <v>9.44</v>
      </c>
      <c r="C100" s="6">
        <v>4.08</v>
      </c>
      <c r="D100" s="6">
        <v>14.15</v>
      </c>
      <c r="E100" s="6">
        <v>10.74</v>
      </c>
      <c r="F100" s="6">
        <v>29.05</v>
      </c>
      <c r="G100" s="6">
        <v>38.369999999999997</v>
      </c>
      <c r="H100" s="6">
        <v>18.62</v>
      </c>
      <c r="I100" s="6">
        <v>4.6500000000000004</v>
      </c>
      <c r="J100" s="6">
        <v>0.18</v>
      </c>
      <c r="K100" s="6">
        <v>240.62</v>
      </c>
      <c r="L100" s="6">
        <v>29.51</v>
      </c>
      <c r="M100" s="6">
        <v>66.16</v>
      </c>
      <c r="N100" s="6">
        <v>1.8</v>
      </c>
      <c r="O100" s="6">
        <v>0</v>
      </c>
      <c r="P100" s="6">
        <v>0.38</v>
      </c>
      <c r="Q100" s="6">
        <v>4.01</v>
      </c>
    </row>
    <row r="101" spans="1:22" customFormat="1">
      <c r="A101" s="82">
        <v>45454.96875</v>
      </c>
      <c r="B101" s="6">
        <v>9.4499999999999993</v>
      </c>
      <c r="C101" s="6">
        <v>4.09</v>
      </c>
      <c r="D101" s="6">
        <v>14.16</v>
      </c>
      <c r="E101" s="6">
        <v>10.58</v>
      </c>
      <c r="F101" s="6">
        <v>27.25</v>
      </c>
      <c r="G101" s="6">
        <v>28.28</v>
      </c>
      <c r="H101" s="6">
        <v>16.86</v>
      </c>
      <c r="I101" s="6">
        <v>4.4000000000000004</v>
      </c>
      <c r="J101" s="6">
        <v>0.27</v>
      </c>
      <c r="K101" s="6">
        <v>232.31</v>
      </c>
      <c r="L101" s="6">
        <v>29.21</v>
      </c>
      <c r="M101" s="6">
        <v>67.59</v>
      </c>
      <c r="N101" s="6">
        <v>1.9</v>
      </c>
      <c r="O101" s="6">
        <v>0</v>
      </c>
      <c r="P101" s="6">
        <v>0.36</v>
      </c>
      <c r="Q101" s="6">
        <v>4.01</v>
      </c>
    </row>
    <row r="102" spans="1:22" customFormat="1">
      <c r="A102" s="82">
        <v>45454.979166666664</v>
      </c>
      <c r="B102" s="6">
        <v>9.4600000000000009</v>
      </c>
      <c r="C102" s="6">
        <v>4.07</v>
      </c>
      <c r="D102" s="6">
        <v>14.16</v>
      </c>
      <c r="E102" s="6">
        <v>9.9700000000000006</v>
      </c>
      <c r="F102" s="6">
        <v>28.3</v>
      </c>
      <c r="G102" s="6">
        <v>28.28</v>
      </c>
      <c r="H102" s="6">
        <v>16.86</v>
      </c>
      <c r="I102" s="6">
        <v>3.94</v>
      </c>
      <c r="J102" s="6">
        <v>0.33</v>
      </c>
      <c r="K102" s="6">
        <v>242.11</v>
      </c>
      <c r="L102" s="6">
        <v>29.26</v>
      </c>
      <c r="M102" s="6">
        <v>66.92</v>
      </c>
      <c r="N102" s="6">
        <v>1.6</v>
      </c>
      <c r="O102" s="6">
        <v>0</v>
      </c>
      <c r="P102" s="6">
        <v>0.34</v>
      </c>
      <c r="Q102" s="6">
        <v>4.04</v>
      </c>
    </row>
    <row r="103" spans="1:22" customFormat="1">
      <c r="A103" s="82">
        <v>45454.989583333336</v>
      </c>
      <c r="B103" s="6">
        <v>9.44</v>
      </c>
      <c r="C103" s="6">
        <v>4.1100000000000003</v>
      </c>
      <c r="D103" s="6">
        <v>14.17</v>
      </c>
      <c r="E103" s="6">
        <v>9.43</v>
      </c>
      <c r="F103" s="6">
        <v>26.75</v>
      </c>
      <c r="G103" s="6">
        <v>28.28</v>
      </c>
      <c r="H103" s="6">
        <v>16.86</v>
      </c>
      <c r="I103" s="6">
        <v>3.99</v>
      </c>
      <c r="J103" s="6">
        <v>0.45</v>
      </c>
      <c r="K103" s="6">
        <v>247.25</v>
      </c>
      <c r="L103" s="6">
        <v>29.12</v>
      </c>
      <c r="M103" s="6">
        <v>67.39</v>
      </c>
      <c r="N103" s="6">
        <v>1.7</v>
      </c>
      <c r="O103" s="6">
        <v>0</v>
      </c>
      <c r="P103" s="6">
        <v>0.33</v>
      </c>
      <c r="Q103" s="6">
        <v>4.04</v>
      </c>
    </row>
    <row r="104" spans="1:22" customFormat="1">
      <c r="A104" s="82">
        <v>45455</v>
      </c>
      <c r="B104" s="6">
        <v>9.43</v>
      </c>
      <c r="C104" s="6">
        <v>4.07</v>
      </c>
      <c r="D104" s="6">
        <v>14.14</v>
      </c>
      <c r="E104" s="6">
        <v>9.41</v>
      </c>
      <c r="F104" s="6">
        <v>27.85</v>
      </c>
      <c r="G104" s="6">
        <v>25.7</v>
      </c>
      <c r="H104" s="6">
        <v>15.54</v>
      </c>
      <c r="I104" s="6">
        <v>3.89</v>
      </c>
      <c r="J104" s="6">
        <v>0.42</v>
      </c>
      <c r="K104" s="6">
        <v>244.69</v>
      </c>
      <c r="L104" s="6">
        <v>29.11</v>
      </c>
      <c r="M104" s="6">
        <v>67.36</v>
      </c>
      <c r="N104" s="6">
        <v>1.6</v>
      </c>
      <c r="O104" s="6">
        <v>0</v>
      </c>
      <c r="P104" s="6">
        <v>0.31</v>
      </c>
      <c r="Q104" s="6">
        <v>4.05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9.2799999999999994</v>
      </c>
      <c r="C106" s="184">
        <f>MIN(C9:C104)</f>
        <v>4.04</v>
      </c>
      <c r="D106" s="184">
        <f t="shared" ref="D106:Q106" si="0">MIN(D9:D104)</f>
        <v>14.03</v>
      </c>
      <c r="E106" s="184">
        <f t="shared" si="0"/>
        <v>9.41</v>
      </c>
      <c r="F106" s="184">
        <f t="shared" si="0"/>
        <v>1.02</v>
      </c>
      <c r="G106" s="184">
        <f t="shared" si="0"/>
        <v>25.7</v>
      </c>
      <c r="H106" s="184">
        <f t="shared" si="0"/>
        <v>15.54</v>
      </c>
      <c r="I106" s="184">
        <f t="shared" si="0"/>
        <v>3.89</v>
      </c>
      <c r="J106" s="184">
        <f t="shared" si="0"/>
        <v>0.01</v>
      </c>
      <c r="K106" s="184">
        <f t="shared" si="0"/>
        <v>5.62</v>
      </c>
      <c r="L106" s="184">
        <f t="shared" si="0"/>
        <v>29.1</v>
      </c>
      <c r="M106" s="184">
        <f t="shared" si="0"/>
        <v>26.69</v>
      </c>
      <c r="N106" s="184">
        <f t="shared" si="0"/>
        <v>1.2</v>
      </c>
      <c r="O106" s="184">
        <f t="shared" si="0"/>
        <v>0</v>
      </c>
      <c r="P106" s="184">
        <f t="shared" si="0"/>
        <v>0.31</v>
      </c>
      <c r="Q106" s="184">
        <f t="shared" si="0"/>
        <v>3.93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9.51</v>
      </c>
      <c r="C107" s="185">
        <f t="shared" ref="C107:Q107" si="1">MAX(C9:C104)</f>
        <v>4.16</v>
      </c>
      <c r="D107" s="185">
        <f t="shared" si="1"/>
        <v>14.22</v>
      </c>
      <c r="E107" s="185">
        <f t="shared" si="1"/>
        <v>30.07</v>
      </c>
      <c r="F107" s="185">
        <f t="shared" si="1"/>
        <v>53.73</v>
      </c>
      <c r="G107" s="185">
        <f t="shared" si="1"/>
        <v>109.18</v>
      </c>
      <c r="H107" s="185">
        <f t="shared" si="1"/>
        <v>31.74</v>
      </c>
      <c r="I107" s="185">
        <f t="shared" si="1"/>
        <v>10.46</v>
      </c>
      <c r="J107" s="185">
        <f t="shared" si="1"/>
        <v>3.02</v>
      </c>
      <c r="K107" s="185">
        <f t="shared" si="1"/>
        <v>357.26</v>
      </c>
      <c r="L107" s="185">
        <f t="shared" si="1"/>
        <v>42.01</v>
      </c>
      <c r="M107" s="185">
        <f t="shared" si="1"/>
        <v>73.739999999999995</v>
      </c>
      <c r="N107" s="185">
        <f t="shared" si="1"/>
        <v>731.6</v>
      </c>
      <c r="O107" s="185">
        <f t="shared" si="1"/>
        <v>0</v>
      </c>
      <c r="P107" s="185">
        <f t="shared" si="1"/>
        <v>0.69</v>
      </c>
      <c r="Q107" s="185">
        <f t="shared" si="1"/>
        <v>4.08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9.4112499999999972</v>
      </c>
      <c r="C108" s="184">
        <f t="shared" ref="C108:Q108" si="2">AVERAGE(C9:C104)</f>
        <v>4.0916666666666677</v>
      </c>
      <c r="D108" s="184">
        <f t="shared" si="2"/>
        <v>14.134791666666688</v>
      </c>
      <c r="E108" s="184">
        <f t="shared" si="2"/>
        <v>14.523333333333341</v>
      </c>
      <c r="F108" s="184">
        <f t="shared" si="2"/>
        <v>20.794166666666666</v>
      </c>
      <c r="G108" s="184">
        <f t="shared" si="2"/>
        <v>65.838229166666622</v>
      </c>
      <c r="H108" s="184">
        <f t="shared" si="2"/>
        <v>22.840104166666688</v>
      </c>
      <c r="I108" s="184">
        <f t="shared" si="2"/>
        <v>6.0755208333333357</v>
      </c>
      <c r="J108" s="184">
        <f t="shared" si="2"/>
        <v>0.64166666666666661</v>
      </c>
      <c r="K108" s="184">
        <f t="shared" si="2"/>
        <v>219.66125000000002</v>
      </c>
      <c r="L108" s="184">
        <f t="shared" si="2"/>
        <v>33.528020833333336</v>
      </c>
      <c r="M108" s="184">
        <f t="shared" si="2"/>
        <v>53.588645833333324</v>
      </c>
      <c r="N108" s="184">
        <f t="shared" si="2"/>
        <v>125.25312500000001</v>
      </c>
      <c r="O108" s="184">
        <f t="shared" si="2"/>
        <v>0</v>
      </c>
      <c r="P108" s="184">
        <f t="shared" si="2"/>
        <v>0.52291666666666681</v>
      </c>
      <c r="Q108" s="184">
        <f t="shared" si="2"/>
        <v>4.0123958333333336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5.7404382741169942E-2</v>
      </c>
      <c r="C109" s="184">
        <f t="shared" ref="C109:Q109" si="3">STDEV(C9:C104)</f>
        <v>2.165114153629227E-2</v>
      </c>
      <c r="D109" s="184">
        <f t="shared" si="3"/>
        <v>4.9267885700560503E-2</v>
      </c>
      <c r="E109" s="184">
        <f t="shared" si="3"/>
        <v>3.7141166454676964</v>
      </c>
      <c r="F109" s="184">
        <f t="shared" si="3"/>
        <v>12.648855547703375</v>
      </c>
      <c r="G109" s="184">
        <f t="shared" si="3"/>
        <v>21.85030511625077</v>
      </c>
      <c r="H109" s="184">
        <f t="shared" si="3"/>
        <v>3.3874127667280773</v>
      </c>
      <c r="I109" s="184">
        <f t="shared" si="3"/>
        <v>1.140965306720727</v>
      </c>
      <c r="J109" s="184">
        <f t="shared" si="3"/>
        <v>0.5039729873017248</v>
      </c>
      <c r="K109" s="184">
        <f t="shared" si="3"/>
        <v>99.390681436016763</v>
      </c>
      <c r="L109" s="184">
        <f t="shared" si="3"/>
        <v>4.0300407781120233</v>
      </c>
      <c r="M109" s="184">
        <f t="shared" si="3"/>
        <v>13.991866104787432</v>
      </c>
      <c r="N109" s="184">
        <f t="shared" si="3"/>
        <v>190.37124725022227</v>
      </c>
      <c r="O109" s="184">
        <f t="shared" si="3"/>
        <v>0</v>
      </c>
      <c r="P109" s="184">
        <f t="shared" si="3"/>
        <v>7.8564980368803453E-2</v>
      </c>
      <c r="Q109" s="184">
        <f t="shared" si="3"/>
        <v>2.5782278355354505E-2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45455.010416666664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45455.010416666664</v>
      </c>
      <c r="B9" s="6">
        <v>9.25</v>
      </c>
      <c r="C9" s="6">
        <v>4.13</v>
      </c>
      <c r="D9" s="6">
        <v>14.03</v>
      </c>
      <c r="E9" s="6">
        <v>8.99</v>
      </c>
      <c r="F9" s="6">
        <v>26.79</v>
      </c>
      <c r="G9" s="6">
        <v>18.97</v>
      </c>
      <c r="H9" s="6">
        <v>13.22</v>
      </c>
      <c r="I9" s="6">
        <v>3.9</v>
      </c>
      <c r="J9" s="6">
        <v>0.46</v>
      </c>
      <c r="K9" s="6">
        <v>250.82</v>
      </c>
      <c r="L9" s="6">
        <v>29.11</v>
      </c>
      <c r="M9" s="6">
        <v>66.39</v>
      </c>
      <c r="N9" s="6">
        <v>1.5</v>
      </c>
      <c r="O9" s="6">
        <v>0</v>
      </c>
      <c r="P9" s="6">
        <v>0.28000000000000003</v>
      </c>
      <c r="Q9" s="6">
        <v>4.04</v>
      </c>
    </row>
    <row r="10" spans="1:21" customFormat="1">
      <c r="A10" s="82">
        <v>45455.020833333336</v>
      </c>
      <c r="B10" s="6">
        <v>9.26</v>
      </c>
      <c r="C10" s="6">
        <v>4.0599999999999996</v>
      </c>
      <c r="D10" s="6">
        <v>14</v>
      </c>
      <c r="E10" s="6">
        <v>9.3800000000000008</v>
      </c>
      <c r="F10" s="6">
        <v>28.75</v>
      </c>
      <c r="G10" s="6">
        <v>18.97</v>
      </c>
      <c r="H10" s="6">
        <v>13.22</v>
      </c>
      <c r="I10" s="6">
        <v>3.74</v>
      </c>
      <c r="J10" s="6">
        <v>0.6</v>
      </c>
      <c r="K10" s="6">
        <v>246.76</v>
      </c>
      <c r="L10" s="6">
        <v>29.32</v>
      </c>
      <c r="M10" s="6">
        <v>64.25</v>
      </c>
      <c r="N10" s="6">
        <v>1.4</v>
      </c>
      <c r="O10" s="6">
        <v>0</v>
      </c>
      <c r="P10" s="6">
        <v>0.28000000000000003</v>
      </c>
      <c r="Q10" s="6">
        <v>4.09</v>
      </c>
    </row>
    <row r="11" spans="1:21" customFormat="1">
      <c r="A11" s="82">
        <v>45455.03125</v>
      </c>
      <c r="B11" s="6">
        <v>9.1999999999999993</v>
      </c>
      <c r="C11" s="6">
        <v>4.0599999999999996</v>
      </c>
      <c r="D11" s="6">
        <v>13.95</v>
      </c>
      <c r="E11" s="6">
        <v>9.09</v>
      </c>
      <c r="F11" s="6">
        <v>24.25</v>
      </c>
      <c r="G11" s="6">
        <v>18.97</v>
      </c>
      <c r="H11" s="6">
        <v>13.22</v>
      </c>
      <c r="I11" s="6">
        <v>3.64</v>
      </c>
      <c r="J11" s="6">
        <v>0.66</v>
      </c>
      <c r="K11" s="6">
        <v>255.93</v>
      </c>
      <c r="L11" s="6">
        <v>29.54</v>
      </c>
      <c r="M11" s="6">
        <v>61.86</v>
      </c>
      <c r="N11" s="6">
        <v>1.3</v>
      </c>
      <c r="O11" s="6">
        <v>0</v>
      </c>
      <c r="P11" s="6">
        <v>0.27</v>
      </c>
      <c r="Q11" s="6">
        <v>4.05</v>
      </c>
    </row>
    <row r="12" spans="1:21" customFormat="1">
      <c r="A12" s="82">
        <v>45455.041666666664</v>
      </c>
      <c r="B12" s="6">
        <v>9.18</v>
      </c>
      <c r="C12" s="6">
        <v>4.09</v>
      </c>
      <c r="D12" s="6">
        <v>13.95</v>
      </c>
      <c r="E12" s="6">
        <v>8.58</v>
      </c>
      <c r="F12" s="6">
        <v>20.36</v>
      </c>
      <c r="G12" s="6">
        <v>20.2</v>
      </c>
      <c r="H12" s="6">
        <v>13.24</v>
      </c>
      <c r="I12" s="6">
        <v>3.67</v>
      </c>
      <c r="J12" s="6">
        <v>1.04</v>
      </c>
      <c r="K12" s="6">
        <v>257.49</v>
      </c>
      <c r="L12" s="6">
        <v>29.77</v>
      </c>
      <c r="M12" s="6">
        <v>60.7</v>
      </c>
      <c r="N12" s="6">
        <v>1.4</v>
      </c>
      <c r="O12" s="6">
        <v>0</v>
      </c>
      <c r="P12" s="6">
        <v>0.27</v>
      </c>
      <c r="Q12" s="6">
        <v>4.0599999999999996</v>
      </c>
    </row>
    <row r="13" spans="1:21" customFormat="1">
      <c r="A13" s="82">
        <v>45455.052083333336</v>
      </c>
      <c r="B13" s="6">
        <v>9.17</v>
      </c>
      <c r="C13" s="6">
        <v>4.08</v>
      </c>
      <c r="D13" s="6">
        <v>13.93</v>
      </c>
      <c r="E13" s="6">
        <v>8.3000000000000007</v>
      </c>
      <c r="F13" s="6">
        <v>11.73</v>
      </c>
      <c r="G13" s="6">
        <v>23.4</v>
      </c>
      <c r="H13" s="6">
        <v>13.29</v>
      </c>
      <c r="I13" s="6">
        <v>3.66</v>
      </c>
      <c r="J13" s="6">
        <v>1.39</v>
      </c>
      <c r="K13" s="6">
        <v>261.95999999999998</v>
      </c>
      <c r="L13" s="6">
        <v>29.85</v>
      </c>
      <c r="M13" s="6">
        <v>60.02</v>
      </c>
      <c r="N13" s="6">
        <v>1.7</v>
      </c>
      <c r="O13" s="6">
        <v>0</v>
      </c>
      <c r="P13" s="6">
        <v>0.28000000000000003</v>
      </c>
      <c r="Q13" s="6">
        <v>4.08</v>
      </c>
    </row>
    <row r="14" spans="1:21" customFormat="1">
      <c r="A14" s="82">
        <v>45455.0625</v>
      </c>
      <c r="B14" s="6">
        <v>9.1300000000000008</v>
      </c>
      <c r="C14" s="6">
        <v>4.08</v>
      </c>
      <c r="D14" s="6">
        <v>13.9</v>
      </c>
      <c r="E14" s="6">
        <v>8.9</v>
      </c>
      <c r="F14" s="6">
        <v>11.94</v>
      </c>
      <c r="G14" s="6">
        <v>23.4</v>
      </c>
      <c r="H14" s="6">
        <v>13.29</v>
      </c>
      <c r="I14" s="6">
        <v>3.84</v>
      </c>
      <c r="J14" s="6">
        <v>1.43</v>
      </c>
      <c r="K14" s="6">
        <v>263.5</v>
      </c>
      <c r="L14" s="6">
        <v>29.92</v>
      </c>
      <c r="M14" s="6">
        <v>60.9</v>
      </c>
      <c r="N14" s="6">
        <v>2</v>
      </c>
      <c r="O14" s="6">
        <v>0</v>
      </c>
      <c r="P14" s="6">
        <v>0.28000000000000003</v>
      </c>
      <c r="Q14" s="6">
        <v>4.12</v>
      </c>
    </row>
    <row r="15" spans="1:21" customFormat="1">
      <c r="A15" s="82">
        <v>45455.072916666664</v>
      </c>
      <c r="B15" s="6">
        <v>9.1300000000000008</v>
      </c>
      <c r="C15" s="6">
        <v>4.0599999999999996</v>
      </c>
      <c r="D15" s="6">
        <v>13.9</v>
      </c>
      <c r="E15" s="6">
        <v>8.2100000000000009</v>
      </c>
      <c r="F15" s="6">
        <v>12.23</v>
      </c>
      <c r="G15" s="6">
        <v>23.4</v>
      </c>
      <c r="H15" s="6">
        <v>13.29</v>
      </c>
      <c r="I15" s="6">
        <v>4.12</v>
      </c>
      <c r="J15" s="6">
        <v>1.33</v>
      </c>
      <c r="K15" s="6">
        <v>269.27</v>
      </c>
      <c r="L15" s="6">
        <v>29.93</v>
      </c>
      <c r="M15" s="6">
        <v>61.18</v>
      </c>
      <c r="N15" s="6">
        <v>2.1</v>
      </c>
      <c r="O15" s="6">
        <v>0</v>
      </c>
      <c r="P15" s="6">
        <v>0.28000000000000003</v>
      </c>
      <c r="Q15" s="6">
        <v>4.0999999999999996</v>
      </c>
    </row>
    <row r="16" spans="1:21" customFormat="1">
      <c r="A16" s="82">
        <v>45455.083333333336</v>
      </c>
      <c r="B16" s="6">
        <v>9.14</v>
      </c>
      <c r="C16" s="6">
        <v>4.08</v>
      </c>
      <c r="D16" s="6">
        <v>13.91</v>
      </c>
      <c r="E16" s="6">
        <v>8.4499999999999993</v>
      </c>
      <c r="F16" s="6">
        <v>18.72</v>
      </c>
      <c r="G16" s="6">
        <v>22.81</v>
      </c>
      <c r="H16" s="6">
        <v>13.07</v>
      </c>
      <c r="I16" s="6">
        <v>4.0199999999999996</v>
      </c>
      <c r="J16" s="6">
        <v>1.22</v>
      </c>
      <c r="K16" s="6">
        <v>273.06</v>
      </c>
      <c r="L16" s="6">
        <v>29.98</v>
      </c>
      <c r="M16" s="6">
        <v>60.3</v>
      </c>
      <c r="N16" s="6">
        <v>2</v>
      </c>
      <c r="O16" s="6">
        <v>0</v>
      </c>
      <c r="P16" s="6">
        <v>0.28000000000000003</v>
      </c>
      <c r="Q16" s="6">
        <v>4.0999999999999996</v>
      </c>
    </row>
    <row r="17" spans="1:17" customFormat="1">
      <c r="A17" s="82">
        <v>45455.09375</v>
      </c>
      <c r="B17" s="6">
        <v>9.1199999999999992</v>
      </c>
      <c r="C17" s="6">
        <v>4.07</v>
      </c>
      <c r="D17" s="6">
        <v>13.89</v>
      </c>
      <c r="E17" s="6">
        <v>7.98</v>
      </c>
      <c r="F17" s="6">
        <v>11.58</v>
      </c>
      <c r="G17" s="6">
        <v>21.27</v>
      </c>
      <c r="H17" s="6">
        <v>12.69</v>
      </c>
      <c r="I17" s="6">
        <v>3.94</v>
      </c>
      <c r="J17" s="6">
        <v>1.45</v>
      </c>
      <c r="K17" s="6">
        <v>266.62</v>
      </c>
      <c r="L17" s="6">
        <v>30.02</v>
      </c>
      <c r="M17" s="6">
        <v>59.53</v>
      </c>
      <c r="N17" s="6">
        <v>2</v>
      </c>
      <c r="O17" s="6">
        <v>0</v>
      </c>
      <c r="P17" s="6">
        <v>0.27</v>
      </c>
      <c r="Q17" s="6">
        <v>4.07</v>
      </c>
    </row>
    <row r="18" spans="1:17" customFormat="1">
      <c r="A18" s="82">
        <v>45455.104166666664</v>
      </c>
      <c r="B18" s="6">
        <v>9.11</v>
      </c>
      <c r="C18" s="6">
        <v>4.0599999999999996</v>
      </c>
      <c r="D18" s="6">
        <v>13.87</v>
      </c>
      <c r="E18" s="6">
        <v>8.6300000000000008</v>
      </c>
      <c r="F18" s="6">
        <v>10.89</v>
      </c>
      <c r="G18" s="6">
        <v>21.27</v>
      </c>
      <c r="H18" s="6">
        <v>12.69</v>
      </c>
      <c r="I18" s="6">
        <v>3.78</v>
      </c>
      <c r="J18" s="6">
        <v>1.46</v>
      </c>
      <c r="K18" s="6">
        <v>262.2</v>
      </c>
      <c r="L18" s="6">
        <v>29.86</v>
      </c>
      <c r="M18" s="6">
        <v>60.13</v>
      </c>
      <c r="N18" s="6">
        <v>2.2000000000000002</v>
      </c>
      <c r="O18" s="6">
        <v>0</v>
      </c>
      <c r="P18" s="6">
        <v>0.28000000000000003</v>
      </c>
      <c r="Q18" s="6">
        <v>4.0999999999999996</v>
      </c>
    </row>
    <row r="19" spans="1:17" customFormat="1">
      <c r="A19" s="82">
        <v>45455.114583333336</v>
      </c>
      <c r="B19" s="6">
        <v>9.1</v>
      </c>
      <c r="C19" s="6">
        <v>4.09</v>
      </c>
      <c r="D19" s="6">
        <v>13.89</v>
      </c>
      <c r="E19" s="6">
        <v>8.81</v>
      </c>
      <c r="F19" s="6">
        <v>11.51</v>
      </c>
      <c r="G19" s="6">
        <v>21.27</v>
      </c>
      <c r="H19" s="6">
        <v>12.69</v>
      </c>
      <c r="I19" s="6">
        <v>3.91</v>
      </c>
      <c r="J19" s="6">
        <v>1.32</v>
      </c>
      <c r="K19" s="6">
        <v>260.07</v>
      </c>
      <c r="L19" s="6">
        <v>29.77</v>
      </c>
      <c r="M19" s="6">
        <v>60.62</v>
      </c>
      <c r="N19" s="6">
        <v>2.1</v>
      </c>
      <c r="O19" s="6">
        <v>0</v>
      </c>
      <c r="P19" s="6">
        <v>0.27</v>
      </c>
      <c r="Q19" s="6">
        <v>4.08</v>
      </c>
    </row>
    <row r="20" spans="1:17" customFormat="1">
      <c r="A20" s="82">
        <v>45455.125</v>
      </c>
      <c r="B20" s="6">
        <v>9.11</v>
      </c>
      <c r="C20" s="6">
        <v>4.0999999999999996</v>
      </c>
      <c r="D20" s="6">
        <v>13.9</v>
      </c>
      <c r="E20" s="6">
        <v>8.5299999999999994</v>
      </c>
      <c r="F20" s="6">
        <v>9.49</v>
      </c>
      <c r="G20" s="6">
        <v>20.81</v>
      </c>
      <c r="H20" s="6">
        <v>12.75</v>
      </c>
      <c r="I20" s="6">
        <v>3.97</v>
      </c>
      <c r="J20" s="6">
        <v>-1.1200000000000001</v>
      </c>
      <c r="K20" s="6">
        <v>-0.02</v>
      </c>
      <c r="L20" s="6">
        <v>29.69</v>
      </c>
      <c r="M20" s="6">
        <v>61.01</v>
      </c>
      <c r="N20" s="6">
        <v>2.1</v>
      </c>
      <c r="O20" s="6">
        <v>0</v>
      </c>
      <c r="P20" s="6">
        <v>0.27</v>
      </c>
      <c r="Q20" s="6">
        <v>4.07</v>
      </c>
    </row>
    <row r="21" spans="1:17" customFormat="1">
      <c r="A21" s="82">
        <v>45455.135416666664</v>
      </c>
      <c r="B21" s="6">
        <v>9.1300000000000008</v>
      </c>
      <c r="C21" s="6">
        <v>4.09</v>
      </c>
      <c r="D21" s="6">
        <v>13.91</v>
      </c>
      <c r="E21" s="6">
        <v>8.5399999999999991</v>
      </c>
      <c r="F21" s="6">
        <v>8.65</v>
      </c>
      <c r="G21" s="6">
        <v>19.54</v>
      </c>
      <c r="H21" s="6">
        <v>12.87</v>
      </c>
      <c r="I21" s="6">
        <v>3.8</v>
      </c>
      <c r="J21" s="6">
        <v>1.27</v>
      </c>
      <c r="K21" s="6">
        <v>263.02999999999997</v>
      </c>
      <c r="L21" s="6">
        <v>29.63</v>
      </c>
      <c r="M21" s="6">
        <v>61.11</v>
      </c>
      <c r="N21" s="6">
        <v>2.1</v>
      </c>
      <c r="O21" s="6">
        <v>0</v>
      </c>
      <c r="P21" s="6">
        <v>0.28999999999999998</v>
      </c>
      <c r="Q21" s="6">
        <v>4.03</v>
      </c>
    </row>
    <row r="22" spans="1:17" customFormat="1">
      <c r="A22" s="82">
        <v>45455.145833333336</v>
      </c>
      <c r="B22" s="6">
        <v>9.16</v>
      </c>
      <c r="C22" s="6">
        <v>4.09</v>
      </c>
      <c r="D22" s="6">
        <v>13.93</v>
      </c>
      <c r="E22" s="6">
        <v>8.69</v>
      </c>
      <c r="F22" s="6">
        <v>8.77</v>
      </c>
      <c r="G22" s="6">
        <v>19.54</v>
      </c>
      <c r="H22" s="6">
        <v>12.87</v>
      </c>
      <c r="I22" s="6">
        <v>3.8</v>
      </c>
      <c r="J22" s="6">
        <v>0.96</v>
      </c>
      <c r="K22" s="6">
        <v>267.16000000000003</v>
      </c>
      <c r="L22" s="6">
        <v>29.63</v>
      </c>
      <c r="M22" s="6">
        <v>60.62</v>
      </c>
      <c r="N22" s="6">
        <v>2</v>
      </c>
      <c r="O22" s="6">
        <v>0</v>
      </c>
      <c r="P22" s="6">
        <v>0.31</v>
      </c>
      <c r="Q22" s="6">
        <v>4.01</v>
      </c>
    </row>
    <row r="23" spans="1:17" customFormat="1">
      <c r="A23" s="82">
        <v>45455.15625</v>
      </c>
      <c r="B23" s="6">
        <v>9.17</v>
      </c>
      <c r="C23" s="6">
        <v>4.0999999999999996</v>
      </c>
      <c r="D23" s="6">
        <v>13.95</v>
      </c>
      <c r="E23" s="6">
        <v>8.5299999999999994</v>
      </c>
      <c r="F23" s="6">
        <v>9.82</v>
      </c>
      <c r="G23" s="6">
        <v>19.54</v>
      </c>
      <c r="H23" s="6">
        <v>12.87</v>
      </c>
      <c r="I23" s="6">
        <v>3.77</v>
      </c>
      <c r="J23" s="6">
        <v>0.94</v>
      </c>
      <c r="K23" s="6">
        <v>261.83</v>
      </c>
      <c r="L23" s="6">
        <v>29.63</v>
      </c>
      <c r="M23" s="6">
        <v>59.96</v>
      </c>
      <c r="N23" s="6">
        <v>2</v>
      </c>
      <c r="O23" s="6">
        <v>0</v>
      </c>
      <c r="P23" s="6">
        <v>0.32</v>
      </c>
      <c r="Q23" s="6">
        <v>4.0199999999999996</v>
      </c>
    </row>
    <row r="24" spans="1:17" customFormat="1">
      <c r="A24" s="82">
        <v>45455.166666666664</v>
      </c>
      <c r="B24" s="6">
        <v>9.1999999999999993</v>
      </c>
      <c r="C24" s="6">
        <v>4.08</v>
      </c>
      <c r="D24" s="6">
        <v>13.96</v>
      </c>
      <c r="E24" s="6">
        <v>8.98</v>
      </c>
      <c r="F24" s="6">
        <v>8.7100000000000009</v>
      </c>
      <c r="G24" s="6">
        <v>19.54</v>
      </c>
      <c r="H24" s="6">
        <v>12.36</v>
      </c>
      <c r="I24" s="6">
        <v>3.79</v>
      </c>
      <c r="J24" s="6">
        <v>1.05</v>
      </c>
      <c r="K24" s="6">
        <v>263.60000000000002</v>
      </c>
      <c r="L24" s="6">
        <v>29.56</v>
      </c>
      <c r="M24" s="6">
        <v>59.29</v>
      </c>
      <c r="N24" s="6">
        <v>2.1</v>
      </c>
      <c r="O24" s="6">
        <v>0</v>
      </c>
      <c r="P24" s="6">
        <v>0.32</v>
      </c>
      <c r="Q24" s="6">
        <v>4</v>
      </c>
    </row>
    <row r="25" spans="1:17" customFormat="1">
      <c r="A25" s="82">
        <v>45455.177083333336</v>
      </c>
      <c r="B25" s="6">
        <v>9.1999999999999993</v>
      </c>
      <c r="C25" s="6">
        <v>4.08</v>
      </c>
      <c r="D25" s="6">
        <v>13.96</v>
      </c>
      <c r="E25" s="6">
        <v>8.86</v>
      </c>
      <c r="F25" s="6">
        <v>6.26</v>
      </c>
      <c r="G25" s="6">
        <v>19.54</v>
      </c>
      <c r="H25" s="6">
        <v>10.17</v>
      </c>
      <c r="I25" s="6">
        <v>3.7</v>
      </c>
      <c r="J25" s="6">
        <v>1.9</v>
      </c>
      <c r="K25" s="6">
        <v>270.69</v>
      </c>
      <c r="L25" s="6">
        <v>29.38</v>
      </c>
      <c r="M25" s="6">
        <v>60.27</v>
      </c>
      <c r="N25" s="6">
        <v>2.2999999999999998</v>
      </c>
      <c r="O25" s="6">
        <v>0</v>
      </c>
      <c r="P25" s="6">
        <v>0.31</v>
      </c>
      <c r="Q25" s="6">
        <v>4.01</v>
      </c>
    </row>
    <row r="26" spans="1:17" customFormat="1">
      <c r="A26" s="82">
        <v>45455.1875</v>
      </c>
      <c r="B26" s="6">
        <v>9.19</v>
      </c>
      <c r="C26" s="6">
        <v>4.05</v>
      </c>
      <c r="D26" s="6">
        <v>13.94</v>
      </c>
      <c r="E26" s="6">
        <v>9.2799999999999994</v>
      </c>
      <c r="F26" s="6">
        <v>7.16</v>
      </c>
      <c r="G26" s="6">
        <v>19.54</v>
      </c>
      <c r="H26" s="6">
        <v>10.17</v>
      </c>
      <c r="I26" s="6">
        <v>3.67</v>
      </c>
      <c r="J26" s="6">
        <v>1.44</v>
      </c>
      <c r="K26" s="6">
        <v>271.14999999999998</v>
      </c>
      <c r="L26" s="6">
        <v>28.98</v>
      </c>
      <c r="M26" s="6">
        <v>62.36</v>
      </c>
      <c r="N26" s="6">
        <v>2.4</v>
      </c>
      <c r="O26" s="6">
        <v>0</v>
      </c>
      <c r="P26" s="6">
        <v>0.31</v>
      </c>
      <c r="Q26" s="6">
        <v>4.0599999999999996</v>
      </c>
    </row>
    <row r="27" spans="1:17" customFormat="1">
      <c r="A27" s="82">
        <v>45455.197916666664</v>
      </c>
      <c r="B27" s="6">
        <v>9.16</v>
      </c>
      <c r="C27" s="6">
        <v>4.09</v>
      </c>
      <c r="D27" s="6">
        <v>13.93</v>
      </c>
      <c r="E27" s="6">
        <v>9.86</v>
      </c>
      <c r="F27" s="6">
        <v>6.98</v>
      </c>
      <c r="G27" s="6">
        <v>19.54</v>
      </c>
      <c r="H27" s="6">
        <v>10.17</v>
      </c>
      <c r="I27" s="6">
        <v>3.7</v>
      </c>
      <c r="J27" s="6">
        <v>1.48</v>
      </c>
      <c r="K27" s="6">
        <v>279.39999999999998</v>
      </c>
      <c r="L27" s="6">
        <v>28.62</v>
      </c>
      <c r="M27" s="6">
        <v>66.98</v>
      </c>
      <c r="N27" s="6">
        <v>2.5</v>
      </c>
      <c r="O27" s="6">
        <v>0</v>
      </c>
      <c r="P27" s="6">
        <v>0.31</v>
      </c>
      <c r="Q27" s="6">
        <v>4.0599999999999996</v>
      </c>
    </row>
    <row r="28" spans="1:17" customFormat="1">
      <c r="A28" s="82">
        <v>45455.208333333336</v>
      </c>
      <c r="B28" s="6">
        <v>9.15</v>
      </c>
      <c r="C28" s="6">
        <v>4.0999999999999996</v>
      </c>
      <c r="D28" s="6">
        <v>13.93</v>
      </c>
      <c r="E28" s="6">
        <v>10.62</v>
      </c>
      <c r="F28" s="6">
        <v>5.91</v>
      </c>
      <c r="G28" s="6">
        <v>20.25</v>
      </c>
      <c r="H28" s="6">
        <v>9.1199999999999992</v>
      </c>
      <c r="I28" s="6">
        <v>3.65</v>
      </c>
      <c r="J28" s="6">
        <v>1.5</v>
      </c>
      <c r="K28" s="6">
        <v>275.58</v>
      </c>
      <c r="L28" s="6">
        <v>28.32</v>
      </c>
      <c r="M28" s="6">
        <v>69.900000000000006</v>
      </c>
      <c r="N28" s="6">
        <v>2.4</v>
      </c>
      <c r="O28" s="6">
        <v>0</v>
      </c>
      <c r="P28" s="6">
        <v>0.34</v>
      </c>
      <c r="Q28" s="6">
        <v>4.05</v>
      </c>
    </row>
    <row r="29" spans="1:17" customFormat="1">
      <c r="A29" s="82">
        <v>45455.21875</v>
      </c>
      <c r="B29" s="6">
        <v>9.15</v>
      </c>
      <c r="C29" s="6">
        <v>4.0999999999999996</v>
      </c>
      <c r="D29" s="6">
        <v>13.93</v>
      </c>
      <c r="E29" s="6">
        <v>10.85</v>
      </c>
      <c r="F29" s="6">
        <v>4.82</v>
      </c>
      <c r="G29" s="6">
        <v>22.2</v>
      </c>
      <c r="H29" s="6">
        <v>7.23</v>
      </c>
      <c r="I29" s="6">
        <v>3.64</v>
      </c>
      <c r="J29" s="6">
        <v>1.41</v>
      </c>
      <c r="K29" s="6">
        <v>277.91000000000003</v>
      </c>
      <c r="L29" s="6">
        <v>28.34</v>
      </c>
      <c r="M29" s="6">
        <v>69.73</v>
      </c>
      <c r="N29" s="6">
        <v>5.2</v>
      </c>
      <c r="O29" s="6">
        <v>0</v>
      </c>
      <c r="P29" s="6">
        <v>0.37</v>
      </c>
      <c r="Q29" s="6">
        <v>4.07</v>
      </c>
    </row>
    <row r="30" spans="1:17" customFormat="1">
      <c r="A30" s="82">
        <v>45455.229166666664</v>
      </c>
      <c r="B30" s="6">
        <v>9.17</v>
      </c>
      <c r="C30" s="6">
        <v>4.07</v>
      </c>
      <c r="D30" s="6">
        <v>13.93</v>
      </c>
      <c r="E30" s="6">
        <v>10.07</v>
      </c>
      <c r="F30" s="6">
        <v>5.56</v>
      </c>
      <c r="G30" s="6">
        <v>22.2</v>
      </c>
      <c r="H30" s="6">
        <v>7.23</v>
      </c>
      <c r="I30" s="6">
        <v>4.03</v>
      </c>
      <c r="J30" s="6">
        <v>1.38</v>
      </c>
      <c r="K30" s="6">
        <v>278.19</v>
      </c>
      <c r="L30" s="6">
        <v>28.34</v>
      </c>
      <c r="M30" s="6">
        <v>69.64</v>
      </c>
      <c r="N30" s="6">
        <v>19.100000000000001</v>
      </c>
      <c r="O30" s="6">
        <v>0</v>
      </c>
      <c r="P30" s="6">
        <v>0.37</v>
      </c>
      <c r="Q30" s="6">
        <v>4.04</v>
      </c>
    </row>
    <row r="31" spans="1:17" customFormat="1">
      <c r="A31" s="82">
        <v>45455.239583333336</v>
      </c>
      <c r="B31" s="6">
        <v>9.18</v>
      </c>
      <c r="C31" s="6">
        <v>4.0599999999999996</v>
      </c>
      <c r="D31" s="6">
        <v>13.93</v>
      </c>
      <c r="E31" s="6">
        <v>10.39</v>
      </c>
      <c r="F31" s="6">
        <v>4.29</v>
      </c>
      <c r="G31" s="6">
        <v>22.2</v>
      </c>
      <c r="H31" s="6">
        <v>7.23</v>
      </c>
      <c r="I31" s="6">
        <v>4.4000000000000004</v>
      </c>
      <c r="J31" s="6">
        <v>1.1399999999999999</v>
      </c>
      <c r="K31" s="6">
        <v>276.10000000000002</v>
      </c>
      <c r="L31" s="6">
        <v>28.33</v>
      </c>
      <c r="M31" s="6">
        <v>69.72</v>
      </c>
      <c r="N31" s="6">
        <v>32.1</v>
      </c>
      <c r="O31" s="6">
        <v>0</v>
      </c>
      <c r="P31" s="6">
        <v>0.38</v>
      </c>
      <c r="Q31" s="6">
        <v>4.0199999999999996</v>
      </c>
    </row>
    <row r="32" spans="1:17" customFormat="1">
      <c r="A32" s="82">
        <v>45455.25</v>
      </c>
      <c r="B32" s="6">
        <v>9.17</v>
      </c>
      <c r="C32" s="6">
        <v>4.09</v>
      </c>
      <c r="D32" s="6">
        <v>13.94</v>
      </c>
      <c r="E32" s="6">
        <v>10.54</v>
      </c>
      <c r="F32" s="6">
        <v>6.73</v>
      </c>
      <c r="G32" s="6">
        <v>22.23</v>
      </c>
      <c r="H32" s="6">
        <v>7.72</v>
      </c>
      <c r="I32" s="6">
        <v>4.4400000000000004</v>
      </c>
      <c r="J32" s="6">
        <v>1.07</v>
      </c>
      <c r="K32" s="6">
        <v>271.95</v>
      </c>
      <c r="L32" s="6">
        <v>28.33</v>
      </c>
      <c r="M32" s="6">
        <v>69.819999999999993</v>
      </c>
      <c r="N32" s="6">
        <v>36</v>
      </c>
      <c r="O32" s="6">
        <v>0</v>
      </c>
      <c r="P32" s="6">
        <v>0.38</v>
      </c>
      <c r="Q32" s="6">
        <v>4.03</v>
      </c>
    </row>
    <row r="33" spans="1:17" customFormat="1">
      <c r="A33" s="82">
        <v>45455.260416666664</v>
      </c>
      <c r="B33" s="6">
        <v>9.16</v>
      </c>
      <c r="C33" s="6">
        <v>4.09</v>
      </c>
      <c r="D33" s="6">
        <v>13.93</v>
      </c>
      <c r="E33" s="6">
        <v>10.6</v>
      </c>
      <c r="F33" s="6">
        <v>5.29</v>
      </c>
      <c r="G33" s="6">
        <v>22.31</v>
      </c>
      <c r="H33" s="6">
        <v>8.58</v>
      </c>
      <c r="I33" s="6">
        <v>4.4000000000000004</v>
      </c>
      <c r="J33" s="6">
        <v>1.01</v>
      </c>
      <c r="K33" s="6">
        <v>280.29000000000002</v>
      </c>
      <c r="L33" s="6">
        <v>28.4</v>
      </c>
      <c r="M33" s="6">
        <v>69.27</v>
      </c>
      <c r="N33" s="6">
        <v>40.700000000000003</v>
      </c>
      <c r="O33" s="6">
        <v>0</v>
      </c>
      <c r="P33" s="6">
        <v>0.38</v>
      </c>
      <c r="Q33" s="6">
        <v>4.05</v>
      </c>
    </row>
    <row r="34" spans="1:17" customFormat="1">
      <c r="A34" s="82">
        <v>45455.270833333336</v>
      </c>
      <c r="B34" s="6">
        <v>9.17</v>
      </c>
      <c r="C34" s="6">
        <v>4.0599999999999996</v>
      </c>
      <c r="D34" s="6">
        <v>13.92</v>
      </c>
      <c r="E34" s="6">
        <v>10.34</v>
      </c>
      <c r="F34" s="6">
        <v>4.12</v>
      </c>
      <c r="G34" s="6">
        <v>22.31</v>
      </c>
      <c r="H34" s="6">
        <v>8.58</v>
      </c>
      <c r="I34" s="6">
        <v>4.3600000000000003</v>
      </c>
      <c r="J34" s="6">
        <v>1.05</v>
      </c>
      <c r="K34" s="6">
        <v>267.27999999999997</v>
      </c>
      <c r="L34" s="6">
        <v>28.49</v>
      </c>
      <c r="M34" s="6">
        <v>68.81</v>
      </c>
      <c r="N34" s="6">
        <v>52.7</v>
      </c>
      <c r="O34" s="6">
        <v>0</v>
      </c>
      <c r="P34" s="6">
        <v>0.37</v>
      </c>
      <c r="Q34" s="6">
        <v>4.05</v>
      </c>
    </row>
    <row r="35" spans="1:17" customFormat="1">
      <c r="A35" s="82">
        <v>45455.28125</v>
      </c>
      <c r="B35" s="6">
        <v>9.18</v>
      </c>
      <c r="C35" s="6">
        <v>4.07</v>
      </c>
      <c r="D35" s="6">
        <v>13.94</v>
      </c>
      <c r="E35" s="6">
        <v>10.44</v>
      </c>
      <c r="F35" s="6">
        <v>5.26</v>
      </c>
      <c r="G35" s="6">
        <v>22.31</v>
      </c>
      <c r="H35" s="6">
        <v>8.58</v>
      </c>
      <c r="I35" s="6">
        <v>4.4000000000000004</v>
      </c>
      <c r="J35" s="6">
        <v>1.06</v>
      </c>
      <c r="K35" s="6">
        <v>276.76</v>
      </c>
      <c r="L35" s="6">
        <v>28.67</v>
      </c>
      <c r="M35" s="6">
        <v>67.989999999999995</v>
      </c>
      <c r="N35" s="6">
        <v>74.900000000000006</v>
      </c>
      <c r="O35" s="6">
        <v>0</v>
      </c>
      <c r="P35" s="6">
        <v>0.38</v>
      </c>
      <c r="Q35" s="6">
        <v>4.04</v>
      </c>
    </row>
    <row r="36" spans="1:17" customFormat="1">
      <c r="A36" s="82">
        <v>45455.291666666664</v>
      </c>
      <c r="B36" s="6">
        <v>9.18</v>
      </c>
      <c r="C36" s="6">
        <v>4.08</v>
      </c>
      <c r="D36" s="6">
        <v>13.94</v>
      </c>
      <c r="E36" s="6">
        <v>10.94</v>
      </c>
      <c r="F36" s="6">
        <v>4.68</v>
      </c>
      <c r="G36" s="6">
        <v>22.81</v>
      </c>
      <c r="H36" s="6">
        <v>9.8699999999999992</v>
      </c>
      <c r="I36" s="6">
        <v>4.37</v>
      </c>
      <c r="J36" s="6">
        <v>1.17</v>
      </c>
      <c r="K36" s="6">
        <v>287.93</v>
      </c>
      <c r="L36" s="6">
        <v>29.32</v>
      </c>
      <c r="M36" s="6">
        <v>65.33</v>
      </c>
      <c r="N36" s="6">
        <v>127.6</v>
      </c>
      <c r="O36" s="6">
        <v>0</v>
      </c>
      <c r="P36" s="6">
        <v>0.39</v>
      </c>
      <c r="Q36" s="6">
        <v>4.07</v>
      </c>
    </row>
    <row r="37" spans="1:17" customFormat="1">
      <c r="A37" s="82">
        <v>45455.302083333336</v>
      </c>
      <c r="B37" s="6">
        <v>9.18</v>
      </c>
      <c r="C37" s="6">
        <v>4.07</v>
      </c>
      <c r="D37" s="6">
        <v>13.94</v>
      </c>
      <c r="E37" s="6">
        <v>11</v>
      </c>
      <c r="F37" s="6">
        <v>3.53</v>
      </c>
      <c r="G37" s="6">
        <v>24.2</v>
      </c>
      <c r="H37" s="6">
        <v>12.27</v>
      </c>
      <c r="I37" s="6">
        <v>4.42</v>
      </c>
      <c r="J37" s="6">
        <v>1.64</v>
      </c>
      <c r="K37" s="6">
        <v>299.77999999999997</v>
      </c>
      <c r="L37" s="6">
        <v>29.85</v>
      </c>
      <c r="M37" s="6">
        <v>62.38</v>
      </c>
      <c r="N37" s="6">
        <v>120.7</v>
      </c>
      <c r="O37" s="6">
        <v>0</v>
      </c>
      <c r="P37" s="6">
        <v>0.41</v>
      </c>
      <c r="Q37" s="6">
        <v>4.0599999999999996</v>
      </c>
    </row>
    <row r="38" spans="1:17" customFormat="1">
      <c r="A38" s="82">
        <v>45455.3125</v>
      </c>
      <c r="B38" s="6">
        <v>9.19</v>
      </c>
      <c r="C38" s="6">
        <v>4.12</v>
      </c>
      <c r="D38" s="6">
        <v>13.97</v>
      </c>
      <c r="E38" s="6">
        <v>10.9</v>
      </c>
      <c r="F38" s="6">
        <v>4.76</v>
      </c>
      <c r="G38" s="6">
        <v>24.2</v>
      </c>
      <c r="H38" s="6">
        <v>12.27</v>
      </c>
      <c r="I38" s="6">
        <v>4.57</v>
      </c>
      <c r="J38" s="6">
        <v>1.49</v>
      </c>
      <c r="K38" s="6">
        <v>294.42</v>
      </c>
      <c r="L38" s="6">
        <v>30.14</v>
      </c>
      <c r="M38" s="6">
        <v>60.62</v>
      </c>
      <c r="N38" s="6">
        <v>121</v>
      </c>
      <c r="O38" s="6">
        <v>0</v>
      </c>
      <c r="P38" s="6">
        <v>0.41</v>
      </c>
      <c r="Q38" s="6">
        <v>4.04</v>
      </c>
    </row>
    <row r="39" spans="1:17" customFormat="1">
      <c r="A39" s="82">
        <v>45455.322916666664</v>
      </c>
      <c r="B39" s="6">
        <v>9.1999999999999993</v>
      </c>
      <c r="C39" s="6">
        <v>4.08</v>
      </c>
      <c r="D39" s="6">
        <v>13.96</v>
      </c>
      <c r="E39" s="6">
        <v>11.06</v>
      </c>
      <c r="F39" s="6">
        <v>4.71</v>
      </c>
      <c r="G39" s="6">
        <v>24.2</v>
      </c>
      <c r="H39" s="6">
        <v>12.27</v>
      </c>
      <c r="I39" s="6">
        <v>4.74</v>
      </c>
      <c r="J39" s="6">
        <v>1.81</v>
      </c>
      <c r="K39" s="6">
        <v>296.47000000000003</v>
      </c>
      <c r="L39" s="6">
        <v>30.58</v>
      </c>
      <c r="M39" s="6">
        <v>58.82</v>
      </c>
      <c r="N39" s="6">
        <v>131.80000000000001</v>
      </c>
      <c r="O39" s="6">
        <v>0</v>
      </c>
      <c r="P39" s="6">
        <v>0.41</v>
      </c>
      <c r="Q39" s="6">
        <v>4.04</v>
      </c>
    </row>
    <row r="40" spans="1:17" customFormat="1">
      <c r="A40" s="82">
        <v>45455.333333333336</v>
      </c>
      <c r="B40" s="6">
        <v>9.2100000000000009</v>
      </c>
      <c r="C40" s="6">
        <v>4.1100000000000003</v>
      </c>
      <c r="D40" s="6">
        <v>13.98</v>
      </c>
      <c r="E40" s="6">
        <v>10.92</v>
      </c>
      <c r="F40" s="6">
        <v>5.87</v>
      </c>
      <c r="G40" s="6">
        <v>25.05</v>
      </c>
      <c r="H40" s="6">
        <v>11.51</v>
      </c>
      <c r="I40" s="6">
        <v>4.74</v>
      </c>
      <c r="J40" s="6">
        <v>1.87</v>
      </c>
      <c r="K40" s="6">
        <v>297.12</v>
      </c>
      <c r="L40" s="6">
        <v>30.87</v>
      </c>
      <c r="M40" s="6">
        <v>57.93</v>
      </c>
      <c r="N40" s="6">
        <v>142.9</v>
      </c>
      <c r="O40" s="6">
        <v>0</v>
      </c>
      <c r="P40" s="6">
        <v>0.41</v>
      </c>
      <c r="Q40" s="6">
        <v>4.03</v>
      </c>
    </row>
    <row r="41" spans="1:17" customFormat="1">
      <c r="A41" s="82">
        <v>45455.34375</v>
      </c>
      <c r="B41" s="6">
        <v>9.25</v>
      </c>
      <c r="C41" s="6">
        <v>4.09</v>
      </c>
      <c r="D41" s="6">
        <v>14</v>
      </c>
      <c r="E41" s="6">
        <v>10.92</v>
      </c>
      <c r="F41" s="6">
        <v>6.94</v>
      </c>
      <c r="G41" s="6">
        <v>27.25</v>
      </c>
      <c r="H41" s="6">
        <v>10.17</v>
      </c>
      <c r="I41" s="6">
        <v>4.6900000000000004</v>
      </c>
      <c r="J41" s="6">
        <v>1.79</v>
      </c>
      <c r="K41" s="6">
        <v>290.29000000000002</v>
      </c>
      <c r="L41" s="6">
        <v>31.16</v>
      </c>
      <c r="M41" s="6">
        <v>56.85</v>
      </c>
      <c r="N41" s="6">
        <v>154.1</v>
      </c>
      <c r="O41" s="6">
        <v>0</v>
      </c>
      <c r="P41" s="6">
        <v>0.39</v>
      </c>
      <c r="Q41" s="6">
        <v>4.05</v>
      </c>
    </row>
    <row r="42" spans="1:17" customFormat="1">
      <c r="A42" s="82">
        <v>45455.354166666664</v>
      </c>
      <c r="B42" s="6">
        <v>9.27</v>
      </c>
      <c r="C42" s="6">
        <v>4.08</v>
      </c>
      <c r="D42" s="6">
        <v>14.01</v>
      </c>
      <c r="E42" s="6">
        <v>10.33</v>
      </c>
      <c r="F42" s="6">
        <v>9.6999999999999993</v>
      </c>
      <c r="G42" s="6">
        <v>27.25</v>
      </c>
      <c r="H42" s="6">
        <v>10.17</v>
      </c>
      <c r="I42" s="6">
        <v>4.67</v>
      </c>
      <c r="J42" s="6">
        <v>1.6</v>
      </c>
      <c r="K42" s="6">
        <v>291.13</v>
      </c>
      <c r="L42" s="6">
        <v>31.54</v>
      </c>
      <c r="M42" s="6">
        <v>55.82</v>
      </c>
      <c r="N42" s="6">
        <v>165.1</v>
      </c>
      <c r="O42" s="6">
        <v>0</v>
      </c>
      <c r="P42" s="6">
        <v>0.38</v>
      </c>
      <c r="Q42" s="6">
        <v>4.0599999999999996</v>
      </c>
    </row>
    <row r="43" spans="1:17" customFormat="1">
      <c r="A43" s="82">
        <v>45455.364583333336</v>
      </c>
      <c r="B43" s="6">
        <v>9.26</v>
      </c>
      <c r="C43" s="6">
        <v>4.1100000000000003</v>
      </c>
      <c r="D43" s="6">
        <v>14.02</v>
      </c>
      <c r="E43" s="6">
        <v>9.5500000000000007</v>
      </c>
      <c r="F43" s="6">
        <v>10.89</v>
      </c>
      <c r="G43" s="6">
        <v>27.25</v>
      </c>
      <c r="H43" s="6">
        <v>10.17</v>
      </c>
      <c r="I43" s="6">
        <v>4.6399999999999997</v>
      </c>
      <c r="J43" s="6">
        <v>1.49</v>
      </c>
      <c r="K43" s="6">
        <v>296.18</v>
      </c>
      <c r="L43" s="6">
        <v>31.96</v>
      </c>
      <c r="M43" s="6">
        <v>54.38</v>
      </c>
      <c r="N43" s="6">
        <v>174.3</v>
      </c>
      <c r="O43" s="6">
        <v>0</v>
      </c>
      <c r="P43" s="6">
        <v>0.38</v>
      </c>
      <c r="Q43" s="6">
        <v>4.0599999999999996</v>
      </c>
    </row>
    <row r="44" spans="1:17" customFormat="1">
      <c r="A44" s="82">
        <v>45455.375</v>
      </c>
      <c r="B44" s="6">
        <v>9.2799999999999994</v>
      </c>
      <c r="C44" s="6">
        <v>4.07</v>
      </c>
      <c r="D44" s="6">
        <v>14.02</v>
      </c>
      <c r="E44" s="6">
        <v>10.34</v>
      </c>
      <c r="F44" s="6">
        <v>20.5</v>
      </c>
      <c r="G44" s="6">
        <v>28.41</v>
      </c>
      <c r="H44" s="6">
        <v>9.8800000000000008</v>
      </c>
      <c r="I44" s="6">
        <v>4.58</v>
      </c>
      <c r="J44" s="6">
        <v>1.1499999999999999</v>
      </c>
      <c r="K44" s="6">
        <v>315.73</v>
      </c>
      <c r="L44" s="6">
        <v>32.770000000000003</v>
      </c>
      <c r="M44" s="6">
        <v>52.41</v>
      </c>
      <c r="N44" s="6">
        <v>180.9</v>
      </c>
      <c r="O44" s="6">
        <v>0</v>
      </c>
      <c r="P44" s="6">
        <v>0.38</v>
      </c>
      <c r="Q44" s="6">
        <v>4.05</v>
      </c>
    </row>
    <row r="45" spans="1:17" customFormat="1">
      <c r="A45" s="82">
        <v>45455.385416666664</v>
      </c>
      <c r="B45" s="6">
        <v>9.24</v>
      </c>
      <c r="C45" s="6">
        <v>4.08</v>
      </c>
      <c r="D45" s="6">
        <v>13.99</v>
      </c>
      <c r="E45" s="6">
        <v>10.25</v>
      </c>
      <c r="F45" s="6">
        <v>16.010000000000002</v>
      </c>
      <c r="G45" s="6">
        <v>31.43</v>
      </c>
      <c r="H45" s="6">
        <v>9.3699999999999992</v>
      </c>
      <c r="I45" s="6">
        <v>4.49</v>
      </c>
      <c r="J45" s="6">
        <v>1.37</v>
      </c>
      <c r="K45" s="6">
        <v>305.83</v>
      </c>
      <c r="L45" s="6">
        <v>33.200000000000003</v>
      </c>
      <c r="M45" s="6">
        <v>50.48</v>
      </c>
      <c r="N45" s="6">
        <v>188.5</v>
      </c>
      <c r="O45" s="6">
        <v>0</v>
      </c>
      <c r="P45" s="6">
        <v>0.37</v>
      </c>
      <c r="Q45" s="6">
        <v>4.0199999999999996</v>
      </c>
    </row>
    <row r="46" spans="1:17" customFormat="1">
      <c r="A46" s="82">
        <v>45455.395833333336</v>
      </c>
      <c r="B46" s="6">
        <v>9.2100000000000009</v>
      </c>
      <c r="C46" s="6">
        <v>4.08</v>
      </c>
      <c r="D46" s="6">
        <v>13.97</v>
      </c>
      <c r="E46" s="6">
        <v>10.4</v>
      </c>
      <c r="F46" s="6">
        <v>13.98</v>
      </c>
      <c r="G46" s="6">
        <v>31.43</v>
      </c>
      <c r="H46" s="6">
        <v>9.3699999999999992</v>
      </c>
      <c r="I46" s="6">
        <v>4.28</v>
      </c>
      <c r="J46" s="6">
        <v>1.53</v>
      </c>
      <c r="K46" s="6">
        <v>304.8</v>
      </c>
      <c r="L46" s="6">
        <v>33.76</v>
      </c>
      <c r="M46" s="6">
        <v>48.36</v>
      </c>
      <c r="N46" s="6">
        <v>197.1</v>
      </c>
      <c r="O46" s="6">
        <v>0</v>
      </c>
      <c r="P46" s="6">
        <v>0.38</v>
      </c>
      <c r="Q46" s="6">
        <v>4.01</v>
      </c>
    </row>
    <row r="47" spans="1:17" customFormat="1">
      <c r="A47" s="82">
        <v>45455.40625</v>
      </c>
      <c r="B47" s="6">
        <v>9.1999999999999993</v>
      </c>
      <c r="C47" s="6">
        <v>4.07</v>
      </c>
      <c r="D47" s="6">
        <v>13.96</v>
      </c>
      <c r="E47" s="6">
        <v>10.11</v>
      </c>
      <c r="F47" s="6">
        <v>15.28</v>
      </c>
      <c r="G47" s="6">
        <v>31.43</v>
      </c>
      <c r="H47" s="6">
        <v>9.3699999999999992</v>
      </c>
      <c r="I47" s="6">
        <v>4.42</v>
      </c>
      <c r="J47" s="6">
        <v>1.59</v>
      </c>
      <c r="K47" s="6">
        <v>310.02999999999997</v>
      </c>
      <c r="L47" s="6">
        <v>34.1</v>
      </c>
      <c r="M47" s="6">
        <v>47.94</v>
      </c>
      <c r="N47" s="6">
        <v>204.4</v>
      </c>
      <c r="O47" s="6">
        <v>0</v>
      </c>
      <c r="P47" s="6">
        <v>0.38</v>
      </c>
      <c r="Q47" s="6">
        <v>4.0199999999999996</v>
      </c>
    </row>
    <row r="48" spans="1:17" customFormat="1">
      <c r="A48" s="82">
        <v>45455.416666666664</v>
      </c>
      <c r="B48" s="6">
        <v>9.19</v>
      </c>
      <c r="C48" s="6">
        <v>4.07</v>
      </c>
      <c r="D48" s="6">
        <v>13.95</v>
      </c>
      <c r="E48" s="6">
        <v>10.74</v>
      </c>
      <c r="F48" s="6">
        <v>18.739999999999998</v>
      </c>
      <c r="G48" s="6">
        <v>31.95</v>
      </c>
      <c r="H48" s="6">
        <v>10.74</v>
      </c>
      <c r="I48" s="6">
        <v>4.45</v>
      </c>
      <c r="J48" s="6">
        <v>1.69</v>
      </c>
      <c r="K48" s="6">
        <v>312.81</v>
      </c>
      <c r="L48" s="6">
        <v>34.49</v>
      </c>
      <c r="M48" s="6">
        <v>46.68</v>
      </c>
      <c r="N48" s="6">
        <v>212.8</v>
      </c>
      <c r="O48" s="6">
        <v>0</v>
      </c>
      <c r="P48" s="6">
        <v>0.4</v>
      </c>
      <c r="Q48" s="6">
        <v>4.0599999999999996</v>
      </c>
    </row>
    <row r="49" spans="1:17" customFormat="1">
      <c r="A49" s="82">
        <v>45455.427083333336</v>
      </c>
      <c r="B49" s="6">
        <v>9.19</v>
      </c>
      <c r="C49" s="6">
        <v>4.07</v>
      </c>
      <c r="D49" s="6">
        <v>13.95</v>
      </c>
      <c r="E49" s="6">
        <v>9.81</v>
      </c>
      <c r="F49" s="6">
        <v>20.7</v>
      </c>
      <c r="G49" s="6">
        <v>33.299999999999997</v>
      </c>
      <c r="H49" s="6">
        <v>16.46</v>
      </c>
      <c r="I49" s="6">
        <v>4.4000000000000004</v>
      </c>
      <c r="J49" s="6">
        <v>1.67</v>
      </c>
      <c r="K49" s="6">
        <v>308.24</v>
      </c>
      <c r="L49" s="6">
        <v>34.94</v>
      </c>
      <c r="M49" s="6">
        <v>45.91</v>
      </c>
      <c r="N49" s="6">
        <v>220.4</v>
      </c>
      <c r="O49" s="6">
        <v>0</v>
      </c>
      <c r="P49" s="6">
        <v>0.41</v>
      </c>
      <c r="Q49" s="6">
        <v>4.05</v>
      </c>
    </row>
    <row r="50" spans="1:17" customFormat="1">
      <c r="A50" s="82">
        <v>45455.4375</v>
      </c>
      <c r="B50" s="6">
        <v>9.1999999999999993</v>
      </c>
      <c r="C50" s="6">
        <v>4.05</v>
      </c>
      <c r="D50" s="6">
        <v>13.94</v>
      </c>
      <c r="E50" s="6">
        <v>11.28</v>
      </c>
      <c r="F50" s="6">
        <v>26</v>
      </c>
      <c r="G50" s="6">
        <v>33.299999999999997</v>
      </c>
      <c r="H50" s="6">
        <v>16.46</v>
      </c>
      <c r="I50" s="6">
        <v>4.43</v>
      </c>
      <c r="J50" s="6">
        <v>1.35</v>
      </c>
      <c r="K50" s="6">
        <v>301.74</v>
      </c>
      <c r="L50" s="6">
        <v>35.43</v>
      </c>
      <c r="M50" s="6">
        <v>45.19</v>
      </c>
      <c r="N50" s="6">
        <v>228</v>
      </c>
      <c r="O50" s="6">
        <v>0</v>
      </c>
      <c r="P50" s="6">
        <v>0.41</v>
      </c>
      <c r="Q50" s="6">
        <v>4.0199999999999996</v>
      </c>
    </row>
    <row r="51" spans="1:17" customFormat="1">
      <c r="A51" s="82">
        <v>45455.447916666664</v>
      </c>
      <c r="B51" s="6">
        <v>9.19</v>
      </c>
      <c r="C51" s="6">
        <v>4.07</v>
      </c>
      <c r="D51" s="6">
        <v>13.95</v>
      </c>
      <c r="E51" s="6">
        <v>12.59</v>
      </c>
      <c r="F51" s="6">
        <v>26.02</v>
      </c>
      <c r="G51" s="6">
        <v>33.299999999999997</v>
      </c>
      <c r="H51" s="6">
        <v>16.46</v>
      </c>
      <c r="I51" s="6">
        <v>4.4400000000000004</v>
      </c>
      <c r="J51" s="6">
        <v>1.26</v>
      </c>
      <c r="K51" s="6">
        <v>299.07</v>
      </c>
      <c r="L51" s="6">
        <v>35.93</v>
      </c>
      <c r="M51" s="6">
        <v>44.18</v>
      </c>
      <c r="N51" s="6">
        <v>236.2</v>
      </c>
      <c r="O51" s="6">
        <v>0</v>
      </c>
      <c r="P51" s="6">
        <v>0.42</v>
      </c>
      <c r="Q51" s="6">
        <v>4</v>
      </c>
    </row>
    <row r="52" spans="1:17" customFormat="1">
      <c r="A52" s="82">
        <v>45455.458333333336</v>
      </c>
      <c r="B52" s="6">
        <v>9.17</v>
      </c>
      <c r="C52" s="6">
        <v>4.07</v>
      </c>
      <c r="D52" s="6">
        <v>13.93</v>
      </c>
      <c r="E52" s="6">
        <v>13.36</v>
      </c>
      <c r="F52" s="6">
        <v>32.86</v>
      </c>
      <c r="G52" s="6">
        <v>33.85</v>
      </c>
      <c r="H52" s="6">
        <v>17.3</v>
      </c>
      <c r="I52" s="6">
        <v>4.32</v>
      </c>
      <c r="J52" s="6">
        <v>1.1200000000000001</v>
      </c>
      <c r="K52" s="6">
        <v>311.76</v>
      </c>
      <c r="L52" s="6">
        <v>36.36</v>
      </c>
      <c r="M52" s="6">
        <v>43.45</v>
      </c>
      <c r="N52" s="6">
        <v>245.3</v>
      </c>
      <c r="O52" s="6">
        <v>0</v>
      </c>
      <c r="P52" s="6">
        <v>0.45</v>
      </c>
      <c r="Q52" s="6">
        <v>4</v>
      </c>
    </row>
    <row r="53" spans="1:17" customFormat="1">
      <c r="A53" s="82">
        <v>45455.46875</v>
      </c>
      <c r="B53" s="6">
        <v>9.18</v>
      </c>
      <c r="C53" s="6">
        <v>4.0599999999999996</v>
      </c>
      <c r="D53" s="6">
        <v>13.93</v>
      </c>
      <c r="E53" s="6">
        <v>14.24</v>
      </c>
      <c r="F53" s="6">
        <v>25.35</v>
      </c>
      <c r="G53" s="6">
        <v>35.36</v>
      </c>
      <c r="H53" s="6">
        <v>18.79</v>
      </c>
      <c r="I53" s="6">
        <v>4.43</v>
      </c>
      <c r="J53" s="6">
        <v>1.6</v>
      </c>
      <c r="K53" s="6">
        <v>311.22000000000003</v>
      </c>
      <c r="L53" s="6">
        <v>36.56</v>
      </c>
      <c r="M53" s="6">
        <v>42.38</v>
      </c>
      <c r="N53" s="6">
        <v>254.6</v>
      </c>
      <c r="O53" s="6">
        <v>0</v>
      </c>
      <c r="P53" s="6">
        <v>0.44</v>
      </c>
      <c r="Q53" s="6">
        <v>4.05</v>
      </c>
    </row>
    <row r="54" spans="1:17" customFormat="1">
      <c r="A54" s="82">
        <v>45455.479166666664</v>
      </c>
      <c r="B54" s="6">
        <v>9.19</v>
      </c>
      <c r="C54" s="6">
        <v>4.05</v>
      </c>
      <c r="D54" s="6">
        <v>13.94</v>
      </c>
      <c r="E54" s="6">
        <v>14.55</v>
      </c>
      <c r="F54" s="6">
        <v>31.01</v>
      </c>
      <c r="G54" s="6">
        <v>35.36</v>
      </c>
      <c r="H54" s="6">
        <v>18.79</v>
      </c>
      <c r="I54" s="6">
        <v>4.33</v>
      </c>
      <c r="J54" s="6">
        <v>1.02</v>
      </c>
      <c r="K54" s="6">
        <v>293.60000000000002</v>
      </c>
      <c r="L54" s="6">
        <v>37.04</v>
      </c>
      <c r="M54" s="6">
        <v>41.73</v>
      </c>
      <c r="N54" s="6">
        <v>264.10000000000002</v>
      </c>
      <c r="O54" s="6">
        <v>0</v>
      </c>
      <c r="P54" s="6">
        <v>0.44</v>
      </c>
      <c r="Q54" s="6">
        <v>4.03</v>
      </c>
    </row>
    <row r="55" spans="1:17" customFormat="1">
      <c r="A55" s="82">
        <v>45455.489583333336</v>
      </c>
      <c r="B55" s="6">
        <v>9.23</v>
      </c>
      <c r="C55" s="6">
        <v>4.0599999999999996</v>
      </c>
      <c r="D55" s="6">
        <v>13.97</v>
      </c>
      <c r="E55" s="6">
        <v>13.72</v>
      </c>
      <c r="F55" s="6">
        <v>23.11</v>
      </c>
      <c r="G55" s="6">
        <v>35.36</v>
      </c>
      <c r="H55" s="6">
        <v>18.79</v>
      </c>
      <c r="I55" s="6">
        <v>4.47</v>
      </c>
      <c r="J55" s="6">
        <v>1.41</v>
      </c>
      <c r="K55" s="6">
        <v>294.27</v>
      </c>
      <c r="L55" s="6">
        <v>37.43</v>
      </c>
      <c r="M55" s="6">
        <v>40.700000000000003</v>
      </c>
      <c r="N55" s="6">
        <v>480.7</v>
      </c>
      <c r="O55" s="6">
        <v>0</v>
      </c>
      <c r="P55" s="6">
        <v>0.45</v>
      </c>
      <c r="Q55" s="6">
        <v>4.04</v>
      </c>
    </row>
    <row r="56" spans="1:17" customFormat="1">
      <c r="A56" s="82">
        <v>45455.5</v>
      </c>
      <c r="B56" s="6">
        <v>9.25</v>
      </c>
      <c r="C56" s="6">
        <v>4.09</v>
      </c>
      <c r="D56" s="6">
        <v>14</v>
      </c>
      <c r="E56" s="6">
        <v>16.170000000000002</v>
      </c>
      <c r="F56" s="6">
        <v>34.020000000000003</v>
      </c>
      <c r="G56" s="6">
        <v>37.19</v>
      </c>
      <c r="H56" s="6">
        <v>17.8</v>
      </c>
      <c r="I56" s="6">
        <v>4.46</v>
      </c>
      <c r="J56" s="6">
        <v>1.52</v>
      </c>
      <c r="K56" s="6">
        <v>308.45</v>
      </c>
      <c r="L56" s="6">
        <v>37.909999999999997</v>
      </c>
      <c r="M56" s="6">
        <v>39.33</v>
      </c>
      <c r="N56" s="6">
        <v>741.6</v>
      </c>
      <c r="O56" s="6">
        <v>0</v>
      </c>
      <c r="P56" s="6">
        <v>0.48</v>
      </c>
      <c r="Q56" s="6">
        <v>4.03</v>
      </c>
    </row>
    <row r="57" spans="1:17" customFormat="1">
      <c r="A57" s="82">
        <v>45455.510416666664</v>
      </c>
      <c r="B57" s="6">
        <v>9.2799999999999994</v>
      </c>
      <c r="C57" s="6">
        <v>4.0599999999999996</v>
      </c>
      <c r="D57" s="6">
        <v>14.01</v>
      </c>
      <c r="E57" s="6">
        <v>16.190000000000001</v>
      </c>
      <c r="F57" s="6">
        <v>33.18</v>
      </c>
      <c r="G57" s="6">
        <v>42.24</v>
      </c>
      <c r="H57" s="6">
        <v>16.03</v>
      </c>
      <c r="I57" s="6">
        <v>4.63</v>
      </c>
      <c r="J57" s="6">
        <v>1.22</v>
      </c>
      <c r="K57" s="6">
        <v>294.56</v>
      </c>
      <c r="L57" s="6">
        <v>38.32</v>
      </c>
      <c r="M57" s="6">
        <v>37.950000000000003</v>
      </c>
      <c r="N57" s="6">
        <v>754.3</v>
      </c>
      <c r="O57" s="6">
        <v>0</v>
      </c>
      <c r="P57" s="6">
        <v>0.47</v>
      </c>
      <c r="Q57" s="6">
        <v>4.03</v>
      </c>
    </row>
    <row r="58" spans="1:17" customFormat="1">
      <c r="A58" s="82">
        <v>45455.520833333336</v>
      </c>
      <c r="B58" s="6">
        <v>9.26</v>
      </c>
      <c r="C58" s="6">
        <v>4.0599999999999996</v>
      </c>
      <c r="D58" s="6">
        <v>14</v>
      </c>
      <c r="E58" s="6">
        <v>14.57</v>
      </c>
      <c r="F58" s="6">
        <v>26.6</v>
      </c>
      <c r="G58" s="6">
        <v>42.24</v>
      </c>
      <c r="H58" s="6">
        <v>16.03</v>
      </c>
      <c r="I58" s="6">
        <v>4.55</v>
      </c>
      <c r="J58" s="6">
        <v>1.41</v>
      </c>
      <c r="K58" s="6">
        <v>294.73</v>
      </c>
      <c r="L58" s="6">
        <v>38.979999999999997</v>
      </c>
      <c r="M58" s="6">
        <v>36.31</v>
      </c>
      <c r="N58" s="6">
        <v>750.8</v>
      </c>
      <c r="O58" s="6">
        <v>0</v>
      </c>
      <c r="P58" s="6">
        <v>0.48</v>
      </c>
      <c r="Q58" s="6">
        <v>4</v>
      </c>
    </row>
    <row r="59" spans="1:17" customFormat="1">
      <c r="A59" s="82">
        <v>45455.53125</v>
      </c>
      <c r="B59" s="6">
        <v>9.2200000000000006</v>
      </c>
      <c r="C59" s="6">
        <v>4.08</v>
      </c>
      <c r="D59" s="6">
        <v>13.98</v>
      </c>
      <c r="E59" s="6">
        <v>14.91</v>
      </c>
      <c r="F59" s="6">
        <v>35.369999999999997</v>
      </c>
      <c r="G59" s="6">
        <v>42.24</v>
      </c>
      <c r="H59" s="6">
        <v>16.03</v>
      </c>
      <c r="I59" s="6">
        <v>4.58</v>
      </c>
      <c r="J59" s="6">
        <v>1.04</v>
      </c>
      <c r="K59" s="6">
        <v>313.20999999999998</v>
      </c>
      <c r="L59" s="6">
        <v>39.340000000000003</v>
      </c>
      <c r="M59" s="6">
        <v>34.81</v>
      </c>
      <c r="N59" s="6">
        <v>673</v>
      </c>
      <c r="O59" s="6">
        <v>0</v>
      </c>
      <c r="P59" s="6">
        <v>0.47</v>
      </c>
      <c r="Q59" s="6">
        <v>4.03</v>
      </c>
    </row>
    <row r="60" spans="1:17" customFormat="1">
      <c r="A60" s="82">
        <v>45455.541666666664</v>
      </c>
      <c r="B60" s="6">
        <v>9.24</v>
      </c>
      <c r="C60" s="6">
        <v>4.07</v>
      </c>
      <c r="D60" s="6">
        <v>13.99</v>
      </c>
      <c r="E60" s="6">
        <v>14.09</v>
      </c>
      <c r="F60" s="6">
        <v>28.83</v>
      </c>
      <c r="G60" s="6">
        <v>43.59</v>
      </c>
      <c r="H60" s="6">
        <v>16.920000000000002</v>
      </c>
      <c r="I60" s="6">
        <v>4.7300000000000004</v>
      </c>
      <c r="J60" s="6">
        <v>1.1200000000000001</v>
      </c>
      <c r="K60" s="6">
        <v>279.35000000000002</v>
      </c>
      <c r="L60" s="6">
        <v>39.81</v>
      </c>
      <c r="M60" s="6">
        <v>34.15</v>
      </c>
      <c r="N60" s="6">
        <v>728.9</v>
      </c>
      <c r="O60" s="6">
        <v>0</v>
      </c>
      <c r="P60" s="6">
        <v>0.45</v>
      </c>
      <c r="Q60" s="6">
        <v>4.04</v>
      </c>
    </row>
    <row r="61" spans="1:17" customFormat="1">
      <c r="A61" s="82">
        <v>45455.552083333336</v>
      </c>
      <c r="B61" s="6">
        <v>9.2100000000000009</v>
      </c>
      <c r="C61" s="6">
        <v>4.08</v>
      </c>
      <c r="D61" s="6">
        <v>13.97</v>
      </c>
      <c r="E61" s="6">
        <v>13.98</v>
      </c>
      <c r="F61" s="6">
        <v>33.369999999999997</v>
      </c>
      <c r="G61" s="6">
        <v>47.09</v>
      </c>
      <c r="H61" s="6">
        <v>18.48</v>
      </c>
      <c r="I61" s="6">
        <v>4.51</v>
      </c>
      <c r="J61" s="6">
        <v>1.05</v>
      </c>
      <c r="K61" s="6">
        <v>302.77</v>
      </c>
      <c r="L61" s="6">
        <v>39.75</v>
      </c>
      <c r="M61" s="6">
        <v>33.159999999999997</v>
      </c>
      <c r="N61" s="6">
        <v>687.8</v>
      </c>
      <c r="O61" s="6">
        <v>0</v>
      </c>
      <c r="P61" s="6">
        <v>0.44</v>
      </c>
      <c r="Q61" s="6">
        <v>4.07</v>
      </c>
    </row>
    <row r="62" spans="1:17" customFormat="1">
      <c r="A62" s="82">
        <v>45455.5625</v>
      </c>
      <c r="B62" s="6">
        <v>9.2200000000000006</v>
      </c>
      <c r="C62" s="6">
        <v>4.05</v>
      </c>
      <c r="D62" s="6">
        <v>13.96</v>
      </c>
      <c r="E62" s="6">
        <v>14.65</v>
      </c>
      <c r="F62" s="6">
        <v>36.53</v>
      </c>
      <c r="G62" s="6">
        <v>47.09</v>
      </c>
      <c r="H62" s="6">
        <v>18.48</v>
      </c>
      <c r="I62" s="6">
        <v>4.59</v>
      </c>
      <c r="J62" s="6">
        <v>0.85</v>
      </c>
      <c r="K62" s="6">
        <v>301.66000000000003</v>
      </c>
      <c r="L62" s="6">
        <v>40.200000000000003</v>
      </c>
      <c r="M62" s="6">
        <v>31.7</v>
      </c>
      <c r="N62" s="6">
        <v>383.5</v>
      </c>
      <c r="O62" s="6">
        <v>0</v>
      </c>
      <c r="P62" s="6">
        <v>0.43</v>
      </c>
      <c r="Q62" s="6">
        <v>4.03</v>
      </c>
    </row>
    <row r="63" spans="1:17" customFormat="1">
      <c r="A63" s="82">
        <v>45455.572916666664</v>
      </c>
      <c r="B63" s="6">
        <v>9.19</v>
      </c>
      <c r="C63" s="6">
        <v>4.07</v>
      </c>
      <c r="D63" s="6">
        <v>13.95</v>
      </c>
      <c r="E63" s="6">
        <v>15.75</v>
      </c>
      <c r="F63" s="6">
        <v>44.96</v>
      </c>
      <c r="G63" s="6">
        <v>47.09</v>
      </c>
      <c r="H63" s="6">
        <v>18.48</v>
      </c>
      <c r="I63" s="6">
        <v>4.57</v>
      </c>
      <c r="J63" s="6">
        <v>0.69</v>
      </c>
      <c r="K63" s="6">
        <v>354.98</v>
      </c>
      <c r="L63" s="6">
        <v>41.06</v>
      </c>
      <c r="M63" s="6">
        <v>27.82</v>
      </c>
      <c r="N63" s="6">
        <v>293.2</v>
      </c>
      <c r="O63" s="6">
        <v>0</v>
      </c>
      <c r="P63" s="6">
        <v>0.43</v>
      </c>
      <c r="Q63" s="6">
        <v>4.09</v>
      </c>
    </row>
    <row r="64" spans="1:17" customFormat="1">
      <c r="A64" s="82">
        <v>45455.583333333336</v>
      </c>
      <c r="B64" s="6">
        <v>9.17</v>
      </c>
      <c r="C64" s="6">
        <v>4.08</v>
      </c>
      <c r="D64" s="6">
        <v>13.94</v>
      </c>
      <c r="E64" s="6">
        <v>16.55</v>
      </c>
      <c r="F64" s="6">
        <v>48.34</v>
      </c>
      <c r="G64" s="6">
        <v>47.2</v>
      </c>
      <c r="H64" s="6">
        <v>20.329999999999998</v>
      </c>
      <c r="I64" s="6">
        <v>4.55</v>
      </c>
      <c r="J64" s="6">
        <v>0.39</v>
      </c>
      <c r="K64" s="6">
        <v>330.43</v>
      </c>
      <c r="L64" s="6">
        <v>41.13</v>
      </c>
      <c r="M64" s="6">
        <v>28.78</v>
      </c>
      <c r="N64" s="6">
        <v>564.20000000000005</v>
      </c>
      <c r="O64" s="6">
        <v>0</v>
      </c>
      <c r="P64" s="6">
        <v>0.43</v>
      </c>
      <c r="Q64" s="6">
        <v>4.1100000000000003</v>
      </c>
    </row>
    <row r="65" spans="1:17" customFormat="1">
      <c r="A65" s="82">
        <v>45455.59375</v>
      </c>
      <c r="B65" s="6">
        <v>9.17</v>
      </c>
      <c r="C65" s="6">
        <v>4.04</v>
      </c>
      <c r="D65" s="6">
        <v>13.91</v>
      </c>
      <c r="E65" s="6">
        <v>17.38</v>
      </c>
      <c r="F65" s="6">
        <v>52.5</v>
      </c>
      <c r="G65" s="6">
        <v>47.48</v>
      </c>
      <c r="H65" s="6">
        <v>23.65</v>
      </c>
      <c r="I65" s="6">
        <v>4.2300000000000004</v>
      </c>
      <c r="J65" s="6">
        <v>1.1000000000000001</v>
      </c>
      <c r="K65" s="6">
        <v>26.41</v>
      </c>
      <c r="L65" s="6">
        <v>41.15</v>
      </c>
      <c r="M65" s="6">
        <v>28.38</v>
      </c>
      <c r="N65" s="6">
        <v>596.20000000000005</v>
      </c>
      <c r="O65" s="6">
        <v>0</v>
      </c>
      <c r="P65" s="6">
        <v>0.41</v>
      </c>
      <c r="Q65" s="6">
        <v>4.0599999999999996</v>
      </c>
    </row>
    <row r="66" spans="1:17" customFormat="1">
      <c r="A66" s="82">
        <v>45455.604166666664</v>
      </c>
      <c r="B66" s="6">
        <v>9.15</v>
      </c>
      <c r="C66" s="6">
        <v>4.0599999999999996</v>
      </c>
      <c r="D66" s="6">
        <v>13.91</v>
      </c>
      <c r="E66" s="6">
        <v>16.809999999999999</v>
      </c>
      <c r="F66" s="6">
        <v>40.049999999999997</v>
      </c>
      <c r="G66" s="6">
        <v>47.48</v>
      </c>
      <c r="H66" s="6">
        <v>23.65</v>
      </c>
      <c r="I66" s="6">
        <v>4.34</v>
      </c>
      <c r="J66" s="6">
        <v>0.7</v>
      </c>
      <c r="K66" s="6">
        <v>359.09</v>
      </c>
      <c r="L66" s="6">
        <v>41.41</v>
      </c>
      <c r="M66" s="6">
        <v>27.84</v>
      </c>
      <c r="N66" s="6">
        <v>592.4</v>
      </c>
      <c r="O66" s="6">
        <v>0</v>
      </c>
      <c r="P66" s="6">
        <v>0.43</v>
      </c>
      <c r="Q66" s="6">
        <v>4.12</v>
      </c>
    </row>
    <row r="67" spans="1:17" customFormat="1">
      <c r="A67" s="82">
        <v>45455.614583333336</v>
      </c>
      <c r="B67" s="6">
        <v>9.17</v>
      </c>
      <c r="C67" s="6">
        <v>4.03</v>
      </c>
      <c r="D67" s="6">
        <v>13.91</v>
      </c>
      <c r="E67" s="6">
        <v>16.64</v>
      </c>
      <c r="F67" s="6">
        <v>37.76</v>
      </c>
      <c r="G67" s="6">
        <v>47.48</v>
      </c>
      <c r="H67" s="6">
        <v>23.65</v>
      </c>
      <c r="I67" s="6">
        <v>4.1900000000000004</v>
      </c>
      <c r="J67" s="6">
        <v>1.1000000000000001</v>
      </c>
      <c r="K67" s="6">
        <v>38.340000000000003</v>
      </c>
      <c r="L67" s="6">
        <v>40.950000000000003</v>
      </c>
      <c r="M67" s="6">
        <v>26.9</v>
      </c>
      <c r="N67" s="6">
        <v>374.3</v>
      </c>
      <c r="O67" s="6">
        <v>0</v>
      </c>
      <c r="P67" s="6">
        <v>0.44</v>
      </c>
      <c r="Q67" s="6">
        <v>4.1100000000000003</v>
      </c>
    </row>
    <row r="68" spans="1:17" customFormat="1">
      <c r="A68" s="82">
        <v>45455.625</v>
      </c>
      <c r="B68" s="6">
        <v>9.1300000000000008</v>
      </c>
      <c r="C68" s="6">
        <v>4.0999999999999996</v>
      </c>
      <c r="D68" s="6">
        <v>13.92</v>
      </c>
      <c r="E68" s="6">
        <v>18.37</v>
      </c>
      <c r="F68" s="6">
        <v>55.3</v>
      </c>
      <c r="G68" s="6">
        <v>53.79</v>
      </c>
      <c r="H68" s="6">
        <v>21.9</v>
      </c>
      <c r="I68" s="6">
        <v>4.3899999999999997</v>
      </c>
      <c r="J68" s="6">
        <v>0.53</v>
      </c>
      <c r="K68" s="6">
        <v>44.04</v>
      </c>
      <c r="L68" s="6">
        <v>40.659999999999997</v>
      </c>
      <c r="M68" s="6">
        <v>26.74</v>
      </c>
      <c r="N68" s="6">
        <v>240.4</v>
      </c>
      <c r="O68" s="6">
        <v>0</v>
      </c>
      <c r="P68" s="6">
        <v>0.45</v>
      </c>
      <c r="Q68" s="6">
        <v>4.05</v>
      </c>
    </row>
    <row r="69" spans="1:17" customFormat="1">
      <c r="A69" s="82">
        <v>45455.635416666664</v>
      </c>
      <c r="B69" s="6">
        <v>9.1300000000000008</v>
      </c>
      <c r="C69" s="6">
        <v>4.08</v>
      </c>
      <c r="D69" s="6">
        <v>13.9</v>
      </c>
      <c r="E69" s="6">
        <v>18.61</v>
      </c>
      <c r="F69" s="6">
        <v>48.57</v>
      </c>
      <c r="G69" s="6">
        <v>70.19</v>
      </c>
      <c r="H69" s="6">
        <v>18.760000000000002</v>
      </c>
      <c r="I69" s="6">
        <v>4.5</v>
      </c>
      <c r="J69" s="6">
        <v>0.68</v>
      </c>
      <c r="K69" s="6">
        <v>288.27</v>
      </c>
      <c r="L69" s="6">
        <v>40.49</v>
      </c>
      <c r="M69" s="6">
        <v>27.38</v>
      </c>
      <c r="N69" s="6">
        <v>223.3</v>
      </c>
      <c r="O69" s="6">
        <v>0</v>
      </c>
      <c r="P69" s="6">
        <v>0.43</v>
      </c>
      <c r="Q69" s="6">
        <v>4.0999999999999996</v>
      </c>
    </row>
    <row r="70" spans="1:17" customFormat="1">
      <c r="A70" s="82">
        <v>45455.645833333336</v>
      </c>
      <c r="B70" s="6">
        <v>9.1300000000000008</v>
      </c>
      <c r="C70" s="6">
        <v>4.05</v>
      </c>
      <c r="D70" s="6">
        <v>13.89</v>
      </c>
      <c r="E70" s="6">
        <v>19.36</v>
      </c>
      <c r="F70" s="6">
        <v>57.02</v>
      </c>
      <c r="G70" s="6">
        <v>70.19</v>
      </c>
      <c r="H70" s="6">
        <v>18.760000000000002</v>
      </c>
      <c r="I70" s="6">
        <v>4.29</v>
      </c>
      <c r="J70" s="6">
        <v>0.4</v>
      </c>
      <c r="K70" s="6">
        <v>349.46</v>
      </c>
      <c r="L70" s="6">
        <v>40.479999999999997</v>
      </c>
      <c r="M70" s="6">
        <v>27.19</v>
      </c>
      <c r="N70" s="6">
        <v>262.10000000000002</v>
      </c>
      <c r="O70" s="6">
        <v>0</v>
      </c>
      <c r="P70" s="6">
        <v>0.43</v>
      </c>
      <c r="Q70" s="6">
        <v>4.1100000000000003</v>
      </c>
    </row>
    <row r="71" spans="1:17" customFormat="1">
      <c r="A71" s="82">
        <v>45455.65625</v>
      </c>
      <c r="B71" s="6">
        <v>9.15</v>
      </c>
      <c r="C71" s="6">
        <v>4.0599999999999996</v>
      </c>
      <c r="D71" s="6">
        <v>13.9</v>
      </c>
      <c r="E71" s="6">
        <v>19.36</v>
      </c>
      <c r="F71" s="6">
        <v>48.6</v>
      </c>
      <c r="G71" s="6">
        <v>70.19</v>
      </c>
      <c r="H71" s="6">
        <v>18.760000000000002</v>
      </c>
      <c r="I71" s="6">
        <v>4.3600000000000003</v>
      </c>
      <c r="J71" s="6">
        <v>0.51</v>
      </c>
      <c r="K71" s="6">
        <v>288.83</v>
      </c>
      <c r="L71" s="6">
        <v>41.45</v>
      </c>
      <c r="M71" s="6">
        <v>26.16</v>
      </c>
      <c r="N71" s="6">
        <v>389.2</v>
      </c>
      <c r="O71" s="6">
        <v>0</v>
      </c>
      <c r="P71" s="6">
        <v>0.42</v>
      </c>
      <c r="Q71" s="6">
        <v>4.09</v>
      </c>
    </row>
    <row r="72" spans="1:17" customFormat="1">
      <c r="A72" s="82">
        <v>45455.666666666664</v>
      </c>
      <c r="B72" s="6">
        <v>9.14</v>
      </c>
      <c r="C72" s="6">
        <v>4.09</v>
      </c>
      <c r="D72" s="6">
        <v>13.91</v>
      </c>
      <c r="E72" s="6">
        <v>18.579999999999998</v>
      </c>
      <c r="F72" s="6">
        <v>61.32</v>
      </c>
      <c r="G72" s="6">
        <v>68.430000000000007</v>
      </c>
      <c r="H72" s="6">
        <v>18.98</v>
      </c>
      <c r="I72" s="6">
        <v>4.1900000000000004</v>
      </c>
      <c r="J72" s="6">
        <v>0.36</v>
      </c>
      <c r="K72" s="6">
        <v>262.24</v>
      </c>
      <c r="L72" s="6">
        <v>41.3</v>
      </c>
      <c r="M72" s="6">
        <v>26.67</v>
      </c>
      <c r="N72" s="6">
        <v>340.6</v>
      </c>
      <c r="O72" s="6">
        <v>0</v>
      </c>
      <c r="P72" s="6">
        <v>0.42</v>
      </c>
      <c r="Q72" s="6">
        <v>4.1100000000000003</v>
      </c>
    </row>
    <row r="73" spans="1:17" customFormat="1">
      <c r="A73" s="82">
        <v>45455.677083333336</v>
      </c>
      <c r="B73" s="6">
        <v>9.14</v>
      </c>
      <c r="C73" s="6">
        <v>4.08</v>
      </c>
      <c r="D73" s="6">
        <v>13.91</v>
      </c>
      <c r="E73" s="6">
        <v>16.71</v>
      </c>
      <c r="F73" s="6">
        <v>34.69</v>
      </c>
      <c r="G73" s="6">
        <v>63.88</v>
      </c>
      <c r="H73" s="6">
        <v>19.920000000000002</v>
      </c>
      <c r="I73" s="6">
        <v>4.25</v>
      </c>
      <c r="J73" s="6">
        <v>0.69</v>
      </c>
      <c r="K73" s="6">
        <v>252.69</v>
      </c>
      <c r="L73" s="6">
        <v>41.18</v>
      </c>
      <c r="M73" s="6">
        <v>27.84</v>
      </c>
      <c r="N73" s="6">
        <v>247.1</v>
      </c>
      <c r="O73" s="6">
        <v>0</v>
      </c>
      <c r="P73" s="6">
        <v>0.42</v>
      </c>
      <c r="Q73" s="6">
        <v>4.21</v>
      </c>
    </row>
    <row r="74" spans="1:17" customFormat="1">
      <c r="A74" s="82">
        <v>45455.6875</v>
      </c>
      <c r="B74" s="6">
        <v>9.14</v>
      </c>
      <c r="C74" s="6">
        <v>4.05</v>
      </c>
      <c r="D74" s="6">
        <v>13.9</v>
      </c>
      <c r="E74" s="6">
        <v>15.26</v>
      </c>
      <c r="F74" s="6">
        <v>44.22</v>
      </c>
      <c r="G74" s="6">
        <v>63.88</v>
      </c>
      <c r="H74" s="6">
        <v>19.920000000000002</v>
      </c>
      <c r="I74" s="6">
        <v>4.01</v>
      </c>
      <c r="J74" s="6">
        <v>0.56999999999999995</v>
      </c>
      <c r="K74" s="6">
        <v>314.44</v>
      </c>
      <c r="L74" s="6">
        <v>40.840000000000003</v>
      </c>
      <c r="M74" s="6">
        <v>27.66</v>
      </c>
      <c r="N74" s="6">
        <v>178.5</v>
      </c>
      <c r="O74" s="6">
        <v>0</v>
      </c>
      <c r="P74" s="6">
        <v>0.42</v>
      </c>
      <c r="Q74" s="6">
        <v>4.21</v>
      </c>
    </row>
    <row r="75" spans="1:17" customFormat="1">
      <c r="A75" s="82">
        <v>45455.697916666664</v>
      </c>
      <c r="B75" s="6">
        <v>9.15</v>
      </c>
      <c r="C75" s="6">
        <v>4.0599999999999996</v>
      </c>
      <c r="D75" s="6">
        <v>13.91</v>
      </c>
      <c r="E75" s="6">
        <v>21.18</v>
      </c>
      <c r="F75" s="6">
        <v>26.6</v>
      </c>
      <c r="G75" s="6">
        <v>63.88</v>
      </c>
      <c r="H75" s="6">
        <v>19.920000000000002</v>
      </c>
      <c r="I75" s="6">
        <v>4.3600000000000003</v>
      </c>
      <c r="J75" s="6">
        <v>1.2</v>
      </c>
      <c r="K75" s="6">
        <v>16.3</v>
      </c>
      <c r="L75" s="6">
        <v>39.119999999999997</v>
      </c>
      <c r="M75" s="6">
        <v>31.77</v>
      </c>
      <c r="N75" s="6">
        <v>134.1</v>
      </c>
      <c r="O75" s="6">
        <v>0</v>
      </c>
      <c r="P75" s="6">
        <v>0.45</v>
      </c>
      <c r="Q75" s="6">
        <v>4.32</v>
      </c>
    </row>
    <row r="76" spans="1:17" customFormat="1">
      <c r="A76" s="82">
        <v>45455.708333333336</v>
      </c>
      <c r="B76" s="6">
        <v>9.15</v>
      </c>
      <c r="C76" s="6">
        <v>4.08</v>
      </c>
      <c r="D76" s="6">
        <v>13.92</v>
      </c>
      <c r="E76" s="6">
        <v>28.79</v>
      </c>
      <c r="F76" s="6">
        <v>24.99</v>
      </c>
      <c r="G76" s="6">
        <v>67.66</v>
      </c>
      <c r="H76" s="6">
        <v>20.29</v>
      </c>
      <c r="I76" s="6">
        <v>4.25</v>
      </c>
      <c r="J76" s="6">
        <v>1.2</v>
      </c>
      <c r="K76" s="6">
        <v>23.32</v>
      </c>
      <c r="L76" s="6">
        <v>37.24</v>
      </c>
      <c r="M76" s="6">
        <v>33.479999999999997</v>
      </c>
      <c r="N76" s="6">
        <v>87.9</v>
      </c>
      <c r="O76" s="6">
        <v>0</v>
      </c>
      <c r="P76" s="6">
        <v>0.46</v>
      </c>
      <c r="Q76" s="6">
        <v>7.08</v>
      </c>
    </row>
    <row r="77" spans="1:17" customFormat="1">
      <c r="A77" s="82">
        <v>45455.71875</v>
      </c>
      <c r="B77" s="6">
        <v>9.15</v>
      </c>
      <c r="C77" s="6">
        <v>4.08</v>
      </c>
      <c r="D77" s="6">
        <v>13.91</v>
      </c>
      <c r="E77" s="6">
        <v>20.66</v>
      </c>
      <c r="F77" s="6">
        <v>19.11</v>
      </c>
      <c r="G77" s="6">
        <v>78.040000000000006</v>
      </c>
      <c r="H77" s="6">
        <v>20.92</v>
      </c>
      <c r="I77" s="6">
        <v>4.6100000000000003</v>
      </c>
      <c r="J77" s="6">
        <v>1.1299999999999999</v>
      </c>
      <c r="K77" s="6">
        <v>284.08</v>
      </c>
      <c r="L77" s="6">
        <v>37.049999999999997</v>
      </c>
      <c r="M77" s="6">
        <v>34.479999999999997</v>
      </c>
      <c r="N77" s="6">
        <v>68.099999999999994</v>
      </c>
      <c r="O77" s="6">
        <v>0</v>
      </c>
      <c r="P77" s="6">
        <v>0.46</v>
      </c>
      <c r="Q77" s="6">
        <v>10.68</v>
      </c>
    </row>
    <row r="78" spans="1:17" customFormat="1">
      <c r="A78" s="82">
        <v>45455.729166666664</v>
      </c>
      <c r="B78" s="6">
        <v>9.15</v>
      </c>
      <c r="C78" s="6">
        <v>4.08</v>
      </c>
      <c r="D78" s="6">
        <v>13.92</v>
      </c>
      <c r="E78" s="6">
        <v>20.34</v>
      </c>
      <c r="F78" s="6">
        <v>37.51</v>
      </c>
      <c r="G78" s="6">
        <v>78.040000000000006</v>
      </c>
      <c r="H78" s="6">
        <v>20.92</v>
      </c>
      <c r="I78" s="6">
        <v>4.8</v>
      </c>
      <c r="J78" s="6">
        <v>0.98</v>
      </c>
      <c r="K78" s="6">
        <v>292.17</v>
      </c>
      <c r="L78" s="6">
        <v>36.93</v>
      </c>
      <c r="M78" s="6">
        <v>34.25</v>
      </c>
      <c r="N78" s="6">
        <v>45.8</v>
      </c>
      <c r="O78" s="6">
        <v>0</v>
      </c>
      <c r="P78" s="6">
        <v>0.48</v>
      </c>
      <c r="Q78" s="6">
        <v>6.96</v>
      </c>
    </row>
    <row r="79" spans="1:17" customFormat="1">
      <c r="A79" s="82">
        <v>45455.739583333336</v>
      </c>
      <c r="B79" s="6">
        <v>9.19</v>
      </c>
      <c r="C79" s="6">
        <v>4.08</v>
      </c>
      <c r="D79" s="6">
        <v>13.95</v>
      </c>
      <c r="E79" s="6">
        <v>21.37</v>
      </c>
      <c r="F79" s="6">
        <v>42.73</v>
      </c>
      <c r="G79" s="6">
        <v>78.040000000000006</v>
      </c>
      <c r="H79" s="6">
        <v>20.92</v>
      </c>
      <c r="I79" s="6">
        <v>4.8</v>
      </c>
      <c r="J79" s="6">
        <v>0.43</v>
      </c>
      <c r="K79" s="6">
        <v>292.01</v>
      </c>
      <c r="L79" s="6">
        <v>36.72</v>
      </c>
      <c r="M79" s="6">
        <v>36.53</v>
      </c>
      <c r="N79" s="6">
        <v>36.4</v>
      </c>
      <c r="O79" s="6">
        <v>0</v>
      </c>
      <c r="P79" s="6">
        <v>0.54</v>
      </c>
      <c r="Q79" s="6">
        <v>6.09</v>
      </c>
    </row>
    <row r="80" spans="1:17" customFormat="1">
      <c r="A80" s="82">
        <v>45455.75</v>
      </c>
      <c r="B80" s="6">
        <v>9.2200000000000006</v>
      </c>
      <c r="C80" s="6">
        <v>4.08</v>
      </c>
      <c r="D80" s="6">
        <v>13.97</v>
      </c>
      <c r="E80" s="6">
        <v>18.5</v>
      </c>
      <c r="F80" s="6">
        <v>53.78</v>
      </c>
      <c r="G80" s="6">
        <v>81.510000000000005</v>
      </c>
      <c r="H80" s="6">
        <v>21.75</v>
      </c>
      <c r="I80" s="6">
        <v>4.8600000000000003</v>
      </c>
      <c r="J80" s="6">
        <v>0.26</v>
      </c>
      <c r="K80" s="6">
        <v>251.52</v>
      </c>
      <c r="L80" s="6">
        <v>36.380000000000003</v>
      </c>
      <c r="M80" s="6">
        <v>38.93</v>
      </c>
      <c r="N80" s="6">
        <v>23.8</v>
      </c>
      <c r="O80" s="6">
        <v>0</v>
      </c>
      <c r="P80" s="6">
        <v>0.49</v>
      </c>
      <c r="Q80" s="6">
        <v>5.76</v>
      </c>
    </row>
    <row r="81" spans="1:17" customFormat="1">
      <c r="A81" s="82">
        <v>45455.760416666664</v>
      </c>
      <c r="B81" s="6">
        <v>9.2100000000000009</v>
      </c>
      <c r="C81" s="6">
        <v>4.08</v>
      </c>
      <c r="D81" s="6">
        <v>13.97</v>
      </c>
      <c r="E81" s="6">
        <v>12.09</v>
      </c>
      <c r="F81" s="6">
        <v>38.14</v>
      </c>
      <c r="G81" s="6">
        <v>90.53</v>
      </c>
      <c r="H81" s="6">
        <v>23.21</v>
      </c>
      <c r="I81" s="6">
        <v>5.07</v>
      </c>
      <c r="J81" s="6">
        <v>0.73</v>
      </c>
      <c r="K81" s="6">
        <v>313.86</v>
      </c>
      <c r="L81" s="6">
        <v>36.1</v>
      </c>
      <c r="M81" s="6">
        <v>40.450000000000003</v>
      </c>
      <c r="N81" s="6">
        <v>14.4</v>
      </c>
      <c r="O81" s="6">
        <v>0</v>
      </c>
      <c r="P81" s="6">
        <v>0.57999999999999996</v>
      </c>
      <c r="Q81" s="6">
        <v>5.55</v>
      </c>
    </row>
    <row r="82" spans="1:17" customFormat="1">
      <c r="A82" s="82">
        <v>45455.770833333336</v>
      </c>
      <c r="B82" s="6">
        <v>9.2100000000000009</v>
      </c>
      <c r="C82" s="6">
        <v>4.07</v>
      </c>
      <c r="D82" s="6">
        <v>13.96</v>
      </c>
      <c r="E82" s="6">
        <v>21.16</v>
      </c>
      <c r="F82" s="6">
        <v>21.03</v>
      </c>
      <c r="G82" s="6">
        <v>90.53</v>
      </c>
      <c r="H82" s="6">
        <v>23.21</v>
      </c>
      <c r="I82" s="6">
        <v>4.8499999999999996</v>
      </c>
      <c r="J82" s="6">
        <v>1.57</v>
      </c>
      <c r="K82" s="6">
        <v>335.83</v>
      </c>
      <c r="L82" s="6">
        <v>35.43</v>
      </c>
      <c r="M82" s="6">
        <v>40.159999999999997</v>
      </c>
      <c r="N82" s="6">
        <v>8.5</v>
      </c>
      <c r="O82" s="6">
        <v>0</v>
      </c>
      <c r="P82" s="6">
        <v>0.55000000000000004</v>
      </c>
      <c r="Q82" s="6">
        <v>5.45</v>
      </c>
    </row>
    <row r="83" spans="1:17" customFormat="1">
      <c r="A83" s="82">
        <v>45455.78125</v>
      </c>
      <c r="B83" s="6">
        <v>9.2200000000000006</v>
      </c>
      <c r="C83" s="6">
        <v>4.08</v>
      </c>
      <c r="D83" s="6">
        <v>13.97</v>
      </c>
      <c r="E83" s="6">
        <v>15.27</v>
      </c>
      <c r="F83" s="6">
        <v>17.809999999999999</v>
      </c>
      <c r="G83" s="6">
        <v>90.53</v>
      </c>
      <c r="H83" s="6">
        <v>23.21</v>
      </c>
      <c r="I83" s="6">
        <v>5.4</v>
      </c>
      <c r="J83" s="6">
        <v>1.3</v>
      </c>
      <c r="K83" s="6">
        <v>322.52</v>
      </c>
      <c r="L83" s="6">
        <v>33.380000000000003</v>
      </c>
      <c r="M83" s="6">
        <v>45.57</v>
      </c>
      <c r="N83" s="6">
        <v>5.5</v>
      </c>
      <c r="O83" s="6">
        <v>0</v>
      </c>
      <c r="P83" s="6">
        <v>0.5</v>
      </c>
      <c r="Q83" s="6">
        <v>5.38</v>
      </c>
    </row>
    <row r="84" spans="1:17" customFormat="1">
      <c r="A84" s="82">
        <v>45455.791666666664</v>
      </c>
      <c r="B84" s="6">
        <v>9.24</v>
      </c>
      <c r="C84" s="6">
        <v>4.07</v>
      </c>
      <c r="D84" s="6">
        <v>13.99</v>
      </c>
      <c r="E84" s="6">
        <v>11.4</v>
      </c>
      <c r="F84" s="6">
        <v>15.82</v>
      </c>
      <c r="G84" s="6">
        <v>89.3</v>
      </c>
      <c r="H84" s="6">
        <v>22.57</v>
      </c>
      <c r="I84" s="6">
        <v>5.74</v>
      </c>
      <c r="J84" s="6">
        <v>1.57</v>
      </c>
      <c r="K84" s="6">
        <v>313.72000000000003</v>
      </c>
      <c r="L84" s="6">
        <v>32.65</v>
      </c>
      <c r="M84" s="6">
        <v>47.38</v>
      </c>
      <c r="N84" s="6">
        <v>2.7</v>
      </c>
      <c r="O84" s="6">
        <v>0</v>
      </c>
      <c r="P84" s="6">
        <v>0.49</v>
      </c>
      <c r="Q84" s="6">
        <v>5.38</v>
      </c>
    </row>
    <row r="85" spans="1:17" customFormat="1">
      <c r="A85" s="82">
        <v>45455.802083333336</v>
      </c>
      <c r="B85" s="6">
        <v>9.25</v>
      </c>
      <c r="C85" s="6">
        <v>4.09</v>
      </c>
      <c r="D85" s="6">
        <v>14.01</v>
      </c>
      <c r="E85" s="6">
        <v>12.69</v>
      </c>
      <c r="F85" s="6">
        <v>18.75</v>
      </c>
      <c r="G85" s="6">
        <v>86.09</v>
      </c>
      <c r="H85" s="6">
        <v>21.45</v>
      </c>
      <c r="I85" s="6">
        <v>5.23</v>
      </c>
      <c r="J85" s="6">
        <v>1.31</v>
      </c>
      <c r="K85" s="6">
        <v>313.14</v>
      </c>
      <c r="L85" s="6">
        <v>32.5</v>
      </c>
      <c r="M85" s="6">
        <v>47.33</v>
      </c>
      <c r="N85" s="6">
        <v>1.9</v>
      </c>
      <c r="O85" s="6">
        <v>0</v>
      </c>
      <c r="P85" s="6">
        <v>0.51</v>
      </c>
      <c r="Q85" s="6">
        <v>5.28</v>
      </c>
    </row>
    <row r="86" spans="1:17" customFormat="1">
      <c r="A86" s="82">
        <v>45455.8125</v>
      </c>
      <c r="B86" s="6">
        <v>9.25</v>
      </c>
      <c r="C86" s="6">
        <v>4.08</v>
      </c>
      <c r="D86" s="6">
        <v>13.99</v>
      </c>
      <c r="E86" s="6">
        <v>16.079999999999998</v>
      </c>
      <c r="F86" s="6">
        <v>23.17</v>
      </c>
      <c r="G86" s="6">
        <v>86.09</v>
      </c>
      <c r="H86" s="6">
        <v>21.45</v>
      </c>
      <c r="I86" s="6">
        <v>5.23</v>
      </c>
      <c r="J86" s="6">
        <v>0.96</v>
      </c>
      <c r="K86" s="6">
        <v>320.70999999999998</v>
      </c>
      <c r="L86" s="6">
        <v>32.6</v>
      </c>
      <c r="M86" s="6">
        <v>47.45</v>
      </c>
      <c r="N86" s="6">
        <v>1.4</v>
      </c>
      <c r="O86" s="6">
        <v>0</v>
      </c>
      <c r="P86" s="6">
        <v>0.56000000000000005</v>
      </c>
      <c r="Q86" s="6">
        <v>5.17</v>
      </c>
    </row>
    <row r="87" spans="1:17" customFormat="1">
      <c r="A87" s="82">
        <v>45455.822916666664</v>
      </c>
      <c r="B87" s="6">
        <v>9.19</v>
      </c>
      <c r="C87" s="6">
        <v>4.0999999999999996</v>
      </c>
      <c r="D87" s="6">
        <v>13.96</v>
      </c>
      <c r="E87" s="6">
        <v>24.84</v>
      </c>
      <c r="F87" s="6">
        <v>21</v>
      </c>
      <c r="G87" s="6">
        <v>86.09</v>
      </c>
      <c r="H87" s="6">
        <v>21.45</v>
      </c>
      <c r="I87" s="6">
        <v>5.26</v>
      </c>
      <c r="J87" s="6">
        <v>0.75</v>
      </c>
      <c r="K87" s="6">
        <v>319.82</v>
      </c>
      <c r="L87" s="6">
        <v>32.74</v>
      </c>
      <c r="M87" s="6">
        <v>47.48</v>
      </c>
      <c r="N87" s="6">
        <v>1.4</v>
      </c>
      <c r="O87" s="6">
        <v>0</v>
      </c>
      <c r="P87" s="6">
        <v>0.59</v>
      </c>
      <c r="Q87" s="6">
        <v>5.08</v>
      </c>
    </row>
    <row r="88" spans="1:17" customFormat="1">
      <c r="A88" s="82">
        <v>45455.833333333336</v>
      </c>
      <c r="B88" s="6">
        <v>9.1999999999999993</v>
      </c>
      <c r="C88" s="6">
        <v>4.09</v>
      </c>
      <c r="D88" s="6">
        <v>13.96</v>
      </c>
      <c r="E88" s="6">
        <v>28.34</v>
      </c>
      <c r="F88" s="6">
        <v>26.67</v>
      </c>
      <c r="G88" s="6">
        <v>86.78</v>
      </c>
      <c r="H88" s="6">
        <v>22.16</v>
      </c>
      <c r="I88" s="6">
        <v>5.83</v>
      </c>
      <c r="J88" s="6">
        <v>0.65</v>
      </c>
      <c r="K88" s="6">
        <v>307.07</v>
      </c>
      <c r="L88" s="6">
        <v>32.880000000000003</v>
      </c>
      <c r="M88" s="6">
        <v>47.15</v>
      </c>
      <c r="N88" s="6">
        <v>1.3</v>
      </c>
      <c r="O88" s="6">
        <v>0</v>
      </c>
      <c r="P88" s="6">
        <v>0.61</v>
      </c>
      <c r="Q88" s="6">
        <v>5.03</v>
      </c>
    </row>
    <row r="89" spans="1:17" customFormat="1">
      <c r="A89" s="82">
        <v>45455.84375</v>
      </c>
      <c r="B89" s="6">
        <v>9.1999999999999993</v>
      </c>
      <c r="C89" s="6">
        <v>4.07</v>
      </c>
      <c r="D89" s="6">
        <v>13.95</v>
      </c>
      <c r="E89" s="6">
        <v>49.32</v>
      </c>
      <c r="F89" s="6">
        <v>20.65</v>
      </c>
      <c r="G89" s="6">
        <v>88.58</v>
      </c>
      <c r="H89" s="6">
        <v>23.43</v>
      </c>
      <c r="I89" s="6">
        <v>5.68</v>
      </c>
      <c r="J89" s="6">
        <v>0.79</v>
      </c>
      <c r="K89" s="6">
        <v>296.75</v>
      </c>
      <c r="L89" s="6">
        <v>33.020000000000003</v>
      </c>
      <c r="M89" s="6">
        <v>47.22</v>
      </c>
      <c r="N89" s="6">
        <v>1.4</v>
      </c>
      <c r="O89" s="6">
        <v>0</v>
      </c>
      <c r="P89" s="6">
        <v>0.63</v>
      </c>
      <c r="Q89" s="6">
        <v>5.03</v>
      </c>
    </row>
    <row r="90" spans="1:17" customFormat="1">
      <c r="A90" s="82">
        <v>45455.854166666664</v>
      </c>
      <c r="B90" s="6">
        <v>9.1999999999999993</v>
      </c>
      <c r="C90" s="6">
        <v>4.09</v>
      </c>
      <c r="D90" s="6">
        <v>13.96</v>
      </c>
      <c r="E90" s="6">
        <v>35.92</v>
      </c>
      <c r="F90" s="6">
        <v>24.66</v>
      </c>
      <c r="G90" s="6">
        <v>88.58</v>
      </c>
      <c r="H90" s="6">
        <v>23.43</v>
      </c>
      <c r="I90" s="6">
        <v>6.61</v>
      </c>
      <c r="J90" s="6">
        <v>1.1599999999999999</v>
      </c>
      <c r="K90" s="6">
        <v>308.32</v>
      </c>
      <c r="L90" s="6">
        <v>33.25</v>
      </c>
      <c r="M90" s="6">
        <v>44.95</v>
      </c>
      <c r="N90" s="6">
        <v>1.1000000000000001</v>
      </c>
      <c r="O90" s="6">
        <v>0</v>
      </c>
      <c r="P90" s="6">
        <v>0.59</v>
      </c>
      <c r="Q90" s="6">
        <v>5.07</v>
      </c>
    </row>
    <row r="91" spans="1:17" customFormat="1">
      <c r="A91" s="82">
        <v>45455.864583333336</v>
      </c>
      <c r="B91" s="6">
        <v>9.16</v>
      </c>
      <c r="C91" s="6">
        <v>4.0999999999999996</v>
      </c>
      <c r="D91" s="6">
        <v>13.94</v>
      </c>
      <c r="E91" s="6">
        <v>19.760000000000002</v>
      </c>
      <c r="F91" s="6">
        <v>24.51</v>
      </c>
      <c r="G91" s="6">
        <v>88.58</v>
      </c>
      <c r="H91" s="6">
        <v>23.43</v>
      </c>
      <c r="I91" s="6">
        <v>6.14</v>
      </c>
      <c r="J91" s="6">
        <v>1.25</v>
      </c>
      <c r="K91" s="6">
        <v>300.5</v>
      </c>
      <c r="L91" s="6">
        <v>33.29</v>
      </c>
      <c r="M91" s="6">
        <v>43.52</v>
      </c>
      <c r="N91" s="6">
        <v>1.6</v>
      </c>
      <c r="O91" s="6">
        <v>0</v>
      </c>
      <c r="P91" s="6">
        <v>0.52</v>
      </c>
      <c r="Q91" s="6">
        <v>5.08</v>
      </c>
    </row>
    <row r="92" spans="1:17" customFormat="1">
      <c r="A92" s="82">
        <v>45455.875</v>
      </c>
      <c r="B92" s="6">
        <v>9.11</v>
      </c>
      <c r="C92" s="6">
        <v>4.09</v>
      </c>
      <c r="D92" s="6">
        <v>13.89</v>
      </c>
      <c r="E92" s="6">
        <v>15.54</v>
      </c>
      <c r="F92" s="6">
        <v>41.12</v>
      </c>
      <c r="G92" s="6">
        <v>85.3</v>
      </c>
      <c r="H92" s="6">
        <v>23.31</v>
      </c>
      <c r="I92" s="6">
        <v>5.95</v>
      </c>
      <c r="J92" s="6">
        <v>0.74</v>
      </c>
      <c r="K92" s="6">
        <v>276.26</v>
      </c>
      <c r="L92" s="6">
        <v>33.03</v>
      </c>
      <c r="M92" s="6">
        <v>44.96</v>
      </c>
      <c r="N92" s="6">
        <v>1.9</v>
      </c>
      <c r="O92" s="6">
        <v>0</v>
      </c>
      <c r="P92" s="6">
        <v>0.48</v>
      </c>
      <c r="Q92" s="6">
        <v>5.18</v>
      </c>
    </row>
    <row r="93" spans="1:17" customFormat="1">
      <c r="A93" s="82">
        <v>45455.885416666664</v>
      </c>
      <c r="B93" s="6">
        <v>9.1199999999999992</v>
      </c>
      <c r="C93" s="6">
        <v>4.0599999999999996</v>
      </c>
      <c r="D93" s="6">
        <v>13.89</v>
      </c>
      <c r="E93" s="6">
        <v>11.19</v>
      </c>
      <c r="F93" s="6">
        <v>37.619999999999997</v>
      </c>
      <c r="G93" s="6">
        <v>76.77</v>
      </c>
      <c r="H93" s="6">
        <v>23.09</v>
      </c>
      <c r="I93" s="6">
        <v>5.42</v>
      </c>
      <c r="J93" s="6">
        <v>0.5</v>
      </c>
      <c r="K93" s="6">
        <v>261.47000000000003</v>
      </c>
      <c r="L93" s="6">
        <v>33.1</v>
      </c>
      <c r="M93" s="6">
        <v>45.34</v>
      </c>
      <c r="N93" s="6">
        <v>1.6</v>
      </c>
      <c r="O93" s="6">
        <v>0</v>
      </c>
      <c r="P93" s="6">
        <v>0.49</v>
      </c>
      <c r="Q93" s="6">
        <v>5.33</v>
      </c>
    </row>
    <row r="94" spans="1:17" customFormat="1">
      <c r="A94" s="82">
        <v>45455.895833333336</v>
      </c>
      <c r="B94" s="6">
        <v>9.11</v>
      </c>
      <c r="C94" s="6">
        <v>4.0599999999999996</v>
      </c>
      <c r="D94" s="6">
        <v>13.87</v>
      </c>
      <c r="E94" s="6">
        <v>11.47</v>
      </c>
      <c r="F94" s="6">
        <v>40.229999999999997</v>
      </c>
      <c r="G94" s="6">
        <v>76.77</v>
      </c>
      <c r="H94" s="6">
        <v>23.09</v>
      </c>
      <c r="I94" s="6">
        <v>4.7300000000000004</v>
      </c>
      <c r="J94" s="6">
        <v>0.48</v>
      </c>
      <c r="K94" s="6">
        <v>253.05</v>
      </c>
      <c r="L94" s="6">
        <v>32.880000000000003</v>
      </c>
      <c r="M94" s="6">
        <v>46.6</v>
      </c>
      <c r="N94" s="6">
        <v>1.9</v>
      </c>
      <c r="O94" s="6">
        <v>0</v>
      </c>
      <c r="P94" s="6">
        <v>0.44</v>
      </c>
      <c r="Q94" s="6">
        <v>5.42</v>
      </c>
    </row>
    <row r="95" spans="1:17" customFormat="1">
      <c r="A95" s="82">
        <v>45455.90625</v>
      </c>
      <c r="B95" s="6">
        <v>9.1</v>
      </c>
      <c r="C95" s="6">
        <v>4.08</v>
      </c>
      <c r="D95" s="6">
        <v>13.88</v>
      </c>
      <c r="E95" s="6">
        <v>12.49</v>
      </c>
      <c r="F95" s="6">
        <v>33.53</v>
      </c>
      <c r="G95" s="6">
        <v>76.77</v>
      </c>
      <c r="H95" s="6">
        <v>23.09</v>
      </c>
      <c r="I95" s="6">
        <v>4.8099999999999996</v>
      </c>
      <c r="J95" s="6">
        <v>0.48</v>
      </c>
      <c r="K95" s="6">
        <v>254.78</v>
      </c>
      <c r="L95" s="6">
        <v>32.69</v>
      </c>
      <c r="M95" s="6">
        <v>50.66</v>
      </c>
      <c r="N95" s="6">
        <v>1.9</v>
      </c>
      <c r="O95" s="6">
        <v>0</v>
      </c>
      <c r="P95" s="6">
        <v>0.47</v>
      </c>
      <c r="Q95" s="6">
        <v>5.58</v>
      </c>
    </row>
    <row r="96" spans="1:17" customFormat="1">
      <c r="A96" s="82">
        <v>45455.916666666664</v>
      </c>
      <c r="B96" s="6">
        <v>9.08</v>
      </c>
      <c r="C96" s="6">
        <v>4.1100000000000003</v>
      </c>
      <c r="D96" s="6">
        <v>13.88</v>
      </c>
      <c r="E96" s="6">
        <v>10.73</v>
      </c>
      <c r="F96" s="6">
        <v>22.23</v>
      </c>
      <c r="G96" s="6">
        <v>75.150000000000006</v>
      </c>
      <c r="H96" s="6">
        <v>23.36</v>
      </c>
      <c r="I96" s="6">
        <v>4.57</v>
      </c>
      <c r="J96" s="6">
        <v>0.43</v>
      </c>
      <c r="K96" s="6">
        <v>261.86</v>
      </c>
      <c r="L96" s="6">
        <v>32.32</v>
      </c>
      <c r="M96" s="6">
        <v>53.31</v>
      </c>
      <c r="N96" s="6">
        <v>2</v>
      </c>
      <c r="O96" s="6">
        <v>0</v>
      </c>
      <c r="P96" s="6">
        <v>0.47</v>
      </c>
      <c r="Q96" s="6">
        <v>5.7</v>
      </c>
    </row>
    <row r="97" spans="1:22" customFormat="1">
      <c r="A97" s="82">
        <v>45455.927083333336</v>
      </c>
      <c r="B97" s="6">
        <v>9.09</v>
      </c>
      <c r="C97" s="6">
        <v>4.0599999999999996</v>
      </c>
      <c r="D97" s="6">
        <v>13.86</v>
      </c>
      <c r="E97" s="6">
        <v>9.2200000000000006</v>
      </c>
      <c r="F97" s="6">
        <v>15.74</v>
      </c>
      <c r="G97" s="6">
        <v>70.959999999999994</v>
      </c>
      <c r="H97" s="6">
        <v>24.52</v>
      </c>
      <c r="I97" s="6">
        <v>4.8</v>
      </c>
      <c r="J97" s="6">
        <v>0.75</v>
      </c>
      <c r="K97" s="6">
        <v>258.99</v>
      </c>
      <c r="L97" s="6">
        <v>32.28</v>
      </c>
      <c r="M97" s="6">
        <v>49.51</v>
      </c>
      <c r="N97" s="6">
        <v>1.9</v>
      </c>
      <c r="O97" s="6">
        <v>0</v>
      </c>
      <c r="P97" s="6">
        <v>0.5</v>
      </c>
      <c r="Q97" s="6">
        <v>5.84</v>
      </c>
    </row>
    <row r="98" spans="1:22" customFormat="1">
      <c r="A98" s="82">
        <v>45455.9375</v>
      </c>
      <c r="B98" s="6">
        <v>9.08</v>
      </c>
      <c r="C98" s="6">
        <v>4.05</v>
      </c>
      <c r="D98" s="6">
        <v>13.85</v>
      </c>
      <c r="E98" s="6">
        <v>8.8000000000000007</v>
      </c>
      <c r="F98" s="6">
        <v>19.48</v>
      </c>
      <c r="G98" s="6">
        <v>70.959999999999994</v>
      </c>
      <c r="H98" s="6">
        <v>24.52</v>
      </c>
      <c r="I98" s="6">
        <v>4.8899999999999997</v>
      </c>
      <c r="J98" s="6">
        <v>0.7</v>
      </c>
      <c r="K98" s="6">
        <v>264.76</v>
      </c>
      <c r="L98" s="6">
        <v>32.19</v>
      </c>
      <c r="M98" s="6">
        <v>50.23</v>
      </c>
      <c r="N98" s="6">
        <v>1.9</v>
      </c>
      <c r="O98" s="6">
        <v>0</v>
      </c>
      <c r="P98" s="6">
        <v>0.51</v>
      </c>
      <c r="Q98" s="6">
        <v>6</v>
      </c>
    </row>
    <row r="99" spans="1:22" customFormat="1">
      <c r="A99" s="82">
        <v>45455.947916666664</v>
      </c>
      <c r="B99" s="6">
        <v>9.1</v>
      </c>
      <c r="C99" s="6">
        <v>4.0599999999999996</v>
      </c>
      <c r="D99" s="6">
        <v>13.87</v>
      </c>
      <c r="E99" s="6">
        <v>10.35</v>
      </c>
      <c r="F99" s="6">
        <v>15.04</v>
      </c>
      <c r="G99" s="6">
        <v>70.959999999999994</v>
      </c>
      <c r="H99" s="6">
        <v>24.52</v>
      </c>
      <c r="I99" s="6">
        <v>5.26</v>
      </c>
      <c r="J99" s="6">
        <v>0.71</v>
      </c>
      <c r="K99" s="6">
        <v>257.31</v>
      </c>
      <c r="L99" s="6">
        <v>32.020000000000003</v>
      </c>
      <c r="M99" s="6">
        <v>51.92</v>
      </c>
      <c r="N99" s="6">
        <v>2</v>
      </c>
      <c r="O99" s="6">
        <v>0</v>
      </c>
      <c r="P99" s="6">
        <v>0.54</v>
      </c>
      <c r="Q99" s="6">
        <v>6.19</v>
      </c>
    </row>
    <row r="100" spans="1:22" customFormat="1">
      <c r="A100" s="82">
        <v>45455.958333333336</v>
      </c>
      <c r="B100" s="6">
        <v>9.09</v>
      </c>
      <c r="C100" s="6">
        <v>4.0999999999999996</v>
      </c>
      <c r="D100" s="6">
        <v>13.88</v>
      </c>
      <c r="E100" s="6">
        <v>10.18</v>
      </c>
      <c r="F100" s="6">
        <v>12.36</v>
      </c>
      <c r="G100" s="6">
        <v>66.92</v>
      </c>
      <c r="H100" s="6">
        <v>23.75</v>
      </c>
      <c r="I100" s="6">
        <v>5.74</v>
      </c>
      <c r="J100" s="6">
        <v>0.64</v>
      </c>
      <c r="K100" s="6">
        <v>264.04000000000002</v>
      </c>
      <c r="L100" s="6">
        <v>31.97</v>
      </c>
      <c r="M100" s="6">
        <v>53.77</v>
      </c>
      <c r="N100" s="6">
        <v>2</v>
      </c>
      <c r="O100" s="6">
        <v>0</v>
      </c>
      <c r="P100" s="6">
        <v>0.56000000000000005</v>
      </c>
      <c r="Q100" s="6">
        <v>6.27</v>
      </c>
    </row>
    <row r="101" spans="1:22" customFormat="1">
      <c r="A101" s="82">
        <v>45455.96875</v>
      </c>
      <c r="B101" s="6">
        <v>9.09</v>
      </c>
      <c r="C101" s="6">
        <v>4.0599999999999996</v>
      </c>
      <c r="D101" s="6">
        <v>13.86</v>
      </c>
      <c r="E101" s="6">
        <v>10.15</v>
      </c>
      <c r="F101" s="6">
        <v>13.04</v>
      </c>
      <c r="G101" s="6">
        <v>56.44</v>
      </c>
      <c r="H101" s="6">
        <v>22.41</v>
      </c>
      <c r="I101" s="6">
        <v>5.87</v>
      </c>
      <c r="J101" s="6">
        <v>0.55000000000000004</v>
      </c>
      <c r="K101" s="6">
        <v>256.06</v>
      </c>
      <c r="L101" s="6">
        <v>31.63</v>
      </c>
      <c r="M101" s="6">
        <v>58.99</v>
      </c>
      <c r="N101" s="6">
        <v>2.1</v>
      </c>
      <c r="O101" s="6">
        <v>0</v>
      </c>
      <c r="P101" s="6">
        <v>0.55000000000000004</v>
      </c>
      <c r="Q101" s="6">
        <v>6.3</v>
      </c>
    </row>
    <row r="102" spans="1:22" customFormat="1">
      <c r="A102" s="82">
        <v>45455.979166666664</v>
      </c>
      <c r="B102" s="6">
        <v>9.08</v>
      </c>
      <c r="C102" s="6">
        <v>4.0599999999999996</v>
      </c>
      <c r="D102" s="6">
        <v>13.86</v>
      </c>
      <c r="E102" s="6">
        <v>10.32</v>
      </c>
      <c r="F102" s="6">
        <v>10.89</v>
      </c>
      <c r="G102" s="6">
        <v>56.44</v>
      </c>
      <c r="H102" s="6">
        <v>22.41</v>
      </c>
      <c r="I102" s="6">
        <v>5.93</v>
      </c>
      <c r="J102" s="6">
        <v>0.78</v>
      </c>
      <c r="K102" s="6">
        <v>267.77</v>
      </c>
      <c r="L102" s="6">
        <v>31.4</v>
      </c>
      <c r="M102" s="6">
        <v>64.91</v>
      </c>
      <c r="N102" s="6">
        <v>2</v>
      </c>
      <c r="O102" s="6">
        <v>0</v>
      </c>
      <c r="P102" s="6">
        <v>0.54</v>
      </c>
      <c r="Q102" s="6">
        <v>6.25</v>
      </c>
    </row>
    <row r="103" spans="1:22" customFormat="1">
      <c r="A103" s="82">
        <v>45455.989583333336</v>
      </c>
      <c r="B103" s="6">
        <v>9.07</v>
      </c>
      <c r="C103" s="6">
        <v>4.07</v>
      </c>
      <c r="D103" s="6">
        <v>13.85</v>
      </c>
      <c r="E103" s="6">
        <v>10.82</v>
      </c>
      <c r="F103" s="6">
        <v>10.94</v>
      </c>
      <c r="G103" s="6">
        <v>56.44</v>
      </c>
      <c r="H103" s="6">
        <v>22.41</v>
      </c>
      <c r="I103" s="6">
        <v>5.8</v>
      </c>
      <c r="J103" s="6">
        <v>0.66</v>
      </c>
      <c r="K103" s="6">
        <v>252.49</v>
      </c>
      <c r="L103" s="6">
        <v>31.2</v>
      </c>
      <c r="M103" s="6">
        <v>67.38</v>
      </c>
      <c r="N103" s="6">
        <v>1.9</v>
      </c>
      <c r="O103" s="6">
        <v>0</v>
      </c>
      <c r="P103" s="6">
        <v>0.53</v>
      </c>
      <c r="Q103" s="6">
        <v>5.6</v>
      </c>
    </row>
    <row r="104" spans="1:22" customFormat="1">
      <c r="A104" s="82">
        <v>45456</v>
      </c>
      <c r="B104" s="6">
        <v>9.06</v>
      </c>
      <c r="C104" s="6">
        <v>4.08</v>
      </c>
      <c r="D104" s="6">
        <v>13.85</v>
      </c>
      <c r="E104" s="6">
        <v>10</v>
      </c>
      <c r="F104" s="6">
        <v>8.76</v>
      </c>
      <c r="G104" s="6">
        <v>55.01</v>
      </c>
      <c r="H104" s="6">
        <v>22.29</v>
      </c>
      <c r="I104" s="6">
        <v>5.59</v>
      </c>
      <c r="J104" s="6">
        <v>0.7</v>
      </c>
      <c r="K104" s="6">
        <v>246.64</v>
      </c>
      <c r="L104" s="6">
        <v>31.11</v>
      </c>
      <c r="M104" s="6">
        <v>67.12</v>
      </c>
      <c r="N104" s="6">
        <v>1.9</v>
      </c>
      <c r="O104" s="6">
        <v>0</v>
      </c>
      <c r="P104" s="6">
        <v>0.52</v>
      </c>
      <c r="Q104" s="6">
        <v>5.66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9.06</v>
      </c>
      <c r="C106" s="184">
        <f>MIN(C9:C104)</f>
        <v>4.03</v>
      </c>
      <c r="D106" s="184">
        <f t="shared" ref="D106:Q106" si="0">MIN(D9:D104)</f>
        <v>13.85</v>
      </c>
      <c r="E106" s="184">
        <f t="shared" si="0"/>
        <v>7.98</v>
      </c>
      <c r="F106" s="184">
        <f t="shared" si="0"/>
        <v>3.53</v>
      </c>
      <c r="G106" s="184">
        <f t="shared" si="0"/>
        <v>18.97</v>
      </c>
      <c r="H106" s="184">
        <f t="shared" si="0"/>
        <v>7.23</v>
      </c>
      <c r="I106" s="184">
        <f t="shared" si="0"/>
        <v>3.64</v>
      </c>
      <c r="J106" s="184">
        <f t="shared" si="0"/>
        <v>-1.1200000000000001</v>
      </c>
      <c r="K106" s="184">
        <f t="shared" si="0"/>
        <v>-0.02</v>
      </c>
      <c r="L106" s="184">
        <f t="shared" si="0"/>
        <v>28.32</v>
      </c>
      <c r="M106" s="184">
        <f t="shared" si="0"/>
        <v>26.16</v>
      </c>
      <c r="N106" s="184">
        <f t="shared" si="0"/>
        <v>1.1000000000000001</v>
      </c>
      <c r="O106" s="184">
        <f t="shared" si="0"/>
        <v>0</v>
      </c>
      <c r="P106" s="184">
        <f t="shared" si="0"/>
        <v>0.27</v>
      </c>
      <c r="Q106" s="184">
        <f t="shared" si="0"/>
        <v>4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9.2799999999999994</v>
      </c>
      <c r="C107" s="185">
        <f t="shared" ref="C107:Q107" si="1">MAX(C9:C104)</f>
        <v>4.13</v>
      </c>
      <c r="D107" s="185">
        <f t="shared" si="1"/>
        <v>14.03</v>
      </c>
      <c r="E107" s="185">
        <f t="shared" si="1"/>
        <v>49.32</v>
      </c>
      <c r="F107" s="185">
        <f t="shared" si="1"/>
        <v>61.32</v>
      </c>
      <c r="G107" s="185">
        <f t="shared" si="1"/>
        <v>90.53</v>
      </c>
      <c r="H107" s="185">
        <f t="shared" si="1"/>
        <v>24.52</v>
      </c>
      <c r="I107" s="185">
        <f t="shared" si="1"/>
        <v>6.61</v>
      </c>
      <c r="J107" s="185">
        <f t="shared" si="1"/>
        <v>1.9</v>
      </c>
      <c r="K107" s="185">
        <f t="shared" si="1"/>
        <v>359.09</v>
      </c>
      <c r="L107" s="185">
        <f t="shared" si="1"/>
        <v>41.45</v>
      </c>
      <c r="M107" s="185">
        <f t="shared" si="1"/>
        <v>69.900000000000006</v>
      </c>
      <c r="N107" s="185">
        <f t="shared" si="1"/>
        <v>754.3</v>
      </c>
      <c r="O107" s="185">
        <f t="shared" si="1"/>
        <v>0</v>
      </c>
      <c r="P107" s="185">
        <f t="shared" si="1"/>
        <v>0.63</v>
      </c>
      <c r="Q107" s="185">
        <f t="shared" si="1"/>
        <v>10.68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9.1735416666666687</v>
      </c>
      <c r="C108" s="184">
        <f t="shared" ref="C108:Q108" si="2">AVERAGE(C9:C104)</f>
        <v>4.076249999999999</v>
      </c>
      <c r="D108" s="184">
        <f t="shared" si="2"/>
        <v>13.936041666666668</v>
      </c>
      <c r="E108" s="184">
        <f t="shared" si="2"/>
        <v>13.649583333333332</v>
      </c>
      <c r="F108" s="184">
        <f t="shared" si="2"/>
        <v>22.461979166666662</v>
      </c>
      <c r="G108" s="184">
        <f t="shared" si="2"/>
        <v>46.634583333333332</v>
      </c>
      <c r="H108" s="184">
        <f t="shared" si="2"/>
        <v>16.728229166666662</v>
      </c>
      <c r="I108" s="184">
        <f t="shared" si="2"/>
        <v>4.5585416666666676</v>
      </c>
      <c r="J108" s="184">
        <f t="shared" si="2"/>
        <v>1.0501041666666668</v>
      </c>
      <c r="K108" s="184">
        <f t="shared" si="2"/>
        <v>270.43822916666664</v>
      </c>
      <c r="L108" s="184">
        <f t="shared" si="2"/>
        <v>33.670312500000001</v>
      </c>
      <c r="M108" s="184">
        <f t="shared" si="2"/>
        <v>49.306979166666657</v>
      </c>
      <c r="N108" s="184">
        <f t="shared" si="2"/>
        <v>144.10937499999997</v>
      </c>
      <c r="O108" s="184">
        <f t="shared" si="2"/>
        <v>0</v>
      </c>
      <c r="P108" s="184">
        <f t="shared" si="2"/>
        <v>0.42208333333333342</v>
      </c>
      <c r="Q108" s="184">
        <f t="shared" si="2"/>
        <v>4.599687499999999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5.1747955294803465E-2</v>
      </c>
      <c r="C109" s="184">
        <f t="shared" ref="C109:Q109" si="3">STDEV(C9:C104)</f>
        <v>1.7666501157781529E-2</v>
      </c>
      <c r="D109" s="184">
        <f t="shared" si="3"/>
        <v>4.2833316267318657E-2</v>
      </c>
      <c r="E109" s="184">
        <f t="shared" si="3"/>
        <v>6.2523738509409288</v>
      </c>
      <c r="F109" s="184">
        <f t="shared" si="3"/>
        <v>14.60799151292424</v>
      </c>
      <c r="G109" s="184">
        <f t="shared" si="3"/>
        <v>24.786329802689995</v>
      </c>
      <c r="H109" s="184">
        <f t="shared" si="3"/>
        <v>5.4084750248381779</v>
      </c>
      <c r="I109" s="184">
        <f t="shared" si="3"/>
        <v>0.6430502626940342</v>
      </c>
      <c r="J109" s="184">
        <f t="shared" si="3"/>
        <v>0.4636979388662098</v>
      </c>
      <c r="K109" s="184">
        <f t="shared" si="3"/>
        <v>68.506877518665391</v>
      </c>
      <c r="L109" s="184">
        <f t="shared" si="3"/>
        <v>4.1894965036323555</v>
      </c>
      <c r="M109" s="184">
        <f t="shared" si="3"/>
        <v>13.370479826038801</v>
      </c>
      <c r="N109" s="184">
        <f t="shared" si="3"/>
        <v>206.96866077443511</v>
      </c>
      <c r="O109" s="184">
        <f t="shared" si="3"/>
        <v>0</v>
      </c>
      <c r="P109" s="184">
        <f t="shared" si="3"/>
        <v>8.9359318032861595E-2</v>
      </c>
      <c r="Q109" s="184">
        <f t="shared" si="3"/>
        <v>1.0091209860436465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49" activePane="bottomRight" state="frozen"/>
      <selection activeCell="A9" sqref="A9"/>
      <selection pane="topRight" activeCell="A9" sqref="A9"/>
      <selection pane="bottomLeft" activeCell="A9" sqref="A9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45456.010416666664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45456.010416666664</v>
      </c>
      <c r="B9" s="6">
        <v>9.2799999999999994</v>
      </c>
      <c r="C9" s="6">
        <v>4.04</v>
      </c>
      <c r="D9" s="6">
        <v>14</v>
      </c>
      <c r="E9" s="6">
        <v>10.26</v>
      </c>
      <c r="F9" s="6">
        <v>7.68</v>
      </c>
      <c r="G9" s="6">
        <v>51.3</v>
      </c>
      <c r="H9" s="6">
        <v>22.09</v>
      </c>
      <c r="I9" s="6">
        <v>5.42</v>
      </c>
      <c r="J9" s="6">
        <v>0.68</v>
      </c>
      <c r="K9" s="6">
        <v>250.54</v>
      </c>
      <c r="L9" s="6">
        <v>30.8</v>
      </c>
      <c r="M9" s="6">
        <v>68.2</v>
      </c>
      <c r="N9" s="6">
        <v>2</v>
      </c>
      <c r="O9" s="6">
        <v>0</v>
      </c>
      <c r="P9" s="6">
        <v>0.52</v>
      </c>
      <c r="Q9" s="6">
        <v>5.96</v>
      </c>
    </row>
    <row r="10" spans="1:21" customFormat="1">
      <c r="A10" s="82">
        <v>45456.020833333336</v>
      </c>
      <c r="B10" s="6">
        <v>9.2899999999999991</v>
      </c>
      <c r="C10" s="6">
        <v>4.09</v>
      </c>
      <c r="D10" s="6">
        <v>14.04</v>
      </c>
      <c r="E10" s="6">
        <v>10.24</v>
      </c>
      <c r="F10" s="6">
        <v>8.48</v>
      </c>
      <c r="G10" s="6">
        <v>51.3</v>
      </c>
      <c r="H10" s="6">
        <v>22.09</v>
      </c>
      <c r="I10" s="6">
        <v>5.52</v>
      </c>
      <c r="J10" s="6">
        <v>0.62</v>
      </c>
      <c r="K10" s="6">
        <v>261.45</v>
      </c>
      <c r="L10" s="6">
        <v>30.75</v>
      </c>
      <c r="M10" s="6">
        <v>68.48</v>
      </c>
      <c r="N10" s="6">
        <v>1.8</v>
      </c>
      <c r="O10" s="6">
        <v>0</v>
      </c>
      <c r="P10" s="6">
        <v>0.52</v>
      </c>
      <c r="Q10" s="6">
        <v>6.76</v>
      </c>
    </row>
    <row r="11" spans="1:21" customFormat="1">
      <c r="A11" s="82">
        <v>45456.03125</v>
      </c>
      <c r="B11" s="6">
        <v>9.2799999999999994</v>
      </c>
      <c r="C11" s="6">
        <v>4.0999999999999996</v>
      </c>
      <c r="D11" s="6">
        <v>14.04</v>
      </c>
      <c r="E11" s="6">
        <v>10.09</v>
      </c>
      <c r="F11" s="6">
        <v>10.48</v>
      </c>
      <c r="G11" s="6">
        <v>51.3</v>
      </c>
      <c r="H11" s="6">
        <v>22.09</v>
      </c>
      <c r="I11" s="6">
        <v>5.43</v>
      </c>
      <c r="J11" s="6">
        <v>0.53</v>
      </c>
      <c r="K11" s="6">
        <v>262.7</v>
      </c>
      <c r="L11" s="6">
        <v>30.53</v>
      </c>
      <c r="M11" s="6">
        <v>69.209999999999994</v>
      </c>
      <c r="N11" s="6">
        <v>1.9</v>
      </c>
      <c r="O11" s="6">
        <v>0</v>
      </c>
      <c r="P11" s="6">
        <v>0.51</v>
      </c>
      <c r="Q11" s="6">
        <v>6.47</v>
      </c>
    </row>
    <row r="12" spans="1:21" customFormat="1">
      <c r="A12" s="82">
        <v>45456.041666666664</v>
      </c>
      <c r="B12" s="6">
        <v>9.3000000000000007</v>
      </c>
      <c r="C12" s="6">
        <v>4.09</v>
      </c>
      <c r="D12" s="6">
        <v>14.04</v>
      </c>
      <c r="E12" s="6">
        <v>10.34</v>
      </c>
      <c r="F12" s="6">
        <v>8.7899999999999991</v>
      </c>
      <c r="G12" s="6">
        <v>50.18</v>
      </c>
      <c r="H12" s="6">
        <v>21.39</v>
      </c>
      <c r="I12" s="6">
        <v>5.4</v>
      </c>
      <c r="J12" s="6">
        <v>0.48</v>
      </c>
      <c r="K12" s="6">
        <v>262.63</v>
      </c>
      <c r="L12" s="6">
        <v>30.53</v>
      </c>
      <c r="M12" s="6">
        <v>68.599999999999994</v>
      </c>
      <c r="N12" s="6">
        <v>1.7</v>
      </c>
      <c r="O12" s="6">
        <v>0</v>
      </c>
      <c r="P12" s="6">
        <v>0.5</v>
      </c>
      <c r="Q12" s="6">
        <v>6.31</v>
      </c>
    </row>
    <row r="13" spans="1:21" customFormat="1">
      <c r="A13" s="82">
        <v>45456.052083333336</v>
      </c>
      <c r="B13" s="6">
        <v>9.3000000000000007</v>
      </c>
      <c r="C13" s="6">
        <v>4.08</v>
      </c>
      <c r="D13" s="6">
        <v>14.04</v>
      </c>
      <c r="E13" s="6">
        <v>10.32</v>
      </c>
      <c r="F13" s="6">
        <v>9.02</v>
      </c>
      <c r="G13" s="6">
        <v>47.27</v>
      </c>
      <c r="H13" s="6">
        <v>20.170000000000002</v>
      </c>
      <c r="I13" s="6">
        <v>5.21</v>
      </c>
      <c r="J13" s="6">
        <v>0.55000000000000004</v>
      </c>
      <c r="K13" s="6">
        <v>252.81</v>
      </c>
      <c r="L13" s="6">
        <v>30.67</v>
      </c>
      <c r="M13" s="6">
        <v>67.86</v>
      </c>
      <c r="N13" s="6">
        <v>1.7</v>
      </c>
      <c r="O13" s="6">
        <v>0</v>
      </c>
      <c r="P13" s="6">
        <v>0.5</v>
      </c>
      <c r="Q13" s="6">
        <v>5.92</v>
      </c>
    </row>
    <row r="14" spans="1:21" customFormat="1">
      <c r="A14" s="82">
        <v>45456.0625</v>
      </c>
      <c r="B14" s="6">
        <v>9.33</v>
      </c>
      <c r="C14" s="6">
        <v>4.08</v>
      </c>
      <c r="D14" s="6">
        <v>14.06</v>
      </c>
      <c r="E14" s="6">
        <v>10.52</v>
      </c>
      <c r="F14" s="6">
        <v>9.36</v>
      </c>
      <c r="G14" s="6">
        <v>47.27</v>
      </c>
      <c r="H14" s="6">
        <v>20.170000000000002</v>
      </c>
      <c r="I14" s="6">
        <v>5.21</v>
      </c>
      <c r="J14" s="6">
        <v>0.42</v>
      </c>
      <c r="K14" s="6">
        <v>252.78</v>
      </c>
      <c r="L14" s="6">
        <v>30.63</v>
      </c>
      <c r="M14" s="6">
        <v>67.42</v>
      </c>
      <c r="N14" s="6">
        <v>1.7</v>
      </c>
      <c r="O14" s="6">
        <v>0</v>
      </c>
      <c r="P14" s="6">
        <v>0.49</v>
      </c>
      <c r="Q14" s="6">
        <v>6.08</v>
      </c>
    </row>
    <row r="15" spans="1:21" customFormat="1">
      <c r="A15" s="82">
        <v>45456.072916666664</v>
      </c>
      <c r="B15" s="6">
        <v>9.33</v>
      </c>
      <c r="C15" s="6">
        <v>4.09</v>
      </c>
      <c r="D15" s="6">
        <v>14.06</v>
      </c>
      <c r="E15" s="6">
        <v>10.54</v>
      </c>
      <c r="F15" s="6">
        <v>8.9600000000000009</v>
      </c>
      <c r="G15" s="6">
        <v>47.27</v>
      </c>
      <c r="H15" s="6">
        <v>20.170000000000002</v>
      </c>
      <c r="I15" s="6">
        <v>5.17</v>
      </c>
      <c r="J15" s="6">
        <v>0.57999999999999996</v>
      </c>
      <c r="K15" s="6">
        <v>250.13</v>
      </c>
      <c r="L15" s="6">
        <v>30.57</v>
      </c>
      <c r="M15" s="6">
        <v>66.459999999999994</v>
      </c>
      <c r="N15" s="6">
        <v>1.9</v>
      </c>
      <c r="O15" s="6">
        <v>0</v>
      </c>
      <c r="P15" s="6">
        <v>0.48</v>
      </c>
      <c r="Q15" s="6">
        <v>5.17</v>
      </c>
    </row>
    <row r="16" spans="1:21" customFormat="1">
      <c r="A16" s="82">
        <v>45456.083333333336</v>
      </c>
      <c r="B16" s="6">
        <v>9.3000000000000007</v>
      </c>
      <c r="C16" s="6">
        <v>4.1100000000000003</v>
      </c>
      <c r="D16" s="6">
        <v>14.06</v>
      </c>
      <c r="E16" s="6">
        <v>10.35</v>
      </c>
      <c r="F16" s="6">
        <v>8.9600000000000009</v>
      </c>
      <c r="G16" s="6">
        <v>45.74</v>
      </c>
      <c r="H16" s="6">
        <v>19.8</v>
      </c>
      <c r="I16" s="6">
        <v>5.07</v>
      </c>
      <c r="J16" s="6">
        <v>0.69</v>
      </c>
      <c r="K16" s="6">
        <v>255.21</v>
      </c>
      <c r="L16" s="6">
        <v>30.64</v>
      </c>
      <c r="M16" s="6">
        <v>64.56</v>
      </c>
      <c r="N16" s="6">
        <v>1.7</v>
      </c>
      <c r="O16" s="6">
        <v>0</v>
      </c>
      <c r="P16" s="6">
        <v>0.48</v>
      </c>
      <c r="Q16" s="6">
        <v>5.37</v>
      </c>
    </row>
    <row r="17" spans="1:17" customFormat="1">
      <c r="A17" s="82">
        <v>45456.09375</v>
      </c>
      <c r="B17" s="6">
        <v>9.32</v>
      </c>
      <c r="C17" s="6">
        <v>4.09</v>
      </c>
      <c r="D17" s="6">
        <v>14.06</v>
      </c>
      <c r="E17" s="6">
        <v>7.64</v>
      </c>
      <c r="F17" s="6">
        <v>8.6199999999999992</v>
      </c>
      <c r="G17" s="6">
        <v>41.52</v>
      </c>
      <c r="H17" s="6">
        <v>19.12</v>
      </c>
      <c r="I17" s="6">
        <v>5.08</v>
      </c>
      <c r="J17" s="6">
        <v>0.88</v>
      </c>
      <c r="K17" s="6">
        <v>259.10000000000002</v>
      </c>
      <c r="L17" s="6">
        <v>30.75</v>
      </c>
      <c r="M17" s="6">
        <v>62.28</v>
      </c>
      <c r="N17" s="6">
        <v>1.7</v>
      </c>
      <c r="O17" s="6">
        <v>0</v>
      </c>
      <c r="P17" s="6">
        <v>0.47</v>
      </c>
      <c r="Q17" s="6">
        <v>4.78</v>
      </c>
    </row>
    <row r="18" spans="1:17" customFormat="1">
      <c r="A18" s="82">
        <v>45456.104166666664</v>
      </c>
      <c r="B18" s="6">
        <v>9.32</v>
      </c>
      <c r="C18" s="6">
        <v>4.0999999999999996</v>
      </c>
      <c r="D18" s="6">
        <v>14.07</v>
      </c>
      <c r="E18" s="6">
        <v>9.0500000000000007</v>
      </c>
      <c r="F18" s="6">
        <v>7.12</v>
      </c>
      <c r="G18" s="6">
        <v>41.52</v>
      </c>
      <c r="H18" s="6">
        <v>19.12</v>
      </c>
      <c r="I18" s="6">
        <v>5.0999999999999996</v>
      </c>
      <c r="J18" s="6">
        <v>0.96</v>
      </c>
      <c r="K18" s="6">
        <v>256.8</v>
      </c>
      <c r="L18" s="6">
        <v>30.84</v>
      </c>
      <c r="M18" s="6">
        <v>61.37</v>
      </c>
      <c r="N18" s="6">
        <v>1.7</v>
      </c>
      <c r="O18" s="6">
        <v>0</v>
      </c>
      <c r="P18" s="6">
        <v>0.46</v>
      </c>
      <c r="Q18" s="6">
        <v>5.29</v>
      </c>
    </row>
    <row r="19" spans="1:17" customFormat="1">
      <c r="A19" s="82">
        <v>45456.114583333336</v>
      </c>
      <c r="B19" s="6">
        <v>9.35</v>
      </c>
      <c r="C19" s="6">
        <v>4.08</v>
      </c>
      <c r="D19" s="6">
        <v>14.08</v>
      </c>
      <c r="E19" s="6">
        <v>9.6999999999999993</v>
      </c>
      <c r="F19" s="6">
        <v>6.15</v>
      </c>
      <c r="G19" s="6">
        <v>41.52</v>
      </c>
      <c r="H19" s="6">
        <v>19.12</v>
      </c>
      <c r="I19" s="6">
        <v>4.95</v>
      </c>
      <c r="J19" s="6">
        <v>1.1599999999999999</v>
      </c>
      <c r="K19" s="6">
        <v>265.64</v>
      </c>
      <c r="L19" s="6">
        <v>30.83</v>
      </c>
      <c r="M19" s="6">
        <v>61.46</v>
      </c>
      <c r="N19" s="6">
        <v>2</v>
      </c>
      <c r="O19" s="6">
        <v>0</v>
      </c>
      <c r="P19" s="6">
        <v>0.46</v>
      </c>
      <c r="Q19" s="6">
        <v>4.6900000000000004</v>
      </c>
    </row>
    <row r="20" spans="1:17" customFormat="1">
      <c r="A20" s="82">
        <v>45456.125</v>
      </c>
      <c r="B20" s="6">
        <v>9.32</v>
      </c>
      <c r="C20" s="6">
        <v>4.0999999999999996</v>
      </c>
      <c r="D20" s="6">
        <v>14.07</v>
      </c>
      <c r="E20" s="6">
        <v>10.84</v>
      </c>
      <c r="F20" s="6">
        <v>8.7200000000000006</v>
      </c>
      <c r="G20" s="6">
        <v>39.86</v>
      </c>
      <c r="H20" s="6">
        <v>18.190000000000001</v>
      </c>
      <c r="I20" s="6">
        <v>5</v>
      </c>
      <c r="J20" s="6">
        <v>1.23</v>
      </c>
      <c r="K20" s="6">
        <v>262.36</v>
      </c>
      <c r="L20" s="6">
        <v>30.83</v>
      </c>
      <c r="M20" s="6">
        <v>61.66</v>
      </c>
      <c r="N20" s="6">
        <v>2.1</v>
      </c>
      <c r="O20" s="6">
        <v>0</v>
      </c>
      <c r="P20" s="6">
        <v>0.45</v>
      </c>
      <c r="Q20" s="6">
        <v>4.33</v>
      </c>
    </row>
    <row r="21" spans="1:17" customFormat="1">
      <c r="A21" s="82">
        <v>45456.135416666664</v>
      </c>
      <c r="B21" s="6">
        <v>9.35</v>
      </c>
      <c r="C21" s="6">
        <v>4.0999999999999996</v>
      </c>
      <c r="D21" s="6">
        <v>14.09</v>
      </c>
      <c r="E21" s="6">
        <v>12.12</v>
      </c>
      <c r="F21" s="6">
        <v>7.66</v>
      </c>
      <c r="G21" s="6">
        <v>35.53</v>
      </c>
      <c r="H21" s="6">
        <v>16.54</v>
      </c>
      <c r="I21" s="6">
        <v>4.92</v>
      </c>
      <c r="J21" s="6">
        <v>1.34</v>
      </c>
      <c r="K21" s="6">
        <v>265.97000000000003</v>
      </c>
      <c r="L21" s="6">
        <v>30.72</v>
      </c>
      <c r="M21" s="6">
        <v>62.67</v>
      </c>
      <c r="N21" s="6">
        <v>2.1</v>
      </c>
      <c r="O21" s="6">
        <v>0</v>
      </c>
      <c r="P21" s="6">
        <v>0.43</v>
      </c>
      <c r="Q21" s="6">
        <v>4.37</v>
      </c>
    </row>
    <row r="22" spans="1:17" customFormat="1">
      <c r="A22" s="82">
        <v>45456.145833333336</v>
      </c>
      <c r="B22" s="6">
        <v>9.36</v>
      </c>
      <c r="C22" s="6">
        <v>4.12</v>
      </c>
      <c r="D22" s="6">
        <v>14.11</v>
      </c>
      <c r="E22" s="6">
        <v>12.31</v>
      </c>
      <c r="F22" s="6">
        <v>11.21</v>
      </c>
      <c r="G22" s="6">
        <v>35.53</v>
      </c>
      <c r="H22" s="6">
        <v>16.54</v>
      </c>
      <c r="I22" s="6">
        <v>4.7300000000000004</v>
      </c>
      <c r="J22" s="6">
        <v>1.17</v>
      </c>
      <c r="K22" s="6">
        <v>270.44</v>
      </c>
      <c r="L22" s="6">
        <v>30.6</v>
      </c>
      <c r="M22" s="6">
        <v>63.89</v>
      </c>
      <c r="N22" s="6">
        <v>2.1</v>
      </c>
      <c r="O22" s="6">
        <v>0</v>
      </c>
      <c r="P22" s="6">
        <v>0.4</v>
      </c>
      <c r="Q22" s="6">
        <v>4.42</v>
      </c>
    </row>
    <row r="23" spans="1:17" customFormat="1">
      <c r="A23" s="82">
        <v>45456.15625</v>
      </c>
      <c r="B23" s="6">
        <v>9.39</v>
      </c>
      <c r="C23" s="6">
        <v>4.1399999999999997</v>
      </c>
      <c r="D23" s="6">
        <v>14.15</v>
      </c>
      <c r="E23" s="6">
        <v>11.83</v>
      </c>
      <c r="F23" s="6">
        <v>8.48</v>
      </c>
      <c r="G23" s="6">
        <v>35.53</v>
      </c>
      <c r="H23" s="6">
        <v>16.54</v>
      </c>
      <c r="I23" s="6">
        <v>4.75</v>
      </c>
      <c r="J23" s="6">
        <v>1.52</v>
      </c>
      <c r="K23" s="6">
        <v>270.7</v>
      </c>
      <c r="L23" s="6">
        <v>30.53</v>
      </c>
      <c r="M23" s="6">
        <v>64.75</v>
      </c>
      <c r="N23" s="6">
        <v>2.1</v>
      </c>
      <c r="O23" s="6">
        <v>0</v>
      </c>
      <c r="P23" s="6">
        <v>0.39</v>
      </c>
      <c r="Q23" s="6">
        <v>4.26</v>
      </c>
    </row>
    <row r="24" spans="1:17" customFormat="1">
      <c r="A24" s="82">
        <v>45456.166666666664</v>
      </c>
      <c r="B24" s="6">
        <v>9.41</v>
      </c>
      <c r="C24" s="6">
        <v>4.0999999999999996</v>
      </c>
      <c r="D24" s="6">
        <v>14.14</v>
      </c>
      <c r="E24" s="6">
        <v>12.29</v>
      </c>
      <c r="F24" s="6">
        <v>13</v>
      </c>
      <c r="G24" s="6">
        <v>34.49</v>
      </c>
      <c r="H24" s="6">
        <v>16.09</v>
      </c>
      <c r="I24" s="6">
        <v>4.5199999999999996</v>
      </c>
      <c r="J24" s="6">
        <v>1.37</v>
      </c>
      <c r="K24" s="6">
        <v>272.35000000000002</v>
      </c>
      <c r="L24" s="6">
        <v>30.42</v>
      </c>
      <c r="M24" s="6">
        <v>65.78</v>
      </c>
      <c r="N24" s="6">
        <v>2.1</v>
      </c>
      <c r="O24" s="6">
        <v>0</v>
      </c>
      <c r="P24" s="6">
        <v>0.38</v>
      </c>
      <c r="Q24" s="6">
        <v>4.1500000000000004</v>
      </c>
    </row>
    <row r="25" spans="1:17" customFormat="1">
      <c r="A25" s="82">
        <v>45456.177083333336</v>
      </c>
      <c r="B25" s="6">
        <v>9.4</v>
      </c>
      <c r="C25" s="6">
        <v>4.1100000000000003</v>
      </c>
      <c r="D25" s="6">
        <v>14.13</v>
      </c>
      <c r="E25" s="6">
        <v>14.24</v>
      </c>
      <c r="F25" s="6">
        <v>11.35</v>
      </c>
      <c r="G25" s="6">
        <v>31.63</v>
      </c>
      <c r="H25" s="6">
        <v>14.2</v>
      </c>
      <c r="I25" s="6">
        <v>4.62</v>
      </c>
      <c r="J25" s="6">
        <v>1.23</v>
      </c>
      <c r="K25" s="6">
        <v>264.95999999999998</v>
      </c>
      <c r="L25" s="6">
        <v>30.35</v>
      </c>
      <c r="M25" s="6">
        <v>66.52</v>
      </c>
      <c r="N25" s="6">
        <v>2.1</v>
      </c>
      <c r="O25" s="6">
        <v>0</v>
      </c>
      <c r="P25" s="6">
        <v>0.36</v>
      </c>
      <c r="Q25" s="6">
        <v>4.21</v>
      </c>
    </row>
    <row r="26" spans="1:17" customFormat="1">
      <c r="A26" s="82">
        <v>45456.1875</v>
      </c>
      <c r="B26" s="6">
        <v>9.39</v>
      </c>
      <c r="C26" s="6">
        <v>4.09</v>
      </c>
      <c r="D26" s="6">
        <v>14.12</v>
      </c>
      <c r="E26" s="6">
        <v>14.2</v>
      </c>
      <c r="F26" s="6">
        <v>12.36</v>
      </c>
      <c r="G26" s="6">
        <v>31.63</v>
      </c>
      <c r="H26" s="6">
        <v>14.2</v>
      </c>
      <c r="I26" s="6">
        <v>4.34</v>
      </c>
      <c r="J26" s="6">
        <v>1.02</v>
      </c>
      <c r="K26" s="6">
        <v>264.94</v>
      </c>
      <c r="L26" s="6">
        <v>30.27</v>
      </c>
      <c r="M26" s="6">
        <v>67.37</v>
      </c>
      <c r="N26" s="6">
        <v>2.1</v>
      </c>
      <c r="O26" s="6">
        <v>0</v>
      </c>
      <c r="P26" s="6">
        <v>0.35</v>
      </c>
      <c r="Q26" s="6">
        <v>5.08</v>
      </c>
    </row>
    <row r="27" spans="1:17" customFormat="1">
      <c r="A27" s="82">
        <v>45456.197916666664</v>
      </c>
      <c r="B27" s="6">
        <v>9.3699999999999992</v>
      </c>
      <c r="C27" s="6">
        <v>4.0599999999999996</v>
      </c>
      <c r="D27" s="6">
        <v>14.09</v>
      </c>
      <c r="E27" s="6">
        <v>14.38</v>
      </c>
      <c r="F27" s="6">
        <v>10.06</v>
      </c>
      <c r="G27" s="6">
        <v>31.63</v>
      </c>
      <c r="H27" s="6">
        <v>14.2</v>
      </c>
      <c r="I27" s="6">
        <v>4.42</v>
      </c>
      <c r="J27" s="6">
        <v>1.17</v>
      </c>
      <c r="K27" s="6">
        <v>265.73</v>
      </c>
      <c r="L27" s="6">
        <v>30.23</v>
      </c>
      <c r="M27" s="6">
        <v>67.86</v>
      </c>
      <c r="N27" s="6">
        <v>2.1</v>
      </c>
      <c r="O27" s="6">
        <v>0</v>
      </c>
      <c r="P27" s="6">
        <v>0.36</v>
      </c>
      <c r="Q27" s="6">
        <v>4.76</v>
      </c>
    </row>
    <row r="28" spans="1:17" customFormat="1">
      <c r="A28" s="82">
        <v>45456.208333333336</v>
      </c>
      <c r="B28" s="6">
        <v>9.3699999999999992</v>
      </c>
      <c r="C28" s="6">
        <v>4.04</v>
      </c>
      <c r="D28" s="6">
        <v>14.07</v>
      </c>
      <c r="E28" s="6">
        <v>14.43</v>
      </c>
      <c r="F28" s="6">
        <v>16.93</v>
      </c>
      <c r="G28" s="6">
        <v>31.21</v>
      </c>
      <c r="H28" s="6">
        <v>13.92</v>
      </c>
      <c r="I28" s="6">
        <v>4.43</v>
      </c>
      <c r="J28" s="6">
        <v>0.89</v>
      </c>
      <c r="K28" s="6">
        <v>261.08999999999997</v>
      </c>
      <c r="L28" s="6">
        <v>30.2</v>
      </c>
      <c r="M28" s="6">
        <v>68.44</v>
      </c>
      <c r="N28" s="6">
        <v>2.1</v>
      </c>
      <c r="O28" s="6">
        <v>0</v>
      </c>
      <c r="P28" s="6">
        <v>0.42</v>
      </c>
      <c r="Q28" s="6">
        <v>4.24</v>
      </c>
    </row>
    <row r="29" spans="1:17" customFormat="1">
      <c r="A29" s="82">
        <v>45456.21875</v>
      </c>
      <c r="B29" s="6">
        <v>9.39</v>
      </c>
      <c r="C29" s="6">
        <v>4.05</v>
      </c>
      <c r="D29" s="6">
        <v>14.09</v>
      </c>
      <c r="E29" s="6">
        <v>15.34</v>
      </c>
      <c r="F29" s="6">
        <v>16.72</v>
      </c>
      <c r="G29" s="6">
        <v>30.12</v>
      </c>
      <c r="H29" s="6">
        <v>13.42</v>
      </c>
      <c r="I29" s="6">
        <v>4.47</v>
      </c>
      <c r="J29" s="6">
        <v>0.8</v>
      </c>
      <c r="K29" s="6">
        <v>260</v>
      </c>
      <c r="L29" s="6">
        <v>30.13</v>
      </c>
      <c r="M29" s="6">
        <v>69.099999999999994</v>
      </c>
      <c r="N29" s="6">
        <v>2.5</v>
      </c>
      <c r="O29" s="6">
        <v>0</v>
      </c>
      <c r="P29" s="6">
        <v>0.38</v>
      </c>
      <c r="Q29" s="6">
        <v>4.08</v>
      </c>
    </row>
    <row r="30" spans="1:17" customFormat="1">
      <c r="A30" s="82">
        <v>45456.229166666664</v>
      </c>
      <c r="B30" s="6">
        <v>9.4</v>
      </c>
      <c r="C30" s="6">
        <v>4.07</v>
      </c>
      <c r="D30" s="6">
        <v>14.12</v>
      </c>
      <c r="E30" s="6">
        <v>14.85</v>
      </c>
      <c r="F30" s="6">
        <v>18.7</v>
      </c>
      <c r="G30" s="6">
        <v>30.12</v>
      </c>
      <c r="H30" s="6">
        <v>13.42</v>
      </c>
      <c r="I30" s="6">
        <v>4.5199999999999996</v>
      </c>
      <c r="J30" s="6">
        <v>0.77</v>
      </c>
      <c r="K30" s="6">
        <v>272.5</v>
      </c>
      <c r="L30" s="6">
        <v>30.06</v>
      </c>
      <c r="M30" s="6">
        <v>69.709999999999994</v>
      </c>
      <c r="N30" s="6">
        <v>4.5</v>
      </c>
      <c r="O30" s="6">
        <v>0</v>
      </c>
      <c r="P30" s="6">
        <v>0.37</v>
      </c>
      <c r="Q30" s="6">
        <v>4.03</v>
      </c>
    </row>
    <row r="31" spans="1:17" customFormat="1">
      <c r="A31" s="82">
        <v>45456.239583333336</v>
      </c>
      <c r="B31" s="6">
        <v>9.3800000000000008</v>
      </c>
      <c r="C31" s="6">
        <v>4.08</v>
      </c>
      <c r="D31" s="6">
        <v>14.1</v>
      </c>
      <c r="E31" s="6">
        <v>14.44</v>
      </c>
      <c r="F31" s="6">
        <v>20.170000000000002</v>
      </c>
      <c r="G31" s="6">
        <v>30.12</v>
      </c>
      <c r="H31" s="6">
        <v>13.42</v>
      </c>
      <c r="I31" s="6">
        <v>4.55</v>
      </c>
      <c r="J31" s="6">
        <v>0.68</v>
      </c>
      <c r="K31" s="6">
        <v>266.14999999999998</v>
      </c>
      <c r="L31" s="6">
        <v>30.03</v>
      </c>
      <c r="M31" s="6">
        <v>70.05</v>
      </c>
      <c r="N31" s="6">
        <v>8.4</v>
      </c>
      <c r="O31" s="6">
        <v>0</v>
      </c>
      <c r="P31" s="6">
        <v>0.35</v>
      </c>
      <c r="Q31" s="6">
        <v>4.01</v>
      </c>
    </row>
    <row r="32" spans="1:17" customFormat="1">
      <c r="A32" s="82">
        <v>45456.25</v>
      </c>
      <c r="B32" s="6">
        <v>9.3699999999999992</v>
      </c>
      <c r="C32" s="6">
        <v>4.07</v>
      </c>
      <c r="D32" s="6">
        <v>14.09</v>
      </c>
      <c r="E32" s="6">
        <v>13.88</v>
      </c>
      <c r="F32" s="6">
        <v>15.93</v>
      </c>
      <c r="G32" s="6">
        <v>29.83</v>
      </c>
      <c r="H32" s="6">
        <v>13.8</v>
      </c>
      <c r="I32" s="6">
        <v>4.41</v>
      </c>
      <c r="J32" s="6">
        <v>0.84</v>
      </c>
      <c r="K32" s="6">
        <v>264.83</v>
      </c>
      <c r="L32" s="6">
        <v>30.1</v>
      </c>
      <c r="M32" s="6">
        <v>70.03</v>
      </c>
      <c r="N32" s="6">
        <v>15.6</v>
      </c>
      <c r="O32" s="6">
        <v>0</v>
      </c>
      <c r="P32" s="6">
        <v>0.34</v>
      </c>
      <c r="Q32" s="6">
        <v>4.0199999999999996</v>
      </c>
    </row>
    <row r="33" spans="1:17" customFormat="1">
      <c r="A33" s="82">
        <v>45456.260416666664</v>
      </c>
      <c r="B33" s="6">
        <v>9.35</v>
      </c>
      <c r="C33" s="6">
        <v>4.0599999999999996</v>
      </c>
      <c r="D33" s="6">
        <v>14.06</v>
      </c>
      <c r="E33" s="6">
        <v>12.68</v>
      </c>
      <c r="F33" s="6">
        <v>14.73</v>
      </c>
      <c r="G33" s="6">
        <v>29.06</v>
      </c>
      <c r="H33" s="6">
        <v>14.49</v>
      </c>
      <c r="I33" s="6">
        <v>4.22</v>
      </c>
      <c r="J33" s="6">
        <v>0.89</v>
      </c>
      <c r="K33" s="6">
        <v>262.41000000000003</v>
      </c>
      <c r="L33" s="6">
        <v>30.09</v>
      </c>
      <c r="M33" s="6">
        <v>70.260000000000005</v>
      </c>
      <c r="N33" s="6">
        <v>33.799999999999997</v>
      </c>
      <c r="O33" s="6">
        <v>0</v>
      </c>
      <c r="P33" s="6">
        <v>0.35</v>
      </c>
      <c r="Q33" s="6">
        <v>4.0199999999999996</v>
      </c>
    </row>
    <row r="34" spans="1:17" customFormat="1">
      <c r="A34" s="82">
        <v>45456.270833333336</v>
      </c>
      <c r="B34" s="6">
        <v>9.34</v>
      </c>
      <c r="C34" s="6">
        <v>4.0599999999999996</v>
      </c>
      <c r="D34" s="6">
        <v>14.06</v>
      </c>
      <c r="E34" s="6">
        <v>12.73</v>
      </c>
      <c r="F34" s="6">
        <v>15.72</v>
      </c>
      <c r="G34" s="6">
        <v>29.06</v>
      </c>
      <c r="H34" s="6">
        <v>14.49</v>
      </c>
      <c r="I34" s="6">
        <v>4.25</v>
      </c>
      <c r="J34" s="6">
        <v>0.82</v>
      </c>
      <c r="K34" s="6">
        <v>262.43</v>
      </c>
      <c r="L34" s="6">
        <v>30.29</v>
      </c>
      <c r="M34" s="6">
        <v>70.040000000000006</v>
      </c>
      <c r="N34" s="6">
        <v>60.7</v>
      </c>
      <c r="O34" s="6">
        <v>0</v>
      </c>
      <c r="P34" s="6">
        <v>0.35</v>
      </c>
      <c r="Q34" s="6">
        <v>4.01</v>
      </c>
    </row>
    <row r="35" spans="1:17" customFormat="1">
      <c r="A35" s="82">
        <v>45456.28125</v>
      </c>
      <c r="B35" s="6">
        <v>9.34</v>
      </c>
      <c r="C35" s="6">
        <v>4.07</v>
      </c>
      <c r="D35" s="6">
        <v>14.07</v>
      </c>
      <c r="E35" s="6">
        <v>12.35</v>
      </c>
      <c r="F35" s="6">
        <v>15.14</v>
      </c>
      <c r="G35" s="6">
        <v>29.06</v>
      </c>
      <c r="H35" s="6">
        <v>14.49</v>
      </c>
      <c r="I35" s="6">
        <v>4.2699999999999996</v>
      </c>
      <c r="J35" s="6">
        <v>0.88</v>
      </c>
      <c r="K35" s="6">
        <v>267.39999999999998</v>
      </c>
      <c r="L35" s="6">
        <v>30.51</v>
      </c>
      <c r="M35" s="6">
        <v>69.459999999999994</v>
      </c>
      <c r="N35" s="6">
        <v>87.6</v>
      </c>
      <c r="O35" s="6">
        <v>0</v>
      </c>
      <c r="P35" s="6">
        <v>0.35</v>
      </c>
      <c r="Q35" s="6">
        <v>4.01</v>
      </c>
    </row>
    <row r="36" spans="1:17" customFormat="1">
      <c r="A36" s="82">
        <v>45456.291666666664</v>
      </c>
      <c r="B36" s="6">
        <v>9.36</v>
      </c>
      <c r="C36" s="6">
        <v>4.09</v>
      </c>
      <c r="D36" s="6">
        <v>14.09</v>
      </c>
      <c r="E36" s="6">
        <v>13.84</v>
      </c>
      <c r="F36" s="6">
        <v>16.23</v>
      </c>
      <c r="G36" s="6">
        <v>30.12</v>
      </c>
      <c r="H36" s="6">
        <v>14.68</v>
      </c>
      <c r="I36" s="6">
        <v>4.1900000000000004</v>
      </c>
      <c r="J36" s="6">
        <v>0.85</v>
      </c>
      <c r="K36" s="6">
        <v>267.2</v>
      </c>
      <c r="L36" s="6">
        <v>30.82</v>
      </c>
      <c r="M36" s="6">
        <v>68.709999999999994</v>
      </c>
      <c r="N36" s="6">
        <v>108</v>
      </c>
      <c r="O36" s="6">
        <v>0</v>
      </c>
      <c r="P36" s="6">
        <v>0.4</v>
      </c>
      <c r="Q36" s="6">
        <v>4.01</v>
      </c>
    </row>
    <row r="37" spans="1:17" customFormat="1">
      <c r="A37" s="82">
        <v>45456.302083333336</v>
      </c>
      <c r="B37" s="6">
        <v>9.3800000000000008</v>
      </c>
      <c r="C37" s="6">
        <v>4.0999999999999996</v>
      </c>
      <c r="D37" s="6">
        <v>14.11</v>
      </c>
      <c r="E37" s="6">
        <v>14.77</v>
      </c>
      <c r="F37" s="6">
        <v>15.15</v>
      </c>
      <c r="G37" s="6">
        <v>33.04</v>
      </c>
      <c r="H37" s="6">
        <v>15.02</v>
      </c>
      <c r="I37" s="6">
        <v>4.3499999999999996</v>
      </c>
      <c r="J37" s="6">
        <v>0.79</v>
      </c>
      <c r="K37" s="6">
        <v>274.35000000000002</v>
      </c>
      <c r="L37" s="6">
        <v>31.2</v>
      </c>
      <c r="M37" s="6">
        <v>67.66</v>
      </c>
      <c r="N37" s="6">
        <v>123.9</v>
      </c>
      <c r="O37" s="6">
        <v>0</v>
      </c>
      <c r="P37" s="6">
        <v>0.41</v>
      </c>
      <c r="Q37" s="6">
        <v>4.01</v>
      </c>
    </row>
    <row r="38" spans="1:17" customFormat="1">
      <c r="A38" s="82">
        <v>45456.3125</v>
      </c>
      <c r="B38" s="6">
        <v>9.3800000000000008</v>
      </c>
      <c r="C38" s="6">
        <v>4.07</v>
      </c>
      <c r="D38" s="6">
        <v>14.1</v>
      </c>
      <c r="E38" s="6">
        <v>13.79</v>
      </c>
      <c r="F38" s="6">
        <v>5.6</v>
      </c>
      <c r="G38" s="6">
        <v>33.04</v>
      </c>
      <c r="H38" s="6">
        <v>15.02</v>
      </c>
      <c r="I38" s="6">
        <v>4.8</v>
      </c>
      <c r="J38" s="6">
        <v>1.03</v>
      </c>
      <c r="K38" s="6">
        <v>271.97000000000003</v>
      </c>
      <c r="L38" s="6">
        <v>31.24</v>
      </c>
      <c r="M38" s="6">
        <v>67.11</v>
      </c>
      <c r="N38" s="6">
        <v>114.8</v>
      </c>
      <c r="O38" s="6">
        <v>0</v>
      </c>
      <c r="P38" s="6">
        <v>0.41</v>
      </c>
      <c r="Q38" s="6">
        <v>4</v>
      </c>
    </row>
    <row r="39" spans="1:17" customFormat="1">
      <c r="A39" s="82">
        <v>45456.322916666664</v>
      </c>
      <c r="B39" s="6">
        <v>9.4</v>
      </c>
      <c r="C39" s="6">
        <v>4.08</v>
      </c>
      <c r="D39" s="6">
        <v>14.12</v>
      </c>
      <c r="E39" s="6">
        <v>12.57</v>
      </c>
      <c r="F39" s="6">
        <v>5.49</v>
      </c>
      <c r="G39" s="6">
        <v>33.04</v>
      </c>
      <c r="H39" s="6">
        <v>15.02</v>
      </c>
      <c r="I39" s="6">
        <v>5.18</v>
      </c>
      <c r="J39" s="6">
        <v>1.04</v>
      </c>
      <c r="K39" s="6">
        <v>267.39999999999998</v>
      </c>
      <c r="L39" s="6">
        <v>31.28</v>
      </c>
      <c r="M39" s="6">
        <v>67</v>
      </c>
      <c r="N39" s="6">
        <v>115.9</v>
      </c>
      <c r="O39" s="6">
        <v>0</v>
      </c>
      <c r="P39" s="6">
        <v>0.49</v>
      </c>
      <c r="Q39" s="6">
        <v>4</v>
      </c>
    </row>
    <row r="40" spans="1:17" customFormat="1">
      <c r="A40" s="82">
        <v>45456.333333333336</v>
      </c>
      <c r="B40" s="6">
        <v>9.4</v>
      </c>
      <c r="C40" s="6">
        <v>4.0599999999999996</v>
      </c>
      <c r="D40" s="6">
        <v>14.11</v>
      </c>
      <c r="E40" s="6">
        <v>13.68</v>
      </c>
      <c r="F40" s="6">
        <v>6.16</v>
      </c>
      <c r="G40" s="6">
        <v>34.6</v>
      </c>
      <c r="H40" s="6">
        <v>15.18</v>
      </c>
      <c r="I40" s="6">
        <v>5.43</v>
      </c>
      <c r="J40" s="6">
        <v>0.98</v>
      </c>
      <c r="K40" s="6">
        <v>274.3</v>
      </c>
      <c r="L40" s="6">
        <v>31.68</v>
      </c>
      <c r="M40" s="6">
        <v>65.28</v>
      </c>
      <c r="N40" s="6">
        <v>149.80000000000001</v>
      </c>
      <c r="O40" s="6">
        <v>0</v>
      </c>
      <c r="P40" s="6">
        <v>0.54</v>
      </c>
      <c r="Q40" s="6">
        <v>4.01</v>
      </c>
    </row>
    <row r="41" spans="1:17" customFormat="1">
      <c r="A41" s="82">
        <v>45456.34375</v>
      </c>
      <c r="B41" s="6">
        <v>9.3699999999999992</v>
      </c>
      <c r="C41" s="6">
        <v>4.07</v>
      </c>
      <c r="D41" s="6">
        <v>14.09</v>
      </c>
      <c r="E41" s="6">
        <v>12.41</v>
      </c>
      <c r="F41" s="6">
        <v>7.73</v>
      </c>
      <c r="G41" s="6">
        <v>38.65</v>
      </c>
      <c r="H41" s="6">
        <v>15.47</v>
      </c>
      <c r="I41" s="6">
        <v>5.97</v>
      </c>
      <c r="J41" s="6">
        <v>1.24</v>
      </c>
      <c r="K41" s="6">
        <v>289.18</v>
      </c>
      <c r="L41" s="6">
        <v>32.06</v>
      </c>
      <c r="M41" s="6">
        <v>63.98</v>
      </c>
      <c r="N41" s="6">
        <v>194.3</v>
      </c>
      <c r="O41" s="6">
        <v>0</v>
      </c>
      <c r="P41" s="6">
        <v>0.56000000000000005</v>
      </c>
      <c r="Q41" s="6">
        <v>4.01</v>
      </c>
    </row>
    <row r="42" spans="1:17" customFormat="1">
      <c r="A42" s="82">
        <v>45456.354166666664</v>
      </c>
      <c r="B42" s="6">
        <v>9.34</v>
      </c>
      <c r="C42" s="6">
        <v>4.0999999999999996</v>
      </c>
      <c r="D42" s="6">
        <v>14.08</v>
      </c>
      <c r="E42" s="6">
        <v>12.04</v>
      </c>
      <c r="F42" s="6">
        <v>7.45</v>
      </c>
      <c r="G42" s="6">
        <v>38.65</v>
      </c>
      <c r="H42" s="6">
        <v>15.47</v>
      </c>
      <c r="I42" s="6">
        <v>6.4</v>
      </c>
      <c r="J42" s="6">
        <v>0.99</v>
      </c>
      <c r="K42" s="6">
        <v>277.43</v>
      </c>
      <c r="L42" s="6">
        <v>32.9</v>
      </c>
      <c r="M42" s="6">
        <v>61.34</v>
      </c>
      <c r="N42" s="6">
        <v>241.4</v>
      </c>
      <c r="O42" s="6">
        <v>0</v>
      </c>
      <c r="P42" s="6">
        <v>0.59</v>
      </c>
      <c r="Q42" s="6">
        <v>4.01</v>
      </c>
    </row>
    <row r="43" spans="1:17" customFormat="1">
      <c r="A43" s="82">
        <v>45456.364583333336</v>
      </c>
      <c r="B43" s="6">
        <v>9.35</v>
      </c>
      <c r="C43" s="6">
        <v>4.0599999999999996</v>
      </c>
      <c r="D43" s="6">
        <v>14.07</v>
      </c>
      <c r="E43" s="6">
        <v>10.82</v>
      </c>
      <c r="F43" s="6">
        <v>7.82</v>
      </c>
      <c r="G43" s="6">
        <v>38.65</v>
      </c>
      <c r="H43" s="6">
        <v>15.47</v>
      </c>
      <c r="I43" s="6">
        <v>7.04</v>
      </c>
      <c r="J43" s="6">
        <v>1.1100000000000001</v>
      </c>
      <c r="K43" s="6">
        <v>278.08999999999997</v>
      </c>
      <c r="L43" s="6">
        <v>33.01</v>
      </c>
      <c r="M43" s="6">
        <v>60.79</v>
      </c>
      <c r="N43" s="6">
        <v>265.39999999999998</v>
      </c>
      <c r="O43" s="6">
        <v>0</v>
      </c>
      <c r="P43" s="6">
        <v>0.59</v>
      </c>
      <c r="Q43" s="6">
        <v>4.01</v>
      </c>
    </row>
    <row r="44" spans="1:17" customFormat="1">
      <c r="A44" s="82">
        <v>45456.375</v>
      </c>
      <c r="B44" s="6">
        <v>9.3800000000000008</v>
      </c>
      <c r="C44" s="6">
        <v>4.08</v>
      </c>
      <c r="D44" s="6">
        <v>14.1</v>
      </c>
      <c r="E44" s="6">
        <v>11.55</v>
      </c>
      <c r="F44" s="6">
        <v>8.02</v>
      </c>
      <c r="G44" s="6">
        <v>39.799999999999997</v>
      </c>
      <c r="H44" s="6">
        <v>16.48</v>
      </c>
      <c r="I44" s="6">
        <v>7.28</v>
      </c>
      <c r="J44" s="6">
        <v>1.1200000000000001</v>
      </c>
      <c r="K44" s="6">
        <v>268.19</v>
      </c>
      <c r="L44" s="6">
        <v>33.5</v>
      </c>
      <c r="M44" s="6">
        <v>59.44</v>
      </c>
      <c r="N44" s="6">
        <v>275.10000000000002</v>
      </c>
      <c r="O44" s="6">
        <v>0</v>
      </c>
      <c r="P44" s="6">
        <v>0.62</v>
      </c>
      <c r="Q44" s="6">
        <v>4.03</v>
      </c>
    </row>
    <row r="45" spans="1:17" customFormat="1">
      <c r="A45" s="82">
        <v>45456.385416666664</v>
      </c>
      <c r="B45" s="6">
        <v>9.3800000000000008</v>
      </c>
      <c r="C45" s="6">
        <v>4.07</v>
      </c>
      <c r="D45" s="6">
        <v>14.1</v>
      </c>
      <c r="E45" s="6">
        <v>11.24</v>
      </c>
      <c r="F45" s="6">
        <v>7.5</v>
      </c>
      <c r="G45" s="6">
        <v>42.79</v>
      </c>
      <c r="H45" s="6">
        <v>18.3</v>
      </c>
      <c r="I45" s="6">
        <v>7.29</v>
      </c>
      <c r="J45" s="6">
        <v>1.1000000000000001</v>
      </c>
      <c r="K45" s="6">
        <v>275.02999999999997</v>
      </c>
      <c r="L45" s="6">
        <v>33.53</v>
      </c>
      <c r="M45" s="6">
        <v>58.88</v>
      </c>
      <c r="N45" s="6">
        <v>239.7</v>
      </c>
      <c r="O45" s="6">
        <v>0</v>
      </c>
      <c r="P45" s="6">
        <v>0.63</v>
      </c>
      <c r="Q45" s="6">
        <v>4.08</v>
      </c>
    </row>
    <row r="46" spans="1:17" customFormat="1">
      <c r="A46" s="82">
        <v>45456.395833333336</v>
      </c>
      <c r="B46" s="6">
        <v>9.3800000000000008</v>
      </c>
      <c r="C46" s="6">
        <v>4.05</v>
      </c>
      <c r="D46" s="6">
        <v>14.09</v>
      </c>
      <c r="E46" s="6">
        <v>10.84</v>
      </c>
      <c r="F46" s="6">
        <v>10.97</v>
      </c>
      <c r="G46" s="6">
        <v>42.79</v>
      </c>
      <c r="H46" s="6">
        <v>18.3</v>
      </c>
      <c r="I46" s="6">
        <v>7.53</v>
      </c>
      <c r="J46" s="6">
        <v>1.01</v>
      </c>
      <c r="K46" s="6">
        <v>270.92</v>
      </c>
      <c r="L46" s="6">
        <v>34.14</v>
      </c>
      <c r="M46" s="6">
        <v>56.96</v>
      </c>
      <c r="N46" s="6">
        <v>264.60000000000002</v>
      </c>
      <c r="O46" s="6">
        <v>0</v>
      </c>
      <c r="P46" s="6">
        <v>0.67</v>
      </c>
      <c r="Q46" s="6">
        <v>4.0999999999999996</v>
      </c>
    </row>
    <row r="47" spans="1:17" customFormat="1">
      <c r="A47" s="82">
        <v>45456.40625</v>
      </c>
      <c r="B47" s="6">
        <v>9.3699999999999992</v>
      </c>
      <c r="C47" s="6">
        <v>4.0599999999999996</v>
      </c>
      <c r="D47" s="6">
        <v>14.09</v>
      </c>
      <c r="E47" s="6">
        <v>10.94</v>
      </c>
      <c r="F47" s="6">
        <v>10.64</v>
      </c>
      <c r="G47" s="6">
        <v>42.79</v>
      </c>
      <c r="H47" s="6">
        <v>18.3</v>
      </c>
      <c r="I47" s="6">
        <v>7.86</v>
      </c>
      <c r="J47" s="6">
        <v>0.95</v>
      </c>
      <c r="K47" s="6">
        <v>274.92</v>
      </c>
      <c r="L47" s="6">
        <v>34.83</v>
      </c>
      <c r="M47" s="6">
        <v>54.71</v>
      </c>
      <c r="N47" s="6">
        <v>278.5</v>
      </c>
      <c r="O47" s="6">
        <v>0</v>
      </c>
      <c r="P47" s="6">
        <v>0.66</v>
      </c>
      <c r="Q47" s="6">
        <v>4.13</v>
      </c>
    </row>
    <row r="48" spans="1:17" customFormat="1">
      <c r="A48" s="82">
        <v>45456.416666666664</v>
      </c>
      <c r="B48" s="6">
        <v>9.3699999999999992</v>
      </c>
      <c r="C48" s="6">
        <v>4.08</v>
      </c>
      <c r="D48" s="6">
        <v>14.1</v>
      </c>
      <c r="E48" s="6">
        <v>10.94</v>
      </c>
      <c r="F48" s="6">
        <v>11.3</v>
      </c>
      <c r="G48" s="6">
        <v>44.54</v>
      </c>
      <c r="H48" s="6">
        <v>18.8</v>
      </c>
      <c r="I48" s="6">
        <v>8.1</v>
      </c>
      <c r="J48" s="6">
        <v>1.03</v>
      </c>
      <c r="K48" s="6">
        <v>264.63</v>
      </c>
      <c r="L48" s="6">
        <v>35.590000000000003</v>
      </c>
      <c r="M48" s="6">
        <v>51.53</v>
      </c>
      <c r="N48" s="6">
        <v>286.3</v>
      </c>
      <c r="O48" s="6">
        <v>0</v>
      </c>
      <c r="P48" s="6">
        <v>0.65</v>
      </c>
      <c r="Q48" s="6">
        <v>4.08</v>
      </c>
    </row>
    <row r="49" spans="1:17" customFormat="1">
      <c r="A49" s="82">
        <v>45456.427083333336</v>
      </c>
      <c r="B49" s="6">
        <v>9.3699999999999992</v>
      </c>
      <c r="C49" s="6">
        <v>4.0999999999999996</v>
      </c>
      <c r="D49" s="6">
        <v>14.11</v>
      </c>
      <c r="E49" s="6">
        <v>11.09</v>
      </c>
      <c r="F49" s="6">
        <v>10.29</v>
      </c>
      <c r="G49" s="6">
        <v>49.11</v>
      </c>
      <c r="H49" s="6">
        <v>20.91</v>
      </c>
      <c r="I49" s="6">
        <v>8.15</v>
      </c>
      <c r="J49" s="6">
        <v>1.57</v>
      </c>
      <c r="K49" s="6">
        <v>299.51</v>
      </c>
      <c r="L49" s="6">
        <v>35.64</v>
      </c>
      <c r="M49" s="6">
        <v>48.29</v>
      </c>
      <c r="N49" s="6">
        <v>238.5</v>
      </c>
      <c r="O49" s="6">
        <v>0</v>
      </c>
      <c r="P49" s="6">
        <v>0.65</v>
      </c>
      <c r="Q49" s="6">
        <v>4.17</v>
      </c>
    </row>
    <row r="50" spans="1:17" customFormat="1">
      <c r="A50" s="82">
        <v>45456.4375</v>
      </c>
      <c r="B50" s="6">
        <v>9.3800000000000008</v>
      </c>
      <c r="C50" s="6">
        <v>4.08</v>
      </c>
      <c r="D50" s="6">
        <v>14.1</v>
      </c>
      <c r="E50" s="6">
        <v>12.49</v>
      </c>
      <c r="F50" s="6">
        <v>9.14</v>
      </c>
      <c r="G50" s="6">
        <v>49.11</v>
      </c>
      <c r="H50" s="6">
        <v>20.91</v>
      </c>
      <c r="I50" s="6">
        <v>8.15</v>
      </c>
      <c r="J50" s="6">
        <v>1.08</v>
      </c>
      <c r="K50" s="6">
        <v>267.37</v>
      </c>
      <c r="L50" s="6">
        <v>36.31</v>
      </c>
      <c r="M50" s="6">
        <v>48.05</v>
      </c>
      <c r="N50" s="6">
        <v>282.2</v>
      </c>
      <c r="O50" s="6">
        <v>0</v>
      </c>
      <c r="P50" s="6">
        <v>0.64</v>
      </c>
      <c r="Q50" s="6">
        <v>4.17</v>
      </c>
    </row>
    <row r="51" spans="1:17" customFormat="1">
      <c r="A51" s="82">
        <v>45456.447916666664</v>
      </c>
      <c r="B51" s="6">
        <v>9.3800000000000008</v>
      </c>
      <c r="C51" s="6">
        <v>4.07</v>
      </c>
      <c r="D51" s="6">
        <v>14.1</v>
      </c>
      <c r="E51" s="6">
        <v>12.87</v>
      </c>
      <c r="F51" s="6">
        <v>13.02</v>
      </c>
      <c r="G51" s="6">
        <v>49.11</v>
      </c>
      <c r="H51" s="6">
        <v>20.91</v>
      </c>
      <c r="I51" s="6">
        <v>7.93</v>
      </c>
      <c r="J51" s="6">
        <v>1.3</v>
      </c>
      <c r="K51" s="6">
        <v>282.38</v>
      </c>
      <c r="L51" s="6">
        <v>36.619999999999997</v>
      </c>
      <c r="M51" s="6">
        <v>47.02</v>
      </c>
      <c r="N51" s="6">
        <v>324.60000000000002</v>
      </c>
      <c r="O51" s="6">
        <v>0</v>
      </c>
      <c r="P51" s="6">
        <v>0.62</v>
      </c>
      <c r="Q51" s="6">
        <v>4.24</v>
      </c>
    </row>
    <row r="52" spans="1:17" customFormat="1">
      <c r="A52" s="82">
        <v>45456.458333333336</v>
      </c>
      <c r="B52" s="6">
        <v>9.3699999999999992</v>
      </c>
      <c r="C52" s="6">
        <v>4.1100000000000003</v>
      </c>
      <c r="D52" s="6">
        <v>14.11</v>
      </c>
      <c r="E52" s="6">
        <v>12.01</v>
      </c>
      <c r="F52" s="6">
        <v>44.93</v>
      </c>
      <c r="G52" s="6">
        <v>49.48</v>
      </c>
      <c r="H52" s="6">
        <v>20.45</v>
      </c>
      <c r="I52" s="6">
        <v>7.88</v>
      </c>
      <c r="J52" s="6">
        <v>1.22</v>
      </c>
      <c r="K52" s="6">
        <v>276.37</v>
      </c>
      <c r="L52" s="6">
        <v>36.97</v>
      </c>
      <c r="M52" s="6">
        <v>45.21</v>
      </c>
      <c r="N52" s="6">
        <v>361.5</v>
      </c>
      <c r="O52" s="6">
        <v>0</v>
      </c>
      <c r="P52" s="6">
        <v>0.55000000000000004</v>
      </c>
      <c r="Q52" s="6">
        <v>4.29</v>
      </c>
    </row>
    <row r="53" spans="1:17" customFormat="1">
      <c r="A53" s="82">
        <v>45456.46875</v>
      </c>
      <c r="B53" s="6">
        <v>9.3800000000000008</v>
      </c>
      <c r="C53" s="6">
        <v>4.08</v>
      </c>
      <c r="D53" s="6">
        <v>14.1</v>
      </c>
      <c r="E53" s="6">
        <v>9.31</v>
      </c>
      <c r="F53" s="6">
        <v>52.52</v>
      </c>
      <c r="G53" s="6">
        <v>50.44</v>
      </c>
      <c r="H53" s="6">
        <v>19.64</v>
      </c>
      <c r="I53" s="6">
        <v>7.66</v>
      </c>
      <c r="J53" s="6">
        <v>1.1000000000000001</v>
      </c>
      <c r="K53" s="6">
        <v>267.83</v>
      </c>
      <c r="L53" s="6">
        <v>37.380000000000003</v>
      </c>
      <c r="M53" s="6">
        <v>44.87</v>
      </c>
      <c r="N53" s="6">
        <v>357.1</v>
      </c>
      <c r="O53" s="6">
        <v>0</v>
      </c>
      <c r="P53" s="6">
        <v>0.49</v>
      </c>
      <c r="Q53" s="6">
        <v>4.12</v>
      </c>
    </row>
    <row r="54" spans="1:17" customFormat="1">
      <c r="A54" s="82">
        <v>45456.479166666664</v>
      </c>
      <c r="B54" s="6">
        <v>9.36</v>
      </c>
      <c r="C54" s="6">
        <v>4.0999999999999996</v>
      </c>
      <c r="D54" s="6">
        <v>14.1</v>
      </c>
      <c r="E54" s="6">
        <v>10.050000000000001</v>
      </c>
      <c r="F54" s="6">
        <v>57.32</v>
      </c>
      <c r="G54" s="6">
        <v>50.44</v>
      </c>
      <c r="H54" s="6">
        <v>19.64</v>
      </c>
      <c r="I54" s="6">
        <v>6.1</v>
      </c>
      <c r="J54" s="6">
        <v>1.53</v>
      </c>
      <c r="K54" s="6">
        <v>290.06</v>
      </c>
      <c r="L54" s="6">
        <v>37.020000000000003</v>
      </c>
      <c r="M54" s="6">
        <v>44.87</v>
      </c>
      <c r="N54" s="6">
        <v>358.7</v>
      </c>
      <c r="O54" s="6">
        <v>0</v>
      </c>
      <c r="P54" s="6">
        <v>0.5</v>
      </c>
      <c r="Q54" s="6">
        <v>4</v>
      </c>
    </row>
    <row r="55" spans="1:17" customFormat="1">
      <c r="A55" s="82">
        <v>45456.489583333336</v>
      </c>
      <c r="B55" s="6">
        <v>9.3800000000000008</v>
      </c>
      <c r="C55" s="6">
        <v>4.09</v>
      </c>
      <c r="D55" s="6">
        <v>14.11</v>
      </c>
      <c r="E55" s="6">
        <v>10.47</v>
      </c>
      <c r="F55" s="6">
        <v>67.25</v>
      </c>
      <c r="G55" s="6">
        <v>32.43</v>
      </c>
      <c r="H55" s="6">
        <v>19.64</v>
      </c>
      <c r="I55" s="6">
        <v>5.46</v>
      </c>
      <c r="J55" s="6">
        <v>1.44</v>
      </c>
      <c r="K55" s="6">
        <v>283.64999999999998</v>
      </c>
      <c r="L55" s="6">
        <v>37.22</v>
      </c>
      <c r="M55" s="6">
        <v>43.43</v>
      </c>
      <c r="N55" s="6">
        <v>440.6</v>
      </c>
      <c r="O55" s="6">
        <v>0</v>
      </c>
      <c r="P55" s="6">
        <v>0.52</v>
      </c>
      <c r="Q55" s="6">
        <v>4</v>
      </c>
    </row>
    <row r="56" spans="1:17" customFormat="1">
      <c r="A56" s="82">
        <v>45456.5</v>
      </c>
      <c r="B56" s="6">
        <v>9.4</v>
      </c>
      <c r="C56" s="6">
        <v>4.07</v>
      </c>
      <c r="D56" s="6">
        <v>14.11</v>
      </c>
      <c r="E56" s="6">
        <v>10.9</v>
      </c>
      <c r="F56" s="6">
        <v>61.98</v>
      </c>
      <c r="G56" s="167" t="s">
        <v>14</v>
      </c>
      <c r="H56" s="6">
        <v>19.73</v>
      </c>
      <c r="I56" s="6">
        <v>5.24</v>
      </c>
      <c r="J56" s="6">
        <v>1.45</v>
      </c>
      <c r="K56" s="6">
        <v>286.39999999999998</v>
      </c>
      <c r="L56" s="6">
        <v>37.64</v>
      </c>
      <c r="M56" s="6">
        <v>41.81</v>
      </c>
      <c r="N56" s="6">
        <v>575.79999999999995</v>
      </c>
      <c r="O56" s="6">
        <v>0</v>
      </c>
      <c r="P56" s="6">
        <v>0.5</v>
      </c>
      <c r="Q56" s="6">
        <v>4.01</v>
      </c>
    </row>
    <row r="57" spans="1:17" customFormat="1">
      <c r="A57" s="82">
        <v>45456.510416666664</v>
      </c>
      <c r="B57" s="6">
        <v>9.4</v>
      </c>
      <c r="C57" s="6">
        <v>4.1100000000000003</v>
      </c>
      <c r="D57" s="6">
        <v>14.14</v>
      </c>
      <c r="E57" s="6">
        <v>11.2</v>
      </c>
      <c r="F57" s="6">
        <v>67.739999999999995</v>
      </c>
      <c r="G57" s="167" t="s">
        <v>14</v>
      </c>
      <c r="H57" s="6">
        <v>19.89</v>
      </c>
      <c r="I57" s="6">
        <v>5.13</v>
      </c>
      <c r="J57" s="6">
        <v>-1.3</v>
      </c>
      <c r="K57" s="6">
        <v>0.77</v>
      </c>
      <c r="L57" s="6">
        <v>38.43</v>
      </c>
      <c r="M57" s="6">
        <v>39.92</v>
      </c>
      <c r="N57" s="6">
        <v>827.4</v>
      </c>
      <c r="O57" s="6">
        <v>0</v>
      </c>
      <c r="P57" s="6">
        <v>0.5</v>
      </c>
      <c r="Q57" s="6">
        <v>4</v>
      </c>
    </row>
    <row r="58" spans="1:17" customFormat="1">
      <c r="A58" s="82">
        <v>45456.520833333336</v>
      </c>
      <c r="B58" s="6">
        <v>9.44</v>
      </c>
      <c r="C58" s="6">
        <v>4.08</v>
      </c>
      <c r="D58" s="6">
        <v>14.15</v>
      </c>
      <c r="E58" s="6">
        <v>12.27</v>
      </c>
      <c r="F58" s="6">
        <v>68.94</v>
      </c>
      <c r="G58" s="167" t="s">
        <v>14</v>
      </c>
      <c r="H58" s="167" t="s">
        <v>14</v>
      </c>
      <c r="I58" s="6">
        <v>5.1100000000000003</v>
      </c>
      <c r="J58" s="167" t="s">
        <v>14</v>
      </c>
      <c r="K58" s="167" t="s">
        <v>14</v>
      </c>
      <c r="L58" s="167" t="s">
        <v>14</v>
      </c>
      <c r="M58" s="167" t="s">
        <v>14</v>
      </c>
      <c r="N58" s="167" t="s">
        <v>14</v>
      </c>
      <c r="O58" s="6">
        <v>0</v>
      </c>
      <c r="P58" s="6">
        <v>0.48</v>
      </c>
      <c r="Q58" s="167" t="s">
        <v>14</v>
      </c>
    </row>
    <row r="59" spans="1:17" customFormat="1">
      <c r="A59" s="82">
        <v>45456.53125</v>
      </c>
      <c r="B59" s="149" t="s">
        <v>4</v>
      </c>
      <c r="C59" s="149" t="s">
        <v>4</v>
      </c>
      <c r="D59" s="149" t="s">
        <v>4</v>
      </c>
      <c r="E59" s="149" t="s">
        <v>4</v>
      </c>
      <c r="F59" s="149" t="s">
        <v>4</v>
      </c>
      <c r="G59" s="149" t="s">
        <v>4</v>
      </c>
      <c r="H59" s="149" t="s">
        <v>4</v>
      </c>
      <c r="I59" s="149" t="s">
        <v>4</v>
      </c>
      <c r="J59" s="149" t="s">
        <v>4</v>
      </c>
      <c r="K59" s="149" t="s">
        <v>4</v>
      </c>
      <c r="L59" s="149" t="s">
        <v>4</v>
      </c>
      <c r="M59" s="149" t="s">
        <v>4</v>
      </c>
      <c r="N59" s="149" t="s">
        <v>4</v>
      </c>
      <c r="O59" s="149" t="s">
        <v>4</v>
      </c>
      <c r="P59" s="149" t="s">
        <v>4</v>
      </c>
      <c r="Q59" s="149" t="s">
        <v>4</v>
      </c>
    </row>
    <row r="60" spans="1:17" customFormat="1">
      <c r="A60" s="82">
        <v>45456.541666666664</v>
      </c>
      <c r="B60" s="6">
        <v>9.48</v>
      </c>
      <c r="C60" s="6">
        <v>4.09</v>
      </c>
      <c r="D60" s="6">
        <v>14.19</v>
      </c>
      <c r="E60" s="6">
        <v>14.01</v>
      </c>
      <c r="F60" s="6">
        <v>60.16</v>
      </c>
      <c r="G60" s="6">
        <v>69.53</v>
      </c>
      <c r="H60" s="6">
        <v>19.54</v>
      </c>
      <c r="I60" s="6">
        <v>4.76</v>
      </c>
      <c r="J60" s="6">
        <v>1.23</v>
      </c>
      <c r="K60" s="6">
        <v>273.07</v>
      </c>
      <c r="L60" s="6">
        <v>37.700000000000003</v>
      </c>
      <c r="M60" s="6">
        <v>40.61</v>
      </c>
      <c r="N60" s="6">
        <v>273.89999999999998</v>
      </c>
      <c r="O60" s="6">
        <v>0</v>
      </c>
      <c r="P60" s="6">
        <v>0.51</v>
      </c>
      <c r="Q60" s="6">
        <v>3.96</v>
      </c>
    </row>
    <row r="61" spans="1:17" customFormat="1">
      <c r="A61" s="82">
        <v>45456.552083333336</v>
      </c>
      <c r="B61" s="6">
        <v>9.39</v>
      </c>
      <c r="C61" s="6">
        <v>4.0999999999999996</v>
      </c>
      <c r="D61" s="6">
        <v>14.12</v>
      </c>
      <c r="E61" s="6">
        <v>14.49</v>
      </c>
      <c r="F61" s="6">
        <v>66.150000000000006</v>
      </c>
      <c r="G61" s="6">
        <v>69.53</v>
      </c>
      <c r="H61" s="6">
        <v>19.03</v>
      </c>
      <c r="I61" s="6">
        <v>5.0199999999999996</v>
      </c>
      <c r="J61" s="6">
        <v>0.99</v>
      </c>
      <c r="K61" s="6">
        <v>266.42</v>
      </c>
      <c r="L61" s="6">
        <v>37.99</v>
      </c>
      <c r="M61" s="6">
        <v>40.24</v>
      </c>
      <c r="N61" s="6">
        <v>366.4</v>
      </c>
      <c r="O61" s="6">
        <v>0</v>
      </c>
      <c r="P61" s="6">
        <v>0.52</v>
      </c>
      <c r="Q61" s="6">
        <v>3.96</v>
      </c>
    </row>
    <row r="62" spans="1:17" customFormat="1">
      <c r="A62" s="82">
        <v>45456.5625</v>
      </c>
      <c r="B62" s="6">
        <v>9.42</v>
      </c>
      <c r="C62" s="6">
        <v>4.08</v>
      </c>
      <c r="D62" s="6">
        <v>14.14</v>
      </c>
      <c r="E62" s="6">
        <v>8.0299999999999994</v>
      </c>
      <c r="F62" s="167" t="s">
        <v>14</v>
      </c>
      <c r="G62" s="6">
        <v>69.53</v>
      </c>
      <c r="H62" s="6">
        <v>19.03</v>
      </c>
      <c r="I62" s="6">
        <v>5.08</v>
      </c>
      <c r="J62" s="6">
        <v>1.01</v>
      </c>
      <c r="K62" s="6">
        <v>272.45999999999998</v>
      </c>
      <c r="L62" s="6">
        <v>38.369999999999997</v>
      </c>
      <c r="M62" s="6">
        <v>39.5</v>
      </c>
      <c r="N62" s="6">
        <v>373.6</v>
      </c>
      <c r="O62" s="6">
        <v>0</v>
      </c>
      <c r="P62" s="6">
        <v>0.12</v>
      </c>
      <c r="Q62" s="6">
        <v>4</v>
      </c>
    </row>
    <row r="63" spans="1:17" customFormat="1">
      <c r="A63" s="82">
        <v>45456.572916666664</v>
      </c>
      <c r="B63" s="6">
        <v>9.4499999999999993</v>
      </c>
      <c r="C63" s="6">
        <v>4.0999999999999996</v>
      </c>
      <c r="D63" s="6">
        <v>14.18</v>
      </c>
      <c r="E63" s="6">
        <v>4.78</v>
      </c>
      <c r="F63" s="6">
        <v>243.3</v>
      </c>
      <c r="G63" s="151" t="s">
        <v>12</v>
      </c>
      <c r="H63" s="151" t="s">
        <v>12</v>
      </c>
      <c r="I63" s="6">
        <v>5.16</v>
      </c>
      <c r="J63" s="6">
        <v>1.1200000000000001</v>
      </c>
      <c r="K63" s="6">
        <v>288.27</v>
      </c>
      <c r="L63" s="6">
        <v>38.53</v>
      </c>
      <c r="M63" s="6">
        <v>37.729999999999997</v>
      </c>
      <c r="N63" s="6">
        <v>350.2</v>
      </c>
      <c r="O63" s="6">
        <v>0</v>
      </c>
      <c r="P63" s="6">
        <v>1.04</v>
      </c>
      <c r="Q63" s="6">
        <v>4.96</v>
      </c>
    </row>
    <row r="64" spans="1:17" customFormat="1">
      <c r="A64" s="82">
        <v>45456.583333333336</v>
      </c>
      <c r="B64" s="6">
        <v>9.43</v>
      </c>
      <c r="C64" s="6">
        <v>4.0999999999999996</v>
      </c>
      <c r="D64" s="6">
        <v>14.15</v>
      </c>
      <c r="E64" s="6">
        <v>4.6900000000000004</v>
      </c>
      <c r="F64" s="6">
        <v>291.45</v>
      </c>
      <c r="G64" s="151" t="s">
        <v>12</v>
      </c>
      <c r="H64" s="151" t="s">
        <v>12</v>
      </c>
      <c r="I64" s="6">
        <v>7.49</v>
      </c>
      <c r="J64" s="6">
        <v>1.0900000000000001</v>
      </c>
      <c r="K64" s="6">
        <v>286.44</v>
      </c>
      <c r="L64" s="6">
        <v>38.89</v>
      </c>
      <c r="M64" s="6">
        <v>36.200000000000003</v>
      </c>
      <c r="N64" s="6">
        <v>418</v>
      </c>
      <c r="O64" s="6">
        <v>0</v>
      </c>
      <c r="P64" s="6">
        <v>1.03</v>
      </c>
      <c r="Q64" s="6">
        <v>4.3499999999999996</v>
      </c>
    </row>
    <row r="65" spans="1:17" customFormat="1">
      <c r="A65" s="82">
        <v>45456.59375</v>
      </c>
      <c r="B65" s="6">
        <v>9.42</v>
      </c>
      <c r="C65" s="6">
        <v>4.08</v>
      </c>
      <c r="D65" s="6">
        <v>14.13</v>
      </c>
      <c r="E65" s="6">
        <v>4.1100000000000003</v>
      </c>
      <c r="F65" s="6">
        <v>294.64999999999998</v>
      </c>
      <c r="G65" s="151" t="s">
        <v>12</v>
      </c>
      <c r="H65" s="151" t="s">
        <v>12</v>
      </c>
      <c r="I65" s="6">
        <v>54.38</v>
      </c>
      <c r="J65" s="6">
        <v>1.1599999999999999</v>
      </c>
      <c r="K65" s="6">
        <v>308.82</v>
      </c>
      <c r="L65" s="6">
        <v>39.79</v>
      </c>
      <c r="M65" s="6">
        <v>33.270000000000003</v>
      </c>
      <c r="N65" s="6">
        <v>487.3</v>
      </c>
      <c r="O65" s="6">
        <v>0</v>
      </c>
      <c r="P65" s="6">
        <v>0.99</v>
      </c>
      <c r="Q65" s="6">
        <v>4.3600000000000003</v>
      </c>
    </row>
    <row r="66" spans="1:17" customFormat="1">
      <c r="A66" s="82">
        <v>45456.604166666664</v>
      </c>
      <c r="B66" s="6">
        <v>9.41</v>
      </c>
      <c r="C66" s="6">
        <v>4.08</v>
      </c>
      <c r="D66" s="6">
        <v>14.13</v>
      </c>
      <c r="E66" s="6">
        <v>4.37</v>
      </c>
      <c r="F66" s="6">
        <v>50.36</v>
      </c>
      <c r="G66" s="151" t="s">
        <v>12</v>
      </c>
      <c r="H66" s="151" t="s">
        <v>12</v>
      </c>
      <c r="I66" s="6">
        <v>87.45</v>
      </c>
      <c r="J66" s="6">
        <v>0.98</v>
      </c>
      <c r="K66" s="6">
        <v>268.44</v>
      </c>
      <c r="L66" s="6">
        <v>39.520000000000003</v>
      </c>
      <c r="M66" s="6">
        <v>34.380000000000003</v>
      </c>
      <c r="N66" s="6">
        <v>322.8</v>
      </c>
      <c r="O66" s="6">
        <v>0</v>
      </c>
      <c r="P66" s="6">
        <v>1.27</v>
      </c>
      <c r="Q66" s="6">
        <v>4.46</v>
      </c>
    </row>
    <row r="67" spans="1:17" customFormat="1">
      <c r="A67" s="82">
        <v>45456.614583333336</v>
      </c>
      <c r="B67" s="6">
        <v>9.42</v>
      </c>
      <c r="C67" s="6">
        <v>4.07</v>
      </c>
      <c r="D67" s="6">
        <v>14.13</v>
      </c>
      <c r="E67" s="6">
        <v>4.2</v>
      </c>
      <c r="F67" s="6">
        <v>66.86</v>
      </c>
      <c r="G67" s="151" t="s">
        <v>12</v>
      </c>
      <c r="H67" s="151" t="s">
        <v>12</v>
      </c>
      <c r="I67" s="6">
        <v>104.42</v>
      </c>
      <c r="J67" s="6">
        <v>1.0900000000000001</v>
      </c>
      <c r="K67" s="6">
        <v>277.82</v>
      </c>
      <c r="L67" s="6">
        <v>39.770000000000003</v>
      </c>
      <c r="M67" s="6">
        <v>33.44</v>
      </c>
      <c r="N67" s="6">
        <v>499.7</v>
      </c>
      <c r="O67" s="6">
        <v>0</v>
      </c>
      <c r="P67" s="6">
        <v>1.56</v>
      </c>
      <c r="Q67" s="6">
        <v>4.07</v>
      </c>
    </row>
    <row r="68" spans="1:17" customFormat="1">
      <c r="A68" s="82">
        <v>45456.625</v>
      </c>
      <c r="B68" s="6">
        <v>9.4499999999999993</v>
      </c>
      <c r="C68" s="6">
        <v>4.07</v>
      </c>
      <c r="D68" s="6">
        <v>14.15</v>
      </c>
      <c r="E68" s="151" t="s">
        <v>12</v>
      </c>
      <c r="F68" s="6">
        <v>71.180000000000007</v>
      </c>
      <c r="G68" s="6">
        <v>23.37</v>
      </c>
      <c r="H68" s="6">
        <v>1.57</v>
      </c>
      <c r="I68" s="6">
        <v>114.91</v>
      </c>
      <c r="J68" s="6">
        <v>0.68</v>
      </c>
      <c r="K68" s="6">
        <v>272.3</v>
      </c>
      <c r="L68" s="6">
        <v>40.07</v>
      </c>
      <c r="M68" s="6">
        <v>33.72</v>
      </c>
      <c r="N68" s="6">
        <v>332.1</v>
      </c>
      <c r="O68" s="6">
        <v>0</v>
      </c>
      <c r="P68" s="6">
        <v>0.44</v>
      </c>
      <c r="Q68" s="6">
        <v>3.94</v>
      </c>
    </row>
    <row r="69" spans="1:17" customFormat="1">
      <c r="A69" s="82">
        <v>45456.635416666664</v>
      </c>
      <c r="B69" s="6">
        <v>9.41</v>
      </c>
      <c r="C69" s="6">
        <v>4.0599999999999996</v>
      </c>
      <c r="D69" s="6">
        <v>14.12</v>
      </c>
      <c r="E69" s="6">
        <v>14.71</v>
      </c>
      <c r="F69" s="6">
        <v>63.78</v>
      </c>
      <c r="G69" s="6">
        <v>45.72</v>
      </c>
      <c r="H69" s="6">
        <v>2.2999999999999998</v>
      </c>
      <c r="I69" s="6">
        <v>96.9</v>
      </c>
      <c r="J69" s="6">
        <v>1.35</v>
      </c>
      <c r="K69" s="6">
        <v>292.19</v>
      </c>
      <c r="L69" s="6">
        <v>40.21</v>
      </c>
      <c r="M69" s="6">
        <v>32.44</v>
      </c>
      <c r="N69" s="6">
        <v>492.7</v>
      </c>
      <c r="O69" s="6">
        <v>0</v>
      </c>
      <c r="P69" s="6">
        <v>0.46</v>
      </c>
      <c r="Q69" s="6">
        <v>3.95</v>
      </c>
    </row>
    <row r="70" spans="1:17" customFormat="1">
      <c r="A70" s="82">
        <v>45456.645833333336</v>
      </c>
      <c r="B70" s="6">
        <v>9.3699999999999992</v>
      </c>
      <c r="C70" s="6">
        <v>4.0999999999999996</v>
      </c>
      <c r="D70" s="6">
        <v>14.1</v>
      </c>
      <c r="E70" s="6">
        <v>11.12</v>
      </c>
      <c r="F70" s="6">
        <v>63.49</v>
      </c>
      <c r="G70" s="6">
        <v>45.72</v>
      </c>
      <c r="H70" s="6">
        <v>2.2999999999999998</v>
      </c>
      <c r="I70" s="6">
        <v>89.51</v>
      </c>
      <c r="J70" s="6">
        <v>1.02</v>
      </c>
      <c r="K70" s="6">
        <v>265.45</v>
      </c>
      <c r="L70" s="6">
        <v>40.33</v>
      </c>
      <c r="M70" s="6">
        <v>32.840000000000003</v>
      </c>
      <c r="N70" s="6">
        <v>454.4</v>
      </c>
      <c r="O70" s="6">
        <v>0</v>
      </c>
      <c r="P70" s="6">
        <v>0.44</v>
      </c>
      <c r="Q70" s="6">
        <v>4.0999999999999996</v>
      </c>
    </row>
    <row r="71" spans="1:17" customFormat="1">
      <c r="A71" s="82">
        <v>45456.65625</v>
      </c>
      <c r="B71" s="6">
        <v>9.3699999999999992</v>
      </c>
      <c r="C71" s="6">
        <v>4.12</v>
      </c>
      <c r="D71" s="6">
        <v>14.12</v>
      </c>
      <c r="E71" s="6">
        <v>10.08</v>
      </c>
      <c r="F71" s="6">
        <v>43.13</v>
      </c>
      <c r="G71" s="6">
        <v>45.72</v>
      </c>
      <c r="H71" s="6">
        <v>2.2999999999999998</v>
      </c>
      <c r="I71" s="6">
        <v>97.47</v>
      </c>
      <c r="J71" s="6">
        <v>1.08</v>
      </c>
      <c r="K71" s="6">
        <v>275.98</v>
      </c>
      <c r="L71" s="6">
        <v>40.46</v>
      </c>
      <c r="M71" s="6">
        <v>32.31</v>
      </c>
      <c r="N71" s="6">
        <v>348.2</v>
      </c>
      <c r="O71" s="6">
        <v>0</v>
      </c>
      <c r="P71" s="6">
        <v>0.45</v>
      </c>
      <c r="Q71" s="6">
        <v>4.03</v>
      </c>
    </row>
    <row r="72" spans="1:17" customFormat="1">
      <c r="A72" s="82">
        <v>45456.666666666664</v>
      </c>
      <c r="B72" s="6">
        <v>9.3699999999999992</v>
      </c>
      <c r="C72" s="6">
        <v>4.1100000000000003</v>
      </c>
      <c r="D72" s="6">
        <v>14.11</v>
      </c>
      <c r="E72" s="6">
        <v>8.89</v>
      </c>
      <c r="F72" s="6">
        <v>24.92</v>
      </c>
      <c r="G72" s="6">
        <v>44.18</v>
      </c>
      <c r="H72" s="6">
        <v>5.93</v>
      </c>
      <c r="I72" s="6">
        <v>81.650000000000006</v>
      </c>
      <c r="J72" s="6">
        <v>0.92</v>
      </c>
      <c r="K72" s="6">
        <v>278.31</v>
      </c>
      <c r="L72" s="6">
        <v>40.380000000000003</v>
      </c>
      <c r="M72" s="6">
        <v>32.31</v>
      </c>
      <c r="N72" s="6">
        <v>341</v>
      </c>
      <c r="O72" s="6">
        <v>0</v>
      </c>
      <c r="P72" s="6">
        <v>0.45</v>
      </c>
      <c r="Q72" s="6">
        <v>3.99</v>
      </c>
    </row>
    <row r="73" spans="1:17" customFormat="1">
      <c r="A73" s="82">
        <v>45456.677083333336</v>
      </c>
      <c r="B73" s="6">
        <v>9.35</v>
      </c>
      <c r="C73" s="6">
        <v>4.08</v>
      </c>
      <c r="D73" s="6">
        <v>14.08</v>
      </c>
      <c r="E73" s="6">
        <v>8.31</v>
      </c>
      <c r="F73" s="6">
        <v>16.420000000000002</v>
      </c>
      <c r="G73" s="6">
        <v>42.71</v>
      </c>
      <c r="H73" s="6">
        <v>7.63</v>
      </c>
      <c r="I73" s="6">
        <v>72.78</v>
      </c>
      <c r="J73" s="6">
        <v>1.28</v>
      </c>
      <c r="K73" s="6">
        <v>287.05</v>
      </c>
      <c r="L73" s="6">
        <v>40.229999999999997</v>
      </c>
      <c r="M73" s="6">
        <v>32</v>
      </c>
      <c r="N73" s="6">
        <v>233</v>
      </c>
      <c r="O73" s="6">
        <v>0</v>
      </c>
      <c r="P73" s="6">
        <v>0.45</v>
      </c>
      <c r="Q73" s="6">
        <v>4.3600000000000003</v>
      </c>
    </row>
    <row r="74" spans="1:17" customFormat="1">
      <c r="A74" s="82">
        <v>45456.6875</v>
      </c>
      <c r="B74" s="6">
        <v>9.3000000000000007</v>
      </c>
      <c r="C74" s="6">
        <v>4.1100000000000003</v>
      </c>
      <c r="D74" s="6">
        <v>14.06</v>
      </c>
      <c r="E74" s="6">
        <v>8.0500000000000007</v>
      </c>
      <c r="F74" s="6">
        <v>14.25</v>
      </c>
      <c r="G74" s="6">
        <v>42.71</v>
      </c>
      <c r="H74" s="6">
        <v>7.63</v>
      </c>
      <c r="I74" s="6">
        <v>73.819999999999993</v>
      </c>
      <c r="J74" s="6">
        <v>1.33</v>
      </c>
      <c r="K74" s="6">
        <v>289.36</v>
      </c>
      <c r="L74" s="6">
        <v>39.97</v>
      </c>
      <c r="M74" s="6">
        <v>32.31</v>
      </c>
      <c r="N74" s="6">
        <v>191.5</v>
      </c>
      <c r="O74" s="6">
        <v>0</v>
      </c>
      <c r="P74" s="6">
        <v>0.45</v>
      </c>
      <c r="Q74" s="6">
        <v>4.59</v>
      </c>
    </row>
    <row r="75" spans="1:17" customFormat="1">
      <c r="A75" s="82">
        <v>45456.697916666664</v>
      </c>
      <c r="B75" s="6">
        <v>9.2799999999999994</v>
      </c>
      <c r="C75" s="6">
        <v>4.0999999999999996</v>
      </c>
      <c r="D75" s="6">
        <v>14.03</v>
      </c>
      <c r="E75" s="6">
        <v>7.74</v>
      </c>
      <c r="F75" s="6">
        <v>14.87</v>
      </c>
      <c r="G75" s="6">
        <v>42.71</v>
      </c>
      <c r="H75" s="6">
        <v>7.63</v>
      </c>
      <c r="I75" s="6">
        <v>72.739999999999995</v>
      </c>
      <c r="J75" s="6">
        <v>1.45</v>
      </c>
      <c r="K75" s="6">
        <v>286.14999999999998</v>
      </c>
      <c r="L75" s="6">
        <v>39.549999999999997</v>
      </c>
      <c r="M75" s="6">
        <v>33.03</v>
      </c>
      <c r="N75" s="6">
        <v>134</v>
      </c>
      <c r="O75" s="6">
        <v>0</v>
      </c>
      <c r="P75" s="6">
        <v>0.45</v>
      </c>
      <c r="Q75" s="6">
        <v>4.4400000000000004</v>
      </c>
    </row>
    <row r="76" spans="1:17" customFormat="1">
      <c r="A76" s="82">
        <v>45456.708333333336</v>
      </c>
      <c r="B76" s="6">
        <v>9.32</v>
      </c>
      <c r="C76" s="6">
        <v>4.08</v>
      </c>
      <c r="D76" s="6">
        <v>14.05</v>
      </c>
      <c r="E76" s="6">
        <v>8.1999999999999993</v>
      </c>
      <c r="F76" s="6">
        <v>19.38</v>
      </c>
      <c r="G76" s="6">
        <v>43.22</v>
      </c>
      <c r="H76" s="6">
        <v>10.48</v>
      </c>
      <c r="I76" s="6">
        <v>68.28</v>
      </c>
      <c r="J76" s="6">
        <v>1.26</v>
      </c>
      <c r="K76" s="6">
        <v>266.08999999999997</v>
      </c>
      <c r="L76" s="6">
        <v>38.950000000000003</v>
      </c>
      <c r="M76" s="6">
        <v>34.47</v>
      </c>
      <c r="N76" s="6">
        <v>115.8</v>
      </c>
      <c r="O76" s="6">
        <v>0</v>
      </c>
      <c r="P76" s="6">
        <v>0.44</v>
      </c>
      <c r="Q76" s="6">
        <v>4.12</v>
      </c>
    </row>
    <row r="77" spans="1:17" customFormat="1">
      <c r="A77" s="82">
        <v>45456.71875</v>
      </c>
      <c r="B77" s="6">
        <v>9.43</v>
      </c>
      <c r="C77" s="6">
        <v>4.09</v>
      </c>
      <c r="D77" s="6">
        <v>14.15</v>
      </c>
      <c r="E77" s="6">
        <v>8.23</v>
      </c>
      <c r="F77" s="6">
        <v>27.15</v>
      </c>
      <c r="G77" s="6">
        <v>43.7</v>
      </c>
      <c r="H77" s="6">
        <v>11.81</v>
      </c>
      <c r="I77" s="6">
        <v>63.95</v>
      </c>
      <c r="J77" s="6">
        <v>0.95</v>
      </c>
      <c r="K77" s="6">
        <v>266.87</v>
      </c>
      <c r="L77" s="6">
        <v>38.880000000000003</v>
      </c>
      <c r="M77" s="6">
        <v>34.75</v>
      </c>
      <c r="N77" s="6">
        <v>110.8</v>
      </c>
      <c r="O77" s="6">
        <v>0</v>
      </c>
      <c r="P77" s="6">
        <v>0.41</v>
      </c>
      <c r="Q77" s="6">
        <v>4.0199999999999996</v>
      </c>
    </row>
    <row r="78" spans="1:17" customFormat="1">
      <c r="A78" s="82">
        <v>45456.729166666664</v>
      </c>
      <c r="B78" s="6">
        <v>9.48</v>
      </c>
      <c r="C78" s="6">
        <v>4.08</v>
      </c>
      <c r="D78" s="6">
        <v>14.18</v>
      </c>
      <c r="E78" s="6">
        <v>8.08</v>
      </c>
      <c r="F78" s="6">
        <v>34.22</v>
      </c>
      <c r="G78" s="6">
        <v>43.7</v>
      </c>
      <c r="H78" s="6">
        <v>11.81</v>
      </c>
      <c r="I78" s="6">
        <v>58.88</v>
      </c>
      <c r="J78" s="6">
        <v>1.07</v>
      </c>
      <c r="K78" s="6">
        <v>267.20999999999998</v>
      </c>
      <c r="L78" s="6">
        <v>38.54</v>
      </c>
      <c r="M78" s="6">
        <v>34.659999999999997</v>
      </c>
      <c r="N78" s="6">
        <v>87</v>
      </c>
      <c r="O78" s="6">
        <v>0</v>
      </c>
      <c r="P78" s="6">
        <v>0.37</v>
      </c>
      <c r="Q78" s="6">
        <v>4.01</v>
      </c>
    </row>
    <row r="79" spans="1:17" customFormat="1">
      <c r="A79" s="82">
        <v>45456.739583333336</v>
      </c>
      <c r="B79" s="6">
        <v>9.56</v>
      </c>
      <c r="C79" s="6">
        <v>4.0999999999999996</v>
      </c>
      <c r="D79" s="6">
        <v>14.26</v>
      </c>
      <c r="E79" s="6">
        <v>8.89</v>
      </c>
      <c r="F79" s="6">
        <v>38.89</v>
      </c>
      <c r="G79" s="6">
        <v>43.7</v>
      </c>
      <c r="H79" s="6">
        <v>11.81</v>
      </c>
      <c r="I79" s="6">
        <v>51.4</v>
      </c>
      <c r="J79" s="6">
        <v>1.06</v>
      </c>
      <c r="K79" s="6">
        <v>265.10000000000002</v>
      </c>
      <c r="L79" s="6">
        <v>38.200000000000003</v>
      </c>
      <c r="M79" s="6">
        <v>34.86</v>
      </c>
      <c r="N79" s="6">
        <v>51.4</v>
      </c>
      <c r="O79" s="6">
        <v>0</v>
      </c>
      <c r="P79" s="6">
        <v>0.35</v>
      </c>
      <c r="Q79" s="6">
        <v>4</v>
      </c>
    </row>
    <row r="80" spans="1:17" customFormat="1">
      <c r="A80" s="82">
        <v>45456.75</v>
      </c>
      <c r="B80" s="6">
        <v>9.5399999999999991</v>
      </c>
      <c r="C80" s="6">
        <v>4.13</v>
      </c>
      <c r="D80" s="6">
        <v>14.26</v>
      </c>
      <c r="E80" s="6">
        <v>8.49</v>
      </c>
      <c r="F80" s="6">
        <v>31.13</v>
      </c>
      <c r="G80" s="6">
        <v>44.32</v>
      </c>
      <c r="H80" s="6">
        <v>10.43</v>
      </c>
      <c r="I80" s="6">
        <v>46.22</v>
      </c>
      <c r="J80" s="6">
        <v>1.1599999999999999</v>
      </c>
      <c r="K80" s="6">
        <v>263.87</v>
      </c>
      <c r="L80" s="6">
        <v>37.869999999999997</v>
      </c>
      <c r="M80" s="6">
        <v>35.5</v>
      </c>
      <c r="N80" s="6">
        <v>26.8</v>
      </c>
      <c r="O80" s="6">
        <v>0</v>
      </c>
      <c r="P80" s="6">
        <v>0.35</v>
      </c>
      <c r="Q80" s="6">
        <v>3.99</v>
      </c>
    </row>
    <row r="81" spans="1:17" customFormat="1">
      <c r="A81" s="82">
        <v>45456.760416666664</v>
      </c>
      <c r="B81" s="6">
        <v>9.4499999999999993</v>
      </c>
      <c r="C81" s="6">
        <v>4.08</v>
      </c>
      <c r="D81" s="6">
        <v>14.16</v>
      </c>
      <c r="E81" s="6">
        <v>7.91</v>
      </c>
      <c r="F81" s="6">
        <v>29.79</v>
      </c>
      <c r="G81" s="6">
        <v>44.9</v>
      </c>
      <c r="H81" s="6">
        <v>9.7799999999999994</v>
      </c>
      <c r="I81" s="6">
        <v>40.869999999999997</v>
      </c>
      <c r="J81" s="6">
        <v>1.1499999999999999</v>
      </c>
      <c r="K81" s="6">
        <v>261.7</v>
      </c>
      <c r="L81" s="6">
        <v>37.61</v>
      </c>
      <c r="M81" s="6">
        <v>35.25</v>
      </c>
      <c r="N81" s="6">
        <v>17.399999999999999</v>
      </c>
      <c r="O81" s="6">
        <v>0</v>
      </c>
      <c r="P81" s="6">
        <v>0.36</v>
      </c>
      <c r="Q81" s="6">
        <v>3.99</v>
      </c>
    </row>
    <row r="82" spans="1:17" customFormat="1">
      <c r="A82" s="82">
        <v>45456.770833333336</v>
      </c>
      <c r="B82" s="6">
        <v>9.43</v>
      </c>
      <c r="C82" s="6">
        <v>4.07</v>
      </c>
      <c r="D82" s="6">
        <v>14.14</v>
      </c>
      <c r="E82" s="6">
        <v>9.67</v>
      </c>
      <c r="F82" s="6">
        <v>33.619999999999997</v>
      </c>
      <c r="G82" s="6">
        <v>44.9</v>
      </c>
      <c r="H82" s="6">
        <v>9.7799999999999994</v>
      </c>
      <c r="I82" s="6">
        <v>40.450000000000003</v>
      </c>
      <c r="J82" s="6">
        <v>1.0900000000000001</v>
      </c>
      <c r="K82" s="6">
        <v>274.98</v>
      </c>
      <c r="L82" s="6">
        <v>37.33</v>
      </c>
      <c r="M82" s="6">
        <v>35.630000000000003</v>
      </c>
      <c r="N82" s="6">
        <v>8.6</v>
      </c>
      <c r="O82" s="6">
        <v>0</v>
      </c>
      <c r="P82" s="6">
        <v>0.38</v>
      </c>
      <c r="Q82" s="6">
        <v>3.98</v>
      </c>
    </row>
    <row r="83" spans="1:17" customFormat="1">
      <c r="A83" s="82">
        <v>45456.78125</v>
      </c>
      <c r="B83" s="6">
        <v>9.42</v>
      </c>
      <c r="C83" s="6">
        <v>4.09</v>
      </c>
      <c r="D83" s="6">
        <v>14.14</v>
      </c>
      <c r="E83" s="6">
        <v>10.88</v>
      </c>
      <c r="F83" s="6">
        <v>36.65</v>
      </c>
      <c r="G83" s="6">
        <v>44.9</v>
      </c>
      <c r="H83" s="6">
        <v>9.7799999999999994</v>
      </c>
      <c r="I83" s="6">
        <v>38.64</v>
      </c>
      <c r="J83" s="6">
        <v>0.9</v>
      </c>
      <c r="K83" s="6">
        <v>275</v>
      </c>
      <c r="L83" s="6">
        <v>37.270000000000003</v>
      </c>
      <c r="M83" s="6">
        <v>36.36</v>
      </c>
      <c r="N83" s="6">
        <v>4.5999999999999996</v>
      </c>
      <c r="O83" s="6">
        <v>0</v>
      </c>
      <c r="P83" s="6">
        <v>0.43</v>
      </c>
      <c r="Q83" s="6">
        <v>3.99</v>
      </c>
    </row>
    <row r="84" spans="1:17" customFormat="1">
      <c r="A84" s="82">
        <v>45456.791666666664</v>
      </c>
      <c r="B84" s="6">
        <v>9.41</v>
      </c>
      <c r="C84" s="6">
        <v>4.08</v>
      </c>
      <c r="D84" s="6">
        <v>14.13</v>
      </c>
      <c r="E84" s="6">
        <v>10.43</v>
      </c>
      <c r="F84" s="6">
        <v>48.99</v>
      </c>
      <c r="G84" s="6">
        <v>45.19</v>
      </c>
      <c r="H84" s="6">
        <v>10.83</v>
      </c>
      <c r="I84" s="6">
        <v>34.58</v>
      </c>
      <c r="J84" s="6">
        <v>0.83</v>
      </c>
      <c r="K84" s="6">
        <v>269.52999999999997</v>
      </c>
      <c r="L84" s="6">
        <v>36.96</v>
      </c>
      <c r="M84" s="6">
        <v>37.520000000000003</v>
      </c>
      <c r="N84" s="6">
        <v>1.9</v>
      </c>
      <c r="O84" s="6">
        <v>0</v>
      </c>
      <c r="P84" s="6">
        <v>0.42</v>
      </c>
      <c r="Q84" s="6">
        <v>4</v>
      </c>
    </row>
    <row r="85" spans="1:17" customFormat="1">
      <c r="A85" s="82">
        <v>45456.802083333336</v>
      </c>
      <c r="B85" s="6">
        <v>9.41</v>
      </c>
      <c r="C85" s="6">
        <v>4.08</v>
      </c>
      <c r="D85" s="6">
        <v>14.13</v>
      </c>
      <c r="E85" s="6">
        <v>10.53</v>
      </c>
      <c r="F85" s="6">
        <v>37.03</v>
      </c>
      <c r="G85" s="6">
        <v>45.47</v>
      </c>
      <c r="H85" s="6">
        <v>11.32</v>
      </c>
      <c r="I85" s="6">
        <v>29.56</v>
      </c>
      <c r="J85" s="6">
        <v>0.83</v>
      </c>
      <c r="K85" s="6">
        <v>262.08999999999997</v>
      </c>
      <c r="L85" s="6">
        <v>36.69</v>
      </c>
      <c r="M85" s="6">
        <v>37.799999999999997</v>
      </c>
      <c r="N85" s="6">
        <v>1.9</v>
      </c>
      <c r="O85" s="6">
        <v>0</v>
      </c>
      <c r="P85" s="6">
        <v>0.42</v>
      </c>
      <c r="Q85" s="6">
        <v>4.01</v>
      </c>
    </row>
    <row r="86" spans="1:17" customFormat="1">
      <c r="A86" s="82">
        <v>45456.8125</v>
      </c>
      <c r="B86" s="6">
        <v>9.4</v>
      </c>
      <c r="C86" s="6">
        <v>4.07</v>
      </c>
      <c r="D86" s="6">
        <v>14.12</v>
      </c>
      <c r="E86" s="6">
        <v>10.79</v>
      </c>
      <c r="F86" s="6">
        <v>39.840000000000003</v>
      </c>
      <c r="G86" s="6">
        <v>45.47</v>
      </c>
      <c r="H86" s="6">
        <v>11.32</v>
      </c>
      <c r="I86" s="6">
        <v>26.32</v>
      </c>
      <c r="J86" s="6">
        <v>0.83</v>
      </c>
      <c r="K86" s="6">
        <v>266.5</v>
      </c>
      <c r="L86" s="6">
        <v>36.56</v>
      </c>
      <c r="M86" s="6">
        <v>37.44</v>
      </c>
      <c r="N86" s="6">
        <v>1.6</v>
      </c>
      <c r="O86" s="6">
        <v>0</v>
      </c>
      <c r="P86" s="6">
        <v>0.44</v>
      </c>
      <c r="Q86" s="6">
        <v>3.99</v>
      </c>
    </row>
    <row r="87" spans="1:17" customFormat="1">
      <c r="A87" s="82">
        <v>45456.822916666664</v>
      </c>
      <c r="B87" s="6">
        <v>9.4</v>
      </c>
      <c r="C87" s="6">
        <v>4.05</v>
      </c>
      <c r="D87" s="6">
        <v>14.1</v>
      </c>
      <c r="E87" s="6">
        <v>11.45</v>
      </c>
      <c r="F87" s="6">
        <v>37.200000000000003</v>
      </c>
      <c r="G87" s="6">
        <v>45.47</v>
      </c>
      <c r="H87" s="6">
        <v>11.32</v>
      </c>
      <c r="I87" s="6">
        <v>25.87</v>
      </c>
      <c r="J87" s="6">
        <v>0.55000000000000004</v>
      </c>
      <c r="K87" s="6">
        <v>255.52</v>
      </c>
      <c r="L87" s="6">
        <v>36.4</v>
      </c>
      <c r="M87" s="6">
        <v>37.799999999999997</v>
      </c>
      <c r="N87" s="6">
        <v>1.7</v>
      </c>
      <c r="O87" s="6">
        <v>0</v>
      </c>
      <c r="P87" s="6">
        <v>0.45</v>
      </c>
      <c r="Q87" s="6">
        <v>3.99</v>
      </c>
    </row>
    <row r="88" spans="1:17" customFormat="1">
      <c r="A88" s="82">
        <v>45456.833333333336</v>
      </c>
      <c r="B88" s="6">
        <v>9.3800000000000008</v>
      </c>
      <c r="C88" s="6">
        <v>4.07</v>
      </c>
      <c r="D88" s="6">
        <v>14.1</v>
      </c>
      <c r="E88" s="6">
        <v>12.51</v>
      </c>
      <c r="F88" s="6">
        <v>43.34</v>
      </c>
      <c r="G88" s="6">
        <v>46.03</v>
      </c>
      <c r="H88" s="6">
        <v>12.82</v>
      </c>
      <c r="I88" s="6">
        <v>22.95</v>
      </c>
      <c r="J88" s="6">
        <v>0.4</v>
      </c>
      <c r="K88" s="6">
        <v>249.53</v>
      </c>
      <c r="L88" s="6">
        <v>35.96</v>
      </c>
      <c r="M88" s="6">
        <v>39.39</v>
      </c>
      <c r="N88" s="6">
        <v>1.9</v>
      </c>
      <c r="O88" s="6">
        <v>0</v>
      </c>
      <c r="P88" s="6">
        <v>0.57999999999999996</v>
      </c>
      <c r="Q88" s="6">
        <v>3.98</v>
      </c>
    </row>
    <row r="89" spans="1:17" customFormat="1">
      <c r="A89" s="82">
        <v>45456.84375</v>
      </c>
      <c r="B89" s="6">
        <v>9.3800000000000008</v>
      </c>
      <c r="C89" s="6">
        <v>4.08</v>
      </c>
      <c r="D89" s="6">
        <v>14.11</v>
      </c>
      <c r="E89" s="6">
        <v>15.38</v>
      </c>
      <c r="F89" s="6">
        <v>38.25</v>
      </c>
      <c r="G89" s="6">
        <v>46.56</v>
      </c>
      <c r="H89" s="6">
        <v>14.32</v>
      </c>
      <c r="I89" s="6">
        <v>21.92</v>
      </c>
      <c r="J89" s="6">
        <v>0.38</v>
      </c>
      <c r="K89" s="6">
        <v>244.82</v>
      </c>
      <c r="L89" s="6">
        <v>35.96</v>
      </c>
      <c r="M89" s="6">
        <v>39.14</v>
      </c>
      <c r="N89" s="6">
        <v>1.5</v>
      </c>
      <c r="O89" s="6">
        <v>0</v>
      </c>
      <c r="P89" s="6">
        <v>0.66</v>
      </c>
      <c r="Q89" s="6">
        <v>3.99</v>
      </c>
    </row>
    <row r="90" spans="1:17" customFormat="1">
      <c r="A90" s="82">
        <v>45456.854166666664</v>
      </c>
      <c r="B90" s="6">
        <v>9.41</v>
      </c>
      <c r="C90" s="6">
        <v>4.07</v>
      </c>
      <c r="D90" s="6">
        <v>14.12</v>
      </c>
      <c r="E90" s="6">
        <v>13.8</v>
      </c>
      <c r="F90" s="6">
        <v>31.98</v>
      </c>
      <c r="G90" s="6">
        <v>46.56</v>
      </c>
      <c r="H90" s="6">
        <v>14.32</v>
      </c>
      <c r="I90" s="6">
        <v>17.68</v>
      </c>
      <c r="J90" s="6">
        <v>0.19</v>
      </c>
      <c r="K90" s="6">
        <v>212.49</v>
      </c>
      <c r="L90" s="6">
        <v>35.57</v>
      </c>
      <c r="M90" s="6">
        <v>40.75</v>
      </c>
      <c r="N90" s="6">
        <v>1.8</v>
      </c>
      <c r="O90" s="6">
        <v>0</v>
      </c>
      <c r="P90" s="6">
        <v>0.56999999999999995</v>
      </c>
      <c r="Q90" s="6">
        <v>4.01</v>
      </c>
    </row>
    <row r="91" spans="1:17" customFormat="1">
      <c r="A91" s="82">
        <v>45456.864583333336</v>
      </c>
      <c r="B91" s="6">
        <v>9.42</v>
      </c>
      <c r="C91" s="6">
        <v>4.07</v>
      </c>
      <c r="D91" s="6">
        <v>14.13</v>
      </c>
      <c r="E91" s="6">
        <v>13.42</v>
      </c>
      <c r="F91" s="6">
        <v>41.82</v>
      </c>
      <c r="G91" s="6">
        <v>46.56</v>
      </c>
      <c r="H91" s="6">
        <v>14.32</v>
      </c>
      <c r="I91" s="6">
        <v>18.77</v>
      </c>
      <c r="J91" s="6">
        <v>0.14000000000000001</v>
      </c>
      <c r="K91" s="6">
        <v>197.59</v>
      </c>
      <c r="L91" s="6">
        <v>35.08</v>
      </c>
      <c r="M91" s="6">
        <v>42.48</v>
      </c>
      <c r="N91" s="6">
        <v>1.8</v>
      </c>
      <c r="O91" s="6">
        <v>0</v>
      </c>
      <c r="P91" s="6">
        <v>0.53</v>
      </c>
      <c r="Q91" s="6">
        <v>4.01</v>
      </c>
    </row>
    <row r="92" spans="1:17" customFormat="1">
      <c r="A92" s="82">
        <v>45456.875</v>
      </c>
      <c r="B92" s="6">
        <v>9.42</v>
      </c>
      <c r="C92" s="6">
        <v>4.08</v>
      </c>
      <c r="D92" s="6">
        <v>14.13</v>
      </c>
      <c r="E92" s="6">
        <v>13.07</v>
      </c>
      <c r="F92" s="6">
        <v>38.68</v>
      </c>
      <c r="G92" s="6">
        <v>47.64</v>
      </c>
      <c r="H92" s="6">
        <v>14.6</v>
      </c>
      <c r="I92" s="6">
        <v>20.99</v>
      </c>
      <c r="J92" s="6">
        <v>0.13</v>
      </c>
      <c r="K92" s="6">
        <v>164.76</v>
      </c>
      <c r="L92" s="6">
        <v>34.76</v>
      </c>
      <c r="M92" s="6">
        <v>44.68</v>
      </c>
      <c r="N92" s="6">
        <v>1.7</v>
      </c>
      <c r="O92" s="6">
        <v>0</v>
      </c>
      <c r="P92" s="6">
        <v>0.46</v>
      </c>
      <c r="Q92" s="6">
        <v>3.99</v>
      </c>
    </row>
    <row r="93" spans="1:17" customFormat="1">
      <c r="A93" s="82">
        <v>45456.885416666664</v>
      </c>
      <c r="B93" s="6">
        <v>9.42</v>
      </c>
      <c r="C93" s="6">
        <v>4.08</v>
      </c>
      <c r="D93" s="6">
        <v>14.14</v>
      </c>
      <c r="E93" s="6">
        <v>12.7</v>
      </c>
      <c r="F93" s="6">
        <v>38.9</v>
      </c>
      <c r="G93" s="6">
        <v>48.67</v>
      </c>
      <c r="H93" s="6">
        <v>14.73</v>
      </c>
      <c r="I93" s="6">
        <v>16.53</v>
      </c>
      <c r="J93" s="6">
        <v>0.31</v>
      </c>
      <c r="K93" s="6">
        <v>107.41</v>
      </c>
      <c r="L93" s="6">
        <v>34.880000000000003</v>
      </c>
      <c r="M93" s="6">
        <v>44.76</v>
      </c>
      <c r="N93" s="6">
        <v>1.5</v>
      </c>
      <c r="O93" s="6">
        <v>0</v>
      </c>
      <c r="P93" s="6">
        <v>0.44</v>
      </c>
      <c r="Q93" s="6">
        <v>3.98</v>
      </c>
    </row>
    <row r="94" spans="1:17" customFormat="1">
      <c r="A94" s="82">
        <v>45456.895833333336</v>
      </c>
      <c r="B94" s="6">
        <v>9.41</v>
      </c>
      <c r="C94" s="6">
        <v>4.08</v>
      </c>
      <c r="D94" s="6">
        <v>14.13</v>
      </c>
      <c r="E94" s="6">
        <v>11.84</v>
      </c>
      <c r="F94" s="6">
        <v>15.57</v>
      </c>
      <c r="G94" s="6">
        <v>48.67</v>
      </c>
      <c r="H94" s="6">
        <v>14.73</v>
      </c>
      <c r="I94" s="6">
        <v>17.600000000000001</v>
      </c>
      <c r="J94" s="6">
        <v>0.42</v>
      </c>
      <c r="K94" s="6">
        <v>117.36</v>
      </c>
      <c r="L94" s="6">
        <v>34.31</v>
      </c>
      <c r="M94" s="6">
        <v>48.01</v>
      </c>
      <c r="N94" s="6">
        <v>2.4</v>
      </c>
      <c r="O94" s="6">
        <v>0</v>
      </c>
      <c r="P94" s="6">
        <v>0.48</v>
      </c>
      <c r="Q94" s="6">
        <v>4.01</v>
      </c>
    </row>
    <row r="95" spans="1:17" customFormat="1">
      <c r="A95" s="82">
        <v>45456.90625</v>
      </c>
      <c r="B95" s="6">
        <v>9.41</v>
      </c>
      <c r="C95" s="6">
        <v>4.08</v>
      </c>
      <c r="D95" s="6">
        <v>14.13</v>
      </c>
      <c r="E95" s="6">
        <v>11.03</v>
      </c>
      <c r="F95" s="6">
        <v>31.55</v>
      </c>
      <c r="G95" s="6">
        <v>48.67</v>
      </c>
      <c r="H95" s="6">
        <v>14.73</v>
      </c>
      <c r="I95" s="6">
        <v>16.649999999999999</v>
      </c>
      <c r="J95" s="6">
        <v>0.18</v>
      </c>
      <c r="K95" s="6">
        <v>195.56</v>
      </c>
      <c r="L95" s="6">
        <v>33.619999999999997</v>
      </c>
      <c r="M95" s="6">
        <v>50.9</v>
      </c>
      <c r="N95" s="6">
        <v>2.1</v>
      </c>
      <c r="O95" s="6">
        <v>0</v>
      </c>
      <c r="P95" s="6">
        <v>0.43</v>
      </c>
      <c r="Q95" s="6">
        <v>4</v>
      </c>
    </row>
    <row r="96" spans="1:17" customFormat="1">
      <c r="A96" s="82">
        <v>45456.916666666664</v>
      </c>
      <c r="B96" s="6">
        <v>9.39</v>
      </c>
      <c r="C96" s="6">
        <v>4.12</v>
      </c>
      <c r="D96" s="6">
        <v>14.13</v>
      </c>
      <c r="E96" s="6">
        <v>11.09</v>
      </c>
      <c r="F96" s="6">
        <v>43.56</v>
      </c>
      <c r="G96" s="6">
        <v>46.87</v>
      </c>
      <c r="H96" s="6">
        <v>15.38</v>
      </c>
      <c r="I96" s="6">
        <v>20.97</v>
      </c>
      <c r="J96" s="6">
        <v>0.18</v>
      </c>
      <c r="K96" s="6">
        <v>229.19</v>
      </c>
      <c r="L96" s="6">
        <v>33.4</v>
      </c>
      <c r="M96" s="6">
        <v>52.28</v>
      </c>
      <c r="N96" s="6">
        <v>1.9</v>
      </c>
      <c r="O96" s="6">
        <v>0</v>
      </c>
      <c r="P96" s="6">
        <v>0.4</v>
      </c>
      <c r="Q96" s="6">
        <v>4</v>
      </c>
    </row>
    <row r="97" spans="1:22" customFormat="1">
      <c r="A97" s="82">
        <v>45456.927083333336</v>
      </c>
      <c r="B97" s="6">
        <v>9.41</v>
      </c>
      <c r="C97" s="6">
        <v>4.12</v>
      </c>
      <c r="D97" s="6">
        <v>14.15</v>
      </c>
      <c r="E97" s="6">
        <v>11.18</v>
      </c>
      <c r="F97" s="6">
        <v>40.130000000000003</v>
      </c>
      <c r="G97" s="6">
        <v>45.16</v>
      </c>
      <c r="H97" s="6">
        <v>15.69</v>
      </c>
      <c r="I97" s="6">
        <v>16.21</v>
      </c>
      <c r="J97" s="6">
        <v>0.17</v>
      </c>
      <c r="K97" s="6">
        <v>216.25</v>
      </c>
      <c r="L97" s="6">
        <v>33.21</v>
      </c>
      <c r="M97" s="6">
        <v>53.14</v>
      </c>
      <c r="N97" s="6">
        <v>1.9</v>
      </c>
      <c r="O97" s="6">
        <v>0</v>
      </c>
      <c r="P97" s="6">
        <v>0.42</v>
      </c>
      <c r="Q97" s="6">
        <v>3.99</v>
      </c>
    </row>
    <row r="98" spans="1:22" customFormat="1">
      <c r="A98" s="82">
        <v>45456.9375</v>
      </c>
      <c r="B98" s="6">
        <v>9.4</v>
      </c>
      <c r="C98" s="6">
        <v>4.08</v>
      </c>
      <c r="D98" s="6">
        <v>14.12</v>
      </c>
      <c r="E98" s="6">
        <v>10.85</v>
      </c>
      <c r="F98" s="6">
        <v>39.450000000000003</v>
      </c>
      <c r="G98" s="6">
        <v>45.16</v>
      </c>
      <c r="H98" s="6">
        <v>15.69</v>
      </c>
      <c r="I98" s="6">
        <v>12.55</v>
      </c>
      <c r="J98" s="6">
        <v>0.25</v>
      </c>
      <c r="K98" s="6">
        <v>245.8</v>
      </c>
      <c r="L98" s="6">
        <v>32.94</v>
      </c>
      <c r="M98" s="6">
        <v>53.75</v>
      </c>
      <c r="N98" s="6">
        <v>1.9</v>
      </c>
      <c r="O98" s="6">
        <v>0</v>
      </c>
      <c r="P98" s="6">
        <v>0.41</v>
      </c>
      <c r="Q98" s="6">
        <v>4</v>
      </c>
    </row>
    <row r="99" spans="1:22" customFormat="1">
      <c r="A99" s="82">
        <v>45456.947916666664</v>
      </c>
      <c r="B99" s="6">
        <v>9.39</v>
      </c>
      <c r="C99" s="6">
        <v>4.07</v>
      </c>
      <c r="D99" s="6">
        <v>14.11</v>
      </c>
      <c r="E99" s="6">
        <v>10.5</v>
      </c>
      <c r="F99" s="6">
        <v>39.159999999999997</v>
      </c>
      <c r="G99" s="6">
        <v>45.16</v>
      </c>
      <c r="H99" s="6">
        <v>15.69</v>
      </c>
      <c r="I99" s="6">
        <v>12.55</v>
      </c>
      <c r="J99" s="6">
        <v>0.21</v>
      </c>
      <c r="K99" s="6">
        <v>230.77</v>
      </c>
      <c r="L99" s="6">
        <v>32.81</v>
      </c>
      <c r="M99" s="6">
        <v>53.53</v>
      </c>
      <c r="N99" s="6">
        <v>1.6</v>
      </c>
      <c r="O99" s="6">
        <v>0</v>
      </c>
      <c r="P99" s="6">
        <v>0.4</v>
      </c>
      <c r="Q99" s="6">
        <v>3.97</v>
      </c>
    </row>
    <row r="100" spans="1:22" customFormat="1">
      <c r="A100" s="82">
        <v>45456.958333333336</v>
      </c>
      <c r="B100" s="6">
        <v>9.41</v>
      </c>
      <c r="C100" s="6">
        <v>4.0599999999999996</v>
      </c>
      <c r="D100" s="6">
        <v>14.12</v>
      </c>
      <c r="E100" s="6">
        <v>10.15</v>
      </c>
      <c r="F100" s="6">
        <v>40.06</v>
      </c>
      <c r="G100" s="6">
        <v>42.59</v>
      </c>
      <c r="H100" s="6">
        <v>14.83</v>
      </c>
      <c r="I100" s="6">
        <v>12.3</v>
      </c>
      <c r="J100" s="6">
        <v>0.14000000000000001</v>
      </c>
      <c r="K100" s="6">
        <v>169.69</v>
      </c>
      <c r="L100" s="6">
        <v>32.78</v>
      </c>
      <c r="M100" s="6">
        <v>53.83</v>
      </c>
      <c r="N100" s="6">
        <v>1.7</v>
      </c>
      <c r="O100" s="6">
        <v>0</v>
      </c>
      <c r="P100" s="6">
        <v>0.39</v>
      </c>
      <c r="Q100" s="6">
        <v>3.96</v>
      </c>
    </row>
    <row r="101" spans="1:22" customFormat="1">
      <c r="A101" s="82">
        <v>45456.96875</v>
      </c>
      <c r="B101" s="6">
        <v>9.41</v>
      </c>
      <c r="C101" s="6">
        <v>4.05</v>
      </c>
      <c r="D101" s="6">
        <v>14.12</v>
      </c>
      <c r="E101" s="6">
        <v>10.39</v>
      </c>
      <c r="F101" s="6">
        <v>36.83</v>
      </c>
      <c r="G101" s="6">
        <v>40.130000000000003</v>
      </c>
      <c r="H101" s="6">
        <v>14.42</v>
      </c>
      <c r="I101" s="6">
        <v>11.91</v>
      </c>
      <c r="J101" s="6">
        <v>0.17</v>
      </c>
      <c r="K101" s="6">
        <v>208.27</v>
      </c>
      <c r="L101" s="6">
        <v>32.36</v>
      </c>
      <c r="M101" s="6">
        <v>55.51</v>
      </c>
      <c r="N101" s="6">
        <v>1.8</v>
      </c>
      <c r="O101" s="6">
        <v>0</v>
      </c>
      <c r="P101" s="6">
        <v>0.38</v>
      </c>
      <c r="Q101" s="6">
        <v>3.98</v>
      </c>
    </row>
    <row r="102" spans="1:22" customFormat="1">
      <c r="A102" s="82">
        <v>45456.979166666664</v>
      </c>
      <c r="B102" s="6">
        <v>9.41</v>
      </c>
      <c r="C102" s="6">
        <v>4.07</v>
      </c>
      <c r="D102" s="6">
        <v>14.12</v>
      </c>
      <c r="E102" s="6">
        <v>10.33</v>
      </c>
      <c r="F102" s="6">
        <v>35.89</v>
      </c>
      <c r="G102" s="6">
        <v>40.130000000000003</v>
      </c>
      <c r="H102" s="6">
        <v>14.42</v>
      </c>
      <c r="I102" s="6">
        <v>10.49</v>
      </c>
      <c r="J102" s="6">
        <v>0.19</v>
      </c>
      <c r="K102" s="6">
        <v>201.9</v>
      </c>
      <c r="L102" s="6">
        <v>32.049999999999997</v>
      </c>
      <c r="M102" s="6">
        <v>56.75</v>
      </c>
      <c r="N102" s="6">
        <v>1.7</v>
      </c>
      <c r="O102" s="6">
        <v>0</v>
      </c>
      <c r="P102" s="6">
        <v>0.37</v>
      </c>
      <c r="Q102" s="6">
        <v>4</v>
      </c>
    </row>
    <row r="103" spans="1:22" customFormat="1">
      <c r="A103" s="82">
        <v>45456.989583333336</v>
      </c>
      <c r="B103" s="6">
        <v>9.41</v>
      </c>
      <c r="C103" s="6">
        <v>4.09</v>
      </c>
      <c r="D103" s="6">
        <v>14.13</v>
      </c>
      <c r="E103" s="6">
        <v>9.6</v>
      </c>
      <c r="F103" s="6">
        <v>33.31</v>
      </c>
      <c r="G103" s="6">
        <v>40.130000000000003</v>
      </c>
      <c r="H103" s="6">
        <v>14.42</v>
      </c>
      <c r="I103" s="6">
        <v>10.65</v>
      </c>
      <c r="J103" s="6">
        <v>0.2</v>
      </c>
      <c r="K103" s="6">
        <v>217.03</v>
      </c>
      <c r="L103" s="6">
        <v>31.88</v>
      </c>
      <c r="M103" s="6">
        <v>57.9</v>
      </c>
      <c r="N103" s="6">
        <v>1.6</v>
      </c>
      <c r="O103" s="6">
        <v>0</v>
      </c>
      <c r="P103" s="6">
        <v>0.37</v>
      </c>
      <c r="Q103" s="6">
        <v>3.98</v>
      </c>
    </row>
    <row r="104" spans="1:22" customFormat="1">
      <c r="A104" s="82">
        <v>45457</v>
      </c>
      <c r="B104" s="6">
        <v>9.43</v>
      </c>
      <c r="C104" s="6">
        <v>4.1100000000000003</v>
      </c>
      <c r="D104" s="6">
        <v>14.16</v>
      </c>
      <c r="E104" s="6">
        <v>9.6999999999999993</v>
      </c>
      <c r="F104" s="6">
        <v>35.26</v>
      </c>
      <c r="G104" s="6">
        <v>39.549999999999997</v>
      </c>
      <c r="H104" s="6">
        <v>14.57</v>
      </c>
      <c r="I104" s="6">
        <v>10.18</v>
      </c>
      <c r="J104" s="6">
        <v>0.21</v>
      </c>
      <c r="K104" s="6">
        <v>225.33</v>
      </c>
      <c r="L104" s="6">
        <v>32</v>
      </c>
      <c r="M104" s="6">
        <v>57.17</v>
      </c>
      <c r="N104" s="6">
        <v>1.6</v>
      </c>
      <c r="O104" s="6">
        <v>0</v>
      </c>
      <c r="P104" s="6">
        <v>0.36</v>
      </c>
      <c r="Q104" s="6">
        <v>3.99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9.2799999999999994</v>
      </c>
      <c r="C106" s="184">
        <f>MIN(C9:C104)</f>
        <v>4.04</v>
      </c>
      <c r="D106" s="184">
        <f t="shared" ref="D106:Q106" si="0">MIN(D9:D104)</f>
        <v>14</v>
      </c>
      <c r="E106" s="184">
        <f t="shared" si="0"/>
        <v>4.1100000000000003</v>
      </c>
      <c r="F106" s="184">
        <f t="shared" si="0"/>
        <v>5.49</v>
      </c>
      <c r="G106" s="184">
        <f t="shared" si="0"/>
        <v>23.37</v>
      </c>
      <c r="H106" s="184">
        <f t="shared" si="0"/>
        <v>1.57</v>
      </c>
      <c r="I106" s="184">
        <f t="shared" si="0"/>
        <v>4.1900000000000004</v>
      </c>
      <c r="J106" s="184">
        <f t="shared" si="0"/>
        <v>-1.3</v>
      </c>
      <c r="K106" s="184">
        <f t="shared" si="0"/>
        <v>0.77</v>
      </c>
      <c r="L106" s="184">
        <f t="shared" si="0"/>
        <v>30.03</v>
      </c>
      <c r="M106" s="184">
        <f t="shared" si="0"/>
        <v>32</v>
      </c>
      <c r="N106" s="184">
        <f t="shared" si="0"/>
        <v>1.5</v>
      </c>
      <c r="O106" s="184">
        <f t="shared" si="0"/>
        <v>0</v>
      </c>
      <c r="P106" s="184">
        <f t="shared" si="0"/>
        <v>0.12</v>
      </c>
      <c r="Q106" s="184">
        <f t="shared" si="0"/>
        <v>3.94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9.56</v>
      </c>
      <c r="C107" s="185">
        <f t="shared" ref="C107:Q107" si="1">MAX(C9:C104)</f>
        <v>4.1399999999999997</v>
      </c>
      <c r="D107" s="185">
        <f t="shared" si="1"/>
        <v>14.26</v>
      </c>
      <c r="E107" s="185">
        <f t="shared" si="1"/>
        <v>15.38</v>
      </c>
      <c r="F107" s="185">
        <f t="shared" si="1"/>
        <v>294.64999999999998</v>
      </c>
      <c r="G107" s="185">
        <f t="shared" si="1"/>
        <v>69.53</v>
      </c>
      <c r="H107" s="185">
        <f t="shared" si="1"/>
        <v>22.09</v>
      </c>
      <c r="I107" s="185">
        <f t="shared" si="1"/>
        <v>114.91</v>
      </c>
      <c r="J107" s="185">
        <f t="shared" si="1"/>
        <v>1.57</v>
      </c>
      <c r="K107" s="185">
        <f t="shared" si="1"/>
        <v>308.82</v>
      </c>
      <c r="L107" s="185">
        <f t="shared" si="1"/>
        <v>40.46</v>
      </c>
      <c r="M107" s="185">
        <f t="shared" si="1"/>
        <v>70.260000000000005</v>
      </c>
      <c r="N107" s="185">
        <f t="shared" si="1"/>
        <v>827.4</v>
      </c>
      <c r="O107" s="185">
        <f t="shared" si="1"/>
        <v>0</v>
      </c>
      <c r="P107" s="185">
        <f t="shared" si="1"/>
        <v>1.56</v>
      </c>
      <c r="Q107" s="185">
        <f t="shared" si="1"/>
        <v>6.76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9.3845263157894632</v>
      </c>
      <c r="C108" s="184">
        <f t="shared" ref="C108:Q108" si="2">AVERAGE(C9:C104)</f>
        <v>4.0837894736842095</v>
      </c>
      <c r="D108" s="184">
        <f t="shared" si="2"/>
        <v>14.109473684210528</v>
      </c>
      <c r="E108" s="184">
        <f t="shared" si="2"/>
        <v>10.986382978723405</v>
      </c>
      <c r="F108" s="184">
        <f t="shared" si="2"/>
        <v>35.173297872340427</v>
      </c>
      <c r="G108" s="184">
        <f t="shared" si="2"/>
        <v>42.457816091954001</v>
      </c>
      <c r="H108" s="184">
        <f t="shared" si="2"/>
        <v>14.961235955056171</v>
      </c>
      <c r="I108" s="184">
        <f t="shared" si="2"/>
        <v>21.554421052631582</v>
      </c>
      <c r="J108" s="184">
        <f t="shared" si="2"/>
        <v>0.85244680851063837</v>
      </c>
      <c r="K108" s="184">
        <f t="shared" si="2"/>
        <v>255.41212765957445</v>
      </c>
      <c r="L108" s="184">
        <f t="shared" si="2"/>
        <v>34.452127659574479</v>
      </c>
      <c r="M108" s="184">
        <f t="shared" si="2"/>
        <v>51.517978723404248</v>
      </c>
      <c r="N108" s="184">
        <f t="shared" si="2"/>
        <v>135.68723404255317</v>
      </c>
      <c r="O108" s="184">
        <f t="shared" si="2"/>
        <v>0</v>
      </c>
      <c r="P108" s="184">
        <f t="shared" si="2"/>
        <v>0.49673684210526303</v>
      </c>
      <c r="Q108" s="184">
        <f t="shared" si="2"/>
        <v>4.2950000000000008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4.9049875204314156E-2</v>
      </c>
      <c r="C109" s="184">
        <f t="shared" ref="C109:Q109" si="3">STDEV(C9:C104)</f>
        <v>1.9633825965931096E-2</v>
      </c>
      <c r="D109" s="184">
        <f t="shared" si="3"/>
        <v>4.1446413007349824E-2</v>
      </c>
      <c r="E109" s="184">
        <f t="shared" si="3"/>
        <v>2.4847378655207013</v>
      </c>
      <c r="F109" s="184">
        <f t="shared" si="3"/>
        <v>48.168151758665211</v>
      </c>
      <c r="G109" s="184">
        <f t="shared" si="3"/>
        <v>8.4226001930697372</v>
      </c>
      <c r="H109" s="184">
        <f t="shared" si="3"/>
        <v>4.5922983501591501</v>
      </c>
      <c r="I109" s="184">
        <f t="shared" si="3"/>
        <v>27.638087761999341</v>
      </c>
      <c r="J109" s="184">
        <f t="shared" si="3"/>
        <v>0.44706133944489557</v>
      </c>
      <c r="K109" s="184">
        <f t="shared" si="3"/>
        <v>42.478811058841721</v>
      </c>
      <c r="L109" s="184">
        <f t="shared" si="3"/>
        <v>3.5076987132730144</v>
      </c>
      <c r="M109" s="184">
        <f t="shared" si="3"/>
        <v>13.514939609362056</v>
      </c>
      <c r="N109" s="184">
        <f t="shared" si="3"/>
        <v>176.8033238351274</v>
      </c>
      <c r="O109" s="184">
        <f t="shared" si="3"/>
        <v>0</v>
      </c>
      <c r="P109" s="184">
        <f t="shared" si="3"/>
        <v>0.19210725121307926</v>
      </c>
      <c r="Q109" s="184">
        <f t="shared" si="3"/>
        <v>0.59970557292186766</v>
      </c>
      <c r="R109" s="188"/>
      <c r="S109" s="188"/>
      <c r="T109" s="188"/>
      <c r="U109" s="188"/>
    </row>
    <row r="110" spans="1:22">
      <c r="A110" s="183" t="s">
        <v>52</v>
      </c>
      <c r="B110" s="185">
        <v>96</v>
      </c>
      <c r="C110" s="185">
        <v>96</v>
      </c>
      <c r="D110" s="185">
        <v>96</v>
      </c>
      <c r="E110" s="185">
        <v>96</v>
      </c>
      <c r="F110" s="185">
        <v>96</v>
      </c>
      <c r="G110" s="185">
        <v>96</v>
      </c>
      <c r="H110" s="185">
        <v>96</v>
      </c>
      <c r="I110" s="185">
        <v>96</v>
      </c>
      <c r="J110" s="185">
        <v>96</v>
      </c>
      <c r="K110" s="185">
        <v>96</v>
      </c>
      <c r="L110" s="185">
        <v>96</v>
      </c>
      <c r="M110" s="185">
        <v>96</v>
      </c>
      <c r="N110" s="185">
        <v>96</v>
      </c>
      <c r="O110" s="185">
        <v>96</v>
      </c>
      <c r="P110" s="185">
        <v>96</v>
      </c>
      <c r="Q110" s="185"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45457.010416666664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45457.010416666664</v>
      </c>
      <c r="B9" s="6">
        <v>9.25</v>
      </c>
      <c r="C9" s="6">
        <v>4</v>
      </c>
      <c r="D9" s="6">
        <v>13.96</v>
      </c>
      <c r="E9" s="6">
        <v>9.99</v>
      </c>
      <c r="F9" s="6">
        <v>34.229999999999997</v>
      </c>
      <c r="G9" s="6">
        <v>38.979999999999997</v>
      </c>
      <c r="H9" s="6">
        <v>14.63</v>
      </c>
      <c r="I9" s="6">
        <v>9.9499999999999993</v>
      </c>
      <c r="J9" s="6">
        <v>0.21</v>
      </c>
      <c r="K9" s="6">
        <v>214.05</v>
      </c>
      <c r="L9" s="6">
        <v>32.06</v>
      </c>
      <c r="M9" s="6">
        <v>56.9</v>
      </c>
      <c r="N9" s="6">
        <v>1.5</v>
      </c>
      <c r="O9" s="6">
        <v>0</v>
      </c>
      <c r="P9" s="6">
        <v>0.35</v>
      </c>
      <c r="Q9" s="6">
        <v>4</v>
      </c>
    </row>
    <row r="10" spans="1:21" customFormat="1">
      <c r="A10" s="82">
        <v>45457.020833333336</v>
      </c>
      <c r="B10" s="6">
        <v>9.2100000000000009</v>
      </c>
      <c r="C10" s="6">
        <v>4.05</v>
      </c>
      <c r="D10" s="6">
        <v>13.95</v>
      </c>
      <c r="E10" s="6">
        <v>10.06</v>
      </c>
      <c r="F10" s="6">
        <v>35.07</v>
      </c>
      <c r="G10" s="6">
        <v>38.979999999999997</v>
      </c>
      <c r="H10" s="6">
        <v>14.63</v>
      </c>
      <c r="I10" s="6">
        <v>9.01</v>
      </c>
      <c r="J10" s="6">
        <v>0.36</v>
      </c>
      <c r="K10" s="6">
        <v>244.08</v>
      </c>
      <c r="L10" s="6">
        <v>32.17</v>
      </c>
      <c r="M10" s="6">
        <v>56.12</v>
      </c>
      <c r="N10" s="6">
        <v>1.5</v>
      </c>
      <c r="O10" s="6">
        <v>0</v>
      </c>
      <c r="P10" s="6">
        <v>0.35</v>
      </c>
      <c r="Q10" s="6">
        <v>3.98</v>
      </c>
    </row>
    <row r="11" spans="1:21" customFormat="1">
      <c r="A11" s="82">
        <v>45457.03125</v>
      </c>
      <c r="B11" s="6">
        <v>9.1999999999999993</v>
      </c>
      <c r="C11" s="6">
        <v>4.0599999999999996</v>
      </c>
      <c r="D11" s="6">
        <v>13.95</v>
      </c>
      <c r="E11" s="6">
        <v>10.59</v>
      </c>
      <c r="F11" s="6">
        <v>37.380000000000003</v>
      </c>
      <c r="G11" s="6">
        <v>38.979999999999997</v>
      </c>
      <c r="H11" s="6">
        <v>14.63</v>
      </c>
      <c r="I11" s="6">
        <v>8.92</v>
      </c>
      <c r="J11" s="6">
        <v>0.61</v>
      </c>
      <c r="K11" s="6">
        <v>257.79000000000002</v>
      </c>
      <c r="L11" s="6">
        <v>32.57</v>
      </c>
      <c r="M11" s="6">
        <v>54.26</v>
      </c>
      <c r="N11" s="6">
        <v>1.2</v>
      </c>
      <c r="O11" s="6">
        <v>0</v>
      </c>
      <c r="P11" s="6">
        <v>0.33</v>
      </c>
      <c r="Q11" s="6">
        <v>3.98</v>
      </c>
    </row>
    <row r="12" spans="1:21" customFormat="1">
      <c r="A12" s="82">
        <v>45457.041666666664</v>
      </c>
      <c r="B12" s="6">
        <v>9.2100000000000009</v>
      </c>
      <c r="C12" s="6">
        <v>4.0599999999999996</v>
      </c>
      <c r="D12" s="6">
        <v>13.96</v>
      </c>
      <c r="E12" s="6">
        <v>10.74</v>
      </c>
      <c r="F12" s="6">
        <v>41.06</v>
      </c>
      <c r="G12" s="6">
        <v>37.659999999999997</v>
      </c>
      <c r="H12" s="6">
        <v>13.98</v>
      </c>
      <c r="I12" s="6">
        <v>8.9</v>
      </c>
      <c r="J12" s="6">
        <v>0.71</v>
      </c>
      <c r="K12" s="6">
        <v>259.67</v>
      </c>
      <c r="L12" s="6">
        <v>32.68</v>
      </c>
      <c r="M12" s="6">
        <v>55.49</v>
      </c>
      <c r="N12" s="6">
        <v>1.7</v>
      </c>
      <c r="O12" s="6">
        <v>0</v>
      </c>
      <c r="P12" s="6">
        <v>0.33</v>
      </c>
      <c r="Q12" s="6">
        <v>3.99</v>
      </c>
    </row>
    <row r="13" spans="1:21" customFormat="1">
      <c r="A13" s="82">
        <v>45457.052083333336</v>
      </c>
      <c r="B13" s="6">
        <v>9.23</v>
      </c>
      <c r="C13" s="6">
        <v>4.08</v>
      </c>
      <c r="D13" s="6">
        <v>13.98</v>
      </c>
      <c r="E13" s="6">
        <v>11.33</v>
      </c>
      <c r="F13" s="6">
        <v>43.51</v>
      </c>
      <c r="G13" s="6">
        <v>36.39</v>
      </c>
      <c r="H13" s="6">
        <v>13.68</v>
      </c>
      <c r="I13" s="6">
        <v>9.65</v>
      </c>
      <c r="J13" s="6">
        <v>0.64</v>
      </c>
      <c r="K13" s="6">
        <v>262.02</v>
      </c>
      <c r="L13" s="6">
        <v>32.64</v>
      </c>
      <c r="M13" s="6">
        <v>57.98</v>
      </c>
      <c r="N13" s="6">
        <v>1.8</v>
      </c>
      <c r="O13" s="6">
        <v>0</v>
      </c>
      <c r="P13" s="6">
        <v>0.31</v>
      </c>
      <c r="Q13" s="6">
        <v>4.0199999999999996</v>
      </c>
    </row>
    <row r="14" spans="1:21" customFormat="1">
      <c r="A14" s="82">
        <v>45457.0625</v>
      </c>
      <c r="B14" s="6">
        <v>9.25</v>
      </c>
      <c r="C14" s="6">
        <v>4.0599999999999996</v>
      </c>
      <c r="D14" s="6">
        <v>13.99</v>
      </c>
      <c r="E14" s="6">
        <v>11.21</v>
      </c>
      <c r="F14" s="6">
        <v>36.880000000000003</v>
      </c>
      <c r="G14" s="6">
        <v>36.39</v>
      </c>
      <c r="H14" s="6">
        <v>13.68</v>
      </c>
      <c r="I14" s="6">
        <v>9.19</v>
      </c>
      <c r="J14" s="6">
        <v>0.83</v>
      </c>
      <c r="K14" s="6">
        <v>261.27</v>
      </c>
      <c r="L14" s="6">
        <v>32.619999999999997</v>
      </c>
      <c r="M14" s="6">
        <v>60</v>
      </c>
      <c r="N14" s="6">
        <v>1.8</v>
      </c>
      <c r="O14" s="6">
        <v>0</v>
      </c>
      <c r="P14" s="6">
        <v>0.31</v>
      </c>
      <c r="Q14" s="6">
        <v>4</v>
      </c>
    </row>
    <row r="15" spans="1:21" customFormat="1">
      <c r="A15" s="82">
        <v>45457.072916666664</v>
      </c>
      <c r="B15" s="6">
        <v>9.24</v>
      </c>
      <c r="C15" s="6">
        <v>4.04</v>
      </c>
      <c r="D15" s="6">
        <v>13.97</v>
      </c>
      <c r="E15" s="6">
        <v>11.28</v>
      </c>
      <c r="F15" s="6">
        <v>36.99</v>
      </c>
      <c r="G15" s="6">
        <v>36.39</v>
      </c>
      <c r="H15" s="6">
        <v>13.68</v>
      </c>
      <c r="I15" s="6">
        <v>8.42</v>
      </c>
      <c r="J15" s="6">
        <v>0.9</v>
      </c>
      <c r="K15" s="6">
        <v>256.07</v>
      </c>
      <c r="L15" s="6">
        <v>32.770000000000003</v>
      </c>
      <c r="M15" s="6">
        <v>59.35</v>
      </c>
      <c r="N15" s="6">
        <v>1.7</v>
      </c>
      <c r="O15" s="6">
        <v>0</v>
      </c>
      <c r="P15" s="6">
        <v>0.3</v>
      </c>
      <c r="Q15" s="6">
        <v>4</v>
      </c>
    </row>
    <row r="16" spans="1:21" customFormat="1">
      <c r="A16" s="82">
        <v>45457.083333333336</v>
      </c>
      <c r="B16" s="6">
        <v>9.23</v>
      </c>
      <c r="C16" s="6">
        <v>4.04</v>
      </c>
      <c r="D16" s="6">
        <v>13.96</v>
      </c>
      <c r="E16" s="6">
        <v>10.92</v>
      </c>
      <c r="F16" s="6">
        <v>45.26</v>
      </c>
      <c r="G16" s="6">
        <v>37.14</v>
      </c>
      <c r="H16" s="6">
        <v>15.46</v>
      </c>
      <c r="I16" s="6">
        <v>9.3000000000000007</v>
      </c>
      <c r="J16" s="6">
        <v>0.84</v>
      </c>
      <c r="K16" s="6">
        <v>265.98</v>
      </c>
      <c r="L16" s="6">
        <v>32.71</v>
      </c>
      <c r="M16" s="6">
        <v>58.77</v>
      </c>
      <c r="N16" s="6">
        <v>2</v>
      </c>
      <c r="O16" s="6">
        <v>0</v>
      </c>
      <c r="P16" s="6">
        <v>0.28000000000000003</v>
      </c>
      <c r="Q16" s="6">
        <v>4.0199999999999996</v>
      </c>
    </row>
    <row r="17" spans="1:17" customFormat="1">
      <c r="A17" s="82">
        <v>45457.09375</v>
      </c>
      <c r="B17" s="6">
        <v>9.24</v>
      </c>
      <c r="C17" s="6">
        <v>4.03</v>
      </c>
      <c r="D17" s="6">
        <v>13.97</v>
      </c>
      <c r="E17" s="6">
        <v>8.66</v>
      </c>
      <c r="F17" s="6">
        <v>23.57</v>
      </c>
      <c r="G17" s="6">
        <v>37.85</v>
      </c>
      <c r="H17" s="6">
        <v>17.25</v>
      </c>
      <c r="I17" s="6">
        <v>9.39</v>
      </c>
      <c r="J17" s="6">
        <v>1.18</v>
      </c>
      <c r="K17" s="6">
        <v>266.05</v>
      </c>
      <c r="L17" s="6">
        <v>32.729999999999997</v>
      </c>
      <c r="M17" s="6">
        <v>57.87</v>
      </c>
      <c r="N17" s="6">
        <v>1.8</v>
      </c>
      <c r="O17" s="6">
        <v>0</v>
      </c>
      <c r="P17" s="6">
        <v>0.28999999999999998</v>
      </c>
      <c r="Q17" s="6">
        <v>4.01</v>
      </c>
    </row>
    <row r="18" spans="1:17" customFormat="1">
      <c r="A18" s="82">
        <v>45457.104166666664</v>
      </c>
      <c r="B18" s="6">
        <v>9.2200000000000006</v>
      </c>
      <c r="C18" s="6">
        <v>4.0599999999999996</v>
      </c>
      <c r="D18" s="6">
        <v>13.96</v>
      </c>
      <c r="E18" s="6">
        <v>10.199999999999999</v>
      </c>
      <c r="F18" s="6">
        <v>13.31</v>
      </c>
      <c r="G18" s="6">
        <v>37.85</v>
      </c>
      <c r="H18" s="6">
        <v>17.25</v>
      </c>
      <c r="I18" s="6">
        <v>7.71</v>
      </c>
      <c r="J18" s="6">
        <v>1</v>
      </c>
      <c r="K18" s="6">
        <v>265.74</v>
      </c>
      <c r="L18" s="6">
        <v>32.64</v>
      </c>
      <c r="M18" s="6">
        <v>57.65</v>
      </c>
      <c r="N18" s="6">
        <v>2.1</v>
      </c>
      <c r="O18" s="6">
        <v>0</v>
      </c>
      <c r="P18" s="6">
        <v>0.34</v>
      </c>
      <c r="Q18" s="6">
        <v>4.0199999999999996</v>
      </c>
    </row>
    <row r="19" spans="1:17" customFormat="1">
      <c r="A19" s="82">
        <v>45457.114583333336</v>
      </c>
      <c r="B19" s="6">
        <v>9.17</v>
      </c>
      <c r="C19" s="6">
        <v>4.09</v>
      </c>
      <c r="D19" s="6">
        <v>13.94</v>
      </c>
      <c r="E19" s="6">
        <v>9.86</v>
      </c>
      <c r="F19" s="6">
        <v>14.2</v>
      </c>
      <c r="G19" s="6">
        <v>37.85</v>
      </c>
      <c r="H19" s="6">
        <v>17.25</v>
      </c>
      <c r="I19" s="6">
        <v>9.42</v>
      </c>
      <c r="J19" s="6">
        <v>1.25</v>
      </c>
      <c r="K19" s="6">
        <v>258.91000000000003</v>
      </c>
      <c r="L19" s="6">
        <v>32.479999999999997</v>
      </c>
      <c r="M19" s="6">
        <v>55.9</v>
      </c>
      <c r="N19" s="6">
        <v>2.1</v>
      </c>
      <c r="O19" s="6">
        <v>0</v>
      </c>
      <c r="P19" s="6">
        <v>0.35</v>
      </c>
      <c r="Q19" s="6">
        <v>3.99</v>
      </c>
    </row>
    <row r="20" spans="1:17" customFormat="1">
      <c r="A20" s="82">
        <v>45457.125</v>
      </c>
      <c r="B20" s="6">
        <v>9.17</v>
      </c>
      <c r="C20" s="6">
        <v>4.08</v>
      </c>
      <c r="D20" s="6">
        <v>13.93</v>
      </c>
      <c r="E20" s="6">
        <v>10.42</v>
      </c>
      <c r="F20" s="6">
        <v>13.98</v>
      </c>
      <c r="G20" s="6">
        <v>36.1</v>
      </c>
      <c r="H20" s="6">
        <v>13.94</v>
      </c>
      <c r="I20" s="6">
        <v>10.42</v>
      </c>
      <c r="J20" s="6">
        <v>0.98</v>
      </c>
      <c r="K20" s="6">
        <v>261.93</v>
      </c>
      <c r="L20" s="6">
        <v>32.229999999999997</v>
      </c>
      <c r="M20" s="6">
        <v>54.87</v>
      </c>
      <c r="N20" s="6">
        <v>2.2000000000000002</v>
      </c>
      <c r="O20" s="6">
        <v>0</v>
      </c>
      <c r="P20" s="6">
        <v>0.36</v>
      </c>
      <c r="Q20" s="6">
        <v>3.99</v>
      </c>
    </row>
    <row r="21" spans="1:17" customFormat="1">
      <c r="A21" s="82">
        <v>45457.135416666664</v>
      </c>
      <c r="B21" s="6">
        <v>9.17</v>
      </c>
      <c r="C21" s="6">
        <v>4.08</v>
      </c>
      <c r="D21" s="6">
        <v>13.93</v>
      </c>
      <c r="E21" s="6">
        <v>10.57</v>
      </c>
      <c r="F21" s="6">
        <v>13.34</v>
      </c>
      <c r="G21" s="6">
        <v>34.42</v>
      </c>
      <c r="H21" s="6">
        <v>12.36</v>
      </c>
      <c r="I21" s="6">
        <v>9.93</v>
      </c>
      <c r="J21" s="6">
        <v>0.81</v>
      </c>
      <c r="K21" s="6">
        <v>252.56</v>
      </c>
      <c r="L21" s="6">
        <v>32.049999999999997</v>
      </c>
      <c r="M21" s="6">
        <v>54.37</v>
      </c>
      <c r="N21" s="6">
        <v>2.2000000000000002</v>
      </c>
      <c r="O21" s="6">
        <v>0</v>
      </c>
      <c r="P21" s="6">
        <v>0.36</v>
      </c>
      <c r="Q21" s="6">
        <v>4</v>
      </c>
    </row>
    <row r="22" spans="1:17" customFormat="1">
      <c r="A22" s="82">
        <v>45457.145833333336</v>
      </c>
      <c r="B22" s="6">
        <v>9.16</v>
      </c>
      <c r="C22" s="6">
        <v>4.0599999999999996</v>
      </c>
      <c r="D22" s="6">
        <v>13.92</v>
      </c>
      <c r="E22" s="6">
        <v>10.130000000000001</v>
      </c>
      <c r="F22" s="6">
        <v>12.94</v>
      </c>
      <c r="G22" s="6">
        <v>34.42</v>
      </c>
      <c r="H22" s="6">
        <v>12.36</v>
      </c>
      <c r="I22" s="6">
        <v>9.57</v>
      </c>
      <c r="J22" s="6">
        <v>0.83</v>
      </c>
      <c r="K22" s="6">
        <v>254.59</v>
      </c>
      <c r="L22" s="6">
        <v>31.69</v>
      </c>
      <c r="M22" s="6">
        <v>55.02</v>
      </c>
      <c r="N22" s="6">
        <v>2.1</v>
      </c>
      <c r="O22" s="6">
        <v>0</v>
      </c>
      <c r="P22" s="6">
        <v>0.35</v>
      </c>
      <c r="Q22" s="6">
        <v>3.99</v>
      </c>
    </row>
    <row r="23" spans="1:17" customFormat="1">
      <c r="A23" s="82">
        <v>45457.15625</v>
      </c>
      <c r="B23" s="6">
        <v>9.15</v>
      </c>
      <c r="C23" s="6">
        <v>4.05</v>
      </c>
      <c r="D23" s="6">
        <v>13.9</v>
      </c>
      <c r="E23" s="6">
        <v>10.18</v>
      </c>
      <c r="F23" s="6">
        <v>11.71</v>
      </c>
      <c r="G23" s="6">
        <v>34.42</v>
      </c>
      <c r="H23" s="6">
        <v>12.36</v>
      </c>
      <c r="I23" s="6">
        <v>9.31</v>
      </c>
      <c r="J23" s="6">
        <v>0.86</v>
      </c>
      <c r="K23" s="6">
        <v>263.12</v>
      </c>
      <c r="L23" s="6">
        <v>31.61</v>
      </c>
      <c r="M23" s="6">
        <v>55.25</v>
      </c>
      <c r="N23" s="6">
        <v>2</v>
      </c>
      <c r="O23" s="6">
        <v>0</v>
      </c>
      <c r="P23" s="6">
        <v>0.35</v>
      </c>
      <c r="Q23" s="6">
        <v>4.01</v>
      </c>
    </row>
    <row r="24" spans="1:17" customFormat="1">
      <c r="A24" s="82">
        <v>45457.166666666664</v>
      </c>
      <c r="B24" s="6">
        <v>9.15</v>
      </c>
      <c r="C24" s="6">
        <v>4.0599999999999996</v>
      </c>
      <c r="D24" s="6">
        <v>13.91</v>
      </c>
      <c r="E24" s="6">
        <v>9.7899999999999991</v>
      </c>
      <c r="F24" s="6">
        <v>13.71</v>
      </c>
      <c r="G24" s="6">
        <v>31.38</v>
      </c>
      <c r="H24" s="6">
        <v>11.85</v>
      </c>
      <c r="I24" s="6">
        <v>8.9600000000000009</v>
      </c>
      <c r="J24" s="6">
        <v>0.73</v>
      </c>
      <c r="K24" s="6">
        <v>254.07</v>
      </c>
      <c r="L24" s="6">
        <v>31.5</v>
      </c>
      <c r="M24" s="6">
        <v>55.49</v>
      </c>
      <c r="N24" s="6">
        <v>2</v>
      </c>
      <c r="O24" s="6">
        <v>0</v>
      </c>
      <c r="P24" s="6">
        <v>0.34</v>
      </c>
      <c r="Q24" s="6">
        <v>4</v>
      </c>
    </row>
    <row r="25" spans="1:17" customFormat="1">
      <c r="A25" s="82">
        <v>45457.177083333336</v>
      </c>
      <c r="B25" s="6">
        <v>9.16</v>
      </c>
      <c r="C25" s="6">
        <v>4.07</v>
      </c>
      <c r="D25" s="6">
        <v>13.92</v>
      </c>
      <c r="E25" s="6">
        <v>10.09</v>
      </c>
      <c r="F25" s="6">
        <v>12.63</v>
      </c>
      <c r="G25" s="6">
        <v>28.46</v>
      </c>
      <c r="H25" s="6">
        <v>11.61</v>
      </c>
      <c r="I25" s="6">
        <v>8.73</v>
      </c>
      <c r="J25" s="6">
        <v>0.8</v>
      </c>
      <c r="K25" s="6">
        <v>255</v>
      </c>
      <c r="L25" s="6">
        <v>31.43</v>
      </c>
      <c r="M25" s="6">
        <v>55.29</v>
      </c>
      <c r="N25" s="6">
        <v>2</v>
      </c>
      <c r="O25" s="6">
        <v>0</v>
      </c>
      <c r="P25" s="6">
        <v>0.34</v>
      </c>
      <c r="Q25" s="6">
        <v>4.01</v>
      </c>
    </row>
    <row r="26" spans="1:17" customFormat="1">
      <c r="A26" s="82">
        <v>45457.1875</v>
      </c>
      <c r="B26" s="6">
        <v>9.17</v>
      </c>
      <c r="C26" s="6">
        <v>4.08</v>
      </c>
      <c r="D26" s="6">
        <v>13.93</v>
      </c>
      <c r="E26" s="6">
        <v>9.99</v>
      </c>
      <c r="F26" s="6">
        <v>9.5500000000000007</v>
      </c>
      <c r="G26" s="6">
        <v>28.46</v>
      </c>
      <c r="H26" s="6">
        <v>11.61</v>
      </c>
      <c r="I26" s="6">
        <v>8.26</v>
      </c>
      <c r="J26" s="6">
        <v>0.92</v>
      </c>
      <c r="K26" s="6">
        <v>259.16000000000003</v>
      </c>
      <c r="L26" s="6">
        <v>31.2</v>
      </c>
      <c r="M26" s="6">
        <v>55.08</v>
      </c>
      <c r="N26" s="6">
        <v>2</v>
      </c>
      <c r="O26" s="6">
        <v>0</v>
      </c>
      <c r="P26" s="6">
        <v>0.34</v>
      </c>
      <c r="Q26" s="6">
        <v>4.01</v>
      </c>
    </row>
    <row r="27" spans="1:17" customFormat="1">
      <c r="A27" s="82">
        <v>45457.197916666664</v>
      </c>
      <c r="B27" s="6">
        <v>9.18</v>
      </c>
      <c r="C27" s="6">
        <v>4.0599999999999996</v>
      </c>
      <c r="D27" s="6">
        <v>13.93</v>
      </c>
      <c r="E27" s="6">
        <v>9.7799999999999994</v>
      </c>
      <c r="F27" s="6">
        <v>9.52</v>
      </c>
      <c r="G27" s="6">
        <v>28.46</v>
      </c>
      <c r="H27" s="6">
        <v>11.61</v>
      </c>
      <c r="I27" s="6">
        <v>8.08</v>
      </c>
      <c r="J27" s="6">
        <v>0.85</v>
      </c>
      <c r="K27" s="6">
        <v>255.12</v>
      </c>
      <c r="L27" s="6">
        <v>31.12</v>
      </c>
      <c r="M27" s="6">
        <v>54.77</v>
      </c>
      <c r="N27" s="6">
        <v>2</v>
      </c>
      <c r="O27" s="6">
        <v>0</v>
      </c>
      <c r="P27" s="6">
        <v>0.33</v>
      </c>
      <c r="Q27" s="6">
        <v>4</v>
      </c>
    </row>
    <row r="28" spans="1:17" customFormat="1">
      <c r="A28" s="82">
        <v>45457.208333333336</v>
      </c>
      <c r="B28" s="6">
        <v>9.16</v>
      </c>
      <c r="C28" s="6">
        <v>4.07</v>
      </c>
      <c r="D28" s="6">
        <v>13.92</v>
      </c>
      <c r="E28" s="6">
        <v>10.16</v>
      </c>
      <c r="F28" s="6">
        <v>9.42</v>
      </c>
      <c r="G28" s="6">
        <v>28.02</v>
      </c>
      <c r="H28" s="6">
        <v>10.62</v>
      </c>
      <c r="I28" s="6">
        <v>8.2200000000000006</v>
      </c>
      <c r="J28" s="6">
        <v>1.19</v>
      </c>
      <c r="K28" s="6">
        <v>264.10000000000002</v>
      </c>
      <c r="L28" s="6">
        <v>30.95</v>
      </c>
      <c r="M28" s="6">
        <v>54.17</v>
      </c>
      <c r="N28" s="6">
        <v>2.1</v>
      </c>
      <c r="O28" s="6">
        <v>0</v>
      </c>
      <c r="P28" s="6">
        <v>0.33</v>
      </c>
      <c r="Q28" s="6">
        <v>4.01</v>
      </c>
    </row>
    <row r="29" spans="1:17" customFormat="1">
      <c r="A29" s="82">
        <v>45457.21875</v>
      </c>
      <c r="B29" s="6">
        <v>9.15</v>
      </c>
      <c r="C29" s="6">
        <v>4.08</v>
      </c>
      <c r="D29" s="6">
        <v>13.92</v>
      </c>
      <c r="E29" s="6">
        <v>10.1</v>
      </c>
      <c r="F29" s="6">
        <v>10.32</v>
      </c>
      <c r="G29" s="6">
        <v>27.6</v>
      </c>
      <c r="H29" s="6">
        <v>10.16</v>
      </c>
      <c r="I29" s="6">
        <v>7.99</v>
      </c>
      <c r="J29" s="6">
        <v>0.98</v>
      </c>
      <c r="K29" s="6">
        <v>264.94</v>
      </c>
      <c r="L29" s="6">
        <v>30.88</v>
      </c>
      <c r="M29" s="6">
        <v>53.84</v>
      </c>
      <c r="N29" s="6">
        <v>3.3</v>
      </c>
      <c r="O29" s="6">
        <v>0</v>
      </c>
      <c r="P29" s="6">
        <v>0.31</v>
      </c>
      <c r="Q29" s="6">
        <v>4</v>
      </c>
    </row>
    <row r="30" spans="1:17" customFormat="1">
      <c r="A30" s="82">
        <v>45457.229166666664</v>
      </c>
      <c r="B30" s="6">
        <v>9.16</v>
      </c>
      <c r="C30" s="6">
        <v>4.08</v>
      </c>
      <c r="D30" s="6">
        <v>13.93</v>
      </c>
      <c r="E30" s="6">
        <v>10.54</v>
      </c>
      <c r="F30" s="6">
        <v>8.36</v>
      </c>
      <c r="G30" s="6">
        <v>27.6</v>
      </c>
      <c r="H30" s="6">
        <v>10.16</v>
      </c>
      <c r="I30" s="6">
        <v>7.86</v>
      </c>
      <c r="J30" s="6">
        <v>1.02</v>
      </c>
      <c r="K30" s="6">
        <v>261.14999999999998</v>
      </c>
      <c r="L30" s="6">
        <v>30.82</v>
      </c>
      <c r="M30" s="6">
        <v>52.99</v>
      </c>
      <c r="N30" s="6">
        <v>7.6</v>
      </c>
      <c r="O30" s="6">
        <v>0</v>
      </c>
      <c r="P30" s="6">
        <v>0.31</v>
      </c>
      <c r="Q30" s="6">
        <v>3.98</v>
      </c>
    </row>
    <row r="31" spans="1:17" customFormat="1">
      <c r="A31" s="82">
        <v>45457.239583333336</v>
      </c>
      <c r="B31" s="6">
        <v>9.19</v>
      </c>
      <c r="C31" s="6">
        <v>4.03</v>
      </c>
      <c r="D31" s="6">
        <v>13.92</v>
      </c>
      <c r="E31" s="6">
        <v>10.45</v>
      </c>
      <c r="F31" s="6">
        <v>10.35</v>
      </c>
      <c r="G31" s="6">
        <v>27.6</v>
      </c>
      <c r="H31" s="6">
        <v>10.16</v>
      </c>
      <c r="I31" s="6">
        <v>7.43</v>
      </c>
      <c r="J31" s="6">
        <v>0.98</v>
      </c>
      <c r="K31" s="6">
        <v>261.51</v>
      </c>
      <c r="L31" s="6">
        <v>30.8</v>
      </c>
      <c r="M31" s="6">
        <v>53.24</v>
      </c>
      <c r="N31" s="6">
        <v>14.1</v>
      </c>
      <c r="O31" s="6">
        <v>0</v>
      </c>
      <c r="P31" s="6">
        <v>0.31</v>
      </c>
      <c r="Q31" s="6">
        <v>3.98</v>
      </c>
    </row>
    <row r="32" spans="1:17" customFormat="1">
      <c r="A32" s="82">
        <v>45457.25</v>
      </c>
      <c r="B32" s="6">
        <v>9.17</v>
      </c>
      <c r="C32" s="6">
        <v>4.07</v>
      </c>
      <c r="D32" s="6">
        <v>13.93</v>
      </c>
      <c r="E32" s="6">
        <v>10.28</v>
      </c>
      <c r="F32" s="6">
        <v>9.09</v>
      </c>
      <c r="G32" s="6">
        <v>25.29</v>
      </c>
      <c r="H32" s="6">
        <v>9.74</v>
      </c>
      <c r="I32" s="6">
        <v>7.29</v>
      </c>
      <c r="J32" s="6">
        <v>0.91</v>
      </c>
      <c r="K32" s="6">
        <v>263.25</v>
      </c>
      <c r="L32" s="6">
        <v>30.82</v>
      </c>
      <c r="M32" s="6">
        <v>53.54</v>
      </c>
      <c r="N32" s="6">
        <v>27.8</v>
      </c>
      <c r="O32" s="6">
        <v>0</v>
      </c>
      <c r="P32" s="6">
        <v>0.32</v>
      </c>
      <c r="Q32" s="6">
        <v>3.99</v>
      </c>
    </row>
    <row r="33" spans="1:17" customFormat="1">
      <c r="A33" s="82">
        <v>45457.260416666664</v>
      </c>
      <c r="B33" s="6">
        <v>9.17</v>
      </c>
      <c r="C33" s="6">
        <v>4.09</v>
      </c>
      <c r="D33" s="6">
        <v>13.94</v>
      </c>
      <c r="E33" s="6">
        <v>10.81</v>
      </c>
      <c r="F33" s="6">
        <v>9.3800000000000008</v>
      </c>
      <c r="G33" s="6">
        <v>23.09</v>
      </c>
      <c r="H33" s="6">
        <v>9.5399999999999991</v>
      </c>
      <c r="I33" s="6">
        <v>6.99</v>
      </c>
      <c r="J33" s="6">
        <v>0.8</v>
      </c>
      <c r="K33" s="6">
        <v>262.39</v>
      </c>
      <c r="L33" s="6">
        <v>30.79</v>
      </c>
      <c r="M33" s="6">
        <v>54.47</v>
      </c>
      <c r="N33" s="6">
        <v>36.700000000000003</v>
      </c>
      <c r="O33" s="6">
        <v>0</v>
      </c>
      <c r="P33" s="6">
        <v>0.31</v>
      </c>
      <c r="Q33" s="6">
        <v>4</v>
      </c>
    </row>
    <row r="34" spans="1:17" customFormat="1">
      <c r="A34" s="82">
        <v>45457.270833333336</v>
      </c>
      <c r="B34" s="6">
        <v>9.16</v>
      </c>
      <c r="C34" s="6">
        <v>4.07</v>
      </c>
      <c r="D34" s="6">
        <v>13.93</v>
      </c>
      <c r="E34" s="6">
        <v>10.7</v>
      </c>
      <c r="F34" s="6">
        <v>10.63</v>
      </c>
      <c r="G34" s="6">
        <v>23.09</v>
      </c>
      <c r="H34" s="6">
        <v>9.5399999999999991</v>
      </c>
      <c r="I34" s="6">
        <v>7.02</v>
      </c>
      <c r="J34" s="6">
        <v>0.56999999999999995</v>
      </c>
      <c r="K34" s="6">
        <v>251.42</v>
      </c>
      <c r="L34" s="6">
        <v>30.94</v>
      </c>
      <c r="M34" s="6">
        <v>55.06</v>
      </c>
      <c r="N34" s="6">
        <v>44.1</v>
      </c>
      <c r="O34" s="6">
        <v>0</v>
      </c>
      <c r="P34" s="6">
        <v>0.31</v>
      </c>
      <c r="Q34" s="6">
        <v>4.01</v>
      </c>
    </row>
    <row r="35" spans="1:17" customFormat="1">
      <c r="A35" s="82">
        <v>45457.28125</v>
      </c>
      <c r="B35" s="6">
        <v>9.18</v>
      </c>
      <c r="C35" s="6">
        <v>4.07</v>
      </c>
      <c r="D35" s="6">
        <v>13.93</v>
      </c>
      <c r="E35" s="6">
        <v>10.74</v>
      </c>
      <c r="F35" s="6">
        <v>10.52</v>
      </c>
      <c r="G35" s="6">
        <v>23.09</v>
      </c>
      <c r="H35" s="6">
        <v>9.5399999999999991</v>
      </c>
      <c r="I35" s="6">
        <v>6.84</v>
      </c>
      <c r="J35" s="6">
        <v>0.71</v>
      </c>
      <c r="K35" s="6">
        <v>262.14</v>
      </c>
      <c r="L35" s="6">
        <v>30.92</v>
      </c>
      <c r="M35" s="6">
        <v>55.8</v>
      </c>
      <c r="N35" s="6">
        <v>59.2</v>
      </c>
      <c r="O35" s="6">
        <v>0</v>
      </c>
      <c r="P35" s="6">
        <v>0.31</v>
      </c>
      <c r="Q35" s="6">
        <v>4.01</v>
      </c>
    </row>
    <row r="36" spans="1:17" customFormat="1">
      <c r="A36" s="82">
        <v>45457.291666666664</v>
      </c>
      <c r="B36" s="6">
        <v>9.18</v>
      </c>
      <c r="C36" s="6">
        <v>4.07</v>
      </c>
      <c r="D36" s="6">
        <v>13.94</v>
      </c>
      <c r="E36" s="6">
        <v>10.71</v>
      </c>
      <c r="F36" s="6">
        <v>8.6300000000000008</v>
      </c>
      <c r="G36" s="6">
        <v>23.35</v>
      </c>
      <c r="H36" s="6">
        <v>11</v>
      </c>
      <c r="I36" s="6">
        <v>6.54</v>
      </c>
      <c r="J36" s="6">
        <v>1.07</v>
      </c>
      <c r="K36" s="6">
        <v>260.05</v>
      </c>
      <c r="L36" s="6">
        <v>30.95</v>
      </c>
      <c r="M36" s="6">
        <v>56.24</v>
      </c>
      <c r="N36" s="6">
        <v>68.099999999999994</v>
      </c>
      <c r="O36" s="6">
        <v>0</v>
      </c>
      <c r="P36" s="6">
        <v>0.32</v>
      </c>
      <c r="Q36" s="6">
        <v>4</v>
      </c>
    </row>
    <row r="37" spans="1:17" customFormat="1">
      <c r="A37" s="82">
        <v>45457.302083333336</v>
      </c>
      <c r="B37" s="6">
        <v>9.19</v>
      </c>
      <c r="C37" s="6">
        <v>4.0599999999999996</v>
      </c>
      <c r="D37" s="6">
        <v>13.94</v>
      </c>
      <c r="E37" s="6">
        <v>11.25</v>
      </c>
      <c r="F37" s="6">
        <v>9.17</v>
      </c>
      <c r="G37" s="6">
        <v>23.61</v>
      </c>
      <c r="H37" s="6">
        <v>11.69</v>
      </c>
      <c r="I37" s="6">
        <v>6.39</v>
      </c>
      <c r="J37" s="6">
        <v>1.22</v>
      </c>
      <c r="K37" s="6">
        <v>261.58999999999997</v>
      </c>
      <c r="L37" s="6">
        <v>31.06</v>
      </c>
      <c r="M37" s="6">
        <v>56.42</v>
      </c>
      <c r="N37" s="6">
        <v>91.4</v>
      </c>
      <c r="O37" s="6">
        <v>0</v>
      </c>
      <c r="P37" s="6">
        <v>0.31</v>
      </c>
      <c r="Q37" s="6">
        <v>3.99</v>
      </c>
    </row>
    <row r="38" spans="1:17" customFormat="1">
      <c r="A38" s="82">
        <v>45457.3125</v>
      </c>
      <c r="B38" s="6">
        <v>9.2200000000000006</v>
      </c>
      <c r="C38" s="6">
        <v>4.04</v>
      </c>
      <c r="D38" s="6">
        <v>13.96</v>
      </c>
      <c r="E38" s="6">
        <v>11.55</v>
      </c>
      <c r="F38" s="6">
        <v>10.5</v>
      </c>
      <c r="G38" s="6">
        <v>23.61</v>
      </c>
      <c r="H38" s="6">
        <v>11.69</v>
      </c>
      <c r="I38" s="6">
        <v>6.59</v>
      </c>
      <c r="J38" s="6">
        <v>1.0900000000000001</v>
      </c>
      <c r="K38" s="6">
        <v>265.88</v>
      </c>
      <c r="L38" s="6">
        <v>31.3</v>
      </c>
      <c r="M38" s="6">
        <v>56.38</v>
      </c>
      <c r="N38" s="6">
        <v>130</v>
      </c>
      <c r="O38" s="6">
        <v>0</v>
      </c>
      <c r="P38" s="6">
        <v>0.3</v>
      </c>
      <c r="Q38" s="6">
        <v>3.99</v>
      </c>
    </row>
    <row r="39" spans="1:17" customFormat="1">
      <c r="A39" s="82">
        <v>45457.322916666664</v>
      </c>
      <c r="B39" s="6">
        <v>9.2100000000000009</v>
      </c>
      <c r="C39" s="6">
        <v>4.07</v>
      </c>
      <c r="D39" s="6">
        <v>13.96</v>
      </c>
      <c r="E39" s="6">
        <v>12.85</v>
      </c>
      <c r="F39" s="6">
        <v>14.99</v>
      </c>
      <c r="G39" s="6">
        <v>23.61</v>
      </c>
      <c r="H39" s="6">
        <v>11.69</v>
      </c>
      <c r="I39" s="6">
        <v>6.27</v>
      </c>
      <c r="J39" s="6">
        <v>1.1000000000000001</v>
      </c>
      <c r="K39" s="6">
        <v>268.48</v>
      </c>
      <c r="L39" s="6">
        <v>31.64</v>
      </c>
      <c r="M39" s="6">
        <v>56.01</v>
      </c>
      <c r="N39" s="6">
        <v>148.1</v>
      </c>
      <c r="O39" s="6">
        <v>0</v>
      </c>
      <c r="P39" s="6">
        <v>0.28999999999999998</v>
      </c>
      <c r="Q39" s="6">
        <v>3.99</v>
      </c>
    </row>
    <row r="40" spans="1:17" customFormat="1">
      <c r="A40" s="82">
        <v>45457.333333333336</v>
      </c>
      <c r="B40" s="6">
        <v>9.23</v>
      </c>
      <c r="C40" s="6">
        <v>4.0599999999999996</v>
      </c>
      <c r="D40" s="6">
        <v>13.97</v>
      </c>
      <c r="E40" s="6">
        <v>12.62</v>
      </c>
      <c r="F40" s="6">
        <v>14.19</v>
      </c>
      <c r="G40" s="6">
        <v>26.46</v>
      </c>
      <c r="H40" s="6">
        <v>12.2</v>
      </c>
      <c r="I40" s="6">
        <v>6.13</v>
      </c>
      <c r="J40" s="6">
        <v>1.1299999999999999</v>
      </c>
      <c r="K40" s="6">
        <v>262.24</v>
      </c>
      <c r="L40" s="6">
        <v>31.72</v>
      </c>
      <c r="M40" s="6">
        <v>55.78</v>
      </c>
      <c r="N40" s="6">
        <v>149.69999999999999</v>
      </c>
      <c r="O40" s="6">
        <v>0</v>
      </c>
      <c r="P40" s="6">
        <v>0.28999999999999998</v>
      </c>
      <c r="Q40" s="6">
        <v>4</v>
      </c>
    </row>
    <row r="41" spans="1:17" customFormat="1">
      <c r="A41" s="82">
        <v>45457.34375</v>
      </c>
      <c r="B41" s="6">
        <v>9.24</v>
      </c>
      <c r="C41" s="6">
        <v>4.0599999999999996</v>
      </c>
      <c r="D41" s="6">
        <v>13.98</v>
      </c>
      <c r="E41" s="6">
        <v>14.61</v>
      </c>
      <c r="F41" s="6">
        <v>17.27</v>
      </c>
      <c r="G41" s="6">
        <v>29.18</v>
      </c>
      <c r="H41" s="6">
        <v>12.71</v>
      </c>
      <c r="I41" s="6">
        <v>5.9</v>
      </c>
      <c r="J41" s="6">
        <v>1.01</v>
      </c>
      <c r="K41" s="6">
        <v>268.56</v>
      </c>
      <c r="L41" s="6">
        <v>31.75</v>
      </c>
      <c r="M41" s="6">
        <v>55.86</v>
      </c>
      <c r="N41" s="6">
        <v>159.80000000000001</v>
      </c>
      <c r="O41" s="6">
        <v>0</v>
      </c>
      <c r="P41" s="6">
        <v>0.28999999999999998</v>
      </c>
      <c r="Q41" s="6">
        <v>4</v>
      </c>
    </row>
    <row r="42" spans="1:17" customFormat="1">
      <c r="A42" s="82">
        <v>45457.354166666664</v>
      </c>
      <c r="B42" s="6">
        <v>9.2100000000000009</v>
      </c>
      <c r="C42" s="6">
        <v>4.07</v>
      </c>
      <c r="D42" s="6">
        <v>13.96</v>
      </c>
      <c r="E42" s="6">
        <v>16.2</v>
      </c>
      <c r="F42" s="6">
        <v>18.97</v>
      </c>
      <c r="G42" s="6">
        <v>29.18</v>
      </c>
      <c r="H42" s="6">
        <v>12.71</v>
      </c>
      <c r="I42" s="6">
        <v>5.85</v>
      </c>
      <c r="J42" s="6">
        <v>0.79</v>
      </c>
      <c r="K42" s="6">
        <v>266.70999999999998</v>
      </c>
      <c r="L42" s="6">
        <v>32.06</v>
      </c>
      <c r="M42" s="6">
        <v>55.44</v>
      </c>
      <c r="N42" s="6">
        <v>168.3</v>
      </c>
      <c r="O42" s="6">
        <v>0</v>
      </c>
      <c r="P42" s="6">
        <v>0.3</v>
      </c>
      <c r="Q42" s="6">
        <v>3.99</v>
      </c>
    </row>
    <row r="43" spans="1:17" customFormat="1">
      <c r="A43" s="82">
        <v>45457.364583333336</v>
      </c>
      <c r="B43" s="6">
        <v>9.17</v>
      </c>
      <c r="C43" s="6">
        <v>4.09</v>
      </c>
      <c r="D43" s="6">
        <v>13.94</v>
      </c>
      <c r="E43" s="6">
        <v>16.350000000000001</v>
      </c>
      <c r="F43" s="6">
        <v>19.649999999999999</v>
      </c>
      <c r="G43" s="6">
        <v>29.18</v>
      </c>
      <c r="H43" s="6">
        <v>12.71</v>
      </c>
      <c r="I43" s="6">
        <v>5.97</v>
      </c>
      <c r="J43" s="6">
        <v>0.87</v>
      </c>
      <c r="K43" s="6">
        <v>277.2</v>
      </c>
      <c r="L43" s="6">
        <v>32.21</v>
      </c>
      <c r="M43" s="6">
        <v>54.95</v>
      </c>
      <c r="N43" s="6">
        <v>152.19999999999999</v>
      </c>
      <c r="O43" s="6">
        <v>0</v>
      </c>
      <c r="P43" s="6">
        <v>0.32</v>
      </c>
      <c r="Q43" s="6">
        <v>4</v>
      </c>
    </row>
    <row r="44" spans="1:17" customFormat="1">
      <c r="A44" s="82">
        <v>45457.375</v>
      </c>
      <c r="B44" s="6">
        <v>9.16</v>
      </c>
      <c r="C44" s="6">
        <v>4.09</v>
      </c>
      <c r="D44" s="6">
        <v>13.93</v>
      </c>
      <c r="E44" s="6">
        <v>22.01</v>
      </c>
      <c r="F44" s="6">
        <v>20.09</v>
      </c>
      <c r="G44" s="6">
        <v>30.44</v>
      </c>
      <c r="H44" s="6">
        <v>10.5</v>
      </c>
      <c r="I44" s="6">
        <v>6.05</v>
      </c>
      <c r="J44" s="6">
        <v>0.93</v>
      </c>
      <c r="K44" s="6">
        <v>286.87</v>
      </c>
      <c r="L44" s="6">
        <v>32.5</v>
      </c>
      <c r="M44" s="6">
        <v>54.06</v>
      </c>
      <c r="N44" s="6">
        <v>161.30000000000001</v>
      </c>
      <c r="O44" s="6">
        <v>0</v>
      </c>
      <c r="P44" s="6">
        <v>0.41</v>
      </c>
      <c r="Q44" s="6">
        <v>4</v>
      </c>
    </row>
    <row r="45" spans="1:17" customFormat="1">
      <c r="A45" s="82">
        <v>45457.385416666664</v>
      </c>
      <c r="B45" s="6">
        <v>9.16</v>
      </c>
      <c r="C45" s="6">
        <v>4.07</v>
      </c>
      <c r="D45" s="6">
        <v>13.92</v>
      </c>
      <c r="E45" s="6">
        <v>23.67</v>
      </c>
      <c r="F45" s="6">
        <v>23.98</v>
      </c>
      <c r="G45" s="6">
        <v>31.63</v>
      </c>
      <c r="H45" s="6">
        <v>9.48</v>
      </c>
      <c r="I45" s="6">
        <v>6.1</v>
      </c>
      <c r="J45" s="6">
        <v>0.61</v>
      </c>
      <c r="K45" s="6">
        <v>254.2</v>
      </c>
      <c r="L45" s="6">
        <v>32.729999999999997</v>
      </c>
      <c r="M45" s="6">
        <v>54.24</v>
      </c>
      <c r="N45" s="6">
        <v>158.1</v>
      </c>
      <c r="O45" s="6">
        <v>0</v>
      </c>
      <c r="P45" s="6">
        <v>0.42</v>
      </c>
      <c r="Q45" s="6">
        <v>3.98</v>
      </c>
    </row>
    <row r="46" spans="1:17" customFormat="1">
      <c r="A46" s="82">
        <v>45457.395833333336</v>
      </c>
      <c r="B46" s="6">
        <v>9.15</v>
      </c>
      <c r="C46" s="6">
        <v>4.05</v>
      </c>
      <c r="D46" s="6">
        <v>13.9</v>
      </c>
      <c r="E46" s="6">
        <v>23.85</v>
      </c>
      <c r="F46" s="6">
        <v>28.05</v>
      </c>
      <c r="G46" s="6">
        <v>31.63</v>
      </c>
      <c r="H46" s="6">
        <v>9.48</v>
      </c>
      <c r="I46" s="6">
        <v>6.42</v>
      </c>
      <c r="J46" s="6">
        <v>0.59</v>
      </c>
      <c r="K46" s="6">
        <v>258.39</v>
      </c>
      <c r="L46" s="6">
        <v>32.78</v>
      </c>
      <c r="M46" s="6">
        <v>54.04</v>
      </c>
      <c r="N46" s="6">
        <v>132.19999999999999</v>
      </c>
      <c r="O46" s="6">
        <v>0</v>
      </c>
      <c r="P46" s="6">
        <v>0.5</v>
      </c>
      <c r="Q46" s="6">
        <v>3.98</v>
      </c>
    </row>
    <row r="47" spans="1:17" customFormat="1">
      <c r="A47" s="82">
        <v>45457.40625</v>
      </c>
      <c r="B47" s="6">
        <v>9.1199999999999992</v>
      </c>
      <c r="C47" s="6">
        <v>4.08</v>
      </c>
      <c r="D47" s="6">
        <v>13.89</v>
      </c>
      <c r="E47" s="6">
        <v>22.52</v>
      </c>
      <c r="F47" s="6">
        <v>31.66</v>
      </c>
      <c r="G47" s="6">
        <v>31.63</v>
      </c>
      <c r="H47" s="6">
        <v>9.48</v>
      </c>
      <c r="I47" s="6">
        <v>6.69</v>
      </c>
      <c r="J47" s="6">
        <v>0.56999999999999995</v>
      </c>
      <c r="K47" s="6">
        <v>259.14999999999998</v>
      </c>
      <c r="L47" s="6">
        <v>32.86</v>
      </c>
      <c r="M47" s="6">
        <v>53.84</v>
      </c>
      <c r="N47" s="6">
        <v>134.19999999999999</v>
      </c>
      <c r="O47" s="6">
        <v>0</v>
      </c>
      <c r="P47" s="6">
        <v>0.5</v>
      </c>
      <c r="Q47" s="6">
        <v>3.98</v>
      </c>
    </row>
    <row r="48" spans="1:17" customFormat="1">
      <c r="A48" s="82">
        <v>45457.416666666664</v>
      </c>
      <c r="B48" s="6">
        <v>9.1300000000000008</v>
      </c>
      <c r="C48" s="6">
        <v>4.05</v>
      </c>
      <c r="D48" s="6">
        <v>13.89</v>
      </c>
      <c r="E48" s="6">
        <v>20.99</v>
      </c>
      <c r="F48" s="6">
        <v>45.25</v>
      </c>
      <c r="G48" s="6">
        <v>35.06</v>
      </c>
      <c r="H48" s="6">
        <v>12.01</v>
      </c>
      <c r="I48" s="6">
        <v>6.93</v>
      </c>
      <c r="J48" s="6">
        <v>0.5</v>
      </c>
      <c r="K48" s="6">
        <v>305.63</v>
      </c>
      <c r="L48" s="6">
        <v>33.28</v>
      </c>
      <c r="M48" s="6">
        <v>52.27</v>
      </c>
      <c r="N48" s="6">
        <v>167.5</v>
      </c>
      <c r="O48" s="6">
        <v>0</v>
      </c>
      <c r="P48" s="6">
        <v>0.51</v>
      </c>
      <c r="Q48" s="6">
        <v>3.98</v>
      </c>
    </row>
    <row r="49" spans="1:17" customFormat="1">
      <c r="A49" s="82">
        <v>45457.427083333336</v>
      </c>
      <c r="B49" s="6">
        <v>9.14</v>
      </c>
      <c r="C49" s="6">
        <v>4.07</v>
      </c>
      <c r="D49" s="6">
        <v>13.91</v>
      </c>
      <c r="E49" s="6">
        <v>13.02</v>
      </c>
      <c r="F49" s="6">
        <v>38.96</v>
      </c>
      <c r="G49" s="6">
        <v>38.33</v>
      </c>
      <c r="H49" s="6">
        <v>13.19</v>
      </c>
      <c r="I49" s="6">
        <v>6.81</v>
      </c>
      <c r="J49" s="6">
        <v>0.53</v>
      </c>
      <c r="K49" s="6">
        <v>264.36</v>
      </c>
      <c r="L49" s="6">
        <v>34.32</v>
      </c>
      <c r="M49" s="6">
        <v>50.45</v>
      </c>
      <c r="N49" s="6">
        <v>233.4</v>
      </c>
      <c r="O49" s="6">
        <v>0</v>
      </c>
      <c r="P49" s="6">
        <v>0.41</v>
      </c>
      <c r="Q49" s="6">
        <v>3.99</v>
      </c>
    </row>
    <row r="50" spans="1:17" customFormat="1">
      <c r="A50" s="82">
        <v>45457.4375</v>
      </c>
      <c r="B50" s="6">
        <v>9.15</v>
      </c>
      <c r="C50" s="6">
        <v>4.05</v>
      </c>
      <c r="D50" s="6">
        <v>13.9</v>
      </c>
      <c r="E50" s="6">
        <v>15.59</v>
      </c>
      <c r="F50" s="6">
        <v>34.54</v>
      </c>
      <c r="G50" s="6">
        <v>38.33</v>
      </c>
      <c r="H50" s="6">
        <v>13.19</v>
      </c>
      <c r="I50" s="6">
        <v>6.45</v>
      </c>
      <c r="J50" s="6">
        <v>1.1299999999999999</v>
      </c>
      <c r="K50" s="6">
        <v>293.8</v>
      </c>
      <c r="L50" s="6">
        <v>35.33</v>
      </c>
      <c r="M50" s="6">
        <v>46.02</v>
      </c>
      <c r="N50" s="6">
        <v>266.89999999999998</v>
      </c>
      <c r="O50" s="6">
        <v>0</v>
      </c>
      <c r="P50" s="6">
        <v>0.4</v>
      </c>
      <c r="Q50" s="6">
        <v>3.97</v>
      </c>
    </row>
    <row r="51" spans="1:17" customFormat="1">
      <c r="A51" s="82">
        <v>45457.447916666664</v>
      </c>
      <c r="B51" s="6">
        <v>9.14</v>
      </c>
      <c r="C51" s="6">
        <v>4.0599999999999996</v>
      </c>
      <c r="D51" s="6">
        <v>13.9</v>
      </c>
      <c r="E51" s="6">
        <v>15.19</v>
      </c>
      <c r="F51" s="6">
        <v>44.85</v>
      </c>
      <c r="G51" s="6">
        <v>38.33</v>
      </c>
      <c r="H51" s="6">
        <v>13.19</v>
      </c>
      <c r="I51" s="6">
        <v>6.44</v>
      </c>
      <c r="J51" s="6">
        <v>0.75</v>
      </c>
      <c r="K51" s="6">
        <v>289.98</v>
      </c>
      <c r="L51" s="6">
        <v>35.9</v>
      </c>
      <c r="M51" s="6">
        <v>44.76</v>
      </c>
      <c r="N51" s="6">
        <v>320.10000000000002</v>
      </c>
      <c r="O51" s="6">
        <v>0</v>
      </c>
      <c r="P51" s="6">
        <v>0.4</v>
      </c>
      <c r="Q51" s="6">
        <v>3.98</v>
      </c>
    </row>
    <row r="52" spans="1:17" customFormat="1">
      <c r="A52" s="82">
        <v>45457.458333333336</v>
      </c>
      <c r="B52" s="6">
        <v>9.14</v>
      </c>
      <c r="C52" s="6">
        <v>4.0599999999999996</v>
      </c>
      <c r="D52" s="6">
        <v>13.9</v>
      </c>
      <c r="E52" s="6">
        <v>14.02</v>
      </c>
      <c r="F52" s="6">
        <v>35.26</v>
      </c>
      <c r="G52" s="6">
        <v>41.76</v>
      </c>
      <c r="H52" s="6">
        <v>13.43</v>
      </c>
      <c r="I52" s="6">
        <v>6.27</v>
      </c>
      <c r="J52" s="6">
        <v>1.1499999999999999</v>
      </c>
      <c r="K52" s="6">
        <v>292.14</v>
      </c>
      <c r="L52" s="6">
        <v>36.15</v>
      </c>
      <c r="M52" s="6">
        <v>42.74</v>
      </c>
      <c r="N52" s="6">
        <v>336.3</v>
      </c>
      <c r="O52" s="6">
        <v>0</v>
      </c>
      <c r="P52" s="6">
        <v>0.39</v>
      </c>
      <c r="Q52" s="6">
        <v>3.98</v>
      </c>
    </row>
    <row r="53" spans="1:17" customFormat="1">
      <c r="A53" s="82">
        <v>45457.46875</v>
      </c>
      <c r="B53" s="6">
        <v>9.1300000000000008</v>
      </c>
      <c r="C53" s="6">
        <v>4.09</v>
      </c>
      <c r="D53" s="6">
        <v>13.91</v>
      </c>
      <c r="E53" s="6">
        <v>12.55</v>
      </c>
      <c r="F53" s="6">
        <v>36.049999999999997</v>
      </c>
      <c r="G53" s="6">
        <v>45.03</v>
      </c>
      <c r="H53" s="6">
        <v>13.54</v>
      </c>
      <c r="I53" s="6">
        <v>5.94</v>
      </c>
      <c r="J53" s="6">
        <v>1.43</v>
      </c>
      <c r="K53" s="6">
        <v>315.79000000000002</v>
      </c>
      <c r="L53" s="6">
        <v>36.44</v>
      </c>
      <c r="M53" s="6">
        <v>41.3</v>
      </c>
      <c r="N53" s="6">
        <v>344.1</v>
      </c>
      <c r="O53" s="6">
        <v>0</v>
      </c>
      <c r="P53" s="6">
        <v>0.41</v>
      </c>
      <c r="Q53" s="6">
        <v>3.98</v>
      </c>
    </row>
    <row r="54" spans="1:17" customFormat="1">
      <c r="A54" s="82">
        <v>45457.479166666664</v>
      </c>
      <c r="B54" s="6">
        <v>9.14</v>
      </c>
      <c r="C54" s="6">
        <v>4.07</v>
      </c>
      <c r="D54" s="6">
        <v>13.9</v>
      </c>
      <c r="E54" s="6">
        <v>12.71</v>
      </c>
      <c r="F54" s="6">
        <v>39.71</v>
      </c>
      <c r="G54" s="6">
        <v>45.03</v>
      </c>
      <c r="H54" s="6">
        <v>13.54</v>
      </c>
      <c r="I54" s="6">
        <v>5.96</v>
      </c>
      <c r="J54" s="6">
        <v>1.07</v>
      </c>
      <c r="K54" s="6">
        <v>297.93</v>
      </c>
      <c r="L54" s="6">
        <v>36.68</v>
      </c>
      <c r="M54" s="6">
        <v>40.24</v>
      </c>
      <c r="N54" s="6">
        <v>322.8</v>
      </c>
      <c r="O54" s="6">
        <v>0</v>
      </c>
      <c r="P54" s="6">
        <v>0.41</v>
      </c>
      <c r="Q54" s="6">
        <v>3.98</v>
      </c>
    </row>
    <row r="55" spans="1:17" customFormat="1">
      <c r="A55" s="82">
        <v>45457.489583333336</v>
      </c>
      <c r="B55" s="6">
        <v>9.1300000000000008</v>
      </c>
      <c r="C55" s="6">
        <v>4.05</v>
      </c>
      <c r="D55" s="6">
        <v>13.89</v>
      </c>
      <c r="E55" s="6">
        <v>11.64</v>
      </c>
      <c r="F55" s="6">
        <v>30.27</v>
      </c>
      <c r="G55" s="6">
        <v>45.03</v>
      </c>
      <c r="H55" s="6">
        <v>13.54</v>
      </c>
      <c r="I55" s="6">
        <v>5.75</v>
      </c>
      <c r="J55" s="6">
        <v>0.81</v>
      </c>
      <c r="K55" s="6">
        <v>286.82</v>
      </c>
      <c r="L55" s="6">
        <v>36.69</v>
      </c>
      <c r="M55" s="6">
        <v>39.979999999999997</v>
      </c>
      <c r="N55" s="6">
        <v>290.2</v>
      </c>
      <c r="O55" s="6">
        <v>0</v>
      </c>
      <c r="P55" s="6">
        <v>0.42</v>
      </c>
      <c r="Q55" s="6">
        <v>3.97</v>
      </c>
    </row>
    <row r="56" spans="1:17" customFormat="1">
      <c r="A56" s="82">
        <v>45457.5</v>
      </c>
      <c r="B56" s="6">
        <v>9.1300000000000008</v>
      </c>
      <c r="C56" s="6">
        <v>4.08</v>
      </c>
      <c r="D56" s="6">
        <v>13.9</v>
      </c>
      <c r="E56" s="6">
        <v>11.36</v>
      </c>
      <c r="F56" s="6">
        <v>34.57</v>
      </c>
      <c r="G56" s="6">
        <v>45.7</v>
      </c>
      <c r="H56" s="6">
        <v>14.2</v>
      </c>
      <c r="I56" s="6">
        <v>5.49</v>
      </c>
      <c r="J56" s="6">
        <v>0.85</v>
      </c>
      <c r="K56" s="6">
        <v>291.64999999999998</v>
      </c>
      <c r="L56" s="6">
        <v>37.07</v>
      </c>
      <c r="M56" s="6">
        <v>38.43</v>
      </c>
      <c r="N56" s="6">
        <v>305.60000000000002</v>
      </c>
      <c r="O56" s="6">
        <v>0</v>
      </c>
      <c r="P56" s="6">
        <v>0.42</v>
      </c>
      <c r="Q56" s="6">
        <v>3.99</v>
      </c>
    </row>
    <row r="57" spans="1:17" customFormat="1">
      <c r="A57" s="82">
        <v>45457.510416666664</v>
      </c>
      <c r="B57" s="6">
        <v>9.14</v>
      </c>
      <c r="C57" s="6">
        <v>4.07</v>
      </c>
      <c r="D57" s="6">
        <v>13.91</v>
      </c>
      <c r="E57" s="6">
        <v>10.94</v>
      </c>
      <c r="F57" s="6">
        <v>40.549999999999997</v>
      </c>
      <c r="G57" s="6">
        <v>46.33</v>
      </c>
      <c r="H57" s="6">
        <v>14.51</v>
      </c>
      <c r="I57" s="6">
        <v>5.74</v>
      </c>
      <c r="J57" s="6">
        <v>0.43</v>
      </c>
      <c r="K57" s="6">
        <v>304.27999999999997</v>
      </c>
      <c r="L57" s="6">
        <v>37.54</v>
      </c>
      <c r="M57" s="6">
        <v>38.44</v>
      </c>
      <c r="N57" s="6">
        <v>299.5</v>
      </c>
      <c r="O57" s="6">
        <v>0</v>
      </c>
      <c r="P57" s="6">
        <v>0.42</v>
      </c>
      <c r="Q57" s="6">
        <v>4</v>
      </c>
    </row>
    <row r="58" spans="1:17" customFormat="1">
      <c r="A58" s="82">
        <v>45457.520833333336</v>
      </c>
      <c r="B58" s="6">
        <v>9.14</v>
      </c>
      <c r="C58" s="6">
        <v>4.09</v>
      </c>
      <c r="D58" s="6">
        <v>13.91</v>
      </c>
      <c r="E58" s="6">
        <v>10.99</v>
      </c>
      <c r="F58" s="6">
        <v>43.66</v>
      </c>
      <c r="G58" s="6">
        <v>46.33</v>
      </c>
      <c r="H58" s="6">
        <v>14.51</v>
      </c>
      <c r="I58" s="6">
        <v>5.42</v>
      </c>
      <c r="J58" s="6">
        <v>0.25</v>
      </c>
      <c r="K58" s="6">
        <v>275.87</v>
      </c>
      <c r="L58" s="6">
        <v>37.93</v>
      </c>
      <c r="M58" s="6">
        <v>37.81</v>
      </c>
      <c r="N58" s="6">
        <v>299.7</v>
      </c>
      <c r="O58" s="6">
        <v>0</v>
      </c>
      <c r="P58" s="6">
        <v>0.38</v>
      </c>
      <c r="Q58" s="6">
        <v>4.01</v>
      </c>
    </row>
    <row r="59" spans="1:17" customFormat="1">
      <c r="A59" s="82">
        <v>45457.53125</v>
      </c>
      <c r="B59" s="6">
        <v>9.1300000000000008</v>
      </c>
      <c r="C59" s="6">
        <v>4.07</v>
      </c>
      <c r="D59" s="6">
        <v>13.9</v>
      </c>
      <c r="E59" s="6">
        <v>10.63</v>
      </c>
      <c r="F59" s="6">
        <v>35.79</v>
      </c>
      <c r="G59" s="6">
        <v>46.33</v>
      </c>
      <c r="H59" s="6">
        <v>14.51</v>
      </c>
      <c r="I59" s="6">
        <v>5.36</v>
      </c>
      <c r="J59" s="6">
        <v>0.66</v>
      </c>
      <c r="K59" s="6">
        <v>348.77</v>
      </c>
      <c r="L59" s="6">
        <v>38.35</v>
      </c>
      <c r="M59" s="6">
        <v>35.26</v>
      </c>
      <c r="N59" s="6">
        <v>360.7</v>
      </c>
      <c r="O59" s="6">
        <v>0</v>
      </c>
      <c r="P59" s="6">
        <v>0.42</v>
      </c>
      <c r="Q59" s="6">
        <v>4</v>
      </c>
    </row>
    <row r="60" spans="1:17" customFormat="1">
      <c r="A60" s="82">
        <v>45457.541666666664</v>
      </c>
      <c r="B60" s="6">
        <v>9.1300000000000008</v>
      </c>
      <c r="C60" s="6">
        <v>4.07</v>
      </c>
      <c r="D60" s="6">
        <v>13.89</v>
      </c>
      <c r="E60" s="6">
        <v>10.32</v>
      </c>
      <c r="F60" s="6">
        <v>33.049999999999997</v>
      </c>
      <c r="G60" s="6">
        <v>46.73</v>
      </c>
      <c r="H60" s="6">
        <v>14.83</v>
      </c>
      <c r="I60" s="6">
        <v>5.01</v>
      </c>
      <c r="J60" s="6">
        <v>0.96</v>
      </c>
      <c r="K60" s="6">
        <v>297.48</v>
      </c>
      <c r="L60" s="6">
        <v>38.75</v>
      </c>
      <c r="M60" s="6">
        <v>34.549999999999997</v>
      </c>
      <c r="N60" s="6">
        <v>683.4</v>
      </c>
      <c r="O60" s="6">
        <v>0</v>
      </c>
      <c r="P60" s="6">
        <v>0.4</v>
      </c>
      <c r="Q60" s="6">
        <v>4.01</v>
      </c>
    </row>
    <row r="61" spans="1:17" customFormat="1">
      <c r="A61" s="82">
        <v>45457.552083333336</v>
      </c>
      <c r="B61" s="6">
        <v>9.1300000000000008</v>
      </c>
      <c r="C61" s="6">
        <v>4.04</v>
      </c>
      <c r="D61" s="6">
        <v>13.89</v>
      </c>
      <c r="E61" s="6">
        <v>10.25</v>
      </c>
      <c r="F61" s="6">
        <v>31.91</v>
      </c>
      <c r="G61" s="6">
        <v>47.11</v>
      </c>
      <c r="H61" s="6">
        <v>14.97</v>
      </c>
      <c r="I61" s="6">
        <v>5.35</v>
      </c>
      <c r="J61" s="6">
        <v>0.85</v>
      </c>
      <c r="K61" s="6">
        <v>300.88</v>
      </c>
      <c r="L61" s="6">
        <v>40.090000000000003</v>
      </c>
      <c r="M61" s="6">
        <v>32.11</v>
      </c>
      <c r="N61" s="6">
        <v>775</v>
      </c>
      <c r="O61" s="6">
        <v>0</v>
      </c>
      <c r="P61" s="6">
        <v>0.4</v>
      </c>
      <c r="Q61" s="6">
        <v>4.0199999999999996</v>
      </c>
    </row>
    <row r="62" spans="1:17" customFormat="1">
      <c r="A62" s="82">
        <v>45457.5625</v>
      </c>
      <c r="B62" s="6">
        <v>9.1300000000000008</v>
      </c>
      <c r="C62" s="6">
        <v>4.07</v>
      </c>
      <c r="D62" s="6">
        <v>13.9</v>
      </c>
      <c r="E62" s="6">
        <v>10.34</v>
      </c>
      <c r="F62" s="6">
        <v>24.66</v>
      </c>
      <c r="G62" s="6">
        <v>47.11</v>
      </c>
      <c r="H62" s="6">
        <v>14.97</v>
      </c>
      <c r="I62" s="6">
        <v>5.27</v>
      </c>
      <c r="J62" s="6">
        <v>1.46</v>
      </c>
      <c r="K62" s="6">
        <v>291.33999999999997</v>
      </c>
      <c r="L62" s="6">
        <v>40.15</v>
      </c>
      <c r="M62" s="6">
        <v>32.6</v>
      </c>
      <c r="N62" s="6">
        <v>400.7</v>
      </c>
      <c r="O62" s="6">
        <v>0</v>
      </c>
      <c r="P62" s="6">
        <v>0.42</v>
      </c>
      <c r="Q62" s="6">
        <v>4</v>
      </c>
    </row>
    <row r="63" spans="1:17" customFormat="1">
      <c r="A63" s="82">
        <v>45457.572916666664</v>
      </c>
      <c r="B63" s="6">
        <v>9.11</v>
      </c>
      <c r="C63" s="6">
        <v>4.0999999999999996</v>
      </c>
      <c r="D63" s="6">
        <v>13.9</v>
      </c>
      <c r="E63" s="6">
        <v>11.36</v>
      </c>
      <c r="F63" s="6">
        <v>24.82</v>
      </c>
      <c r="G63" s="6">
        <v>47.11</v>
      </c>
      <c r="H63" s="6">
        <v>14.97</v>
      </c>
      <c r="I63" s="6">
        <v>5.36</v>
      </c>
      <c r="J63" s="6">
        <v>1.19</v>
      </c>
      <c r="K63" s="6">
        <v>258.7</v>
      </c>
      <c r="L63" s="6">
        <v>39.4</v>
      </c>
      <c r="M63" s="6">
        <v>35.29</v>
      </c>
      <c r="N63" s="6">
        <v>330</v>
      </c>
      <c r="O63" s="6">
        <v>0</v>
      </c>
      <c r="P63" s="6">
        <v>0.43</v>
      </c>
      <c r="Q63" s="6">
        <v>3.99</v>
      </c>
    </row>
    <row r="64" spans="1:17" customFormat="1">
      <c r="A64" s="82">
        <v>45457.583333333336</v>
      </c>
      <c r="B64" s="6">
        <v>9.1199999999999992</v>
      </c>
      <c r="C64" s="6">
        <v>4.07</v>
      </c>
      <c r="D64" s="6">
        <v>13.89</v>
      </c>
      <c r="E64" s="6">
        <v>11.3</v>
      </c>
      <c r="F64" s="6">
        <v>32.82</v>
      </c>
      <c r="G64" s="6">
        <v>48.49</v>
      </c>
      <c r="H64" s="6">
        <v>16.829999999999998</v>
      </c>
      <c r="I64" s="6">
        <v>5.75</v>
      </c>
      <c r="J64" s="6">
        <v>1.03</v>
      </c>
      <c r="K64" s="6">
        <v>272.47000000000003</v>
      </c>
      <c r="L64" s="6">
        <v>38.520000000000003</v>
      </c>
      <c r="M64" s="6">
        <v>35.950000000000003</v>
      </c>
      <c r="N64" s="6">
        <v>227.1</v>
      </c>
      <c r="O64" s="6">
        <v>0</v>
      </c>
      <c r="P64" s="6">
        <v>0.43</v>
      </c>
      <c r="Q64" s="6">
        <v>3.99</v>
      </c>
    </row>
    <row r="65" spans="1:17" customFormat="1">
      <c r="A65" s="82">
        <v>45457.59375</v>
      </c>
      <c r="B65" s="6">
        <v>9.1300000000000008</v>
      </c>
      <c r="C65" s="6">
        <v>4.04</v>
      </c>
      <c r="D65" s="6">
        <v>13.88</v>
      </c>
      <c r="E65" s="6">
        <v>12.16</v>
      </c>
      <c r="F65" s="6">
        <v>34.119999999999997</v>
      </c>
      <c r="G65" s="6">
        <v>49.81</v>
      </c>
      <c r="H65" s="6">
        <v>18.690000000000001</v>
      </c>
      <c r="I65" s="6">
        <v>5.84</v>
      </c>
      <c r="J65" s="6">
        <v>0.73</v>
      </c>
      <c r="K65" s="6">
        <v>261.54000000000002</v>
      </c>
      <c r="L65" s="6">
        <v>38.380000000000003</v>
      </c>
      <c r="M65" s="6">
        <v>36.6</v>
      </c>
      <c r="N65" s="6">
        <v>268.5</v>
      </c>
      <c r="O65" s="6">
        <v>0</v>
      </c>
      <c r="P65" s="6">
        <v>0.42</v>
      </c>
      <c r="Q65" s="6">
        <v>4.01</v>
      </c>
    </row>
    <row r="66" spans="1:17" customFormat="1">
      <c r="A66" s="82">
        <v>45457.604166666664</v>
      </c>
      <c r="B66" s="6">
        <v>9.1199999999999992</v>
      </c>
      <c r="C66" s="6">
        <v>4.05</v>
      </c>
      <c r="D66" s="6">
        <v>13.88</v>
      </c>
      <c r="E66" s="6">
        <v>12.81</v>
      </c>
      <c r="F66" s="6">
        <v>45.43</v>
      </c>
      <c r="G66" s="6">
        <v>49.81</v>
      </c>
      <c r="H66" s="6">
        <v>18.690000000000001</v>
      </c>
      <c r="I66" s="6">
        <v>5.71</v>
      </c>
      <c r="J66" s="6">
        <v>0.31</v>
      </c>
      <c r="K66" s="6">
        <v>221.35</v>
      </c>
      <c r="L66" s="6">
        <v>39.49</v>
      </c>
      <c r="M66" s="6">
        <v>34.86</v>
      </c>
      <c r="N66" s="6">
        <v>296.2</v>
      </c>
      <c r="O66" s="6">
        <v>0</v>
      </c>
      <c r="P66" s="6">
        <v>0.42</v>
      </c>
      <c r="Q66" s="6">
        <v>3.99</v>
      </c>
    </row>
    <row r="67" spans="1:17" customFormat="1">
      <c r="A67" s="82">
        <v>45457.614583333336</v>
      </c>
      <c r="B67" s="6">
        <v>9.1199999999999992</v>
      </c>
      <c r="C67" s="6">
        <v>4.05</v>
      </c>
      <c r="D67" s="6">
        <v>13.88</v>
      </c>
      <c r="E67" s="6">
        <v>14.22</v>
      </c>
      <c r="F67" s="6">
        <v>51.74</v>
      </c>
      <c r="G67" s="6">
        <v>49.81</v>
      </c>
      <c r="H67" s="6">
        <v>18.690000000000001</v>
      </c>
      <c r="I67" s="6">
        <v>5.66</v>
      </c>
      <c r="J67" s="6">
        <v>0.41</v>
      </c>
      <c r="K67" s="6">
        <v>232.26</v>
      </c>
      <c r="L67" s="6">
        <v>39.659999999999997</v>
      </c>
      <c r="M67" s="6">
        <v>34.020000000000003</v>
      </c>
      <c r="N67" s="6">
        <v>367.9</v>
      </c>
      <c r="O67" s="6">
        <v>0</v>
      </c>
      <c r="P67" s="6">
        <v>0.44</v>
      </c>
      <c r="Q67" s="6">
        <v>3.99</v>
      </c>
    </row>
    <row r="68" spans="1:17" customFormat="1">
      <c r="A68" s="82">
        <v>45457.625</v>
      </c>
      <c r="B68" s="6">
        <v>9.1199999999999992</v>
      </c>
      <c r="C68" s="6">
        <v>4.07</v>
      </c>
      <c r="D68" s="6">
        <v>13.89</v>
      </c>
      <c r="E68" s="6">
        <v>15.33</v>
      </c>
      <c r="F68" s="6">
        <v>46.14</v>
      </c>
      <c r="G68" s="6">
        <v>48.72</v>
      </c>
      <c r="H68" s="6">
        <v>17.23</v>
      </c>
      <c r="I68" s="6">
        <v>5.43</v>
      </c>
      <c r="J68" s="6">
        <v>0.42</v>
      </c>
      <c r="K68" s="6">
        <v>245.98</v>
      </c>
      <c r="L68" s="6">
        <v>40.08</v>
      </c>
      <c r="M68" s="6">
        <v>32.33</v>
      </c>
      <c r="N68" s="6">
        <v>442.7</v>
      </c>
      <c r="O68" s="6">
        <v>0</v>
      </c>
      <c r="P68" s="6">
        <v>0.46</v>
      </c>
      <c r="Q68" s="6">
        <v>4</v>
      </c>
    </row>
    <row r="69" spans="1:17" customFormat="1">
      <c r="A69" s="82">
        <v>45457.635416666664</v>
      </c>
      <c r="B69" s="6">
        <v>9.1199999999999992</v>
      </c>
      <c r="C69" s="6">
        <v>4.05</v>
      </c>
      <c r="D69" s="6">
        <v>13.87</v>
      </c>
      <c r="E69" s="6">
        <v>14.8</v>
      </c>
      <c r="F69" s="6">
        <v>51.02</v>
      </c>
      <c r="G69" s="6">
        <v>47.68</v>
      </c>
      <c r="H69" s="6">
        <v>16.54</v>
      </c>
      <c r="I69" s="6">
        <v>5.52</v>
      </c>
      <c r="J69" s="6">
        <v>0.23</v>
      </c>
      <c r="K69" s="6">
        <v>197.75</v>
      </c>
      <c r="L69" s="6">
        <v>40.25</v>
      </c>
      <c r="M69" s="6">
        <v>31.74</v>
      </c>
      <c r="N69" s="6">
        <v>239.8</v>
      </c>
      <c r="O69" s="6">
        <v>0</v>
      </c>
      <c r="P69" s="6">
        <v>0.45</v>
      </c>
      <c r="Q69" s="6">
        <v>3.99</v>
      </c>
    </row>
    <row r="70" spans="1:17" customFormat="1">
      <c r="A70" s="82">
        <v>45457.645833333336</v>
      </c>
      <c r="B70" s="6">
        <v>9.11</v>
      </c>
      <c r="C70" s="6">
        <v>4.0599999999999996</v>
      </c>
      <c r="D70" s="6">
        <v>13.88</v>
      </c>
      <c r="E70" s="6">
        <v>16.350000000000001</v>
      </c>
      <c r="F70" s="6">
        <v>52.61</v>
      </c>
      <c r="G70" s="6">
        <v>47.68</v>
      </c>
      <c r="H70" s="6">
        <v>16.54</v>
      </c>
      <c r="I70" s="6">
        <v>5.52</v>
      </c>
      <c r="J70" s="6">
        <v>0.21</v>
      </c>
      <c r="K70" s="6">
        <v>228.89</v>
      </c>
      <c r="L70" s="6">
        <v>40.07</v>
      </c>
      <c r="M70" s="6">
        <v>31.81</v>
      </c>
      <c r="N70" s="6">
        <v>209.6</v>
      </c>
      <c r="O70" s="6">
        <v>0</v>
      </c>
      <c r="P70" s="6">
        <v>0.47</v>
      </c>
      <c r="Q70" s="6">
        <v>3.99</v>
      </c>
    </row>
    <row r="71" spans="1:17" customFormat="1">
      <c r="A71" s="82">
        <v>45457.65625</v>
      </c>
      <c r="B71" s="6">
        <v>9.1300000000000008</v>
      </c>
      <c r="C71" s="6">
        <v>4.04</v>
      </c>
      <c r="D71" s="6">
        <v>13.88</v>
      </c>
      <c r="E71" s="6">
        <v>16.53</v>
      </c>
      <c r="F71" s="6">
        <v>36.200000000000003</v>
      </c>
      <c r="G71" s="6">
        <v>47.68</v>
      </c>
      <c r="H71" s="6">
        <v>16.54</v>
      </c>
      <c r="I71" s="6">
        <v>5.51</v>
      </c>
      <c r="J71" s="6">
        <v>0.96</v>
      </c>
      <c r="K71" s="6">
        <v>307.56</v>
      </c>
      <c r="L71" s="6">
        <v>39.159999999999997</v>
      </c>
      <c r="M71" s="6">
        <v>33.11</v>
      </c>
      <c r="N71" s="6">
        <v>158.9</v>
      </c>
      <c r="O71" s="6">
        <v>0</v>
      </c>
      <c r="P71" s="6">
        <v>0.47</v>
      </c>
      <c r="Q71" s="6">
        <v>4</v>
      </c>
    </row>
    <row r="72" spans="1:17" customFormat="1">
      <c r="A72" s="82">
        <v>45457.666666666664</v>
      </c>
      <c r="B72" s="6">
        <v>9.11</v>
      </c>
      <c r="C72" s="6">
        <v>4.04</v>
      </c>
      <c r="D72" s="6">
        <v>13.87</v>
      </c>
      <c r="E72" s="6">
        <v>15.9</v>
      </c>
      <c r="F72" s="6">
        <v>35.93</v>
      </c>
      <c r="G72" s="6">
        <v>54.98</v>
      </c>
      <c r="H72" s="6">
        <v>18.350000000000001</v>
      </c>
      <c r="I72" s="6">
        <v>5.41</v>
      </c>
      <c r="J72" s="6">
        <v>1.35</v>
      </c>
      <c r="K72" s="6">
        <v>38.94</v>
      </c>
      <c r="L72" s="6">
        <v>36.33</v>
      </c>
      <c r="M72" s="6">
        <v>37.24</v>
      </c>
      <c r="N72" s="6">
        <v>68</v>
      </c>
      <c r="O72" s="6">
        <v>0</v>
      </c>
      <c r="P72" s="6">
        <v>0.47</v>
      </c>
      <c r="Q72" s="6">
        <v>4.01</v>
      </c>
    </row>
    <row r="73" spans="1:17" customFormat="1">
      <c r="A73" s="82">
        <v>45457.677083333336</v>
      </c>
      <c r="B73" s="6">
        <v>9.1199999999999992</v>
      </c>
      <c r="C73" s="6">
        <v>4.08</v>
      </c>
      <c r="D73" s="6">
        <v>13.9</v>
      </c>
      <c r="E73" s="6">
        <v>13.89</v>
      </c>
      <c r="F73" s="6">
        <v>22.7</v>
      </c>
      <c r="G73" s="6">
        <v>61.97</v>
      </c>
      <c r="H73" s="6">
        <v>19.2</v>
      </c>
      <c r="I73" s="6">
        <v>5.63</v>
      </c>
      <c r="J73" s="6">
        <v>1.08</v>
      </c>
      <c r="K73" s="6">
        <v>33.869999999999997</v>
      </c>
      <c r="L73" s="6">
        <v>36.1</v>
      </c>
      <c r="M73" s="6">
        <v>35.909999999999997</v>
      </c>
      <c r="N73" s="6">
        <v>56.8</v>
      </c>
      <c r="O73" s="6">
        <v>0</v>
      </c>
      <c r="P73" s="6">
        <v>0.47</v>
      </c>
      <c r="Q73" s="6">
        <v>4</v>
      </c>
    </row>
    <row r="74" spans="1:17" customFormat="1">
      <c r="A74" s="82">
        <v>45457.6875</v>
      </c>
      <c r="B74" s="6">
        <v>9.11</v>
      </c>
      <c r="C74" s="6">
        <v>4.07</v>
      </c>
      <c r="D74" s="6">
        <v>13.89</v>
      </c>
      <c r="E74" s="6">
        <v>12.99</v>
      </c>
      <c r="F74" s="6">
        <v>31.48</v>
      </c>
      <c r="G74" s="6">
        <v>61.97</v>
      </c>
      <c r="H74" s="6">
        <v>19.2</v>
      </c>
      <c r="I74" s="6">
        <v>5.6</v>
      </c>
      <c r="J74" s="6">
        <v>0.98</v>
      </c>
      <c r="K74" s="6">
        <v>42.25</v>
      </c>
      <c r="L74" s="6">
        <v>35.96</v>
      </c>
      <c r="M74" s="6">
        <v>38.71</v>
      </c>
      <c r="N74" s="6">
        <v>69.5</v>
      </c>
      <c r="O74" s="6">
        <v>0</v>
      </c>
      <c r="P74" s="6">
        <v>0.5</v>
      </c>
      <c r="Q74" s="6">
        <v>4</v>
      </c>
    </row>
    <row r="75" spans="1:17" customFormat="1">
      <c r="A75" s="82">
        <v>45457.697916666664</v>
      </c>
      <c r="B75" s="6">
        <v>9.1199999999999992</v>
      </c>
      <c r="C75" s="6">
        <v>4.09</v>
      </c>
      <c r="D75" s="6">
        <v>13.9</v>
      </c>
      <c r="E75" s="6">
        <v>19.91</v>
      </c>
      <c r="F75" s="6">
        <v>34.229999999999997</v>
      </c>
      <c r="G75" s="6">
        <v>61.97</v>
      </c>
      <c r="H75" s="6">
        <v>19.2</v>
      </c>
      <c r="I75" s="6">
        <v>5.67</v>
      </c>
      <c r="J75" s="6">
        <v>0.82</v>
      </c>
      <c r="K75" s="6">
        <v>47.32</v>
      </c>
      <c r="L75" s="6">
        <v>36.130000000000003</v>
      </c>
      <c r="M75" s="6">
        <v>37.42</v>
      </c>
      <c r="N75" s="6">
        <v>95.1</v>
      </c>
      <c r="O75" s="6">
        <v>0</v>
      </c>
      <c r="P75" s="6">
        <v>0.52</v>
      </c>
      <c r="Q75" s="6">
        <v>4</v>
      </c>
    </row>
    <row r="76" spans="1:17" customFormat="1">
      <c r="A76" s="82">
        <v>45457.708333333336</v>
      </c>
      <c r="B76" s="6">
        <v>9.14</v>
      </c>
      <c r="C76" s="6">
        <v>4.07</v>
      </c>
      <c r="D76" s="6">
        <v>13.9</v>
      </c>
      <c r="E76" s="6">
        <v>35.020000000000003</v>
      </c>
      <c r="F76" s="6">
        <v>28.98</v>
      </c>
      <c r="G76" s="6">
        <v>64.930000000000007</v>
      </c>
      <c r="H76" s="6">
        <v>18.96</v>
      </c>
      <c r="I76" s="6">
        <v>5.86</v>
      </c>
      <c r="J76" s="6">
        <v>0.37</v>
      </c>
      <c r="K76" s="6">
        <v>29.7</v>
      </c>
      <c r="L76" s="6">
        <v>36.74</v>
      </c>
      <c r="M76" s="6">
        <v>36.909999999999997</v>
      </c>
      <c r="N76" s="6">
        <v>93.4</v>
      </c>
      <c r="O76" s="6">
        <v>0</v>
      </c>
      <c r="P76" s="6">
        <v>0.56000000000000005</v>
      </c>
      <c r="Q76" s="6">
        <v>3.97</v>
      </c>
    </row>
    <row r="77" spans="1:17" customFormat="1">
      <c r="A77" s="82">
        <v>45457.71875</v>
      </c>
      <c r="B77" s="6">
        <v>9.18</v>
      </c>
      <c r="C77" s="6">
        <v>4.12</v>
      </c>
      <c r="D77" s="6">
        <v>13.97</v>
      </c>
      <c r="E77" s="6">
        <v>40.36</v>
      </c>
      <c r="F77" s="6">
        <v>37.549999999999997</v>
      </c>
      <c r="G77" s="6">
        <v>67.760000000000005</v>
      </c>
      <c r="H77" s="6">
        <v>18.850000000000001</v>
      </c>
      <c r="I77" s="6">
        <v>5.42</v>
      </c>
      <c r="J77" s="6">
        <v>0.35</v>
      </c>
      <c r="K77" s="6">
        <v>176.66</v>
      </c>
      <c r="L77" s="6">
        <v>37.26</v>
      </c>
      <c r="M77" s="6">
        <v>38.03</v>
      </c>
      <c r="N77" s="6">
        <v>91.2</v>
      </c>
      <c r="O77" s="6">
        <v>0</v>
      </c>
      <c r="P77" s="6">
        <v>0.48</v>
      </c>
      <c r="Q77" s="6">
        <v>3.98</v>
      </c>
    </row>
    <row r="78" spans="1:17" customFormat="1">
      <c r="A78" s="82">
        <v>45457.729166666664</v>
      </c>
      <c r="B78" s="6">
        <v>9.2100000000000009</v>
      </c>
      <c r="C78" s="6">
        <v>4.08</v>
      </c>
      <c r="D78" s="6">
        <v>13.97</v>
      </c>
      <c r="E78" s="6">
        <v>42.72</v>
      </c>
      <c r="F78" s="6">
        <v>47.04</v>
      </c>
      <c r="G78" s="6">
        <v>67.760000000000005</v>
      </c>
      <c r="H78" s="6">
        <v>18.850000000000001</v>
      </c>
      <c r="I78" s="6">
        <v>5.37</v>
      </c>
      <c r="J78" s="6">
        <v>0.22</v>
      </c>
      <c r="K78" s="6">
        <v>187.08</v>
      </c>
      <c r="L78" s="6">
        <v>37.159999999999997</v>
      </c>
      <c r="M78" s="6">
        <v>38.11</v>
      </c>
      <c r="N78" s="6">
        <v>47</v>
      </c>
      <c r="O78" s="6">
        <v>0</v>
      </c>
      <c r="P78" s="6">
        <v>0.46</v>
      </c>
      <c r="Q78" s="6">
        <v>3.96</v>
      </c>
    </row>
    <row r="79" spans="1:17" customFormat="1">
      <c r="A79" s="82">
        <v>45457.739583333336</v>
      </c>
      <c r="B79" s="6">
        <v>9.25</v>
      </c>
      <c r="C79" s="6">
        <v>4.07</v>
      </c>
      <c r="D79" s="6">
        <v>13.99</v>
      </c>
      <c r="E79" s="6">
        <v>41.43</v>
      </c>
      <c r="F79" s="6">
        <v>47.23</v>
      </c>
      <c r="G79" s="6">
        <v>67.760000000000005</v>
      </c>
      <c r="H79" s="6">
        <v>18.850000000000001</v>
      </c>
      <c r="I79" s="6">
        <v>5</v>
      </c>
      <c r="J79" s="6">
        <v>0.15</v>
      </c>
      <c r="K79" s="6">
        <v>213.75</v>
      </c>
      <c r="L79" s="6">
        <v>36.65</v>
      </c>
      <c r="M79" s="6">
        <v>39.03</v>
      </c>
      <c r="N79" s="6">
        <v>32.4</v>
      </c>
      <c r="O79" s="6">
        <v>0</v>
      </c>
      <c r="P79" s="6">
        <v>0.45</v>
      </c>
      <c r="Q79" s="6">
        <v>3.97</v>
      </c>
    </row>
    <row r="80" spans="1:17" customFormat="1">
      <c r="A80" s="82">
        <v>45457.75</v>
      </c>
      <c r="B80" s="6">
        <v>9.26</v>
      </c>
      <c r="C80" s="6">
        <v>4.04</v>
      </c>
      <c r="D80" s="6">
        <v>13.98</v>
      </c>
      <c r="E80" s="6">
        <v>37.44</v>
      </c>
      <c r="F80" s="6">
        <v>46.19</v>
      </c>
      <c r="G80" s="6">
        <v>67.599999999999994</v>
      </c>
      <c r="H80" s="6">
        <v>18.309999999999999</v>
      </c>
      <c r="I80" s="6">
        <v>4.9800000000000004</v>
      </c>
      <c r="J80" s="6">
        <v>0.25</v>
      </c>
      <c r="K80" s="6">
        <v>165.84</v>
      </c>
      <c r="L80" s="6">
        <v>36.4</v>
      </c>
      <c r="M80" s="6">
        <v>40.81</v>
      </c>
      <c r="N80" s="6">
        <v>22.8</v>
      </c>
      <c r="O80" s="6">
        <v>0</v>
      </c>
      <c r="P80" s="6">
        <v>0.45</v>
      </c>
      <c r="Q80" s="6">
        <v>3.98</v>
      </c>
    </row>
    <row r="81" spans="1:17" customFormat="1">
      <c r="A81" s="82">
        <v>45457.760416666664</v>
      </c>
      <c r="B81" s="6">
        <v>9.24</v>
      </c>
      <c r="C81" s="6">
        <v>4.07</v>
      </c>
      <c r="D81" s="6">
        <v>13.99</v>
      </c>
      <c r="E81" s="6">
        <v>22.45</v>
      </c>
      <c r="F81" s="6">
        <v>45.97</v>
      </c>
      <c r="G81" s="6">
        <v>67.44</v>
      </c>
      <c r="H81" s="6">
        <v>18.059999999999999</v>
      </c>
      <c r="I81" s="6">
        <v>4.7300000000000004</v>
      </c>
      <c r="J81" s="6">
        <v>0.17</v>
      </c>
      <c r="K81" s="6">
        <v>184.38</v>
      </c>
      <c r="L81" s="6">
        <v>36.03</v>
      </c>
      <c r="M81" s="6">
        <v>40.94</v>
      </c>
      <c r="N81" s="6">
        <v>13.9</v>
      </c>
      <c r="O81" s="6">
        <v>0</v>
      </c>
      <c r="P81" s="6">
        <v>0.46</v>
      </c>
      <c r="Q81" s="6">
        <v>3.97</v>
      </c>
    </row>
    <row r="82" spans="1:17" customFormat="1">
      <c r="A82" s="82">
        <v>45457.770833333336</v>
      </c>
      <c r="B82" s="6">
        <v>9.24</v>
      </c>
      <c r="C82" s="6">
        <v>4.07</v>
      </c>
      <c r="D82" s="6">
        <v>13.99</v>
      </c>
      <c r="E82" s="6">
        <v>29.04</v>
      </c>
      <c r="F82" s="6">
        <v>42.62</v>
      </c>
      <c r="G82" s="6">
        <v>67.44</v>
      </c>
      <c r="H82" s="6">
        <v>18.059999999999999</v>
      </c>
      <c r="I82" s="6">
        <v>4.76</v>
      </c>
      <c r="J82" s="6">
        <v>0.22</v>
      </c>
      <c r="K82" s="6">
        <v>171.5</v>
      </c>
      <c r="L82" s="6">
        <v>35.700000000000003</v>
      </c>
      <c r="M82" s="6">
        <v>43.01</v>
      </c>
      <c r="N82" s="6">
        <v>7.4</v>
      </c>
      <c r="O82" s="6">
        <v>0</v>
      </c>
      <c r="P82" s="6">
        <v>0.45</v>
      </c>
      <c r="Q82" s="6">
        <v>3.95</v>
      </c>
    </row>
    <row r="83" spans="1:17" customFormat="1">
      <c r="A83" s="82">
        <v>45457.78125</v>
      </c>
      <c r="B83" s="6">
        <v>9.24</v>
      </c>
      <c r="C83" s="6">
        <v>4.05</v>
      </c>
      <c r="D83" s="6">
        <v>13.98</v>
      </c>
      <c r="E83" s="6">
        <v>26.16</v>
      </c>
      <c r="F83" s="6">
        <v>37.28</v>
      </c>
      <c r="G83" s="6">
        <v>67.44</v>
      </c>
      <c r="H83" s="6">
        <v>18.059999999999999</v>
      </c>
      <c r="I83" s="6">
        <v>4.8499999999999996</v>
      </c>
      <c r="J83" s="6">
        <v>0.12</v>
      </c>
      <c r="K83" s="6">
        <v>168.78</v>
      </c>
      <c r="L83" s="6">
        <v>35.22</v>
      </c>
      <c r="M83" s="6">
        <v>44.96</v>
      </c>
      <c r="N83" s="6">
        <v>3.1</v>
      </c>
      <c r="O83" s="6">
        <v>0</v>
      </c>
      <c r="P83" s="6">
        <v>0.48</v>
      </c>
      <c r="Q83" s="6">
        <v>3.97</v>
      </c>
    </row>
    <row r="84" spans="1:17" customFormat="1">
      <c r="A84" s="82">
        <v>45457.791666666664</v>
      </c>
      <c r="B84" s="6">
        <v>9.2200000000000006</v>
      </c>
      <c r="C84" s="6">
        <v>4.09</v>
      </c>
      <c r="D84" s="6">
        <v>13.98</v>
      </c>
      <c r="E84" s="6">
        <v>21.9</v>
      </c>
      <c r="F84" s="6">
        <v>32.11</v>
      </c>
      <c r="G84" s="6">
        <v>67.97</v>
      </c>
      <c r="H84" s="6">
        <v>19.87</v>
      </c>
      <c r="I84" s="6">
        <v>4.8499999999999996</v>
      </c>
      <c r="J84" s="6">
        <v>0.18</v>
      </c>
      <c r="K84" s="6">
        <v>200.69</v>
      </c>
      <c r="L84" s="6">
        <v>34.840000000000003</v>
      </c>
      <c r="M84" s="6">
        <v>47.04</v>
      </c>
      <c r="N84" s="6">
        <v>2.1</v>
      </c>
      <c r="O84" s="6">
        <v>0</v>
      </c>
      <c r="P84" s="6">
        <v>0.54</v>
      </c>
      <c r="Q84" s="6">
        <v>3.97</v>
      </c>
    </row>
    <row r="85" spans="1:17" customFormat="1">
      <c r="A85" s="82">
        <v>45457.802083333336</v>
      </c>
      <c r="B85" s="6">
        <v>9.2200000000000006</v>
      </c>
      <c r="C85" s="6">
        <v>4.1100000000000003</v>
      </c>
      <c r="D85" s="6">
        <v>13.99</v>
      </c>
      <c r="E85" s="6">
        <v>19.010000000000002</v>
      </c>
      <c r="F85" s="6">
        <v>32.89</v>
      </c>
      <c r="G85" s="6">
        <v>68.48</v>
      </c>
      <c r="H85" s="6">
        <v>20.72</v>
      </c>
      <c r="I85" s="6">
        <v>5.24</v>
      </c>
      <c r="J85" s="6">
        <v>0.14000000000000001</v>
      </c>
      <c r="K85" s="6">
        <v>236.73</v>
      </c>
      <c r="L85" s="6">
        <v>34.9</v>
      </c>
      <c r="M85" s="6">
        <v>44.19</v>
      </c>
      <c r="N85" s="6">
        <v>1.5</v>
      </c>
      <c r="O85" s="6">
        <v>0</v>
      </c>
      <c r="P85" s="6">
        <v>0.54</v>
      </c>
      <c r="Q85" s="6">
        <v>3.99</v>
      </c>
    </row>
    <row r="86" spans="1:17" customFormat="1">
      <c r="A86" s="82">
        <v>45457.8125</v>
      </c>
      <c r="B86" s="6">
        <v>9.2200000000000006</v>
      </c>
      <c r="C86" s="6">
        <v>4.08</v>
      </c>
      <c r="D86" s="6">
        <v>13.98</v>
      </c>
      <c r="E86" s="6">
        <v>14.51</v>
      </c>
      <c r="F86" s="6">
        <v>37.43</v>
      </c>
      <c r="G86" s="6">
        <v>68.48</v>
      </c>
      <c r="H86" s="6">
        <v>20.72</v>
      </c>
      <c r="I86" s="6">
        <v>5.9</v>
      </c>
      <c r="J86" s="6">
        <v>0.21</v>
      </c>
      <c r="K86" s="6">
        <v>128.22999999999999</v>
      </c>
      <c r="L86" s="6">
        <v>35.11</v>
      </c>
      <c r="M86" s="6">
        <v>43.71</v>
      </c>
      <c r="N86" s="6">
        <v>1.5</v>
      </c>
      <c r="O86" s="6">
        <v>0</v>
      </c>
      <c r="P86" s="6">
        <v>0.49</v>
      </c>
      <c r="Q86" s="6">
        <v>3.98</v>
      </c>
    </row>
    <row r="87" spans="1:17" customFormat="1">
      <c r="A87" s="82">
        <v>45457.822916666664</v>
      </c>
      <c r="B87" s="6">
        <v>9.23</v>
      </c>
      <c r="C87" s="6">
        <v>4.08</v>
      </c>
      <c r="D87" s="6">
        <v>13.99</v>
      </c>
      <c r="E87" s="6">
        <v>11.85</v>
      </c>
      <c r="F87" s="6">
        <v>43.93</v>
      </c>
      <c r="G87" s="6">
        <v>68.48</v>
      </c>
      <c r="H87" s="6">
        <v>20.72</v>
      </c>
      <c r="I87" s="6">
        <v>6.08</v>
      </c>
      <c r="J87" s="6">
        <v>0.18</v>
      </c>
      <c r="K87" s="6">
        <v>239.22</v>
      </c>
      <c r="L87" s="6">
        <v>34.840000000000003</v>
      </c>
      <c r="M87" s="6">
        <v>44.79</v>
      </c>
      <c r="N87" s="6">
        <v>2</v>
      </c>
      <c r="O87" s="6">
        <v>0</v>
      </c>
      <c r="P87" s="6">
        <v>0.46</v>
      </c>
      <c r="Q87" s="6">
        <v>3.97</v>
      </c>
    </row>
    <row r="88" spans="1:17" customFormat="1">
      <c r="A88" s="82">
        <v>45457.833333333336</v>
      </c>
      <c r="B88" s="6">
        <v>9.23</v>
      </c>
      <c r="C88" s="6">
        <v>4.0599999999999996</v>
      </c>
      <c r="D88" s="6">
        <v>13.97</v>
      </c>
      <c r="E88" s="6">
        <v>10.55</v>
      </c>
      <c r="F88" s="6">
        <v>50.81</v>
      </c>
      <c r="G88" s="6">
        <v>65.7</v>
      </c>
      <c r="H88" s="6">
        <v>20.95</v>
      </c>
      <c r="I88" s="6">
        <v>5.49</v>
      </c>
      <c r="J88" s="6">
        <v>0.16</v>
      </c>
      <c r="K88" s="6">
        <v>261.75</v>
      </c>
      <c r="L88" s="6">
        <v>34.28</v>
      </c>
      <c r="M88" s="6">
        <v>46.56</v>
      </c>
      <c r="N88" s="6">
        <v>2</v>
      </c>
      <c r="O88" s="6">
        <v>0</v>
      </c>
      <c r="P88" s="6">
        <v>0.41</v>
      </c>
      <c r="Q88" s="6">
        <v>3.97</v>
      </c>
    </row>
    <row r="89" spans="1:17" customFormat="1">
      <c r="A89" s="82">
        <v>45457.84375</v>
      </c>
      <c r="B89" s="6">
        <v>9.2200000000000006</v>
      </c>
      <c r="C89" s="6">
        <v>4.0999999999999996</v>
      </c>
      <c r="D89" s="6">
        <v>13.98</v>
      </c>
      <c r="E89" s="6">
        <v>9.43</v>
      </c>
      <c r="F89" s="6">
        <v>34.049999999999997</v>
      </c>
      <c r="G89" s="6">
        <v>63.03</v>
      </c>
      <c r="H89" s="6">
        <v>21.19</v>
      </c>
      <c r="I89" s="6">
        <v>4.9000000000000004</v>
      </c>
      <c r="J89" s="6">
        <v>0.63</v>
      </c>
      <c r="K89" s="6">
        <v>260.02</v>
      </c>
      <c r="L89" s="6">
        <v>34.21</v>
      </c>
      <c r="M89" s="6">
        <v>46.43</v>
      </c>
      <c r="N89" s="6">
        <v>1.7</v>
      </c>
      <c r="O89" s="6">
        <v>0</v>
      </c>
      <c r="P89" s="6">
        <v>0.41</v>
      </c>
      <c r="Q89" s="6">
        <v>3.99</v>
      </c>
    </row>
    <row r="90" spans="1:17" customFormat="1">
      <c r="A90" s="82">
        <v>45457.854166666664</v>
      </c>
      <c r="B90" s="6">
        <v>9.2100000000000009</v>
      </c>
      <c r="C90" s="6">
        <v>4.08</v>
      </c>
      <c r="D90" s="6">
        <v>13.97</v>
      </c>
      <c r="E90" s="6">
        <v>8.8000000000000007</v>
      </c>
      <c r="F90" s="6">
        <v>39.83</v>
      </c>
      <c r="G90" s="6">
        <v>63.03</v>
      </c>
      <c r="H90" s="6">
        <v>21.19</v>
      </c>
      <c r="I90" s="6">
        <v>4.18</v>
      </c>
      <c r="J90" s="6">
        <v>0.84</v>
      </c>
      <c r="K90" s="6">
        <v>264.2</v>
      </c>
      <c r="L90" s="6">
        <v>34.15</v>
      </c>
      <c r="M90" s="6">
        <v>44.91</v>
      </c>
      <c r="N90" s="6">
        <v>2</v>
      </c>
      <c r="O90" s="6">
        <v>0</v>
      </c>
      <c r="P90" s="6">
        <v>0.41</v>
      </c>
      <c r="Q90" s="6">
        <v>3.98</v>
      </c>
    </row>
    <row r="91" spans="1:17" customFormat="1">
      <c r="A91" s="82">
        <v>45457.864583333336</v>
      </c>
      <c r="B91" s="6">
        <v>9.1999999999999993</v>
      </c>
      <c r="C91" s="6">
        <v>4.08</v>
      </c>
      <c r="D91" s="6">
        <v>13.96</v>
      </c>
      <c r="E91" s="6">
        <v>8.49</v>
      </c>
      <c r="F91" s="6">
        <v>38.049999999999997</v>
      </c>
      <c r="G91" s="6">
        <v>63.03</v>
      </c>
      <c r="H91" s="6">
        <v>21.19</v>
      </c>
      <c r="I91" s="6">
        <v>4.8099999999999996</v>
      </c>
      <c r="J91" s="6">
        <v>0.77</v>
      </c>
      <c r="K91" s="6">
        <v>264.12</v>
      </c>
      <c r="L91" s="6">
        <v>33.71</v>
      </c>
      <c r="M91" s="6">
        <v>47</v>
      </c>
      <c r="N91" s="6">
        <v>2.2000000000000002</v>
      </c>
      <c r="O91" s="6">
        <v>0</v>
      </c>
      <c r="P91" s="6">
        <v>0.4</v>
      </c>
      <c r="Q91" s="6">
        <v>3.99</v>
      </c>
    </row>
    <row r="92" spans="1:17" customFormat="1">
      <c r="A92" s="82">
        <v>45457.875</v>
      </c>
      <c r="B92" s="6">
        <v>9.1999999999999993</v>
      </c>
      <c r="C92" s="6">
        <v>4.0599999999999996</v>
      </c>
      <c r="D92" s="6">
        <v>13.95</v>
      </c>
      <c r="E92" s="6">
        <v>8.34</v>
      </c>
      <c r="F92" s="6">
        <v>32.06</v>
      </c>
      <c r="G92" s="6">
        <v>60.76</v>
      </c>
      <c r="H92" s="6">
        <v>18.62</v>
      </c>
      <c r="I92" s="6">
        <v>4.95</v>
      </c>
      <c r="J92" s="6">
        <v>0.95</v>
      </c>
      <c r="K92" s="6">
        <v>259.55</v>
      </c>
      <c r="L92" s="6">
        <v>33.42</v>
      </c>
      <c r="M92" s="6">
        <v>47.42</v>
      </c>
      <c r="N92" s="6">
        <v>2.1</v>
      </c>
      <c r="O92" s="6">
        <v>0</v>
      </c>
      <c r="P92" s="6">
        <v>0.4</v>
      </c>
      <c r="Q92" s="6">
        <v>3.98</v>
      </c>
    </row>
    <row r="93" spans="1:17" customFormat="1">
      <c r="A93" s="82">
        <v>45457.885416666664</v>
      </c>
      <c r="B93" s="6">
        <v>9.2100000000000009</v>
      </c>
      <c r="C93" s="6">
        <v>4.08</v>
      </c>
      <c r="D93" s="6">
        <v>13.97</v>
      </c>
      <c r="E93" s="6">
        <v>7.72</v>
      </c>
      <c r="F93" s="6">
        <v>19.899999999999999</v>
      </c>
      <c r="G93" s="6">
        <v>58.59</v>
      </c>
      <c r="H93" s="6">
        <v>17.420000000000002</v>
      </c>
      <c r="I93" s="6">
        <v>4.6900000000000004</v>
      </c>
      <c r="J93" s="6">
        <v>0.88</v>
      </c>
      <c r="K93" s="6">
        <v>255.25</v>
      </c>
      <c r="L93" s="6">
        <v>32.97</v>
      </c>
      <c r="M93" s="6">
        <v>48.33</v>
      </c>
      <c r="N93" s="6">
        <v>2.6</v>
      </c>
      <c r="O93" s="6">
        <v>0</v>
      </c>
      <c r="P93" s="6">
        <v>0.4</v>
      </c>
      <c r="Q93" s="6">
        <v>3.98</v>
      </c>
    </row>
    <row r="94" spans="1:17" customFormat="1">
      <c r="A94" s="82">
        <v>45457.895833333336</v>
      </c>
      <c r="B94" s="6">
        <v>9.19</v>
      </c>
      <c r="C94" s="6">
        <v>4.08</v>
      </c>
      <c r="D94" s="6">
        <v>13.95</v>
      </c>
      <c r="E94" s="6">
        <v>7.35</v>
      </c>
      <c r="F94" s="6">
        <v>22.19</v>
      </c>
      <c r="G94" s="6">
        <v>58.59</v>
      </c>
      <c r="H94" s="6">
        <v>17.420000000000002</v>
      </c>
      <c r="I94" s="6">
        <v>4.91</v>
      </c>
      <c r="J94" s="6">
        <v>0.85</v>
      </c>
      <c r="K94" s="6">
        <v>266.07</v>
      </c>
      <c r="L94" s="6">
        <v>32.31</v>
      </c>
      <c r="M94" s="6">
        <v>53.34</v>
      </c>
      <c r="N94" s="6">
        <v>2.4</v>
      </c>
      <c r="O94" s="6">
        <v>0</v>
      </c>
      <c r="P94" s="6">
        <v>0.41</v>
      </c>
      <c r="Q94" s="6">
        <v>3.97</v>
      </c>
    </row>
    <row r="95" spans="1:17" customFormat="1">
      <c r="A95" s="82">
        <v>45457.90625</v>
      </c>
      <c r="B95" s="6">
        <v>9.17</v>
      </c>
      <c r="C95" s="6">
        <v>4.0999999999999996</v>
      </c>
      <c r="D95" s="6">
        <v>13.95</v>
      </c>
      <c r="E95" s="6">
        <v>7.89</v>
      </c>
      <c r="F95" s="6">
        <v>15.95</v>
      </c>
      <c r="G95" s="6">
        <v>58.59</v>
      </c>
      <c r="H95" s="6">
        <v>17.420000000000002</v>
      </c>
      <c r="I95" s="6">
        <v>5.18</v>
      </c>
      <c r="J95" s="6">
        <v>0.88</v>
      </c>
      <c r="K95" s="6">
        <v>256.05</v>
      </c>
      <c r="L95" s="6">
        <v>32.06</v>
      </c>
      <c r="M95" s="6">
        <v>54.18</v>
      </c>
      <c r="N95" s="6">
        <v>2.1</v>
      </c>
      <c r="O95" s="6">
        <v>0</v>
      </c>
      <c r="P95" s="6">
        <v>0.41</v>
      </c>
      <c r="Q95" s="6">
        <v>4</v>
      </c>
    </row>
    <row r="96" spans="1:17" customFormat="1">
      <c r="A96" s="82">
        <v>45457.916666666664</v>
      </c>
      <c r="B96" s="6">
        <v>9.15</v>
      </c>
      <c r="C96" s="6">
        <v>4.0999999999999996</v>
      </c>
      <c r="D96" s="6">
        <v>13.93</v>
      </c>
      <c r="E96" s="6">
        <v>8.27</v>
      </c>
      <c r="F96" s="6">
        <v>19.71</v>
      </c>
      <c r="G96" s="6">
        <v>55.38</v>
      </c>
      <c r="H96" s="6">
        <v>17.18</v>
      </c>
      <c r="I96" s="6">
        <v>5.0199999999999996</v>
      </c>
      <c r="J96" s="6">
        <v>0.6</v>
      </c>
      <c r="K96" s="6">
        <v>250.9</v>
      </c>
      <c r="L96" s="6">
        <v>31.99</v>
      </c>
      <c r="M96" s="6">
        <v>52.46</v>
      </c>
      <c r="N96" s="6">
        <v>1.7</v>
      </c>
      <c r="O96" s="6">
        <v>0</v>
      </c>
      <c r="P96" s="6">
        <v>0.4</v>
      </c>
      <c r="Q96" s="6">
        <v>3.99</v>
      </c>
    </row>
    <row r="97" spans="1:22" customFormat="1">
      <c r="A97" s="82">
        <v>45457.927083333336</v>
      </c>
      <c r="B97" s="6">
        <v>9.17</v>
      </c>
      <c r="C97" s="6">
        <v>4.09</v>
      </c>
      <c r="D97" s="6">
        <v>13.94</v>
      </c>
      <c r="E97" s="6">
        <v>8.4700000000000006</v>
      </c>
      <c r="F97" s="6">
        <v>16.32</v>
      </c>
      <c r="G97" s="6">
        <v>52.31</v>
      </c>
      <c r="H97" s="6">
        <v>17.07</v>
      </c>
      <c r="I97" s="6">
        <v>4.99</v>
      </c>
      <c r="J97" s="6">
        <v>0.71</v>
      </c>
      <c r="K97" s="6">
        <v>254.62</v>
      </c>
      <c r="L97" s="6">
        <v>31.9</v>
      </c>
      <c r="M97" s="6">
        <v>51.2</v>
      </c>
      <c r="N97" s="6">
        <v>2</v>
      </c>
      <c r="O97" s="6">
        <v>0</v>
      </c>
      <c r="P97" s="6">
        <v>0.4</v>
      </c>
      <c r="Q97" s="6">
        <v>3.95</v>
      </c>
    </row>
    <row r="98" spans="1:22" customFormat="1">
      <c r="A98" s="82">
        <v>45457.9375</v>
      </c>
      <c r="B98" s="6">
        <v>9.17</v>
      </c>
      <c r="C98" s="6">
        <v>4.09</v>
      </c>
      <c r="D98" s="6">
        <v>13.94</v>
      </c>
      <c r="E98" s="6">
        <v>7.69</v>
      </c>
      <c r="F98" s="6">
        <v>14.03</v>
      </c>
      <c r="G98" s="6">
        <v>52.31</v>
      </c>
      <c r="H98" s="6">
        <v>17.07</v>
      </c>
      <c r="I98" s="6">
        <v>4.83</v>
      </c>
      <c r="J98" s="6">
        <v>0.65</v>
      </c>
      <c r="K98" s="6">
        <v>248.32</v>
      </c>
      <c r="L98" s="6">
        <v>31.66</v>
      </c>
      <c r="M98" s="6">
        <v>51.64</v>
      </c>
      <c r="N98" s="6">
        <v>1.9</v>
      </c>
      <c r="O98" s="6">
        <v>0</v>
      </c>
      <c r="P98" s="6">
        <v>0.39</v>
      </c>
      <c r="Q98" s="6">
        <v>3.97</v>
      </c>
    </row>
    <row r="99" spans="1:22" customFormat="1">
      <c r="A99" s="82">
        <v>45457.947916666664</v>
      </c>
      <c r="B99" s="6">
        <v>9.16</v>
      </c>
      <c r="C99" s="6">
        <v>4.1100000000000003</v>
      </c>
      <c r="D99" s="6">
        <v>13.94</v>
      </c>
      <c r="E99" s="6">
        <v>8.33</v>
      </c>
      <c r="F99" s="6">
        <v>14.56</v>
      </c>
      <c r="G99" s="6">
        <v>52.31</v>
      </c>
      <c r="H99" s="6">
        <v>17.07</v>
      </c>
      <c r="I99" s="6">
        <v>4.9000000000000004</v>
      </c>
      <c r="J99" s="6">
        <v>1.04</v>
      </c>
      <c r="K99" s="6">
        <v>260.27999999999997</v>
      </c>
      <c r="L99" s="6">
        <v>31.28</v>
      </c>
      <c r="M99" s="6">
        <v>51.23</v>
      </c>
      <c r="N99" s="6">
        <v>2.2000000000000002</v>
      </c>
      <c r="O99" s="6">
        <v>0</v>
      </c>
      <c r="P99" s="6">
        <v>0.38</v>
      </c>
      <c r="Q99" s="6">
        <v>3.99</v>
      </c>
    </row>
    <row r="100" spans="1:22" customFormat="1">
      <c r="A100" s="82">
        <v>45457.958333333336</v>
      </c>
      <c r="B100" s="6">
        <v>9.16</v>
      </c>
      <c r="C100" s="6">
        <v>4.0599999999999996</v>
      </c>
      <c r="D100" s="6">
        <v>13.92</v>
      </c>
      <c r="E100" s="6">
        <v>8.0299999999999994</v>
      </c>
      <c r="F100" s="6">
        <v>11.34</v>
      </c>
      <c r="G100" s="6">
        <v>43.53</v>
      </c>
      <c r="H100" s="6">
        <v>14.06</v>
      </c>
      <c r="I100" s="6">
        <v>4.83</v>
      </c>
      <c r="J100" s="6">
        <v>1.31</v>
      </c>
      <c r="K100" s="6">
        <v>263.57</v>
      </c>
      <c r="L100" s="6">
        <v>30.96</v>
      </c>
      <c r="M100" s="6">
        <v>52.07</v>
      </c>
      <c r="N100" s="6">
        <v>2.2000000000000002</v>
      </c>
      <c r="O100" s="6">
        <v>0</v>
      </c>
      <c r="P100" s="6">
        <v>0.38</v>
      </c>
      <c r="Q100" s="6">
        <v>3.98</v>
      </c>
    </row>
    <row r="101" spans="1:22" customFormat="1">
      <c r="A101" s="82">
        <v>45457.96875</v>
      </c>
      <c r="B101" s="6">
        <v>9.16</v>
      </c>
      <c r="C101" s="6">
        <v>4.09</v>
      </c>
      <c r="D101" s="6">
        <v>13.93</v>
      </c>
      <c r="E101" s="6">
        <v>8.24</v>
      </c>
      <c r="F101" s="6">
        <v>10.6</v>
      </c>
      <c r="G101" s="6">
        <v>35.119999999999997</v>
      </c>
      <c r="H101" s="6">
        <v>12.65</v>
      </c>
      <c r="I101" s="6">
        <v>4.68</v>
      </c>
      <c r="J101" s="6">
        <v>1.69</v>
      </c>
      <c r="K101" s="6">
        <v>266.36</v>
      </c>
      <c r="L101" s="6">
        <v>30.38</v>
      </c>
      <c r="M101" s="6">
        <v>55.72</v>
      </c>
      <c r="N101" s="6">
        <v>3</v>
      </c>
      <c r="O101" s="6">
        <v>0</v>
      </c>
      <c r="P101" s="6">
        <v>0.37</v>
      </c>
      <c r="Q101" s="6">
        <v>4</v>
      </c>
    </row>
    <row r="102" spans="1:22" customFormat="1">
      <c r="A102" s="82">
        <v>45457.979166666664</v>
      </c>
      <c r="B102" s="6">
        <v>9.16</v>
      </c>
      <c r="C102" s="6">
        <v>4.09</v>
      </c>
      <c r="D102" s="6">
        <v>13.93</v>
      </c>
      <c r="E102" s="6">
        <v>7.73</v>
      </c>
      <c r="F102" s="6">
        <v>10.65</v>
      </c>
      <c r="G102" s="6">
        <v>35.119999999999997</v>
      </c>
      <c r="H102" s="6">
        <v>12.65</v>
      </c>
      <c r="I102" s="6">
        <v>4.7300000000000004</v>
      </c>
      <c r="J102" s="6">
        <v>1.3</v>
      </c>
      <c r="K102" s="6">
        <v>266.22000000000003</v>
      </c>
      <c r="L102" s="6">
        <v>29.89</v>
      </c>
      <c r="M102" s="6">
        <v>59.35</v>
      </c>
      <c r="N102" s="6">
        <v>2.2000000000000002</v>
      </c>
      <c r="O102" s="6">
        <v>0</v>
      </c>
      <c r="P102" s="6">
        <v>0.36</v>
      </c>
      <c r="Q102" s="6">
        <v>3.99</v>
      </c>
    </row>
    <row r="103" spans="1:22" customFormat="1">
      <c r="A103" s="82">
        <v>45457.989583333336</v>
      </c>
      <c r="B103" s="6">
        <v>9.17</v>
      </c>
      <c r="C103" s="6">
        <v>4.08</v>
      </c>
      <c r="D103" s="6">
        <v>13.94</v>
      </c>
      <c r="E103" s="6">
        <v>8.09</v>
      </c>
      <c r="F103" s="6">
        <v>10.66</v>
      </c>
      <c r="G103" s="6">
        <v>35.119999999999997</v>
      </c>
      <c r="H103" s="6">
        <v>12.65</v>
      </c>
      <c r="I103" s="6">
        <v>4.62</v>
      </c>
      <c r="J103" s="6">
        <v>1.34</v>
      </c>
      <c r="K103" s="6">
        <v>262.55</v>
      </c>
      <c r="L103" s="6">
        <v>29.59</v>
      </c>
      <c r="M103" s="6">
        <v>63</v>
      </c>
      <c r="N103" s="6">
        <v>2</v>
      </c>
      <c r="O103" s="6">
        <v>0</v>
      </c>
      <c r="P103" s="6">
        <v>0.36</v>
      </c>
      <c r="Q103" s="6">
        <v>3.99</v>
      </c>
    </row>
    <row r="104" spans="1:22" customFormat="1">
      <c r="A104" s="82">
        <v>45458</v>
      </c>
      <c r="B104" s="6">
        <v>9.16</v>
      </c>
      <c r="C104" s="6">
        <v>4.09</v>
      </c>
      <c r="D104" s="6">
        <v>13.94</v>
      </c>
      <c r="E104" s="6">
        <v>8.19</v>
      </c>
      <c r="F104" s="6">
        <v>11.59</v>
      </c>
      <c r="G104" s="6">
        <v>35.74</v>
      </c>
      <c r="H104" s="6">
        <v>12.59</v>
      </c>
      <c r="I104" s="6">
        <v>4.53</v>
      </c>
      <c r="J104" s="6">
        <v>1.05</v>
      </c>
      <c r="K104" s="6">
        <v>263.18</v>
      </c>
      <c r="L104" s="6">
        <v>29.53</v>
      </c>
      <c r="M104" s="6">
        <v>63.33</v>
      </c>
      <c r="N104" s="6">
        <v>1.7</v>
      </c>
      <c r="O104" s="6">
        <v>0</v>
      </c>
      <c r="P104" s="6">
        <v>0.36</v>
      </c>
      <c r="Q104" s="6">
        <v>3.98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9.11</v>
      </c>
      <c r="C106" s="184">
        <f>MIN(C9:C104)</f>
        <v>4</v>
      </c>
      <c r="D106" s="184">
        <f t="shared" ref="D106:Q106" si="0">MIN(D9:D104)</f>
        <v>13.87</v>
      </c>
      <c r="E106" s="184">
        <f t="shared" si="0"/>
        <v>7.35</v>
      </c>
      <c r="F106" s="184">
        <f t="shared" si="0"/>
        <v>8.36</v>
      </c>
      <c r="G106" s="184">
        <f t="shared" si="0"/>
        <v>23.09</v>
      </c>
      <c r="H106" s="184">
        <f t="shared" si="0"/>
        <v>9.48</v>
      </c>
      <c r="I106" s="184">
        <f t="shared" si="0"/>
        <v>4.18</v>
      </c>
      <c r="J106" s="184">
        <f t="shared" si="0"/>
        <v>0.12</v>
      </c>
      <c r="K106" s="184">
        <f t="shared" si="0"/>
        <v>29.7</v>
      </c>
      <c r="L106" s="184">
        <f t="shared" si="0"/>
        <v>29.53</v>
      </c>
      <c r="M106" s="184">
        <f t="shared" si="0"/>
        <v>31.74</v>
      </c>
      <c r="N106" s="184">
        <f t="shared" si="0"/>
        <v>1.2</v>
      </c>
      <c r="O106" s="184">
        <f t="shared" si="0"/>
        <v>0</v>
      </c>
      <c r="P106" s="184">
        <f t="shared" si="0"/>
        <v>0.28000000000000003</v>
      </c>
      <c r="Q106" s="184">
        <f t="shared" si="0"/>
        <v>3.95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9.26</v>
      </c>
      <c r="C107" s="185">
        <f t="shared" ref="C107:Q107" si="1">MAX(C9:C104)</f>
        <v>4.12</v>
      </c>
      <c r="D107" s="185">
        <f t="shared" si="1"/>
        <v>13.99</v>
      </c>
      <c r="E107" s="185">
        <f t="shared" si="1"/>
        <v>42.72</v>
      </c>
      <c r="F107" s="185">
        <f t="shared" si="1"/>
        <v>52.61</v>
      </c>
      <c r="G107" s="185">
        <f t="shared" si="1"/>
        <v>68.48</v>
      </c>
      <c r="H107" s="185">
        <f t="shared" si="1"/>
        <v>21.19</v>
      </c>
      <c r="I107" s="185">
        <f t="shared" si="1"/>
        <v>10.42</v>
      </c>
      <c r="J107" s="185">
        <f t="shared" si="1"/>
        <v>1.69</v>
      </c>
      <c r="K107" s="185">
        <f t="shared" si="1"/>
        <v>348.77</v>
      </c>
      <c r="L107" s="185">
        <f t="shared" si="1"/>
        <v>40.25</v>
      </c>
      <c r="M107" s="185">
        <f t="shared" si="1"/>
        <v>63.33</v>
      </c>
      <c r="N107" s="185">
        <f t="shared" si="1"/>
        <v>775</v>
      </c>
      <c r="O107" s="185">
        <f t="shared" si="1"/>
        <v>0</v>
      </c>
      <c r="P107" s="185">
        <f t="shared" si="1"/>
        <v>0.56000000000000005</v>
      </c>
      <c r="Q107" s="185">
        <f t="shared" si="1"/>
        <v>4.0199999999999996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9.1734375000000004</v>
      </c>
      <c r="C108" s="184">
        <f t="shared" ref="C108:Q108" si="2">AVERAGE(C9:C104)</f>
        <v>4.0692708333333316</v>
      </c>
      <c r="D108" s="184">
        <f t="shared" si="2"/>
        <v>13.932291666666671</v>
      </c>
      <c r="E108" s="184">
        <f t="shared" si="2"/>
        <v>13.9515625</v>
      </c>
      <c r="F108" s="184">
        <f t="shared" si="2"/>
        <v>27.644791666666666</v>
      </c>
      <c r="G108" s="184">
        <f t="shared" si="2"/>
        <v>44.161354166666662</v>
      </c>
      <c r="H108" s="184">
        <f t="shared" si="2"/>
        <v>14.956666666666676</v>
      </c>
      <c r="I108" s="184">
        <f t="shared" si="2"/>
        <v>6.3931250000000013</v>
      </c>
      <c r="J108" s="184">
        <f t="shared" si="2"/>
        <v>0.77302083333333338</v>
      </c>
      <c r="K108" s="184">
        <f t="shared" si="2"/>
        <v>244.98510416666667</v>
      </c>
      <c r="L108" s="184">
        <f t="shared" si="2"/>
        <v>34.070000000000014</v>
      </c>
      <c r="M108" s="184">
        <f t="shared" si="2"/>
        <v>48.108854166666667</v>
      </c>
      <c r="N108" s="184">
        <f t="shared" si="2"/>
        <v>109.10729166666671</v>
      </c>
      <c r="O108" s="184">
        <f t="shared" si="2"/>
        <v>0</v>
      </c>
      <c r="P108" s="184">
        <f t="shared" si="2"/>
        <v>0.39270833333333321</v>
      </c>
      <c r="Q108" s="184">
        <f t="shared" si="2"/>
        <v>3.9904166666666714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4.1595245806272364E-2</v>
      </c>
      <c r="C109" s="184">
        <f t="shared" ref="C109:Q109" si="3">STDEV(C9:C104)</f>
        <v>1.9748140041222106E-2</v>
      </c>
      <c r="D109" s="184">
        <f t="shared" si="3"/>
        <v>3.3794398996117282E-2</v>
      </c>
      <c r="E109" s="184">
        <f t="shared" si="3"/>
        <v>7.4711915949655703</v>
      </c>
      <c r="F109" s="184">
        <f t="shared" si="3"/>
        <v>13.507813098091862</v>
      </c>
      <c r="G109" s="184">
        <f t="shared" si="3"/>
        <v>14.148782028279784</v>
      </c>
      <c r="H109" s="184">
        <f t="shared" si="3"/>
        <v>3.3582575891505617</v>
      </c>
      <c r="I109" s="184">
        <f t="shared" si="3"/>
        <v>1.5853522354752274</v>
      </c>
      <c r="J109" s="184">
        <f t="shared" si="3"/>
        <v>0.35807414636949914</v>
      </c>
      <c r="K109" s="184">
        <f t="shared" si="3"/>
        <v>59.021706426218365</v>
      </c>
      <c r="L109" s="184">
        <f t="shared" si="3"/>
        <v>2.9700239233486436</v>
      </c>
      <c r="M109" s="184">
        <f t="shared" si="3"/>
        <v>8.7805769945634999</v>
      </c>
      <c r="N109" s="184">
        <f t="shared" si="3"/>
        <v>153.26095890741155</v>
      </c>
      <c r="O109" s="184">
        <f t="shared" si="3"/>
        <v>0</v>
      </c>
      <c r="P109" s="184">
        <f t="shared" si="3"/>
        <v>6.7301038807447824E-2</v>
      </c>
      <c r="Q109" s="184">
        <f t="shared" si="3"/>
        <v>1.4790940802550672E-2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45458.010416666664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45458.010416666664</v>
      </c>
      <c r="B9" s="6">
        <v>9.3000000000000007</v>
      </c>
      <c r="C9" s="6">
        <v>4.08</v>
      </c>
      <c r="D9" s="6">
        <v>14.03</v>
      </c>
      <c r="E9" s="6">
        <v>8.58</v>
      </c>
      <c r="F9" s="6">
        <v>9.3800000000000008</v>
      </c>
      <c r="G9" s="6">
        <v>36.33</v>
      </c>
      <c r="H9" s="6">
        <v>12.56</v>
      </c>
      <c r="I9" s="6">
        <v>4.4800000000000004</v>
      </c>
      <c r="J9" s="6">
        <v>1.2</v>
      </c>
      <c r="K9" s="6">
        <v>266.70999999999998</v>
      </c>
      <c r="L9" s="6">
        <v>29.53</v>
      </c>
      <c r="M9" s="6">
        <v>62.71</v>
      </c>
      <c r="N9" s="6">
        <v>1.7</v>
      </c>
      <c r="O9" s="6">
        <v>0</v>
      </c>
      <c r="P9" s="6">
        <v>0.34</v>
      </c>
      <c r="Q9" s="6">
        <v>3.98</v>
      </c>
    </row>
    <row r="10" spans="1:21" customFormat="1">
      <c r="A10" s="82">
        <v>45458.020833333336</v>
      </c>
      <c r="B10" s="6">
        <v>9.3000000000000007</v>
      </c>
      <c r="C10" s="6">
        <v>4.08</v>
      </c>
      <c r="D10" s="6">
        <v>14.04</v>
      </c>
      <c r="E10" s="6">
        <v>8.75</v>
      </c>
      <c r="F10" s="6">
        <v>8.77</v>
      </c>
      <c r="G10" s="6">
        <v>36.33</v>
      </c>
      <c r="H10" s="6">
        <v>12.56</v>
      </c>
      <c r="I10" s="6">
        <v>4.3</v>
      </c>
      <c r="J10" s="6">
        <v>1.01</v>
      </c>
      <c r="K10" s="6">
        <v>260.12</v>
      </c>
      <c r="L10" s="6">
        <v>29.57</v>
      </c>
      <c r="M10" s="6">
        <v>61.68</v>
      </c>
      <c r="N10" s="6">
        <v>1.5</v>
      </c>
      <c r="O10" s="6">
        <v>0</v>
      </c>
      <c r="P10" s="6">
        <v>0.34</v>
      </c>
      <c r="Q10" s="6">
        <v>3.98</v>
      </c>
    </row>
    <row r="11" spans="1:21" customFormat="1">
      <c r="A11" s="82">
        <v>45458.03125</v>
      </c>
      <c r="B11" s="6">
        <v>9.2899999999999991</v>
      </c>
      <c r="C11" s="6">
        <v>4.07</v>
      </c>
      <c r="D11" s="6">
        <v>14.03</v>
      </c>
      <c r="E11" s="6">
        <v>8.35</v>
      </c>
      <c r="F11" s="6">
        <v>8.5399999999999991</v>
      </c>
      <c r="G11" s="6">
        <v>36.33</v>
      </c>
      <c r="H11" s="6">
        <v>12.56</v>
      </c>
      <c r="I11" s="6">
        <v>4.33</v>
      </c>
      <c r="J11" s="6">
        <v>1.23</v>
      </c>
      <c r="K11" s="6">
        <v>269.69</v>
      </c>
      <c r="L11" s="6">
        <v>29.56</v>
      </c>
      <c r="M11" s="6">
        <v>60.1</v>
      </c>
      <c r="N11" s="6">
        <v>1.6</v>
      </c>
      <c r="O11" s="6">
        <v>0</v>
      </c>
      <c r="P11" s="6">
        <v>0.33</v>
      </c>
      <c r="Q11" s="6">
        <v>3.99</v>
      </c>
    </row>
    <row r="12" spans="1:21" customFormat="1">
      <c r="A12" s="82">
        <v>45458.041666666664</v>
      </c>
      <c r="B12" s="6">
        <v>9.2899999999999991</v>
      </c>
      <c r="C12" s="6">
        <v>4.07</v>
      </c>
      <c r="D12" s="6">
        <v>14.03</v>
      </c>
      <c r="E12" s="6">
        <v>8.74</v>
      </c>
      <c r="F12" s="6">
        <v>9.09</v>
      </c>
      <c r="G12" s="6">
        <v>34.53</v>
      </c>
      <c r="H12" s="6">
        <v>11.31</v>
      </c>
      <c r="I12" s="6">
        <v>4.26</v>
      </c>
      <c r="J12" s="6">
        <v>1.1399999999999999</v>
      </c>
      <c r="K12" s="6">
        <v>261.48</v>
      </c>
      <c r="L12" s="6">
        <v>29.56</v>
      </c>
      <c r="M12" s="6">
        <v>57.56</v>
      </c>
      <c r="N12" s="6">
        <v>1.7</v>
      </c>
      <c r="O12" s="6">
        <v>0</v>
      </c>
      <c r="P12" s="6">
        <v>0.33</v>
      </c>
      <c r="Q12" s="6">
        <v>3.96</v>
      </c>
    </row>
    <row r="13" spans="1:21" customFormat="1">
      <c r="A13" s="82">
        <v>45458.052083333336</v>
      </c>
      <c r="B13" s="6">
        <v>9.27</v>
      </c>
      <c r="C13" s="6">
        <v>4.08</v>
      </c>
      <c r="D13" s="6">
        <v>14.02</v>
      </c>
      <c r="E13" s="6">
        <v>8.35</v>
      </c>
      <c r="F13" s="6">
        <v>10.199999999999999</v>
      </c>
      <c r="G13" s="6">
        <v>32.799999999999997</v>
      </c>
      <c r="H13" s="6">
        <v>10.73</v>
      </c>
      <c r="I13" s="6">
        <v>4.12</v>
      </c>
      <c r="J13" s="6">
        <v>1.01</v>
      </c>
      <c r="K13" s="6">
        <v>261.58999999999997</v>
      </c>
      <c r="L13" s="6">
        <v>29.47</v>
      </c>
      <c r="M13" s="6">
        <v>58.1</v>
      </c>
      <c r="N13" s="6">
        <v>1.9</v>
      </c>
      <c r="O13" s="6">
        <v>0</v>
      </c>
      <c r="P13" s="6">
        <v>0.33</v>
      </c>
      <c r="Q13" s="6">
        <v>3.97</v>
      </c>
    </row>
    <row r="14" spans="1:21" customFormat="1">
      <c r="A14" s="82">
        <v>45458.0625</v>
      </c>
      <c r="B14" s="6">
        <v>9.2799999999999994</v>
      </c>
      <c r="C14" s="6">
        <v>4.0599999999999996</v>
      </c>
      <c r="D14" s="6">
        <v>14.02</v>
      </c>
      <c r="E14" s="6">
        <v>9.1</v>
      </c>
      <c r="F14" s="6">
        <v>9.9700000000000006</v>
      </c>
      <c r="G14" s="6">
        <v>32.799999999999997</v>
      </c>
      <c r="H14" s="6">
        <v>10.73</v>
      </c>
      <c r="I14" s="6">
        <v>4.13</v>
      </c>
      <c r="J14" s="6">
        <v>0.46</v>
      </c>
      <c r="K14" s="6">
        <v>263.89999999999998</v>
      </c>
      <c r="L14" s="6">
        <v>29.34</v>
      </c>
      <c r="M14" s="6">
        <v>58.7</v>
      </c>
      <c r="N14" s="6">
        <v>1.7</v>
      </c>
      <c r="O14" s="6">
        <v>0</v>
      </c>
      <c r="P14" s="6">
        <v>0.32</v>
      </c>
      <c r="Q14" s="6">
        <v>3.99</v>
      </c>
    </row>
    <row r="15" spans="1:21" customFormat="1">
      <c r="A15" s="82">
        <v>45458.072916666664</v>
      </c>
      <c r="B15" s="6">
        <v>9.2799999999999994</v>
      </c>
      <c r="C15" s="6">
        <v>4.09</v>
      </c>
      <c r="D15" s="6">
        <v>14.03</v>
      </c>
      <c r="E15" s="6">
        <v>9.35</v>
      </c>
      <c r="F15" s="6">
        <v>10.32</v>
      </c>
      <c r="G15" s="6">
        <v>32.799999999999997</v>
      </c>
      <c r="H15" s="6">
        <v>10.73</v>
      </c>
      <c r="I15" s="6">
        <v>4.0999999999999996</v>
      </c>
      <c r="J15" s="6">
        <v>0.68</v>
      </c>
      <c r="K15" s="6">
        <v>299.52</v>
      </c>
      <c r="L15" s="6">
        <v>29.1</v>
      </c>
      <c r="M15" s="6">
        <v>58.5</v>
      </c>
      <c r="N15" s="6">
        <v>1.5</v>
      </c>
      <c r="O15" s="6">
        <v>0</v>
      </c>
      <c r="P15" s="6">
        <v>0.32</v>
      </c>
      <c r="Q15" s="6">
        <v>4</v>
      </c>
    </row>
    <row r="16" spans="1:21" customFormat="1">
      <c r="A16" s="82">
        <v>45458.083333333336</v>
      </c>
      <c r="B16" s="6">
        <v>9.2799999999999994</v>
      </c>
      <c r="C16" s="6">
        <v>4.08</v>
      </c>
      <c r="D16" s="6">
        <v>14.02</v>
      </c>
      <c r="E16" s="6">
        <v>9.4499999999999993</v>
      </c>
      <c r="F16" s="6">
        <v>9.2799999999999994</v>
      </c>
      <c r="G16" s="6">
        <v>30.02</v>
      </c>
      <c r="H16" s="6">
        <v>10.67</v>
      </c>
      <c r="I16" s="6">
        <v>3.92</v>
      </c>
      <c r="J16" s="6">
        <v>0.49</v>
      </c>
      <c r="K16" s="6">
        <v>263.17</v>
      </c>
      <c r="L16" s="6">
        <v>29.3</v>
      </c>
      <c r="M16" s="6">
        <v>56.71</v>
      </c>
      <c r="N16" s="6">
        <v>1.6</v>
      </c>
      <c r="O16" s="6">
        <v>0</v>
      </c>
      <c r="P16" s="6">
        <v>0.36</v>
      </c>
      <c r="Q16" s="6">
        <v>3.98</v>
      </c>
    </row>
    <row r="17" spans="1:17" customFormat="1">
      <c r="A17" s="82">
        <v>45458.09375</v>
      </c>
      <c r="B17" s="6">
        <v>9.27</v>
      </c>
      <c r="C17" s="6">
        <v>4.0999999999999996</v>
      </c>
      <c r="D17" s="6">
        <v>14.03</v>
      </c>
      <c r="E17" s="6">
        <v>9.35</v>
      </c>
      <c r="F17" s="6">
        <v>9.17</v>
      </c>
      <c r="G17" s="6">
        <v>27.25</v>
      </c>
      <c r="H17" s="6">
        <v>10.62</v>
      </c>
      <c r="I17" s="6">
        <v>3.94</v>
      </c>
      <c r="J17" s="6">
        <v>0.56000000000000005</v>
      </c>
      <c r="K17" s="6">
        <v>268.02</v>
      </c>
      <c r="L17" s="6">
        <v>29.18</v>
      </c>
      <c r="M17" s="6">
        <v>57.9</v>
      </c>
      <c r="N17" s="6">
        <v>2</v>
      </c>
      <c r="O17" s="6">
        <v>0</v>
      </c>
      <c r="P17" s="6">
        <v>0.39</v>
      </c>
      <c r="Q17" s="6">
        <v>3.97</v>
      </c>
    </row>
    <row r="18" spans="1:17" customFormat="1">
      <c r="A18" s="82">
        <v>45458.104166666664</v>
      </c>
      <c r="B18" s="6">
        <v>9.2899999999999991</v>
      </c>
      <c r="C18" s="6">
        <v>4.0999999999999996</v>
      </c>
      <c r="D18" s="6">
        <v>14.05</v>
      </c>
      <c r="E18" s="6">
        <v>11.19</v>
      </c>
      <c r="F18" s="6">
        <v>14.2</v>
      </c>
      <c r="G18" s="6">
        <v>27.25</v>
      </c>
      <c r="H18" s="6">
        <v>10.62</v>
      </c>
      <c r="I18" s="6">
        <v>4.4400000000000004</v>
      </c>
      <c r="J18" s="6">
        <v>0.7</v>
      </c>
      <c r="K18" s="6">
        <v>263.89999999999998</v>
      </c>
      <c r="L18" s="6">
        <v>29.05</v>
      </c>
      <c r="M18" s="6">
        <v>58.18</v>
      </c>
      <c r="N18" s="6">
        <v>1.8</v>
      </c>
      <c r="O18" s="6">
        <v>0</v>
      </c>
      <c r="P18" s="6">
        <v>0.37</v>
      </c>
      <c r="Q18" s="6">
        <v>3.97</v>
      </c>
    </row>
    <row r="19" spans="1:17" customFormat="1">
      <c r="A19" s="82">
        <v>45458.114583333336</v>
      </c>
      <c r="B19" s="6">
        <v>9.27</v>
      </c>
      <c r="C19" s="6">
        <v>4.0599999999999996</v>
      </c>
      <c r="D19" s="6">
        <v>14.01</v>
      </c>
      <c r="E19" s="6">
        <v>10.89</v>
      </c>
      <c r="F19" s="6">
        <v>17.809999999999999</v>
      </c>
      <c r="G19" s="6">
        <v>27.25</v>
      </c>
      <c r="H19" s="6">
        <v>10.62</v>
      </c>
      <c r="I19" s="6">
        <v>4.74</v>
      </c>
      <c r="J19" s="6">
        <v>0.47</v>
      </c>
      <c r="K19" s="6">
        <v>247.3</v>
      </c>
      <c r="L19" s="6">
        <v>28.94</v>
      </c>
      <c r="M19" s="6">
        <v>59.47</v>
      </c>
      <c r="N19" s="6">
        <v>1.8</v>
      </c>
      <c r="O19" s="6">
        <v>0</v>
      </c>
      <c r="P19" s="6">
        <v>0.35</v>
      </c>
      <c r="Q19" s="6">
        <v>3.97</v>
      </c>
    </row>
    <row r="20" spans="1:17" customFormat="1">
      <c r="A20" s="82">
        <v>45458.125</v>
      </c>
      <c r="B20" s="6">
        <v>9.26</v>
      </c>
      <c r="C20" s="6">
        <v>4.08</v>
      </c>
      <c r="D20" s="6">
        <v>14.01</v>
      </c>
      <c r="E20" s="6">
        <v>9.7799999999999994</v>
      </c>
      <c r="F20" s="6">
        <v>21.01</v>
      </c>
      <c r="G20" s="6">
        <v>25.86</v>
      </c>
      <c r="H20" s="6">
        <v>9.36</v>
      </c>
      <c r="I20" s="6">
        <v>4.6900000000000004</v>
      </c>
      <c r="J20" s="6">
        <v>0.32</v>
      </c>
      <c r="K20" s="6">
        <v>261.13</v>
      </c>
      <c r="L20" s="6">
        <v>28.76</v>
      </c>
      <c r="M20" s="6">
        <v>60.99</v>
      </c>
      <c r="N20" s="6">
        <v>1.8</v>
      </c>
      <c r="O20" s="6">
        <v>0</v>
      </c>
      <c r="P20" s="6">
        <v>0.33</v>
      </c>
      <c r="Q20" s="6">
        <v>4</v>
      </c>
    </row>
    <row r="21" spans="1:17" customFormat="1">
      <c r="A21" s="82">
        <v>45458.135416666664</v>
      </c>
      <c r="B21" s="6">
        <v>9.2799999999999994</v>
      </c>
      <c r="C21" s="6">
        <v>4.08</v>
      </c>
      <c r="D21" s="6">
        <v>14.03</v>
      </c>
      <c r="E21" s="6">
        <v>8.81</v>
      </c>
      <c r="F21" s="6">
        <v>24.83</v>
      </c>
      <c r="G21" s="6">
        <v>24.54</v>
      </c>
      <c r="H21" s="6">
        <v>8.77</v>
      </c>
      <c r="I21" s="6">
        <v>4.74</v>
      </c>
      <c r="J21" s="6">
        <v>0.23</v>
      </c>
      <c r="K21" s="6">
        <v>231.65</v>
      </c>
      <c r="L21" s="6">
        <v>28.43</v>
      </c>
      <c r="M21" s="6">
        <v>62.08</v>
      </c>
      <c r="N21" s="6">
        <v>1.9</v>
      </c>
      <c r="O21" s="6">
        <v>0</v>
      </c>
      <c r="P21" s="6">
        <v>0.3</v>
      </c>
      <c r="Q21" s="6">
        <v>3.98</v>
      </c>
    </row>
    <row r="22" spans="1:17" customFormat="1">
      <c r="A22" s="82">
        <v>45458.145833333336</v>
      </c>
      <c r="B22" s="6">
        <v>9.3000000000000007</v>
      </c>
      <c r="C22" s="6">
        <v>4.0599999999999996</v>
      </c>
      <c r="D22" s="6">
        <v>14.04</v>
      </c>
      <c r="E22" s="6">
        <v>8.3000000000000007</v>
      </c>
      <c r="F22" s="6">
        <v>26.65</v>
      </c>
      <c r="G22" s="6">
        <v>24.54</v>
      </c>
      <c r="H22" s="6">
        <v>8.77</v>
      </c>
      <c r="I22" s="6">
        <v>4.47</v>
      </c>
      <c r="J22" s="6">
        <v>0.22</v>
      </c>
      <c r="K22" s="6">
        <v>212.81</v>
      </c>
      <c r="L22" s="6">
        <v>28.57</v>
      </c>
      <c r="M22" s="6">
        <v>62.35</v>
      </c>
      <c r="N22" s="6">
        <v>1.7</v>
      </c>
      <c r="O22" s="6">
        <v>0</v>
      </c>
      <c r="P22" s="6">
        <v>0.27</v>
      </c>
      <c r="Q22" s="6">
        <v>3.97</v>
      </c>
    </row>
    <row r="23" spans="1:17" customFormat="1">
      <c r="A23" s="82">
        <v>45458.15625</v>
      </c>
      <c r="B23" s="6">
        <v>9.3000000000000007</v>
      </c>
      <c r="C23" s="6">
        <v>4.09</v>
      </c>
      <c r="D23" s="6">
        <v>14.04</v>
      </c>
      <c r="E23" s="6">
        <v>7.79</v>
      </c>
      <c r="F23" s="6">
        <v>26.95</v>
      </c>
      <c r="G23" s="6">
        <v>24.54</v>
      </c>
      <c r="H23" s="6">
        <v>8.77</v>
      </c>
      <c r="I23" s="6">
        <v>4.0599999999999996</v>
      </c>
      <c r="J23" s="6">
        <v>0.39</v>
      </c>
      <c r="K23" s="6">
        <v>248.23</v>
      </c>
      <c r="L23" s="6">
        <v>28.34</v>
      </c>
      <c r="M23" s="6">
        <v>63.69</v>
      </c>
      <c r="N23" s="6">
        <v>1.8</v>
      </c>
      <c r="O23" s="6">
        <v>0</v>
      </c>
      <c r="P23" s="6">
        <v>0.26</v>
      </c>
      <c r="Q23" s="6">
        <v>3.98</v>
      </c>
    </row>
    <row r="24" spans="1:17" customFormat="1">
      <c r="A24" s="82">
        <v>45458.166666666664</v>
      </c>
      <c r="B24" s="6">
        <v>9.32</v>
      </c>
      <c r="C24" s="6">
        <v>4.0599999999999996</v>
      </c>
      <c r="D24" s="6">
        <v>14.05</v>
      </c>
      <c r="E24" s="6">
        <v>7.45</v>
      </c>
      <c r="F24" s="6">
        <v>25.72</v>
      </c>
      <c r="G24" s="6">
        <v>22.63</v>
      </c>
      <c r="H24" s="6">
        <v>7.94</v>
      </c>
      <c r="I24" s="6">
        <v>3.99</v>
      </c>
      <c r="J24" s="6">
        <v>0.4</v>
      </c>
      <c r="K24" s="6">
        <v>242.39</v>
      </c>
      <c r="L24" s="6">
        <v>28.26</v>
      </c>
      <c r="M24" s="6">
        <v>63.77</v>
      </c>
      <c r="N24" s="6">
        <v>1.9</v>
      </c>
      <c r="O24" s="6">
        <v>0</v>
      </c>
      <c r="P24" s="6">
        <v>0.26</v>
      </c>
      <c r="Q24" s="6">
        <v>3.98</v>
      </c>
    </row>
    <row r="25" spans="1:17" customFormat="1">
      <c r="A25" s="82">
        <v>45458.177083333336</v>
      </c>
      <c r="B25" s="6">
        <v>9.3800000000000008</v>
      </c>
      <c r="C25" s="6">
        <v>4.03</v>
      </c>
      <c r="D25" s="6">
        <v>14.08</v>
      </c>
      <c r="E25" s="6">
        <v>7.63</v>
      </c>
      <c r="F25" s="6">
        <v>28.6</v>
      </c>
      <c r="G25" s="6">
        <v>20.81</v>
      </c>
      <c r="H25" s="6">
        <v>7.56</v>
      </c>
      <c r="I25" s="6">
        <v>3.85</v>
      </c>
      <c r="J25" s="6">
        <v>0.42</v>
      </c>
      <c r="K25" s="6">
        <v>254.24</v>
      </c>
      <c r="L25" s="6">
        <v>28.12</v>
      </c>
      <c r="M25" s="6">
        <v>64.81</v>
      </c>
      <c r="N25" s="6">
        <v>1.9</v>
      </c>
      <c r="O25" s="6">
        <v>0</v>
      </c>
      <c r="P25" s="6">
        <v>0.24</v>
      </c>
      <c r="Q25" s="6">
        <v>3.98</v>
      </c>
    </row>
    <row r="26" spans="1:17" customFormat="1">
      <c r="A26" s="82">
        <v>45458.1875</v>
      </c>
      <c r="B26" s="6">
        <v>9.35</v>
      </c>
      <c r="C26" s="6">
        <v>4.0599999999999996</v>
      </c>
      <c r="D26" s="6">
        <v>14.07</v>
      </c>
      <c r="E26" s="6">
        <v>7.59</v>
      </c>
      <c r="F26" s="6">
        <v>23.58</v>
      </c>
      <c r="G26" s="6">
        <v>20.81</v>
      </c>
      <c r="H26" s="6">
        <v>7.56</v>
      </c>
      <c r="I26" s="6">
        <v>3.87</v>
      </c>
      <c r="J26" s="6">
        <v>0.39</v>
      </c>
      <c r="K26" s="6">
        <v>252.89</v>
      </c>
      <c r="L26" s="6">
        <v>28.28</v>
      </c>
      <c r="M26" s="6">
        <v>65.06</v>
      </c>
      <c r="N26" s="6">
        <v>1.7</v>
      </c>
      <c r="O26" s="6">
        <v>0</v>
      </c>
      <c r="P26" s="6">
        <v>0.23</v>
      </c>
      <c r="Q26" s="6">
        <v>3.98</v>
      </c>
    </row>
    <row r="27" spans="1:17" customFormat="1">
      <c r="A27" s="82">
        <v>45458.197916666664</v>
      </c>
      <c r="B27" s="6">
        <v>9.31</v>
      </c>
      <c r="C27" s="6">
        <v>4.09</v>
      </c>
      <c r="D27" s="6">
        <v>14.05</v>
      </c>
      <c r="E27" s="6">
        <v>7.84</v>
      </c>
      <c r="F27" s="6">
        <v>23.73</v>
      </c>
      <c r="G27" s="6">
        <v>20.81</v>
      </c>
      <c r="H27" s="6">
        <v>7.56</v>
      </c>
      <c r="I27" s="6">
        <v>3.66</v>
      </c>
      <c r="J27" s="6">
        <v>0.34</v>
      </c>
      <c r="K27" s="6">
        <v>230.86</v>
      </c>
      <c r="L27" s="6">
        <v>28.2</v>
      </c>
      <c r="M27" s="6">
        <v>65.849999999999994</v>
      </c>
      <c r="N27" s="6">
        <v>1.8</v>
      </c>
      <c r="O27" s="6">
        <v>0</v>
      </c>
      <c r="P27" s="6">
        <v>0.23</v>
      </c>
      <c r="Q27" s="6">
        <v>3.98</v>
      </c>
    </row>
    <row r="28" spans="1:17" customFormat="1">
      <c r="A28" s="82">
        <v>45458.208333333336</v>
      </c>
      <c r="B28" s="6">
        <v>9.31</v>
      </c>
      <c r="C28" s="6">
        <v>4.08</v>
      </c>
      <c r="D28" s="6">
        <v>14.05</v>
      </c>
      <c r="E28" s="6">
        <v>7.14</v>
      </c>
      <c r="F28" s="6">
        <v>24.97</v>
      </c>
      <c r="G28" s="6">
        <v>20.45</v>
      </c>
      <c r="H28" s="6">
        <v>7.8</v>
      </c>
      <c r="I28" s="6">
        <v>3.79</v>
      </c>
      <c r="J28" s="6">
        <v>0.32</v>
      </c>
      <c r="K28" s="6">
        <v>247.33</v>
      </c>
      <c r="L28" s="6">
        <v>28.23</v>
      </c>
      <c r="M28" s="6">
        <v>66.09</v>
      </c>
      <c r="N28" s="6">
        <v>1.9</v>
      </c>
      <c r="O28" s="6">
        <v>0</v>
      </c>
      <c r="P28" s="6">
        <v>0.24</v>
      </c>
      <c r="Q28" s="6">
        <v>3.97</v>
      </c>
    </row>
    <row r="29" spans="1:17" customFormat="1">
      <c r="A29" s="82">
        <v>45458.21875</v>
      </c>
      <c r="B29" s="6">
        <v>9.32</v>
      </c>
      <c r="C29" s="6">
        <v>4.0599999999999996</v>
      </c>
      <c r="D29" s="6">
        <v>14.05</v>
      </c>
      <c r="E29" s="6">
        <v>7.57</v>
      </c>
      <c r="F29" s="6">
        <v>23.12</v>
      </c>
      <c r="G29" s="6">
        <v>20.11</v>
      </c>
      <c r="H29" s="6">
        <v>7.91</v>
      </c>
      <c r="I29" s="6">
        <v>3.66</v>
      </c>
      <c r="J29" s="6">
        <v>0.25</v>
      </c>
      <c r="K29" s="6">
        <v>226.05</v>
      </c>
      <c r="L29" s="6">
        <v>28.21</v>
      </c>
      <c r="M29" s="6">
        <v>66.66</v>
      </c>
      <c r="N29" s="6">
        <v>2.4</v>
      </c>
      <c r="O29" s="6">
        <v>0</v>
      </c>
      <c r="P29" s="6">
        <v>0.24</v>
      </c>
      <c r="Q29" s="6">
        <v>3.99</v>
      </c>
    </row>
    <row r="30" spans="1:17" customFormat="1">
      <c r="A30" s="82">
        <v>45458.229166666664</v>
      </c>
      <c r="B30" s="6">
        <v>9.31</v>
      </c>
      <c r="C30" s="6">
        <v>4.07</v>
      </c>
      <c r="D30" s="6">
        <v>14.04</v>
      </c>
      <c r="E30" s="6">
        <v>7.84</v>
      </c>
      <c r="F30" s="6">
        <v>18.39</v>
      </c>
      <c r="G30" s="6">
        <v>20.11</v>
      </c>
      <c r="H30" s="6">
        <v>7.91</v>
      </c>
      <c r="I30" s="6">
        <v>3.62</v>
      </c>
      <c r="J30" s="6">
        <v>0.43</v>
      </c>
      <c r="K30" s="6">
        <v>247.36</v>
      </c>
      <c r="L30" s="6">
        <v>28.19</v>
      </c>
      <c r="M30" s="6">
        <v>67.010000000000005</v>
      </c>
      <c r="N30" s="6">
        <v>6</v>
      </c>
      <c r="O30" s="6">
        <v>0</v>
      </c>
      <c r="P30" s="6">
        <v>0.24</v>
      </c>
      <c r="Q30" s="6">
        <v>3.99</v>
      </c>
    </row>
    <row r="31" spans="1:17" customFormat="1">
      <c r="A31" s="82">
        <v>45458.239583333336</v>
      </c>
      <c r="B31" s="6">
        <v>9.31</v>
      </c>
      <c r="C31" s="6">
        <v>4.0599999999999996</v>
      </c>
      <c r="D31" s="6">
        <v>14.03</v>
      </c>
      <c r="E31" s="6">
        <v>7.33</v>
      </c>
      <c r="F31" s="6">
        <v>18.350000000000001</v>
      </c>
      <c r="G31" s="6">
        <v>20.11</v>
      </c>
      <c r="H31" s="6">
        <v>7.91</v>
      </c>
      <c r="I31" s="6">
        <v>3.68</v>
      </c>
      <c r="J31" s="6">
        <v>0.5</v>
      </c>
      <c r="K31" s="6">
        <v>252.65</v>
      </c>
      <c r="L31" s="6">
        <v>28.23</v>
      </c>
      <c r="M31" s="6">
        <v>66.98</v>
      </c>
      <c r="N31" s="6">
        <v>14.4</v>
      </c>
      <c r="O31" s="6">
        <v>0</v>
      </c>
      <c r="P31" s="6">
        <v>0.25</v>
      </c>
      <c r="Q31" s="6">
        <v>4</v>
      </c>
    </row>
    <row r="32" spans="1:17" customFormat="1">
      <c r="A32" s="82">
        <v>45458.25</v>
      </c>
      <c r="B32" s="6">
        <v>9.3000000000000007</v>
      </c>
      <c r="C32" s="6">
        <v>4.0599999999999996</v>
      </c>
      <c r="D32" s="6">
        <v>14.03</v>
      </c>
      <c r="E32" s="6">
        <v>7.17</v>
      </c>
      <c r="F32" s="6">
        <v>20.25</v>
      </c>
      <c r="G32" s="6">
        <v>20.59</v>
      </c>
      <c r="H32" s="6">
        <v>8.19</v>
      </c>
      <c r="I32" s="6">
        <v>3.92</v>
      </c>
      <c r="J32" s="6">
        <v>0.52</v>
      </c>
      <c r="K32" s="6">
        <v>266.99</v>
      </c>
      <c r="L32" s="6">
        <v>28.43</v>
      </c>
      <c r="M32" s="6">
        <v>66.489999999999995</v>
      </c>
      <c r="N32" s="6">
        <v>33.799999999999997</v>
      </c>
      <c r="O32" s="6">
        <v>0</v>
      </c>
      <c r="P32" s="6">
        <v>0.25</v>
      </c>
      <c r="Q32" s="6">
        <v>4</v>
      </c>
    </row>
    <row r="33" spans="1:17" customFormat="1">
      <c r="A33" s="82">
        <v>45458.260416666664</v>
      </c>
      <c r="B33" s="6">
        <v>9.31</v>
      </c>
      <c r="C33" s="6">
        <v>4.0599999999999996</v>
      </c>
      <c r="D33" s="6">
        <v>14.03</v>
      </c>
      <c r="E33" s="6">
        <v>8.2899999999999991</v>
      </c>
      <c r="F33" s="6">
        <v>13.66</v>
      </c>
      <c r="G33" s="6">
        <v>21.05</v>
      </c>
      <c r="H33" s="6">
        <v>8.32</v>
      </c>
      <c r="I33" s="6">
        <v>3.94</v>
      </c>
      <c r="J33" s="6">
        <v>0.85</v>
      </c>
      <c r="K33" s="6">
        <v>263.42</v>
      </c>
      <c r="L33" s="6">
        <v>28.77</v>
      </c>
      <c r="M33" s="6">
        <v>64.89</v>
      </c>
      <c r="N33" s="6">
        <v>50.8</v>
      </c>
      <c r="O33" s="6">
        <v>0</v>
      </c>
      <c r="P33" s="6">
        <v>0.27</v>
      </c>
      <c r="Q33" s="6">
        <v>3.99</v>
      </c>
    </row>
    <row r="34" spans="1:17" customFormat="1">
      <c r="A34" s="82">
        <v>45458.270833333336</v>
      </c>
      <c r="B34" s="6">
        <v>9.3000000000000007</v>
      </c>
      <c r="C34" s="6">
        <v>4.07</v>
      </c>
      <c r="D34" s="6">
        <v>14.04</v>
      </c>
      <c r="E34" s="6">
        <v>9.43</v>
      </c>
      <c r="F34" s="6">
        <v>12.81</v>
      </c>
      <c r="G34" s="6">
        <v>21.05</v>
      </c>
      <c r="H34" s="6">
        <v>8.32</v>
      </c>
      <c r="I34" s="6">
        <v>3.95</v>
      </c>
      <c r="J34" s="6">
        <v>0.93</v>
      </c>
      <c r="K34" s="6">
        <v>260.2</v>
      </c>
      <c r="L34" s="6">
        <v>28.98</v>
      </c>
      <c r="M34" s="6">
        <v>64.05</v>
      </c>
      <c r="N34" s="6">
        <v>58.5</v>
      </c>
      <c r="O34" s="6">
        <v>0</v>
      </c>
      <c r="P34" s="6">
        <v>0.28999999999999998</v>
      </c>
      <c r="Q34" s="6">
        <v>3.99</v>
      </c>
    </row>
    <row r="35" spans="1:17" customFormat="1">
      <c r="A35" s="82">
        <v>45458.28125</v>
      </c>
      <c r="B35" s="6">
        <v>9.3000000000000007</v>
      </c>
      <c r="C35" s="6">
        <v>4.0599999999999996</v>
      </c>
      <c r="D35" s="6">
        <v>14.03</v>
      </c>
      <c r="E35" s="6">
        <v>9.6</v>
      </c>
      <c r="F35" s="6">
        <v>11.11</v>
      </c>
      <c r="G35" s="6">
        <v>21.05</v>
      </c>
      <c r="H35" s="6">
        <v>8.32</v>
      </c>
      <c r="I35" s="6">
        <v>4.37</v>
      </c>
      <c r="J35" s="6">
        <v>0.96</v>
      </c>
      <c r="K35" s="6">
        <v>269.67</v>
      </c>
      <c r="L35" s="6">
        <v>29.08</v>
      </c>
      <c r="M35" s="6">
        <v>63.58</v>
      </c>
      <c r="N35" s="6">
        <v>92</v>
      </c>
      <c r="O35" s="6">
        <v>0</v>
      </c>
      <c r="P35" s="6">
        <v>0.32</v>
      </c>
      <c r="Q35" s="6">
        <v>3.99</v>
      </c>
    </row>
    <row r="36" spans="1:17" customFormat="1">
      <c r="A36" s="82">
        <v>45458.291666666664</v>
      </c>
      <c r="B36" s="6">
        <v>9.2899999999999991</v>
      </c>
      <c r="C36" s="6">
        <v>4.09</v>
      </c>
      <c r="D36" s="6">
        <v>14.04</v>
      </c>
      <c r="E36" s="6">
        <v>8.64</v>
      </c>
      <c r="F36" s="6">
        <v>9.8000000000000007</v>
      </c>
      <c r="G36" s="6">
        <v>20.239999999999998</v>
      </c>
      <c r="H36" s="6">
        <v>8.6</v>
      </c>
      <c r="I36" s="6">
        <v>4.53</v>
      </c>
      <c r="J36" s="6">
        <v>1.01</v>
      </c>
      <c r="K36" s="6">
        <v>268.47000000000003</v>
      </c>
      <c r="L36" s="6">
        <v>29.5</v>
      </c>
      <c r="M36" s="6">
        <v>62.29</v>
      </c>
      <c r="N36" s="6">
        <v>114.5</v>
      </c>
      <c r="O36" s="6">
        <v>0</v>
      </c>
      <c r="P36" s="6">
        <v>0.34</v>
      </c>
      <c r="Q36" s="6">
        <v>3.99</v>
      </c>
    </row>
    <row r="37" spans="1:17" customFormat="1">
      <c r="A37" s="82">
        <v>45458.302083333336</v>
      </c>
      <c r="B37" s="6">
        <v>9.31</v>
      </c>
      <c r="C37" s="6">
        <v>4.07</v>
      </c>
      <c r="D37" s="6">
        <v>14.04</v>
      </c>
      <c r="E37" s="6">
        <v>8.52</v>
      </c>
      <c r="F37" s="6">
        <v>7.87</v>
      </c>
      <c r="G37" s="6">
        <v>19.47</v>
      </c>
      <c r="H37" s="6">
        <v>8.7200000000000006</v>
      </c>
      <c r="I37" s="6">
        <v>4.6399999999999997</v>
      </c>
      <c r="J37" s="6">
        <v>0.9</v>
      </c>
      <c r="K37" s="6">
        <v>258.22000000000003</v>
      </c>
      <c r="L37" s="6">
        <v>29.95</v>
      </c>
      <c r="M37" s="6">
        <v>61.22</v>
      </c>
      <c r="N37" s="6">
        <v>118.1</v>
      </c>
      <c r="O37" s="6">
        <v>0</v>
      </c>
      <c r="P37" s="6">
        <v>0.36</v>
      </c>
      <c r="Q37" s="6">
        <v>3.95</v>
      </c>
    </row>
    <row r="38" spans="1:17" customFormat="1">
      <c r="A38" s="82">
        <v>45458.3125</v>
      </c>
      <c r="B38" s="6">
        <v>9.34</v>
      </c>
      <c r="C38" s="6">
        <v>4.0599999999999996</v>
      </c>
      <c r="D38" s="6">
        <v>14.06</v>
      </c>
      <c r="E38" s="6">
        <v>8.48</v>
      </c>
      <c r="F38" s="6">
        <v>8.27</v>
      </c>
      <c r="G38" s="6">
        <v>19.47</v>
      </c>
      <c r="H38" s="6">
        <v>8.7200000000000006</v>
      </c>
      <c r="I38" s="6">
        <v>4.8899999999999997</v>
      </c>
      <c r="J38" s="6">
        <v>0.91</v>
      </c>
      <c r="K38" s="6">
        <v>270.88</v>
      </c>
      <c r="L38" s="6">
        <v>30.18</v>
      </c>
      <c r="M38" s="6">
        <v>60.86</v>
      </c>
      <c r="N38" s="6">
        <v>117.8</v>
      </c>
      <c r="O38" s="6">
        <v>0</v>
      </c>
      <c r="P38" s="6">
        <v>0.38</v>
      </c>
      <c r="Q38" s="6">
        <v>3.96</v>
      </c>
    </row>
    <row r="39" spans="1:17" customFormat="1">
      <c r="A39" s="82">
        <v>45458.322916666664</v>
      </c>
      <c r="B39" s="6">
        <v>9.35</v>
      </c>
      <c r="C39" s="6">
        <v>4.0599999999999996</v>
      </c>
      <c r="D39" s="6">
        <v>14.07</v>
      </c>
      <c r="E39" s="6">
        <v>8.48</v>
      </c>
      <c r="F39" s="6">
        <v>8.7799999999999994</v>
      </c>
      <c r="G39" s="6">
        <v>19.47</v>
      </c>
      <c r="H39" s="6">
        <v>8.7200000000000006</v>
      </c>
      <c r="I39" s="6">
        <v>5</v>
      </c>
      <c r="J39" s="6">
        <v>0.72</v>
      </c>
      <c r="K39" s="6">
        <v>264.08</v>
      </c>
      <c r="L39" s="6">
        <v>30.37</v>
      </c>
      <c r="M39" s="6">
        <v>60.52</v>
      </c>
      <c r="N39" s="6">
        <v>125.3</v>
      </c>
      <c r="O39" s="6">
        <v>0</v>
      </c>
      <c r="P39" s="6">
        <v>0.41</v>
      </c>
      <c r="Q39" s="6">
        <v>3.96</v>
      </c>
    </row>
    <row r="40" spans="1:17" customFormat="1">
      <c r="A40" s="82">
        <v>45458.333333333336</v>
      </c>
      <c r="B40" s="6">
        <v>9.33</v>
      </c>
      <c r="C40" s="6">
        <v>4.07</v>
      </c>
      <c r="D40" s="6">
        <v>14.06</v>
      </c>
      <c r="E40" s="6">
        <v>9.3699999999999992</v>
      </c>
      <c r="F40" s="6">
        <v>10.130000000000001</v>
      </c>
      <c r="G40" s="6">
        <v>23.63</v>
      </c>
      <c r="H40" s="6">
        <v>8.8800000000000008</v>
      </c>
      <c r="I40" s="6">
        <v>5.17</v>
      </c>
      <c r="J40" s="6">
        <v>0.85</v>
      </c>
      <c r="K40" s="6">
        <v>276.31</v>
      </c>
      <c r="L40" s="6">
        <v>30.76</v>
      </c>
      <c r="M40" s="6">
        <v>59.31</v>
      </c>
      <c r="N40" s="6">
        <v>143.9</v>
      </c>
      <c r="O40" s="6">
        <v>0</v>
      </c>
      <c r="P40" s="6">
        <v>0.45</v>
      </c>
      <c r="Q40" s="6">
        <v>3.96</v>
      </c>
    </row>
    <row r="41" spans="1:17" customFormat="1">
      <c r="A41" s="82">
        <v>45458.34375</v>
      </c>
      <c r="B41" s="6">
        <v>9.3000000000000007</v>
      </c>
      <c r="C41" s="6">
        <v>4.0599999999999996</v>
      </c>
      <c r="D41" s="6">
        <v>14.03</v>
      </c>
      <c r="E41" s="6">
        <v>9.77</v>
      </c>
      <c r="F41" s="6">
        <v>8.1999999999999993</v>
      </c>
      <c r="G41" s="6">
        <v>27.62</v>
      </c>
      <c r="H41" s="6">
        <v>9.0399999999999991</v>
      </c>
      <c r="I41" s="6">
        <v>5.46</v>
      </c>
      <c r="J41" s="6">
        <v>0.91</v>
      </c>
      <c r="K41" s="6">
        <v>263.56</v>
      </c>
      <c r="L41" s="6">
        <v>31.69</v>
      </c>
      <c r="M41" s="6">
        <v>56.18</v>
      </c>
      <c r="N41" s="6">
        <v>176.6</v>
      </c>
      <c r="O41" s="6">
        <v>0</v>
      </c>
      <c r="P41" s="6">
        <v>0.46</v>
      </c>
      <c r="Q41" s="6">
        <v>3.94</v>
      </c>
    </row>
    <row r="42" spans="1:17" customFormat="1">
      <c r="A42" s="82">
        <v>45458.354166666664</v>
      </c>
      <c r="B42" s="6">
        <v>9.2799999999999994</v>
      </c>
      <c r="C42" s="6">
        <v>4.09</v>
      </c>
      <c r="D42" s="6">
        <v>14.03</v>
      </c>
      <c r="E42" s="6">
        <v>9.81</v>
      </c>
      <c r="F42" s="6">
        <v>8.61</v>
      </c>
      <c r="G42" s="6">
        <v>27.62</v>
      </c>
      <c r="H42" s="6">
        <v>9.0399999999999991</v>
      </c>
      <c r="I42" s="6">
        <v>5.74</v>
      </c>
      <c r="J42" s="6">
        <v>0.99</v>
      </c>
      <c r="K42" s="6">
        <v>273.62</v>
      </c>
      <c r="L42" s="6">
        <v>32.18</v>
      </c>
      <c r="M42" s="6">
        <v>53.97</v>
      </c>
      <c r="N42" s="6">
        <v>239.5</v>
      </c>
      <c r="O42" s="6">
        <v>0</v>
      </c>
      <c r="P42" s="6">
        <v>0.49</v>
      </c>
      <c r="Q42" s="6">
        <v>3.95</v>
      </c>
    </row>
    <row r="43" spans="1:17" customFormat="1">
      <c r="A43" s="82">
        <v>45458.364583333336</v>
      </c>
      <c r="B43" s="6">
        <v>9.2799999999999994</v>
      </c>
      <c r="C43" s="6">
        <v>4.09</v>
      </c>
      <c r="D43" s="6">
        <v>14.03</v>
      </c>
      <c r="E43" s="6">
        <v>10.29</v>
      </c>
      <c r="F43" s="6">
        <v>7.85</v>
      </c>
      <c r="G43" s="6">
        <v>27.62</v>
      </c>
      <c r="H43" s="6">
        <v>9.0399999999999991</v>
      </c>
      <c r="I43" s="6">
        <v>5.96</v>
      </c>
      <c r="J43" s="6">
        <v>1.08</v>
      </c>
      <c r="K43" s="6">
        <v>277.64</v>
      </c>
      <c r="L43" s="6">
        <v>32.46</v>
      </c>
      <c r="M43" s="6">
        <v>52.76</v>
      </c>
      <c r="N43" s="6">
        <v>236.4</v>
      </c>
      <c r="O43" s="6">
        <v>0</v>
      </c>
      <c r="P43" s="6">
        <v>0.54</v>
      </c>
      <c r="Q43" s="6">
        <v>3.94</v>
      </c>
    </row>
    <row r="44" spans="1:17" customFormat="1">
      <c r="A44" s="82">
        <v>45458.375</v>
      </c>
      <c r="B44" s="6">
        <v>9.2899999999999991</v>
      </c>
      <c r="C44" s="6">
        <v>4.0999999999999996</v>
      </c>
      <c r="D44" s="6">
        <v>14.04</v>
      </c>
      <c r="E44" s="6">
        <v>11.16</v>
      </c>
      <c r="F44" s="6">
        <v>10.94</v>
      </c>
      <c r="G44" s="6">
        <v>33.979999999999997</v>
      </c>
      <c r="H44" s="6">
        <v>10.67</v>
      </c>
      <c r="I44" s="6">
        <v>6.31</v>
      </c>
      <c r="J44" s="6">
        <v>0.75</v>
      </c>
      <c r="K44" s="6">
        <v>272.55</v>
      </c>
      <c r="L44" s="6">
        <v>32.880000000000003</v>
      </c>
      <c r="M44" s="6">
        <v>51.55</v>
      </c>
      <c r="N44" s="6">
        <v>252.9</v>
      </c>
      <c r="O44" s="6">
        <v>0</v>
      </c>
      <c r="P44" s="6">
        <v>0.59</v>
      </c>
      <c r="Q44" s="6">
        <v>3.95</v>
      </c>
    </row>
    <row r="45" spans="1:17" customFormat="1">
      <c r="A45" s="82">
        <v>45458.385416666664</v>
      </c>
      <c r="B45" s="6">
        <v>9.3000000000000007</v>
      </c>
      <c r="C45" s="6">
        <v>4.09</v>
      </c>
      <c r="D45" s="6">
        <v>14.04</v>
      </c>
      <c r="E45" s="6">
        <v>11.78</v>
      </c>
      <c r="F45" s="6">
        <v>9.9700000000000006</v>
      </c>
      <c r="G45" s="6">
        <v>40.07</v>
      </c>
      <c r="H45" s="6">
        <v>11.45</v>
      </c>
      <c r="I45" s="6">
        <v>6.79</v>
      </c>
      <c r="J45" s="6">
        <v>0.78</v>
      </c>
      <c r="K45" s="6">
        <v>264.77999999999997</v>
      </c>
      <c r="L45" s="6">
        <v>33.46</v>
      </c>
      <c r="M45" s="6">
        <v>49.2</v>
      </c>
      <c r="N45" s="6">
        <v>287.7</v>
      </c>
      <c r="O45" s="6">
        <v>0</v>
      </c>
      <c r="P45" s="6">
        <v>0.59</v>
      </c>
      <c r="Q45" s="6">
        <v>3.96</v>
      </c>
    </row>
    <row r="46" spans="1:17" customFormat="1">
      <c r="A46" s="82">
        <v>45458.395833333336</v>
      </c>
      <c r="B46" s="6">
        <v>9.3000000000000007</v>
      </c>
      <c r="C46" s="6">
        <v>4.08</v>
      </c>
      <c r="D46" s="6">
        <v>14.04</v>
      </c>
      <c r="E46" s="6">
        <v>10.83</v>
      </c>
      <c r="F46" s="6">
        <v>10.42</v>
      </c>
      <c r="G46" s="6">
        <v>40.07</v>
      </c>
      <c r="H46" s="6">
        <v>11.45</v>
      </c>
      <c r="I46" s="6">
        <v>7.7</v>
      </c>
      <c r="J46" s="6">
        <v>0.91</v>
      </c>
      <c r="K46" s="6">
        <v>271.8</v>
      </c>
      <c r="L46" s="6">
        <v>33.700000000000003</v>
      </c>
      <c r="M46" s="6">
        <v>48.57</v>
      </c>
      <c r="N46" s="6">
        <v>308.2</v>
      </c>
      <c r="O46" s="6">
        <v>0</v>
      </c>
      <c r="P46" s="6">
        <v>0.59</v>
      </c>
      <c r="Q46" s="6">
        <v>3.97</v>
      </c>
    </row>
    <row r="47" spans="1:17" customFormat="1">
      <c r="A47" s="82">
        <v>45458.40625</v>
      </c>
      <c r="B47" s="6">
        <v>9.3000000000000007</v>
      </c>
      <c r="C47" s="6">
        <v>4.08</v>
      </c>
      <c r="D47" s="6">
        <v>14.04</v>
      </c>
      <c r="E47" s="6">
        <v>11.1</v>
      </c>
      <c r="F47" s="6">
        <v>9.98</v>
      </c>
      <c r="G47" s="6">
        <v>40.07</v>
      </c>
      <c r="H47" s="6">
        <v>11.45</v>
      </c>
      <c r="I47" s="6">
        <v>7.67</v>
      </c>
      <c r="J47" s="6">
        <v>1.1100000000000001</v>
      </c>
      <c r="K47" s="6">
        <v>276.56</v>
      </c>
      <c r="L47" s="6">
        <v>33.58</v>
      </c>
      <c r="M47" s="6">
        <v>48.65</v>
      </c>
      <c r="N47" s="6">
        <v>284.3</v>
      </c>
      <c r="O47" s="6">
        <v>0</v>
      </c>
      <c r="P47" s="6">
        <v>0.61</v>
      </c>
      <c r="Q47" s="6">
        <v>3.98</v>
      </c>
    </row>
    <row r="48" spans="1:17" customFormat="1">
      <c r="A48" s="82">
        <v>45458.416666666664</v>
      </c>
      <c r="B48" s="6">
        <v>9.31</v>
      </c>
      <c r="C48" s="6">
        <v>4.07</v>
      </c>
      <c r="D48" s="6">
        <v>14.04</v>
      </c>
      <c r="E48" s="6">
        <v>10.59</v>
      </c>
      <c r="F48" s="6">
        <v>13.32</v>
      </c>
      <c r="G48" s="6">
        <v>40.200000000000003</v>
      </c>
      <c r="H48" s="6">
        <v>13.01</v>
      </c>
      <c r="I48" s="6">
        <v>7.77</v>
      </c>
      <c r="J48" s="6">
        <v>1.0900000000000001</v>
      </c>
      <c r="K48" s="6">
        <v>274.43</v>
      </c>
      <c r="L48" s="6">
        <v>33.92</v>
      </c>
      <c r="M48" s="6">
        <v>48.32</v>
      </c>
      <c r="N48" s="6">
        <v>283.7</v>
      </c>
      <c r="O48" s="6">
        <v>0</v>
      </c>
      <c r="P48" s="6">
        <v>0.66</v>
      </c>
      <c r="Q48" s="6">
        <v>3.98</v>
      </c>
    </row>
    <row r="49" spans="1:17" customFormat="1">
      <c r="A49" s="82">
        <v>45458.427083333336</v>
      </c>
      <c r="B49" s="6">
        <v>9.31</v>
      </c>
      <c r="C49" s="6">
        <v>4.0599999999999996</v>
      </c>
      <c r="D49" s="6">
        <v>14.04</v>
      </c>
      <c r="E49" s="6">
        <v>11.32</v>
      </c>
      <c r="F49" s="6">
        <v>9.93</v>
      </c>
      <c r="G49" s="6">
        <v>40.33</v>
      </c>
      <c r="H49" s="6">
        <v>13.74</v>
      </c>
      <c r="I49" s="6">
        <v>7.92</v>
      </c>
      <c r="J49" s="6">
        <v>0.88</v>
      </c>
      <c r="K49" s="6">
        <v>246.86</v>
      </c>
      <c r="L49" s="6">
        <v>34.979999999999997</v>
      </c>
      <c r="M49" s="6">
        <v>45.91</v>
      </c>
      <c r="N49" s="6">
        <v>275.8</v>
      </c>
      <c r="O49" s="6">
        <v>0</v>
      </c>
      <c r="P49" s="6">
        <v>0.66</v>
      </c>
      <c r="Q49" s="6">
        <v>3.97</v>
      </c>
    </row>
    <row r="50" spans="1:17" customFormat="1">
      <c r="A50" s="82">
        <v>45458.4375</v>
      </c>
      <c r="B50" s="6">
        <v>9.3000000000000007</v>
      </c>
      <c r="C50" s="6">
        <v>4.0599999999999996</v>
      </c>
      <c r="D50" s="6">
        <v>14.03</v>
      </c>
      <c r="E50" s="6">
        <v>13.7</v>
      </c>
      <c r="F50" s="6">
        <v>15.45</v>
      </c>
      <c r="G50" s="6">
        <v>40.33</v>
      </c>
      <c r="H50" s="6">
        <v>13.74</v>
      </c>
      <c r="I50" s="6">
        <v>8.1999999999999993</v>
      </c>
      <c r="J50" s="6">
        <v>1.04</v>
      </c>
      <c r="K50" s="6">
        <v>274.89</v>
      </c>
      <c r="L50" s="6">
        <v>35.49</v>
      </c>
      <c r="M50" s="6">
        <v>44.78</v>
      </c>
      <c r="N50" s="6">
        <v>270.89999999999998</v>
      </c>
      <c r="O50" s="6">
        <v>0</v>
      </c>
      <c r="P50" s="6">
        <v>0.7</v>
      </c>
      <c r="Q50" s="6">
        <v>3.95</v>
      </c>
    </row>
    <row r="51" spans="1:17" customFormat="1">
      <c r="A51" s="82">
        <v>45458.447916666664</v>
      </c>
      <c r="B51" s="6">
        <v>9.3000000000000007</v>
      </c>
      <c r="C51" s="6">
        <v>4.07</v>
      </c>
      <c r="D51" s="6">
        <v>14.03</v>
      </c>
      <c r="E51" s="6">
        <v>13.58</v>
      </c>
      <c r="F51" s="6">
        <v>15.07</v>
      </c>
      <c r="G51" s="6">
        <v>40.33</v>
      </c>
      <c r="H51" s="6">
        <v>13.74</v>
      </c>
      <c r="I51" s="6">
        <v>8.3800000000000008</v>
      </c>
      <c r="J51" s="6">
        <v>1.02</v>
      </c>
      <c r="K51" s="6">
        <v>269.3</v>
      </c>
      <c r="L51" s="6">
        <v>35.76</v>
      </c>
      <c r="M51" s="6">
        <v>43.83</v>
      </c>
      <c r="N51" s="6">
        <v>286.39999999999998</v>
      </c>
      <c r="O51" s="6">
        <v>0</v>
      </c>
      <c r="P51" s="6">
        <v>0.71</v>
      </c>
      <c r="Q51" s="6">
        <v>3.96</v>
      </c>
    </row>
    <row r="52" spans="1:17" customFormat="1">
      <c r="A52" s="82">
        <v>45458.458333333336</v>
      </c>
      <c r="B52" s="6">
        <v>9.31</v>
      </c>
      <c r="C52" s="6">
        <v>4.08</v>
      </c>
      <c r="D52" s="6">
        <v>14.05</v>
      </c>
      <c r="E52" s="6">
        <v>13.8</v>
      </c>
      <c r="F52" s="6">
        <v>15.4</v>
      </c>
      <c r="G52" s="6">
        <v>43.22</v>
      </c>
      <c r="H52" s="6">
        <v>14.16</v>
      </c>
      <c r="I52" s="6">
        <v>8.68</v>
      </c>
      <c r="J52" s="6">
        <v>0.91</v>
      </c>
      <c r="K52" s="6">
        <v>263.48</v>
      </c>
      <c r="L52" s="6">
        <v>36.06</v>
      </c>
      <c r="M52" s="6">
        <v>43.27</v>
      </c>
      <c r="N52" s="6">
        <v>331.3</v>
      </c>
      <c r="O52" s="6">
        <v>0</v>
      </c>
      <c r="P52" s="6">
        <v>0.71</v>
      </c>
      <c r="Q52" s="6">
        <v>3.98</v>
      </c>
    </row>
    <row r="53" spans="1:17" customFormat="1">
      <c r="A53" s="82">
        <v>45458.46875</v>
      </c>
      <c r="B53" s="6">
        <v>9.3000000000000007</v>
      </c>
      <c r="C53" s="6">
        <v>4.1100000000000003</v>
      </c>
      <c r="D53" s="6">
        <v>14.05</v>
      </c>
      <c r="E53" s="6">
        <v>13.73</v>
      </c>
      <c r="F53" s="6">
        <v>20.76</v>
      </c>
      <c r="G53" s="6">
        <v>46</v>
      </c>
      <c r="H53" s="6">
        <v>14.35</v>
      </c>
      <c r="I53" s="6">
        <v>8.75</v>
      </c>
      <c r="J53" s="6">
        <v>1.1100000000000001</v>
      </c>
      <c r="K53" s="6">
        <v>290.52</v>
      </c>
      <c r="L53" s="6">
        <v>36.909999999999997</v>
      </c>
      <c r="M53" s="6">
        <v>40.26</v>
      </c>
      <c r="N53" s="6">
        <v>392.8</v>
      </c>
      <c r="O53" s="6">
        <v>0</v>
      </c>
      <c r="P53" s="6">
        <v>0.67</v>
      </c>
      <c r="Q53" s="6">
        <v>3.99</v>
      </c>
    </row>
    <row r="54" spans="1:17" customFormat="1">
      <c r="A54" s="82">
        <v>45458.479166666664</v>
      </c>
      <c r="B54" s="6">
        <v>9.2899999999999991</v>
      </c>
      <c r="C54" s="6">
        <v>4.1100000000000003</v>
      </c>
      <c r="D54" s="6">
        <v>14.05</v>
      </c>
      <c r="E54" s="6">
        <v>12.97</v>
      </c>
      <c r="F54" s="6">
        <v>22.15</v>
      </c>
      <c r="G54" s="6">
        <v>46</v>
      </c>
      <c r="H54" s="6">
        <v>14.35</v>
      </c>
      <c r="I54" s="6">
        <v>8.9</v>
      </c>
      <c r="J54" s="6">
        <v>1.06</v>
      </c>
      <c r="K54" s="6">
        <v>277.58</v>
      </c>
      <c r="L54" s="6">
        <v>37.53</v>
      </c>
      <c r="M54" s="6">
        <v>38.770000000000003</v>
      </c>
      <c r="N54" s="6">
        <v>375.7</v>
      </c>
      <c r="O54" s="6">
        <v>0</v>
      </c>
      <c r="P54" s="6">
        <v>0.64</v>
      </c>
      <c r="Q54" s="6">
        <v>3.99</v>
      </c>
    </row>
    <row r="55" spans="1:17" customFormat="1">
      <c r="A55" s="82">
        <v>45458.489583333336</v>
      </c>
      <c r="B55" s="6">
        <v>9.2899999999999991</v>
      </c>
      <c r="C55" s="6">
        <v>4.1100000000000003</v>
      </c>
      <c r="D55" s="6">
        <v>14.04</v>
      </c>
      <c r="E55" s="6">
        <v>14.76</v>
      </c>
      <c r="F55" s="6">
        <v>36.31</v>
      </c>
      <c r="G55" s="6">
        <v>46</v>
      </c>
      <c r="H55" s="6">
        <v>14.35</v>
      </c>
      <c r="I55" s="6">
        <v>8.3699999999999992</v>
      </c>
      <c r="J55" s="6">
        <v>1.1399999999999999</v>
      </c>
      <c r="K55" s="6">
        <v>270.37</v>
      </c>
      <c r="L55" s="6">
        <v>38.21</v>
      </c>
      <c r="M55" s="6">
        <v>37.9</v>
      </c>
      <c r="N55" s="6">
        <v>539.1</v>
      </c>
      <c r="O55" s="6">
        <v>0</v>
      </c>
      <c r="P55" s="6">
        <v>0.66</v>
      </c>
      <c r="Q55" s="6">
        <v>3.96</v>
      </c>
    </row>
    <row r="56" spans="1:17" customFormat="1">
      <c r="A56" s="82">
        <v>45458.5</v>
      </c>
      <c r="B56" s="6">
        <v>9.31</v>
      </c>
      <c r="C56" s="6">
        <v>4.07</v>
      </c>
      <c r="D56" s="6">
        <v>14.04</v>
      </c>
      <c r="E56" s="6">
        <v>19.55</v>
      </c>
      <c r="F56" s="6">
        <v>41.5</v>
      </c>
      <c r="G56" s="6">
        <v>46.23</v>
      </c>
      <c r="H56" s="6">
        <v>14.68</v>
      </c>
      <c r="I56" s="6">
        <v>8.0399999999999991</v>
      </c>
      <c r="J56" s="6">
        <v>0.92</v>
      </c>
      <c r="K56" s="6">
        <v>279.31</v>
      </c>
      <c r="L56" s="6">
        <v>38.28</v>
      </c>
      <c r="M56" s="6">
        <v>37.6</v>
      </c>
      <c r="N56" s="6">
        <v>578.79999999999995</v>
      </c>
      <c r="O56" s="6">
        <v>0</v>
      </c>
      <c r="P56" s="6">
        <v>0.68</v>
      </c>
      <c r="Q56" s="6">
        <v>3.94</v>
      </c>
    </row>
    <row r="57" spans="1:17" customFormat="1">
      <c r="A57" s="82">
        <v>45458.510416666664</v>
      </c>
      <c r="B57" s="6">
        <v>9.35</v>
      </c>
      <c r="C57" s="6">
        <v>4.07</v>
      </c>
      <c r="D57" s="6">
        <v>14.07</v>
      </c>
      <c r="E57" s="6">
        <v>20.28</v>
      </c>
      <c r="F57" s="6">
        <v>32.31</v>
      </c>
      <c r="G57" s="6">
        <v>46.46</v>
      </c>
      <c r="H57" s="6">
        <v>14.83</v>
      </c>
      <c r="I57" s="6">
        <v>8.01</v>
      </c>
      <c r="J57" s="6">
        <v>0.89</v>
      </c>
      <c r="K57" s="6">
        <v>248.51</v>
      </c>
      <c r="L57" s="6">
        <v>38.83</v>
      </c>
      <c r="M57" s="6">
        <v>37.380000000000003</v>
      </c>
      <c r="N57" s="6">
        <v>637.1</v>
      </c>
      <c r="O57" s="6">
        <v>0</v>
      </c>
      <c r="P57" s="6">
        <v>0.66</v>
      </c>
      <c r="Q57" s="6">
        <v>3.94</v>
      </c>
    </row>
    <row r="58" spans="1:17" customFormat="1">
      <c r="A58" s="82">
        <v>45458.520833333336</v>
      </c>
      <c r="B58" s="6">
        <v>9.35</v>
      </c>
      <c r="C58" s="6">
        <v>4.09</v>
      </c>
      <c r="D58" s="6">
        <v>14.08</v>
      </c>
      <c r="E58" s="6">
        <v>19.77</v>
      </c>
      <c r="F58" s="6">
        <v>28.92</v>
      </c>
      <c r="G58" s="6">
        <v>46.46</v>
      </c>
      <c r="H58" s="6">
        <v>14.83</v>
      </c>
      <c r="I58" s="6">
        <v>8.1199999999999992</v>
      </c>
      <c r="J58" s="6">
        <v>0.89</v>
      </c>
      <c r="K58" s="6">
        <v>252.03</v>
      </c>
      <c r="L58" s="6">
        <v>39.21</v>
      </c>
      <c r="M58" s="6">
        <v>36.4</v>
      </c>
      <c r="N58" s="6">
        <v>743.8</v>
      </c>
      <c r="O58" s="6">
        <v>0</v>
      </c>
      <c r="P58" s="6">
        <v>0.63</v>
      </c>
      <c r="Q58" s="6">
        <v>3.92</v>
      </c>
    </row>
    <row r="59" spans="1:17" customFormat="1">
      <c r="A59" s="82">
        <v>45458.53125</v>
      </c>
      <c r="B59" s="6">
        <v>9.34</v>
      </c>
      <c r="C59" s="6">
        <v>4.0999999999999996</v>
      </c>
      <c r="D59" s="6">
        <v>14.08</v>
      </c>
      <c r="E59" s="6">
        <v>17.350000000000001</v>
      </c>
      <c r="F59" s="6">
        <v>23.74</v>
      </c>
      <c r="G59" s="6">
        <v>46.46</v>
      </c>
      <c r="H59" s="6">
        <v>14.83</v>
      </c>
      <c r="I59" s="6">
        <v>7.96</v>
      </c>
      <c r="J59" s="6">
        <v>1.1399999999999999</v>
      </c>
      <c r="K59" s="6">
        <v>258.49</v>
      </c>
      <c r="L59" s="6">
        <v>39.36</v>
      </c>
      <c r="M59" s="6">
        <v>36.75</v>
      </c>
      <c r="N59" s="6">
        <v>684.5</v>
      </c>
      <c r="O59" s="6">
        <v>0</v>
      </c>
      <c r="P59" s="6">
        <v>0.65</v>
      </c>
      <c r="Q59" s="6">
        <v>3.92</v>
      </c>
    </row>
    <row r="60" spans="1:17" customFormat="1">
      <c r="A60" s="82">
        <v>45458.541666666664</v>
      </c>
      <c r="B60" s="6">
        <v>9.3699999999999992</v>
      </c>
      <c r="C60" s="6">
        <v>4.12</v>
      </c>
      <c r="D60" s="6">
        <v>14.11</v>
      </c>
      <c r="E60" s="6">
        <v>17.100000000000001</v>
      </c>
      <c r="F60" s="6">
        <v>31.91</v>
      </c>
      <c r="G60" s="6">
        <v>45.35</v>
      </c>
      <c r="H60" s="6">
        <v>15.95</v>
      </c>
      <c r="I60" s="6">
        <v>7.72</v>
      </c>
      <c r="J60" s="6">
        <v>0.88</v>
      </c>
      <c r="K60" s="6">
        <v>251.27</v>
      </c>
      <c r="L60" s="6">
        <v>39.17</v>
      </c>
      <c r="M60" s="6">
        <v>38.01</v>
      </c>
      <c r="N60" s="6">
        <v>513.4</v>
      </c>
      <c r="O60" s="6">
        <v>0</v>
      </c>
      <c r="P60" s="6">
        <v>0.63</v>
      </c>
      <c r="Q60" s="6">
        <v>3.92</v>
      </c>
    </row>
    <row r="61" spans="1:17" customFormat="1">
      <c r="A61" s="82">
        <v>45458.552083333336</v>
      </c>
      <c r="B61" s="6">
        <v>9.3699999999999992</v>
      </c>
      <c r="C61" s="6">
        <v>4.08</v>
      </c>
      <c r="D61" s="6">
        <v>14.09</v>
      </c>
      <c r="E61" s="6">
        <v>16.309999999999999</v>
      </c>
      <c r="F61" s="6">
        <v>26.92</v>
      </c>
      <c r="G61" s="6">
        <v>44.29</v>
      </c>
      <c r="H61" s="6">
        <v>16.47</v>
      </c>
      <c r="I61" s="6">
        <v>7.82</v>
      </c>
      <c r="J61" s="6">
        <v>0.72</v>
      </c>
      <c r="K61" s="6">
        <v>248.25</v>
      </c>
      <c r="L61" s="6">
        <v>39.020000000000003</v>
      </c>
      <c r="M61" s="6">
        <v>38.5</v>
      </c>
      <c r="N61" s="6">
        <v>494.1</v>
      </c>
      <c r="O61" s="6">
        <v>0</v>
      </c>
      <c r="P61" s="6">
        <v>0.61</v>
      </c>
      <c r="Q61" s="6">
        <v>3.92</v>
      </c>
    </row>
    <row r="62" spans="1:17" customFormat="1">
      <c r="A62" s="82">
        <v>45458.5625</v>
      </c>
      <c r="B62" s="6">
        <v>9.34</v>
      </c>
      <c r="C62" s="6">
        <v>4.0999999999999996</v>
      </c>
      <c r="D62" s="6">
        <v>14.08</v>
      </c>
      <c r="E62" s="6">
        <v>16.75</v>
      </c>
      <c r="F62" s="6">
        <v>32.119999999999997</v>
      </c>
      <c r="G62" s="6">
        <v>44.29</v>
      </c>
      <c r="H62" s="6">
        <v>16.47</v>
      </c>
      <c r="I62" s="6">
        <v>7.4</v>
      </c>
      <c r="J62" s="6">
        <v>0.94</v>
      </c>
      <c r="K62" s="6">
        <v>258.20999999999998</v>
      </c>
      <c r="L62" s="6">
        <v>39.090000000000003</v>
      </c>
      <c r="M62" s="6">
        <v>38.42</v>
      </c>
      <c r="N62" s="6">
        <v>381.6</v>
      </c>
      <c r="O62" s="6">
        <v>0</v>
      </c>
      <c r="P62" s="6">
        <v>0.6</v>
      </c>
      <c r="Q62" s="6">
        <v>3.94</v>
      </c>
    </row>
    <row r="63" spans="1:17" customFormat="1">
      <c r="A63" s="82">
        <v>45458.572916666664</v>
      </c>
      <c r="B63" s="6">
        <v>9.32</v>
      </c>
      <c r="C63" s="6">
        <v>4.09</v>
      </c>
      <c r="D63" s="6">
        <v>14.06</v>
      </c>
      <c r="E63" s="6">
        <v>15.75</v>
      </c>
      <c r="F63" s="6">
        <v>31.51</v>
      </c>
      <c r="G63" s="6">
        <v>44.29</v>
      </c>
      <c r="H63" s="6">
        <v>16.47</v>
      </c>
      <c r="I63" s="6">
        <v>7.32</v>
      </c>
      <c r="J63" s="6">
        <v>1.08</v>
      </c>
      <c r="K63" s="6">
        <v>258.83999999999997</v>
      </c>
      <c r="L63" s="6">
        <v>39.549999999999997</v>
      </c>
      <c r="M63" s="6">
        <v>37.380000000000003</v>
      </c>
      <c r="N63" s="6">
        <v>335.1</v>
      </c>
      <c r="O63" s="6">
        <v>0</v>
      </c>
      <c r="P63" s="6">
        <v>0.57999999999999996</v>
      </c>
      <c r="Q63" s="6">
        <v>3.9</v>
      </c>
    </row>
    <row r="64" spans="1:17" customFormat="1">
      <c r="A64" s="82">
        <v>45458.583333333336</v>
      </c>
      <c r="B64" s="6">
        <v>9.31</v>
      </c>
      <c r="C64" s="6">
        <v>4.1100000000000003</v>
      </c>
      <c r="D64" s="6">
        <v>14.07</v>
      </c>
      <c r="E64" s="6">
        <v>16.329999999999998</v>
      </c>
      <c r="F64" s="6">
        <v>34.61</v>
      </c>
      <c r="G64" s="6">
        <v>42.45</v>
      </c>
      <c r="H64" s="6">
        <v>17.36</v>
      </c>
      <c r="I64" s="6">
        <v>7.11</v>
      </c>
      <c r="J64" s="6">
        <v>1.05</v>
      </c>
      <c r="K64" s="6">
        <v>265.66000000000003</v>
      </c>
      <c r="L64" s="6">
        <v>40.19</v>
      </c>
      <c r="M64" s="6">
        <v>35.479999999999997</v>
      </c>
      <c r="N64" s="6">
        <v>611.29999999999995</v>
      </c>
      <c r="O64" s="6">
        <v>0</v>
      </c>
      <c r="P64" s="6">
        <v>0.56000000000000005</v>
      </c>
      <c r="Q64" s="6">
        <v>3.9</v>
      </c>
    </row>
    <row r="65" spans="1:17" customFormat="1">
      <c r="A65" s="82">
        <v>45458.59375</v>
      </c>
      <c r="B65" s="6">
        <v>9.3000000000000007</v>
      </c>
      <c r="C65" s="6">
        <v>4.0999999999999996</v>
      </c>
      <c r="D65" s="6">
        <v>14.04</v>
      </c>
      <c r="E65" s="6">
        <v>14.92</v>
      </c>
      <c r="F65" s="6">
        <v>23.6</v>
      </c>
      <c r="G65" s="6">
        <v>40.68</v>
      </c>
      <c r="H65" s="6">
        <v>18.260000000000002</v>
      </c>
      <c r="I65" s="6">
        <v>6.92</v>
      </c>
      <c r="J65" s="6">
        <v>1.18</v>
      </c>
      <c r="K65" s="6">
        <v>271.2</v>
      </c>
      <c r="L65" s="6">
        <v>39.86</v>
      </c>
      <c r="M65" s="6">
        <v>35.520000000000003</v>
      </c>
      <c r="N65" s="6">
        <v>652.1</v>
      </c>
      <c r="O65" s="6">
        <v>0</v>
      </c>
      <c r="P65" s="6">
        <v>0.55000000000000004</v>
      </c>
      <c r="Q65" s="6">
        <v>3.93</v>
      </c>
    </row>
    <row r="66" spans="1:17" customFormat="1">
      <c r="A66" s="82">
        <v>45458.604166666664</v>
      </c>
      <c r="B66" s="6">
        <v>9.27</v>
      </c>
      <c r="C66" s="6">
        <v>4.09</v>
      </c>
      <c r="D66" s="6">
        <v>14.02</v>
      </c>
      <c r="E66" s="6">
        <v>15.72</v>
      </c>
      <c r="F66" s="6">
        <v>32.43</v>
      </c>
      <c r="G66" s="6">
        <v>40.68</v>
      </c>
      <c r="H66" s="6">
        <v>18.260000000000002</v>
      </c>
      <c r="I66" s="6">
        <v>6.62</v>
      </c>
      <c r="J66" s="6">
        <v>0.64</v>
      </c>
      <c r="K66" s="6">
        <v>237.34</v>
      </c>
      <c r="L66" s="6">
        <v>40.619999999999997</v>
      </c>
      <c r="M66" s="6">
        <v>34.880000000000003</v>
      </c>
      <c r="N66" s="6">
        <v>598.79999999999995</v>
      </c>
      <c r="O66" s="6">
        <v>0</v>
      </c>
      <c r="P66" s="6">
        <v>0.53</v>
      </c>
      <c r="Q66" s="6">
        <v>3.94</v>
      </c>
    </row>
    <row r="67" spans="1:17" customFormat="1">
      <c r="A67" s="82">
        <v>45458.614583333336</v>
      </c>
      <c r="B67" s="6">
        <v>9.2799999999999994</v>
      </c>
      <c r="C67" s="6">
        <v>4.07</v>
      </c>
      <c r="D67" s="6">
        <v>14.02</v>
      </c>
      <c r="E67" s="6">
        <v>16.62</v>
      </c>
      <c r="F67" s="6">
        <v>34.4</v>
      </c>
      <c r="G67" s="6">
        <v>40.68</v>
      </c>
      <c r="H67" s="6">
        <v>18.260000000000002</v>
      </c>
      <c r="I67" s="6">
        <v>6.85</v>
      </c>
      <c r="J67" s="6">
        <v>0.91</v>
      </c>
      <c r="K67" s="6">
        <v>256.2</v>
      </c>
      <c r="L67" s="6">
        <v>40.619999999999997</v>
      </c>
      <c r="M67" s="6">
        <v>35.1</v>
      </c>
      <c r="N67" s="6">
        <v>585.20000000000005</v>
      </c>
      <c r="O67" s="6">
        <v>0</v>
      </c>
      <c r="P67" s="6">
        <v>0.52</v>
      </c>
      <c r="Q67" s="6">
        <v>3.91</v>
      </c>
    </row>
    <row r="68" spans="1:17" customFormat="1">
      <c r="A68" s="82">
        <v>45458.625</v>
      </c>
      <c r="B68" s="6">
        <v>9.31</v>
      </c>
      <c r="C68" s="6">
        <v>4.08</v>
      </c>
      <c r="D68" s="6">
        <v>14.05</v>
      </c>
      <c r="E68" s="6">
        <v>15.4</v>
      </c>
      <c r="F68" s="6">
        <v>27.55</v>
      </c>
      <c r="G68" s="6">
        <v>38.090000000000003</v>
      </c>
      <c r="H68" s="6">
        <v>14.7</v>
      </c>
      <c r="I68" s="6">
        <v>6.35</v>
      </c>
      <c r="J68" s="6">
        <v>1.24</v>
      </c>
      <c r="K68" s="6">
        <v>268.58999999999997</v>
      </c>
      <c r="L68" s="6">
        <v>40.119999999999997</v>
      </c>
      <c r="M68" s="6">
        <v>34.85</v>
      </c>
      <c r="N68" s="6">
        <v>542.20000000000005</v>
      </c>
      <c r="O68" s="6">
        <v>0</v>
      </c>
      <c r="P68" s="6">
        <v>0.53</v>
      </c>
      <c r="Q68" s="6">
        <v>3.92</v>
      </c>
    </row>
    <row r="69" spans="1:17" customFormat="1">
      <c r="A69" s="82">
        <v>45458.635416666664</v>
      </c>
      <c r="B69" s="6">
        <v>9.33</v>
      </c>
      <c r="C69" s="6">
        <v>4.08</v>
      </c>
      <c r="D69" s="6">
        <v>14.07</v>
      </c>
      <c r="E69" s="6">
        <v>15.12</v>
      </c>
      <c r="F69" s="6">
        <v>29.03</v>
      </c>
      <c r="G69" s="6">
        <v>35.49</v>
      </c>
      <c r="H69" s="6">
        <v>13.04</v>
      </c>
      <c r="I69" s="6">
        <v>6.19</v>
      </c>
      <c r="J69" s="6">
        <v>1.1299999999999999</v>
      </c>
      <c r="K69" s="6">
        <v>261.25</v>
      </c>
      <c r="L69" s="6">
        <v>40.380000000000003</v>
      </c>
      <c r="M69" s="6">
        <v>34.67</v>
      </c>
      <c r="N69" s="6">
        <v>483.7</v>
      </c>
      <c r="O69" s="6">
        <v>0</v>
      </c>
      <c r="P69" s="6">
        <v>0.51</v>
      </c>
      <c r="Q69" s="6">
        <v>3.92</v>
      </c>
    </row>
    <row r="70" spans="1:17" customFormat="1">
      <c r="A70" s="82">
        <v>45458.645833333336</v>
      </c>
      <c r="B70" s="6">
        <v>9.33</v>
      </c>
      <c r="C70" s="6">
        <v>4.07</v>
      </c>
      <c r="D70" s="6">
        <v>14.06</v>
      </c>
      <c r="E70" s="6">
        <v>13.75</v>
      </c>
      <c r="F70" s="6">
        <v>23.16</v>
      </c>
      <c r="G70" s="6">
        <v>35.49</v>
      </c>
      <c r="H70" s="6">
        <v>13.04</v>
      </c>
      <c r="I70" s="6">
        <v>6.24</v>
      </c>
      <c r="J70" s="6">
        <v>1.1499999999999999</v>
      </c>
      <c r="K70" s="6">
        <v>266.83999999999997</v>
      </c>
      <c r="L70" s="6">
        <v>40.049999999999997</v>
      </c>
      <c r="M70" s="6">
        <v>35.31</v>
      </c>
      <c r="N70" s="6">
        <v>414.8</v>
      </c>
      <c r="O70" s="6">
        <v>0</v>
      </c>
      <c r="P70" s="6">
        <v>0.51</v>
      </c>
      <c r="Q70" s="6">
        <v>3.91</v>
      </c>
    </row>
    <row r="71" spans="1:17" customFormat="1">
      <c r="A71" s="82">
        <v>45458.65625</v>
      </c>
      <c r="B71" s="6">
        <v>9.36</v>
      </c>
      <c r="C71" s="6">
        <v>4.0599999999999996</v>
      </c>
      <c r="D71" s="6">
        <v>14.08</v>
      </c>
      <c r="E71" s="6">
        <v>13.77</v>
      </c>
      <c r="F71" s="6">
        <v>14.93</v>
      </c>
      <c r="G71" s="6">
        <v>35.49</v>
      </c>
      <c r="H71" s="6">
        <v>13.04</v>
      </c>
      <c r="I71" s="6">
        <v>6.03</v>
      </c>
      <c r="J71" s="6">
        <v>2.02</v>
      </c>
      <c r="K71" s="6">
        <v>295.79000000000002</v>
      </c>
      <c r="L71" s="6">
        <v>39.21</v>
      </c>
      <c r="M71" s="6">
        <v>35.64</v>
      </c>
      <c r="N71" s="6">
        <v>375.5</v>
      </c>
      <c r="O71" s="6">
        <v>0</v>
      </c>
      <c r="P71" s="6">
        <v>0.51</v>
      </c>
      <c r="Q71" s="6">
        <v>3.9</v>
      </c>
    </row>
    <row r="72" spans="1:17" customFormat="1">
      <c r="A72" s="82">
        <v>45458.666666666664</v>
      </c>
      <c r="B72" s="6">
        <v>9.36</v>
      </c>
      <c r="C72" s="6">
        <v>4.0599999999999996</v>
      </c>
      <c r="D72" s="6">
        <v>14.08</v>
      </c>
      <c r="E72" s="6">
        <v>13.83</v>
      </c>
      <c r="F72" s="6">
        <v>10.58</v>
      </c>
      <c r="G72" s="6">
        <v>41.74</v>
      </c>
      <c r="H72" s="6">
        <v>14.05</v>
      </c>
      <c r="I72" s="6">
        <v>6.13</v>
      </c>
      <c r="J72" s="6">
        <v>2.19</v>
      </c>
      <c r="K72" s="6">
        <v>299.51</v>
      </c>
      <c r="L72" s="6">
        <v>37.69</v>
      </c>
      <c r="M72" s="6">
        <v>36.9</v>
      </c>
      <c r="N72" s="6">
        <v>345.3</v>
      </c>
      <c r="O72" s="6">
        <v>0</v>
      </c>
      <c r="P72" s="6">
        <v>0.54</v>
      </c>
      <c r="Q72" s="6">
        <v>3.92</v>
      </c>
    </row>
    <row r="73" spans="1:17" customFormat="1">
      <c r="A73" s="82">
        <v>45458.677083333336</v>
      </c>
      <c r="B73" s="6">
        <v>9.3699999999999992</v>
      </c>
      <c r="C73" s="6">
        <v>4.09</v>
      </c>
      <c r="D73" s="6">
        <v>14.1</v>
      </c>
      <c r="E73" s="6">
        <v>12.93</v>
      </c>
      <c r="F73" s="6">
        <v>12.81</v>
      </c>
      <c r="G73" s="6">
        <v>47.72</v>
      </c>
      <c r="H73" s="6">
        <v>14.52</v>
      </c>
      <c r="I73" s="6">
        <v>6.29</v>
      </c>
      <c r="J73" s="6">
        <v>2.21</v>
      </c>
      <c r="K73" s="6">
        <v>312.5</v>
      </c>
      <c r="L73" s="6">
        <v>37.57</v>
      </c>
      <c r="M73" s="6">
        <v>36</v>
      </c>
      <c r="N73" s="6">
        <v>214.7</v>
      </c>
      <c r="O73" s="6">
        <v>0</v>
      </c>
      <c r="P73" s="6">
        <v>0.53</v>
      </c>
      <c r="Q73" s="6">
        <v>3.91</v>
      </c>
    </row>
    <row r="74" spans="1:17" customFormat="1">
      <c r="A74" s="82">
        <v>45458.6875</v>
      </c>
      <c r="B74" s="6">
        <v>9.3699999999999992</v>
      </c>
      <c r="C74" s="6">
        <v>4.09</v>
      </c>
      <c r="D74" s="6">
        <v>14.1</v>
      </c>
      <c r="E74" s="6">
        <v>11.58</v>
      </c>
      <c r="F74" s="6">
        <v>13.5</v>
      </c>
      <c r="G74" s="6">
        <v>47.72</v>
      </c>
      <c r="H74" s="6">
        <v>14.52</v>
      </c>
      <c r="I74" s="6">
        <v>6.35</v>
      </c>
      <c r="J74" s="6">
        <v>2.15</v>
      </c>
      <c r="K74" s="6">
        <v>304.41000000000003</v>
      </c>
      <c r="L74" s="6">
        <v>36.770000000000003</v>
      </c>
      <c r="M74" s="6">
        <v>35.1</v>
      </c>
      <c r="N74" s="6">
        <v>142.69999999999999</v>
      </c>
      <c r="O74" s="6">
        <v>0</v>
      </c>
      <c r="P74" s="6">
        <v>0.51</v>
      </c>
      <c r="Q74" s="6">
        <v>3.93</v>
      </c>
    </row>
    <row r="75" spans="1:17" customFormat="1">
      <c r="A75" s="82">
        <v>45458.697916666664</v>
      </c>
      <c r="B75" s="6">
        <v>9.41</v>
      </c>
      <c r="C75" s="6">
        <v>4.0999999999999996</v>
      </c>
      <c r="D75" s="6">
        <v>14.14</v>
      </c>
      <c r="E75" s="6">
        <v>10.08</v>
      </c>
      <c r="F75" s="6">
        <v>12.88</v>
      </c>
      <c r="G75" s="6">
        <v>47.72</v>
      </c>
      <c r="H75" s="6">
        <v>14.52</v>
      </c>
      <c r="I75" s="6">
        <v>6.1</v>
      </c>
      <c r="J75" s="6">
        <v>1.92</v>
      </c>
      <c r="K75" s="6">
        <v>302.42</v>
      </c>
      <c r="L75" s="6">
        <v>36.369999999999997</v>
      </c>
      <c r="M75" s="6">
        <v>38.159999999999997</v>
      </c>
      <c r="N75" s="6">
        <v>106.4</v>
      </c>
      <c r="O75" s="6">
        <v>0</v>
      </c>
      <c r="P75" s="6">
        <v>0.47</v>
      </c>
      <c r="Q75" s="6">
        <v>3.97</v>
      </c>
    </row>
    <row r="76" spans="1:17" customFormat="1">
      <c r="A76" s="82">
        <v>45458.708333333336</v>
      </c>
      <c r="B76" s="6">
        <v>9.42</v>
      </c>
      <c r="C76" s="6">
        <v>4.0599999999999996</v>
      </c>
      <c r="D76" s="6">
        <v>14.12</v>
      </c>
      <c r="E76" s="6">
        <v>9.92</v>
      </c>
      <c r="F76" s="6">
        <v>16.62</v>
      </c>
      <c r="G76" s="6">
        <v>49.94</v>
      </c>
      <c r="H76" s="6">
        <v>15.36</v>
      </c>
      <c r="I76" s="6">
        <v>5.82</v>
      </c>
      <c r="J76" s="6">
        <v>1.63</v>
      </c>
      <c r="K76" s="6">
        <v>303.99</v>
      </c>
      <c r="L76" s="6">
        <v>36.29</v>
      </c>
      <c r="M76" s="6">
        <v>38.64</v>
      </c>
      <c r="N76" s="6">
        <v>99.3</v>
      </c>
      <c r="O76" s="6">
        <v>0</v>
      </c>
      <c r="P76" s="6">
        <v>0.46</v>
      </c>
      <c r="Q76" s="6">
        <v>3.98</v>
      </c>
    </row>
    <row r="77" spans="1:17" customFormat="1">
      <c r="A77" s="82">
        <v>45458.71875</v>
      </c>
      <c r="B77" s="6">
        <v>9.4</v>
      </c>
      <c r="C77" s="6">
        <v>4.08</v>
      </c>
      <c r="D77" s="6">
        <v>14.12</v>
      </c>
      <c r="E77" s="6">
        <v>10.66</v>
      </c>
      <c r="F77" s="6">
        <v>18.22</v>
      </c>
      <c r="G77" s="6">
        <v>52.05</v>
      </c>
      <c r="H77" s="6">
        <v>15.75</v>
      </c>
      <c r="I77" s="6">
        <v>5.58</v>
      </c>
      <c r="J77" s="6">
        <v>1.0900000000000001</v>
      </c>
      <c r="K77" s="6">
        <v>291.77999999999997</v>
      </c>
      <c r="L77" s="6">
        <v>36.64</v>
      </c>
      <c r="M77" s="6">
        <v>36.880000000000003</v>
      </c>
      <c r="N77" s="6">
        <v>96</v>
      </c>
      <c r="O77" s="6">
        <v>0</v>
      </c>
      <c r="P77" s="6">
        <v>0.45</v>
      </c>
      <c r="Q77" s="6">
        <v>3.95</v>
      </c>
    </row>
    <row r="78" spans="1:17" customFormat="1">
      <c r="A78" s="82">
        <v>45458.729166666664</v>
      </c>
      <c r="B78" s="6">
        <v>9.36</v>
      </c>
      <c r="C78" s="6">
        <v>4.07</v>
      </c>
      <c r="D78" s="6">
        <v>14.08</v>
      </c>
      <c r="E78" s="6">
        <v>10.88</v>
      </c>
      <c r="F78" s="6">
        <v>25.32</v>
      </c>
      <c r="G78" s="6">
        <v>52.05</v>
      </c>
      <c r="H78" s="6">
        <v>15.75</v>
      </c>
      <c r="I78" s="6">
        <v>5.28</v>
      </c>
      <c r="J78" s="6">
        <v>0.86</v>
      </c>
      <c r="K78" s="6">
        <v>284.94</v>
      </c>
      <c r="L78" s="6">
        <v>36.909999999999997</v>
      </c>
      <c r="M78" s="6">
        <v>36.64</v>
      </c>
      <c r="N78" s="6">
        <v>86.8</v>
      </c>
      <c r="O78" s="6">
        <v>0</v>
      </c>
      <c r="P78" s="6">
        <v>0.48</v>
      </c>
      <c r="Q78" s="6">
        <v>3.94</v>
      </c>
    </row>
    <row r="79" spans="1:17" customFormat="1">
      <c r="A79" s="82">
        <v>45458.739583333336</v>
      </c>
      <c r="B79" s="6">
        <v>9.34</v>
      </c>
      <c r="C79" s="6">
        <v>4.0599999999999996</v>
      </c>
      <c r="D79" s="6">
        <v>14.06</v>
      </c>
      <c r="E79" s="6">
        <v>11.28</v>
      </c>
      <c r="F79" s="6">
        <v>28.38</v>
      </c>
      <c r="G79" s="6">
        <v>52.05</v>
      </c>
      <c r="H79" s="6">
        <v>15.75</v>
      </c>
      <c r="I79" s="6">
        <v>5.12</v>
      </c>
      <c r="J79" s="6">
        <v>0.69</v>
      </c>
      <c r="K79" s="6">
        <v>354.89</v>
      </c>
      <c r="L79" s="6">
        <v>36.799999999999997</v>
      </c>
      <c r="M79" s="6">
        <v>36.93</v>
      </c>
      <c r="N79" s="6">
        <v>36.9</v>
      </c>
      <c r="O79" s="6">
        <v>0</v>
      </c>
      <c r="P79" s="6">
        <v>0.51</v>
      </c>
      <c r="Q79" s="6">
        <v>3.97</v>
      </c>
    </row>
    <row r="80" spans="1:17" customFormat="1">
      <c r="A80" s="82">
        <v>45458.75</v>
      </c>
      <c r="B80" s="6">
        <v>9.35</v>
      </c>
      <c r="C80" s="6">
        <v>4.0599999999999996</v>
      </c>
      <c r="D80" s="6">
        <v>14.07</v>
      </c>
      <c r="E80" s="6">
        <v>23.81</v>
      </c>
      <c r="F80" s="6">
        <v>16.8</v>
      </c>
      <c r="G80" s="6">
        <v>53.25</v>
      </c>
      <c r="H80" s="6">
        <v>15.72</v>
      </c>
      <c r="I80" s="6">
        <v>5.0199999999999996</v>
      </c>
      <c r="J80" s="6">
        <v>1.42</v>
      </c>
      <c r="K80" s="6">
        <v>38.35</v>
      </c>
      <c r="L80" s="6">
        <v>35.86</v>
      </c>
      <c r="M80" s="6">
        <v>40</v>
      </c>
      <c r="N80" s="6">
        <v>34.5</v>
      </c>
      <c r="O80" s="6">
        <v>0</v>
      </c>
      <c r="P80" s="6">
        <v>0.53</v>
      </c>
      <c r="Q80" s="6">
        <v>3.97</v>
      </c>
    </row>
    <row r="81" spans="1:17" customFormat="1">
      <c r="A81" s="82">
        <v>45458.760416666664</v>
      </c>
      <c r="B81" s="6">
        <v>9.33</v>
      </c>
      <c r="C81" s="6">
        <v>4.09</v>
      </c>
      <c r="D81" s="6">
        <v>14.07</v>
      </c>
      <c r="E81" s="6">
        <v>17.87</v>
      </c>
      <c r="F81" s="6">
        <v>16.29</v>
      </c>
      <c r="G81" s="6">
        <v>54.39</v>
      </c>
      <c r="H81" s="6">
        <v>15.71</v>
      </c>
      <c r="I81" s="6">
        <v>5.05</v>
      </c>
      <c r="J81" s="6">
        <v>0.66</v>
      </c>
      <c r="K81" s="6">
        <v>336.41</v>
      </c>
      <c r="L81" s="6">
        <v>35.06</v>
      </c>
      <c r="M81" s="6">
        <v>41.55</v>
      </c>
      <c r="N81" s="6">
        <v>16.5</v>
      </c>
      <c r="O81" s="6">
        <v>0</v>
      </c>
      <c r="P81" s="6">
        <v>0.51</v>
      </c>
      <c r="Q81" s="6">
        <v>3.96</v>
      </c>
    </row>
    <row r="82" spans="1:17" customFormat="1">
      <c r="A82" s="82">
        <v>45458.770833333336</v>
      </c>
      <c r="B82" s="6">
        <v>9.31</v>
      </c>
      <c r="C82" s="6">
        <v>4.0999999999999996</v>
      </c>
      <c r="D82" s="6">
        <v>14.06</v>
      </c>
      <c r="E82" s="6">
        <v>21.83</v>
      </c>
      <c r="F82" s="6">
        <v>21.56</v>
      </c>
      <c r="G82" s="6">
        <v>54.39</v>
      </c>
      <c r="H82" s="6">
        <v>15.71</v>
      </c>
      <c r="I82" s="6">
        <v>5.49</v>
      </c>
      <c r="J82" s="6">
        <v>0.65</v>
      </c>
      <c r="K82" s="6">
        <v>318.81</v>
      </c>
      <c r="L82" s="6">
        <v>34.92</v>
      </c>
      <c r="M82" s="6">
        <v>41.12</v>
      </c>
      <c r="N82" s="6">
        <v>5.3</v>
      </c>
      <c r="O82" s="6">
        <v>0</v>
      </c>
      <c r="P82" s="6">
        <v>0.53</v>
      </c>
      <c r="Q82" s="6">
        <v>3.95</v>
      </c>
    </row>
    <row r="83" spans="1:17" customFormat="1">
      <c r="A83" s="82">
        <v>45458.78125</v>
      </c>
      <c r="B83" s="6">
        <v>9.3000000000000007</v>
      </c>
      <c r="C83" s="6">
        <v>4.09</v>
      </c>
      <c r="D83" s="6">
        <v>14.05</v>
      </c>
      <c r="E83" s="6">
        <v>19.559999999999999</v>
      </c>
      <c r="F83" s="6">
        <v>18.25</v>
      </c>
      <c r="G83" s="6">
        <v>54.39</v>
      </c>
      <c r="H83" s="6">
        <v>15.71</v>
      </c>
      <c r="I83" s="6">
        <v>5.89</v>
      </c>
      <c r="J83" s="6">
        <v>0.46</v>
      </c>
      <c r="K83" s="6">
        <v>349.77</v>
      </c>
      <c r="L83" s="6">
        <v>34.770000000000003</v>
      </c>
      <c r="M83" s="6">
        <v>41.55</v>
      </c>
      <c r="N83" s="6">
        <v>2.2000000000000002</v>
      </c>
      <c r="O83" s="6">
        <v>0</v>
      </c>
      <c r="P83" s="6">
        <v>0.54</v>
      </c>
      <c r="Q83" s="6">
        <v>3.97</v>
      </c>
    </row>
    <row r="84" spans="1:17" customFormat="1">
      <c r="A84" s="82">
        <v>45458.791666666664</v>
      </c>
      <c r="B84" s="6">
        <v>9.32</v>
      </c>
      <c r="C84" s="6">
        <v>4.0599999999999996</v>
      </c>
      <c r="D84" s="6">
        <v>14.05</v>
      </c>
      <c r="E84" s="6">
        <v>20.72</v>
      </c>
      <c r="F84" s="6">
        <v>21.72</v>
      </c>
      <c r="G84" s="6">
        <v>56.55</v>
      </c>
      <c r="H84" s="6">
        <v>16.38</v>
      </c>
      <c r="I84" s="6">
        <v>5.46</v>
      </c>
      <c r="J84" s="6">
        <v>0.66</v>
      </c>
      <c r="K84" s="6">
        <v>26.05</v>
      </c>
      <c r="L84" s="6">
        <v>34.630000000000003</v>
      </c>
      <c r="M84" s="6">
        <v>42.66</v>
      </c>
      <c r="N84" s="6">
        <v>1.7</v>
      </c>
      <c r="O84" s="6">
        <v>0</v>
      </c>
      <c r="P84" s="6">
        <v>0.7</v>
      </c>
      <c r="Q84" s="6">
        <v>3.98</v>
      </c>
    </row>
    <row r="85" spans="1:17" customFormat="1">
      <c r="A85" s="82">
        <v>45458.802083333336</v>
      </c>
      <c r="B85" s="6">
        <v>9.32</v>
      </c>
      <c r="C85" s="6">
        <v>4.08</v>
      </c>
      <c r="D85" s="6">
        <v>14.05</v>
      </c>
      <c r="E85" s="6">
        <v>23.11</v>
      </c>
      <c r="F85" s="6">
        <v>14.03</v>
      </c>
      <c r="G85" s="6">
        <v>58.61</v>
      </c>
      <c r="H85" s="6">
        <v>16.7</v>
      </c>
      <c r="I85" s="6">
        <v>5.56</v>
      </c>
      <c r="J85" s="6">
        <v>0.66</v>
      </c>
      <c r="K85" s="6">
        <v>40.49</v>
      </c>
      <c r="L85" s="6">
        <v>34.520000000000003</v>
      </c>
      <c r="M85" s="6">
        <v>44</v>
      </c>
      <c r="N85" s="6">
        <v>1.7</v>
      </c>
      <c r="O85" s="6">
        <v>0</v>
      </c>
      <c r="P85" s="6">
        <v>0.67</v>
      </c>
      <c r="Q85" s="6">
        <v>3.99</v>
      </c>
    </row>
    <row r="86" spans="1:17" customFormat="1">
      <c r="A86" s="82">
        <v>45458.8125</v>
      </c>
      <c r="B86" s="6">
        <v>9.31</v>
      </c>
      <c r="C86" s="6">
        <v>4.1100000000000003</v>
      </c>
      <c r="D86" s="6">
        <v>14.06</v>
      </c>
      <c r="E86" s="6">
        <v>26.68</v>
      </c>
      <c r="F86" s="6">
        <v>15.22</v>
      </c>
      <c r="G86" s="6">
        <v>58.61</v>
      </c>
      <c r="H86" s="6">
        <v>16.7</v>
      </c>
      <c r="I86" s="6">
        <v>6.21</v>
      </c>
      <c r="J86" s="6">
        <v>0.38</v>
      </c>
      <c r="K86" s="6">
        <v>25.98</v>
      </c>
      <c r="L86" s="6">
        <v>34.4</v>
      </c>
      <c r="M86" s="6">
        <v>44.83</v>
      </c>
      <c r="N86" s="6">
        <v>1.7</v>
      </c>
      <c r="O86" s="6">
        <v>0</v>
      </c>
      <c r="P86" s="6">
        <v>0.71</v>
      </c>
      <c r="Q86" s="6">
        <v>3.97</v>
      </c>
    </row>
    <row r="87" spans="1:17" customFormat="1">
      <c r="A87" s="82">
        <v>45458.822916666664</v>
      </c>
      <c r="B87" s="6">
        <v>9.2899999999999991</v>
      </c>
      <c r="C87" s="6">
        <v>4.0999999999999996</v>
      </c>
      <c r="D87" s="6">
        <v>14.04</v>
      </c>
      <c r="E87" s="6">
        <v>30.37</v>
      </c>
      <c r="F87" s="6">
        <v>10.73</v>
      </c>
      <c r="G87" s="6">
        <v>58.61</v>
      </c>
      <c r="H87" s="6">
        <v>16.7</v>
      </c>
      <c r="I87" s="6">
        <v>6.54</v>
      </c>
      <c r="J87" s="6">
        <v>0.24</v>
      </c>
      <c r="K87" s="6">
        <v>320</v>
      </c>
      <c r="L87" s="6">
        <v>34.299999999999997</v>
      </c>
      <c r="M87" s="6">
        <v>45.58</v>
      </c>
      <c r="N87" s="6">
        <v>1.7</v>
      </c>
      <c r="O87" s="6">
        <v>0</v>
      </c>
      <c r="P87" s="6">
        <v>0.71</v>
      </c>
      <c r="Q87" s="6">
        <v>3.96</v>
      </c>
    </row>
    <row r="88" spans="1:17" customFormat="1">
      <c r="A88" s="82">
        <v>45458.833333333336</v>
      </c>
      <c r="B88" s="6">
        <v>9.31</v>
      </c>
      <c r="C88" s="6">
        <v>4.07</v>
      </c>
      <c r="D88" s="6">
        <v>14.04</v>
      </c>
      <c r="E88" s="6">
        <v>34.94</v>
      </c>
      <c r="F88" s="6">
        <v>8.6</v>
      </c>
      <c r="G88" s="6">
        <v>68.790000000000006</v>
      </c>
      <c r="H88" s="6">
        <v>18.7</v>
      </c>
      <c r="I88" s="6">
        <v>7.11</v>
      </c>
      <c r="J88" s="6">
        <v>0.71</v>
      </c>
      <c r="K88" s="6">
        <v>307.76</v>
      </c>
      <c r="L88" s="6">
        <v>34.21</v>
      </c>
      <c r="M88" s="6">
        <v>45.98</v>
      </c>
      <c r="N88" s="6">
        <v>1.7</v>
      </c>
      <c r="O88" s="6">
        <v>0</v>
      </c>
      <c r="P88" s="6">
        <v>0.72</v>
      </c>
      <c r="Q88" s="6">
        <v>3.97</v>
      </c>
    </row>
    <row r="89" spans="1:17" customFormat="1">
      <c r="A89" s="82">
        <v>45458.84375</v>
      </c>
      <c r="B89" s="6">
        <v>9.27</v>
      </c>
      <c r="C89" s="6">
        <v>4.09</v>
      </c>
      <c r="D89" s="6">
        <v>14.02</v>
      </c>
      <c r="E89" s="6">
        <v>32.64</v>
      </c>
      <c r="F89" s="6">
        <v>9.6199999999999992</v>
      </c>
      <c r="G89" s="6">
        <v>78.53</v>
      </c>
      <c r="H89" s="6">
        <v>20.7</v>
      </c>
      <c r="I89" s="6">
        <v>7.1</v>
      </c>
      <c r="J89" s="6">
        <v>0.23</v>
      </c>
      <c r="K89" s="6">
        <v>260.07</v>
      </c>
      <c r="L89" s="6">
        <v>34.200000000000003</v>
      </c>
      <c r="M89" s="6">
        <v>46.78</v>
      </c>
      <c r="N89" s="6">
        <v>1.7</v>
      </c>
      <c r="O89" s="6">
        <v>0</v>
      </c>
      <c r="P89" s="6">
        <v>0.69</v>
      </c>
      <c r="Q89" s="6">
        <v>3.98</v>
      </c>
    </row>
    <row r="90" spans="1:17" customFormat="1">
      <c r="A90" s="82">
        <v>45458.854166666664</v>
      </c>
      <c r="B90" s="6">
        <v>9.27</v>
      </c>
      <c r="C90" s="6">
        <v>4.09</v>
      </c>
      <c r="D90" s="6">
        <v>14.02</v>
      </c>
      <c r="E90" s="6">
        <v>28.45</v>
      </c>
      <c r="F90" s="6">
        <v>11.73</v>
      </c>
      <c r="G90" s="6">
        <v>78.53</v>
      </c>
      <c r="H90" s="6">
        <v>20.7</v>
      </c>
      <c r="I90" s="6">
        <v>7.04</v>
      </c>
      <c r="J90" s="6">
        <v>0.41</v>
      </c>
      <c r="K90" s="6">
        <v>248.19</v>
      </c>
      <c r="L90" s="6">
        <v>33.89</v>
      </c>
      <c r="M90" s="6">
        <v>47.37</v>
      </c>
      <c r="N90" s="6">
        <v>1.8</v>
      </c>
      <c r="O90" s="6">
        <v>0</v>
      </c>
      <c r="P90" s="6">
        <v>0.67</v>
      </c>
      <c r="Q90" s="6">
        <v>3.98</v>
      </c>
    </row>
    <row r="91" spans="1:17" customFormat="1">
      <c r="A91" s="82">
        <v>45458.864583333336</v>
      </c>
      <c r="B91" s="6">
        <v>9.27</v>
      </c>
      <c r="C91" s="6">
        <v>4.0999999999999996</v>
      </c>
      <c r="D91" s="6">
        <v>14.02</v>
      </c>
      <c r="E91" s="6">
        <v>21.14</v>
      </c>
      <c r="F91" s="6">
        <v>20.23</v>
      </c>
      <c r="G91" s="6">
        <v>78.53</v>
      </c>
      <c r="H91" s="6">
        <v>20.7</v>
      </c>
      <c r="I91" s="6">
        <v>6.8</v>
      </c>
      <c r="J91" s="6">
        <v>0.26</v>
      </c>
      <c r="K91" s="6">
        <v>244.99</v>
      </c>
      <c r="L91" s="6">
        <v>33.92</v>
      </c>
      <c r="M91" s="6">
        <v>47.33</v>
      </c>
      <c r="N91" s="6">
        <v>1.8</v>
      </c>
      <c r="O91" s="6">
        <v>0</v>
      </c>
      <c r="P91" s="6">
        <v>0.64</v>
      </c>
      <c r="Q91" s="6">
        <v>3.98</v>
      </c>
    </row>
    <row r="92" spans="1:17" customFormat="1">
      <c r="A92" s="82">
        <v>45458.875</v>
      </c>
      <c r="B92" s="6">
        <v>9.27</v>
      </c>
      <c r="C92" s="6">
        <v>4.09</v>
      </c>
      <c r="D92" s="6">
        <v>14.02</v>
      </c>
      <c r="E92" s="6">
        <v>16.41</v>
      </c>
      <c r="F92" s="6">
        <v>17.079999999999998</v>
      </c>
      <c r="G92" s="6">
        <v>76.34</v>
      </c>
      <c r="H92" s="6">
        <v>18.91</v>
      </c>
      <c r="I92" s="6">
        <v>6.78</v>
      </c>
      <c r="J92" s="6">
        <v>0.34</v>
      </c>
      <c r="K92" s="6">
        <v>260.98</v>
      </c>
      <c r="L92" s="6">
        <v>33.57</v>
      </c>
      <c r="M92" s="6">
        <v>48.41</v>
      </c>
      <c r="N92" s="6">
        <v>1.7</v>
      </c>
      <c r="O92" s="6">
        <v>0</v>
      </c>
      <c r="P92" s="6">
        <v>0.63</v>
      </c>
      <c r="Q92" s="6">
        <v>3.98</v>
      </c>
    </row>
    <row r="93" spans="1:17" customFormat="1">
      <c r="A93" s="82">
        <v>45458.885416666664</v>
      </c>
      <c r="B93" s="6">
        <v>9.27</v>
      </c>
      <c r="C93" s="6">
        <v>4.0599999999999996</v>
      </c>
      <c r="D93" s="6">
        <v>14</v>
      </c>
      <c r="E93" s="6">
        <v>16.41</v>
      </c>
      <c r="F93" s="6">
        <v>23.7</v>
      </c>
      <c r="G93" s="6">
        <v>74.239999999999995</v>
      </c>
      <c r="H93" s="6">
        <v>18.07</v>
      </c>
      <c r="I93" s="6">
        <v>6.42</v>
      </c>
      <c r="J93" s="6">
        <v>0.39</v>
      </c>
      <c r="K93" s="6">
        <v>254.37</v>
      </c>
      <c r="L93" s="6">
        <v>33.520000000000003</v>
      </c>
      <c r="M93" s="6">
        <v>49.23</v>
      </c>
      <c r="N93" s="6">
        <v>1.7</v>
      </c>
      <c r="O93" s="6">
        <v>0</v>
      </c>
      <c r="P93" s="6">
        <v>0.63</v>
      </c>
      <c r="Q93" s="6">
        <v>3.96</v>
      </c>
    </row>
    <row r="94" spans="1:17" customFormat="1">
      <c r="A94" s="82">
        <v>45458.895833333336</v>
      </c>
      <c r="B94" s="6">
        <v>9.31</v>
      </c>
      <c r="C94" s="6">
        <v>4.05</v>
      </c>
      <c r="D94" s="6">
        <v>14.03</v>
      </c>
      <c r="E94" s="6">
        <v>15.45</v>
      </c>
      <c r="F94" s="6">
        <v>23.26</v>
      </c>
      <c r="G94" s="6">
        <v>74.239999999999995</v>
      </c>
      <c r="H94" s="6">
        <v>18.07</v>
      </c>
      <c r="I94" s="6">
        <v>6.4</v>
      </c>
      <c r="J94" s="6">
        <v>0.46</v>
      </c>
      <c r="K94" s="6">
        <v>253.8</v>
      </c>
      <c r="L94" s="6">
        <v>33.380000000000003</v>
      </c>
      <c r="M94" s="6">
        <v>50.05</v>
      </c>
      <c r="N94" s="6">
        <v>1.7</v>
      </c>
      <c r="O94" s="6">
        <v>0</v>
      </c>
      <c r="P94" s="6">
        <v>0.63</v>
      </c>
      <c r="Q94" s="6">
        <v>3.95</v>
      </c>
    </row>
    <row r="95" spans="1:17" customFormat="1">
      <c r="A95" s="82">
        <v>45458.90625</v>
      </c>
      <c r="B95" s="6">
        <v>9.32</v>
      </c>
      <c r="C95" s="6">
        <v>4.04</v>
      </c>
      <c r="D95" s="6">
        <v>14.03</v>
      </c>
      <c r="E95" s="6">
        <v>13.39</v>
      </c>
      <c r="F95" s="6">
        <v>24.96</v>
      </c>
      <c r="G95" s="6">
        <v>74.239999999999995</v>
      </c>
      <c r="H95" s="6">
        <v>18.07</v>
      </c>
      <c r="I95" s="6">
        <v>6.07</v>
      </c>
      <c r="J95" s="6">
        <v>0.38</v>
      </c>
      <c r="K95" s="6">
        <v>250.9</v>
      </c>
      <c r="L95" s="6">
        <v>33.4</v>
      </c>
      <c r="M95" s="6">
        <v>50.63</v>
      </c>
      <c r="N95" s="6">
        <v>1.7</v>
      </c>
      <c r="O95" s="6">
        <v>0</v>
      </c>
      <c r="P95" s="6">
        <v>0.62</v>
      </c>
      <c r="Q95" s="6">
        <v>3.95</v>
      </c>
    </row>
    <row r="96" spans="1:17" customFormat="1">
      <c r="A96" s="82">
        <v>45458.916666666664</v>
      </c>
      <c r="B96" s="6">
        <v>9.31</v>
      </c>
      <c r="C96" s="6">
        <v>4.08</v>
      </c>
      <c r="D96" s="6">
        <v>14.05</v>
      </c>
      <c r="E96" s="6">
        <v>13.53</v>
      </c>
      <c r="F96" s="6">
        <v>25.02</v>
      </c>
      <c r="G96" s="6">
        <v>67.75</v>
      </c>
      <c r="H96" s="6">
        <v>20.22</v>
      </c>
      <c r="I96" s="6">
        <v>6.29</v>
      </c>
      <c r="J96" s="6">
        <v>0.44</v>
      </c>
      <c r="K96" s="6">
        <v>253.89</v>
      </c>
      <c r="L96" s="6">
        <v>33.36</v>
      </c>
      <c r="M96" s="6">
        <v>51.06</v>
      </c>
      <c r="N96" s="6">
        <v>1.7</v>
      </c>
      <c r="O96" s="6">
        <v>0</v>
      </c>
      <c r="P96" s="6">
        <v>0.62</v>
      </c>
      <c r="Q96" s="6">
        <v>3.96</v>
      </c>
    </row>
    <row r="97" spans="1:22" customFormat="1">
      <c r="A97" s="82">
        <v>45458.927083333336</v>
      </c>
      <c r="B97" s="6">
        <v>9.33</v>
      </c>
      <c r="C97" s="6">
        <v>4.08</v>
      </c>
      <c r="D97" s="6">
        <v>14.06</v>
      </c>
      <c r="E97" s="6">
        <v>14.38</v>
      </c>
      <c r="F97" s="6">
        <v>23.1</v>
      </c>
      <c r="G97" s="6">
        <v>61.55</v>
      </c>
      <c r="H97" s="6">
        <v>21.22</v>
      </c>
      <c r="I97" s="6">
        <v>6.18</v>
      </c>
      <c r="J97" s="6">
        <v>0.55000000000000004</v>
      </c>
      <c r="K97" s="6">
        <v>262.58</v>
      </c>
      <c r="L97" s="6">
        <v>33.159999999999997</v>
      </c>
      <c r="M97" s="6">
        <v>51.97</v>
      </c>
      <c r="N97" s="6">
        <v>1.6</v>
      </c>
      <c r="O97" s="6">
        <v>0</v>
      </c>
      <c r="P97" s="6">
        <v>0.59</v>
      </c>
      <c r="Q97" s="6">
        <v>3.95</v>
      </c>
    </row>
    <row r="98" spans="1:22" customFormat="1">
      <c r="A98" s="82">
        <v>45458.9375</v>
      </c>
      <c r="B98" s="6">
        <v>9.32</v>
      </c>
      <c r="C98" s="6">
        <v>4.08</v>
      </c>
      <c r="D98" s="6">
        <v>14.05</v>
      </c>
      <c r="E98" s="6">
        <v>12.27</v>
      </c>
      <c r="F98" s="6">
        <v>17.98</v>
      </c>
      <c r="G98" s="6">
        <v>61.55</v>
      </c>
      <c r="H98" s="6">
        <v>21.22</v>
      </c>
      <c r="I98" s="6">
        <v>6.45</v>
      </c>
      <c r="J98" s="6">
        <v>0.63</v>
      </c>
      <c r="K98" s="6">
        <v>254.32</v>
      </c>
      <c r="L98" s="6">
        <v>32.96</v>
      </c>
      <c r="M98" s="6">
        <v>52.27</v>
      </c>
      <c r="N98" s="6">
        <v>2</v>
      </c>
      <c r="O98" s="6">
        <v>0</v>
      </c>
      <c r="P98" s="6">
        <v>0.56999999999999995</v>
      </c>
      <c r="Q98" s="6">
        <v>3.94</v>
      </c>
    </row>
    <row r="99" spans="1:22" customFormat="1">
      <c r="A99" s="82">
        <v>45458.947916666664</v>
      </c>
      <c r="B99" s="6">
        <v>9.3000000000000007</v>
      </c>
      <c r="C99" s="6">
        <v>4.0999999999999996</v>
      </c>
      <c r="D99" s="6">
        <v>14.05</v>
      </c>
      <c r="E99" s="6">
        <v>10.99</v>
      </c>
      <c r="F99" s="6">
        <v>19.59</v>
      </c>
      <c r="G99" s="6">
        <v>61.55</v>
      </c>
      <c r="H99" s="6">
        <v>21.22</v>
      </c>
      <c r="I99" s="6">
        <v>6.15</v>
      </c>
      <c r="J99" s="6">
        <v>0.68</v>
      </c>
      <c r="K99" s="6">
        <v>265.66000000000003</v>
      </c>
      <c r="L99" s="6">
        <v>32.96</v>
      </c>
      <c r="M99" s="6">
        <v>51.26</v>
      </c>
      <c r="N99" s="6">
        <v>1.7</v>
      </c>
      <c r="O99" s="6">
        <v>0</v>
      </c>
      <c r="P99" s="6">
        <v>0.54</v>
      </c>
      <c r="Q99" s="6">
        <v>3.96</v>
      </c>
    </row>
    <row r="100" spans="1:22" customFormat="1">
      <c r="A100" s="82">
        <v>45458.958333333336</v>
      </c>
      <c r="B100" s="6">
        <v>9.31</v>
      </c>
      <c r="C100" s="6">
        <v>4.09</v>
      </c>
      <c r="D100" s="6">
        <v>14.05</v>
      </c>
      <c r="E100" s="6">
        <v>10.25</v>
      </c>
      <c r="F100" s="6">
        <v>25.93</v>
      </c>
      <c r="G100" s="6">
        <v>59.63</v>
      </c>
      <c r="H100" s="6">
        <v>18.579999999999998</v>
      </c>
      <c r="I100" s="6">
        <v>6</v>
      </c>
      <c r="J100" s="6">
        <v>0.69</v>
      </c>
      <c r="K100" s="6">
        <v>256.98</v>
      </c>
      <c r="L100" s="6">
        <v>32.94</v>
      </c>
      <c r="M100" s="6">
        <v>50.41</v>
      </c>
      <c r="N100" s="6">
        <v>1.8</v>
      </c>
      <c r="O100" s="6">
        <v>0</v>
      </c>
      <c r="P100" s="6">
        <v>0.52</v>
      </c>
      <c r="Q100" s="6">
        <v>3.95</v>
      </c>
    </row>
    <row r="101" spans="1:22" customFormat="1">
      <c r="A101" s="82">
        <v>45458.96875</v>
      </c>
      <c r="B101" s="6">
        <v>9.32</v>
      </c>
      <c r="C101" s="6">
        <v>4.1100000000000003</v>
      </c>
      <c r="D101" s="6">
        <v>14.07</v>
      </c>
      <c r="E101" s="6">
        <v>10.06</v>
      </c>
      <c r="F101" s="6">
        <v>27.66</v>
      </c>
      <c r="G101" s="6">
        <v>57.79</v>
      </c>
      <c r="H101" s="6">
        <v>17.350000000000001</v>
      </c>
      <c r="I101" s="6">
        <v>5.8</v>
      </c>
      <c r="J101" s="6">
        <v>0.84</v>
      </c>
      <c r="K101" s="6">
        <v>264.3</v>
      </c>
      <c r="L101" s="6">
        <v>32.950000000000003</v>
      </c>
      <c r="M101" s="6">
        <v>49.59</v>
      </c>
      <c r="N101" s="6">
        <v>1.7</v>
      </c>
      <c r="O101" s="6">
        <v>0</v>
      </c>
      <c r="P101" s="6">
        <v>0.49</v>
      </c>
      <c r="Q101" s="6">
        <v>3.94</v>
      </c>
    </row>
    <row r="102" spans="1:22" customFormat="1">
      <c r="A102" s="82">
        <v>45458.979166666664</v>
      </c>
      <c r="B102" s="6">
        <v>9.33</v>
      </c>
      <c r="C102" s="6">
        <v>4.09</v>
      </c>
      <c r="D102" s="6">
        <v>14.07</v>
      </c>
      <c r="E102" s="6">
        <v>9.74</v>
      </c>
      <c r="F102" s="6">
        <v>28.54</v>
      </c>
      <c r="G102" s="6">
        <v>57.79</v>
      </c>
      <c r="H102" s="6">
        <v>17.350000000000001</v>
      </c>
      <c r="I102" s="6">
        <v>5.59</v>
      </c>
      <c r="J102" s="6">
        <v>0.82</v>
      </c>
      <c r="K102" s="6">
        <v>260.83</v>
      </c>
      <c r="L102" s="6">
        <v>32.9</v>
      </c>
      <c r="M102" s="6">
        <v>49.71</v>
      </c>
      <c r="N102" s="6">
        <v>2</v>
      </c>
      <c r="O102" s="6">
        <v>0</v>
      </c>
      <c r="P102" s="6">
        <v>0.48</v>
      </c>
      <c r="Q102" s="6">
        <v>3.95</v>
      </c>
    </row>
    <row r="103" spans="1:22" customFormat="1">
      <c r="A103" s="82">
        <v>45458.989583333336</v>
      </c>
      <c r="B103" s="6">
        <v>9.34</v>
      </c>
      <c r="C103" s="6">
        <v>4.0599999999999996</v>
      </c>
      <c r="D103" s="6">
        <v>14.06</v>
      </c>
      <c r="E103" s="6">
        <v>9.14</v>
      </c>
      <c r="F103" s="6">
        <v>35.21</v>
      </c>
      <c r="G103" s="6">
        <v>57.79</v>
      </c>
      <c r="H103" s="6">
        <v>17.350000000000001</v>
      </c>
      <c r="I103" s="6">
        <v>5.58</v>
      </c>
      <c r="J103" s="6">
        <v>0.63</v>
      </c>
      <c r="K103" s="6">
        <v>259.16000000000003</v>
      </c>
      <c r="L103" s="6">
        <v>32.81</v>
      </c>
      <c r="M103" s="6">
        <v>50.42</v>
      </c>
      <c r="N103" s="6">
        <v>1.9</v>
      </c>
      <c r="O103" s="6">
        <v>0</v>
      </c>
      <c r="P103" s="6">
        <v>0.43</v>
      </c>
      <c r="Q103" s="6">
        <v>3.94</v>
      </c>
    </row>
    <row r="104" spans="1:22" customFormat="1">
      <c r="A104" s="82">
        <v>45459</v>
      </c>
      <c r="B104" s="6">
        <v>9.34</v>
      </c>
      <c r="C104" s="6">
        <v>4.09</v>
      </c>
      <c r="D104" s="6">
        <v>14.07</v>
      </c>
      <c r="E104" s="6">
        <v>9.6300000000000008</v>
      </c>
      <c r="F104" s="6">
        <v>37.17</v>
      </c>
      <c r="G104" s="6">
        <v>52.39</v>
      </c>
      <c r="H104" s="6">
        <v>15.66</v>
      </c>
      <c r="I104" s="6">
        <v>5.51</v>
      </c>
      <c r="J104" s="6">
        <v>0.62</v>
      </c>
      <c r="K104" s="6">
        <v>257.33</v>
      </c>
      <c r="L104" s="6">
        <v>32.79</v>
      </c>
      <c r="M104" s="6">
        <v>51.12</v>
      </c>
      <c r="N104" s="6">
        <v>1.9</v>
      </c>
      <c r="O104" s="6">
        <v>0</v>
      </c>
      <c r="P104" s="6">
        <v>0.41</v>
      </c>
      <c r="Q104" s="6">
        <v>3.95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9.26</v>
      </c>
      <c r="C106" s="184">
        <f>MIN(C9:C104)</f>
        <v>4.03</v>
      </c>
      <c r="D106" s="184">
        <f t="shared" ref="D106:Q106" si="0">MIN(D9:D104)</f>
        <v>14</v>
      </c>
      <c r="E106" s="184">
        <f t="shared" si="0"/>
        <v>7.14</v>
      </c>
      <c r="F106" s="184">
        <f t="shared" si="0"/>
        <v>7.85</v>
      </c>
      <c r="G106" s="184">
        <f t="shared" si="0"/>
        <v>19.47</v>
      </c>
      <c r="H106" s="184">
        <f t="shared" si="0"/>
        <v>7.56</v>
      </c>
      <c r="I106" s="184">
        <f t="shared" si="0"/>
        <v>3.62</v>
      </c>
      <c r="J106" s="184">
        <f t="shared" si="0"/>
        <v>0.22</v>
      </c>
      <c r="K106" s="184">
        <f t="shared" si="0"/>
        <v>25.98</v>
      </c>
      <c r="L106" s="184">
        <f t="shared" si="0"/>
        <v>28.12</v>
      </c>
      <c r="M106" s="184">
        <f t="shared" si="0"/>
        <v>34.67</v>
      </c>
      <c r="N106" s="184">
        <f t="shared" si="0"/>
        <v>1.5</v>
      </c>
      <c r="O106" s="184">
        <f t="shared" si="0"/>
        <v>0</v>
      </c>
      <c r="P106" s="184">
        <f t="shared" si="0"/>
        <v>0.23</v>
      </c>
      <c r="Q106" s="184">
        <f t="shared" si="0"/>
        <v>3.9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9.42</v>
      </c>
      <c r="C107" s="185">
        <f t="shared" ref="C107:Q107" si="1">MAX(C9:C104)</f>
        <v>4.12</v>
      </c>
      <c r="D107" s="185">
        <f t="shared" si="1"/>
        <v>14.14</v>
      </c>
      <c r="E107" s="185">
        <f t="shared" si="1"/>
        <v>34.94</v>
      </c>
      <c r="F107" s="185">
        <f t="shared" si="1"/>
        <v>41.5</v>
      </c>
      <c r="G107" s="185">
        <f t="shared" si="1"/>
        <v>78.53</v>
      </c>
      <c r="H107" s="185">
        <f t="shared" si="1"/>
        <v>21.22</v>
      </c>
      <c r="I107" s="185">
        <f t="shared" si="1"/>
        <v>8.9</v>
      </c>
      <c r="J107" s="185">
        <f t="shared" si="1"/>
        <v>2.21</v>
      </c>
      <c r="K107" s="185">
        <f t="shared" si="1"/>
        <v>354.89</v>
      </c>
      <c r="L107" s="185">
        <f t="shared" si="1"/>
        <v>40.619999999999997</v>
      </c>
      <c r="M107" s="185">
        <f t="shared" si="1"/>
        <v>67.010000000000005</v>
      </c>
      <c r="N107" s="185">
        <f t="shared" si="1"/>
        <v>743.8</v>
      </c>
      <c r="O107" s="185">
        <f t="shared" si="1"/>
        <v>0</v>
      </c>
      <c r="P107" s="185">
        <f t="shared" si="1"/>
        <v>0.72</v>
      </c>
      <c r="Q107" s="185">
        <f t="shared" si="1"/>
        <v>4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9.3140625000000004</v>
      </c>
      <c r="C108" s="184">
        <f t="shared" ref="C108:Q108" si="2">AVERAGE(C9:C104)</f>
        <v>4.0791666666666666</v>
      </c>
      <c r="D108" s="184">
        <f t="shared" si="2"/>
        <v>14.050104166666655</v>
      </c>
      <c r="E108" s="184">
        <f t="shared" si="2"/>
        <v>13.257916666666674</v>
      </c>
      <c r="F108" s="184">
        <f t="shared" si="2"/>
        <v>19.172916666666666</v>
      </c>
      <c r="G108" s="184">
        <f t="shared" si="2"/>
        <v>42.066562500000003</v>
      </c>
      <c r="H108" s="184">
        <f t="shared" si="2"/>
        <v>13.604479166666671</v>
      </c>
      <c r="I108" s="184">
        <f t="shared" si="2"/>
        <v>5.8511458333333337</v>
      </c>
      <c r="J108" s="184">
        <f t="shared" si="2"/>
        <v>0.8262499999999996</v>
      </c>
      <c r="K108" s="184">
        <f t="shared" si="2"/>
        <v>258.36833333333328</v>
      </c>
      <c r="L108" s="184">
        <f t="shared" si="2"/>
        <v>33.554479166666674</v>
      </c>
      <c r="M108" s="184">
        <f t="shared" si="2"/>
        <v>49.521875000000016</v>
      </c>
      <c r="N108" s="184">
        <f t="shared" si="2"/>
        <v>159.4739583333334</v>
      </c>
      <c r="O108" s="184">
        <f t="shared" si="2"/>
        <v>0</v>
      </c>
      <c r="P108" s="184">
        <f t="shared" si="2"/>
        <v>0.49177083333333349</v>
      </c>
      <c r="Q108" s="184">
        <f t="shared" si="2"/>
        <v>3.9599999999999995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3.246303565920057E-2</v>
      </c>
      <c r="C109" s="184">
        <f t="shared" ref="C109:Q109" si="3">STDEV(C9:C104)</f>
        <v>1.7451687698007146E-2</v>
      </c>
      <c r="D109" s="184">
        <f t="shared" si="3"/>
        <v>2.5484558448171223E-2</v>
      </c>
      <c r="E109" s="184">
        <f t="shared" si="3"/>
        <v>5.7697016098466083</v>
      </c>
      <c r="F109" s="184">
        <f t="shared" si="3"/>
        <v>8.5165165743632301</v>
      </c>
      <c r="G109" s="184">
        <f t="shared" si="3"/>
        <v>16.288524654726437</v>
      </c>
      <c r="H109" s="184">
        <f t="shared" si="3"/>
        <v>3.9651377807856769</v>
      </c>
      <c r="I109" s="184">
        <f t="shared" si="3"/>
        <v>1.4419006972097761</v>
      </c>
      <c r="J109" s="184">
        <f t="shared" si="3"/>
        <v>0.42728333998832585</v>
      </c>
      <c r="K109" s="184">
        <f t="shared" si="3"/>
        <v>52.88400193206752</v>
      </c>
      <c r="L109" s="184">
        <f t="shared" si="3"/>
        <v>3.9047344730243543</v>
      </c>
      <c r="M109" s="184">
        <f t="shared" si="3"/>
        <v>10.488371135640998</v>
      </c>
      <c r="N109" s="184">
        <f t="shared" si="3"/>
        <v>210.82218711001656</v>
      </c>
      <c r="O109" s="184">
        <f t="shared" si="3"/>
        <v>0</v>
      </c>
      <c r="P109" s="184">
        <f t="shared" si="3"/>
        <v>0.14865711016802582</v>
      </c>
      <c r="Q109" s="184">
        <f t="shared" si="3"/>
        <v>2.542274158059446E-2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D120" sqref="D12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45459.010416666664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45459.010416666664</v>
      </c>
      <c r="B9" s="6">
        <v>9.17</v>
      </c>
      <c r="C9" s="6">
        <v>4.13</v>
      </c>
      <c r="D9" s="6">
        <v>13.97</v>
      </c>
      <c r="E9" s="6">
        <v>9.69</v>
      </c>
      <c r="F9" s="6">
        <v>40.51</v>
      </c>
      <c r="G9" s="6">
        <v>47.23</v>
      </c>
      <c r="H9" s="6">
        <v>14.87</v>
      </c>
      <c r="I9" s="6">
        <v>5.0599999999999996</v>
      </c>
      <c r="J9" s="6">
        <v>0.35</v>
      </c>
      <c r="K9" s="6">
        <v>248.39</v>
      </c>
      <c r="L9" s="6">
        <v>32.729999999999997</v>
      </c>
      <c r="M9" s="6">
        <v>51.96</v>
      </c>
      <c r="N9" s="6">
        <v>1.8</v>
      </c>
      <c r="O9" s="6">
        <v>0</v>
      </c>
      <c r="P9" s="6">
        <v>0.37</v>
      </c>
      <c r="Q9" s="6">
        <v>3.97</v>
      </c>
    </row>
    <row r="10" spans="1:21" customFormat="1">
      <c r="A10" s="82">
        <v>45459.020833333336</v>
      </c>
      <c r="B10" s="6">
        <v>9.17</v>
      </c>
      <c r="C10" s="6">
        <v>4.08</v>
      </c>
      <c r="D10" s="6">
        <v>13.94</v>
      </c>
      <c r="E10" s="6">
        <v>8.8800000000000008</v>
      </c>
      <c r="F10" s="6">
        <v>41.71</v>
      </c>
      <c r="G10" s="6">
        <v>47.23</v>
      </c>
      <c r="H10" s="6">
        <v>14.87</v>
      </c>
      <c r="I10" s="6">
        <v>4.8</v>
      </c>
      <c r="J10" s="6">
        <v>7.0000000000000007E-2</v>
      </c>
      <c r="K10" s="6">
        <v>223.87</v>
      </c>
      <c r="L10" s="6">
        <v>32.78</v>
      </c>
      <c r="M10" s="6">
        <v>52.36</v>
      </c>
      <c r="N10" s="6">
        <v>1.8</v>
      </c>
      <c r="O10" s="6">
        <v>0</v>
      </c>
      <c r="P10" s="6">
        <v>0.36</v>
      </c>
      <c r="Q10" s="6">
        <v>3.96</v>
      </c>
    </row>
    <row r="11" spans="1:21" customFormat="1">
      <c r="A11" s="82">
        <v>45459.03125</v>
      </c>
      <c r="B11" s="6">
        <v>9.18</v>
      </c>
      <c r="C11" s="6">
        <v>4.07</v>
      </c>
      <c r="D11" s="6">
        <v>13.94</v>
      </c>
      <c r="E11" s="6">
        <v>9.92</v>
      </c>
      <c r="F11" s="6">
        <v>37.67</v>
      </c>
      <c r="G11" s="6">
        <v>47.23</v>
      </c>
      <c r="H11" s="6">
        <v>14.87</v>
      </c>
      <c r="I11" s="6">
        <v>4.43</v>
      </c>
      <c r="J11" s="6">
        <v>0.44</v>
      </c>
      <c r="K11" s="6">
        <v>271.88</v>
      </c>
      <c r="L11" s="6">
        <v>32.46</v>
      </c>
      <c r="M11" s="6">
        <v>53.56</v>
      </c>
      <c r="N11" s="6">
        <v>1.9</v>
      </c>
      <c r="O11" s="6">
        <v>0</v>
      </c>
      <c r="P11" s="6">
        <v>0.36</v>
      </c>
      <c r="Q11" s="6">
        <v>3.97</v>
      </c>
    </row>
    <row r="12" spans="1:21" customFormat="1">
      <c r="A12" s="82">
        <v>45459.041666666664</v>
      </c>
      <c r="B12" s="6">
        <v>9.19</v>
      </c>
      <c r="C12" s="6">
        <v>4.07</v>
      </c>
      <c r="D12" s="6">
        <v>13.95</v>
      </c>
      <c r="E12" s="6">
        <v>9.19</v>
      </c>
      <c r="F12" s="6">
        <v>38.22</v>
      </c>
      <c r="G12" s="6">
        <v>45.57</v>
      </c>
      <c r="H12" s="6">
        <v>15.34</v>
      </c>
      <c r="I12" s="6">
        <v>4.0599999999999996</v>
      </c>
      <c r="J12" s="6">
        <v>0.31</v>
      </c>
      <c r="K12" s="6">
        <v>235.88</v>
      </c>
      <c r="L12" s="6">
        <v>32.61</v>
      </c>
      <c r="M12" s="6">
        <v>53.37</v>
      </c>
      <c r="N12" s="6">
        <v>1.6</v>
      </c>
      <c r="O12" s="6">
        <v>0</v>
      </c>
      <c r="P12" s="6">
        <v>0.34</v>
      </c>
      <c r="Q12" s="6">
        <v>3.96</v>
      </c>
    </row>
    <row r="13" spans="1:21" customFormat="1">
      <c r="A13" s="82">
        <v>45459.052083333336</v>
      </c>
      <c r="B13" s="6">
        <v>9.17</v>
      </c>
      <c r="C13" s="6">
        <v>4.09</v>
      </c>
      <c r="D13" s="6">
        <v>13.94</v>
      </c>
      <c r="E13" s="6">
        <v>9.2799999999999994</v>
      </c>
      <c r="F13" s="6">
        <v>37.799999999999997</v>
      </c>
      <c r="G13" s="6">
        <v>43.98</v>
      </c>
      <c r="H13" s="6">
        <v>15.55</v>
      </c>
      <c r="I13" s="6">
        <v>4.1500000000000004</v>
      </c>
      <c r="J13" s="6">
        <v>0.45</v>
      </c>
      <c r="K13" s="6">
        <v>259.31</v>
      </c>
      <c r="L13" s="6">
        <v>32.520000000000003</v>
      </c>
      <c r="M13" s="6">
        <v>53.64</v>
      </c>
      <c r="N13" s="6">
        <v>1.7</v>
      </c>
      <c r="O13" s="6">
        <v>0</v>
      </c>
      <c r="P13" s="6">
        <v>0.33</v>
      </c>
      <c r="Q13" s="6">
        <v>3.96</v>
      </c>
    </row>
    <row r="14" spans="1:21" customFormat="1">
      <c r="A14" s="82">
        <v>45459.0625</v>
      </c>
      <c r="B14" s="6">
        <v>9.17</v>
      </c>
      <c r="C14" s="6">
        <v>4.08</v>
      </c>
      <c r="D14" s="6">
        <v>13.94</v>
      </c>
      <c r="E14" s="6">
        <v>9.32</v>
      </c>
      <c r="F14" s="6">
        <v>41.1</v>
      </c>
      <c r="G14" s="6">
        <v>43.98</v>
      </c>
      <c r="H14" s="6">
        <v>15.55</v>
      </c>
      <c r="I14" s="6">
        <v>3.97</v>
      </c>
      <c r="J14" s="6">
        <v>0.15</v>
      </c>
      <c r="K14" s="6">
        <v>284.39999999999998</v>
      </c>
      <c r="L14" s="6">
        <v>32.69</v>
      </c>
      <c r="M14" s="6">
        <v>53.42</v>
      </c>
      <c r="N14" s="6">
        <v>1.6</v>
      </c>
      <c r="O14" s="6">
        <v>0</v>
      </c>
      <c r="P14" s="6">
        <v>0.32</v>
      </c>
      <c r="Q14" s="6">
        <v>3.95</v>
      </c>
    </row>
    <row r="15" spans="1:21" customFormat="1">
      <c r="A15" s="82">
        <v>45459.072916666664</v>
      </c>
      <c r="B15" s="6">
        <v>9.18</v>
      </c>
      <c r="C15" s="6">
        <v>4.07</v>
      </c>
      <c r="D15" s="6">
        <v>13.94</v>
      </c>
      <c r="E15" s="6">
        <v>10.09</v>
      </c>
      <c r="F15" s="6">
        <v>22.03</v>
      </c>
      <c r="G15" s="6">
        <v>43.98</v>
      </c>
      <c r="H15" s="6">
        <v>15.55</v>
      </c>
      <c r="I15" s="6">
        <v>3.95</v>
      </c>
      <c r="J15" s="6">
        <v>0.59</v>
      </c>
      <c r="K15" s="6">
        <v>28.59</v>
      </c>
      <c r="L15" s="6">
        <v>32.840000000000003</v>
      </c>
      <c r="M15" s="6">
        <v>52.91</v>
      </c>
      <c r="N15" s="6">
        <v>1.5</v>
      </c>
      <c r="O15" s="6">
        <v>0</v>
      </c>
      <c r="P15" s="6">
        <v>0.37</v>
      </c>
      <c r="Q15" s="6">
        <v>3.97</v>
      </c>
    </row>
    <row r="16" spans="1:21" customFormat="1">
      <c r="A16" s="82">
        <v>45459.083333333336</v>
      </c>
      <c r="B16" s="6">
        <v>9.16</v>
      </c>
      <c r="C16" s="6">
        <v>4.1100000000000003</v>
      </c>
      <c r="D16" s="6">
        <v>13.94</v>
      </c>
      <c r="E16" s="6">
        <v>10.64</v>
      </c>
      <c r="F16" s="6">
        <v>26.24</v>
      </c>
      <c r="G16" s="6">
        <v>43.12</v>
      </c>
      <c r="H16" s="6">
        <v>16.170000000000002</v>
      </c>
      <c r="I16" s="6">
        <v>3.66</v>
      </c>
      <c r="J16" s="6">
        <v>0.23</v>
      </c>
      <c r="K16" s="6">
        <v>46.68</v>
      </c>
      <c r="L16" s="6">
        <v>32.97</v>
      </c>
      <c r="M16" s="6">
        <v>52.96</v>
      </c>
      <c r="N16" s="6">
        <v>1.7</v>
      </c>
      <c r="O16" s="6">
        <v>0</v>
      </c>
      <c r="P16" s="6">
        <v>0.39</v>
      </c>
      <c r="Q16" s="6">
        <v>3.96</v>
      </c>
    </row>
    <row r="17" spans="1:17" customFormat="1">
      <c r="A17" s="82">
        <v>45459.09375</v>
      </c>
      <c r="B17" s="6">
        <v>9.1300000000000008</v>
      </c>
      <c r="C17" s="6">
        <v>4.13</v>
      </c>
      <c r="D17" s="6">
        <v>13.93</v>
      </c>
      <c r="E17" s="6">
        <v>9.51</v>
      </c>
      <c r="F17" s="6">
        <v>21.36</v>
      </c>
      <c r="G17" s="6">
        <v>42.29</v>
      </c>
      <c r="H17" s="6">
        <v>16.78</v>
      </c>
      <c r="I17" s="6">
        <v>4.26</v>
      </c>
      <c r="J17" s="6">
        <v>0.27</v>
      </c>
      <c r="K17" s="6">
        <v>187.78</v>
      </c>
      <c r="L17" s="6">
        <v>32.590000000000003</v>
      </c>
      <c r="M17" s="6">
        <v>55.85</v>
      </c>
      <c r="N17" s="6">
        <v>2.1</v>
      </c>
      <c r="O17" s="6">
        <v>0</v>
      </c>
      <c r="P17" s="6">
        <v>0.4</v>
      </c>
      <c r="Q17" s="6">
        <v>3.94</v>
      </c>
    </row>
    <row r="18" spans="1:17" customFormat="1">
      <c r="A18" s="82">
        <v>45459.104166666664</v>
      </c>
      <c r="B18" s="6">
        <v>9.14</v>
      </c>
      <c r="C18" s="6">
        <v>4.0999999999999996</v>
      </c>
      <c r="D18" s="6">
        <v>13.92</v>
      </c>
      <c r="E18" s="6">
        <v>10.19</v>
      </c>
      <c r="F18" s="6">
        <v>19.79</v>
      </c>
      <c r="G18" s="6">
        <v>42.29</v>
      </c>
      <c r="H18" s="6">
        <v>16.78</v>
      </c>
      <c r="I18" s="6">
        <v>4.1399999999999997</v>
      </c>
      <c r="J18" s="6">
        <v>0.13</v>
      </c>
      <c r="K18" s="6">
        <v>168.68</v>
      </c>
      <c r="L18" s="6">
        <v>32.4</v>
      </c>
      <c r="M18" s="6">
        <v>56.53</v>
      </c>
      <c r="N18" s="6">
        <v>1.9</v>
      </c>
      <c r="O18" s="6">
        <v>0</v>
      </c>
      <c r="P18" s="6">
        <v>0.39</v>
      </c>
      <c r="Q18" s="6">
        <v>3.94</v>
      </c>
    </row>
    <row r="19" spans="1:17" customFormat="1">
      <c r="A19" s="82">
        <v>45459.114583333336</v>
      </c>
      <c r="B19" s="6">
        <v>9.14</v>
      </c>
      <c r="C19" s="6">
        <v>4.0999999999999996</v>
      </c>
      <c r="D19" s="6">
        <v>13.92</v>
      </c>
      <c r="E19" s="6">
        <v>10.09</v>
      </c>
      <c r="F19" s="6">
        <v>20.61</v>
      </c>
      <c r="G19" s="6">
        <v>42.29</v>
      </c>
      <c r="H19" s="6">
        <v>16.78</v>
      </c>
      <c r="I19" s="6">
        <v>4.3</v>
      </c>
      <c r="J19" s="6">
        <v>0.15</v>
      </c>
      <c r="K19" s="6">
        <v>175.98</v>
      </c>
      <c r="L19" s="6">
        <v>32.200000000000003</v>
      </c>
      <c r="M19" s="6">
        <v>57.83</v>
      </c>
      <c r="N19" s="6">
        <v>2</v>
      </c>
      <c r="O19" s="6">
        <v>0</v>
      </c>
      <c r="P19" s="6">
        <v>0.4</v>
      </c>
      <c r="Q19" s="6">
        <v>3.95</v>
      </c>
    </row>
    <row r="20" spans="1:17" customFormat="1">
      <c r="A20" s="82">
        <v>45459.125</v>
      </c>
      <c r="B20" s="6">
        <v>9.15</v>
      </c>
      <c r="C20" s="6">
        <v>4.0999999999999996</v>
      </c>
      <c r="D20" s="6">
        <v>13.93</v>
      </c>
      <c r="E20" s="6">
        <v>9.99</v>
      </c>
      <c r="F20" s="6">
        <v>17.07</v>
      </c>
      <c r="G20" s="6">
        <v>40.15</v>
      </c>
      <c r="H20" s="6">
        <v>15.04</v>
      </c>
      <c r="I20" s="6">
        <v>4.18</v>
      </c>
      <c r="J20" s="6">
        <v>0.24</v>
      </c>
      <c r="K20" s="6">
        <v>171.61</v>
      </c>
      <c r="L20" s="6">
        <v>32.18</v>
      </c>
      <c r="M20" s="6">
        <v>57.64</v>
      </c>
      <c r="N20" s="6">
        <v>1.8</v>
      </c>
      <c r="O20" s="6">
        <v>0</v>
      </c>
      <c r="P20" s="6">
        <v>0.4</v>
      </c>
      <c r="Q20" s="6">
        <v>3.95</v>
      </c>
    </row>
    <row r="21" spans="1:17" customFormat="1">
      <c r="A21" s="82">
        <v>45459.135416666664</v>
      </c>
      <c r="B21" s="6">
        <v>9.14</v>
      </c>
      <c r="C21" s="6">
        <v>4.0999999999999996</v>
      </c>
      <c r="D21" s="6">
        <v>13.93</v>
      </c>
      <c r="E21" s="6">
        <v>10.8</v>
      </c>
      <c r="F21" s="6">
        <v>12.65</v>
      </c>
      <c r="G21" s="6">
        <v>38.1</v>
      </c>
      <c r="H21" s="6">
        <v>14.23</v>
      </c>
      <c r="I21" s="6">
        <v>4.2300000000000004</v>
      </c>
      <c r="J21" s="6">
        <v>0.15</v>
      </c>
      <c r="K21" s="6">
        <v>134.5</v>
      </c>
      <c r="L21" s="6">
        <v>32.020000000000003</v>
      </c>
      <c r="M21" s="6">
        <v>57.57</v>
      </c>
      <c r="N21" s="6">
        <v>2.1</v>
      </c>
      <c r="O21" s="6">
        <v>0</v>
      </c>
      <c r="P21" s="6">
        <v>0.45</v>
      </c>
      <c r="Q21" s="6">
        <v>3.94</v>
      </c>
    </row>
    <row r="22" spans="1:17" customFormat="1">
      <c r="A22" s="82">
        <v>45459.145833333336</v>
      </c>
      <c r="B22" s="6">
        <v>9.15</v>
      </c>
      <c r="C22" s="6">
        <v>4.08</v>
      </c>
      <c r="D22" s="6">
        <v>13.92</v>
      </c>
      <c r="E22" s="6">
        <v>11.85</v>
      </c>
      <c r="F22" s="6">
        <v>7.2</v>
      </c>
      <c r="G22" s="6">
        <v>38.1</v>
      </c>
      <c r="H22" s="6">
        <v>14.23</v>
      </c>
      <c r="I22" s="6">
        <v>4.42</v>
      </c>
      <c r="J22" s="6">
        <v>0.61</v>
      </c>
      <c r="K22" s="6">
        <v>57.76</v>
      </c>
      <c r="L22" s="6">
        <v>31.64</v>
      </c>
      <c r="M22" s="6">
        <v>57.98</v>
      </c>
      <c r="N22" s="6">
        <v>1.8</v>
      </c>
      <c r="O22" s="6">
        <v>0</v>
      </c>
      <c r="P22" s="6">
        <v>0.5</v>
      </c>
      <c r="Q22" s="6">
        <v>3.95</v>
      </c>
    </row>
    <row r="23" spans="1:17" customFormat="1">
      <c r="A23" s="82">
        <v>45459.15625</v>
      </c>
      <c r="B23" s="6">
        <v>9.15</v>
      </c>
      <c r="C23" s="6">
        <v>4.08</v>
      </c>
      <c r="D23" s="6">
        <v>13.92</v>
      </c>
      <c r="E23" s="6">
        <v>12.68</v>
      </c>
      <c r="F23" s="6">
        <v>7.13</v>
      </c>
      <c r="G23" s="6">
        <v>38.1</v>
      </c>
      <c r="H23" s="6">
        <v>14.23</v>
      </c>
      <c r="I23" s="6">
        <v>5.0599999999999996</v>
      </c>
      <c r="J23" s="6">
        <v>0.76</v>
      </c>
      <c r="K23" s="6">
        <v>70.459999999999994</v>
      </c>
      <c r="L23" s="6">
        <v>31.5</v>
      </c>
      <c r="M23" s="6">
        <v>58.09</v>
      </c>
      <c r="N23" s="6">
        <v>1.9</v>
      </c>
      <c r="O23" s="6">
        <v>0</v>
      </c>
      <c r="P23" s="6">
        <v>0.51</v>
      </c>
      <c r="Q23" s="6">
        <v>3.95</v>
      </c>
    </row>
    <row r="24" spans="1:17" customFormat="1">
      <c r="A24" s="82">
        <v>45459.166666666664</v>
      </c>
      <c r="B24" s="6">
        <v>9.15</v>
      </c>
      <c r="C24" s="6">
        <v>4.05</v>
      </c>
      <c r="D24" s="6">
        <v>13.9</v>
      </c>
      <c r="E24" s="6">
        <v>12.18</v>
      </c>
      <c r="F24" s="6">
        <v>6.66</v>
      </c>
      <c r="G24" s="6">
        <v>40.869999999999997</v>
      </c>
      <c r="H24" s="6">
        <v>15.67</v>
      </c>
      <c r="I24" s="6">
        <v>5.64</v>
      </c>
      <c r="J24" s="6">
        <v>0.51</v>
      </c>
      <c r="K24" s="6">
        <v>73.38</v>
      </c>
      <c r="L24" s="6">
        <v>31.52</v>
      </c>
      <c r="M24" s="6">
        <v>58.2</v>
      </c>
      <c r="N24" s="6">
        <v>1.8</v>
      </c>
      <c r="O24" s="6">
        <v>0</v>
      </c>
      <c r="P24" s="6">
        <v>0.5</v>
      </c>
      <c r="Q24" s="6">
        <v>3.95</v>
      </c>
    </row>
    <row r="25" spans="1:17" customFormat="1">
      <c r="A25" s="82">
        <v>45459.177083333336</v>
      </c>
      <c r="B25" s="6">
        <v>9.15</v>
      </c>
      <c r="C25" s="6">
        <v>4.05</v>
      </c>
      <c r="D25" s="6">
        <v>13.9</v>
      </c>
      <c r="E25" s="6">
        <v>12.21</v>
      </c>
      <c r="F25" s="6">
        <v>6.67</v>
      </c>
      <c r="G25" s="6">
        <v>43.52</v>
      </c>
      <c r="H25" s="6">
        <v>16.350000000000001</v>
      </c>
      <c r="I25" s="6">
        <v>5.79</v>
      </c>
      <c r="J25" s="6">
        <v>0.13</v>
      </c>
      <c r="K25" s="6">
        <v>123.02</v>
      </c>
      <c r="L25" s="6">
        <v>31.48</v>
      </c>
      <c r="M25" s="6">
        <v>58.81</v>
      </c>
      <c r="N25" s="6">
        <v>1.8</v>
      </c>
      <c r="O25" s="6">
        <v>0</v>
      </c>
      <c r="P25" s="6">
        <v>0.48</v>
      </c>
      <c r="Q25" s="6">
        <v>3.97</v>
      </c>
    </row>
    <row r="26" spans="1:17" customFormat="1">
      <c r="A26" s="82">
        <v>45459.1875</v>
      </c>
      <c r="B26" s="6">
        <v>9.14</v>
      </c>
      <c r="C26" s="6">
        <v>4.07</v>
      </c>
      <c r="D26" s="6">
        <v>13.9</v>
      </c>
      <c r="E26" s="6">
        <v>12.08</v>
      </c>
      <c r="F26" s="6">
        <v>6.62</v>
      </c>
      <c r="G26" s="6">
        <v>43.52</v>
      </c>
      <c r="H26" s="6">
        <v>16.350000000000001</v>
      </c>
      <c r="I26" s="6">
        <v>5.64</v>
      </c>
      <c r="J26" s="6">
        <v>0.17</v>
      </c>
      <c r="K26" s="6">
        <v>181.6</v>
      </c>
      <c r="L26" s="6">
        <v>31.39</v>
      </c>
      <c r="M26" s="6">
        <v>60.32</v>
      </c>
      <c r="N26" s="6">
        <v>2</v>
      </c>
      <c r="O26" s="6">
        <v>0</v>
      </c>
      <c r="P26" s="6">
        <v>0.49</v>
      </c>
      <c r="Q26" s="6">
        <v>3.97</v>
      </c>
    </row>
    <row r="27" spans="1:17" customFormat="1">
      <c r="A27" s="82">
        <v>45459.197916666664</v>
      </c>
      <c r="B27" s="6">
        <v>9.14</v>
      </c>
      <c r="C27" s="6">
        <v>4.07</v>
      </c>
      <c r="D27" s="6">
        <v>13.91</v>
      </c>
      <c r="E27" s="6">
        <v>11.88</v>
      </c>
      <c r="F27" s="6">
        <v>5.85</v>
      </c>
      <c r="G27" s="6">
        <v>43.52</v>
      </c>
      <c r="H27" s="6">
        <v>16.350000000000001</v>
      </c>
      <c r="I27" s="6">
        <v>5.53</v>
      </c>
      <c r="J27" s="6">
        <v>0.16</v>
      </c>
      <c r="K27" s="6">
        <v>189.01</v>
      </c>
      <c r="L27" s="6">
        <v>31.08</v>
      </c>
      <c r="M27" s="6">
        <v>61.81</v>
      </c>
      <c r="N27" s="6">
        <v>2.1</v>
      </c>
      <c r="O27" s="6">
        <v>0</v>
      </c>
      <c r="P27" s="6">
        <v>0.5</v>
      </c>
      <c r="Q27" s="6">
        <v>3.95</v>
      </c>
    </row>
    <row r="28" spans="1:17" customFormat="1">
      <c r="A28" s="82">
        <v>45459.208333333336</v>
      </c>
      <c r="B28" s="6">
        <v>9.1300000000000008</v>
      </c>
      <c r="C28" s="6">
        <v>4.0999999999999996</v>
      </c>
      <c r="D28" s="6">
        <v>13.92</v>
      </c>
      <c r="E28" s="6">
        <v>10.91</v>
      </c>
      <c r="F28" s="6">
        <v>6.82</v>
      </c>
      <c r="G28" s="6">
        <v>43.72</v>
      </c>
      <c r="H28" s="6">
        <v>17.32</v>
      </c>
      <c r="I28" s="6">
        <v>5.63</v>
      </c>
      <c r="J28" s="6">
        <v>0.17</v>
      </c>
      <c r="K28" s="6">
        <v>137.58000000000001</v>
      </c>
      <c r="L28" s="6">
        <v>31.12</v>
      </c>
      <c r="M28" s="6">
        <v>62.16</v>
      </c>
      <c r="N28" s="6">
        <v>1.7</v>
      </c>
      <c r="O28" s="6">
        <v>0</v>
      </c>
      <c r="P28" s="6">
        <v>0.51</v>
      </c>
      <c r="Q28" s="6">
        <v>3.95</v>
      </c>
    </row>
    <row r="29" spans="1:17" customFormat="1">
      <c r="A29" s="82">
        <v>45459.21875</v>
      </c>
      <c r="B29" s="6">
        <v>9.14</v>
      </c>
      <c r="C29" s="6">
        <v>4.0599999999999996</v>
      </c>
      <c r="D29" s="6">
        <v>13.9</v>
      </c>
      <c r="E29" s="6">
        <v>11.33</v>
      </c>
      <c r="F29" s="6">
        <v>9.5299999999999994</v>
      </c>
      <c r="G29" s="6">
        <v>43.91</v>
      </c>
      <c r="H29" s="6">
        <v>17.77</v>
      </c>
      <c r="I29" s="6">
        <v>5.77</v>
      </c>
      <c r="J29" s="6">
        <v>0.14000000000000001</v>
      </c>
      <c r="K29" s="6">
        <v>163.71</v>
      </c>
      <c r="L29" s="6">
        <v>31.28</v>
      </c>
      <c r="M29" s="6">
        <v>61.98</v>
      </c>
      <c r="N29" s="6">
        <v>2.2000000000000002</v>
      </c>
      <c r="O29" s="6">
        <v>0</v>
      </c>
      <c r="P29" s="6">
        <v>0.49</v>
      </c>
      <c r="Q29" s="6">
        <v>3.96</v>
      </c>
    </row>
    <row r="30" spans="1:17" customFormat="1">
      <c r="A30" s="82">
        <v>45459.229166666664</v>
      </c>
      <c r="B30" s="6">
        <v>9.14</v>
      </c>
      <c r="C30" s="6">
        <v>4.08</v>
      </c>
      <c r="D30" s="6">
        <v>13.91</v>
      </c>
      <c r="E30" s="6">
        <v>11.03</v>
      </c>
      <c r="F30" s="6">
        <v>9.4700000000000006</v>
      </c>
      <c r="G30" s="6">
        <v>43.91</v>
      </c>
      <c r="H30" s="6">
        <v>17.77</v>
      </c>
      <c r="I30" s="6">
        <v>5.69</v>
      </c>
      <c r="J30" s="6">
        <v>0.13</v>
      </c>
      <c r="K30" s="6">
        <v>137.36000000000001</v>
      </c>
      <c r="L30" s="6">
        <v>31.12</v>
      </c>
      <c r="M30" s="6">
        <v>63.12</v>
      </c>
      <c r="N30" s="6">
        <v>4.5</v>
      </c>
      <c r="O30" s="6">
        <v>0</v>
      </c>
      <c r="P30" s="6">
        <v>0.47</v>
      </c>
      <c r="Q30" s="6">
        <v>3.96</v>
      </c>
    </row>
    <row r="31" spans="1:17" customFormat="1">
      <c r="A31" s="82">
        <v>45459.239583333336</v>
      </c>
      <c r="B31" s="6">
        <v>9.1300000000000008</v>
      </c>
      <c r="C31" s="6">
        <v>4.08</v>
      </c>
      <c r="D31" s="6">
        <v>13.91</v>
      </c>
      <c r="E31" s="6">
        <v>10.119999999999999</v>
      </c>
      <c r="F31" s="6">
        <v>7.91</v>
      </c>
      <c r="G31" s="6">
        <v>43.91</v>
      </c>
      <c r="H31" s="6">
        <v>17.77</v>
      </c>
      <c r="I31" s="6">
        <v>5.5</v>
      </c>
      <c r="J31" s="6">
        <v>0.32</v>
      </c>
      <c r="K31" s="6">
        <v>83.86</v>
      </c>
      <c r="L31" s="6">
        <v>31.32</v>
      </c>
      <c r="M31" s="6">
        <v>61.63</v>
      </c>
      <c r="N31" s="6">
        <v>8.3000000000000007</v>
      </c>
      <c r="O31" s="6">
        <v>0</v>
      </c>
      <c r="P31" s="6">
        <v>0.47</v>
      </c>
      <c r="Q31" s="6">
        <v>3.97</v>
      </c>
    </row>
    <row r="32" spans="1:17" customFormat="1">
      <c r="A32" s="82">
        <v>45459.25</v>
      </c>
      <c r="B32" s="6">
        <v>9.1300000000000008</v>
      </c>
      <c r="C32" s="6">
        <v>4.08</v>
      </c>
      <c r="D32" s="6">
        <v>13.9</v>
      </c>
      <c r="E32" s="6">
        <v>10.55</v>
      </c>
      <c r="F32" s="6">
        <v>4.72</v>
      </c>
      <c r="G32" s="6">
        <v>46.19</v>
      </c>
      <c r="H32" s="6">
        <v>17.43</v>
      </c>
      <c r="I32" s="6">
        <v>5.52</v>
      </c>
      <c r="J32" s="6">
        <v>0.95</v>
      </c>
      <c r="K32" s="6">
        <v>74.92</v>
      </c>
      <c r="L32" s="6">
        <v>31.31</v>
      </c>
      <c r="M32" s="6">
        <v>61.63</v>
      </c>
      <c r="N32" s="6">
        <v>11.8</v>
      </c>
      <c r="O32" s="6">
        <v>0</v>
      </c>
      <c r="P32" s="6">
        <v>0.49</v>
      </c>
      <c r="Q32" s="6">
        <v>3.97</v>
      </c>
    </row>
    <row r="33" spans="1:17" customFormat="1">
      <c r="A33" s="82">
        <v>45459.260416666664</v>
      </c>
      <c r="B33" s="6">
        <v>9.1300000000000008</v>
      </c>
      <c r="C33" s="6">
        <v>4.07</v>
      </c>
      <c r="D33" s="6">
        <v>13.9</v>
      </c>
      <c r="E33" s="6">
        <v>9.91</v>
      </c>
      <c r="F33" s="6">
        <v>4.1100000000000003</v>
      </c>
      <c r="G33" s="6">
        <v>48.37</v>
      </c>
      <c r="H33" s="6">
        <v>17.27</v>
      </c>
      <c r="I33" s="6">
        <v>5.57</v>
      </c>
      <c r="J33" s="6">
        <v>0.72</v>
      </c>
      <c r="K33" s="6">
        <v>97.84</v>
      </c>
      <c r="L33" s="6">
        <v>30.9</v>
      </c>
      <c r="M33" s="6">
        <v>63.53</v>
      </c>
      <c r="N33" s="6">
        <v>16.899999999999999</v>
      </c>
      <c r="O33" s="6">
        <v>0</v>
      </c>
      <c r="P33" s="6">
        <v>0.48</v>
      </c>
      <c r="Q33" s="6">
        <v>3.97</v>
      </c>
    </row>
    <row r="34" spans="1:17" customFormat="1">
      <c r="A34" s="82">
        <v>45459.270833333336</v>
      </c>
      <c r="B34" s="6">
        <v>9.11</v>
      </c>
      <c r="C34" s="6">
        <v>4.0599999999999996</v>
      </c>
      <c r="D34" s="6">
        <v>13.88</v>
      </c>
      <c r="E34" s="6">
        <v>9.5</v>
      </c>
      <c r="F34" s="6">
        <v>4.22</v>
      </c>
      <c r="G34" s="6">
        <v>48.37</v>
      </c>
      <c r="H34" s="6">
        <v>17.27</v>
      </c>
      <c r="I34" s="6">
        <v>5.91</v>
      </c>
      <c r="J34" s="6">
        <v>0.72</v>
      </c>
      <c r="K34" s="6">
        <v>95.99</v>
      </c>
      <c r="L34" s="6">
        <v>30.03</v>
      </c>
      <c r="M34" s="6">
        <v>67.7</v>
      </c>
      <c r="N34" s="6">
        <v>22.9</v>
      </c>
      <c r="O34" s="6">
        <v>0</v>
      </c>
      <c r="P34" s="6">
        <v>0.48</v>
      </c>
      <c r="Q34" s="6">
        <v>3.98</v>
      </c>
    </row>
    <row r="35" spans="1:17" customFormat="1">
      <c r="A35" s="82">
        <v>45459.28125</v>
      </c>
      <c r="B35" s="6">
        <v>9.1199999999999992</v>
      </c>
      <c r="C35" s="6">
        <v>4.07</v>
      </c>
      <c r="D35" s="6">
        <v>13.89</v>
      </c>
      <c r="E35" s="6">
        <v>9.8000000000000007</v>
      </c>
      <c r="F35" s="6">
        <v>5.77</v>
      </c>
      <c r="G35" s="6">
        <v>48.37</v>
      </c>
      <c r="H35" s="6">
        <v>17.27</v>
      </c>
      <c r="I35" s="6">
        <v>5.85</v>
      </c>
      <c r="J35" s="6">
        <v>0.49</v>
      </c>
      <c r="K35" s="6">
        <v>102.3</v>
      </c>
      <c r="L35" s="6">
        <v>29.23</v>
      </c>
      <c r="M35" s="6">
        <v>71.34</v>
      </c>
      <c r="N35" s="6">
        <v>21.3</v>
      </c>
      <c r="O35" s="6">
        <v>0</v>
      </c>
      <c r="P35" s="6">
        <v>0.46</v>
      </c>
      <c r="Q35" s="6">
        <v>3.95</v>
      </c>
    </row>
    <row r="36" spans="1:17" customFormat="1">
      <c r="A36" s="82">
        <v>45459.291666666664</v>
      </c>
      <c r="B36" s="6">
        <v>9.15</v>
      </c>
      <c r="C36" s="6">
        <v>4.04</v>
      </c>
      <c r="D36" s="6">
        <v>13.9</v>
      </c>
      <c r="E36" s="6">
        <v>9.1</v>
      </c>
      <c r="F36" s="6">
        <v>8.49</v>
      </c>
      <c r="G36" s="6">
        <v>46.96</v>
      </c>
      <c r="H36" s="6">
        <v>16.78</v>
      </c>
      <c r="I36" s="6">
        <v>5.75</v>
      </c>
      <c r="J36" s="6">
        <v>0.32</v>
      </c>
      <c r="K36" s="6">
        <v>110.58</v>
      </c>
      <c r="L36" s="6">
        <v>28.91</v>
      </c>
      <c r="M36" s="6">
        <v>72.14</v>
      </c>
      <c r="N36" s="6">
        <v>20.2</v>
      </c>
      <c r="O36" s="6">
        <v>0</v>
      </c>
      <c r="P36" s="6">
        <v>0.44</v>
      </c>
      <c r="Q36" s="6">
        <v>3.96</v>
      </c>
    </row>
    <row r="37" spans="1:17" customFormat="1">
      <c r="A37" s="82">
        <v>45459.302083333336</v>
      </c>
      <c r="B37" s="6">
        <v>9.15</v>
      </c>
      <c r="C37" s="6">
        <v>4.07</v>
      </c>
      <c r="D37" s="6">
        <v>13.91</v>
      </c>
      <c r="E37" s="6">
        <v>8.52</v>
      </c>
      <c r="F37" s="6">
        <v>11.95</v>
      </c>
      <c r="G37" s="6">
        <v>45.62</v>
      </c>
      <c r="H37" s="6">
        <v>16.55</v>
      </c>
      <c r="I37" s="6">
        <v>5.49</v>
      </c>
      <c r="J37" s="6">
        <v>0.33</v>
      </c>
      <c r="K37" s="6">
        <v>112.54</v>
      </c>
      <c r="L37" s="6">
        <v>28.91</v>
      </c>
      <c r="M37" s="6">
        <v>72.069999999999993</v>
      </c>
      <c r="N37" s="6">
        <v>22.3</v>
      </c>
      <c r="O37" s="6">
        <v>0</v>
      </c>
      <c r="P37" s="6">
        <v>0.41</v>
      </c>
      <c r="Q37" s="6">
        <v>3.96</v>
      </c>
    </row>
    <row r="38" spans="1:17" customFormat="1">
      <c r="A38" s="82">
        <v>45459.3125</v>
      </c>
      <c r="B38" s="6">
        <v>9.16</v>
      </c>
      <c r="C38" s="6">
        <v>4.07</v>
      </c>
      <c r="D38" s="6">
        <v>13.92</v>
      </c>
      <c r="E38" s="6">
        <v>7.74</v>
      </c>
      <c r="F38" s="6">
        <v>16.3</v>
      </c>
      <c r="G38" s="6">
        <v>45.62</v>
      </c>
      <c r="H38" s="6">
        <v>16.55</v>
      </c>
      <c r="I38" s="6">
        <v>5.41</v>
      </c>
      <c r="J38" s="6">
        <v>0.3</v>
      </c>
      <c r="K38" s="6">
        <v>125.83</v>
      </c>
      <c r="L38" s="6">
        <v>29.15</v>
      </c>
      <c r="M38" s="6">
        <v>72.02</v>
      </c>
      <c r="N38" s="6">
        <v>30.2</v>
      </c>
      <c r="O38" s="6">
        <v>0</v>
      </c>
      <c r="P38" s="6">
        <v>0.38</v>
      </c>
      <c r="Q38" s="6">
        <v>3.97</v>
      </c>
    </row>
    <row r="39" spans="1:17" customFormat="1">
      <c r="A39" s="82">
        <v>45459.322916666664</v>
      </c>
      <c r="B39" s="6">
        <v>9.17</v>
      </c>
      <c r="C39" s="6">
        <v>4.05</v>
      </c>
      <c r="D39" s="6">
        <v>13.92</v>
      </c>
      <c r="E39" s="6">
        <v>7.93</v>
      </c>
      <c r="F39" s="6">
        <v>19.98</v>
      </c>
      <c r="G39" s="6">
        <v>45.62</v>
      </c>
      <c r="H39" s="6">
        <v>16.55</v>
      </c>
      <c r="I39" s="6">
        <v>5.0999999999999996</v>
      </c>
      <c r="J39" s="6">
        <v>0.33</v>
      </c>
      <c r="K39" s="6">
        <v>123.55</v>
      </c>
      <c r="L39" s="6">
        <v>29.05</v>
      </c>
      <c r="M39" s="6">
        <v>72.3</v>
      </c>
      <c r="N39" s="6">
        <v>50.4</v>
      </c>
      <c r="O39" s="6">
        <v>0</v>
      </c>
      <c r="P39" s="6">
        <v>0.36</v>
      </c>
      <c r="Q39" s="6">
        <v>3.97</v>
      </c>
    </row>
    <row r="40" spans="1:17" customFormat="1">
      <c r="A40" s="82">
        <v>45459.333333333336</v>
      </c>
      <c r="B40" s="6">
        <v>9.16</v>
      </c>
      <c r="C40" s="6">
        <v>4.05</v>
      </c>
      <c r="D40" s="6">
        <v>13.91</v>
      </c>
      <c r="E40" s="6">
        <v>7.97</v>
      </c>
      <c r="F40" s="6">
        <v>26.42</v>
      </c>
      <c r="G40" s="6">
        <v>43.25</v>
      </c>
      <c r="H40" s="6">
        <v>15.26</v>
      </c>
      <c r="I40" s="6">
        <v>4.84</v>
      </c>
      <c r="J40" s="6">
        <v>0.28999999999999998</v>
      </c>
      <c r="K40" s="6">
        <v>111.68</v>
      </c>
      <c r="L40" s="6">
        <v>29.65</v>
      </c>
      <c r="M40" s="6">
        <v>69.11</v>
      </c>
      <c r="N40" s="6">
        <v>85.2</v>
      </c>
      <c r="O40" s="6">
        <v>0</v>
      </c>
      <c r="P40" s="6">
        <v>0.34</v>
      </c>
      <c r="Q40" s="6">
        <v>3.96</v>
      </c>
    </row>
    <row r="41" spans="1:17" customFormat="1">
      <c r="A41" s="82">
        <v>45459.34375</v>
      </c>
      <c r="B41" s="6">
        <v>9.16</v>
      </c>
      <c r="C41" s="6">
        <v>4.0599999999999996</v>
      </c>
      <c r="D41" s="6">
        <v>13.92</v>
      </c>
      <c r="E41" s="6">
        <v>8.39</v>
      </c>
      <c r="F41" s="6">
        <v>23.7</v>
      </c>
      <c r="G41" s="6">
        <v>40.99</v>
      </c>
      <c r="H41" s="6">
        <v>13.96</v>
      </c>
      <c r="I41" s="6">
        <v>4.57</v>
      </c>
      <c r="J41" s="6">
        <v>0.31</v>
      </c>
      <c r="K41" s="6">
        <v>133.77000000000001</v>
      </c>
      <c r="L41" s="6">
        <v>30</v>
      </c>
      <c r="M41" s="6">
        <v>69.59</v>
      </c>
      <c r="N41" s="6">
        <v>117.9</v>
      </c>
      <c r="O41" s="6">
        <v>0</v>
      </c>
      <c r="P41" s="6">
        <v>0.34</v>
      </c>
      <c r="Q41" s="6">
        <v>3.98</v>
      </c>
    </row>
    <row r="42" spans="1:17" customFormat="1">
      <c r="A42" s="82">
        <v>45459.354166666664</v>
      </c>
      <c r="B42" s="6">
        <v>9.18</v>
      </c>
      <c r="C42" s="6">
        <v>4.0599999999999996</v>
      </c>
      <c r="D42" s="6">
        <v>13.94</v>
      </c>
      <c r="E42" s="6">
        <v>7.85</v>
      </c>
      <c r="F42" s="6">
        <v>29.16</v>
      </c>
      <c r="G42" s="6">
        <v>40.99</v>
      </c>
      <c r="H42" s="6">
        <v>13.96</v>
      </c>
      <c r="I42" s="6">
        <v>4.25</v>
      </c>
      <c r="J42" s="6">
        <v>0.37</v>
      </c>
      <c r="K42" s="6">
        <v>94.6</v>
      </c>
      <c r="L42" s="6">
        <v>30.49</v>
      </c>
      <c r="M42" s="6">
        <v>68.16</v>
      </c>
      <c r="N42" s="6">
        <v>158.1</v>
      </c>
      <c r="O42" s="6">
        <v>0</v>
      </c>
      <c r="P42" s="6">
        <v>0.31</v>
      </c>
      <c r="Q42" s="6">
        <v>3.98</v>
      </c>
    </row>
    <row r="43" spans="1:17" customFormat="1">
      <c r="A43" s="82">
        <v>45459.364583333336</v>
      </c>
      <c r="B43" s="6">
        <v>9.1999999999999993</v>
      </c>
      <c r="C43" s="6">
        <v>4.05</v>
      </c>
      <c r="D43" s="6">
        <v>13.95</v>
      </c>
      <c r="E43" s="6">
        <v>8.52</v>
      </c>
      <c r="F43" s="6">
        <v>22.49</v>
      </c>
      <c r="G43" s="6">
        <v>40.99</v>
      </c>
      <c r="H43" s="6">
        <v>13.96</v>
      </c>
      <c r="I43" s="6">
        <v>4.46</v>
      </c>
      <c r="J43" s="6">
        <v>0.49</v>
      </c>
      <c r="K43" s="6">
        <v>92.58</v>
      </c>
      <c r="L43" s="6">
        <v>31.38</v>
      </c>
      <c r="M43" s="6">
        <v>64.12</v>
      </c>
      <c r="N43" s="6">
        <v>207.8</v>
      </c>
      <c r="O43" s="6">
        <v>0</v>
      </c>
      <c r="P43" s="6">
        <v>0.32</v>
      </c>
      <c r="Q43" s="6">
        <v>3.99</v>
      </c>
    </row>
    <row r="44" spans="1:17" customFormat="1">
      <c r="A44" s="82">
        <v>45459.375</v>
      </c>
      <c r="B44" s="6">
        <v>9.1999999999999993</v>
      </c>
      <c r="C44" s="6">
        <v>4.05</v>
      </c>
      <c r="D44" s="6">
        <v>13.94</v>
      </c>
      <c r="E44" s="6">
        <v>8.5399999999999991</v>
      </c>
      <c r="F44" s="6">
        <v>26.88</v>
      </c>
      <c r="G44" s="6">
        <v>40.9</v>
      </c>
      <c r="H44" s="6">
        <v>11.94</v>
      </c>
      <c r="I44" s="6">
        <v>4.12</v>
      </c>
      <c r="J44" s="6">
        <v>0.36</v>
      </c>
      <c r="K44" s="6">
        <v>96.46</v>
      </c>
      <c r="L44" s="6">
        <v>31.83</v>
      </c>
      <c r="M44" s="6">
        <v>62.53</v>
      </c>
      <c r="N44" s="6">
        <v>213.7</v>
      </c>
      <c r="O44" s="6">
        <v>0</v>
      </c>
      <c r="P44" s="6">
        <v>0.32</v>
      </c>
      <c r="Q44" s="6">
        <v>4.01</v>
      </c>
    </row>
    <row r="45" spans="1:17" customFormat="1">
      <c r="A45" s="82">
        <v>45459.385416666664</v>
      </c>
      <c r="B45" s="6">
        <v>9.19</v>
      </c>
      <c r="C45" s="6">
        <v>4.04</v>
      </c>
      <c r="D45" s="6">
        <v>13.93</v>
      </c>
      <c r="E45" s="6">
        <v>8.36</v>
      </c>
      <c r="F45" s="6">
        <v>26.84</v>
      </c>
      <c r="G45" s="6">
        <v>40.82</v>
      </c>
      <c r="H45" s="6">
        <v>11</v>
      </c>
      <c r="I45" s="6">
        <v>4.5199999999999996</v>
      </c>
      <c r="J45" s="6">
        <v>0.57999999999999996</v>
      </c>
      <c r="K45" s="6">
        <v>82.95</v>
      </c>
      <c r="L45" s="6">
        <v>32.090000000000003</v>
      </c>
      <c r="M45" s="6">
        <v>61.36</v>
      </c>
      <c r="N45" s="6">
        <v>219</v>
      </c>
      <c r="O45" s="6">
        <v>0</v>
      </c>
      <c r="P45" s="6">
        <v>0.31</v>
      </c>
      <c r="Q45" s="6">
        <v>4.01</v>
      </c>
    </row>
    <row r="46" spans="1:17" customFormat="1">
      <c r="A46" s="82">
        <v>45459.395833333336</v>
      </c>
      <c r="B46" s="6">
        <v>9.17</v>
      </c>
      <c r="C46" s="6">
        <v>4.08</v>
      </c>
      <c r="D46" s="6">
        <v>13.94</v>
      </c>
      <c r="E46" s="6">
        <v>8</v>
      </c>
      <c r="F46" s="6">
        <v>28.89</v>
      </c>
      <c r="G46" s="6">
        <v>40.82</v>
      </c>
      <c r="H46" s="6">
        <v>11</v>
      </c>
      <c r="I46" s="6">
        <v>4.2</v>
      </c>
      <c r="J46" s="6">
        <v>0.57999999999999996</v>
      </c>
      <c r="K46" s="6">
        <v>76.33</v>
      </c>
      <c r="L46" s="6">
        <v>32.29</v>
      </c>
      <c r="M46" s="6">
        <v>60.79</v>
      </c>
      <c r="N46" s="6">
        <v>223.6</v>
      </c>
      <c r="O46" s="6">
        <v>0</v>
      </c>
      <c r="P46" s="6">
        <v>0.31</v>
      </c>
      <c r="Q46" s="6">
        <v>3.97</v>
      </c>
    </row>
    <row r="47" spans="1:17" customFormat="1">
      <c r="A47" s="82">
        <v>45459.40625</v>
      </c>
      <c r="B47" s="6">
        <v>9.18</v>
      </c>
      <c r="C47" s="6">
        <v>4.07</v>
      </c>
      <c r="D47" s="6">
        <v>13.94</v>
      </c>
      <c r="E47" s="6">
        <v>8.6</v>
      </c>
      <c r="F47" s="6">
        <v>31.39</v>
      </c>
      <c r="G47" s="6">
        <v>40.82</v>
      </c>
      <c r="H47" s="6">
        <v>11</v>
      </c>
      <c r="I47" s="6">
        <v>4.32</v>
      </c>
      <c r="J47" s="6">
        <v>0.6</v>
      </c>
      <c r="K47" s="6">
        <v>80.44</v>
      </c>
      <c r="L47" s="6">
        <v>32.880000000000003</v>
      </c>
      <c r="M47" s="6">
        <v>58.6</v>
      </c>
      <c r="N47" s="6">
        <v>270.5</v>
      </c>
      <c r="O47" s="6">
        <v>0</v>
      </c>
      <c r="P47" s="6">
        <v>0.32</v>
      </c>
      <c r="Q47" s="6">
        <v>3.96</v>
      </c>
    </row>
    <row r="48" spans="1:17" customFormat="1">
      <c r="A48" s="82">
        <v>45459.416666666664</v>
      </c>
      <c r="B48" s="6">
        <v>9.18</v>
      </c>
      <c r="C48" s="6">
        <v>4.05</v>
      </c>
      <c r="D48" s="6">
        <v>13.92</v>
      </c>
      <c r="E48" s="6">
        <v>8.83</v>
      </c>
      <c r="F48" s="6">
        <v>38.28</v>
      </c>
      <c r="G48" s="6">
        <v>36.090000000000003</v>
      </c>
      <c r="H48" s="6">
        <v>10.98</v>
      </c>
      <c r="I48" s="6">
        <v>4.25</v>
      </c>
      <c r="J48" s="6">
        <v>0.78</v>
      </c>
      <c r="K48" s="6">
        <v>66.209999999999994</v>
      </c>
      <c r="L48" s="6">
        <v>33.340000000000003</v>
      </c>
      <c r="M48" s="6">
        <v>56.66</v>
      </c>
      <c r="N48" s="6">
        <v>298.5</v>
      </c>
      <c r="O48" s="6">
        <v>0</v>
      </c>
      <c r="P48" s="6">
        <v>0.33</v>
      </c>
      <c r="Q48" s="6">
        <v>3.98</v>
      </c>
    </row>
    <row r="49" spans="1:17" customFormat="1">
      <c r="A49" s="82">
        <v>45459.427083333336</v>
      </c>
      <c r="B49" s="6">
        <v>9.16</v>
      </c>
      <c r="C49" s="6">
        <v>4.05</v>
      </c>
      <c r="D49" s="6">
        <v>13.91</v>
      </c>
      <c r="E49" s="6">
        <v>8.23</v>
      </c>
      <c r="F49" s="6">
        <v>33.92</v>
      </c>
      <c r="G49" s="6">
        <v>31.57</v>
      </c>
      <c r="H49" s="6">
        <v>10.97</v>
      </c>
      <c r="I49" s="6">
        <v>4.1399999999999997</v>
      </c>
      <c r="J49" s="6">
        <v>0.19</v>
      </c>
      <c r="K49" s="6">
        <v>106.21</v>
      </c>
      <c r="L49" s="6">
        <v>33.840000000000003</v>
      </c>
      <c r="M49" s="6">
        <v>55.37</v>
      </c>
      <c r="N49" s="6">
        <v>299.7</v>
      </c>
      <c r="O49" s="6">
        <v>0</v>
      </c>
      <c r="P49" s="6">
        <v>0.33</v>
      </c>
      <c r="Q49" s="6">
        <v>3.96</v>
      </c>
    </row>
    <row r="50" spans="1:17" customFormat="1">
      <c r="A50" s="82">
        <v>45459.4375</v>
      </c>
      <c r="B50" s="6">
        <v>9.14</v>
      </c>
      <c r="C50" s="6">
        <v>4.07</v>
      </c>
      <c r="D50" s="6">
        <v>13.91</v>
      </c>
      <c r="E50" s="6">
        <v>9.58</v>
      </c>
      <c r="F50" s="6">
        <v>42.91</v>
      </c>
      <c r="G50" s="6">
        <v>31.57</v>
      </c>
      <c r="H50" s="6">
        <v>10.97</v>
      </c>
      <c r="I50" s="6">
        <v>3.95</v>
      </c>
      <c r="J50" s="6">
        <v>0.81</v>
      </c>
      <c r="K50" s="6">
        <v>23.91</v>
      </c>
      <c r="L50" s="6">
        <v>34.03</v>
      </c>
      <c r="M50" s="6">
        <v>54.42</v>
      </c>
      <c r="N50" s="6">
        <v>324.7</v>
      </c>
      <c r="O50" s="6">
        <v>0</v>
      </c>
      <c r="P50" s="6">
        <v>0.36</v>
      </c>
      <c r="Q50" s="6">
        <v>3.96</v>
      </c>
    </row>
    <row r="51" spans="1:17" customFormat="1">
      <c r="A51" s="82">
        <v>45459.447916666664</v>
      </c>
      <c r="B51" s="6">
        <v>9.15</v>
      </c>
      <c r="C51" s="6">
        <v>4.07</v>
      </c>
      <c r="D51" s="6">
        <v>13.92</v>
      </c>
      <c r="E51" s="6">
        <v>9.3800000000000008</v>
      </c>
      <c r="F51" s="6">
        <v>43.63</v>
      </c>
      <c r="G51" s="6">
        <v>31.57</v>
      </c>
      <c r="H51" s="6">
        <v>10.97</v>
      </c>
      <c r="I51" s="6">
        <v>4.04</v>
      </c>
      <c r="J51" s="6">
        <v>0.63</v>
      </c>
      <c r="K51" s="6">
        <v>335.64</v>
      </c>
      <c r="L51" s="6">
        <v>33.840000000000003</v>
      </c>
      <c r="M51" s="6">
        <v>54.42</v>
      </c>
      <c r="N51" s="6">
        <v>308.3</v>
      </c>
      <c r="O51" s="6">
        <v>0</v>
      </c>
      <c r="P51" s="6">
        <v>0.36</v>
      </c>
      <c r="Q51" s="6">
        <v>3.95</v>
      </c>
    </row>
    <row r="52" spans="1:17" customFormat="1">
      <c r="A52" s="82">
        <v>45459.458333333336</v>
      </c>
      <c r="B52" s="6">
        <v>9.15</v>
      </c>
      <c r="C52" s="6">
        <v>4.1100000000000003</v>
      </c>
      <c r="D52" s="6">
        <v>13.93</v>
      </c>
      <c r="E52" s="6">
        <v>9.7899999999999991</v>
      </c>
      <c r="F52" s="6">
        <v>42.06</v>
      </c>
      <c r="G52" s="6">
        <v>33.29</v>
      </c>
      <c r="H52" s="6">
        <v>12.42</v>
      </c>
      <c r="I52" s="6">
        <v>4.16</v>
      </c>
      <c r="J52" s="6">
        <v>0.76</v>
      </c>
      <c r="K52" s="6">
        <v>331.78</v>
      </c>
      <c r="L52" s="6">
        <v>34.17</v>
      </c>
      <c r="M52" s="6">
        <v>52.99</v>
      </c>
      <c r="N52" s="6">
        <v>340</v>
      </c>
      <c r="O52" s="6">
        <v>0</v>
      </c>
      <c r="P52" s="6">
        <v>0.36</v>
      </c>
      <c r="Q52" s="6">
        <v>3.97</v>
      </c>
    </row>
    <row r="53" spans="1:17" customFormat="1">
      <c r="A53" s="82">
        <v>45459.46875</v>
      </c>
      <c r="B53" s="6">
        <v>9.15</v>
      </c>
      <c r="C53" s="6">
        <v>4.08</v>
      </c>
      <c r="D53" s="6">
        <v>13.92</v>
      </c>
      <c r="E53" s="6">
        <v>10.24</v>
      </c>
      <c r="F53" s="6">
        <v>24.63</v>
      </c>
      <c r="G53" s="6">
        <v>34.94</v>
      </c>
      <c r="H53" s="6">
        <v>13.1</v>
      </c>
      <c r="I53" s="6">
        <v>4.13</v>
      </c>
      <c r="J53" s="6">
        <v>0.66</v>
      </c>
      <c r="K53" s="6">
        <v>37.880000000000003</v>
      </c>
      <c r="L53" s="6">
        <v>34.479999999999997</v>
      </c>
      <c r="M53" s="6">
        <v>51.79</v>
      </c>
      <c r="N53" s="6">
        <v>321.7</v>
      </c>
      <c r="O53" s="6">
        <v>0</v>
      </c>
      <c r="P53" s="6">
        <v>0.36</v>
      </c>
      <c r="Q53" s="6">
        <v>3.98</v>
      </c>
    </row>
    <row r="54" spans="1:17" customFormat="1">
      <c r="A54" s="82">
        <v>45459.479166666664</v>
      </c>
      <c r="B54" s="6">
        <v>9.14</v>
      </c>
      <c r="C54" s="6">
        <v>4.08</v>
      </c>
      <c r="D54" s="6">
        <v>13.91</v>
      </c>
      <c r="E54" s="6">
        <v>10.23</v>
      </c>
      <c r="F54" s="6">
        <v>25.06</v>
      </c>
      <c r="G54" s="6">
        <v>34.94</v>
      </c>
      <c r="H54" s="6">
        <v>13.1</v>
      </c>
      <c r="I54" s="6">
        <v>4.13</v>
      </c>
      <c r="J54" s="6">
        <v>0.95</v>
      </c>
      <c r="K54" s="6">
        <v>26.98</v>
      </c>
      <c r="L54" s="6">
        <v>34.51</v>
      </c>
      <c r="M54" s="6">
        <v>51.34</v>
      </c>
      <c r="N54" s="6">
        <v>336.9</v>
      </c>
      <c r="O54" s="6">
        <v>0</v>
      </c>
      <c r="P54" s="6">
        <v>0.41</v>
      </c>
      <c r="Q54" s="6">
        <v>3.97</v>
      </c>
    </row>
    <row r="55" spans="1:17" customFormat="1">
      <c r="A55" s="82">
        <v>45459.489583333336</v>
      </c>
      <c r="B55" s="6">
        <v>9.1300000000000008</v>
      </c>
      <c r="C55" s="6">
        <v>4.0599999999999996</v>
      </c>
      <c r="D55" s="6">
        <v>13.89</v>
      </c>
      <c r="E55" s="6">
        <v>11.7</v>
      </c>
      <c r="F55" s="6">
        <v>25.7</v>
      </c>
      <c r="G55" s="6">
        <v>34.94</v>
      </c>
      <c r="H55" s="6">
        <v>13.1</v>
      </c>
      <c r="I55" s="6">
        <v>4.57</v>
      </c>
      <c r="J55" s="6">
        <v>0.61</v>
      </c>
      <c r="K55" s="6">
        <v>306.32</v>
      </c>
      <c r="L55" s="6">
        <v>34.659999999999997</v>
      </c>
      <c r="M55" s="6">
        <v>50.93</v>
      </c>
      <c r="N55" s="6">
        <v>410.1</v>
      </c>
      <c r="O55" s="6">
        <v>0</v>
      </c>
      <c r="P55" s="6">
        <v>0.42</v>
      </c>
      <c r="Q55" s="6">
        <v>3.94</v>
      </c>
    </row>
    <row r="56" spans="1:17" customFormat="1">
      <c r="A56" s="82">
        <v>45459.5</v>
      </c>
      <c r="B56" s="6">
        <v>9.11</v>
      </c>
      <c r="C56" s="6">
        <v>4.0599999999999996</v>
      </c>
      <c r="D56" s="6">
        <v>13.87</v>
      </c>
      <c r="E56" s="6">
        <v>17.899999999999999</v>
      </c>
      <c r="F56" s="6">
        <v>30.16</v>
      </c>
      <c r="G56" s="6">
        <v>35.770000000000003</v>
      </c>
      <c r="H56" s="6">
        <v>13.52</v>
      </c>
      <c r="I56" s="6">
        <v>4.67</v>
      </c>
      <c r="J56" s="6">
        <v>0.59</v>
      </c>
      <c r="K56" s="6">
        <v>312.27</v>
      </c>
      <c r="L56" s="6">
        <v>35.26</v>
      </c>
      <c r="M56" s="6">
        <v>49.44</v>
      </c>
      <c r="N56" s="6">
        <v>339</v>
      </c>
      <c r="O56" s="6">
        <v>0</v>
      </c>
      <c r="P56" s="6">
        <v>0.45</v>
      </c>
      <c r="Q56" s="6">
        <v>3.95</v>
      </c>
    </row>
    <row r="57" spans="1:17" customFormat="1">
      <c r="A57" s="82">
        <v>45459.510416666664</v>
      </c>
      <c r="B57" s="6">
        <v>9.1</v>
      </c>
      <c r="C57" s="6">
        <v>4.0599999999999996</v>
      </c>
      <c r="D57" s="6">
        <v>13.87</v>
      </c>
      <c r="E57" s="6">
        <v>23.42</v>
      </c>
      <c r="F57" s="6">
        <v>28.28</v>
      </c>
      <c r="G57" s="6">
        <v>36.56</v>
      </c>
      <c r="H57" s="6">
        <v>13.71</v>
      </c>
      <c r="I57" s="6">
        <v>4.6900000000000004</v>
      </c>
      <c r="J57" s="6">
        <v>0.52</v>
      </c>
      <c r="K57" s="6">
        <v>5.42</v>
      </c>
      <c r="L57" s="6">
        <v>35.24</v>
      </c>
      <c r="M57" s="6">
        <v>49.7</v>
      </c>
      <c r="N57" s="6">
        <v>376.6</v>
      </c>
      <c r="O57" s="6">
        <v>0</v>
      </c>
      <c r="P57" s="6">
        <v>0.47</v>
      </c>
      <c r="Q57" s="6">
        <v>3.97</v>
      </c>
    </row>
    <row r="58" spans="1:17" customFormat="1">
      <c r="A58" s="82">
        <v>45459.520833333336</v>
      </c>
      <c r="B58" s="6">
        <v>9.1</v>
      </c>
      <c r="C58" s="6">
        <v>4.0599999999999996</v>
      </c>
      <c r="D58" s="6">
        <v>13.87</v>
      </c>
      <c r="E58" s="6">
        <v>27.97</v>
      </c>
      <c r="F58" s="6">
        <v>37.19</v>
      </c>
      <c r="G58" s="6">
        <v>36.56</v>
      </c>
      <c r="H58" s="6">
        <v>13.71</v>
      </c>
      <c r="I58" s="6">
        <v>4.79</v>
      </c>
      <c r="J58" s="6">
        <v>0.46</v>
      </c>
      <c r="K58" s="6">
        <v>17.149999999999999</v>
      </c>
      <c r="L58" s="6">
        <v>35.68</v>
      </c>
      <c r="M58" s="6">
        <v>48.4</v>
      </c>
      <c r="N58" s="6">
        <v>322</v>
      </c>
      <c r="O58" s="6">
        <v>0</v>
      </c>
      <c r="P58" s="6">
        <v>0.49</v>
      </c>
      <c r="Q58" s="6">
        <v>3.97</v>
      </c>
    </row>
    <row r="59" spans="1:17" customFormat="1">
      <c r="A59" s="82">
        <v>45459.53125</v>
      </c>
      <c r="B59" s="6">
        <v>9.1</v>
      </c>
      <c r="C59" s="6">
        <v>4.05</v>
      </c>
      <c r="D59" s="6">
        <v>13.86</v>
      </c>
      <c r="E59" s="6">
        <v>25.17</v>
      </c>
      <c r="F59" s="6">
        <v>27.74</v>
      </c>
      <c r="G59" s="6">
        <v>36.56</v>
      </c>
      <c r="H59" s="6">
        <v>13.71</v>
      </c>
      <c r="I59" s="6">
        <v>4.96</v>
      </c>
      <c r="J59" s="6">
        <v>0.84</v>
      </c>
      <c r="K59" s="6">
        <v>307.19</v>
      </c>
      <c r="L59" s="6">
        <v>36.020000000000003</v>
      </c>
      <c r="M59" s="6">
        <v>47.67</v>
      </c>
      <c r="N59" s="6">
        <v>403.1</v>
      </c>
      <c r="O59" s="6">
        <v>0</v>
      </c>
      <c r="P59" s="6">
        <v>0.48</v>
      </c>
      <c r="Q59" s="6">
        <v>3.96</v>
      </c>
    </row>
    <row r="60" spans="1:17" customFormat="1">
      <c r="A60" s="82">
        <v>45459.541666666664</v>
      </c>
      <c r="B60" s="6">
        <v>9.09</v>
      </c>
      <c r="C60" s="6">
        <v>4.07</v>
      </c>
      <c r="D60" s="6">
        <v>13.87</v>
      </c>
      <c r="E60" s="6">
        <v>22.66</v>
      </c>
      <c r="F60" s="6">
        <v>41.11</v>
      </c>
      <c r="G60" s="6">
        <v>50.28</v>
      </c>
      <c r="H60" s="6">
        <v>18.47</v>
      </c>
      <c r="I60" s="6">
        <v>5.19</v>
      </c>
      <c r="J60" s="6">
        <v>0.48</v>
      </c>
      <c r="K60" s="6">
        <v>314.83999999999997</v>
      </c>
      <c r="L60" s="6">
        <v>36.35</v>
      </c>
      <c r="M60" s="6">
        <v>46.59</v>
      </c>
      <c r="N60" s="6">
        <v>535.1</v>
      </c>
      <c r="O60" s="6">
        <v>0</v>
      </c>
      <c r="P60" s="6">
        <v>0.51</v>
      </c>
      <c r="Q60" s="6">
        <v>3.96</v>
      </c>
    </row>
    <row r="61" spans="1:17" customFormat="1">
      <c r="A61" s="82">
        <v>45459.552083333336</v>
      </c>
      <c r="B61" s="6">
        <v>9.1</v>
      </c>
      <c r="C61" s="6">
        <v>4.08</v>
      </c>
      <c r="D61" s="6">
        <v>13.88</v>
      </c>
      <c r="E61" s="6">
        <v>24.03</v>
      </c>
      <c r="F61" s="6">
        <v>39.32</v>
      </c>
      <c r="G61" s="6">
        <v>63.41</v>
      </c>
      <c r="H61" s="6">
        <v>20.7</v>
      </c>
      <c r="I61" s="6">
        <v>5.29</v>
      </c>
      <c r="J61" s="6">
        <v>0.78</v>
      </c>
      <c r="K61" s="6">
        <v>36.85</v>
      </c>
      <c r="L61" s="6">
        <v>37.549999999999997</v>
      </c>
      <c r="M61" s="6">
        <v>43.33</v>
      </c>
      <c r="N61" s="6">
        <v>571.9</v>
      </c>
      <c r="O61" s="6">
        <v>0</v>
      </c>
      <c r="P61" s="6">
        <v>0.54</v>
      </c>
      <c r="Q61" s="6">
        <v>3.98</v>
      </c>
    </row>
    <row r="62" spans="1:17" customFormat="1">
      <c r="A62" s="82">
        <v>45459.5625</v>
      </c>
      <c r="B62" s="6">
        <v>9.11</v>
      </c>
      <c r="C62" s="6">
        <v>4.07</v>
      </c>
      <c r="D62" s="6">
        <v>13.88</v>
      </c>
      <c r="E62" s="6">
        <v>24.14</v>
      </c>
      <c r="F62" s="6">
        <v>49.61</v>
      </c>
      <c r="G62" s="6">
        <v>63.41</v>
      </c>
      <c r="H62" s="6">
        <v>20.7</v>
      </c>
      <c r="I62" s="6">
        <v>5.41</v>
      </c>
      <c r="J62" s="6">
        <v>0.7</v>
      </c>
      <c r="K62" s="6">
        <v>51.78</v>
      </c>
      <c r="L62" s="6">
        <v>37.6</v>
      </c>
      <c r="M62" s="6">
        <v>42.36</v>
      </c>
      <c r="N62" s="6">
        <v>414</v>
      </c>
      <c r="O62" s="6">
        <v>0</v>
      </c>
      <c r="P62" s="6">
        <v>0.53</v>
      </c>
      <c r="Q62" s="6">
        <v>3.97</v>
      </c>
    </row>
    <row r="63" spans="1:17" customFormat="1">
      <c r="A63" s="82">
        <v>45459.572916666664</v>
      </c>
      <c r="B63" s="6">
        <v>9.11</v>
      </c>
      <c r="C63" s="6">
        <v>4.08</v>
      </c>
      <c r="D63" s="6">
        <v>13.89</v>
      </c>
      <c r="E63" s="6">
        <v>21.89</v>
      </c>
      <c r="F63" s="6">
        <v>49.74</v>
      </c>
      <c r="G63" s="6">
        <v>63.41</v>
      </c>
      <c r="H63" s="6">
        <v>20.7</v>
      </c>
      <c r="I63" s="6">
        <v>5.55</v>
      </c>
      <c r="J63" s="6">
        <v>1.17</v>
      </c>
      <c r="K63" s="6">
        <v>41.17</v>
      </c>
      <c r="L63" s="6">
        <v>36.950000000000003</v>
      </c>
      <c r="M63" s="6">
        <v>42.95</v>
      </c>
      <c r="N63" s="6">
        <v>348.2</v>
      </c>
      <c r="O63" s="6">
        <v>0</v>
      </c>
      <c r="P63" s="6">
        <v>0.53</v>
      </c>
      <c r="Q63" s="6">
        <v>3.95</v>
      </c>
    </row>
    <row r="64" spans="1:17" customFormat="1">
      <c r="A64" s="82">
        <v>45459.583333333336</v>
      </c>
      <c r="B64" s="6">
        <v>9.1300000000000008</v>
      </c>
      <c r="C64" s="6">
        <v>4.05</v>
      </c>
      <c r="D64" s="6">
        <v>13.89</v>
      </c>
      <c r="E64" s="6">
        <v>21.22</v>
      </c>
      <c r="F64" s="6">
        <v>60.44</v>
      </c>
      <c r="G64" s="6">
        <v>69.010000000000005</v>
      </c>
      <c r="H64" s="6">
        <v>24.5</v>
      </c>
      <c r="I64" s="6">
        <v>5.48</v>
      </c>
      <c r="J64" s="6">
        <v>1.17</v>
      </c>
      <c r="K64" s="6">
        <v>31.12</v>
      </c>
      <c r="L64" s="6">
        <v>37.29</v>
      </c>
      <c r="M64" s="6">
        <v>41.8</v>
      </c>
      <c r="N64" s="6">
        <v>578.20000000000005</v>
      </c>
      <c r="O64" s="6">
        <v>0</v>
      </c>
      <c r="P64" s="6">
        <v>0.54</v>
      </c>
      <c r="Q64" s="6">
        <v>3.95</v>
      </c>
    </row>
    <row r="65" spans="1:17" customFormat="1">
      <c r="A65" s="82">
        <v>45459.59375</v>
      </c>
      <c r="B65" s="6">
        <v>9.14</v>
      </c>
      <c r="C65" s="6">
        <v>4.05</v>
      </c>
      <c r="D65" s="6">
        <v>13.89</v>
      </c>
      <c r="E65" s="6">
        <v>18.89</v>
      </c>
      <c r="F65" s="6">
        <v>40.299999999999997</v>
      </c>
      <c r="G65" s="6">
        <v>74.36</v>
      </c>
      <c r="H65" s="6">
        <v>28.31</v>
      </c>
      <c r="I65" s="6">
        <v>5.46</v>
      </c>
      <c r="J65" s="6">
        <v>1.25</v>
      </c>
      <c r="K65" s="6">
        <v>34.06</v>
      </c>
      <c r="L65" s="6">
        <v>37.69</v>
      </c>
      <c r="M65" s="6">
        <v>40.159999999999997</v>
      </c>
      <c r="N65" s="6">
        <v>722.4</v>
      </c>
      <c r="O65" s="6">
        <v>0</v>
      </c>
      <c r="P65" s="6">
        <v>0.5</v>
      </c>
      <c r="Q65" s="6">
        <v>3.96</v>
      </c>
    </row>
    <row r="66" spans="1:17" customFormat="1">
      <c r="A66" s="82">
        <v>45459.604166666664</v>
      </c>
      <c r="B66" s="6">
        <v>9.14</v>
      </c>
      <c r="C66" s="6">
        <v>4.04</v>
      </c>
      <c r="D66" s="6">
        <v>13.89</v>
      </c>
      <c r="E66" s="6">
        <v>18.12</v>
      </c>
      <c r="F66" s="6">
        <v>47.57</v>
      </c>
      <c r="G66" s="6">
        <v>74.36</v>
      </c>
      <c r="H66" s="6">
        <v>28.31</v>
      </c>
      <c r="I66" s="6">
        <v>5.38</v>
      </c>
      <c r="J66" s="6">
        <v>1.17</v>
      </c>
      <c r="K66" s="6">
        <v>33.99</v>
      </c>
      <c r="L66" s="6">
        <v>37.26</v>
      </c>
      <c r="M66" s="6">
        <v>39.880000000000003</v>
      </c>
      <c r="N66" s="6">
        <v>444.5</v>
      </c>
      <c r="O66" s="6">
        <v>0</v>
      </c>
      <c r="P66" s="6">
        <v>0.52</v>
      </c>
      <c r="Q66" s="6">
        <v>3.96</v>
      </c>
    </row>
    <row r="67" spans="1:17" customFormat="1">
      <c r="A67" s="82">
        <v>45459.614583333336</v>
      </c>
      <c r="B67" s="6">
        <v>9.14</v>
      </c>
      <c r="C67" s="6">
        <v>4.04</v>
      </c>
      <c r="D67" s="6">
        <v>13.89</v>
      </c>
      <c r="E67" s="6">
        <v>19.309999999999999</v>
      </c>
      <c r="F67" s="6">
        <v>39.18</v>
      </c>
      <c r="G67" s="6">
        <v>74.36</v>
      </c>
      <c r="H67" s="6">
        <v>28.31</v>
      </c>
      <c r="I67" s="6">
        <v>5.37</v>
      </c>
      <c r="J67" s="6">
        <v>0.84</v>
      </c>
      <c r="K67" s="6">
        <v>20.97</v>
      </c>
      <c r="L67" s="6">
        <v>37.619999999999997</v>
      </c>
      <c r="M67" s="6">
        <v>39.43</v>
      </c>
      <c r="N67" s="6">
        <v>513.4</v>
      </c>
      <c r="O67" s="6">
        <v>0</v>
      </c>
      <c r="P67" s="6">
        <v>0.52</v>
      </c>
      <c r="Q67" s="6">
        <v>3.97</v>
      </c>
    </row>
    <row r="68" spans="1:17" customFormat="1">
      <c r="A68" s="82">
        <v>45459.625</v>
      </c>
      <c r="B68" s="6">
        <v>9.1300000000000008</v>
      </c>
      <c r="C68" s="6">
        <v>4.0999999999999996</v>
      </c>
      <c r="D68" s="6">
        <v>13.91</v>
      </c>
      <c r="E68" s="6">
        <v>24.35</v>
      </c>
      <c r="F68" s="6">
        <v>35.200000000000003</v>
      </c>
      <c r="G68" s="6">
        <v>72.959999999999994</v>
      </c>
      <c r="H68" s="6">
        <v>27.06</v>
      </c>
      <c r="I68" s="6">
        <v>5.32</v>
      </c>
      <c r="J68" s="6">
        <v>0.89</v>
      </c>
      <c r="K68" s="6">
        <v>338.55</v>
      </c>
      <c r="L68" s="6">
        <v>38.31</v>
      </c>
      <c r="M68" s="6">
        <v>37.53</v>
      </c>
      <c r="N68" s="6">
        <v>696.4</v>
      </c>
      <c r="O68" s="6">
        <v>0</v>
      </c>
      <c r="P68" s="6">
        <v>0.53</v>
      </c>
      <c r="Q68" s="6">
        <v>3.96</v>
      </c>
    </row>
    <row r="69" spans="1:17" customFormat="1">
      <c r="A69" s="82">
        <v>45459.635416666664</v>
      </c>
      <c r="B69" s="6">
        <v>9.14</v>
      </c>
      <c r="C69" s="6">
        <v>4.12</v>
      </c>
      <c r="D69" s="6">
        <v>13.93</v>
      </c>
      <c r="E69" s="6">
        <v>29.25</v>
      </c>
      <c r="F69" s="6">
        <v>36.39</v>
      </c>
      <c r="G69" s="6">
        <v>71.62</v>
      </c>
      <c r="H69" s="6">
        <v>26.47</v>
      </c>
      <c r="I69" s="6">
        <v>5.36</v>
      </c>
      <c r="J69" s="6">
        <v>1.18</v>
      </c>
      <c r="K69" s="6">
        <v>32.72</v>
      </c>
      <c r="L69" s="6">
        <v>38.22</v>
      </c>
      <c r="M69" s="6">
        <v>37.9</v>
      </c>
      <c r="N69" s="6">
        <v>441.4</v>
      </c>
      <c r="O69" s="6">
        <v>0</v>
      </c>
      <c r="P69" s="6">
        <v>0.54</v>
      </c>
      <c r="Q69" s="6">
        <v>3.95</v>
      </c>
    </row>
    <row r="70" spans="1:17" customFormat="1">
      <c r="A70" s="82">
        <v>45459.645833333336</v>
      </c>
      <c r="B70" s="6">
        <v>9.16</v>
      </c>
      <c r="C70" s="6">
        <v>4.0599999999999996</v>
      </c>
      <c r="D70" s="6">
        <v>13.92</v>
      </c>
      <c r="E70" s="6">
        <v>33.53</v>
      </c>
      <c r="F70" s="6">
        <v>30.62</v>
      </c>
      <c r="G70" s="6">
        <v>71.62</v>
      </c>
      <c r="H70" s="6">
        <v>26.47</v>
      </c>
      <c r="I70" s="6">
        <v>5.39</v>
      </c>
      <c r="J70" s="6">
        <v>0.97</v>
      </c>
      <c r="K70" s="6">
        <v>347.62</v>
      </c>
      <c r="L70" s="6">
        <v>37.049999999999997</v>
      </c>
      <c r="M70" s="6">
        <v>43.61</v>
      </c>
      <c r="N70" s="6">
        <v>242.8</v>
      </c>
      <c r="O70" s="6">
        <v>0</v>
      </c>
      <c r="P70" s="6">
        <v>0.59</v>
      </c>
      <c r="Q70" s="6">
        <v>3.98</v>
      </c>
    </row>
    <row r="71" spans="1:17" customFormat="1">
      <c r="A71" s="82">
        <v>45459.65625</v>
      </c>
      <c r="B71" s="6">
        <v>9.16</v>
      </c>
      <c r="C71" s="6">
        <v>4.0599999999999996</v>
      </c>
      <c r="D71" s="6">
        <v>13.91</v>
      </c>
      <c r="E71" s="6">
        <v>35.450000000000003</v>
      </c>
      <c r="F71" s="6">
        <v>30.39</v>
      </c>
      <c r="G71" s="6">
        <v>71.62</v>
      </c>
      <c r="H71" s="6">
        <v>26.47</v>
      </c>
      <c r="I71" s="6">
        <v>5.51</v>
      </c>
      <c r="J71" s="6">
        <v>1.06</v>
      </c>
      <c r="K71" s="6">
        <v>9.17</v>
      </c>
      <c r="L71" s="6">
        <v>36.46</v>
      </c>
      <c r="M71" s="6">
        <v>45.32</v>
      </c>
      <c r="N71" s="6">
        <v>260.5</v>
      </c>
      <c r="O71" s="6">
        <v>0</v>
      </c>
      <c r="P71" s="6">
        <v>0.63</v>
      </c>
      <c r="Q71" s="6">
        <v>3.98</v>
      </c>
    </row>
    <row r="72" spans="1:17" customFormat="1">
      <c r="A72" s="82">
        <v>45459.666666666664</v>
      </c>
      <c r="B72" s="6">
        <v>9.15</v>
      </c>
      <c r="C72" s="6">
        <v>4.0599999999999996</v>
      </c>
      <c r="D72" s="6">
        <v>13.91</v>
      </c>
      <c r="E72" s="6">
        <v>33.31</v>
      </c>
      <c r="F72" s="6">
        <v>32.36</v>
      </c>
      <c r="G72" s="6">
        <v>77.349999999999994</v>
      </c>
      <c r="H72" s="6">
        <v>30.83</v>
      </c>
      <c r="I72" s="6">
        <v>6.38</v>
      </c>
      <c r="J72" s="6">
        <v>0.98</v>
      </c>
      <c r="K72" s="6">
        <v>15.56</v>
      </c>
      <c r="L72" s="6">
        <v>36.21</v>
      </c>
      <c r="M72" s="6">
        <v>46.45</v>
      </c>
      <c r="N72" s="6">
        <v>181.9</v>
      </c>
      <c r="O72" s="6">
        <v>0</v>
      </c>
      <c r="P72" s="6">
        <v>0.64</v>
      </c>
      <c r="Q72" s="6">
        <v>3.97</v>
      </c>
    </row>
    <row r="73" spans="1:17" customFormat="1">
      <c r="A73" s="82">
        <v>45459.677083333336</v>
      </c>
      <c r="B73" s="6">
        <v>9.15</v>
      </c>
      <c r="C73" s="6">
        <v>4.0599999999999996</v>
      </c>
      <c r="D73" s="6">
        <v>13.91</v>
      </c>
      <c r="E73" s="6">
        <v>48.84</v>
      </c>
      <c r="F73" s="6">
        <v>41.47</v>
      </c>
      <c r="G73" s="6">
        <v>82.83</v>
      </c>
      <c r="H73" s="6">
        <v>32.869999999999997</v>
      </c>
      <c r="I73" s="6">
        <v>6.61</v>
      </c>
      <c r="J73" s="6">
        <v>1.19</v>
      </c>
      <c r="K73" s="6">
        <v>30.52</v>
      </c>
      <c r="L73" s="6">
        <v>35.5</v>
      </c>
      <c r="M73" s="6">
        <v>47.88</v>
      </c>
      <c r="N73" s="6">
        <v>83.1</v>
      </c>
      <c r="O73" s="6">
        <v>0</v>
      </c>
      <c r="P73" s="6">
        <v>0.66</v>
      </c>
      <c r="Q73" s="6">
        <v>3.94</v>
      </c>
    </row>
    <row r="74" spans="1:17" customFormat="1">
      <c r="A74" s="82">
        <v>45459.6875</v>
      </c>
      <c r="B74" s="6">
        <v>9.18</v>
      </c>
      <c r="C74" s="6">
        <v>4.0599999999999996</v>
      </c>
      <c r="D74" s="6">
        <v>13.94</v>
      </c>
      <c r="E74" s="6">
        <v>53.18</v>
      </c>
      <c r="F74" s="6">
        <v>37.56</v>
      </c>
      <c r="G74" s="6">
        <v>82.83</v>
      </c>
      <c r="H74" s="6">
        <v>32.869999999999997</v>
      </c>
      <c r="I74" s="6">
        <v>6.56</v>
      </c>
      <c r="J74" s="6">
        <v>0.99</v>
      </c>
      <c r="K74" s="6">
        <v>35.11</v>
      </c>
      <c r="L74" s="6">
        <v>34.97</v>
      </c>
      <c r="M74" s="6">
        <v>48.85</v>
      </c>
      <c r="N74" s="6">
        <v>51.8</v>
      </c>
      <c r="O74" s="6">
        <v>0</v>
      </c>
      <c r="P74" s="6">
        <v>0.66</v>
      </c>
      <c r="Q74" s="6">
        <v>3.91</v>
      </c>
    </row>
    <row r="75" spans="1:17" customFormat="1">
      <c r="A75" s="82">
        <v>45459.697916666664</v>
      </c>
      <c r="B75" s="6">
        <v>9.2200000000000006</v>
      </c>
      <c r="C75" s="6">
        <v>4.0599999999999996</v>
      </c>
      <c r="D75" s="6">
        <v>13.96</v>
      </c>
      <c r="E75" s="6">
        <v>46.78</v>
      </c>
      <c r="F75" s="6">
        <v>37.64</v>
      </c>
      <c r="G75" s="6">
        <v>82.83</v>
      </c>
      <c r="H75" s="6">
        <v>32.869999999999997</v>
      </c>
      <c r="I75" s="6">
        <v>6.66</v>
      </c>
      <c r="J75" s="6">
        <v>1.17</v>
      </c>
      <c r="K75" s="6">
        <v>30.18</v>
      </c>
      <c r="L75" s="6">
        <v>34.79</v>
      </c>
      <c r="M75" s="6">
        <v>47.86</v>
      </c>
      <c r="N75" s="6">
        <v>41.5</v>
      </c>
      <c r="O75" s="6">
        <v>0</v>
      </c>
      <c r="P75" s="6">
        <v>0.65</v>
      </c>
      <c r="Q75" s="6">
        <v>3.91</v>
      </c>
    </row>
    <row r="76" spans="1:17" customFormat="1">
      <c r="A76" s="82">
        <v>45459.708333333336</v>
      </c>
      <c r="B76" s="6">
        <v>9.2100000000000009</v>
      </c>
      <c r="C76" s="6">
        <v>4.08</v>
      </c>
      <c r="D76" s="6">
        <v>13.97</v>
      </c>
      <c r="E76" s="6">
        <v>35.47</v>
      </c>
      <c r="F76" s="6">
        <v>43.25</v>
      </c>
      <c r="G76" s="6">
        <v>89.17</v>
      </c>
      <c r="H76" s="6">
        <v>33.770000000000003</v>
      </c>
      <c r="I76" s="6">
        <v>6.64</v>
      </c>
      <c r="J76" s="6">
        <v>1.1000000000000001</v>
      </c>
      <c r="K76" s="6">
        <v>42.3</v>
      </c>
      <c r="L76" s="6">
        <v>34.76</v>
      </c>
      <c r="M76" s="6">
        <v>47.36</v>
      </c>
      <c r="N76" s="6">
        <v>28.3</v>
      </c>
      <c r="O76" s="6">
        <v>0</v>
      </c>
      <c r="P76" s="6">
        <v>0.64</v>
      </c>
      <c r="Q76" s="6">
        <v>3.92</v>
      </c>
    </row>
    <row r="77" spans="1:17" customFormat="1">
      <c r="A77" s="82">
        <v>45459.71875</v>
      </c>
      <c r="B77" s="6">
        <v>9.2200000000000006</v>
      </c>
      <c r="C77" s="6">
        <v>4.0599999999999996</v>
      </c>
      <c r="D77" s="6">
        <v>13.96</v>
      </c>
      <c r="E77" s="6">
        <v>31.35</v>
      </c>
      <c r="F77" s="6">
        <v>37.770000000000003</v>
      </c>
      <c r="G77" s="6">
        <v>95.22</v>
      </c>
      <c r="H77" s="6">
        <v>34.19</v>
      </c>
      <c r="I77" s="6">
        <v>6.29</v>
      </c>
      <c r="J77" s="6">
        <v>1.1499999999999999</v>
      </c>
      <c r="K77" s="6">
        <v>52.92</v>
      </c>
      <c r="L77" s="6">
        <v>34.68</v>
      </c>
      <c r="M77" s="6">
        <v>46.82</v>
      </c>
      <c r="N77" s="6">
        <v>38.700000000000003</v>
      </c>
      <c r="O77" s="6">
        <v>0</v>
      </c>
      <c r="P77" s="6">
        <v>0.63</v>
      </c>
      <c r="Q77" s="6">
        <v>3.94</v>
      </c>
    </row>
    <row r="78" spans="1:17" customFormat="1">
      <c r="A78" s="82">
        <v>45459.729166666664</v>
      </c>
      <c r="B78" s="6">
        <v>9.17</v>
      </c>
      <c r="C78" s="6">
        <v>4.07</v>
      </c>
      <c r="D78" s="6">
        <v>13.93</v>
      </c>
      <c r="E78" s="6">
        <v>21.45</v>
      </c>
      <c r="F78" s="6">
        <v>41</v>
      </c>
      <c r="G78" s="6">
        <v>95.22</v>
      </c>
      <c r="H78" s="6">
        <v>34.19</v>
      </c>
      <c r="I78" s="6">
        <v>6.2</v>
      </c>
      <c r="J78" s="6">
        <v>0.98</v>
      </c>
      <c r="K78" s="6">
        <v>35.08</v>
      </c>
      <c r="L78" s="6">
        <v>34.729999999999997</v>
      </c>
      <c r="M78" s="6">
        <v>45.87</v>
      </c>
      <c r="N78" s="6">
        <v>31.3</v>
      </c>
      <c r="O78" s="6">
        <v>0</v>
      </c>
      <c r="P78" s="6">
        <v>0.6</v>
      </c>
      <c r="Q78" s="6">
        <v>3.93</v>
      </c>
    </row>
    <row r="79" spans="1:17" customFormat="1">
      <c r="A79" s="82">
        <v>45459.739583333336</v>
      </c>
      <c r="B79" s="6">
        <v>9.15</v>
      </c>
      <c r="C79" s="6">
        <v>4.08</v>
      </c>
      <c r="D79" s="6">
        <v>13.92</v>
      </c>
      <c r="E79" s="6">
        <v>19.48</v>
      </c>
      <c r="F79" s="6">
        <v>42.45</v>
      </c>
      <c r="G79" s="6">
        <v>95.22</v>
      </c>
      <c r="H79" s="6">
        <v>34.19</v>
      </c>
      <c r="I79" s="6">
        <v>5.82</v>
      </c>
      <c r="J79" s="6">
        <v>0.82</v>
      </c>
      <c r="K79" s="6">
        <v>40.42</v>
      </c>
      <c r="L79" s="6">
        <v>34.68</v>
      </c>
      <c r="M79" s="6">
        <v>45.81</v>
      </c>
      <c r="N79" s="6">
        <v>25.6</v>
      </c>
      <c r="O79" s="6">
        <v>0</v>
      </c>
      <c r="P79" s="6">
        <v>0.62</v>
      </c>
      <c r="Q79" s="6">
        <v>3.91</v>
      </c>
    </row>
    <row r="80" spans="1:17" customFormat="1">
      <c r="A80" s="82">
        <v>45459.75</v>
      </c>
      <c r="B80" s="6">
        <v>9.16</v>
      </c>
      <c r="C80" s="6">
        <v>4.0599999999999996</v>
      </c>
      <c r="D80" s="6">
        <v>13.92</v>
      </c>
      <c r="E80" s="6">
        <v>35.229999999999997</v>
      </c>
      <c r="F80" s="6">
        <v>34.6</v>
      </c>
      <c r="G80" s="6">
        <v>91.02</v>
      </c>
      <c r="H80" s="6">
        <v>28.28</v>
      </c>
      <c r="I80" s="6">
        <v>5.47</v>
      </c>
      <c r="J80" s="6">
        <v>0.43</v>
      </c>
      <c r="K80" s="6">
        <v>36.14</v>
      </c>
      <c r="L80" s="6">
        <v>34.74</v>
      </c>
      <c r="M80" s="6">
        <v>45.58</v>
      </c>
      <c r="N80" s="6">
        <v>17.3</v>
      </c>
      <c r="O80" s="6">
        <v>0</v>
      </c>
      <c r="P80" s="6">
        <v>0.68</v>
      </c>
      <c r="Q80" s="6">
        <v>3.93</v>
      </c>
    </row>
    <row r="81" spans="1:17" customFormat="1">
      <c r="A81" s="82">
        <v>45459.760416666664</v>
      </c>
      <c r="B81" s="6">
        <v>9.15</v>
      </c>
      <c r="C81" s="6">
        <v>4.08</v>
      </c>
      <c r="D81" s="6">
        <v>13.92</v>
      </c>
      <c r="E81" s="6">
        <v>49.18</v>
      </c>
      <c r="F81" s="6">
        <v>30.55</v>
      </c>
      <c r="G81" s="6">
        <v>87.01</v>
      </c>
      <c r="H81" s="6">
        <v>25.52</v>
      </c>
      <c r="I81" s="6">
        <v>5.74</v>
      </c>
      <c r="J81" s="6">
        <v>0.52</v>
      </c>
      <c r="K81" s="6">
        <v>49.91</v>
      </c>
      <c r="L81" s="6">
        <v>34.71</v>
      </c>
      <c r="M81" s="6">
        <v>46.37</v>
      </c>
      <c r="N81" s="6">
        <v>12</v>
      </c>
      <c r="O81" s="6">
        <v>0</v>
      </c>
      <c r="P81" s="6">
        <v>0.78</v>
      </c>
      <c r="Q81" s="6">
        <v>3.93</v>
      </c>
    </row>
    <row r="82" spans="1:17" customFormat="1">
      <c r="A82" s="82">
        <v>45459.770833333336</v>
      </c>
      <c r="B82" s="6">
        <v>9.14</v>
      </c>
      <c r="C82" s="6">
        <v>4.1100000000000003</v>
      </c>
      <c r="D82" s="6">
        <v>13.93</v>
      </c>
      <c r="E82" s="6">
        <v>55.8</v>
      </c>
      <c r="F82" s="6">
        <v>23.58</v>
      </c>
      <c r="G82" s="6">
        <v>87.01</v>
      </c>
      <c r="H82" s="6">
        <v>25.52</v>
      </c>
      <c r="I82" s="6">
        <v>5.93</v>
      </c>
      <c r="J82" s="6">
        <v>0.43</v>
      </c>
      <c r="K82" s="6">
        <v>29.32</v>
      </c>
      <c r="L82" s="6">
        <v>34.729999999999997</v>
      </c>
      <c r="M82" s="6">
        <v>47.06</v>
      </c>
      <c r="N82" s="6">
        <v>6.6</v>
      </c>
      <c r="O82" s="6">
        <v>0</v>
      </c>
      <c r="P82" s="6">
        <v>0.84</v>
      </c>
      <c r="Q82" s="6">
        <v>3.94</v>
      </c>
    </row>
    <row r="83" spans="1:17" customFormat="1">
      <c r="A83" s="82">
        <v>45459.78125</v>
      </c>
      <c r="B83" s="6">
        <v>9.17</v>
      </c>
      <c r="C83" s="6">
        <v>4.08</v>
      </c>
      <c r="D83" s="6">
        <v>13.93</v>
      </c>
      <c r="E83" s="6">
        <v>69.900000000000006</v>
      </c>
      <c r="F83" s="6">
        <v>26.05</v>
      </c>
      <c r="G83" s="6">
        <v>87.01</v>
      </c>
      <c r="H83" s="6">
        <v>25.52</v>
      </c>
      <c r="I83" s="6">
        <v>6.95</v>
      </c>
      <c r="J83" s="6">
        <v>0.72</v>
      </c>
      <c r="K83" s="6">
        <v>54.83</v>
      </c>
      <c r="L83" s="6">
        <v>34.49</v>
      </c>
      <c r="M83" s="6">
        <v>48.1</v>
      </c>
      <c r="N83" s="6">
        <v>2.8</v>
      </c>
      <c r="O83" s="6">
        <v>0</v>
      </c>
      <c r="P83" s="6">
        <v>0.9</v>
      </c>
      <c r="Q83" s="6">
        <v>3.94</v>
      </c>
    </row>
    <row r="84" spans="1:17" customFormat="1">
      <c r="A84" s="82">
        <v>45459.791666666664</v>
      </c>
      <c r="B84" s="6">
        <v>9.17</v>
      </c>
      <c r="C84" s="6">
        <v>4.12</v>
      </c>
      <c r="D84" s="6">
        <v>13.95</v>
      </c>
      <c r="E84" s="6">
        <v>79.489999999999995</v>
      </c>
      <c r="F84" s="6">
        <v>17.149999999999999</v>
      </c>
      <c r="G84" s="6">
        <v>96.07</v>
      </c>
      <c r="H84" s="6">
        <v>30.71</v>
      </c>
      <c r="I84" s="6">
        <v>7.3</v>
      </c>
      <c r="J84" s="6">
        <v>0.33</v>
      </c>
      <c r="K84" s="6">
        <v>28.81</v>
      </c>
      <c r="L84" s="6">
        <v>34.33</v>
      </c>
      <c r="M84" s="6">
        <v>49.32</v>
      </c>
      <c r="N84" s="6">
        <v>1.7</v>
      </c>
      <c r="O84" s="6">
        <v>0</v>
      </c>
      <c r="P84" s="6">
        <v>0.97</v>
      </c>
      <c r="Q84" s="6">
        <v>3.95</v>
      </c>
    </row>
    <row r="85" spans="1:17" customFormat="1">
      <c r="A85" s="82">
        <v>45459.802083333336</v>
      </c>
      <c r="B85" s="6">
        <v>9.17</v>
      </c>
      <c r="C85" s="6">
        <v>4.1100000000000003</v>
      </c>
      <c r="D85" s="6">
        <v>13.95</v>
      </c>
      <c r="E85" s="6">
        <v>97.26</v>
      </c>
      <c r="F85" s="6">
        <v>24.38</v>
      </c>
      <c r="G85" s="6">
        <v>104.74</v>
      </c>
      <c r="H85" s="6">
        <v>33.14</v>
      </c>
      <c r="I85" s="6">
        <v>7.7</v>
      </c>
      <c r="J85" s="6">
        <v>0.06</v>
      </c>
      <c r="K85" s="6">
        <v>198.72</v>
      </c>
      <c r="L85" s="6">
        <v>34.07</v>
      </c>
      <c r="M85" s="6">
        <v>51.32</v>
      </c>
      <c r="N85" s="6">
        <v>2</v>
      </c>
      <c r="O85" s="6">
        <v>0</v>
      </c>
      <c r="P85" s="6">
        <v>0.81</v>
      </c>
      <c r="Q85" s="6">
        <v>3.98</v>
      </c>
    </row>
    <row r="86" spans="1:17" customFormat="1">
      <c r="A86" s="82">
        <v>45459.8125</v>
      </c>
      <c r="B86" s="6">
        <v>9.17</v>
      </c>
      <c r="C86" s="6">
        <v>4.08</v>
      </c>
      <c r="D86" s="6">
        <v>13.93</v>
      </c>
      <c r="E86" s="6">
        <v>96.02</v>
      </c>
      <c r="F86" s="6">
        <v>27.07</v>
      </c>
      <c r="G86" s="6">
        <v>104.74</v>
      </c>
      <c r="H86" s="6">
        <v>33.14</v>
      </c>
      <c r="I86" s="6">
        <v>8.73</v>
      </c>
      <c r="J86" s="6">
        <v>0.27</v>
      </c>
      <c r="K86" s="6">
        <v>178.27</v>
      </c>
      <c r="L86" s="6">
        <v>33.659999999999997</v>
      </c>
      <c r="M86" s="6">
        <v>53.9</v>
      </c>
      <c r="N86" s="6">
        <v>1.9</v>
      </c>
      <c r="O86" s="6">
        <v>0</v>
      </c>
      <c r="P86" s="6">
        <v>0.77</v>
      </c>
      <c r="Q86" s="6">
        <v>3.94</v>
      </c>
    </row>
    <row r="87" spans="1:17" customFormat="1">
      <c r="A87" s="82">
        <v>45459.822916666664</v>
      </c>
      <c r="B87" s="6">
        <v>9.1300000000000008</v>
      </c>
      <c r="C87" s="6">
        <v>4.08</v>
      </c>
      <c r="D87" s="6">
        <v>13.9</v>
      </c>
      <c r="E87" s="6">
        <v>73.77</v>
      </c>
      <c r="F87" s="6">
        <v>20.89</v>
      </c>
      <c r="G87" s="6">
        <v>104.74</v>
      </c>
      <c r="H87" s="6">
        <v>33.14</v>
      </c>
      <c r="I87" s="6">
        <v>7.97</v>
      </c>
      <c r="J87" s="6">
        <v>0.26</v>
      </c>
      <c r="K87" s="6">
        <v>188.45</v>
      </c>
      <c r="L87" s="6">
        <v>33.51</v>
      </c>
      <c r="M87" s="6">
        <v>54.75</v>
      </c>
      <c r="N87" s="6">
        <v>1.9</v>
      </c>
      <c r="O87" s="6">
        <v>0</v>
      </c>
      <c r="P87" s="6">
        <v>0.75</v>
      </c>
      <c r="Q87" s="6">
        <v>3.93</v>
      </c>
    </row>
    <row r="88" spans="1:17" customFormat="1">
      <c r="A88" s="82">
        <v>45459.833333333336</v>
      </c>
      <c r="B88" s="6">
        <v>9.15</v>
      </c>
      <c r="C88" s="6">
        <v>4.09</v>
      </c>
      <c r="D88" s="6">
        <v>13.93</v>
      </c>
      <c r="E88" s="6">
        <v>57.64</v>
      </c>
      <c r="F88" s="6">
        <v>22.75</v>
      </c>
      <c r="G88" s="6">
        <v>106.75</v>
      </c>
      <c r="H88" s="6">
        <v>35.119999999999997</v>
      </c>
      <c r="I88" s="6">
        <v>7.76</v>
      </c>
      <c r="J88" s="6">
        <v>0.14000000000000001</v>
      </c>
      <c r="K88" s="6">
        <v>199.23</v>
      </c>
      <c r="L88" s="6">
        <v>32.97</v>
      </c>
      <c r="M88" s="6">
        <v>56.19</v>
      </c>
      <c r="N88" s="6">
        <v>1.9</v>
      </c>
      <c r="O88" s="6">
        <v>0</v>
      </c>
      <c r="P88" s="6">
        <v>0.78</v>
      </c>
      <c r="Q88" s="6">
        <v>3.95</v>
      </c>
    </row>
    <row r="89" spans="1:17" customFormat="1">
      <c r="A89" s="82">
        <v>45459.84375</v>
      </c>
      <c r="B89" s="6">
        <v>9.15</v>
      </c>
      <c r="C89" s="6">
        <v>4.0599999999999996</v>
      </c>
      <c r="D89" s="6">
        <v>13.91</v>
      </c>
      <c r="E89" s="6">
        <v>68.27</v>
      </c>
      <c r="F89" s="6">
        <v>19.68</v>
      </c>
      <c r="G89" s="6">
        <v>108.67</v>
      </c>
      <c r="H89" s="6">
        <v>37.11</v>
      </c>
      <c r="I89" s="6">
        <v>7.32</v>
      </c>
      <c r="J89" s="6">
        <v>0.13</v>
      </c>
      <c r="K89" s="6">
        <v>162.84</v>
      </c>
      <c r="L89" s="6">
        <v>33.06</v>
      </c>
      <c r="M89" s="6">
        <v>55.12</v>
      </c>
      <c r="N89" s="6">
        <v>1.7</v>
      </c>
      <c r="O89" s="6">
        <v>0</v>
      </c>
      <c r="P89" s="6">
        <v>0.75</v>
      </c>
      <c r="Q89" s="6">
        <v>3.96</v>
      </c>
    </row>
    <row r="90" spans="1:17" customFormat="1">
      <c r="A90" s="82">
        <v>45459.854166666664</v>
      </c>
      <c r="B90" s="6">
        <v>9.16</v>
      </c>
      <c r="C90" s="6">
        <v>4.07</v>
      </c>
      <c r="D90" s="6">
        <v>13.92</v>
      </c>
      <c r="E90" s="6">
        <v>93.23</v>
      </c>
      <c r="F90" s="6">
        <v>24.87</v>
      </c>
      <c r="G90" s="6">
        <v>108.67</v>
      </c>
      <c r="H90" s="6">
        <v>37.11</v>
      </c>
      <c r="I90" s="6">
        <v>7.69</v>
      </c>
      <c r="J90" s="6">
        <v>0.19</v>
      </c>
      <c r="K90" s="6">
        <v>184.46</v>
      </c>
      <c r="L90" s="6">
        <v>33.119999999999997</v>
      </c>
      <c r="M90" s="6">
        <v>53.77</v>
      </c>
      <c r="N90" s="6">
        <v>1.5</v>
      </c>
      <c r="O90" s="6">
        <v>0</v>
      </c>
      <c r="P90" s="6">
        <v>0.71</v>
      </c>
      <c r="Q90" s="6">
        <v>3.96</v>
      </c>
    </row>
    <row r="91" spans="1:17" customFormat="1">
      <c r="A91" s="82">
        <v>45459.864583333336</v>
      </c>
      <c r="B91" s="6">
        <v>9.18</v>
      </c>
      <c r="C91" s="6">
        <v>4.1100000000000003</v>
      </c>
      <c r="D91" s="6">
        <v>13.95</v>
      </c>
      <c r="E91" s="6">
        <v>58.89</v>
      </c>
      <c r="F91" s="6">
        <v>12.87</v>
      </c>
      <c r="G91" s="6">
        <v>108.67</v>
      </c>
      <c r="H91" s="6">
        <v>37.11</v>
      </c>
      <c r="I91" s="6">
        <v>7.35</v>
      </c>
      <c r="J91" s="6">
        <v>0.17</v>
      </c>
      <c r="K91" s="6">
        <v>186.89</v>
      </c>
      <c r="L91" s="6">
        <v>32.89</v>
      </c>
      <c r="M91" s="6">
        <v>56.05</v>
      </c>
      <c r="N91" s="6">
        <v>1.8</v>
      </c>
      <c r="O91" s="6">
        <v>0</v>
      </c>
      <c r="P91" s="6">
        <v>0.74</v>
      </c>
      <c r="Q91" s="6">
        <v>3.96</v>
      </c>
    </row>
    <row r="92" spans="1:17" customFormat="1">
      <c r="A92" s="82">
        <v>45459.875</v>
      </c>
      <c r="B92" s="6">
        <v>9.16</v>
      </c>
      <c r="C92" s="6">
        <v>4.1100000000000003</v>
      </c>
      <c r="D92" s="6">
        <v>13.94</v>
      </c>
      <c r="E92" s="6">
        <v>47.45</v>
      </c>
      <c r="F92" s="6">
        <v>8.3800000000000008</v>
      </c>
      <c r="G92" s="6">
        <v>105.96</v>
      </c>
      <c r="H92" s="6">
        <v>37.979999999999997</v>
      </c>
      <c r="I92" s="6">
        <v>7.13</v>
      </c>
      <c r="J92" s="6">
        <v>0.11</v>
      </c>
      <c r="K92" s="6">
        <v>189.46</v>
      </c>
      <c r="L92" s="6">
        <v>32.729999999999997</v>
      </c>
      <c r="M92" s="6">
        <v>58.17</v>
      </c>
      <c r="N92" s="6">
        <v>1.9</v>
      </c>
      <c r="O92" s="6">
        <v>0</v>
      </c>
      <c r="P92" s="6">
        <v>0.78</v>
      </c>
      <c r="Q92" s="6">
        <v>3.96</v>
      </c>
    </row>
    <row r="93" spans="1:17" customFormat="1">
      <c r="A93" s="82">
        <v>45459.885416666664</v>
      </c>
      <c r="B93" s="6">
        <v>9.14</v>
      </c>
      <c r="C93" s="6">
        <v>4.12</v>
      </c>
      <c r="D93" s="6">
        <v>13.93</v>
      </c>
      <c r="E93" s="6">
        <v>47.52</v>
      </c>
      <c r="F93" s="6">
        <v>9.36</v>
      </c>
      <c r="G93" s="6">
        <v>103.37</v>
      </c>
      <c r="H93" s="6">
        <v>38.380000000000003</v>
      </c>
      <c r="I93" s="6">
        <v>7.49</v>
      </c>
      <c r="J93" s="6">
        <v>0.15</v>
      </c>
      <c r="K93" s="6">
        <v>187.96</v>
      </c>
      <c r="L93" s="6">
        <v>32.78</v>
      </c>
      <c r="M93" s="6">
        <v>57.24</v>
      </c>
      <c r="N93" s="6">
        <v>1.7</v>
      </c>
      <c r="O93" s="6">
        <v>0</v>
      </c>
      <c r="P93" s="6">
        <v>0.78</v>
      </c>
      <c r="Q93" s="6">
        <v>3.96</v>
      </c>
    </row>
    <row r="94" spans="1:17" customFormat="1">
      <c r="A94" s="82">
        <v>45459.895833333336</v>
      </c>
      <c r="B94" s="6">
        <v>9.1300000000000008</v>
      </c>
      <c r="C94" s="6">
        <v>4.08</v>
      </c>
      <c r="D94" s="6">
        <v>13.91</v>
      </c>
      <c r="E94" s="6">
        <v>51.19</v>
      </c>
      <c r="F94" s="6">
        <v>10.199999999999999</v>
      </c>
      <c r="G94" s="6">
        <v>103.37</v>
      </c>
      <c r="H94" s="6">
        <v>38.380000000000003</v>
      </c>
      <c r="I94" s="6">
        <v>7.64</v>
      </c>
      <c r="J94" s="6">
        <v>0.15</v>
      </c>
      <c r="K94" s="6">
        <v>231.8</v>
      </c>
      <c r="L94" s="6">
        <v>32.47</v>
      </c>
      <c r="M94" s="6">
        <v>57.92</v>
      </c>
      <c r="N94" s="6">
        <v>1.9</v>
      </c>
      <c r="O94" s="6">
        <v>0</v>
      </c>
      <c r="P94" s="6">
        <v>0.8</v>
      </c>
      <c r="Q94" s="6">
        <v>3.95</v>
      </c>
    </row>
    <row r="95" spans="1:17" customFormat="1">
      <c r="A95" s="82">
        <v>45459.90625</v>
      </c>
      <c r="B95" s="6">
        <v>9.14</v>
      </c>
      <c r="C95" s="6">
        <v>4.05</v>
      </c>
      <c r="D95" s="6">
        <v>13.9</v>
      </c>
      <c r="E95" s="6">
        <v>40.44</v>
      </c>
      <c r="F95" s="6">
        <v>8.43</v>
      </c>
      <c r="G95" s="6">
        <v>103.37</v>
      </c>
      <c r="H95" s="6">
        <v>38.380000000000003</v>
      </c>
      <c r="I95" s="6">
        <v>7.77</v>
      </c>
      <c r="J95" s="6">
        <v>0.14000000000000001</v>
      </c>
      <c r="K95" s="6">
        <v>191.75</v>
      </c>
      <c r="L95" s="6">
        <v>32.58</v>
      </c>
      <c r="M95" s="6">
        <v>57.51</v>
      </c>
      <c r="N95" s="6">
        <v>1.7</v>
      </c>
      <c r="O95" s="6">
        <v>0</v>
      </c>
      <c r="P95" s="6">
        <v>0.82</v>
      </c>
      <c r="Q95" s="6">
        <v>3.95</v>
      </c>
    </row>
    <row r="96" spans="1:17" customFormat="1">
      <c r="A96" s="82">
        <v>45459.916666666664</v>
      </c>
      <c r="B96" s="6">
        <v>9.14</v>
      </c>
      <c r="C96" s="6">
        <v>4.0599999999999996</v>
      </c>
      <c r="D96" s="6">
        <v>13.9</v>
      </c>
      <c r="E96" s="6">
        <v>37.799999999999997</v>
      </c>
      <c r="F96" s="6">
        <v>10.59</v>
      </c>
      <c r="G96" s="6">
        <v>107.58</v>
      </c>
      <c r="H96" s="6">
        <v>37.799999999999997</v>
      </c>
      <c r="I96" s="6">
        <v>8</v>
      </c>
      <c r="J96" s="6">
        <v>0.15</v>
      </c>
      <c r="K96" s="6">
        <v>232.18</v>
      </c>
      <c r="L96" s="6">
        <v>32.479999999999997</v>
      </c>
      <c r="M96" s="6">
        <v>57.16</v>
      </c>
      <c r="N96" s="6">
        <v>1.7</v>
      </c>
      <c r="O96" s="6">
        <v>0</v>
      </c>
      <c r="P96" s="6">
        <v>0.82</v>
      </c>
      <c r="Q96" s="6">
        <v>3.96</v>
      </c>
    </row>
    <row r="97" spans="1:22" customFormat="1">
      <c r="A97" s="82">
        <v>45459.927083333336</v>
      </c>
      <c r="B97" s="6">
        <v>9.14</v>
      </c>
      <c r="C97" s="6">
        <v>4.07</v>
      </c>
      <c r="D97" s="6">
        <v>13.9</v>
      </c>
      <c r="E97" s="6">
        <v>33.5</v>
      </c>
      <c r="F97" s="6">
        <v>11.03</v>
      </c>
      <c r="G97" s="6">
        <v>111.6</v>
      </c>
      <c r="H97" s="6">
        <v>37.53</v>
      </c>
      <c r="I97" s="6">
        <v>8.3699999999999992</v>
      </c>
      <c r="J97" s="6">
        <v>0.2</v>
      </c>
      <c r="K97" s="6">
        <v>232.49</v>
      </c>
      <c r="L97" s="6">
        <v>32.44</v>
      </c>
      <c r="M97" s="6">
        <v>56.99</v>
      </c>
      <c r="N97" s="6">
        <v>1.6</v>
      </c>
      <c r="O97" s="6">
        <v>0</v>
      </c>
      <c r="P97" s="6">
        <v>0.8</v>
      </c>
      <c r="Q97" s="6">
        <v>3.96</v>
      </c>
    </row>
    <row r="98" spans="1:22" customFormat="1">
      <c r="A98" s="82">
        <v>45459.9375</v>
      </c>
      <c r="B98" s="6">
        <v>9.1300000000000008</v>
      </c>
      <c r="C98" s="6">
        <v>4.0599999999999996</v>
      </c>
      <c r="D98" s="6">
        <v>13.89</v>
      </c>
      <c r="E98" s="6">
        <v>24.76</v>
      </c>
      <c r="F98" s="6">
        <v>15.02</v>
      </c>
      <c r="G98" s="6">
        <v>111.6</v>
      </c>
      <c r="H98" s="6">
        <v>37.53</v>
      </c>
      <c r="I98" s="6">
        <v>8.43</v>
      </c>
      <c r="J98" s="6">
        <v>0.17</v>
      </c>
      <c r="K98" s="6">
        <v>226.39</v>
      </c>
      <c r="L98" s="6">
        <v>32.450000000000003</v>
      </c>
      <c r="M98" s="6">
        <v>56.85</v>
      </c>
      <c r="N98" s="6">
        <v>1.6</v>
      </c>
      <c r="O98" s="6">
        <v>0</v>
      </c>
      <c r="P98" s="6">
        <v>0.74</v>
      </c>
      <c r="Q98" s="6">
        <v>3.97</v>
      </c>
    </row>
    <row r="99" spans="1:22" customFormat="1">
      <c r="A99" s="82">
        <v>45459.947916666664</v>
      </c>
      <c r="B99" s="6">
        <v>9.1199999999999992</v>
      </c>
      <c r="C99" s="6">
        <v>4.12</v>
      </c>
      <c r="D99" s="6">
        <v>13.91</v>
      </c>
      <c r="E99" s="6">
        <v>19.670000000000002</v>
      </c>
      <c r="F99" s="6">
        <v>16.2</v>
      </c>
      <c r="G99" s="6">
        <v>111.6</v>
      </c>
      <c r="H99" s="6">
        <v>37.53</v>
      </c>
      <c r="I99" s="6">
        <v>8.3000000000000007</v>
      </c>
      <c r="J99" s="6">
        <v>0.22</v>
      </c>
      <c r="K99" s="6">
        <v>229.26</v>
      </c>
      <c r="L99" s="6">
        <v>32.61</v>
      </c>
      <c r="M99" s="6">
        <v>56.66</v>
      </c>
      <c r="N99" s="6">
        <v>1.3</v>
      </c>
      <c r="O99" s="6">
        <v>0</v>
      </c>
      <c r="P99" s="6">
        <v>0.71</v>
      </c>
      <c r="Q99" s="6">
        <v>3.97</v>
      </c>
    </row>
    <row r="100" spans="1:22" customFormat="1">
      <c r="A100" s="82">
        <v>45459.958333333336</v>
      </c>
      <c r="B100" s="6">
        <v>9.1199999999999992</v>
      </c>
      <c r="C100" s="6">
        <v>4.0999999999999996</v>
      </c>
      <c r="D100" s="6">
        <v>13.9</v>
      </c>
      <c r="E100" s="6">
        <v>18.32</v>
      </c>
      <c r="F100" s="6">
        <v>18.850000000000001</v>
      </c>
      <c r="G100" s="6">
        <v>104.13</v>
      </c>
      <c r="H100" s="6">
        <v>35.880000000000003</v>
      </c>
      <c r="I100" s="6">
        <v>7.6</v>
      </c>
      <c r="J100" s="6">
        <v>0.15</v>
      </c>
      <c r="K100" s="6">
        <v>214.77</v>
      </c>
      <c r="L100" s="6">
        <v>32.64</v>
      </c>
      <c r="M100" s="6">
        <v>55.21</v>
      </c>
      <c r="N100" s="6">
        <v>1.6</v>
      </c>
      <c r="O100" s="6">
        <v>0</v>
      </c>
      <c r="P100" s="6">
        <v>0.68</v>
      </c>
      <c r="Q100" s="6">
        <v>3.96</v>
      </c>
    </row>
    <row r="101" spans="1:22" customFormat="1">
      <c r="A101" s="82">
        <v>45459.96875</v>
      </c>
      <c r="B101" s="6">
        <v>9.14</v>
      </c>
      <c r="C101" s="6">
        <v>4.0999999999999996</v>
      </c>
      <c r="D101" s="6">
        <v>13.92</v>
      </c>
      <c r="E101" s="6">
        <v>17.47</v>
      </c>
      <c r="F101" s="6">
        <v>17.91</v>
      </c>
      <c r="G101" s="6">
        <v>96.98</v>
      </c>
      <c r="H101" s="6">
        <v>35.119999999999997</v>
      </c>
      <c r="I101" s="6">
        <v>7.34</v>
      </c>
      <c r="J101" s="6">
        <v>0.16</v>
      </c>
      <c r="K101" s="6">
        <v>225.08</v>
      </c>
      <c r="L101" s="6">
        <v>32.6</v>
      </c>
      <c r="M101" s="6">
        <v>55.21</v>
      </c>
      <c r="N101" s="6">
        <v>1.7</v>
      </c>
      <c r="O101" s="6">
        <v>0</v>
      </c>
      <c r="P101" s="6">
        <v>0.68</v>
      </c>
      <c r="Q101" s="6">
        <v>3.96</v>
      </c>
    </row>
    <row r="102" spans="1:22" customFormat="1">
      <c r="A102" s="82">
        <v>45459.979166666664</v>
      </c>
      <c r="B102" s="6">
        <v>9.15</v>
      </c>
      <c r="C102" s="6">
        <v>4.07</v>
      </c>
      <c r="D102" s="6">
        <v>13.91</v>
      </c>
      <c r="E102" s="6">
        <v>14.79</v>
      </c>
      <c r="F102" s="6">
        <v>15.95</v>
      </c>
      <c r="G102" s="6">
        <v>96.98</v>
      </c>
      <c r="H102" s="6">
        <v>35.119999999999997</v>
      </c>
      <c r="I102" s="6">
        <v>7.07</v>
      </c>
      <c r="J102" s="6">
        <v>0.31</v>
      </c>
      <c r="K102" s="6">
        <v>242.98</v>
      </c>
      <c r="L102" s="6">
        <v>32.64</v>
      </c>
      <c r="M102" s="6">
        <v>55.58</v>
      </c>
      <c r="N102" s="6">
        <v>1.6</v>
      </c>
      <c r="O102" s="6">
        <v>0</v>
      </c>
      <c r="P102" s="6">
        <v>0.68</v>
      </c>
      <c r="Q102" s="6">
        <v>3.97</v>
      </c>
    </row>
    <row r="103" spans="1:22" customFormat="1">
      <c r="A103" s="82">
        <v>45459.989583333336</v>
      </c>
      <c r="B103" s="6">
        <v>9.15</v>
      </c>
      <c r="C103" s="6">
        <v>4.05</v>
      </c>
      <c r="D103" s="6">
        <v>13.9</v>
      </c>
      <c r="E103" s="6">
        <v>12.43</v>
      </c>
      <c r="F103" s="6">
        <v>14.66</v>
      </c>
      <c r="G103" s="6">
        <v>96.98</v>
      </c>
      <c r="H103" s="6">
        <v>35.119999999999997</v>
      </c>
      <c r="I103" s="6">
        <v>7.03</v>
      </c>
      <c r="J103" s="6">
        <v>0.56999999999999995</v>
      </c>
      <c r="K103" s="6">
        <v>252.63</v>
      </c>
      <c r="L103" s="6">
        <v>32.619999999999997</v>
      </c>
      <c r="M103" s="6">
        <v>54.59</v>
      </c>
      <c r="N103" s="6">
        <v>1.6</v>
      </c>
      <c r="O103" s="6">
        <v>0</v>
      </c>
      <c r="P103" s="6">
        <v>0.67</v>
      </c>
      <c r="Q103" s="6">
        <v>3.95</v>
      </c>
    </row>
    <row r="104" spans="1:22" customFormat="1">
      <c r="A104" s="82">
        <v>45460</v>
      </c>
      <c r="B104" s="6">
        <v>9.1300000000000008</v>
      </c>
      <c r="C104" s="6">
        <v>4.03</v>
      </c>
      <c r="D104" s="6">
        <v>13.88</v>
      </c>
      <c r="E104" s="6">
        <v>11.28</v>
      </c>
      <c r="F104" s="6">
        <v>13.09</v>
      </c>
      <c r="G104" s="6">
        <v>81.12</v>
      </c>
      <c r="H104" s="6">
        <v>30.41</v>
      </c>
      <c r="I104" s="6">
        <v>7.01</v>
      </c>
      <c r="J104" s="6">
        <v>0.64</v>
      </c>
      <c r="K104" s="6">
        <v>253.29</v>
      </c>
      <c r="L104" s="6">
        <v>32.49</v>
      </c>
      <c r="M104" s="6">
        <v>53.85</v>
      </c>
      <c r="N104" s="6">
        <v>1.9</v>
      </c>
      <c r="O104" s="6">
        <v>0</v>
      </c>
      <c r="P104" s="6">
        <v>0.65</v>
      </c>
      <c r="Q104" s="6">
        <v>3.94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9.09</v>
      </c>
      <c r="C106" s="184">
        <f>MIN(C9:C104)</f>
        <v>4.03</v>
      </c>
      <c r="D106" s="184">
        <f t="shared" ref="D106:Q106" si="0">MIN(D9:D104)</f>
        <v>13.86</v>
      </c>
      <c r="E106" s="184">
        <f t="shared" si="0"/>
        <v>7.74</v>
      </c>
      <c r="F106" s="184">
        <f t="shared" si="0"/>
        <v>4.1100000000000003</v>
      </c>
      <c r="G106" s="184">
        <f t="shared" si="0"/>
        <v>31.57</v>
      </c>
      <c r="H106" s="184">
        <f t="shared" si="0"/>
        <v>10.97</v>
      </c>
      <c r="I106" s="184">
        <f t="shared" si="0"/>
        <v>3.66</v>
      </c>
      <c r="J106" s="184">
        <f t="shared" si="0"/>
        <v>0.06</v>
      </c>
      <c r="K106" s="184">
        <f t="shared" si="0"/>
        <v>5.42</v>
      </c>
      <c r="L106" s="184">
        <f t="shared" si="0"/>
        <v>28.91</v>
      </c>
      <c r="M106" s="184">
        <f t="shared" si="0"/>
        <v>37.53</v>
      </c>
      <c r="N106" s="184">
        <f t="shared" si="0"/>
        <v>1.3</v>
      </c>
      <c r="O106" s="184">
        <f t="shared" si="0"/>
        <v>0</v>
      </c>
      <c r="P106" s="184">
        <f t="shared" si="0"/>
        <v>0.31</v>
      </c>
      <c r="Q106" s="184">
        <f t="shared" si="0"/>
        <v>3.91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9.2200000000000006</v>
      </c>
      <c r="C107" s="185">
        <f t="shared" ref="C107:Q107" si="1">MAX(C9:C104)</f>
        <v>4.13</v>
      </c>
      <c r="D107" s="185">
        <f t="shared" si="1"/>
        <v>13.97</v>
      </c>
      <c r="E107" s="185">
        <f t="shared" si="1"/>
        <v>97.26</v>
      </c>
      <c r="F107" s="185">
        <f t="shared" si="1"/>
        <v>60.44</v>
      </c>
      <c r="G107" s="185">
        <f t="shared" si="1"/>
        <v>111.6</v>
      </c>
      <c r="H107" s="185">
        <f t="shared" si="1"/>
        <v>38.380000000000003</v>
      </c>
      <c r="I107" s="185">
        <f t="shared" si="1"/>
        <v>8.73</v>
      </c>
      <c r="J107" s="185">
        <f t="shared" si="1"/>
        <v>1.25</v>
      </c>
      <c r="K107" s="185">
        <f t="shared" si="1"/>
        <v>347.62</v>
      </c>
      <c r="L107" s="185">
        <f t="shared" si="1"/>
        <v>38.31</v>
      </c>
      <c r="M107" s="185">
        <f t="shared" si="1"/>
        <v>72.3</v>
      </c>
      <c r="N107" s="185">
        <f t="shared" si="1"/>
        <v>722.4</v>
      </c>
      <c r="O107" s="185">
        <f t="shared" si="1"/>
        <v>0</v>
      </c>
      <c r="P107" s="185">
        <f t="shared" si="1"/>
        <v>0.97</v>
      </c>
      <c r="Q107" s="185">
        <f t="shared" si="1"/>
        <v>4.01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9.1496874999999935</v>
      </c>
      <c r="C108" s="184">
        <f t="shared" ref="C108:Q108" si="2">AVERAGE(C9:C104)</f>
        <v>4.0743750000000007</v>
      </c>
      <c r="D108" s="184">
        <f t="shared" si="2"/>
        <v>13.915937500000013</v>
      </c>
      <c r="E108" s="184">
        <f t="shared" si="2"/>
        <v>24.474791666666675</v>
      </c>
      <c r="F108" s="184">
        <f t="shared" si="2"/>
        <v>25.093437499999993</v>
      </c>
      <c r="G108" s="184">
        <f t="shared" si="2"/>
        <v>64.17093749999998</v>
      </c>
      <c r="H108" s="184">
        <f t="shared" si="2"/>
        <v>22.635729166666664</v>
      </c>
      <c r="I108" s="184">
        <f t="shared" si="2"/>
        <v>5.658125000000001</v>
      </c>
      <c r="J108" s="184">
        <f t="shared" si="2"/>
        <v>0.51020833333333337</v>
      </c>
      <c r="K108" s="184">
        <f t="shared" si="2"/>
        <v>136.74427083333327</v>
      </c>
      <c r="L108" s="184">
        <f t="shared" si="2"/>
        <v>33.313437499999978</v>
      </c>
      <c r="M108" s="184">
        <f t="shared" si="2"/>
        <v>54.500520833333333</v>
      </c>
      <c r="N108" s="184">
        <f t="shared" si="2"/>
        <v>126.56145833333333</v>
      </c>
      <c r="O108" s="184">
        <f t="shared" si="2"/>
        <v>0</v>
      </c>
      <c r="P108" s="184">
        <f t="shared" si="2"/>
        <v>0.53500000000000014</v>
      </c>
      <c r="Q108" s="184">
        <f t="shared" si="2"/>
        <v>3.958124999999999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2.5688544446688135E-2</v>
      </c>
      <c r="C109" s="184">
        <f t="shared" ref="C109:Q109" si="3">STDEV(C9:C104)</f>
        <v>2.2281098905149527E-2</v>
      </c>
      <c r="D109" s="184">
        <f t="shared" si="3"/>
        <v>2.3196103347896794E-2</v>
      </c>
      <c r="E109" s="184">
        <f t="shared" si="3"/>
        <v>21.561674916835607</v>
      </c>
      <c r="F109" s="184">
        <f t="shared" si="3"/>
        <v>13.238998517388739</v>
      </c>
      <c r="G109" s="184">
        <f t="shared" si="3"/>
        <v>26.992868690905684</v>
      </c>
      <c r="H109" s="184">
        <f t="shared" si="3"/>
        <v>9.3369872008606265</v>
      </c>
      <c r="I109" s="184">
        <f t="shared" si="3"/>
        <v>1.3024133974643881</v>
      </c>
      <c r="J109" s="184">
        <f t="shared" si="3"/>
        <v>0.33991323712372495</v>
      </c>
      <c r="K109" s="184">
        <f t="shared" si="3"/>
        <v>95.523984232616968</v>
      </c>
      <c r="L109" s="184">
        <f t="shared" si="3"/>
        <v>2.2258981998407061</v>
      </c>
      <c r="M109" s="184">
        <f t="shared" si="3"/>
        <v>8.0611124176559947</v>
      </c>
      <c r="N109" s="184">
        <f t="shared" si="3"/>
        <v>185.1408973385528</v>
      </c>
      <c r="O109" s="184">
        <f t="shared" si="3"/>
        <v>0</v>
      </c>
      <c r="P109" s="184">
        <f t="shared" si="3"/>
        <v>0.16613247725836114</v>
      </c>
      <c r="Q109" s="184">
        <f t="shared" si="3"/>
        <v>1.7729695577283822E-2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45460.010416666664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45460.010416666664</v>
      </c>
      <c r="B9" s="6">
        <v>9.18</v>
      </c>
      <c r="C9" s="6">
        <v>4.01</v>
      </c>
      <c r="D9" s="6">
        <v>13.9</v>
      </c>
      <c r="E9" s="6">
        <v>11.5</v>
      </c>
      <c r="F9" s="6">
        <v>11.43</v>
      </c>
      <c r="G9" s="6">
        <v>65.95</v>
      </c>
      <c r="H9" s="6">
        <v>28.21</v>
      </c>
      <c r="I9" s="6">
        <v>6.8</v>
      </c>
      <c r="J9" s="6">
        <v>0.83</v>
      </c>
      <c r="K9" s="6">
        <v>261.41000000000003</v>
      </c>
      <c r="L9" s="6">
        <v>32.130000000000003</v>
      </c>
      <c r="M9" s="6">
        <v>53.35</v>
      </c>
      <c r="N9" s="6">
        <v>2.1</v>
      </c>
      <c r="O9" s="6">
        <v>0</v>
      </c>
      <c r="P9" s="6">
        <v>0.63</v>
      </c>
      <c r="Q9" s="6">
        <v>3.95</v>
      </c>
    </row>
    <row r="10" spans="1:21" customFormat="1">
      <c r="A10" s="82">
        <v>45460.020833333336</v>
      </c>
      <c r="B10" s="6">
        <v>9.1999999999999993</v>
      </c>
      <c r="C10" s="6">
        <v>4.0599999999999996</v>
      </c>
      <c r="D10" s="6">
        <v>13.95</v>
      </c>
      <c r="E10" s="6">
        <v>10.68</v>
      </c>
      <c r="F10" s="6">
        <v>8.92</v>
      </c>
      <c r="G10" s="6">
        <v>65.95</v>
      </c>
      <c r="H10" s="6">
        <v>28.21</v>
      </c>
      <c r="I10" s="6">
        <v>6.79</v>
      </c>
      <c r="J10" s="6">
        <v>1.23</v>
      </c>
      <c r="K10" s="6">
        <v>265.37</v>
      </c>
      <c r="L10" s="6">
        <v>31.96</v>
      </c>
      <c r="M10" s="6">
        <v>53.31</v>
      </c>
      <c r="N10" s="6">
        <v>2</v>
      </c>
      <c r="O10" s="6">
        <v>0</v>
      </c>
      <c r="P10" s="6">
        <v>0.62</v>
      </c>
      <c r="Q10" s="6">
        <v>3.99</v>
      </c>
    </row>
    <row r="11" spans="1:21" customFormat="1">
      <c r="A11" s="82">
        <v>45460.03125</v>
      </c>
      <c r="B11" s="6">
        <v>9.1999999999999993</v>
      </c>
      <c r="C11" s="6">
        <v>4.07</v>
      </c>
      <c r="D11" s="6">
        <v>13.95</v>
      </c>
      <c r="E11" s="6">
        <v>10.02</v>
      </c>
      <c r="F11" s="6">
        <v>9.66</v>
      </c>
      <c r="G11" s="6">
        <v>65.95</v>
      </c>
      <c r="H11" s="6">
        <v>28.21</v>
      </c>
      <c r="I11" s="6">
        <v>6.74</v>
      </c>
      <c r="J11" s="6">
        <v>0.97</v>
      </c>
      <c r="K11" s="6">
        <v>267.57</v>
      </c>
      <c r="L11" s="6">
        <v>31.78</v>
      </c>
      <c r="M11" s="6">
        <v>52.95</v>
      </c>
      <c r="N11" s="6">
        <v>2.1</v>
      </c>
      <c r="O11" s="6">
        <v>0</v>
      </c>
      <c r="P11" s="6">
        <v>0.61</v>
      </c>
      <c r="Q11" s="6">
        <v>3.95</v>
      </c>
    </row>
    <row r="12" spans="1:21" customFormat="1">
      <c r="A12" s="82">
        <v>45460.041666666664</v>
      </c>
      <c r="B12" s="6">
        <v>9.1999999999999993</v>
      </c>
      <c r="C12" s="6">
        <v>4.09</v>
      </c>
      <c r="D12" s="6">
        <v>13.97</v>
      </c>
      <c r="E12" s="6">
        <v>10.210000000000001</v>
      </c>
      <c r="F12" s="6">
        <v>11.29</v>
      </c>
      <c r="G12" s="6">
        <v>57.72</v>
      </c>
      <c r="H12" s="6">
        <v>21.42</v>
      </c>
      <c r="I12" s="6">
        <v>6.74</v>
      </c>
      <c r="J12" s="6">
        <v>0.8</v>
      </c>
      <c r="K12" s="6">
        <v>254.64</v>
      </c>
      <c r="L12" s="6">
        <v>31.55</v>
      </c>
      <c r="M12" s="6">
        <v>54.38</v>
      </c>
      <c r="N12" s="6">
        <v>1.9</v>
      </c>
      <c r="O12" s="6">
        <v>0</v>
      </c>
      <c r="P12" s="6">
        <v>0.56000000000000005</v>
      </c>
      <c r="Q12" s="6">
        <v>3.97</v>
      </c>
    </row>
    <row r="13" spans="1:21" customFormat="1">
      <c r="A13" s="82">
        <v>45460.052083333336</v>
      </c>
      <c r="B13" s="6">
        <v>9.2200000000000006</v>
      </c>
      <c r="C13" s="6">
        <v>4.08</v>
      </c>
      <c r="D13" s="6">
        <v>13.97</v>
      </c>
      <c r="E13" s="6">
        <v>9.85</v>
      </c>
      <c r="F13" s="6">
        <v>10.09</v>
      </c>
      <c r="G13" s="6">
        <v>49.84</v>
      </c>
      <c r="H13" s="6">
        <v>18.25</v>
      </c>
      <c r="I13" s="6">
        <v>6.42</v>
      </c>
      <c r="J13" s="6">
        <v>0.86</v>
      </c>
      <c r="K13" s="6">
        <v>265.99</v>
      </c>
      <c r="L13" s="6">
        <v>31.16</v>
      </c>
      <c r="M13" s="6">
        <v>56.37</v>
      </c>
      <c r="N13" s="6">
        <v>2</v>
      </c>
      <c r="O13" s="6">
        <v>0</v>
      </c>
      <c r="P13" s="6">
        <v>0.55000000000000004</v>
      </c>
      <c r="Q13" s="6">
        <v>3.97</v>
      </c>
    </row>
    <row r="14" spans="1:21" customFormat="1">
      <c r="A14" s="82">
        <v>45460.0625</v>
      </c>
      <c r="B14" s="6">
        <v>9.2200000000000006</v>
      </c>
      <c r="C14" s="6">
        <v>4.09</v>
      </c>
      <c r="D14" s="6">
        <v>13.98</v>
      </c>
      <c r="E14" s="6">
        <v>9.9700000000000006</v>
      </c>
      <c r="F14" s="6">
        <v>11.19</v>
      </c>
      <c r="G14" s="6">
        <v>49.84</v>
      </c>
      <c r="H14" s="6">
        <v>18.25</v>
      </c>
      <c r="I14" s="6">
        <v>6.09</v>
      </c>
      <c r="J14" s="6">
        <v>0.94</v>
      </c>
      <c r="K14" s="6">
        <v>266.89999999999998</v>
      </c>
      <c r="L14" s="6">
        <v>30.9</v>
      </c>
      <c r="M14" s="6">
        <v>57.44</v>
      </c>
      <c r="N14" s="6">
        <v>2</v>
      </c>
      <c r="O14" s="6">
        <v>0</v>
      </c>
      <c r="P14" s="6">
        <v>0.53</v>
      </c>
      <c r="Q14" s="6">
        <v>3.96</v>
      </c>
    </row>
    <row r="15" spans="1:21" customFormat="1">
      <c r="A15" s="82">
        <v>45460.072916666664</v>
      </c>
      <c r="B15" s="6">
        <v>9.2200000000000006</v>
      </c>
      <c r="C15" s="6">
        <v>4.08</v>
      </c>
      <c r="D15" s="6">
        <v>13.97</v>
      </c>
      <c r="E15" s="6">
        <v>9.69</v>
      </c>
      <c r="F15" s="6">
        <v>13.31</v>
      </c>
      <c r="G15" s="6">
        <v>49.84</v>
      </c>
      <c r="H15" s="6">
        <v>18.25</v>
      </c>
      <c r="I15" s="6">
        <v>6.01</v>
      </c>
      <c r="J15" s="6">
        <v>0.94</v>
      </c>
      <c r="K15" s="6">
        <v>262.62</v>
      </c>
      <c r="L15" s="6">
        <v>30.66</v>
      </c>
      <c r="M15" s="6">
        <v>58.38</v>
      </c>
      <c r="N15" s="6">
        <v>1.9</v>
      </c>
      <c r="O15" s="6">
        <v>0</v>
      </c>
      <c r="P15" s="6">
        <v>0.49</v>
      </c>
      <c r="Q15" s="6">
        <v>3.95</v>
      </c>
    </row>
    <row r="16" spans="1:21" customFormat="1">
      <c r="A16" s="82">
        <v>45460.083333333336</v>
      </c>
      <c r="B16" s="6">
        <v>9.2200000000000006</v>
      </c>
      <c r="C16" s="6">
        <v>4.0999999999999996</v>
      </c>
      <c r="D16" s="6">
        <v>13.98</v>
      </c>
      <c r="E16" s="6">
        <v>8.91</v>
      </c>
      <c r="F16" s="6">
        <v>17.12</v>
      </c>
      <c r="G16" s="6">
        <v>39.46</v>
      </c>
      <c r="H16" s="6">
        <v>16.59</v>
      </c>
      <c r="I16" s="6">
        <v>5.7</v>
      </c>
      <c r="J16" s="6">
        <v>0.82</v>
      </c>
      <c r="K16" s="6">
        <v>257.88</v>
      </c>
      <c r="L16" s="6">
        <v>30.63</v>
      </c>
      <c r="M16" s="6">
        <v>58.6</v>
      </c>
      <c r="N16" s="6">
        <v>1.7</v>
      </c>
      <c r="O16" s="6">
        <v>0</v>
      </c>
      <c r="P16" s="6">
        <v>0.47</v>
      </c>
      <c r="Q16" s="6">
        <v>3.94</v>
      </c>
    </row>
    <row r="17" spans="1:17" customFormat="1">
      <c r="A17" s="82">
        <v>45460.09375</v>
      </c>
      <c r="B17" s="6">
        <v>9.2200000000000006</v>
      </c>
      <c r="C17" s="6">
        <v>4.09</v>
      </c>
      <c r="D17" s="6">
        <v>13.98</v>
      </c>
      <c r="E17" s="6">
        <v>8.5399999999999991</v>
      </c>
      <c r="F17" s="6">
        <v>17.46</v>
      </c>
      <c r="G17" s="6">
        <v>29.54</v>
      </c>
      <c r="H17" s="6">
        <v>14.94</v>
      </c>
      <c r="I17" s="6">
        <v>5.45</v>
      </c>
      <c r="J17" s="6">
        <v>0.95</v>
      </c>
      <c r="K17" s="6">
        <v>261.92</v>
      </c>
      <c r="L17" s="6">
        <v>30.51</v>
      </c>
      <c r="M17" s="6">
        <v>59.03</v>
      </c>
      <c r="N17" s="6">
        <v>1.7</v>
      </c>
      <c r="O17" s="6">
        <v>0</v>
      </c>
      <c r="P17" s="6">
        <v>0.43</v>
      </c>
      <c r="Q17" s="6">
        <v>3.97</v>
      </c>
    </row>
    <row r="18" spans="1:17" customFormat="1">
      <c r="A18" s="82">
        <v>45460.104166666664</v>
      </c>
      <c r="B18" s="6">
        <v>9.24</v>
      </c>
      <c r="C18" s="6">
        <v>4.07</v>
      </c>
      <c r="D18" s="6">
        <v>13.98</v>
      </c>
      <c r="E18" s="6">
        <v>9.73</v>
      </c>
      <c r="F18" s="6">
        <v>17.97</v>
      </c>
      <c r="G18" s="6">
        <v>29.54</v>
      </c>
      <c r="H18" s="6">
        <v>14.94</v>
      </c>
      <c r="I18" s="6">
        <v>5.0599999999999996</v>
      </c>
      <c r="J18" s="6">
        <v>0.89</v>
      </c>
      <c r="K18" s="6">
        <v>270.33</v>
      </c>
      <c r="L18" s="6">
        <v>30.5</v>
      </c>
      <c r="M18" s="6">
        <v>59.04</v>
      </c>
      <c r="N18" s="6">
        <v>1.7</v>
      </c>
      <c r="O18" s="6">
        <v>0</v>
      </c>
      <c r="P18" s="6">
        <v>0.42</v>
      </c>
      <c r="Q18" s="6">
        <v>3.97</v>
      </c>
    </row>
    <row r="19" spans="1:17" customFormat="1">
      <c r="A19" s="82">
        <v>45460.114583333336</v>
      </c>
      <c r="B19" s="6">
        <v>9.23</v>
      </c>
      <c r="C19" s="6">
        <v>4.0599999999999996</v>
      </c>
      <c r="D19" s="6">
        <v>13.98</v>
      </c>
      <c r="E19" s="6">
        <v>8.81</v>
      </c>
      <c r="F19" s="6">
        <v>19.77</v>
      </c>
      <c r="G19" s="6">
        <v>29.54</v>
      </c>
      <c r="H19" s="6">
        <v>14.94</v>
      </c>
      <c r="I19" s="6">
        <v>5.0599999999999996</v>
      </c>
      <c r="J19" s="6">
        <v>0.98</v>
      </c>
      <c r="K19" s="6">
        <v>262.35000000000002</v>
      </c>
      <c r="L19" s="6">
        <v>30.46</v>
      </c>
      <c r="M19" s="6">
        <v>59.17</v>
      </c>
      <c r="N19" s="6">
        <v>1.7</v>
      </c>
      <c r="O19" s="6">
        <v>0</v>
      </c>
      <c r="P19" s="6">
        <v>0.38</v>
      </c>
      <c r="Q19" s="6">
        <v>3.95</v>
      </c>
    </row>
    <row r="20" spans="1:17" customFormat="1">
      <c r="A20" s="82">
        <v>45460.125</v>
      </c>
      <c r="B20" s="6">
        <v>9.2100000000000009</v>
      </c>
      <c r="C20" s="6">
        <v>4.09</v>
      </c>
      <c r="D20" s="6">
        <v>13.97</v>
      </c>
      <c r="E20" s="6">
        <v>9.09</v>
      </c>
      <c r="F20" s="6">
        <v>24.02</v>
      </c>
      <c r="G20" s="6">
        <v>24.18</v>
      </c>
      <c r="H20" s="6">
        <v>11.65</v>
      </c>
      <c r="I20" s="6">
        <v>4.84</v>
      </c>
      <c r="J20" s="6">
        <v>0.88</v>
      </c>
      <c r="K20" s="6">
        <v>269.67</v>
      </c>
      <c r="L20" s="6">
        <v>30.5</v>
      </c>
      <c r="M20" s="6">
        <v>59.07</v>
      </c>
      <c r="N20" s="6">
        <v>1.8</v>
      </c>
      <c r="O20" s="6">
        <v>0</v>
      </c>
      <c r="P20" s="6">
        <v>0.35</v>
      </c>
      <c r="Q20" s="6">
        <v>3.96</v>
      </c>
    </row>
    <row r="21" spans="1:17" customFormat="1">
      <c r="A21" s="82">
        <v>45460.135416666664</v>
      </c>
      <c r="B21" s="6">
        <v>9.23</v>
      </c>
      <c r="C21" s="6">
        <v>4.0599999999999996</v>
      </c>
      <c r="D21" s="6">
        <v>13.97</v>
      </c>
      <c r="E21" s="6">
        <v>8.7100000000000009</v>
      </c>
      <c r="F21" s="6">
        <v>25.01</v>
      </c>
      <c r="G21" s="6">
        <v>19.05</v>
      </c>
      <c r="H21" s="6">
        <v>10.119999999999999</v>
      </c>
      <c r="I21" s="6">
        <v>4.62</v>
      </c>
      <c r="J21" s="6">
        <v>0.75</v>
      </c>
      <c r="K21" s="6">
        <v>264.69</v>
      </c>
      <c r="L21" s="6">
        <v>30.46</v>
      </c>
      <c r="M21" s="6">
        <v>58.88</v>
      </c>
      <c r="N21" s="6">
        <v>1.9</v>
      </c>
      <c r="O21" s="6">
        <v>0</v>
      </c>
      <c r="P21" s="6">
        <v>0.33</v>
      </c>
      <c r="Q21" s="6">
        <v>3.99</v>
      </c>
    </row>
    <row r="22" spans="1:17" customFormat="1">
      <c r="A22" s="82">
        <v>45460.145833333336</v>
      </c>
      <c r="B22" s="6">
        <v>9.2799999999999994</v>
      </c>
      <c r="C22" s="6">
        <v>4.04</v>
      </c>
      <c r="D22" s="6">
        <v>14</v>
      </c>
      <c r="E22" s="6">
        <v>8.6999999999999993</v>
      </c>
      <c r="F22" s="6">
        <v>30.87</v>
      </c>
      <c r="G22" s="6">
        <v>19.05</v>
      </c>
      <c r="H22" s="6">
        <v>10.119999999999999</v>
      </c>
      <c r="I22" s="6">
        <v>4.1900000000000004</v>
      </c>
      <c r="J22" s="6">
        <v>0.7</v>
      </c>
      <c r="K22" s="6">
        <v>264.87</v>
      </c>
      <c r="L22" s="6">
        <v>30.46</v>
      </c>
      <c r="M22" s="6">
        <v>58.77</v>
      </c>
      <c r="N22" s="6">
        <v>1.9</v>
      </c>
      <c r="O22" s="6">
        <v>0</v>
      </c>
      <c r="P22" s="6">
        <v>0.3</v>
      </c>
      <c r="Q22" s="6">
        <v>3.97</v>
      </c>
    </row>
    <row r="23" spans="1:17" customFormat="1">
      <c r="A23" s="82">
        <v>45460.15625</v>
      </c>
      <c r="B23" s="6">
        <v>9.26</v>
      </c>
      <c r="C23" s="6">
        <v>4.08</v>
      </c>
      <c r="D23" s="6">
        <v>14.01</v>
      </c>
      <c r="E23" s="6">
        <v>8.4700000000000006</v>
      </c>
      <c r="F23" s="6">
        <v>32.270000000000003</v>
      </c>
      <c r="G23" s="6">
        <v>19.05</v>
      </c>
      <c r="H23" s="6">
        <v>10.119999999999999</v>
      </c>
      <c r="I23" s="6">
        <v>4.04</v>
      </c>
      <c r="J23" s="6">
        <v>0.63</v>
      </c>
      <c r="K23" s="6">
        <v>259.14999999999998</v>
      </c>
      <c r="L23" s="6">
        <v>30.46</v>
      </c>
      <c r="M23" s="6">
        <v>58.15</v>
      </c>
      <c r="N23" s="6">
        <v>1.9</v>
      </c>
      <c r="O23" s="6">
        <v>0</v>
      </c>
      <c r="P23" s="6">
        <v>0.27</v>
      </c>
      <c r="Q23" s="6">
        <v>3.97</v>
      </c>
    </row>
    <row r="24" spans="1:17" customFormat="1">
      <c r="A24" s="82">
        <v>45460.166666666664</v>
      </c>
      <c r="B24" s="6">
        <v>9.26</v>
      </c>
      <c r="C24" s="6">
        <v>4.05</v>
      </c>
      <c r="D24" s="6">
        <v>13.99</v>
      </c>
      <c r="E24" s="6">
        <v>8.84</v>
      </c>
      <c r="F24" s="6">
        <v>29.2</v>
      </c>
      <c r="G24" s="6">
        <v>17.809999999999999</v>
      </c>
      <c r="H24" s="6">
        <v>10.14</v>
      </c>
      <c r="I24" s="6">
        <v>3.65</v>
      </c>
      <c r="J24" s="6">
        <v>0.84</v>
      </c>
      <c r="K24" s="6">
        <v>265.23</v>
      </c>
      <c r="L24" s="6">
        <v>30.48</v>
      </c>
      <c r="M24" s="6">
        <v>57.38</v>
      </c>
      <c r="N24" s="6">
        <v>1.8</v>
      </c>
      <c r="O24" s="6">
        <v>0</v>
      </c>
      <c r="P24" s="6">
        <v>0.27</v>
      </c>
      <c r="Q24" s="6">
        <v>3.97</v>
      </c>
    </row>
    <row r="25" spans="1:17" customFormat="1">
      <c r="A25" s="82">
        <v>45460.177083333336</v>
      </c>
      <c r="B25" s="6">
        <v>9.24</v>
      </c>
      <c r="C25" s="6">
        <v>4.07</v>
      </c>
      <c r="D25" s="6">
        <v>13.98</v>
      </c>
      <c r="E25" s="6">
        <v>10.51</v>
      </c>
      <c r="F25" s="6">
        <v>24.1</v>
      </c>
      <c r="G25" s="6">
        <v>16.62</v>
      </c>
      <c r="H25" s="6">
        <v>10.14</v>
      </c>
      <c r="I25" s="6">
        <v>3.51</v>
      </c>
      <c r="J25" s="6">
        <v>0.9</v>
      </c>
      <c r="K25" s="6">
        <v>266.26</v>
      </c>
      <c r="L25" s="6">
        <v>30.43</v>
      </c>
      <c r="M25" s="6">
        <v>56.72</v>
      </c>
      <c r="N25" s="6">
        <v>1.9</v>
      </c>
      <c r="O25" s="6">
        <v>0</v>
      </c>
      <c r="P25" s="6">
        <v>0.27</v>
      </c>
      <c r="Q25" s="6">
        <v>3.97</v>
      </c>
    </row>
    <row r="26" spans="1:17" customFormat="1">
      <c r="A26" s="82">
        <v>45460.1875</v>
      </c>
      <c r="B26" s="6">
        <v>9.25</v>
      </c>
      <c r="C26" s="6">
        <v>4.08</v>
      </c>
      <c r="D26" s="6">
        <v>14</v>
      </c>
      <c r="E26" s="6">
        <v>11.42</v>
      </c>
      <c r="F26" s="6">
        <v>29.95</v>
      </c>
      <c r="G26" s="6">
        <v>16.62</v>
      </c>
      <c r="H26" s="6">
        <v>10.14</v>
      </c>
      <c r="I26" s="6">
        <v>3.48</v>
      </c>
      <c r="J26" s="6">
        <v>0.76</v>
      </c>
      <c r="K26" s="6">
        <v>272.83</v>
      </c>
      <c r="L26" s="6">
        <v>30.31</v>
      </c>
      <c r="M26" s="6">
        <v>57.22</v>
      </c>
      <c r="N26" s="6">
        <v>1.9</v>
      </c>
      <c r="O26" s="6">
        <v>0</v>
      </c>
      <c r="P26" s="6">
        <v>0.25</v>
      </c>
      <c r="Q26" s="6">
        <v>4</v>
      </c>
    </row>
    <row r="27" spans="1:17" customFormat="1">
      <c r="A27" s="82">
        <v>45460.197916666664</v>
      </c>
      <c r="B27" s="6">
        <v>9.24</v>
      </c>
      <c r="C27" s="6">
        <v>4.07</v>
      </c>
      <c r="D27" s="6">
        <v>13.99</v>
      </c>
      <c r="E27" s="6">
        <v>12.43</v>
      </c>
      <c r="F27" s="6">
        <v>24.28</v>
      </c>
      <c r="G27" s="6">
        <v>16.62</v>
      </c>
      <c r="H27" s="6">
        <v>10.14</v>
      </c>
      <c r="I27" s="6">
        <v>3.74</v>
      </c>
      <c r="J27" s="6">
        <v>0.85</v>
      </c>
      <c r="K27" s="6">
        <v>266.41000000000003</v>
      </c>
      <c r="L27" s="6">
        <v>30.18</v>
      </c>
      <c r="M27" s="6">
        <v>57.66</v>
      </c>
      <c r="N27" s="6">
        <v>1.9</v>
      </c>
      <c r="O27" s="6">
        <v>0</v>
      </c>
      <c r="P27" s="6">
        <v>0.26</v>
      </c>
      <c r="Q27" s="6">
        <v>3.97</v>
      </c>
    </row>
    <row r="28" spans="1:17" customFormat="1">
      <c r="A28" s="82">
        <v>45460.208333333336</v>
      </c>
      <c r="B28" s="6">
        <v>9.24</v>
      </c>
      <c r="C28" s="6">
        <v>4.07</v>
      </c>
      <c r="D28" s="6">
        <v>13.98</v>
      </c>
      <c r="E28" s="6">
        <v>11.02</v>
      </c>
      <c r="F28" s="6">
        <v>24.16</v>
      </c>
      <c r="G28" s="6">
        <v>13.45</v>
      </c>
      <c r="H28" s="6">
        <v>9.1</v>
      </c>
      <c r="I28" s="6">
        <v>3.45</v>
      </c>
      <c r="J28" s="6">
        <v>0.83</v>
      </c>
      <c r="K28" s="6">
        <v>262.27999999999997</v>
      </c>
      <c r="L28" s="6">
        <v>30.05</v>
      </c>
      <c r="M28" s="6">
        <v>58.17</v>
      </c>
      <c r="N28" s="6">
        <v>2.1</v>
      </c>
      <c r="O28" s="6">
        <v>0</v>
      </c>
      <c r="P28" s="6">
        <v>0.27</v>
      </c>
      <c r="Q28" s="6">
        <v>3.97</v>
      </c>
    </row>
    <row r="29" spans="1:17" customFormat="1">
      <c r="A29" s="82">
        <v>45460.21875</v>
      </c>
      <c r="B29" s="6">
        <v>9.2200000000000006</v>
      </c>
      <c r="C29" s="6">
        <v>4.0599999999999996</v>
      </c>
      <c r="D29" s="6">
        <v>13.96</v>
      </c>
      <c r="E29" s="6">
        <v>10.77</v>
      </c>
      <c r="F29" s="6">
        <v>25.21</v>
      </c>
      <c r="G29" s="6">
        <v>10.42</v>
      </c>
      <c r="H29" s="6">
        <v>8.6</v>
      </c>
      <c r="I29" s="6">
        <v>3.56</v>
      </c>
      <c r="J29" s="6">
        <v>0.72</v>
      </c>
      <c r="K29" s="6">
        <v>267.43</v>
      </c>
      <c r="L29" s="6">
        <v>29.92</v>
      </c>
      <c r="M29" s="6">
        <v>58.79</v>
      </c>
      <c r="N29" s="6">
        <v>3.4</v>
      </c>
      <c r="O29" s="6">
        <v>0</v>
      </c>
      <c r="P29" s="6">
        <v>0.26</v>
      </c>
      <c r="Q29" s="6">
        <v>3.96</v>
      </c>
    </row>
    <row r="30" spans="1:17" customFormat="1">
      <c r="A30" s="82">
        <v>45460.229166666664</v>
      </c>
      <c r="B30" s="6">
        <v>9.2200000000000006</v>
      </c>
      <c r="C30" s="6">
        <v>4.08</v>
      </c>
      <c r="D30" s="6">
        <v>13.97</v>
      </c>
      <c r="E30" s="6">
        <v>9.82</v>
      </c>
      <c r="F30" s="6">
        <v>16.3</v>
      </c>
      <c r="G30" s="6">
        <v>10.42</v>
      </c>
      <c r="H30" s="6">
        <v>8.6</v>
      </c>
      <c r="I30" s="6">
        <v>3.55</v>
      </c>
      <c r="J30" s="6">
        <v>0.99</v>
      </c>
      <c r="K30" s="6">
        <v>264.42</v>
      </c>
      <c r="L30" s="6">
        <v>29.81</v>
      </c>
      <c r="M30" s="6">
        <v>58.59</v>
      </c>
      <c r="N30" s="6">
        <v>8.1</v>
      </c>
      <c r="O30" s="6">
        <v>0</v>
      </c>
      <c r="P30" s="6">
        <v>0.28000000000000003</v>
      </c>
      <c r="Q30" s="6">
        <v>3.97</v>
      </c>
    </row>
    <row r="31" spans="1:17" customFormat="1">
      <c r="A31" s="82">
        <v>45460.239583333336</v>
      </c>
      <c r="B31" s="6">
        <v>9.2100000000000009</v>
      </c>
      <c r="C31" s="6">
        <v>4.09</v>
      </c>
      <c r="D31" s="6">
        <v>13.97</v>
      </c>
      <c r="E31" s="6">
        <v>9.17</v>
      </c>
      <c r="F31" s="6">
        <v>17.64</v>
      </c>
      <c r="G31" s="6">
        <v>10.42</v>
      </c>
      <c r="H31" s="6">
        <v>8.6</v>
      </c>
      <c r="I31" s="6">
        <v>3.51</v>
      </c>
      <c r="J31" s="6">
        <v>0.94</v>
      </c>
      <c r="K31" s="6">
        <v>262.97000000000003</v>
      </c>
      <c r="L31" s="6">
        <v>29.82</v>
      </c>
      <c r="M31" s="6">
        <v>58.36</v>
      </c>
      <c r="N31" s="6">
        <v>15.1</v>
      </c>
      <c r="O31" s="6">
        <v>0</v>
      </c>
      <c r="P31" s="6">
        <v>0.28000000000000003</v>
      </c>
      <c r="Q31" s="6">
        <v>3.96</v>
      </c>
    </row>
    <row r="32" spans="1:17" customFormat="1">
      <c r="A32" s="82">
        <v>45460.25</v>
      </c>
      <c r="B32" s="6">
        <v>9.2200000000000006</v>
      </c>
      <c r="C32" s="6">
        <v>4.08</v>
      </c>
      <c r="D32" s="6">
        <v>13.97</v>
      </c>
      <c r="E32" s="6">
        <v>9.01</v>
      </c>
      <c r="F32" s="6">
        <v>21.58</v>
      </c>
      <c r="G32" s="6">
        <v>12.67</v>
      </c>
      <c r="H32" s="6">
        <v>8.0399999999999991</v>
      </c>
      <c r="I32" s="6">
        <v>3.93</v>
      </c>
      <c r="J32" s="6">
        <v>0.78</v>
      </c>
      <c r="K32" s="6">
        <v>265.85000000000002</v>
      </c>
      <c r="L32" s="6">
        <v>29.81</v>
      </c>
      <c r="M32" s="6">
        <v>58.85</v>
      </c>
      <c r="N32" s="6">
        <v>19.600000000000001</v>
      </c>
      <c r="O32" s="6">
        <v>0</v>
      </c>
      <c r="P32" s="6">
        <v>0.27</v>
      </c>
      <c r="Q32" s="6">
        <v>3.98</v>
      </c>
    </row>
    <row r="33" spans="1:17" customFormat="1">
      <c r="A33" s="82">
        <v>45460.260416666664</v>
      </c>
      <c r="B33" s="6">
        <v>9.23</v>
      </c>
      <c r="C33" s="6">
        <v>4.07</v>
      </c>
      <c r="D33" s="6">
        <v>13.98</v>
      </c>
      <c r="E33" s="6">
        <v>9.07</v>
      </c>
      <c r="F33" s="6">
        <v>9.39</v>
      </c>
      <c r="G33" s="6">
        <v>14.92</v>
      </c>
      <c r="H33" s="6">
        <v>7.78</v>
      </c>
      <c r="I33" s="6">
        <v>4.04</v>
      </c>
      <c r="J33" s="6">
        <v>0.65</v>
      </c>
      <c r="K33" s="6">
        <v>259.56</v>
      </c>
      <c r="L33" s="6">
        <v>29.83</v>
      </c>
      <c r="M33" s="6">
        <v>59.45</v>
      </c>
      <c r="N33" s="6">
        <v>21.9</v>
      </c>
      <c r="O33" s="6">
        <v>0</v>
      </c>
      <c r="P33" s="6">
        <v>0.3</v>
      </c>
      <c r="Q33" s="6">
        <v>3.96</v>
      </c>
    </row>
    <row r="34" spans="1:17" customFormat="1">
      <c r="A34" s="82">
        <v>45460.270833333336</v>
      </c>
      <c r="B34" s="6">
        <v>9.2200000000000006</v>
      </c>
      <c r="C34" s="6">
        <v>4.07</v>
      </c>
      <c r="D34" s="6">
        <v>13.97</v>
      </c>
      <c r="E34" s="6">
        <v>8.7899999999999991</v>
      </c>
      <c r="F34" s="6">
        <v>11.42</v>
      </c>
      <c r="G34" s="6">
        <v>14.92</v>
      </c>
      <c r="H34" s="6">
        <v>7.78</v>
      </c>
      <c r="I34" s="6">
        <v>4.32</v>
      </c>
      <c r="J34" s="6">
        <v>0.82</v>
      </c>
      <c r="K34" s="6">
        <v>265.51</v>
      </c>
      <c r="L34" s="6">
        <v>29.73</v>
      </c>
      <c r="M34" s="6">
        <v>60.82</v>
      </c>
      <c r="N34" s="6">
        <v>23.1</v>
      </c>
      <c r="O34" s="6">
        <v>0</v>
      </c>
      <c r="P34" s="6">
        <v>0.33</v>
      </c>
      <c r="Q34" s="6">
        <v>3.96</v>
      </c>
    </row>
    <row r="35" spans="1:17" customFormat="1">
      <c r="A35" s="82">
        <v>45460.28125</v>
      </c>
      <c r="B35" s="6">
        <v>9.2200000000000006</v>
      </c>
      <c r="C35" s="6">
        <v>4.05</v>
      </c>
      <c r="D35" s="6">
        <v>13.96</v>
      </c>
      <c r="E35" s="6">
        <v>8.89</v>
      </c>
      <c r="F35" s="6">
        <v>9.8699999999999992</v>
      </c>
      <c r="G35" s="6">
        <v>14.92</v>
      </c>
      <c r="H35" s="6">
        <v>7.78</v>
      </c>
      <c r="I35" s="6">
        <v>4.55</v>
      </c>
      <c r="J35" s="6">
        <v>1.02</v>
      </c>
      <c r="K35" s="6">
        <v>263.33</v>
      </c>
      <c r="L35" s="6">
        <v>29.7</v>
      </c>
      <c r="M35" s="6">
        <v>61.43</v>
      </c>
      <c r="N35" s="6">
        <v>31.2</v>
      </c>
      <c r="O35" s="6">
        <v>0</v>
      </c>
      <c r="P35" s="6">
        <v>0.34</v>
      </c>
      <c r="Q35" s="6">
        <v>3.95</v>
      </c>
    </row>
    <row r="36" spans="1:17" customFormat="1">
      <c r="A36" s="82">
        <v>45460.291666666664</v>
      </c>
      <c r="B36" s="6">
        <v>9.2100000000000009</v>
      </c>
      <c r="C36" s="6">
        <v>4.08</v>
      </c>
      <c r="D36" s="6">
        <v>13.97</v>
      </c>
      <c r="E36" s="6">
        <v>8.7799999999999994</v>
      </c>
      <c r="F36" s="6">
        <v>10.8</v>
      </c>
      <c r="G36" s="6">
        <v>16.600000000000001</v>
      </c>
      <c r="H36" s="6">
        <v>10.039999999999999</v>
      </c>
      <c r="I36" s="6">
        <v>4.28</v>
      </c>
      <c r="J36" s="6">
        <v>0.87</v>
      </c>
      <c r="K36" s="6">
        <v>265.89999999999998</v>
      </c>
      <c r="L36" s="6">
        <v>29.79</v>
      </c>
      <c r="M36" s="6">
        <v>61.72</v>
      </c>
      <c r="N36" s="6">
        <v>62.5</v>
      </c>
      <c r="O36" s="6">
        <v>0</v>
      </c>
      <c r="P36" s="6">
        <v>0.34</v>
      </c>
      <c r="Q36" s="6">
        <v>3.95</v>
      </c>
    </row>
    <row r="37" spans="1:17" customFormat="1">
      <c r="A37" s="82">
        <v>45460.302083333336</v>
      </c>
      <c r="B37" s="6">
        <v>9.23</v>
      </c>
      <c r="C37" s="6">
        <v>4.05</v>
      </c>
      <c r="D37" s="6">
        <v>13.97</v>
      </c>
      <c r="E37" s="6">
        <v>9.65</v>
      </c>
      <c r="F37" s="6">
        <v>9.75</v>
      </c>
      <c r="G37" s="6">
        <v>18.2</v>
      </c>
      <c r="H37" s="6">
        <v>11.09</v>
      </c>
      <c r="I37" s="6">
        <v>4.25</v>
      </c>
      <c r="J37" s="6">
        <v>0.98</v>
      </c>
      <c r="K37" s="6">
        <v>257.83</v>
      </c>
      <c r="L37" s="6">
        <v>30.05</v>
      </c>
      <c r="M37" s="6">
        <v>61.33</v>
      </c>
      <c r="N37" s="6">
        <v>83.1</v>
      </c>
      <c r="O37" s="6">
        <v>0</v>
      </c>
      <c r="P37" s="6">
        <v>0.34</v>
      </c>
      <c r="Q37" s="6">
        <v>3.95</v>
      </c>
    </row>
    <row r="38" spans="1:17" customFormat="1">
      <c r="A38" s="82">
        <v>45460.3125</v>
      </c>
      <c r="B38" s="6">
        <v>9.2100000000000009</v>
      </c>
      <c r="C38" s="6">
        <v>4.05</v>
      </c>
      <c r="D38" s="6">
        <v>13.95</v>
      </c>
      <c r="E38" s="6">
        <v>9.77</v>
      </c>
      <c r="F38" s="6">
        <v>8.83</v>
      </c>
      <c r="G38" s="6">
        <v>18.2</v>
      </c>
      <c r="H38" s="6">
        <v>11.09</v>
      </c>
      <c r="I38" s="6">
        <v>4.1100000000000003</v>
      </c>
      <c r="J38" s="6">
        <v>0.93</v>
      </c>
      <c r="K38" s="6">
        <v>265.93</v>
      </c>
      <c r="L38" s="6">
        <v>30.16</v>
      </c>
      <c r="M38" s="6">
        <v>61.27</v>
      </c>
      <c r="N38" s="6">
        <v>84.8</v>
      </c>
      <c r="O38" s="6">
        <v>0</v>
      </c>
      <c r="P38" s="6">
        <v>0.34</v>
      </c>
      <c r="Q38" s="6">
        <v>3.95</v>
      </c>
    </row>
    <row r="39" spans="1:17" customFormat="1">
      <c r="A39" s="82">
        <v>45460.322916666664</v>
      </c>
      <c r="B39" s="6">
        <v>9.18</v>
      </c>
      <c r="C39" s="6">
        <v>4.0599999999999996</v>
      </c>
      <c r="D39" s="6">
        <v>13.93</v>
      </c>
      <c r="E39" s="6">
        <v>9.91</v>
      </c>
      <c r="F39" s="6">
        <v>9.99</v>
      </c>
      <c r="G39" s="6">
        <v>18.2</v>
      </c>
      <c r="H39" s="6">
        <v>11.09</v>
      </c>
      <c r="I39" s="6">
        <v>4.21</v>
      </c>
      <c r="J39" s="6">
        <v>0.78</v>
      </c>
      <c r="K39" s="6">
        <v>260.75</v>
      </c>
      <c r="L39" s="6">
        <v>30.46</v>
      </c>
      <c r="M39" s="6">
        <v>60.97</v>
      </c>
      <c r="N39" s="6">
        <v>99.9</v>
      </c>
      <c r="O39" s="6">
        <v>0</v>
      </c>
      <c r="P39" s="6">
        <v>0.33</v>
      </c>
      <c r="Q39" s="6">
        <v>3.96</v>
      </c>
    </row>
    <row r="40" spans="1:17" customFormat="1">
      <c r="A40" s="82">
        <v>45460.333333333336</v>
      </c>
      <c r="B40" s="6">
        <v>9.17</v>
      </c>
      <c r="C40" s="6">
        <v>4.08</v>
      </c>
      <c r="D40" s="6">
        <v>13.94</v>
      </c>
      <c r="E40" s="6">
        <v>10.34</v>
      </c>
      <c r="F40" s="6">
        <v>10.78</v>
      </c>
      <c r="G40" s="6">
        <v>20.170000000000002</v>
      </c>
      <c r="H40" s="6">
        <v>11</v>
      </c>
      <c r="I40" s="6">
        <v>4.12</v>
      </c>
      <c r="J40" s="6">
        <v>1.25</v>
      </c>
      <c r="K40" s="6">
        <v>259.86</v>
      </c>
      <c r="L40" s="6">
        <v>30.54</v>
      </c>
      <c r="M40" s="6">
        <v>60.51</v>
      </c>
      <c r="N40" s="6">
        <v>108.6</v>
      </c>
      <c r="O40" s="6">
        <v>0</v>
      </c>
      <c r="P40" s="6">
        <v>0.34</v>
      </c>
      <c r="Q40" s="6">
        <v>3.95</v>
      </c>
    </row>
    <row r="41" spans="1:17" customFormat="1">
      <c r="A41" s="82">
        <v>45460.34375</v>
      </c>
      <c r="B41" s="6">
        <v>9.18</v>
      </c>
      <c r="C41" s="6">
        <v>4.07</v>
      </c>
      <c r="D41" s="6">
        <v>13.94</v>
      </c>
      <c r="E41" s="6">
        <v>10.62</v>
      </c>
      <c r="F41" s="6">
        <v>8.4499999999999993</v>
      </c>
      <c r="G41" s="6">
        <v>22.05</v>
      </c>
      <c r="H41" s="6">
        <v>10.91</v>
      </c>
      <c r="I41" s="6">
        <v>4.0599999999999996</v>
      </c>
      <c r="J41" s="6">
        <v>1.23</v>
      </c>
      <c r="K41" s="6">
        <v>268.05</v>
      </c>
      <c r="L41" s="6">
        <v>30.82</v>
      </c>
      <c r="M41" s="6">
        <v>59.88</v>
      </c>
      <c r="N41" s="6">
        <v>132.30000000000001</v>
      </c>
      <c r="O41" s="6">
        <v>0</v>
      </c>
      <c r="P41" s="6">
        <v>0.34</v>
      </c>
      <c r="Q41" s="6">
        <v>3.94</v>
      </c>
    </row>
    <row r="42" spans="1:17" customFormat="1">
      <c r="A42" s="82">
        <v>45460.354166666664</v>
      </c>
      <c r="B42" s="6">
        <v>9.19</v>
      </c>
      <c r="C42" s="6">
        <v>4.0599999999999996</v>
      </c>
      <c r="D42" s="6">
        <v>13.95</v>
      </c>
      <c r="E42" s="6">
        <v>10.77</v>
      </c>
      <c r="F42" s="6">
        <v>7.86</v>
      </c>
      <c r="G42" s="6">
        <v>22.05</v>
      </c>
      <c r="H42" s="6">
        <v>10.91</v>
      </c>
      <c r="I42" s="6">
        <v>4.01</v>
      </c>
      <c r="J42" s="6">
        <v>1.18</v>
      </c>
      <c r="K42" s="6">
        <v>266.60000000000002</v>
      </c>
      <c r="L42" s="6">
        <v>31.19</v>
      </c>
      <c r="M42" s="6">
        <v>58.94</v>
      </c>
      <c r="N42" s="6">
        <v>130.1</v>
      </c>
      <c r="O42" s="6">
        <v>0</v>
      </c>
      <c r="P42" s="6">
        <v>0.34</v>
      </c>
      <c r="Q42" s="6">
        <v>3.94</v>
      </c>
    </row>
    <row r="43" spans="1:17" customFormat="1">
      <c r="A43" s="82">
        <v>45460.364583333336</v>
      </c>
      <c r="B43" s="6">
        <v>9.19</v>
      </c>
      <c r="C43" s="6">
        <v>4.07</v>
      </c>
      <c r="D43" s="6">
        <v>13.94</v>
      </c>
      <c r="E43" s="6">
        <v>10.94</v>
      </c>
      <c r="F43" s="6">
        <v>9.07</v>
      </c>
      <c r="G43" s="6">
        <v>22.05</v>
      </c>
      <c r="H43" s="6">
        <v>10.91</v>
      </c>
      <c r="I43" s="6">
        <v>4.13</v>
      </c>
      <c r="J43" s="6">
        <v>1.29</v>
      </c>
      <c r="K43" s="6">
        <v>271.3</v>
      </c>
      <c r="L43" s="6">
        <v>31.36</v>
      </c>
      <c r="M43" s="6">
        <v>57.88</v>
      </c>
      <c r="N43" s="6">
        <v>113.3</v>
      </c>
      <c r="O43" s="6">
        <v>0</v>
      </c>
      <c r="P43" s="6">
        <v>0.35</v>
      </c>
      <c r="Q43" s="6">
        <v>3.98</v>
      </c>
    </row>
    <row r="44" spans="1:17" customFormat="1">
      <c r="A44" s="82">
        <v>45460.375</v>
      </c>
      <c r="B44" s="6">
        <v>9.18</v>
      </c>
      <c r="C44" s="6">
        <v>4.09</v>
      </c>
      <c r="D44" s="6">
        <v>13.95</v>
      </c>
      <c r="E44" s="6">
        <v>11.91</v>
      </c>
      <c r="F44" s="6">
        <v>9.02</v>
      </c>
      <c r="G44" s="6">
        <v>22.43</v>
      </c>
      <c r="H44" s="6">
        <v>9.6999999999999993</v>
      </c>
      <c r="I44" s="6">
        <v>4.16</v>
      </c>
      <c r="J44" s="6">
        <v>1.32</v>
      </c>
      <c r="K44" s="6">
        <v>274.41000000000003</v>
      </c>
      <c r="L44" s="6">
        <v>31.58</v>
      </c>
      <c r="M44" s="6">
        <v>56.9</v>
      </c>
      <c r="N44" s="6">
        <v>137.4</v>
      </c>
      <c r="O44" s="6">
        <v>0</v>
      </c>
      <c r="P44" s="6">
        <v>0.37</v>
      </c>
      <c r="Q44" s="6">
        <v>3.95</v>
      </c>
    </row>
    <row r="45" spans="1:17" customFormat="1">
      <c r="A45" s="82">
        <v>45460.385416666664</v>
      </c>
      <c r="B45" s="6">
        <v>9.19</v>
      </c>
      <c r="C45" s="6">
        <v>4.08</v>
      </c>
      <c r="D45" s="6">
        <v>13.95</v>
      </c>
      <c r="E45" s="6">
        <v>12.42</v>
      </c>
      <c r="F45" s="6">
        <v>10.51</v>
      </c>
      <c r="G45" s="6">
        <v>22.79</v>
      </c>
      <c r="H45" s="6">
        <v>9.14</v>
      </c>
      <c r="I45" s="6">
        <v>4.18</v>
      </c>
      <c r="J45" s="6">
        <v>1.02</v>
      </c>
      <c r="K45" s="6">
        <v>269.31</v>
      </c>
      <c r="L45" s="6">
        <v>31.9</v>
      </c>
      <c r="M45" s="6">
        <v>56.67</v>
      </c>
      <c r="N45" s="6">
        <v>130.19999999999999</v>
      </c>
      <c r="O45" s="6">
        <v>0</v>
      </c>
      <c r="P45" s="6">
        <v>0.36</v>
      </c>
      <c r="Q45" s="6">
        <v>3.94</v>
      </c>
    </row>
    <row r="46" spans="1:17" customFormat="1">
      <c r="A46" s="82">
        <v>45460.395833333336</v>
      </c>
      <c r="B46" s="6">
        <v>9.1999999999999993</v>
      </c>
      <c r="C46" s="6">
        <v>4.03</v>
      </c>
      <c r="D46" s="6">
        <v>13.94</v>
      </c>
      <c r="E46" s="6">
        <v>12.11</v>
      </c>
      <c r="F46" s="6">
        <v>9.64</v>
      </c>
      <c r="G46" s="6">
        <v>22.79</v>
      </c>
      <c r="H46" s="6">
        <v>9.14</v>
      </c>
      <c r="I46" s="6">
        <v>4.16</v>
      </c>
      <c r="J46" s="6">
        <v>1.23</v>
      </c>
      <c r="K46" s="6">
        <v>274.48</v>
      </c>
      <c r="L46" s="6">
        <v>32.130000000000003</v>
      </c>
      <c r="M46" s="6">
        <v>55.49</v>
      </c>
      <c r="N46" s="6">
        <v>151.6</v>
      </c>
      <c r="O46" s="6">
        <v>0</v>
      </c>
      <c r="P46" s="6">
        <v>0.37</v>
      </c>
      <c r="Q46" s="6">
        <v>3.94</v>
      </c>
    </row>
    <row r="47" spans="1:17" customFormat="1">
      <c r="A47" s="82">
        <v>45460.40625</v>
      </c>
      <c r="B47" s="6">
        <v>9.19</v>
      </c>
      <c r="C47" s="6">
        <v>4.07</v>
      </c>
      <c r="D47" s="6">
        <v>13.94</v>
      </c>
      <c r="E47" s="6">
        <v>11.91</v>
      </c>
      <c r="F47" s="6">
        <v>8.99</v>
      </c>
      <c r="G47" s="6">
        <v>22.79</v>
      </c>
      <c r="H47" s="6">
        <v>9.14</v>
      </c>
      <c r="I47" s="6">
        <v>4.16</v>
      </c>
      <c r="J47" s="6">
        <v>1.52</v>
      </c>
      <c r="K47" s="6">
        <v>278.79000000000002</v>
      </c>
      <c r="L47" s="6">
        <v>32.380000000000003</v>
      </c>
      <c r="M47" s="6">
        <v>55.04</v>
      </c>
      <c r="N47" s="6">
        <v>179.9</v>
      </c>
      <c r="O47" s="6">
        <v>0</v>
      </c>
      <c r="P47" s="6">
        <v>0.37</v>
      </c>
      <c r="Q47" s="6">
        <v>3.94</v>
      </c>
    </row>
    <row r="48" spans="1:17" customFormat="1">
      <c r="A48" s="82">
        <v>45460.416666666664</v>
      </c>
      <c r="B48" s="6">
        <v>9.18</v>
      </c>
      <c r="C48" s="6">
        <v>4.0599999999999996</v>
      </c>
      <c r="D48" s="6">
        <v>13.94</v>
      </c>
      <c r="E48" s="6">
        <v>11.21</v>
      </c>
      <c r="F48" s="6">
        <v>9.67</v>
      </c>
      <c r="G48" s="6">
        <v>23.87</v>
      </c>
      <c r="H48" s="6">
        <v>9.52</v>
      </c>
      <c r="I48" s="6">
        <v>4.18</v>
      </c>
      <c r="J48" s="6">
        <v>1.06</v>
      </c>
      <c r="K48" s="6">
        <v>271.89</v>
      </c>
      <c r="L48" s="6">
        <v>32.56</v>
      </c>
      <c r="M48" s="6">
        <v>55.2</v>
      </c>
      <c r="N48" s="6">
        <v>179.7</v>
      </c>
      <c r="O48" s="6">
        <v>0</v>
      </c>
      <c r="P48" s="6">
        <v>0.38</v>
      </c>
      <c r="Q48" s="6">
        <v>3.96</v>
      </c>
    </row>
    <row r="49" spans="1:17" customFormat="1">
      <c r="A49" s="82">
        <v>45460.427083333336</v>
      </c>
      <c r="B49" s="6">
        <v>9.18</v>
      </c>
      <c r="C49" s="6">
        <v>4.08</v>
      </c>
      <c r="D49" s="6">
        <v>13.95</v>
      </c>
      <c r="E49" s="6">
        <v>9.3000000000000007</v>
      </c>
      <c r="F49" s="6">
        <v>10.36</v>
      </c>
      <c r="G49" s="6">
        <v>24.9</v>
      </c>
      <c r="H49" s="6">
        <v>9.6999999999999993</v>
      </c>
      <c r="I49" s="6">
        <v>4.2</v>
      </c>
      <c r="J49" s="6">
        <v>0.94</v>
      </c>
      <c r="K49" s="6">
        <v>272.52999999999997</v>
      </c>
      <c r="L49" s="6">
        <v>32.79</v>
      </c>
      <c r="M49" s="6">
        <v>54.76</v>
      </c>
      <c r="N49" s="6">
        <v>167.6</v>
      </c>
      <c r="O49" s="6">
        <v>0</v>
      </c>
      <c r="P49" s="6">
        <v>0.38</v>
      </c>
      <c r="Q49" s="6">
        <v>3.97</v>
      </c>
    </row>
    <row r="50" spans="1:17" customFormat="1">
      <c r="A50" s="82">
        <v>45460.4375</v>
      </c>
      <c r="B50" s="6">
        <v>9.18</v>
      </c>
      <c r="C50" s="6">
        <v>4.09</v>
      </c>
      <c r="D50" s="6">
        <v>13.95</v>
      </c>
      <c r="E50" s="6">
        <v>9.94</v>
      </c>
      <c r="F50" s="6">
        <v>12.11</v>
      </c>
      <c r="G50" s="6">
        <v>24.9</v>
      </c>
      <c r="H50" s="6">
        <v>9.6999999999999993</v>
      </c>
      <c r="I50" s="6">
        <v>4.1900000000000004</v>
      </c>
      <c r="J50" s="6">
        <v>1.02</v>
      </c>
      <c r="K50" s="6">
        <v>267.33</v>
      </c>
      <c r="L50" s="6">
        <v>32.82</v>
      </c>
      <c r="M50" s="6">
        <v>54.88</v>
      </c>
      <c r="N50" s="6">
        <v>170.3</v>
      </c>
      <c r="O50" s="6">
        <v>0</v>
      </c>
      <c r="P50" s="6">
        <v>0.38</v>
      </c>
      <c r="Q50" s="6">
        <v>3.95</v>
      </c>
    </row>
    <row r="51" spans="1:17" customFormat="1">
      <c r="A51" s="82">
        <v>45460.447916666664</v>
      </c>
      <c r="B51" s="6">
        <v>9.18</v>
      </c>
      <c r="C51" s="6">
        <v>4.09</v>
      </c>
      <c r="D51" s="6">
        <v>13.95</v>
      </c>
      <c r="E51" s="6">
        <v>10.18</v>
      </c>
      <c r="F51" s="6">
        <v>12.63</v>
      </c>
      <c r="G51" s="6">
        <v>24.9</v>
      </c>
      <c r="H51" s="6">
        <v>9.6999999999999993</v>
      </c>
      <c r="I51" s="6">
        <v>4.18</v>
      </c>
      <c r="J51" s="6">
        <v>1.06</v>
      </c>
      <c r="K51" s="6">
        <v>285.44</v>
      </c>
      <c r="L51" s="6">
        <v>33.090000000000003</v>
      </c>
      <c r="M51" s="6">
        <v>54.01</v>
      </c>
      <c r="N51" s="6">
        <v>156.69999999999999</v>
      </c>
      <c r="O51" s="6">
        <v>0</v>
      </c>
      <c r="P51" s="6">
        <v>0.38</v>
      </c>
      <c r="Q51" s="6">
        <v>3.97</v>
      </c>
    </row>
    <row r="52" spans="1:17" customFormat="1">
      <c r="A52" s="82">
        <v>45460.458333333336</v>
      </c>
      <c r="B52" s="6">
        <v>9.19</v>
      </c>
      <c r="C52" s="6">
        <v>4.09</v>
      </c>
      <c r="D52" s="6">
        <v>13.96</v>
      </c>
      <c r="E52" s="6">
        <v>11.16</v>
      </c>
      <c r="F52" s="6">
        <v>18.72</v>
      </c>
      <c r="G52" s="6">
        <v>25.85</v>
      </c>
      <c r="H52" s="6">
        <v>10.45</v>
      </c>
      <c r="I52" s="6">
        <v>4.1399999999999997</v>
      </c>
      <c r="J52" s="6">
        <v>0.94</v>
      </c>
      <c r="K52" s="6">
        <v>272.49</v>
      </c>
      <c r="L52" s="6">
        <v>33.090000000000003</v>
      </c>
      <c r="M52" s="6">
        <v>54.05</v>
      </c>
      <c r="N52" s="6">
        <v>139.9</v>
      </c>
      <c r="O52" s="6">
        <v>0</v>
      </c>
      <c r="P52" s="6">
        <v>0.38</v>
      </c>
      <c r="Q52" s="6">
        <v>3.97</v>
      </c>
    </row>
    <row r="53" spans="1:17" customFormat="1">
      <c r="A53" s="82">
        <v>45460.46875</v>
      </c>
      <c r="B53" s="6">
        <v>9.1999999999999993</v>
      </c>
      <c r="C53" s="6">
        <v>4.07</v>
      </c>
      <c r="D53" s="6">
        <v>13.95</v>
      </c>
      <c r="E53" s="6">
        <v>13.12</v>
      </c>
      <c r="F53" s="6">
        <v>23.78</v>
      </c>
      <c r="G53" s="6">
        <v>26.76</v>
      </c>
      <c r="H53" s="6">
        <v>10.79</v>
      </c>
      <c r="I53" s="6">
        <v>4.2</v>
      </c>
      <c r="J53" s="6">
        <v>0.84</v>
      </c>
      <c r="K53" s="6">
        <v>268.27</v>
      </c>
      <c r="L53" s="6">
        <v>33.35</v>
      </c>
      <c r="M53" s="6">
        <v>53.81</v>
      </c>
      <c r="N53" s="6">
        <v>152.80000000000001</v>
      </c>
      <c r="O53" s="6">
        <v>0</v>
      </c>
      <c r="P53" s="6">
        <v>0.38</v>
      </c>
      <c r="Q53" s="6">
        <v>3.95</v>
      </c>
    </row>
    <row r="54" spans="1:17" customFormat="1">
      <c r="A54" s="82">
        <v>45460.479166666664</v>
      </c>
      <c r="B54" s="6">
        <v>9.17</v>
      </c>
      <c r="C54" s="6">
        <v>4.09</v>
      </c>
      <c r="D54" s="6">
        <v>13.94</v>
      </c>
      <c r="E54" s="6">
        <v>13.69</v>
      </c>
      <c r="F54" s="6">
        <v>20.420000000000002</v>
      </c>
      <c r="G54" s="6">
        <v>26.76</v>
      </c>
      <c r="H54" s="6">
        <v>10.79</v>
      </c>
      <c r="I54" s="6">
        <v>4.03</v>
      </c>
      <c r="J54" s="6">
        <v>1.01</v>
      </c>
      <c r="K54" s="6">
        <v>267.87</v>
      </c>
      <c r="L54" s="6">
        <v>33.79</v>
      </c>
      <c r="M54" s="6">
        <v>52.57</v>
      </c>
      <c r="N54" s="6">
        <v>228.3</v>
      </c>
      <c r="O54" s="6">
        <v>0</v>
      </c>
      <c r="P54" s="6">
        <v>0.38</v>
      </c>
      <c r="Q54" s="6">
        <v>3.93</v>
      </c>
    </row>
    <row r="55" spans="1:17" customFormat="1">
      <c r="A55" s="82">
        <v>45460.489583333336</v>
      </c>
      <c r="B55" s="6">
        <v>9.15</v>
      </c>
      <c r="C55" s="6">
        <v>4.09</v>
      </c>
      <c r="D55" s="6">
        <v>13.92</v>
      </c>
      <c r="E55" s="6">
        <v>11.52</v>
      </c>
      <c r="F55" s="6">
        <v>23.78</v>
      </c>
      <c r="G55" s="6">
        <v>26.76</v>
      </c>
      <c r="H55" s="6">
        <v>10.79</v>
      </c>
      <c r="I55" s="6">
        <v>4.0199999999999996</v>
      </c>
      <c r="J55" s="6">
        <v>0.78</v>
      </c>
      <c r="K55" s="6">
        <v>260.22000000000003</v>
      </c>
      <c r="L55" s="6">
        <v>34.51</v>
      </c>
      <c r="M55" s="6">
        <v>51.09</v>
      </c>
      <c r="N55" s="6">
        <v>299.89999999999998</v>
      </c>
      <c r="O55" s="6">
        <v>0</v>
      </c>
      <c r="P55" s="6">
        <v>0.36</v>
      </c>
      <c r="Q55" s="6">
        <v>3.94</v>
      </c>
    </row>
    <row r="56" spans="1:17" customFormat="1">
      <c r="A56" s="82">
        <v>45460.5</v>
      </c>
      <c r="B56" s="6">
        <v>9.16</v>
      </c>
      <c r="C56" s="6">
        <v>4.04</v>
      </c>
      <c r="D56" s="6">
        <v>13.91</v>
      </c>
      <c r="E56" s="6">
        <v>11.56</v>
      </c>
      <c r="F56" s="6">
        <v>26.38</v>
      </c>
      <c r="G56" s="6">
        <v>26.7</v>
      </c>
      <c r="H56" s="6">
        <v>10.09</v>
      </c>
      <c r="I56" s="6">
        <v>4.0599999999999996</v>
      </c>
      <c r="J56" s="6">
        <v>0.74</v>
      </c>
      <c r="K56" s="6">
        <v>258.58999999999997</v>
      </c>
      <c r="L56" s="6">
        <v>35.18</v>
      </c>
      <c r="M56" s="6">
        <v>49.34</v>
      </c>
      <c r="N56" s="6">
        <v>309.10000000000002</v>
      </c>
      <c r="O56" s="6">
        <v>0</v>
      </c>
      <c r="P56" s="6">
        <v>0.35</v>
      </c>
      <c r="Q56" s="6">
        <v>3.94</v>
      </c>
    </row>
    <row r="57" spans="1:17" customFormat="1">
      <c r="A57" s="82">
        <v>45460.510416666664</v>
      </c>
      <c r="B57" s="6">
        <v>9.16</v>
      </c>
      <c r="C57" s="6">
        <v>4.08</v>
      </c>
      <c r="D57" s="6">
        <v>13.93</v>
      </c>
      <c r="E57" s="6">
        <v>11</v>
      </c>
      <c r="F57" s="6">
        <v>28.05</v>
      </c>
      <c r="G57" s="6">
        <v>26.65</v>
      </c>
      <c r="H57" s="6">
        <v>9.76</v>
      </c>
      <c r="I57" s="6">
        <v>3.81</v>
      </c>
      <c r="J57" s="6">
        <v>0.59</v>
      </c>
      <c r="K57" s="6">
        <v>269.29000000000002</v>
      </c>
      <c r="L57" s="6">
        <v>35.5</v>
      </c>
      <c r="M57" s="6">
        <v>48.8</v>
      </c>
      <c r="N57" s="6">
        <v>313.7</v>
      </c>
      <c r="O57" s="6">
        <v>0</v>
      </c>
      <c r="P57" s="6">
        <v>0.34</v>
      </c>
      <c r="Q57" s="6">
        <v>3.93</v>
      </c>
    </row>
    <row r="58" spans="1:17" customFormat="1">
      <c r="A58" s="82">
        <v>45460.520833333336</v>
      </c>
      <c r="B58" s="6">
        <v>9.14</v>
      </c>
      <c r="C58" s="6">
        <v>4.0999999999999996</v>
      </c>
      <c r="D58" s="6">
        <v>13.92</v>
      </c>
      <c r="E58" s="6">
        <v>10.96</v>
      </c>
      <c r="F58" s="6">
        <v>25.08</v>
      </c>
      <c r="G58" s="6">
        <v>26.65</v>
      </c>
      <c r="H58" s="6">
        <v>9.76</v>
      </c>
      <c r="I58" s="6">
        <v>3.69</v>
      </c>
      <c r="J58" s="6">
        <v>0.69</v>
      </c>
      <c r="K58" s="6">
        <v>254.34</v>
      </c>
      <c r="L58" s="6">
        <v>36.020000000000003</v>
      </c>
      <c r="M58" s="6">
        <v>47.48</v>
      </c>
      <c r="N58" s="6">
        <v>301</v>
      </c>
      <c r="O58" s="6">
        <v>0</v>
      </c>
      <c r="P58" s="6">
        <v>0.35</v>
      </c>
      <c r="Q58" s="6">
        <v>3.94</v>
      </c>
    </row>
    <row r="59" spans="1:17" customFormat="1">
      <c r="A59" s="82">
        <v>45460.53125</v>
      </c>
      <c r="B59" s="6">
        <v>9.14</v>
      </c>
      <c r="C59" s="6">
        <v>4.09</v>
      </c>
      <c r="D59" s="6">
        <v>13.92</v>
      </c>
      <c r="E59" s="6">
        <v>10.51</v>
      </c>
      <c r="F59" s="6">
        <v>28.56</v>
      </c>
      <c r="G59" s="6">
        <v>26.65</v>
      </c>
      <c r="H59" s="6">
        <v>9.76</v>
      </c>
      <c r="I59" s="6">
        <v>3.64</v>
      </c>
      <c r="J59" s="6">
        <v>0.84</v>
      </c>
      <c r="K59" s="6">
        <v>262.02</v>
      </c>
      <c r="L59" s="6">
        <v>35.75</v>
      </c>
      <c r="M59" s="6">
        <v>48.1</v>
      </c>
      <c r="N59" s="6">
        <v>325.10000000000002</v>
      </c>
      <c r="O59" s="6">
        <v>0</v>
      </c>
      <c r="P59" s="6">
        <v>0.34</v>
      </c>
      <c r="Q59" s="6">
        <v>3.93</v>
      </c>
    </row>
    <row r="60" spans="1:17" customFormat="1">
      <c r="A60" s="82">
        <v>45460.541666666664</v>
      </c>
      <c r="B60" s="6">
        <v>9.15</v>
      </c>
      <c r="C60" s="6">
        <v>4.08</v>
      </c>
      <c r="D60" s="6">
        <v>13.92</v>
      </c>
      <c r="E60" s="6">
        <v>11.41</v>
      </c>
      <c r="F60" s="6">
        <v>31.9</v>
      </c>
      <c r="G60" s="6">
        <v>26.04</v>
      </c>
      <c r="H60" s="6">
        <v>10.92</v>
      </c>
      <c r="I60" s="6">
        <v>3.67</v>
      </c>
      <c r="J60" s="6">
        <v>0.75</v>
      </c>
      <c r="K60" s="6">
        <v>270.41000000000003</v>
      </c>
      <c r="L60" s="6">
        <v>36.020000000000003</v>
      </c>
      <c r="M60" s="6">
        <v>47.54</v>
      </c>
      <c r="N60" s="6">
        <v>300.8</v>
      </c>
      <c r="O60" s="6">
        <v>0</v>
      </c>
      <c r="P60" s="6">
        <v>0.34</v>
      </c>
      <c r="Q60" s="6">
        <v>3.93</v>
      </c>
    </row>
    <row r="61" spans="1:17" customFormat="1">
      <c r="A61" s="82">
        <v>45460.552083333336</v>
      </c>
      <c r="B61" s="6">
        <v>9.16</v>
      </c>
      <c r="C61" s="6">
        <v>4.08</v>
      </c>
      <c r="D61" s="6">
        <v>13.93</v>
      </c>
      <c r="E61" s="6">
        <v>12.09</v>
      </c>
      <c r="F61" s="6">
        <v>31.43</v>
      </c>
      <c r="G61" s="6">
        <v>25.45</v>
      </c>
      <c r="H61" s="6">
        <v>11.47</v>
      </c>
      <c r="I61" s="6">
        <v>3.61</v>
      </c>
      <c r="J61" s="6">
        <v>0.46</v>
      </c>
      <c r="K61" s="6">
        <v>239.08</v>
      </c>
      <c r="L61" s="6">
        <v>36.67</v>
      </c>
      <c r="M61" s="6">
        <v>45.94</v>
      </c>
      <c r="N61" s="6">
        <v>443.8</v>
      </c>
      <c r="O61" s="6">
        <v>0</v>
      </c>
      <c r="P61" s="6">
        <v>0.34</v>
      </c>
      <c r="Q61" s="6">
        <v>3.93</v>
      </c>
    </row>
    <row r="62" spans="1:17" customFormat="1">
      <c r="A62" s="82">
        <v>45460.5625</v>
      </c>
      <c r="B62" s="6">
        <v>9.16</v>
      </c>
      <c r="C62" s="6">
        <v>4.08</v>
      </c>
      <c r="D62" s="6">
        <v>13.93</v>
      </c>
      <c r="E62" s="6">
        <v>12.3</v>
      </c>
      <c r="F62" s="6">
        <v>29.41</v>
      </c>
      <c r="G62" s="6">
        <v>25.45</v>
      </c>
      <c r="H62" s="6">
        <v>11.47</v>
      </c>
      <c r="I62" s="6">
        <v>3.54</v>
      </c>
      <c r="J62" s="6">
        <v>0.73</v>
      </c>
      <c r="K62" s="6">
        <v>252.92</v>
      </c>
      <c r="L62" s="6">
        <v>37.270000000000003</v>
      </c>
      <c r="M62" s="6">
        <v>44.79</v>
      </c>
      <c r="N62" s="6">
        <v>384.1</v>
      </c>
      <c r="O62" s="6">
        <v>0</v>
      </c>
      <c r="P62" s="6">
        <v>0.34</v>
      </c>
      <c r="Q62" s="6">
        <v>3.93</v>
      </c>
    </row>
    <row r="63" spans="1:17" customFormat="1">
      <c r="A63" s="82">
        <v>45460.572916666664</v>
      </c>
      <c r="B63" s="6">
        <v>9.16</v>
      </c>
      <c r="C63" s="6">
        <v>4.07</v>
      </c>
      <c r="D63" s="6">
        <v>13.92</v>
      </c>
      <c r="E63" s="6">
        <v>13.74</v>
      </c>
      <c r="F63" s="6">
        <v>39.99</v>
      </c>
      <c r="G63" s="6">
        <v>25.45</v>
      </c>
      <c r="H63" s="6">
        <v>11.47</v>
      </c>
      <c r="I63" s="6">
        <v>3.48</v>
      </c>
      <c r="J63" s="6">
        <v>0.37</v>
      </c>
      <c r="K63" s="6">
        <v>230.01</v>
      </c>
      <c r="L63" s="6">
        <v>37.08</v>
      </c>
      <c r="M63" s="6">
        <v>45.22</v>
      </c>
      <c r="N63" s="6">
        <v>238.2</v>
      </c>
      <c r="O63" s="6">
        <v>0</v>
      </c>
      <c r="P63" s="6">
        <v>0.35</v>
      </c>
      <c r="Q63" s="6">
        <v>3.92</v>
      </c>
    </row>
    <row r="64" spans="1:17" customFormat="1">
      <c r="A64" s="82">
        <v>45460.583333333336</v>
      </c>
      <c r="B64" s="6">
        <v>9.17</v>
      </c>
      <c r="C64" s="6">
        <v>4.0599999999999996</v>
      </c>
      <c r="D64" s="6">
        <v>13.92</v>
      </c>
      <c r="E64" s="6">
        <v>13.19</v>
      </c>
      <c r="F64" s="6">
        <v>34.630000000000003</v>
      </c>
      <c r="G64" s="6">
        <v>25.29</v>
      </c>
      <c r="H64" s="6">
        <v>13.92</v>
      </c>
      <c r="I64" s="6">
        <v>3.59</v>
      </c>
      <c r="J64" s="6">
        <v>0.74</v>
      </c>
      <c r="K64" s="6">
        <v>253.47</v>
      </c>
      <c r="L64" s="6">
        <v>36.549999999999997</v>
      </c>
      <c r="M64" s="6">
        <v>46.94</v>
      </c>
      <c r="N64" s="6">
        <v>239.9</v>
      </c>
      <c r="O64" s="6">
        <v>0</v>
      </c>
      <c r="P64" s="6">
        <v>0.35</v>
      </c>
      <c r="Q64" s="6">
        <v>3.94</v>
      </c>
    </row>
    <row r="65" spans="1:17" customFormat="1">
      <c r="A65" s="82">
        <v>45460.59375</v>
      </c>
      <c r="B65" s="6">
        <v>9.16</v>
      </c>
      <c r="C65" s="6">
        <v>4.07</v>
      </c>
      <c r="D65" s="6">
        <v>13.92</v>
      </c>
      <c r="E65" s="6">
        <v>12.1</v>
      </c>
      <c r="F65" s="6">
        <v>30.83</v>
      </c>
      <c r="G65" s="6">
        <v>25.14</v>
      </c>
      <c r="H65" s="6">
        <v>16.36</v>
      </c>
      <c r="I65" s="6">
        <v>3.38</v>
      </c>
      <c r="J65" s="6">
        <v>0.6</v>
      </c>
      <c r="K65" s="6">
        <v>243.28</v>
      </c>
      <c r="L65" s="6">
        <v>36.619999999999997</v>
      </c>
      <c r="M65" s="6">
        <v>46.52</v>
      </c>
      <c r="N65" s="6">
        <v>302.2</v>
      </c>
      <c r="O65" s="6">
        <v>0</v>
      </c>
      <c r="P65" s="6">
        <v>0.32</v>
      </c>
      <c r="Q65" s="6">
        <v>3.94</v>
      </c>
    </row>
    <row r="66" spans="1:17" customFormat="1">
      <c r="A66" s="82">
        <v>45460.604166666664</v>
      </c>
      <c r="B66" s="6">
        <v>9.16</v>
      </c>
      <c r="C66" s="6">
        <v>4.05</v>
      </c>
      <c r="D66" s="6">
        <v>13.91</v>
      </c>
      <c r="E66" s="6">
        <v>11.67</v>
      </c>
      <c r="F66" s="6">
        <v>23.43</v>
      </c>
      <c r="G66" s="6">
        <v>25.14</v>
      </c>
      <c r="H66" s="6">
        <v>16.36</v>
      </c>
      <c r="I66" s="6">
        <v>3.44</v>
      </c>
      <c r="J66" s="6">
        <v>0.97</v>
      </c>
      <c r="K66" s="6">
        <v>264.35000000000002</v>
      </c>
      <c r="L66" s="6">
        <v>36.21</v>
      </c>
      <c r="M66" s="6">
        <v>47.46</v>
      </c>
      <c r="N66" s="6">
        <v>259.89999999999998</v>
      </c>
      <c r="O66" s="6">
        <v>0</v>
      </c>
      <c r="P66" s="6">
        <v>0.34</v>
      </c>
      <c r="Q66" s="6">
        <v>3.94</v>
      </c>
    </row>
    <row r="67" spans="1:17" customFormat="1">
      <c r="A67" s="82">
        <v>45460.614583333336</v>
      </c>
      <c r="B67" s="6">
        <v>9.16</v>
      </c>
      <c r="C67" s="6">
        <v>4.05</v>
      </c>
      <c r="D67" s="6">
        <v>13.91</v>
      </c>
      <c r="E67" s="6">
        <v>11.11</v>
      </c>
      <c r="F67" s="6">
        <v>26.41</v>
      </c>
      <c r="G67" s="6">
        <v>25.14</v>
      </c>
      <c r="H67" s="6">
        <v>16.36</v>
      </c>
      <c r="I67" s="6">
        <v>3.51</v>
      </c>
      <c r="J67" s="6">
        <v>0.65</v>
      </c>
      <c r="K67" s="6">
        <v>253.85</v>
      </c>
      <c r="L67" s="6">
        <v>36.35</v>
      </c>
      <c r="M67" s="6">
        <v>47.29</v>
      </c>
      <c r="N67" s="6">
        <v>250</v>
      </c>
      <c r="O67" s="6">
        <v>0</v>
      </c>
      <c r="P67" s="6">
        <v>0.34</v>
      </c>
      <c r="Q67" s="6">
        <v>3.94</v>
      </c>
    </row>
    <row r="68" spans="1:17" customFormat="1">
      <c r="A68" s="82">
        <v>45460.625</v>
      </c>
      <c r="B68" s="6">
        <v>9.18</v>
      </c>
      <c r="C68" s="6">
        <v>4.0599999999999996</v>
      </c>
      <c r="D68" s="6">
        <v>13.93</v>
      </c>
      <c r="E68" s="6">
        <v>11.71</v>
      </c>
      <c r="F68" s="6">
        <v>33.15</v>
      </c>
      <c r="G68" s="6">
        <v>26.21</v>
      </c>
      <c r="H68" s="6">
        <v>14.66</v>
      </c>
      <c r="I68" s="6">
        <v>3.67</v>
      </c>
      <c r="J68" s="6">
        <v>0.95</v>
      </c>
      <c r="K68" s="6">
        <v>280.51</v>
      </c>
      <c r="L68" s="6">
        <v>36.49</v>
      </c>
      <c r="M68" s="6">
        <v>46.94</v>
      </c>
      <c r="N68" s="6">
        <v>284.60000000000002</v>
      </c>
      <c r="O68" s="6">
        <v>0</v>
      </c>
      <c r="P68" s="6">
        <v>0.35</v>
      </c>
      <c r="Q68" s="6">
        <v>3.95</v>
      </c>
    </row>
    <row r="69" spans="1:17" customFormat="1">
      <c r="A69" s="82">
        <v>45460.635416666664</v>
      </c>
      <c r="B69" s="6">
        <v>9.16</v>
      </c>
      <c r="C69" s="6">
        <v>4.09</v>
      </c>
      <c r="D69" s="6">
        <v>13.93</v>
      </c>
      <c r="E69" s="6">
        <v>12.05</v>
      </c>
      <c r="F69" s="6">
        <v>19.22</v>
      </c>
      <c r="G69" s="6">
        <v>27.23</v>
      </c>
      <c r="H69" s="6">
        <v>13.87</v>
      </c>
      <c r="I69" s="6">
        <v>3.67</v>
      </c>
      <c r="J69" s="6">
        <v>1.4</v>
      </c>
      <c r="K69" s="6">
        <v>285.60000000000002</v>
      </c>
      <c r="L69" s="6">
        <v>36.69</v>
      </c>
      <c r="M69" s="6">
        <v>46.37</v>
      </c>
      <c r="N69" s="6">
        <v>415.6</v>
      </c>
      <c r="O69" s="6">
        <v>0</v>
      </c>
      <c r="P69" s="6">
        <v>0.36</v>
      </c>
      <c r="Q69" s="6">
        <v>3.93</v>
      </c>
    </row>
    <row r="70" spans="1:17" customFormat="1">
      <c r="A70" s="82">
        <v>45460.645833333336</v>
      </c>
      <c r="B70" s="6">
        <v>9.14</v>
      </c>
      <c r="C70" s="6">
        <v>4.08</v>
      </c>
      <c r="D70" s="6">
        <v>13.91</v>
      </c>
      <c r="E70" s="6">
        <v>11.29</v>
      </c>
      <c r="F70" s="6">
        <v>20.93</v>
      </c>
      <c r="G70" s="6">
        <v>27.23</v>
      </c>
      <c r="H70" s="6">
        <v>13.87</v>
      </c>
      <c r="I70" s="6">
        <v>3.51</v>
      </c>
      <c r="J70" s="6">
        <v>1.1299999999999999</v>
      </c>
      <c r="K70" s="6">
        <v>278.51</v>
      </c>
      <c r="L70" s="6">
        <v>36.31</v>
      </c>
      <c r="M70" s="6">
        <v>47.25</v>
      </c>
      <c r="N70" s="6">
        <v>224.7</v>
      </c>
      <c r="O70" s="6">
        <v>0</v>
      </c>
      <c r="P70" s="6">
        <v>0.36</v>
      </c>
      <c r="Q70" s="6">
        <v>3.92</v>
      </c>
    </row>
    <row r="71" spans="1:17" customFormat="1">
      <c r="A71" s="82">
        <v>45460.65625</v>
      </c>
      <c r="B71" s="6">
        <v>9.15</v>
      </c>
      <c r="C71" s="6">
        <v>4.07</v>
      </c>
      <c r="D71" s="6">
        <v>13.91</v>
      </c>
      <c r="E71" s="6">
        <v>11.19</v>
      </c>
      <c r="F71" s="6">
        <v>29.3</v>
      </c>
      <c r="G71" s="6">
        <v>27.23</v>
      </c>
      <c r="H71" s="6">
        <v>13.87</v>
      </c>
      <c r="I71" s="6">
        <v>3.92</v>
      </c>
      <c r="J71" s="6">
        <v>0.96</v>
      </c>
      <c r="K71" s="6">
        <v>284.41000000000003</v>
      </c>
      <c r="L71" s="6">
        <v>36.880000000000003</v>
      </c>
      <c r="M71" s="6">
        <v>45.57</v>
      </c>
      <c r="N71" s="6">
        <v>409.7</v>
      </c>
      <c r="O71" s="6">
        <v>0</v>
      </c>
      <c r="P71" s="6">
        <v>0.35</v>
      </c>
      <c r="Q71" s="6">
        <v>3.93</v>
      </c>
    </row>
    <row r="72" spans="1:17" customFormat="1">
      <c r="A72" s="82">
        <v>45460.666666666664</v>
      </c>
      <c r="B72" s="6">
        <v>9.15</v>
      </c>
      <c r="C72" s="6">
        <v>4.08</v>
      </c>
      <c r="D72" s="6">
        <v>13.92</v>
      </c>
      <c r="E72" s="6">
        <v>11.5</v>
      </c>
      <c r="F72" s="6">
        <v>29.71</v>
      </c>
      <c r="G72" s="6">
        <v>24.98</v>
      </c>
      <c r="H72" s="6">
        <v>13.2</v>
      </c>
      <c r="I72" s="6">
        <v>3.84</v>
      </c>
      <c r="J72" s="6">
        <v>0.9</v>
      </c>
      <c r="K72" s="6">
        <v>269.41000000000003</v>
      </c>
      <c r="L72" s="6">
        <v>37.64</v>
      </c>
      <c r="M72" s="6">
        <v>43.91</v>
      </c>
      <c r="N72" s="6">
        <v>413.9</v>
      </c>
      <c r="O72" s="6">
        <v>0</v>
      </c>
      <c r="P72" s="6">
        <v>0.35</v>
      </c>
      <c r="Q72" s="6">
        <v>3.96</v>
      </c>
    </row>
    <row r="73" spans="1:17" customFormat="1">
      <c r="A73" s="82">
        <v>45460.677083333336</v>
      </c>
      <c r="B73" s="6">
        <v>9.1999999999999993</v>
      </c>
      <c r="C73" s="6">
        <v>4.09</v>
      </c>
      <c r="D73" s="6">
        <v>13.96</v>
      </c>
      <c r="E73" s="6">
        <v>11.47</v>
      </c>
      <c r="F73" s="6">
        <v>25.85</v>
      </c>
      <c r="G73" s="6">
        <v>22.83</v>
      </c>
      <c r="H73" s="6">
        <v>12.89</v>
      </c>
      <c r="I73" s="6">
        <v>3.62</v>
      </c>
      <c r="J73" s="6">
        <v>0.9</v>
      </c>
      <c r="K73" s="6">
        <v>265.42</v>
      </c>
      <c r="L73" s="6">
        <v>37.729999999999997</v>
      </c>
      <c r="M73" s="6">
        <v>43.52</v>
      </c>
      <c r="N73" s="6">
        <v>310.39999999999998</v>
      </c>
      <c r="O73" s="6">
        <v>0</v>
      </c>
      <c r="P73" s="6">
        <v>0.34</v>
      </c>
      <c r="Q73" s="6">
        <v>3.98</v>
      </c>
    </row>
    <row r="74" spans="1:17" customFormat="1">
      <c r="A74" s="82">
        <v>45460.6875</v>
      </c>
      <c r="B74" s="6">
        <v>9.2100000000000009</v>
      </c>
      <c r="C74" s="6">
        <v>4.0999999999999996</v>
      </c>
      <c r="D74" s="6">
        <v>13.98</v>
      </c>
      <c r="E74" s="6">
        <v>11.4</v>
      </c>
      <c r="F74" s="6">
        <v>30.76</v>
      </c>
      <c r="G74" s="6">
        <v>22.83</v>
      </c>
      <c r="H74" s="6">
        <v>12.89</v>
      </c>
      <c r="I74" s="6">
        <v>3.61</v>
      </c>
      <c r="J74" s="6">
        <v>0.86</v>
      </c>
      <c r="K74" s="6">
        <v>280.08999999999997</v>
      </c>
      <c r="L74" s="6">
        <v>37.15</v>
      </c>
      <c r="M74" s="6">
        <v>43.82</v>
      </c>
      <c r="N74" s="6">
        <v>169.5</v>
      </c>
      <c r="O74" s="6">
        <v>0</v>
      </c>
      <c r="P74" s="6">
        <v>0.33</v>
      </c>
      <c r="Q74" s="6">
        <v>3.97</v>
      </c>
    </row>
    <row r="75" spans="1:17" customFormat="1">
      <c r="A75" s="82">
        <v>45460.697916666664</v>
      </c>
      <c r="B75" s="6">
        <v>9.23</v>
      </c>
      <c r="C75" s="6">
        <v>4.07</v>
      </c>
      <c r="D75" s="6">
        <v>13.98</v>
      </c>
      <c r="E75" s="6">
        <v>12.21</v>
      </c>
      <c r="F75" s="6">
        <v>35.6</v>
      </c>
      <c r="G75" s="6">
        <v>22.83</v>
      </c>
      <c r="H75" s="6">
        <v>12.89</v>
      </c>
      <c r="I75" s="6">
        <v>3.64</v>
      </c>
      <c r="J75" s="6">
        <v>0.39</v>
      </c>
      <c r="K75" s="6">
        <v>240.16</v>
      </c>
      <c r="L75" s="6">
        <v>37.49</v>
      </c>
      <c r="M75" s="6">
        <v>42.84</v>
      </c>
      <c r="N75" s="6">
        <v>138.9</v>
      </c>
      <c r="O75" s="6">
        <v>0</v>
      </c>
      <c r="P75" s="6">
        <v>0.33</v>
      </c>
      <c r="Q75" s="6">
        <v>3.96</v>
      </c>
    </row>
    <row r="76" spans="1:17" customFormat="1">
      <c r="A76" s="82">
        <v>45460.708333333336</v>
      </c>
      <c r="B76" s="6">
        <v>9.2200000000000006</v>
      </c>
      <c r="C76" s="6">
        <v>4.05</v>
      </c>
      <c r="D76" s="6">
        <v>13.96</v>
      </c>
      <c r="E76" s="6">
        <v>16.23</v>
      </c>
      <c r="F76" s="6">
        <v>40.22</v>
      </c>
      <c r="G76" s="6">
        <v>25.45</v>
      </c>
      <c r="H76" s="6">
        <v>12.47</v>
      </c>
      <c r="I76" s="6">
        <v>3.51</v>
      </c>
      <c r="J76" s="6">
        <v>0.65</v>
      </c>
      <c r="K76" s="6">
        <v>275.27999999999997</v>
      </c>
      <c r="L76" s="6">
        <v>36.869999999999997</v>
      </c>
      <c r="M76" s="6">
        <v>43.46</v>
      </c>
      <c r="N76" s="6">
        <v>87.5</v>
      </c>
      <c r="O76" s="6">
        <v>0</v>
      </c>
      <c r="P76" s="6">
        <v>0.38</v>
      </c>
      <c r="Q76" s="6">
        <v>3.95</v>
      </c>
    </row>
    <row r="77" spans="1:17" customFormat="1">
      <c r="A77" s="82">
        <v>45460.71875</v>
      </c>
      <c r="B77" s="6">
        <v>9.1999999999999993</v>
      </c>
      <c r="C77" s="6">
        <v>4.07</v>
      </c>
      <c r="D77" s="6">
        <v>13.96</v>
      </c>
      <c r="E77" s="6">
        <v>20.07</v>
      </c>
      <c r="F77" s="6">
        <v>39.64</v>
      </c>
      <c r="G77" s="6">
        <v>27.95</v>
      </c>
      <c r="H77" s="6">
        <v>12.28</v>
      </c>
      <c r="I77" s="6">
        <v>3.51</v>
      </c>
      <c r="J77" s="6">
        <v>0.56999999999999995</v>
      </c>
      <c r="K77" s="6">
        <v>274.91000000000003</v>
      </c>
      <c r="L77" s="6">
        <v>36.340000000000003</v>
      </c>
      <c r="M77" s="6">
        <v>43.68</v>
      </c>
      <c r="N77" s="6">
        <v>65.400000000000006</v>
      </c>
      <c r="O77" s="6">
        <v>0</v>
      </c>
      <c r="P77" s="6">
        <v>0.47</v>
      </c>
      <c r="Q77" s="6">
        <v>3.96</v>
      </c>
    </row>
    <row r="78" spans="1:17" customFormat="1">
      <c r="A78" s="82">
        <v>45460.729166666664</v>
      </c>
      <c r="B78" s="6">
        <v>9.1999999999999993</v>
      </c>
      <c r="C78" s="6">
        <v>4.08</v>
      </c>
      <c r="D78" s="6">
        <v>13.96</v>
      </c>
      <c r="E78" s="6">
        <v>22.22</v>
      </c>
      <c r="F78" s="6">
        <v>34.93</v>
      </c>
      <c r="G78" s="6">
        <v>27.95</v>
      </c>
      <c r="H78" s="6">
        <v>12.28</v>
      </c>
      <c r="I78" s="6">
        <v>4.29</v>
      </c>
      <c r="J78" s="6">
        <v>0.7</v>
      </c>
      <c r="K78" s="6">
        <v>262.75</v>
      </c>
      <c r="L78" s="6">
        <v>36.03</v>
      </c>
      <c r="M78" s="6">
        <v>44.31</v>
      </c>
      <c r="N78" s="6">
        <v>57.6</v>
      </c>
      <c r="O78" s="6">
        <v>0</v>
      </c>
      <c r="P78" s="6">
        <v>0.46</v>
      </c>
      <c r="Q78" s="6">
        <v>3.95</v>
      </c>
    </row>
    <row r="79" spans="1:17" customFormat="1">
      <c r="A79" s="82">
        <v>45460.739583333336</v>
      </c>
      <c r="B79" s="6">
        <v>9.1999999999999993</v>
      </c>
      <c r="C79" s="6">
        <v>4.0599999999999996</v>
      </c>
      <c r="D79" s="6">
        <v>13.95</v>
      </c>
      <c r="E79" s="6">
        <v>22.86</v>
      </c>
      <c r="F79" s="6">
        <v>35.340000000000003</v>
      </c>
      <c r="G79" s="6">
        <v>27.95</v>
      </c>
      <c r="H79" s="6">
        <v>12.28</v>
      </c>
      <c r="I79" s="6">
        <v>5.09</v>
      </c>
      <c r="J79" s="6">
        <v>0.64</v>
      </c>
      <c r="K79" s="6">
        <v>256.8</v>
      </c>
      <c r="L79" s="6">
        <v>35.770000000000003</v>
      </c>
      <c r="M79" s="6">
        <v>44.19</v>
      </c>
      <c r="N79" s="6">
        <v>53.6</v>
      </c>
      <c r="O79" s="6">
        <v>0</v>
      </c>
      <c r="P79" s="6">
        <v>0.47</v>
      </c>
      <c r="Q79" s="6">
        <v>3.94</v>
      </c>
    </row>
    <row r="80" spans="1:17" customFormat="1">
      <c r="A80" s="82">
        <v>45460.75</v>
      </c>
      <c r="B80" s="6">
        <v>9.2100000000000009</v>
      </c>
      <c r="C80" s="6">
        <v>4.05</v>
      </c>
      <c r="D80" s="6">
        <v>13.96</v>
      </c>
      <c r="E80" s="6">
        <v>18.32</v>
      </c>
      <c r="F80" s="6">
        <v>48.61</v>
      </c>
      <c r="G80" s="6">
        <v>29.38</v>
      </c>
      <c r="H80" s="6">
        <v>13.14</v>
      </c>
      <c r="I80" s="6">
        <v>4.99</v>
      </c>
      <c r="J80" s="6">
        <v>0.3</v>
      </c>
      <c r="K80" s="6">
        <v>253.83</v>
      </c>
      <c r="L80" s="6">
        <v>35.68</v>
      </c>
      <c r="M80" s="6">
        <v>44.91</v>
      </c>
      <c r="N80" s="6">
        <v>37.200000000000003</v>
      </c>
      <c r="O80" s="6">
        <v>0</v>
      </c>
      <c r="P80" s="6">
        <v>0.42</v>
      </c>
      <c r="Q80" s="6">
        <v>3.94</v>
      </c>
    </row>
    <row r="81" spans="1:17" customFormat="1">
      <c r="A81" s="82">
        <v>45460.760416666664</v>
      </c>
      <c r="B81" s="6">
        <v>9.2200000000000006</v>
      </c>
      <c r="C81" s="6">
        <v>4.08</v>
      </c>
      <c r="D81" s="6">
        <v>13.97</v>
      </c>
      <c r="E81" s="6">
        <v>11.07</v>
      </c>
      <c r="F81" s="6">
        <v>35.03</v>
      </c>
      <c r="G81" s="6">
        <v>30.75</v>
      </c>
      <c r="H81" s="6">
        <v>13.54</v>
      </c>
      <c r="I81" s="6">
        <v>5.01</v>
      </c>
      <c r="J81" s="6">
        <v>0.38</v>
      </c>
      <c r="K81" s="6">
        <v>252.59</v>
      </c>
      <c r="L81" s="6">
        <v>35.39</v>
      </c>
      <c r="M81" s="6">
        <v>45.54</v>
      </c>
      <c r="N81" s="6">
        <v>19.5</v>
      </c>
      <c r="O81" s="6">
        <v>0</v>
      </c>
      <c r="P81" s="6">
        <v>0.41</v>
      </c>
      <c r="Q81" s="6">
        <v>3.95</v>
      </c>
    </row>
    <row r="82" spans="1:17" customFormat="1">
      <c r="A82" s="82">
        <v>45460.770833333336</v>
      </c>
      <c r="B82" s="6">
        <v>9.1999999999999993</v>
      </c>
      <c r="C82" s="6">
        <v>4.0999999999999996</v>
      </c>
      <c r="D82" s="6">
        <v>13.97</v>
      </c>
      <c r="E82" s="6">
        <v>17.87</v>
      </c>
      <c r="F82" s="6">
        <v>34.04</v>
      </c>
      <c r="G82" s="6">
        <v>30.75</v>
      </c>
      <c r="H82" s="6">
        <v>13.54</v>
      </c>
      <c r="I82" s="6">
        <v>4.43</v>
      </c>
      <c r="J82" s="6">
        <v>0.34</v>
      </c>
      <c r="K82" s="6">
        <v>264.87</v>
      </c>
      <c r="L82" s="6">
        <v>35.07</v>
      </c>
      <c r="M82" s="6">
        <v>45.54</v>
      </c>
      <c r="N82" s="6">
        <v>8</v>
      </c>
      <c r="O82" s="6">
        <v>0</v>
      </c>
      <c r="P82" s="6">
        <v>0.48</v>
      </c>
      <c r="Q82" s="6">
        <v>3.94</v>
      </c>
    </row>
    <row r="83" spans="1:17" customFormat="1">
      <c r="A83" s="82">
        <v>45460.78125</v>
      </c>
      <c r="B83" s="6">
        <v>9.1999999999999993</v>
      </c>
      <c r="C83" s="6">
        <v>4.08</v>
      </c>
      <c r="D83" s="6">
        <v>13.96</v>
      </c>
      <c r="E83" s="6">
        <v>18.36</v>
      </c>
      <c r="F83" s="6">
        <v>36.65</v>
      </c>
      <c r="G83" s="6">
        <v>30.75</v>
      </c>
      <c r="H83" s="6">
        <v>13.54</v>
      </c>
      <c r="I83" s="6">
        <v>4.5199999999999996</v>
      </c>
      <c r="J83" s="6">
        <v>0.45</v>
      </c>
      <c r="K83" s="6">
        <v>255.23</v>
      </c>
      <c r="L83" s="6">
        <v>34.81</v>
      </c>
      <c r="M83" s="6">
        <v>46.02</v>
      </c>
      <c r="N83" s="6">
        <v>2.5</v>
      </c>
      <c r="O83" s="6">
        <v>0</v>
      </c>
      <c r="P83" s="6">
        <v>0.6</v>
      </c>
      <c r="Q83" s="6">
        <v>3.94</v>
      </c>
    </row>
    <row r="84" spans="1:17" customFormat="1">
      <c r="A84" s="82">
        <v>45460.791666666664</v>
      </c>
      <c r="B84" s="6">
        <v>9.1999999999999993</v>
      </c>
      <c r="C84" s="6">
        <v>4.08</v>
      </c>
      <c r="D84" s="6">
        <v>13.96</v>
      </c>
      <c r="E84" s="6">
        <v>21.23</v>
      </c>
      <c r="F84" s="6">
        <v>29.42</v>
      </c>
      <c r="G84" s="6">
        <v>33.61</v>
      </c>
      <c r="H84" s="6">
        <v>15.19</v>
      </c>
      <c r="I84" s="6">
        <v>5.45</v>
      </c>
      <c r="J84" s="6">
        <v>0.2</v>
      </c>
      <c r="K84" s="6">
        <v>217.85</v>
      </c>
      <c r="L84" s="6">
        <v>34.729999999999997</v>
      </c>
      <c r="M84" s="6">
        <v>46.9</v>
      </c>
      <c r="N84" s="6">
        <v>1.8</v>
      </c>
      <c r="O84" s="6">
        <v>0</v>
      </c>
      <c r="P84" s="6">
        <v>0.74</v>
      </c>
      <c r="Q84" s="6">
        <v>3.96</v>
      </c>
    </row>
    <row r="85" spans="1:17" customFormat="1">
      <c r="A85" s="82">
        <v>45460.802083333336</v>
      </c>
      <c r="B85" s="6">
        <v>9.1999999999999993</v>
      </c>
      <c r="C85" s="6">
        <v>4.05</v>
      </c>
      <c r="D85" s="6">
        <v>13.94</v>
      </c>
      <c r="E85" s="6">
        <v>22.24</v>
      </c>
      <c r="F85" s="6">
        <v>29.2</v>
      </c>
      <c r="G85" s="6">
        <v>36.33</v>
      </c>
      <c r="H85" s="6">
        <v>15.96</v>
      </c>
      <c r="I85" s="6">
        <v>6.97</v>
      </c>
      <c r="J85" s="6">
        <v>0.16</v>
      </c>
      <c r="K85" s="6">
        <v>193.51</v>
      </c>
      <c r="L85" s="6">
        <v>34.42</v>
      </c>
      <c r="M85" s="6">
        <v>48.25</v>
      </c>
      <c r="N85" s="6">
        <v>1.8</v>
      </c>
      <c r="O85" s="6">
        <v>0</v>
      </c>
      <c r="P85" s="6">
        <v>0.73</v>
      </c>
      <c r="Q85" s="6">
        <v>3.95</v>
      </c>
    </row>
    <row r="86" spans="1:17" customFormat="1">
      <c r="A86" s="82">
        <v>45460.8125</v>
      </c>
      <c r="B86" s="6">
        <v>9.18</v>
      </c>
      <c r="C86" s="6">
        <v>4.0599999999999996</v>
      </c>
      <c r="D86" s="6">
        <v>13.93</v>
      </c>
      <c r="E86" s="6">
        <v>17.440000000000001</v>
      </c>
      <c r="F86" s="6">
        <v>30.59</v>
      </c>
      <c r="G86" s="6">
        <v>36.33</v>
      </c>
      <c r="H86" s="6">
        <v>15.96</v>
      </c>
      <c r="I86" s="6">
        <v>7.88</v>
      </c>
      <c r="J86" s="6">
        <v>0.26</v>
      </c>
      <c r="K86" s="6">
        <v>233.79</v>
      </c>
      <c r="L86" s="6">
        <v>34.369999999999997</v>
      </c>
      <c r="M86" s="6">
        <v>47.65</v>
      </c>
      <c r="N86" s="6">
        <v>1.5</v>
      </c>
      <c r="O86" s="6">
        <v>0</v>
      </c>
      <c r="P86" s="6">
        <v>0.57999999999999996</v>
      </c>
      <c r="Q86" s="6">
        <v>3.95</v>
      </c>
    </row>
    <row r="87" spans="1:17" customFormat="1">
      <c r="A87" s="82">
        <v>45460.822916666664</v>
      </c>
      <c r="B87" s="6">
        <v>9.18</v>
      </c>
      <c r="C87" s="6">
        <v>4.05</v>
      </c>
      <c r="D87" s="6">
        <v>13.93</v>
      </c>
      <c r="E87" s="6">
        <v>12.58</v>
      </c>
      <c r="F87" s="6">
        <v>27.1</v>
      </c>
      <c r="G87" s="6">
        <v>36.33</v>
      </c>
      <c r="H87" s="6">
        <v>15.96</v>
      </c>
      <c r="I87" s="6">
        <v>7.38</v>
      </c>
      <c r="J87" s="6">
        <v>0.26</v>
      </c>
      <c r="K87" s="6">
        <v>241.81</v>
      </c>
      <c r="L87" s="6">
        <v>34.11</v>
      </c>
      <c r="M87" s="6">
        <v>49.25</v>
      </c>
      <c r="N87" s="6">
        <v>1.6</v>
      </c>
      <c r="O87" s="6">
        <v>0</v>
      </c>
      <c r="P87" s="6">
        <v>0.5</v>
      </c>
      <c r="Q87" s="6">
        <v>3.96</v>
      </c>
    </row>
    <row r="88" spans="1:17" customFormat="1">
      <c r="A88" s="82">
        <v>45460.833333333336</v>
      </c>
      <c r="B88" s="6">
        <v>9.17</v>
      </c>
      <c r="C88" s="6">
        <v>4.08</v>
      </c>
      <c r="D88" s="6">
        <v>13.93</v>
      </c>
      <c r="E88" s="6">
        <v>11</v>
      </c>
      <c r="F88" s="6">
        <v>28.55</v>
      </c>
      <c r="G88" s="6">
        <v>37.54</v>
      </c>
      <c r="H88" s="6">
        <v>15.09</v>
      </c>
      <c r="I88" s="6">
        <v>6.04</v>
      </c>
      <c r="J88" s="6">
        <v>0.27</v>
      </c>
      <c r="K88" s="6">
        <v>251.96</v>
      </c>
      <c r="L88" s="6">
        <v>33.9</v>
      </c>
      <c r="M88" s="6">
        <v>51.02</v>
      </c>
      <c r="N88" s="6">
        <v>1.6</v>
      </c>
      <c r="O88" s="6">
        <v>0</v>
      </c>
      <c r="P88" s="6">
        <v>0.49</v>
      </c>
      <c r="Q88" s="6">
        <v>3.95</v>
      </c>
    </row>
    <row r="89" spans="1:17" customFormat="1">
      <c r="A89" s="82">
        <v>45460.84375</v>
      </c>
      <c r="B89" s="6">
        <v>9.19</v>
      </c>
      <c r="C89" s="6">
        <v>4.05</v>
      </c>
      <c r="D89" s="6">
        <v>13.93</v>
      </c>
      <c r="E89" s="6">
        <v>10.02</v>
      </c>
      <c r="F89" s="6">
        <v>29.86</v>
      </c>
      <c r="G89" s="6">
        <v>38.700000000000003</v>
      </c>
      <c r="H89" s="6">
        <v>14.22</v>
      </c>
      <c r="I89" s="6">
        <v>5.26</v>
      </c>
      <c r="J89" s="6">
        <v>0.28999999999999998</v>
      </c>
      <c r="K89" s="6">
        <v>252.3</v>
      </c>
      <c r="L89" s="6">
        <v>33.68</v>
      </c>
      <c r="M89" s="6">
        <v>51.67</v>
      </c>
      <c r="N89" s="6">
        <v>1.7</v>
      </c>
      <c r="O89" s="6">
        <v>0</v>
      </c>
      <c r="P89" s="6">
        <v>0.46</v>
      </c>
      <c r="Q89" s="6">
        <v>3.96</v>
      </c>
    </row>
    <row r="90" spans="1:17" customFormat="1">
      <c r="A90" s="82">
        <v>45460.854166666664</v>
      </c>
      <c r="B90" s="6">
        <v>9.17</v>
      </c>
      <c r="C90" s="6">
        <v>4.09</v>
      </c>
      <c r="D90" s="6">
        <v>13.94</v>
      </c>
      <c r="E90" s="6">
        <v>10.02</v>
      </c>
      <c r="F90" s="6">
        <v>23.22</v>
      </c>
      <c r="G90" s="6">
        <v>38.700000000000003</v>
      </c>
      <c r="H90" s="6">
        <v>14.22</v>
      </c>
      <c r="I90" s="6">
        <v>4.95</v>
      </c>
      <c r="J90" s="6">
        <v>0.23</v>
      </c>
      <c r="K90" s="6">
        <v>239.01</v>
      </c>
      <c r="L90" s="6">
        <v>33.409999999999997</v>
      </c>
      <c r="M90" s="6">
        <v>52.24</v>
      </c>
      <c r="N90" s="6">
        <v>1.8</v>
      </c>
      <c r="O90" s="6">
        <v>0</v>
      </c>
      <c r="P90" s="6">
        <v>0.48</v>
      </c>
      <c r="Q90" s="6">
        <v>3.95</v>
      </c>
    </row>
    <row r="91" spans="1:17" customFormat="1">
      <c r="A91" s="82">
        <v>45460.864583333336</v>
      </c>
      <c r="B91" s="6">
        <v>9.16</v>
      </c>
      <c r="C91" s="6">
        <v>4.09</v>
      </c>
      <c r="D91" s="6">
        <v>13.93</v>
      </c>
      <c r="E91" s="6">
        <v>9.83</v>
      </c>
      <c r="F91" s="6">
        <v>33.450000000000003</v>
      </c>
      <c r="G91" s="6">
        <v>38.700000000000003</v>
      </c>
      <c r="H91" s="6">
        <v>14.22</v>
      </c>
      <c r="I91" s="6">
        <v>4.7</v>
      </c>
      <c r="J91" s="6">
        <v>0.31</v>
      </c>
      <c r="K91" s="6">
        <v>244.33</v>
      </c>
      <c r="L91" s="6">
        <v>33.130000000000003</v>
      </c>
      <c r="M91" s="6">
        <v>52.89</v>
      </c>
      <c r="N91" s="6">
        <v>1.6</v>
      </c>
      <c r="O91" s="6">
        <v>0</v>
      </c>
      <c r="P91" s="6">
        <v>0.46</v>
      </c>
      <c r="Q91" s="6">
        <v>3.93</v>
      </c>
    </row>
    <row r="92" spans="1:17" customFormat="1">
      <c r="A92" s="82">
        <v>45460.875</v>
      </c>
      <c r="B92" s="6">
        <v>9.15</v>
      </c>
      <c r="C92" s="6">
        <v>4.08</v>
      </c>
      <c r="D92" s="6">
        <v>13.92</v>
      </c>
      <c r="E92" s="6">
        <v>9.31</v>
      </c>
      <c r="F92" s="6">
        <v>38.200000000000003</v>
      </c>
      <c r="G92" s="6">
        <v>37.03</v>
      </c>
      <c r="H92" s="6">
        <v>11.35</v>
      </c>
      <c r="I92" s="6">
        <v>5.07</v>
      </c>
      <c r="J92" s="6">
        <v>0.28999999999999998</v>
      </c>
      <c r="K92" s="6">
        <v>252.56</v>
      </c>
      <c r="L92" s="6">
        <v>33.119999999999997</v>
      </c>
      <c r="M92" s="6">
        <v>52.7</v>
      </c>
      <c r="N92" s="6">
        <v>1.5</v>
      </c>
      <c r="O92" s="6">
        <v>0</v>
      </c>
      <c r="P92" s="6">
        <v>0.45</v>
      </c>
      <c r="Q92" s="6">
        <v>3.95</v>
      </c>
    </row>
    <row r="93" spans="1:17" customFormat="1">
      <c r="A93" s="82">
        <v>45460.885416666664</v>
      </c>
      <c r="B93" s="6">
        <v>9.1300000000000008</v>
      </c>
      <c r="C93" s="6">
        <v>4.05</v>
      </c>
      <c r="D93" s="6">
        <v>13.89</v>
      </c>
      <c r="E93" s="6">
        <v>8.7200000000000006</v>
      </c>
      <c r="F93" s="6">
        <v>37.340000000000003</v>
      </c>
      <c r="G93" s="6">
        <v>35.42</v>
      </c>
      <c r="H93" s="6">
        <v>10.02</v>
      </c>
      <c r="I93" s="6">
        <v>4.6500000000000004</v>
      </c>
      <c r="J93" s="6">
        <v>0.18</v>
      </c>
      <c r="K93" s="6">
        <v>218.63</v>
      </c>
      <c r="L93" s="6">
        <v>32.700000000000003</v>
      </c>
      <c r="M93" s="6">
        <v>54.53</v>
      </c>
      <c r="N93" s="6">
        <v>1.8</v>
      </c>
      <c r="O93" s="6">
        <v>0</v>
      </c>
      <c r="P93" s="6">
        <v>0.44</v>
      </c>
      <c r="Q93" s="6">
        <v>3.93</v>
      </c>
    </row>
    <row r="94" spans="1:17" customFormat="1">
      <c r="A94" s="82">
        <v>45460.895833333336</v>
      </c>
      <c r="B94" s="6">
        <v>9.1300000000000008</v>
      </c>
      <c r="C94" s="6">
        <v>4.05</v>
      </c>
      <c r="D94" s="6">
        <v>13.89</v>
      </c>
      <c r="E94" s="6">
        <v>8.48</v>
      </c>
      <c r="F94" s="6">
        <v>35.299999999999997</v>
      </c>
      <c r="G94" s="6">
        <v>35.42</v>
      </c>
      <c r="H94" s="6">
        <v>10.02</v>
      </c>
      <c r="I94" s="6">
        <v>4.26</v>
      </c>
      <c r="J94" s="6">
        <v>0.19</v>
      </c>
      <c r="K94" s="6">
        <v>216.91</v>
      </c>
      <c r="L94" s="6">
        <v>32.619999999999997</v>
      </c>
      <c r="M94" s="6">
        <v>55.67</v>
      </c>
      <c r="N94" s="6">
        <v>1.5</v>
      </c>
      <c r="O94" s="6">
        <v>0</v>
      </c>
      <c r="P94" s="6">
        <v>0.43</v>
      </c>
      <c r="Q94" s="6">
        <v>3.95</v>
      </c>
    </row>
    <row r="95" spans="1:17" customFormat="1">
      <c r="A95" s="82">
        <v>45460.90625</v>
      </c>
      <c r="B95" s="6">
        <v>9.1300000000000008</v>
      </c>
      <c r="C95" s="6">
        <v>4.09</v>
      </c>
      <c r="D95" s="6">
        <v>13.91</v>
      </c>
      <c r="E95" s="6">
        <v>8.4499999999999993</v>
      </c>
      <c r="F95" s="6">
        <v>39.36</v>
      </c>
      <c r="G95" s="6">
        <v>35.42</v>
      </c>
      <c r="H95" s="6">
        <v>10.02</v>
      </c>
      <c r="I95" s="6">
        <v>4.16</v>
      </c>
      <c r="J95" s="6">
        <v>0.21</v>
      </c>
      <c r="K95" s="6">
        <v>263.07</v>
      </c>
      <c r="L95" s="6">
        <v>32.39</v>
      </c>
      <c r="M95" s="6">
        <v>57.85</v>
      </c>
      <c r="N95" s="6">
        <v>1.7</v>
      </c>
      <c r="O95" s="6">
        <v>0</v>
      </c>
      <c r="P95" s="6">
        <v>0.41</v>
      </c>
      <c r="Q95" s="6">
        <v>3.93</v>
      </c>
    </row>
    <row r="96" spans="1:17" customFormat="1">
      <c r="A96" s="82">
        <v>45460.916666666664</v>
      </c>
      <c r="B96" s="6">
        <v>9.14</v>
      </c>
      <c r="C96" s="6">
        <v>4.05</v>
      </c>
      <c r="D96" s="6">
        <v>13.89</v>
      </c>
      <c r="E96" s="6">
        <v>9.14</v>
      </c>
      <c r="F96" s="6">
        <v>39.92</v>
      </c>
      <c r="G96" s="6">
        <v>33.25</v>
      </c>
      <c r="H96" s="6">
        <v>10.61</v>
      </c>
      <c r="I96" s="6">
        <v>4.1399999999999997</v>
      </c>
      <c r="J96" s="6">
        <v>0.34</v>
      </c>
      <c r="K96" s="6">
        <v>260.7</v>
      </c>
      <c r="L96" s="6">
        <v>32.39</v>
      </c>
      <c r="M96" s="6">
        <v>58.44</v>
      </c>
      <c r="N96" s="6">
        <v>1.4</v>
      </c>
      <c r="O96" s="6">
        <v>0</v>
      </c>
      <c r="P96" s="6">
        <v>0.41</v>
      </c>
      <c r="Q96" s="6">
        <v>3.94</v>
      </c>
    </row>
    <row r="97" spans="1:22" customFormat="1">
      <c r="A97" s="82">
        <v>45460.927083333336</v>
      </c>
      <c r="B97" s="6">
        <v>9.14</v>
      </c>
      <c r="C97" s="6">
        <v>4.12</v>
      </c>
      <c r="D97" s="6">
        <v>13.93</v>
      </c>
      <c r="E97" s="6">
        <v>9.02</v>
      </c>
      <c r="F97" s="6">
        <v>39.090000000000003</v>
      </c>
      <c r="G97" s="6">
        <v>31.17</v>
      </c>
      <c r="H97" s="6">
        <v>10.89</v>
      </c>
      <c r="I97" s="6">
        <v>3.88</v>
      </c>
      <c r="J97" s="6">
        <v>0.5</v>
      </c>
      <c r="K97" s="6">
        <v>265.36</v>
      </c>
      <c r="L97" s="6">
        <v>32.33</v>
      </c>
      <c r="M97" s="6">
        <v>59.15</v>
      </c>
      <c r="N97" s="6">
        <v>1.6</v>
      </c>
      <c r="O97" s="6">
        <v>0</v>
      </c>
      <c r="P97" s="6">
        <v>0.4</v>
      </c>
      <c r="Q97" s="6">
        <v>3.94</v>
      </c>
    </row>
    <row r="98" spans="1:22" customFormat="1">
      <c r="A98" s="82">
        <v>45460.9375</v>
      </c>
      <c r="B98" s="6">
        <v>9.19</v>
      </c>
      <c r="C98" s="6">
        <v>4.07</v>
      </c>
      <c r="D98" s="6">
        <v>13.95</v>
      </c>
      <c r="E98" s="6">
        <v>8.92</v>
      </c>
      <c r="F98" s="6">
        <v>38.85</v>
      </c>
      <c r="G98" s="6">
        <v>31.17</v>
      </c>
      <c r="H98" s="6">
        <v>10.89</v>
      </c>
      <c r="I98" s="6">
        <v>3.84</v>
      </c>
      <c r="J98" s="6">
        <v>0.32</v>
      </c>
      <c r="K98" s="6">
        <v>242.82</v>
      </c>
      <c r="L98" s="6">
        <v>32.520000000000003</v>
      </c>
      <c r="M98" s="6">
        <v>59.18</v>
      </c>
      <c r="N98" s="6">
        <v>1.5</v>
      </c>
      <c r="O98" s="6">
        <v>0</v>
      </c>
      <c r="P98" s="6">
        <v>0.4</v>
      </c>
      <c r="Q98" s="6">
        <v>3.96</v>
      </c>
    </row>
    <row r="99" spans="1:22" customFormat="1">
      <c r="A99" s="82">
        <v>45460.947916666664</v>
      </c>
      <c r="B99" s="6">
        <v>9.2100000000000009</v>
      </c>
      <c r="C99" s="6">
        <v>4.07</v>
      </c>
      <c r="D99" s="6">
        <v>13.97</v>
      </c>
      <c r="E99" s="6">
        <v>8.85</v>
      </c>
      <c r="F99" s="6">
        <v>37.770000000000003</v>
      </c>
      <c r="G99" s="6">
        <v>31.17</v>
      </c>
      <c r="H99" s="6">
        <v>10.89</v>
      </c>
      <c r="I99" s="6">
        <v>4.03</v>
      </c>
      <c r="J99" s="6">
        <v>0.43</v>
      </c>
      <c r="K99" s="6">
        <v>263.74</v>
      </c>
      <c r="L99" s="6">
        <v>32.299999999999997</v>
      </c>
      <c r="M99" s="6">
        <v>60.41</v>
      </c>
      <c r="N99" s="6">
        <v>1.8</v>
      </c>
      <c r="O99" s="6">
        <v>0</v>
      </c>
      <c r="P99" s="6">
        <v>0.4</v>
      </c>
      <c r="Q99" s="6">
        <v>3.95</v>
      </c>
    </row>
    <row r="100" spans="1:22" customFormat="1">
      <c r="A100" s="82">
        <v>45460.958333333336</v>
      </c>
      <c r="B100" s="6">
        <v>9.1999999999999993</v>
      </c>
      <c r="C100" s="6">
        <v>4.08</v>
      </c>
      <c r="D100" s="6">
        <v>13.96</v>
      </c>
      <c r="E100" s="6">
        <v>8.48</v>
      </c>
      <c r="F100" s="6">
        <v>37.54</v>
      </c>
      <c r="G100" s="6">
        <v>31.06</v>
      </c>
      <c r="H100" s="6">
        <v>11.61</v>
      </c>
      <c r="I100" s="6">
        <v>3.89</v>
      </c>
      <c r="J100" s="6">
        <v>0.31</v>
      </c>
      <c r="K100" s="6">
        <v>242.43</v>
      </c>
      <c r="L100" s="6">
        <v>32.19</v>
      </c>
      <c r="M100" s="6">
        <v>61.15</v>
      </c>
      <c r="N100" s="6">
        <v>1.7</v>
      </c>
      <c r="O100" s="6">
        <v>0</v>
      </c>
      <c r="P100" s="6">
        <v>0.39</v>
      </c>
      <c r="Q100" s="6">
        <v>3.96</v>
      </c>
    </row>
    <row r="101" spans="1:22" customFormat="1">
      <c r="A101" s="82">
        <v>45460.96875</v>
      </c>
      <c r="B101" s="6">
        <v>9.23</v>
      </c>
      <c r="C101" s="6">
        <v>4.08</v>
      </c>
      <c r="D101" s="6">
        <v>13.98</v>
      </c>
      <c r="E101" s="6">
        <v>8.81</v>
      </c>
      <c r="F101" s="6">
        <v>29.77</v>
      </c>
      <c r="G101" s="6">
        <v>30.96</v>
      </c>
      <c r="H101" s="6">
        <v>11.95</v>
      </c>
      <c r="I101" s="6">
        <v>3.99</v>
      </c>
      <c r="J101" s="6">
        <v>0.66</v>
      </c>
      <c r="K101" s="6">
        <v>248.01</v>
      </c>
      <c r="L101" s="6">
        <v>31.99</v>
      </c>
      <c r="M101" s="6">
        <v>61.6</v>
      </c>
      <c r="N101" s="6">
        <v>1.6</v>
      </c>
      <c r="O101" s="6">
        <v>0</v>
      </c>
      <c r="P101" s="6">
        <v>0.38</v>
      </c>
      <c r="Q101" s="6">
        <v>3.98</v>
      </c>
    </row>
    <row r="102" spans="1:22" customFormat="1">
      <c r="A102" s="82">
        <v>45460.979166666664</v>
      </c>
      <c r="B102" s="6">
        <v>9.25</v>
      </c>
      <c r="C102" s="6">
        <v>4.09</v>
      </c>
      <c r="D102" s="6">
        <v>14</v>
      </c>
      <c r="E102" s="6">
        <v>8.34</v>
      </c>
      <c r="F102" s="6">
        <v>29.26</v>
      </c>
      <c r="G102" s="6">
        <v>30.96</v>
      </c>
      <c r="H102" s="6">
        <v>11.95</v>
      </c>
      <c r="I102" s="6">
        <v>3.86</v>
      </c>
      <c r="J102" s="6">
        <v>0.67</v>
      </c>
      <c r="K102" s="6">
        <v>254.68</v>
      </c>
      <c r="L102" s="6">
        <v>32.229999999999997</v>
      </c>
      <c r="M102" s="6">
        <v>60.99</v>
      </c>
      <c r="N102" s="6">
        <v>1.5</v>
      </c>
      <c r="O102" s="6">
        <v>0</v>
      </c>
      <c r="P102" s="6">
        <v>0.37</v>
      </c>
      <c r="Q102" s="6">
        <v>3.97</v>
      </c>
    </row>
    <row r="103" spans="1:22" customFormat="1">
      <c r="A103" s="82">
        <v>45460.989583333336</v>
      </c>
      <c r="B103" s="6">
        <v>9.2899999999999991</v>
      </c>
      <c r="C103" s="6">
        <v>4.09</v>
      </c>
      <c r="D103" s="6">
        <v>14.03</v>
      </c>
      <c r="E103" s="6">
        <v>8.07</v>
      </c>
      <c r="F103" s="6">
        <v>30.9</v>
      </c>
      <c r="G103" s="6">
        <v>30.96</v>
      </c>
      <c r="H103" s="6">
        <v>11.95</v>
      </c>
      <c r="I103" s="6">
        <v>4.29</v>
      </c>
      <c r="J103" s="6">
        <v>0.56000000000000005</v>
      </c>
      <c r="K103" s="6">
        <v>263.55</v>
      </c>
      <c r="L103" s="6">
        <v>32.119999999999997</v>
      </c>
      <c r="M103" s="6">
        <v>61.34</v>
      </c>
      <c r="N103" s="6">
        <v>1.8</v>
      </c>
      <c r="O103" s="6">
        <v>0</v>
      </c>
      <c r="P103" s="6">
        <v>0.36</v>
      </c>
      <c r="Q103" s="6">
        <v>3.96</v>
      </c>
    </row>
    <row r="104" spans="1:22" customFormat="1">
      <c r="A104" s="82">
        <v>45461</v>
      </c>
      <c r="B104" s="6">
        <v>9.3000000000000007</v>
      </c>
      <c r="C104" s="6">
        <v>4.0599999999999996</v>
      </c>
      <c r="D104" s="6">
        <v>14.03</v>
      </c>
      <c r="E104" s="6">
        <v>8.9499999999999993</v>
      </c>
      <c r="F104" s="6">
        <v>34.74</v>
      </c>
      <c r="G104" s="6">
        <v>30.34</v>
      </c>
      <c r="H104" s="6">
        <v>11.87</v>
      </c>
      <c r="I104" s="6">
        <v>4.21</v>
      </c>
      <c r="J104" s="6">
        <v>0.53</v>
      </c>
      <c r="K104" s="6">
        <v>266.12</v>
      </c>
      <c r="L104" s="6">
        <v>31.97</v>
      </c>
      <c r="M104" s="6">
        <v>61.88</v>
      </c>
      <c r="N104" s="6">
        <v>1.8</v>
      </c>
      <c r="O104" s="6">
        <v>0</v>
      </c>
      <c r="P104" s="6">
        <v>0.39</v>
      </c>
      <c r="Q104" s="6">
        <v>3.97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9.1300000000000008</v>
      </c>
      <c r="C106" s="184">
        <f>MIN(C9:C104)</f>
        <v>4.01</v>
      </c>
      <c r="D106" s="184">
        <f t="shared" ref="D106:Q106" si="0">MIN(D9:D104)</f>
        <v>13.89</v>
      </c>
      <c r="E106" s="184">
        <f t="shared" si="0"/>
        <v>8.07</v>
      </c>
      <c r="F106" s="184">
        <f t="shared" si="0"/>
        <v>7.86</v>
      </c>
      <c r="G106" s="184">
        <f t="shared" si="0"/>
        <v>10.42</v>
      </c>
      <c r="H106" s="184">
        <f t="shared" si="0"/>
        <v>7.78</v>
      </c>
      <c r="I106" s="184">
        <f t="shared" si="0"/>
        <v>3.38</v>
      </c>
      <c r="J106" s="184">
        <f t="shared" si="0"/>
        <v>0.16</v>
      </c>
      <c r="K106" s="184">
        <f t="shared" si="0"/>
        <v>193.51</v>
      </c>
      <c r="L106" s="184">
        <f t="shared" si="0"/>
        <v>29.7</v>
      </c>
      <c r="M106" s="184">
        <f t="shared" si="0"/>
        <v>42.84</v>
      </c>
      <c r="N106" s="184">
        <f t="shared" si="0"/>
        <v>1.4</v>
      </c>
      <c r="O106" s="184">
        <f t="shared" si="0"/>
        <v>0</v>
      </c>
      <c r="P106" s="184">
        <f t="shared" si="0"/>
        <v>0.25</v>
      </c>
      <c r="Q106" s="184">
        <f t="shared" si="0"/>
        <v>3.92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9.3000000000000007</v>
      </c>
      <c r="C107" s="185">
        <f t="shared" ref="C107:Q107" si="1">MAX(C9:C104)</f>
        <v>4.12</v>
      </c>
      <c r="D107" s="185">
        <f t="shared" si="1"/>
        <v>14.03</v>
      </c>
      <c r="E107" s="185">
        <f t="shared" si="1"/>
        <v>22.86</v>
      </c>
      <c r="F107" s="185">
        <f t="shared" si="1"/>
        <v>48.61</v>
      </c>
      <c r="G107" s="185">
        <f t="shared" si="1"/>
        <v>65.95</v>
      </c>
      <c r="H107" s="185">
        <f t="shared" si="1"/>
        <v>28.21</v>
      </c>
      <c r="I107" s="185">
        <f t="shared" si="1"/>
        <v>7.88</v>
      </c>
      <c r="J107" s="185">
        <f t="shared" si="1"/>
        <v>1.52</v>
      </c>
      <c r="K107" s="185">
        <f t="shared" si="1"/>
        <v>285.60000000000002</v>
      </c>
      <c r="L107" s="185">
        <f t="shared" si="1"/>
        <v>37.729999999999997</v>
      </c>
      <c r="M107" s="185">
        <f t="shared" si="1"/>
        <v>61.88</v>
      </c>
      <c r="N107" s="185">
        <f t="shared" si="1"/>
        <v>443.8</v>
      </c>
      <c r="O107" s="185">
        <f t="shared" si="1"/>
        <v>0</v>
      </c>
      <c r="P107" s="185">
        <f t="shared" si="1"/>
        <v>0.74</v>
      </c>
      <c r="Q107" s="185">
        <f t="shared" si="1"/>
        <v>4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9.1952083333333352</v>
      </c>
      <c r="C108" s="184">
        <f t="shared" ref="C108:Q108" si="2">AVERAGE(C9:C104)</f>
        <v>4.0723958333333323</v>
      </c>
      <c r="D108" s="184">
        <f t="shared" si="2"/>
        <v>13.951041666666677</v>
      </c>
      <c r="E108" s="184">
        <f t="shared" si="2"/>
        <v>11.366979166666669</v>
      </c>
      <c r="F108" s="184">
        <f t="shared" si="2"/>
        <v>24.303645833333331</v>
      </c>
      <c r="G108" s="184">
        <f t="shared" si="2"/>
        <v>28.124479166666671</v>
      </c>
      <c r="H108" s="184">
        <f t="shared" si="2"/>
        <v>12.504270833333335</v>
      </c>
      <c r="I108" s="184">
        <f t="shared" si="2"/>
        <v>4.4162499999999989</v>
      </c>
      <c r="J108" s="184">
        <f t="shared" si="2"/>
        <v>0.74312500000000048</v>
      </c>
      <c r="K108" s="184">
        <f t="shared" si="2"/>
        <v>260.22718749999996</v>
      </c>
      <c r="L108" s="184">
        <f t="shared" si="2"/>
        <v>33.049270833333317</v>
      </c>
      <c r="M108" s="184">
        <f t="shared" si="2"/>
        <v>53.597395833333337</v>
      </c>
      <c r="N108" s="184">
        <f t="shared" si="2"/>
        <v>98.64791666666666</v>
      </c>
      <c r="O108" s="184">
        <f t="shared" si="2"/>
        <v>0</v>
      </c>
      <c r="P108" s="184">
        <f t="shared" si="2"/>
        <v>0.39333333333333315</v>
      </c>
      <c r="Q108" s="184">
        <f t="shared" si="2"/>
        <v>3.9530208333333312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3.592328570913788E-2</v>
      </c>
      <c r="C109" s="184">
        <f t="shared" ref="C109:Q109" si="3">STDEV(C9:C104)</f>
        <v>1.7576586799170447E-2</v>
      </c>
      <c r="D109" s="184">
        <f t="shared" si="3"/>
        <v>2.9072655507291049E-2</v>
      </c>
      <c r="E109" s="184">
        <f t="shared" si="3"/>
        <v>3.2285333544217925</v>
      </c>
      <c r="F109" s="184">
        <f t="shared" si="3"/>
        <v>10.500508771612894</v>
      </c>
      <c r="G109" s="184">
        <f t="shared" si="3"/>
        <v>10.93849377390082</v>
      </c>
      <c r="H109" s="184">
        <f t="shared" si="3"/>
        <v>3.8856274287881623</v>
      </c>
      <c r="I109" s="184">
        <f t="shared" si="3"/>
        <v>0.9888603222104263</v>
      </c>
      <c r="J109" s="184">
        <f t="shared" si="3"/>
        <v>0.31237734434999814</v>
      </c>
      <c r="K109" s="184">
        <f t="shared" si="3"/>
        <v>15.016740252001899</v>
      </c>
      <c r="L109" s="184">
        <f t="shared" si="3"/>
        <v>2.4703667934740854</v>
      </c>
      <c r="M109" s="184">
        <f t="shared" si="3"/>
        <v>5.9604020077757927</v>
      </c>
      <c r="N109" s="184">
        <f t="shared" si="3"/>
        <v>126.2543597822868</v>
      </c>
      <c r="O109" s="184">
        <f t="shared" si="3"/>
        <v>0</v>
      </c>
      <c r="P109" s="184">
        <f t="shared" si="3"/>
        <v>9.6939119979791002E-2</v>
      </c>
      <c r="Q109" s="184">
        <f t="shared" si="3"/>
        <v>1.6229913361423067E-2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45461.010416666664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45461.010416666664</v>
      </c>
      <c r="B9" s="6">
        <v>9.17</v>
      </c>
      <c r="C9" s="6">
        <v>4.05</v>
      </c>
      <c r="D9" s="6">
        <v>13.92</v>
      </c>
      <c r="E9" s="6">
        <v>10.44</v>
      </c>
      <c r="F9" s="6">
        <v>33.369999999999997</v>
      </c>
      <c r="G9" s="6">
        <v>29.74</v>
      </c>
      <c r="H9" s="6">
        <v>11.83</v>
      </c>
      <c r="I9" s="6">
        <v>3.97</v>
      </c>
      <c r="J9" s="6">
        <v>0.44</v>
      </c>
      <c r="K9" s="6">
        <v>269.45</v>
      </c>
      <c r="L9" s="6">
        <v>31.89</v>
      </c>
      <c r="M9" s="6">
        <v>62.14</v>
      </c>
      <c r="N9" s="6">
        <v>1.7</v>
      </c>
      <c r="O9" s="6">
        <v>0</v>
      </c>
      <c r="P9" s="6">
        <v>0.52</v>
      </c>
      <c r="Q9" s="6">
        <v>3.97</v>
      </c>
    </row>
    <row r="10" spans="1:21" customFormat="1">
      <c r="A10" s="82">
        <v>45461.020833333336</v>
      </c>
      <c r="B10" s="6">
        <v>9.16</v>
      </c>
      <c r="C10" s="6">
        <v>4.05</v>
      </c>
      <c r="D10" s="6">
        <v>13.92</v>
      </c>
      <c r="E10" s="6">
        <v>14.56</v>
      </c>
      <c r="F10" s="6">
        <v>22.7</v>
      </c>
      <c r="G10" s="6">
        <v>29.74</v>
      </c>
      <c r="H10" s="6">
        <v>11.83</v>
      </c>
      <c r="I10" s="6">
        <v>4.45</v>
      </c>
      <c r="J10" s="6">
        <v>0.71</v>
      </c>
      <c r="K10" s="6">
        <v>275.63</v>
      </c>
      <c r="L10" s="6">
        <v>32.03</v>
      </c>
      <c r="M10" s="6">
        <v>60.62</v>
      </c>
      <c r="N10" s="6">
        <v>1.5</v>
      </c>
      <c r="O10" s="6">
        <v>0</v>
      </c>
      <c r="P10" s="6">
        <v>0.66</v>
      </c>
      <c r="Q10" s="6">
        <v>3.96</v>
      </c>
    </row>
    <row r="11" spans="1:21" customFormat="1">
      <c r="A11" s="82">
        <v>45461.03125</v>
      </c>
      <c r="B11" s="6">
        <v>9.1</v>
      </c>
      <c r="C11" s="6">
        <v>4.04</v>
      </c>
      <c r="D11" s="6">
        <v>13.86</v>
      </c>
      <c r="E11" s="6">
        <v>17.77</v>
      </c>
      <c r="F11" s="6">
        <v>27.83</v>
      </c>
      <c r="G11" s="6">
        <v>29.74</v>
      </c>
      <c r="H11" s="6">
        <v>11.83</v>
      </c>
      <c r="I11" s="6">
        <v>6.37</v>
      </c>
      <c r="J11" s="6">
        <v>0.93</v>
      </c>
      <c r="K11" s="6">
        <v>265.73</v>
      </c>
      <c r="L11" s="6">
        <v>31.98</v>
      </c>
      <c r="M11" s="6">
        <v>58.35</v>
      </c>
      <c r="N11" s="6">
        <v>1.7</v>
      </c>
      <c r="O11" s="6">
        <v>0</v>
      </c>
      <c r="P11" s="6">
        <v>0.59</v>
      </c>
      <c r="Q11" s="6">
        <v>3.97</v>
      </c>
    </row>
    <row r="12" spans="1:21" customFormat="1">
      <c r="A12" s="82">
        <v>45461.041666666664</v>
      </c>
      <c r="B12" s="6">
        <v>9.08</v>
      </c>
      <c r="C12" s="6">
        <v>4.07</v>
      </c>
      <c r="D12" s="6">
        <v>13.86</v>
      </c>
      <c r="E12" s="6">
        <v>20.76</v>
      </c>
      <c r="F12" s="6">
        <v>22.55</v>
      </c>
      <c r="G12" s="6">
        <v>31.56</v>
      </c>
      <c r="H12" s="6">
        <v>12.06</v>
      </c>
      <c r="I12" s="6">
        <v>7.62</v>
      </c>
      <c r="J12" s="6">
        <v>0.81</v>
      </c>
      <c r="K12" s="6">
        <v>268.83999999999997</v>
      </c>
      <c r="L12" s="6">
        <v>31.89</v>
      </c>
      <c r="M12" s="6">
        <v>56.99</v>
      </c>
      <c r="N12" s="6">
        <v>1.8</v>
      </c>
      <c r="O12" s="6">
        <v>0</v>
      </c>
      <c r="P12" s="6">
        <v>0.73</v>
      </c>
      <c r="Q12" s="6">
        <v>3.97</v>
      </c>
    </row>
    <row r="13" spans="1:21" customFormat="1">
      <c r="A13" s="82">
        <v>45461.052083333336</v>
      </c>
      <c r="B13" s="6">
        <v>9.07</v>
      </c>
      <c r="C13" s="6">
        <v>4.0599999999999996</v>
      </c>
      <c r="D13" s="6">
        <v>13.84</v>
      </c>
      <c r="E13" s="6">
        <v>14.83</v>
      </c>
      <c r="F13" s="6">
        <v>10.92</v>
      </c>
      <c r="G13" s="6">
        <v>33.31</v>
      </c>
      <c r="H13" s="6">
        <v>12.17</v>
      </c>
      <c r="I13" s="6">
        <v>6.26</v>
      </c>
      <c r="J13" s="6">
        <v>0.93</v>
      </c>
      <c r="K13" s="6">
        <v>258.70999999999998</v>
      </c>
      <c r="L13" s="6">
        <v>31.66</v>
      </c>
      <c r="M13" s="6">
        <v>56.29</v>
      </c>
      <c r="N13" s="6">
        <v>2.1</v>
      </c>
      <c r="O13" s="6">
        <v>0</v>
      </c>
      <c r="P13" s="6">
        <v>0.51</v>
      </c>
      <c r="Q13" s="6">
        <v>3.95</v>
      </c>
    </row>
    <row r="14" spans="1:21" customFormat="1">
      <c r="A14" s="82">
        <v>45461.0625</v>
      </c>
      <c r="B14" s="6">
        <v>9.06</v>
      </c>
      <c r="C14" s="6">
        <v>4.03</v>
      </c>
      <c r="D14" s="6">
        <v>13.82</v>
      </c>
      <c r="E14" s="6">
        <v>11.85</v>
      </c>
      <c r="F14" s="6">
        <v>9.81</v>
      </c>
      <c r="G14" s="6">
        <v>33.31</v>
      </c>
      <c r="H14" s="6">
        <v>12.17</v>
      </c>
      <c r="I14" s="6">
        <v>6.39</v>
      </c>
      <c r="J14" s="6">
        <v>1.44</v>
      </c>
      <c r="K14" s="6">
        <v>262.10000000000002</v>
      </c>
      <c r="L14" s="6">
        <v>31.49</v>
      </c>
      <c r="M14" s="6">
        <v>54.59</v>
      </c>
      <c r="N14" s="6">
        <v>2</v>
      </c>
      <c r="O14" s="6">
        <v>0</v>
      </c>
      <c r="P14" s="6">
        <v>0.54</v>
      </c>
      <c r="Q14" s="6">
        <v>3.95</v>
      </c>
    </row>
    <row r="15" spans="1:21" customFormat="1">
      <c r="A15" s="82">
        <v>45461.072916666664</v>
      </c>
      <c r="B15" s="6">
        <v>9.07</v>
      </c>
      <c r="C15" s="6">
        <v>4.0599999999999996</v>
      </c>
      <c r="D15" s="6">
        <v>13.84</v>
      </c>
      <c r="E15" s="6">
        <v>11.19</v>
      </c>
      <c r="F15" s="6">
        <v>9.7200000000000006</v>
      </c>
      <c r="G15" s="6">
        <v>33.31</v>
      </c>
      <c r="H15" s="6">
        <v>12.17</v>
      </c>
      <c r="I15" s="6">
        <v>5.93</v>
      </c>
      <c r="J15" s="6">
        <v>1.28</v>
      </c>
      <c r="K15" s="6">
        <v>262.01</v>
      </c>
      <c r="L15" s="6">
        <v>31.18</v>
      </c>
      <c r="M15" s="6">
        <v>55.56</v>
      </c>
      <c r="N15" s="6">
        <v>2.1</v>
      </c>
      <c r="O15" s="6">
        <v>0</v>
      </c>
      <c r="P15" s="6">
        <v>0.53</v>
      </c>
      <c r="Q15" s="6">
        <v>3.94</v>
      </c>
    </row>
    <row r="16" spans="1:21" customFormat="1">
      <c r="A16" s="82">
        <v>45461.083333333336</v>
      </c>
      <c r="B16" s="6">
        <v>9.09</v>
      </c>
      <c r="C16" s="6">
        <v>4.0599999999999996</v>
      </c>
      <c r="D16" s="6">
        <v>13.86</v>
      </c>
      <c r="E16" s="6">
        <v>11.21</v>
      </c>
      <c r="F16" s="6">
        <v>10.67</v>
      </c>
      <c r="G16" s="6">
        <v>34</v>
      </c>
      <c r="H16" s="6">
        <v>12.02</v>
      </c>
      <c r="I16" s="6">
        <v>6.07</v>
      </c>
      <c r="J16" s="6">
        <v>1.1599999999999999</v>
      </c>
      <c r="K16" s="6">
        <v>270.95999999999998</v>
      </c>
      <c r="L16" s="6">
        <v>30.94</v>
      </c>
      <c r="M16" s="6">
        <v>56.38</v>
      </c>
      <c r="N16" s="6">
        <v>2.1</v>
      </c>
      <c r="O16" s="6">
        <v>0</v>
      </c>
      <c r="P16" s="6">
        <v>0.52</v>
      </c>
      <c r="Q16" s="6">
        <v>3.91</v>
      </c>
    </row>
    <row r="17" spans="1:17" customFormat="1">
      <c r="A17" s="82">
        <v>45461.09375</v>
      </c>
      <c r="B17" s="6">
        <v>9.08</v>
      </c>
      <c r="C17" s="6">
        <v>4.04</v>
      </c>
      <c r="D17" s="6">
        <v>13.84</v>
      </c>
      <c r="E17" s="6">
        <v>11.35</v>
      </c>
      <c r="F17" s="6">
        <v>8.66</v>
      </c>
      <c r="G17" s="6">
        <v>34.659999999999997</v>
      </c>
      <c r="H17" s="6">
        <v>11.87</v>
      </c>
      <c r="I17" s="6">
        <v>5.77</v>
      </c>
      <c r="J17" s="6">
        <v>1.26</v>
      </c>
      <c r="K17" s="6">
        <v>270.27999999999997</v>
      </c>
      <c r="L17" s="6">
        <v>30.75</v>
      </c>
      <c r="M17" s="6">
        <v>57.21</v>
      </c>
      <c r="N17" s="6">
        <v>2.1</v>
      </c>
      <c r="O17" s="6">
        <v>0</v>
      </c>
      <c r="P17" s="6">
        <v>0.52</v>
      </c>
      <c r="Q17" s="6">
        <v>3.92</v>
      </c>
    </row>
    <row r="18" spans="1:17" customFormat="1">
      <c r="A18" s="82">
        <v>45461.104166666664</v>
      </c>
      <c r="B18" s="6">
        <v>9.07</v>
      </c>
      <c r="C18" s="6">
        <v>4.05</v>
      </c>
      <c r="D18" s="6">
        <v>13.84</v>
      </c>
      <c r="E18" s="6">
        <v>12.94</v>
      </c>
      <c r="F18" s="6">
        <v>8.57</v>
      </c>
      <c r="G18" s="6">
        <v>34.659999999999997</v>
      </c>
      <c r="H18" s="6">
        <v>11.87</v>
      </c>
      <c r="I18" s="6">
        <v>5.57</v>
      </c>
      <c r="J18" s="6">
        <v>1.54</v>
      </c>
      <c r="K18" s="6">
        <v>266.56</v>
      </c>
      <c r="L18" s="6">
        <v>30.52</v>
      </c>
      <c r="M18" s="6">
        <v>58.39</v>
      </c>
      <c r="N18" s="6">
        <v>2.1</v>
      </c>
      <c r="O18" s="6">
        <v>0</v>
      </c>
      <c r="P18" s="6">
        <v>0.52</v>
      </c>
      <c r="Q18" s="6">
        <v>3.93</v>
      </c>
    </row>
    <row r="19" spans="1:17" customFormat="1">
      <c r="A19" s="82">
        <v>45461.114583333336</v>
      </c>
      <c r="B19" s="6">
        <v>9.07</v>
      </c>
      <c r="C19" s="6">
        <v>4.04</v>
      </c>
      <c r="D19" s="6">
        <v>13.84</v>
      </c>
      <c r="E19" s="6">
        <v>14.71</v>
      </c>
      <c r="F19" s="6">
        <v>7.69</v>
      </c>
      <c r="G19" s="6">
        <v>34.659999999999997</v>
      </c>
      <c r="H19" s="6">
        <v>11.87</v>
      </c>
      <c r="I19" s="6">
        <v>5.65</v>
      </c>
      <c r="J19" s="6">
        <v>1.18</v>
      </c>
      <c r="K19" s="6">
        <v>270.13</v>
      </c>
      <c r="L19" s="6">
        <v>30.29</v>
      </c>
      <c r="M19" s="6">
        <v>59.51</v>
      </c>
      <c r="N19" s="6">
        <v>2.1</v>
      </c>
      <c r="O19" s="6">
        <v>0</v>
      </c>
      <c r="P19" s="6">
        <v>0.54</v>
      </c>
      <c r="Q19" s="6">
        <v>3.94</v>
      </c>
    </row>
    <row r="20" spans="1:17" customFormat="1">
      <c r="A20" s="82">
        <v>45461.125</v>
      </c>
      <c r="B20" s="6">
        <v>9.06</v>
      </c>
      <c r="C20" s="6">
        <v>4.07</v>
      </c>
      <c r="D20" s="6">
        <v>13.85</v>
      </c>
      <c r="E20" s="6">
        <v>14.77</v>
      </c>
      <c r="F20" s="6">
        <v>9.94</v>
      </c>
      <c r="G20" s="6">
        <v>34.4</v>
      </c>
      <c r="H20" s="6">
        <v>11</v>
      </c>
      <c r="I20" s="6">
        <v>5.63</v>
      </c>
      <c r="J20" s="6">
        <v>1.04</v>
      </c>
      <c r="K20" s="6">
        <v>268.10000000000002</v>
      </c>
      <c r="L20" s="6">
        <v>30.07</v>
      </c>
      <c r="M20" s="6">
        <v>60.49</v>
      </c>
      <c r="N20" s="6">
        <v>2</v>
      </c>
      <c r="O20" s="6">
        <v>0</v>
      </c>
      <c r="P20" s="6">
        <v>0.53</v>
      </c>
      <c r="Q20" s="6">
        <v>3.93</v>
      </c>
    </row>
    <row r="21" spans="1:17" customFormat="1">
      <c r="A21" s="82">
        <v>45461.135416666664</v>
      </c>
      <c r="B21" s="6">
        <v>9.08</v>
      </c>
      <c r="C21" s="6">
        <v>4.0599999999999996</v>
      </c>
      <c r="D21" s="6">
        <v>13.85</v>
      </c>
      <c r="E21" s="6">
        <v>11.54</v>
      </c>
      <c r="F21" s="6">
        <v>8.83</v>
      </c>
      <c r="G21" s="6">
        <v>34.159999999999997</v>
      </c>
      <c r="H21" s="6">
        <v>10.59</v>
      </c>
      <c r="I21" s="6">
        <v>5.68</v>
      </c>
      <c r="J21" s="6">
        <v>1.22</v>
      </c>
      <c r="K21" s="6">
        <v>263.57</v>
      </c>
      <c r="L21" s="6">
        <v>29.89</v>
      </c>
      <c r="M21" s="6">
        <v>61.01</v>
      </c>
      <c r="N21" s="6">
        <v>2</v>
      </c>
      <c r="O21" s="6">
        <v>0</v>
      </c>
      <c r="P21" s="6">
        <v>0.51</v>
      </c>
      <c r="Q21" s="6">
        <v>3.94</v>
      </c>
    </row>
    <row r="22" spans="1:17" customFormat="1">
      <c r="A22" s="82">
        <v>45461.145833333336</v>
      </c>
      <c r="B22" s="6">
        <v>9.08</v>
      </c>
      <c r="C22" s="6">
        <v>4.07</v>
      </c>
      <c r="D22" s="6">
        <v>13.86</v>
      </c>
      <c r="E22" s="6">
        <v>11.13</v>
      </c>
      <c r="F22" s="6">
        <v>8.85</v>
      </c>
      <c r="G22" s="6">
        <v>34.159999999999997</v>
      </c>
      <c r="H22" s="6">
        <v>10.59</v>
      </c>
      <c r="I22" s="6">
        <v>5.53</v>
      </c>
      <c r="J22" s="6">
        <v>0.9</v>
      </c>
      <c r="K22" s="6">
        <v>274.81</v>
      </c>
      <c r="L22" s="6">
        <v>29.84</v>
      </c>
      <c r="M22" s="6">
        <v>61.29</v>
      </c>
      <c r="N22" s="6">
        <v>1.7</v>
      </c>
      <c r="O22" s="6">
        <v>0</v>
      </c>
      <c r="P22" s="6">
        <v>0.49</v>
      </c>
      <c r="Q22" s="6">
        <v>3.92</v>
      </c>
    </row>
    <row r="23" spans="1:17" customFormat="1">
      <c r="A23" s="82">
        <v>45461.15625</v>
      </c>
      <c r="B23" s="6">
        <v>9.08</v>
      </c>
      <c r="C23" s="6">
        <v>4.07</v>
      </c>
      <c r="D23" s="6">
        <v>13.86</v>
      </c>
      <c r="E23" s="6">
        <v>11.36</v>
      </c>
      <c r="F23" s="6">
        <v>8.77</v>
      </c>
      <c r="G23" s="6">
        <v>34.159999999999997</v>
      </c>
      <c r="H23" s="6">
        <v>10.59</v>
      </c>
      <c r="I23" s="6">
        <v>5.36</v>
      </c>
      <c r="J23" s="6">
        <v>0.94</v>
      </c>
      <c r="K23" s="6">
        <v>272.39</v>
      </c>
      <c r="L23" s="6">
        <v>29.84</v>
      </c>
      <c r="M23" s="6">
        <v>61.37</v>
      </c>
      <c r="N23" s="6">
        <v>1.8</v>
      </c>
      <c r="O23" s="6">
        <v>0</v>
      </c>
      <c r="P23" s="6">
        <v>0.49</v>
      </c>
      <c r="Q23" s="6">
        <v>3.95</v>
      </c>
    </row>
    <row r="24" spans="1:17" customFormat="1">
      <c r="A24" s="82">
        <v>45461.166666666664</v>
      </c>
      <c r="B24" s="6">
        <v>9.08</v>
      </c>
      <c r="C24" s="6">
        <v>4.08</v>
      </c>
      <c r="D24" s="6">
        <v>13.86</v>
      </c>
      <c r="E24" s="6">
        <v>11.3</v>
      </c>
      <c r="F24" s="6">
        <v>9.31</v>
      </c>
      <c r="G24" s="6">
        <v>30.74</v>
      </c>
      <c r="H24" s="6">
        <v>11.23</v>
      </c>
      <c r="I24" s="6">
        <v>5.23</v>
      </c>
      <c r="J24" s="6">
        <v>0.95</v>
      </c>
      <c r="K24" s="6">
        <v>265.02999999999997</v>
      </c>
      <c r="L24" s="6">
        <v>29.78</v>
      </c>
      <c r="M24" s="6">
        <v>61.83</v>
      </c>
      <c r="N24" s="6">
        <v>1.9</v>
      </c>
      <c r="O24" s="6">
        <v>0</v>
      </c>
      <c r="P24" s="6">
        <v>0.48</v>
      </c>
      <c r="Q24" s="6">
        <v>3.93</v>
      </c>
    </row>
    <row r="25" spans="1:17" customFormat="1">
      <c r="A25" s="82">
        <v>45461.177083333336</v>
      </c>
      <c r="B25" s="6">
        <v>9.08</v>
      </c>
      <c r="C25" s="6">
        <v>4.09</v>
      </c>
      <c r="D25" s="6">
        <v>13.87</v>
      </c>
      <c r="E25" s="6">
        <v>11.26</v>
      </c>
      <c r="F25" s="6">
        <v>8.67</v>
      </c>
      <c r="G25" s="6">
        <v>27.32</v>
      </c>
      <c r="H25" s="6">
        <v>11.52</v>
      </c>
      <c r="I25" s="6">
        <v>5.13</v>
      </c>
      <c r="J25" s="6">
        <v>0.76</v>
      </c>
      <c r="K25" s="6">
        <v>268.89999999999998</v>
      </c>
      <c r="L25" s="6">
        <v>29.79</v>
      </c>
      <c r="M25" s="6">
        <v>62.12</v>
      </c>
      <c r="N25" s="6">
        <v>1.9</v>
      </c>
      <c r="O25" s="6">
        <v>0</v>
      </c>
      <c r="P25" s="6">
        <v>0.48</v>
      </c>
      <c r="Q25" s="6">
        <v>3.94</v>
      </c>
    </row>
    <row r="26" spans="1:17" customFormat="1">
      <c r="A26" s="82">
        <v>45461.1875</v>
      </c>
      <c r="B26" s="6">
        <v>9.07</v>
      </c>
      <c r="C26" s="6">
        <v>4.0999999999999996</v>
      </c>
      <c r="D26" s="6">
        <v>13.87</v>
      </c>
      <c r="E26" s="6">
        <v>11.32</v>
      </c>
      <c r="F26" s="6">
        <v>8.6</v>
      </c>
      <c r="G26" s="6">
        <v>27.32</v>
      </c>
      <c r="H26" s="6">
        <v>11.52</v>
      </c>
      <c r="I26" s="6">
        <v>5.0599999999999996</v>
      </c>
      <c r="J26" s="6">
        <v>0.69</v>
      </c>
      <c r="K26" s="6">
        <v>256.01</v>
      </c>
      <c r="L26" s="6">
        <v>29.69</v>
      </c>
      <c r="M26" s="6">
        <v>62.75</v>
      </c>
      <c r="N26" s="6">
        <v>2</v>
      </c>
      <c r="O26" s="6">
        <v>0</v>
      </c>
      <c r="P26" s="6">
        <v>0.48</v>
      </c>
      <c r="Q26" s="6">
        <v>3.93</v>
      </c>
    </row>
    <row r="27" spans="1:17" customFormat="1">
      <c r="A27" s="82">
        <v>45461.197916666664</v>
      </c>
      <c r="B27" s="6">
        <v>9.07</v>
      </c>
      <c r="C27" s="6">
        <v>4.05</v>
      </c>
      <c r="D27" s="6">
        <v>13.84</v>
      </c>
      <c r="E27" s="6">
        <v>10.62</v>
      </c>
      <c r="F27" s="6">
        <v>8.07</v>
      </c>
      <c r="G27" s="6">
        <v>27.32</v>
      </c>
      <c r="H27" s="6">
        <v>11.52</v>
      </c>
      <c r="I27" s="6">
        <v>4.9800000000000004</v>
      </c>
      <c r="J27" s="6">
        <v>0.74</v>
      </c>
      <c r="K27" s="6">
        <v>260.64</v>
      </c>
      <c r="L27" s="6">
        <v>29.61</v>
      </c>
      <c r="M27" s="6">
        <v>63.21</v>
      </c>
      <c r="N27" s="6">
        <v>1.8</v>
      </c>
      <c r="O27" s="6">
        <v>0</v>
      </c>
      <c r="P27" s="6">
        <v>0.47</v>
      </c>
      <c r="Q27" s="6">
        <v>3.94</v>
      </c>
    </row>
    <row r="28" spans="1:17" customFormat="1">
      <c r="A28" s="82">
        <v>45461.208333333336</v>
      </c>
      <c r="B28" s="6">
        <v>9.06</v>
      </c>
      <c r="C28" s="6">
        <v>4.05</v>
      </c>
      <c r="D28" s="6">
        <v>13.83</v>
      </c>
      <c r="E28" s="6">
        <v>10.51</v>
      </c>
      <c r="F28" s="6">
        <v>8.42</v>
      </c>
      <c r="G28" s="6">
        <v>25.75</v>
      </c>
      <c r="H28" s="6">
        <v>10.34</v>
      </c>
      <c r="I28" s="6">
        <v>4.88</v>
      </c>
      <c r="J28" s="6">
        <v>0.87</v>
      </c>
      <c r="K28" s="6">
        <v>266.17</v>
      </c>
      <c r="L28" s="6">
        <v>29.4</v>
      </c>
      <c r="M28" s="6">
        <v>63.95</v>
      </c>
      <c r="N28" s="6">
        <v>2</v>
      </c>
      <c r="O28" s="6">
        <v>0</v>
      </c>
      <c r="P28" s="6">
        <v>0.45</v>
      </c>
      <c r="Q28" s="6">
        <v>3.96</v>
      </c>
    </row>
    <row r="29" spans="1:17" customFormat="1">
      <c r="A29" s="82">
        <v>45461.21875</v>
      </c>
      <c r="B29" s="6">
        <v>9.09</v>
      </c>
      <c r="C29" s="6">
        <v>4.0599999999999996</v>
      </c>
      <c r="D29" s="6">
        <v>13.86</v>
      </c>
      <c r="E29" s="6">
        <v>10.09</v>
      </c>
      <c r="F29" s="6">
        <v>7.53</v>
      </c>
      <c r="G29" s="6">
        <v>24.24</v>
      </c>
      <c r="H29" s="6">
        <v>9.7899999999999991</v>
      </c>
      <c r="I29" s="6">
        <v>4.87</v>
      </c>
      <c r="J29" s="6">
        <v>0.71</v>
      </c>
      <c r="K29" s="6">
        <v>263.88</v>
      </c>
      <c r="L29" s="6">
        <v>29.34</v>
      </c>
      <c r="M29" s="6">
        <v>64.03</v>
      </c>
      <c r="N29" s="6">
        <v>2.9</v>
      </c>
      <c r="O29" s="6">
        <v>0</v>
      </c>
      <c r="P29" s="6">
        <v>0.45</v>
      </c>
      <c r="Q29" s="6">
        <v>3.97</v>
      </c>
    </row>
    <row r="30" spans="1:17" customFormat="1">
      <c r="A30" s="82">
        <v>45461.229166666664</v>
      </c>
      <c r="B30" s="6">
        <v>9.09</v>
      </c>
      <c r="C30" s="6">
        <v>4.08</v>
      </c>
      <c r="D30" s="6">
        <v>13.88</v>
      </c>
      <c r="E30" s="6">
        <v>10.59</v>
      </c>
      <c r="F30" s="6">
        <v>8.68</v>
      </c>
      <c r="G30" s="6">
        <v>24.24</v>
      </c>
      <c r="H30" s="6">
        <v>9.7899999999999991</v>
      </c>
      <c r="I30" s="6">
        <v>4.7</v>
      </c>
      <c r="J30" s="6">
        <v>0.6</v>
      </c>
      <c r="K30" s="6">
        <v>265.89</v>
      </c>
      <c r="L30" s="6">
        <v>29.26</v>
      </c>
      <c r="M30" s="6">
        <v>64.36</v>
      </c>
      <c r="N30" s="6">
        <v>8.9</v>
      </c>
      <c r="O30" s="6">
        <v>0</v>
      </c>
      <c r="P30" s="6">
        <v>0.43</v>
      </c>
      <c r="Q30" s="6">
        <v>3.95</v>
      </c>
    </row>
    <row r="31" spans="1:17" customFormat="1">
      <c r="A31" s="82">
        <v>45461.239583333336</v>
      </c>
      <c r="B31" s="6">
        <v>9.09</v>
      </c>
      <c r="C31" s="6">
        <v>4.08</v>
      </c>
      <c r="D31" s="6">
        <v>13.87</v>
      </c>
      <c r="E31" s="6">
        <v>10.31</v>
      </c>
      <c r="F31" s="6">
        <v>9.27</v>
      </c>
      <c r="G31" s="6">
        <v>24.24</v>
      </c>
      <c r="H31" s="6">
        <v>9.7899999999999991</v>
      </c>
      <c r="I31" s="6">
        <v>4.7300000000000004</v>
      </c>
      <c r="J31" s="6">
        <v>0.49</v>
      </c>
      <c r="K31" s="6">
        <v>259.51</v>
      </c>
      <c r="L31" s="6">
        <v>29.39</v>
      </c>
      <c r="M31" s="6">
        <v>63.93</v>
      </c>
      <c r="N31" s="6">
        <v>20.100000000000001</v>
      </c>
      <c r="O31" s="6">
        <v>0</v>
      </c>
      <c r="P31" s="6">
        <v>0.43</v>
      </c>
      <c r="Q31" s="6">
        <v>3.95</v>
      </c>
    </row>
    <row r="32" spans="1:17" customFormat="1">
      <c r="A32" s="82">
        <v>45461.25</v>
      </c>
      <c r="B32" s="6">
        <v>9.09</v>
      </c>
      <c r="C32" s="6">
        <v>4.0599999999999996</v>
      </c>
      <c r="D32" s="6">
        <v>13.86</v>
      </c>
      <c r="E32" s="6">
        <v>10.32</v>
      </c>
      <c r="F32" s="6">
        <v>8.9</v>
      </c>
      <c r="G32" s="6">
        <v>23.72</v>
      </c>
      <c r="H32" s="6">
        <v>9.81</v>
      </c>
      <c r="I32" s="6">
        <v>4.51</v>
      </c>
      <c r="J32" s="6">
        <v>0.68</v>
      </c>
      <c r="K32" s="6">
        <v>258.12</v>
      </c>
      <c r="L32" s="6">
        <v>29.29</v>
      </c>
      <c r="M32" s="6">
        <v>63.85</v>
      </c>
      <c r="N32" s="6">
        <v>34.200000000000003</v>
      </c>
      <c r="O32" s="6">
        <v>0</v>
      </c>
      <c r="P32" s="6">
        <v>0.42</v>
      </c>
      <c r="Q32" s="6">
        <v>3.95</v>
      </c>
    </row>
    <row r="33" spans="1:17" customFormat="1">
      <c r="A33" s="82">
        <v>45461.260416666664</v>
      </c>
      <c r="B33" s="6">
        <v>9.1</v>
      </c>
      <c r="C33" s="6">
        <v>4.05</v>
      </c>
      <c r="D33" s="6">
        <v>13.86</v>
      </c>
      <c r="E33" s="6">
        <v>10.81</v>
      </c>
      <c r="F33" s="6">
        <v>12.74</v>
      </c>
      <c r="G33" s="6">
        <v>23.23</v>
      </c>
      <c r="H33" s="6">
        <v>9.82</v>
      </c>
      <c r="I33" s="6">
        <v>4.45</v>
      </c>
      <c r="J33" s="6">
        <v>0.61</v>
      </c>
      <c r="K33" s="6">
        <v>268.77</v>
      </c>
      <c r="L33" s="6">
        <v>29.46</v>
      </c>
      <c r="M33" s="6">
        <v>64.22</v>
      </c>
      <c r="N33" s="6">
        <v>48.9</v>
      </c>
      <c r="O33" s="6">
        <v>0</v>
      </c>
      <c r="P33" s="6">
        <v>0.4</v>
      </c>
      <c r="Q33" s="6">
        <v>3.94</v>
      </c>
    </row>
    <row r="34" spans="1:17" customFormat="1">
      <c r="A34" s="82">
        <v>45461.270833333336</v>
      </c>
      <c r="B34" s="6">
        <v>9.11</v>
      </c>
      <c r="C34" s="6">
        <v>4.08</v>
      </c>
      <c r="D34" s="6">
        <v>13.89</v>
      </c>
      <c r="E34" s="6">
        <v>10.46</v>
      </c>
      <c r="F34" s="6">
        <v>11.6</v>
      </c>
      <c r="G34" s="6">
        <v>23.23</v>
      </c>
      <c r="H34" s="6">
        <v>9.82</v>
      </c>
      <c r="I34" s="6">
        <v>4.41</v>
      </c>
      <c r="J34" s="6">
        <v>0.74</v>
      </c>
      <c r="K34" s="6">
        <v>254.94</v>
      </c>
      <c r="L34" s="6">
        <v>29.54</v>
      </c>
      <c r="M34" s="6">
        <v>65.03</v>
      </c>
      <c r="N34" s="6">
        <v>67.400000000000006</v>
      </c>
      <c r="O34" s="6">
        <v>0</v>
      </c>
      <c r="P34" s="6">
        <v>0.39</v>
      </c>
      <c r="Q34" s="6">
        <v>3.94</v>
      </c>
    </row>
    <row r="35" spans="1:17" customFormat="1">
      <c r="A35" s="82">
        <v>45461.28125</v>
      </c>
      <c r="B35" s="6">
        <v>9.1</v>
      </c>
      <c r="C35" s="6">
        <v>4.05</v>
      </c>
      <c r="D35" s="6">
        <v>13.87</v>
      </c>
      <c r="E35" s="6">
        <v>9.8000000000000007</v>
      </c>
      <c r="F35" s="6">
        <v>12.51</v>
      </c>
      <c r="G35" s="6">
        <v>23.23</v>
      </c>
      <c r="H35" s="6">
        <v>9.82</v>
      </c>
      <c r="I35" s="6">
        <v>4.22</v>
      </c>
      <c r="J35" s="6">
        <v>0.66</v>
      </c>
      <c r="K35" s="6">
        <v>253.2</v>
      </c>
      <c r="L35" s="6">
        <v>29.82</v>
      </c>
      <c r="M35" s="6">
        <v>64</v>
      </c>
      <c r="N35" s="6">
        <v>90</v>
      </c>
      <c r="O35" s="6">
        <v>0</v>
      </c>
      <c r="P35" s="6">
        <v>0.37</v>
      </c>
      <c r="Q35" s="6">
        <v>3.95</v>
      </c>
    </row>
    <row r="36" spans="1:17" customFormat="1">
      <c r="A36" s="82">
        <v>45461.291666666664</v>
      </c>
      <c r="B36" s="6">
        <v>9.09</v>
      </c>
      <c r="C36" s="6">
        <v>4.0599999999999996</v>
      </c>
      <c r="D36" s="6">
        <v>13.86</v>
      </c>
      <c r="E36" s="6">
        <v>10.42</v>
      </c>
      <c r="F36" s="6">
        <v>13.08</v>
      </c>
      <c r="G36" s="6">
        <v>20.92</v>
      </c>
      <c r="H36" s="6">
        <v>8.44</v>
      </c>
      <c r="I36" s="6">
        <v>4.28</v>
      </c>
      <c r="J36" s="6">
        <v>0.81</v>
      </c>
      <c r="K36" s="6">
        <v>258.58999999999997</v>
      </c>
      <c r="L36" s="6">
        <v>30.05</v>
      </c>
      <c r="M36" s="6">
        <v>62.82</v>
      </c>
      <c r="N36" s="6">
        <v>113</v>
      </c>
      <c r="O36" s="6">
        <v>0</v>
      </c>
      <c r="P36" s="6">
        <v>0.36</v>
      </c>
      <c r="Q36" s="6">
        <v>3.96</v>
      </c>
    </row>
    <row r="37" spans="1:17" customFormat="1">
      <c r="A37" s="82">
        <v>45461.302083333336</v>
      </c>
      <c r="B37" s="6">
        <v>9.1199999999999992</v>
      </c>
      <c r="C37" s="6">
        <v>4.0599999999999996</v>
      </c>
      <c r="D37" s="6">
        <v>13.88</v>
      </c>
      <c r="E37" s="6">
        <v>10.16</v>
      </c>
      <c r="F37" s="6">
        <v>12.55</v>
      </c>
      <c r="G37" s="6">
        <v>18.71</v>
      </c>
      <c r="H37" s="6">
        <v>7.79</v>
      </c>
      <c r="I37" s="6">
        <v>4.21</v>
      </c>
      <c r="J37" s="6">
        <v>0.88</v>
      </c>
      <c r="K37" s="6">
        <v>260.31</v>
      </c>
      <c r="L37" s="6">
        <v>30.51</v>
      </c>
      <c r="M37" s="6">
        <v>60.77</v>
      </c>
      <c r="N37" s="6">
        <v>131.1</v>
      </c>
      <c r="O37" s="6">
        <v>0</v>
      </c>
      <c r="P37" s="6">
        <v>0.34</v>
      </c>
      <c r="Q37" s="6">
        <v>3.96</v>
      </c>
    </row>
    <row r="38" spans="1:17" customFormat="1">
      <c r="A38" s="82">
        <v>45461.3125</v>
      </c>
      <c r="B38" s="6">
        <v>9.11</v>
      </c>
      <c r="C38" s="6">
        <v>4.05</v>
      </c>
      <c r="D38" s="6">
        <v>13.87</v>
      </c>
      <c r="E38" s="6">
        <v>11.17</v>
      </c>
      <c r="F38" s="6">
        <v>12.87</v>
      </c>
      <c r="G38" s="6">
        <v>18.71</v>
      </c>
      <c r="H38" s="6">
        <v>7.79</v>
      </c>
      <c r="I38" s="6">
        <v>4.13</v>
      </c>
      <c r="J38" s="6">
        <v>1.1100000000000001</v>
      </c>
      <c r="K38" s="6">
        <v>261.24</v>
      </c>
      <c r="L38" s="6">
        <v>30.82</v>
      </c>
      <c r="M38" s="6">
        <v>59.71</v>
      </c>
      <c r="N38" s="6">
        <v>136.4</v>
      </c>
      <c r="O38" s="6">
        <v>0</v>
      </c>
      <c r="P38" s="6">
        <v>0.32</v>
      </c>
      <c r="Q38" s="6">
        <v>3.95</v>
      </c>
    </row>
    <row r="39" spans="1:17" customFormat="1">
      <c r="A39" s="82">
        <v>45461.322916666664</v>
      </c>
      <c r="B39" s="6">
        <v>9.1300000000000008</v>
      </c>
      <c r="C39" s="6">
        <v>4.05</v>
      </c>
      <c r="D39" s="6">
        <v>13.89</v>
      </c>
      <c r="E39" s="6">
        <v>13.18</v>
      </c>
      <c r="F39" s="6">
        <v>12.18</v>
      </c>
      <c r="G39" s="6">
        <v>18.71</v>
      </c>
      <c r="H39" s="6">
        <v>7.79</v>
      </c>
      <c r="I39" s="6">
        <v>4.1100000000000003</v>
      </c>
      <c r="J39" s="6">
        <v>1</v>
      </c>
      <c r="K39" s="6">
        <v>261.07</v>
      </c>
      <c r="L39" s="6">
        <v>31.22</v>
      </c>
      <c r="M39" s="6">
        <v>58.38</v>
      </c>
      <c r="N39" s="6">
        <v>134.6</v>
      </c>
      <c r="O39" s="6">
        <v>0</v>
      </c>
      <c r="P39" s="6">
        <v>0.31</v>
      </c>
      <c r="Q39" s="6">
        <v>3.95</v>
      </c>
    </row>
    <row r="40" spans="1:17" customFormat="1">
      <c r="A40" s="82">
        <v>45461.333333333336</v>
      </c>
      <c r="B40" s="6">
        <v>9.1199999999999992</v>
      </c>
      <c r="C40" s="6">
        <v>4.08</v>
      </c>
      <c r="D40" s="6">
        <v>13.9</v>
      </c>
      <c r="E40" s="6">
        <v>13.64</v>
      </c>
      <c r="F40" s="6">
        <v>16.64</v>
      </c>
      <c r="G40" s="6">
        <v>18.72</v>
      </c>
      <c r="H40" s="6">
        <v>7.66</v>
      </c>
      <c r="I40" s="6">
        <v>4.13</v>
      </c>
      <c r="J40" s="6">
        <v>0.99</v>
      </c>
      <c r="K40" s="6">
        <v>259.47000000000003</v>
      </c>
      <c r="L40" s="6">
        <v>31.48</v>
      </c>
      <c r="M40" s="6">
        <v>57.42</v>
      </c>
      <c r="N40" s="6">
        <v>135.1</v>
      </c>
      <c r="O40" s="6">
        <v>0</v>
      </c>
      <c r="P40" s="6">
        <v>0.3</v>
      </c>
      <c r="Q40" s="6">
        <v>3.95</v>
      </c>
    </row>
    <row r="41" spans="1:17" customFormat="1">
      <c r="A41" s="82">
        <v>45461.34375</v>
      </c>
      <c r="B41" s="6">
        <v>9.14</v>
      </c>
      <c r="C41" s="6">
        <v>4.09</v>
      </c>
      <c r="D41" s="6">
        <v>13.92</v>
      </c>
      <c r="E41" s="6">
        <v>17.34</v>
      </c>
      <c r="F41" s="6">
        <v>20.29</v>
      </c>
      <c r="G41" s="6">
        <v>18.739999999999998</v>
      </c>
      <c r="H41" s="6">
        <v>7.53</v>
      </c>
      <c r="I41" s="6">
        <v>4.1399999999999997</v>
      </c>
      <c r="J41" s="6">
        <v>0.74</v>
      </c>
      <c r="K41" s="6">
        <v>279.45999999999998</v>
      </c>
      <c r="L41" s="6">
        <v>32.26</v>
      </c>
      <c r="M41" s="6">
        <v>55.54</v>
      </c>
      <c r="N41" s="6">
        <v>135.4</v>
      </c>
      <c r="O41" s="6">
        <v>0</v>
      </c>
      <c r="P41" s="6">
        <v>0.28999999999999998</v>
      </c>
      <c r="Q41" s="6">
        <v>3.95</v>
      </c>
    </row>
    <row r="42" spans="1:17" customFormat="1">
      <c r="A42" s="82">
        <v>45461.354166666664</v>
      </c>
      <c r="B42" s="6">
        <v>9.1199999999999992</v>
      </c>
      <c r="C42" s="6">
        <v>4.05</v>
      </c>
      <c r="D42" s="6">
        <v>13.88</v>
      </c>
      <c r="E42" s="6">
        <v>17.600000000000001</v>
      </c>
      <c r="F42" s="6">
        <v>16.010000000000002</v>
      </c>
      <c r="G42" s="6">
        <v>18.739999999999998</v>
      </c>
      <c r="H42" s="6">
        <v>7.53</v>
      </c>
      <c r="I42" s="6">
        <v>4</v>
      </c>
      <c r="J42" s="6">
        <v>1.02</v>
      </c>
      <c r="K42" s="6">
        <v>262.85000000000002</v>
      </c>
      <c r="L42" s="6">
        <v>32.36</v>
      </c>
      <c r="M42" s="6">
        <v>54.83</v>
      </c>
      <c r="N42" s="6">
        <v>147.80000000000001</v>
      </c>
      <c r="O42" s="6">
        <v>0</v>
      </c>
      <c r="P42" s="6">
        <v>0.28999999999999998</v>
      </c>
      <c r="Q42" s="6">
        <v>3.97</v>
      </c>
    </row>
    <row r="43" spans="1:17" customFormat="1">
      <c r="A43" s="82">
        <v>45461.364583333336</v>
      </c>
      <c r="B43" s="6">
        <v>9.1199999999999992</v>
      </c>
      <c r="C43" s="6">
        <v>4.08</v>
      </c>
      <c r="D43" s="6">
        <v>13.89</v>
      </c>
      <c r="E43" s="6">
        <v>17.440000000000001</v>
      </c>
      <c r="F43" s="6">
        <v>19.2</v>
      </c>
      <c r="G43" s="6">
        <v>18.739999999999998</v>
      </c>
      <c r="H43" s="6">
        <v>7.53</v>
      </c>
      <c r="I43" s="6">
        <v>3.84</v>
      </c>
      <c r="J43" s="6">
        <v>1.1200000000000001</v>
      </c>
      <c r="K43" s="6">
        <v>277.38</v>
      </c>
      <c r="L43" s="6">
        <v>32.909999999999997</v>
      </c>
      <c r="M43" s="6">
        <v>52.98</v>
      </c>
      <c r="N43" s="6">
        <v>154.5</v>
      </c>
      <c r="O43" s="6">
        <v>0</v>
      </c>
      <c r="P43" s="6">
        <v>0.28999999999999998</v>
      </c>
      <c r="Q43" s="6">
        <v>3.97</v>
      </c>
    </row>
    <row r="44" spans="1:17" customFormat="1">
      <c r="A44" s="82">
        <v>45461.375</v>
      </c>
      <c r="B44" s="6">
        <v>9.11</v>
      </c>
      <c r="C44" s="6">
        <v>4.07</v>
      </c>
      <c r="D44" s="6">
        <v>13.88</v>
      </c>
      <c r="E44" s="6">
        <v>15.63</v>
      </c>
      <c r="F44" s="6">
        <v>19.260000000000002</v>
      </c>
      <c r="G44" s="6">
        <v>18.36</v>
      </c>
      <c r="H44" s="6">
        <v>6.07</v>
      </c>
      <c r="I44" s="6">
        <v>4.1100000000000003</v>
      </c>
      <c r="J44" s="6">
        <v>1.35</v>
      </c>
      <c r="K44" s="6">
        <v>272.17</v>
      </c>
      <c r="L44" s="6">
        <v>33.21</v>
      </c>
      <c r="M44" s="6">
        <v>51.96</v>
      </c>
      <c r="N44" s="6">
        <v>161.4</v>
      </c>
      <c r="O44" s="6">
        <v>0</v>
      </c>
      <c r="P44" s="6">
        <v>0.3</v>
      </c>
      <c r="Q44" s="6">
        <v>3.97</v>
      </c>
    </row>
    <row r="45" spans="1:17" customFormat="1">
      <c r="A45" s="82">
        <v>45461.385416666664</v>
      </c>
      <c r="B45" s="6">
        <v>9.1199999999999992</v>
      </c>
      <c r="C45" s="6">
        <v>4.07</v>
      </c>
      <c r="D45" s="6">
        <v>13.89</v>
      </c>
      <c r="E45" s="6">
        <v>13.88</v>
      </c>
      <c r="F45" s="6">
        <v>16.010000000000002</v>
      </c>
      <c r="G45" s="6">
        <v>17.989999999999998</v>
      </c>
      <c r="H45" s="6">
        <v>5.39</v>
      </c>
      <c r="I45" s="6">
        <v>3.96</v>
      </c>
      <c r="J45" s="6">
        <v>1.55</v>
      </c>
      <c r="K45" s="6">
        <v>279.64999999999998</v>
      </c>
      <c r="L45" s="6">
        <v>33.76</v>
      </c>
      <c r="M45" s="6">
        <v>49.79</v>
      </c>
      <c r="N45" s="6">
        <v>164.9</v>
      </c>
      <c r="O45" s="6">
        <v>0</v>
      </c>
      <c r="P45" s="6">
        <v>0.32</v>
      </c>
      <c r="Q45" s="6">
        <v>3.96</v>
      </c>
    </row>
    <row r="46" spans="1:17" customFormat="1">
      <c r="A46" s="82">
        <v>45461.395833333336</v>
      </c>
      <c r="B46" s="6">
        <v>9.1300000000000008</v>
      </c>
      <c r="C46" s="6">
        <v>4.05</v>
      </c>
      <c r="D46" s="6">
        <v>13.89</v>
      </c>
      <c r="E46" s="6">
        <v>16.13</v>
      </c>
      <c r="F46" s="6">
        <v>16.68</v>
      </c>
      <c r="G46" s="6">
        <v>17.989999999999998</v>
      </c>
      <c r="H46" s="6">
        <v>5.39</v>
      </c>
      <c r="I46" s="6">
        <v>4.04</v>
      </c>
      <c r="J46" s="6">
        <v>1.39</v>
      </c>
      <c r="K46" s="6">
        <v>279.66000000000003</v>
      </c>
      <c r="L46" s="6">
        <v>34.22</v>
      </c>
      <c r="M46" s="6">
        <v>48.21</v>
      </c>
      <c r="N46" s="6">
        <v>167.2</v>
      </c>
      <c r="O46" s="6">
        <v>0</v>
      </c>
      <c r="P46" s="6">
        <v>0.33</v>
      </c>
      <c r="Q46" s="6">
        <v>3.98</v>
      </c>
    </row>
    <row r="47" spans="1:17" customFormat="1">
      <c r="A47" s="82">
        <v>45461.40625</v>
      </c>
      <c r="B47" s="6">
        <v>9.1199999999999992</v>
      </c>
      <c r="C47" s="6">
        <v>4.07</v>
      </c>
      <c r="D47" s="6">
        <v>13.89</v>
      </c>
      <c r="E47" s="6">
        <v>17.23</v>
      </c>
      <c r="F47" s="6">
        <v>14.18</v>
      </c>
      <c r="G47" s="6">
        <v>17.989999999999998</v>
      </c>
      <c r="H47" s="6">
        <v>5.39</v>
      </c>
      <c r="I47" s="6">
        <v>4.24</v>
      </c>
      <c r="J47" s="6">
        <v>1.65</v>
      </c>
      <c r="K47" s="6">
        <v>272.8</v>
      </c>
      <c r="L47" s="6">
        <v>34.049999999999997</v>
      </c>
      <c r="M47" s="6">
        <v>48.35</v>
      </c>
      <c r="N47" s="6">
        <v>200.6</v>
      </c>
      <c r="O47" s="6">
        <v>0</v>
      </c>
      <c r="P47" s="6">
        <v>0.34</v>
      </c>
      <c r="Q47" s="6">
        <v>3.95</v>
      </c>
    </row>
    <row r="48" spans="1:17" customFormat="1">
      <c r="A48" s="82">
        <v>45461.416666666664</v>
      </c>
      <c r="B48" s="6">
        <v>9.1199999999999992</v>
      </c>
      <c r="C48" s="6">
        <v>4.04</v>
      </c>
      <c r="D48" s="6">
        <v>13.88</v>
      </c>
      <c r="E48" s="6">
        <v>15.58</v>
      </c>
      <c r="F48" s="6">
        <v>14.69</v>
      </c>
      <c r="G48" s="6">
        <v>19.36</v>
      </c>
      <c r="H48" s="6">
        <v>7.02</v>
      </c>
      <c r="I48" s="6">
        <v>4.5199999999999996</v>
      </c>
      <c r="J48" s="6">
        <v>1.61</v>
      </c>
      <c r="K48" s="6">
        <v>269.11</v>
      </c>
      <c r="L48" s="6">
        <v>34.75</v>
      </c>
      <c r="M48" s="6">
        <v>46.94</v>
      </c>
      <c r="N48" s="6">
        <v>216.4</v>
      </c>
      <c r="O48" s="6">
        <v>0</v>
      </c>
      <c r="P48" s="6">
        <v>0.38</v>
      </c>
      <c r="Q48" s="6">
        <v>3.95</v>
      </c>
    </row>
    <row r="49" spans="1:17" customFormat="1">
      <c r="A49" s="82">
        <v>45461.427083333336</v>
      </c>
      <c r="B49" s="6">
        <v>9.11</v>
      </c>
      <c r="C49" s="6">
        <v>4.0599999999999996</v>
      </c>
      <c r="D49" s="6">
        <v>13.88</v>
      </c>
      <c r="E49" s="6">
        <v>12.1</v>
      </c>
      <c r="F49" s="6">
        <v>18.010000000000002</v>
      </c>
      <c r="G49" s="6">
        <v>20.66</v>
      </c>
      <c r="H49" s="6">
        <v>7.78</v>
      </c>
      <c r="I49" s="6">
        <v>4.6500000000000004</v>
      </c>
      <c r="J49" s="6">
        <v>1.48</v>
      </c>
      <c r="K49" s="6">
        <v>273.47000000000003</v>
      </c>
      <c r="L49" s="6">
        <v>35.36</v>
      </c>
      <c r="M49" s="6">
        <v>46.14</v>
      </c>
      <c r="N49" s="6">
        <v>205.7</v>
      </c>
      <c r="O49" s="6">
        <v>0</v>
      </c>
      <c r="P49" s="6">
        <v>0.42</v>
      </c>
      <c r="Q49" s="6">
        <v>3.97</v>
      </c>
    </row>
    <row r="50" spans="1:17" customFormat="1">
      <c r="A50" s="82">
        <v>45461.4375</v>
      </c>
      <c r="B50" s="6">
        <v>9.11</v>
      </c>
      <c r="C50" s="6">
        <v>4.07</v>
      </c>
      <c r="D50" s="6">
        <v>13.88</v>
      </c>
      <c r="E50" s="6">
        <v>17.2</v>
      </c>
      <c r="F50" s="6">
        <v>19.25</v>
      </c>
      <c r="G50" s="6">
        <v>20.66</v>
      </c>
      <c r="H50" s="6">
        <v>7.78</v>
      </c>
      <c r="I50" s="6">
        <v>4.8099999999999996</v>
      </c>
      <c r="J50" s="6">
        <v>1.72</v>
      </c>
      <c r="K50" s="6">
        <v>284.35000000000002</v>
      </c>
      <c r="L50" s="6">
        <v>35.619999999999997</v>
      </c>
      <c r="M50" s="6">
        <v>45.4</v>
      </c>
      <c r="N50" s="6">
        <v>213.2</v>
      </c>
      <c r="O50" s="6">
        <v>0</v>
      </c>
      <c r="P50" s="6">
        <v>0.43</v>
      </c>
      <c r="Q50" s="6">
        <v>3.95</v>
      </c>
    </row>
    <row r="51" spans="1:17" customFormat="1">
      <c r="A51" s="82">
        <v>45461.447916666664</v>
      </c>
      <c r="B51" s="6">
        <v>9.11</v>
      </c>
      <c r="C51" s="6">
        <v>4.08</v>
      </c>
      <c r="D51" s="6">
        <v>13.88</v>
      </c>
      <c r="E51" s="6">
        <v>17.829999999999998</v>
      </c>
      <c r="F51" s="6">
        <v>14.97</v>
      </c>
      <c r="G51" s="6">
        <v>20.66</v>
      </c>
      <c r="H51" s="6">
        <v>7.78</v>
      </c>
      <c r="I51" s="6">
        <v>5</v>
      </c>
      <c r="J51" s="6">
        <v>1.38</v>
      </c>
      <c r="K51" s="6">
        <v>272.99</v>
      </c>
      <c r="L51" s="6">
        <v>36.01</v>
      </c>
      <c r="M51" s="6">
        <v>44.73</v>
      </c>
      <c r="N51" s="6">
        <v>231.9</v>
      </c>
      <c r="O51" s="6">
        <v>0</v>
      </c>
      <c r="P51" s="6">
        <v>0.47</v>
      </c>
      <c r="Q51" s="6">
        <v>3.92</v>
      </c>
    </row>
    <row r="52" spans="1:17" customFormat="1">
      <c r="A52" s="82">
        <v>45461.458333333336</v>
      </c>
      <c r="B52" s="6">
        <v>9.09</v>
      </c>
      <c r="C52" s="6">
        <v>4.0999999999999996</v>
      </c>
      <c r="D52" s="6">
        <v>13.88</v>
      </c>
      <c r="E52" s="6">
        <v>18.100000000000001</v>
      </c>
      <c r="F52" s="6">
        <v>19.100000000000001</v>
      </c>
      <c r="G52" s="6">
        <v>25.62</v>
      </c>
      <c r="H52" s="6">
        <v>9.74</v>
      </c>
      <c r="I52" s="6">
        <v>5.24</v>
      </c>
      <c r="J52" s="6">
        <v>1.58</v>
      </c>
      <c r="K52" s="6">
        <v>276.89</v>
      </c>
      <c r="L52" s="6">
        <v>36.1</v>
      </c>
      <c r="M52" s="6">
        <v>43.27</v>
      </c>
      <c r="N52" s="6">
        <v>266.39999999999998</v>
      </c>
      <c r="O52" s="6">
        <v>0</v>
      </c>
      <c r="P52" s="6">
        <v>0.54</v>
      </c>
      <c r="Q52" s="6">
        <v>3.92</v>
      </c>
    </row>
    <row r="53" spans="1:17" customFormat="1">
      <c r="A53" s="82">
        <v>45461.46875</v>
      </c>
      <c r="B53" s="6">
        <v>9.11</v>
      </c>
      <c r="C53" s="6">
        <v>4.08</v>
      </c>
      <c r="D53" s="6">
        <v>13.88</v>
      </c>
      <c r="E53" s="6">
        <v>16.36</v>
      </c>
      <c r="F53" s="6">
        <v>18.02</v>
      </c>
      <c r="G53" s="6">
        <v>30.37</v>
      </c>
      <c r="H53" s="6">
        <v>10.66</v>
      </c>
      <c r="I53" s="6">
        <v>5.63</v>
      </c>
      <c r="J53" s="6">
        <v>1.51</v>
      </c>
      <c r="K53" s="6">
        <v>284.04000000000002</v>
      </c>
      <c r="L53" s="6">
        <v>36.99</v>
      </c>
      <c r="M53" s="6">
        <v>41.35</v>
      </c>
      <c r="N53" s="6">
        <v>271.60000000000002</v>
      </c>
      <c r="O53" s="6">
        <v>0</v>
      </c>
      <c r="P53" s="6">
        <v>0.53</v>
      </c>
      <c r="Q53" s="6">
        <v>3.95</v>
      </c>
    </row>
    <row r="54" spans="1:17" customFormat="1">
      <c r="A54" s="82">
        <v>45461.479166666664</v>
      </c>
      <c r="B54" s="6">
        <v>9.09</v>
      </c>
      <c r="C54" s="6">
        <v>4.07</v>
      </c>
      <c r="D54" s="6">
        <v>13.87</v>
      </c>
      <c r="E54" s="6">
        <v>15.32</v>
      </c>
      <c r="F54" s="6">
        <v>18.96</v>
      </c>
      <c r="G54" s="6">
        <v>30.37</v>
      </c>
      <c r="H54" s="6">
        <v>10.66</v>
      </c>
      <c r="I54" s="6">
        <v>6.11</v>
      </c>
      <c r="J54" s="6">
        <v>1.95</v>
      </c>
      <c r="K54" s="6">
        <v>295.89</v>
      </c>
      <c r="L54" s="6">
        <v>37.69</v>
      </c>
      <c r="M54" s="6">
        <v>38.78</v>
      </c>
      <c r="N54" s="6">
        <v>282.3</v>
      </c>
      <c r="O54" s="6">
        <v>0</v>
      </c>
      <c r="P54" s="6">
        <v>0.53</v>
      </c>
      <c r="Q54" s="6">
        <v>3.96</v>
      </c>
    </row>
    <row r="55" spans="1:17" customFormat="1">
      <c r="A55" s="82">
        <v>45461.489583333336</v>
      </c>
      <c r="B55" s="6">
        <v>9.09</v>
      </c>
      <c r="C55" s="6">
        <v>4.05</v>
      </c>
      <c r="D55" s="6">
        <v>13.86</v>
      </c>
      <c r="E55" s="6">
        <v>13.41</v>
      </c>
      <c r="F55" s="6">
        <v>14.34</v>
      </c>
      <c r="G55" s="6">
        <v>30.37</v>
      </c>
      <c r="H55" s="6">
        <v>10.66</v>
      </c>
      <c r="I55" s="6">
        <v>6.05</v>
      </c>
      <c r="J55" s="6">
        <v>1.77</v>
      </c>
      <c r="K55" s="6">
        <v>283.25</v>
      </c>
      <c r="L55" s="6">
        <v>37.630000000000003</v>
      </c>
      <c r="M55" s="6">
        <v>38.380000000000003</v>
      </c>
      <c r="N55" s="6">
        <v>507.3</v>
      </c>
      <c r="O55" s="6">
        <v>0</v>
      </c>
      <c r="P55" s="6">
        <v>0.52</v>
      </c>
      <c r="Q55" s="6">
        <v>3.97</v>
      </c>
    </row>
    <row r="56" spans="1:17" customFormat="1">
      <c r="A56" s="82">
        <v>45461.5</v>
      </c>
      <c r="B56" s="6">
        <v>9.07</v>
      </c>
      <c r="C56" s="6">
        <v>4.05</v>
      </c>
      <c r="D56" s="6">
        <v>13.84</v>
      </c>
      <c r="E56" s="6">
        <v>13.09</v>
      </c>
      <c r="F56" s="6">
        <v>17.89</v>
      </c>
      <c r="G56" s="6">
        <v>32.96</v>
      </c>
      <c r="H56" s="6">
        <v>9.7799999999999994</v>
      </c>
      <c r="I56" s="6">
        <v>5.96</v>
      </c>
      <c r="J56" s="6">
        <v>1.68</v>
      </c>
      <c r="K56" s="6">
        <v>275.49</v>
      </c>
      <c r="L56" s="6">
        <v>37.83</v>
      </c>
      <c r="M56" s="6">
        <v>38.01</v>
      </c>
      <c r="N56" s="6">
        <v>738.1</v>
      </c>
      <c r="O56" s="6">
        <v>0</v>
      </c>
      <c r="P56" s="6">
        <v>0.49</v>
      </c>
      <c r="Q56" s="6">
        <v>3.96</v>
      </c>
    </row>
    <row r="57" spans="1:17" customFormat="1">
      <c r="A57" s="82">
        <v>45461.510416666664</v>
      </c>
      <c r="B57" s="6">
        <v>9.07</v>
      </c>
      <c r="C57" s="6">
        <v>4.0599999999999996</v>
      </c>
      <c r="D57" s="6">
        <v>13.84</v>
      </c>
      <c r="E57" s="6">
        <v>12.61</v>
      </c>
      <c r="F57" s="6">
        <v>17.45</v>
      </c>
      <c r="G57" s="6">
        <v>35.44</v>
      </c>
      <c r="H57" s="6">
        <v>9.3800000000000008</v>
      </c>
      <c r="I57" s="6">
        <v>5.89</v>
      </c>
      <c r="J57" s="6">
        <v>1.61</v>
      </c>
      <c r="K57" s="6">
        <v>280.83999999999997</v>
      </c>
      <c r="L57" s="6">
        <v>38.119999999999997</v>
      </c>
      <c r="M57" s="6">
        <v>37.200000000000003</v>
      </c>
      <c r="N57" s="6">
        <v>737.7</v>
      </c>
      <c r="O57" s="6">
        <v>0</v>
      </c>
      <c r="P57" s="6">
        <v>0.48</v>
      </c>
      <c r="Q57" s="6">
        <v>3.95</v>
      </c>
    </row>
    <row r="58" spans="1:17" customFormat="1">
      <c r="A58" s="82">
        <v>45461.520833333336</v>
      </c>
      <c r="B58" s="6">
        <v>9.07</v>
      </c>
      <c r="C58" s="6">
        <v>4.0199999999999996</v>
      </c>
      <c r="D58" s="6">
        <v>13.83</v>
      </c>
      <c r="E58" s="6">
        <v>12.31</v>
      </c>
      <c r="F58" s="6">
        <v>19.29</v>
      </c>
      <c r="G58" s="6">
        <v>35.44</v>
      </c>
      <c r="H58" s="6">
        <v>9.3800000000000008</v>
      </c>
      <c r="I58" s="6">
        <v>5.61</v>
      </c>
      <c r="J58" s="6">
        <v>1.5</v>
      </c>
      <c r="K58" s="6">
        <v>269.86</v>
      </c>
      <c r="L58" s="6">
        <v>38.61</v>
      </c>
      <c r="M58" s="6">
        <v>36.909999999999997</v>
      </c>
      <c r="N58" s="6">
        <v>712.5</v>
      </c>
      <c r="O58" s="6">
        <v>0</v>
      </c>
      <c r="P58" s="6">
        <v>0.46</v>
      </c>
      <c r="Q58" s="6">
        <v>3.95</v>
      </c>
    </row>
    <row r="59" spans="1:17" customFormat="1">
      <c r="A59" s="82">
        <v>45461.53125</v>
      </c>
      <c r="B59" s="6">
        <v>9.0500000000000007</v>
      </c>
      <c r="C59" s="6">
        <v>4.0599999999999996</v>
      </c>
      <c r="D59" s="6">
        <v>13.83</v>
      </c>
      <c r="E59" s="6">
        <v>12.87</v>
      </c>
      <c r="F59" s="6">
        <v>19.84</v>
      </c>
      <c r="G59" s="6">
        <v>35.44</v>
      </c>
      <c r="H59" s="6">
        <v>9.3800000000000008</v>
      </c>
      <c r="I59" s="6">
        <v>5.56</v>
      </c>
      <c r="J59" s="6">
        <v>1.43</v>
      </c>
      <c r="K59" s="6">
        <v>282.63</v>
      </c>
      <c r="L59" s="6">
        <v>39.06</v>
      </c>
      <c r="M59" s="6">
        <v>36.049999999999997</v>
      </c>
      <c r="N59" s="6">
        <v>685</v>
      </c>
      <c r="O59" s="6">
        <v>0</v>
      </c>
      <c r="P59" s="6">
        <v>0.47</v>
      </c>
      <c r="Q59" s="6">
        <v>3.94</v>
      </c>
    </row>
    <row r="60" spans="1:17" customFormat="1">
      <c r="A60" s="82">
        <v>45461.541666666664</v>
      </c>
      <c r="B60" s="6">
        <v>9.0399999999999991</v>
      </c>
      <c r="C60" s="6">
        <v>4.07</v>
      </c>
      <c r="D60" s="6">
        <v>13.82</v>
      </c>
      <c r="E60" s="6">
        <v>12.56</v>
      </c>
      <c r="F60" s="6">
        <v>19.89</v>
      </c>
      <c r="G60" s="6">
        <v>36.25</v>
      </c>
      <c r="H60" s="6">
        <v>11.71</v>
      </c>
      <c r="I60" s="6">
        <v>5.25</v>
      </c>
      <c r="J60" s="6">
        <v>1.43</v>
      </c>
      <c r="K60" s="6">
        <v>280.64999999999998</v>
      </c>
      <c r="L60" s="6">
        <v>39.22</v>
      </c>
      <c r="M60" s="6">
        <v>35.57</v>
      </c>
      <c r="N60" s="6">
        <v>726.2</v>
      </c>
      <c r="O60" s="6">
        <v>0</v>
      </c>
      <c r="P60" s="6">
        <v>0.46</v>
      </c>
      <c r="Q60" s="6">
        <v>3.96</v>
      </c>
    </row>
    <row r="61" spans="1:17" customFormat="1">
      <c r="A61" s="82">
        <v>45461.552083333336</v>
      </c>
      <c r="B61" s="6">
        <v>9.0500000000000007</v>
      </c>
      <c r="C61" s="6">
        <v>4.0599999999999996</v>
      </c>
      <c r="D61" s="6">
        <v>13.82</v>
      </c>
      <c r="E61" s="6">
        <v>12.42</v>
      </c>
      <c r="F61" s="6">
        <v>18.23</v>
      </c>
      <c r="G61" s="6">
        <v>37.03</v>
      </c>
      <c r="H61" s="6">
        <v>12.8</v>
      </c>
      <c r="I61" s="6">
        <v>5.22</v>
      </c>
      <c r="J61" s="6">
        <v>1.59</v>
      </c>
      <c r="K61" s="6">
        <v>281.14</v>
      </c>
      <c r="L61" s="6">
        <v>39.33</v>
      </c>
      <c r="M61" s="6">
        <v>35.31</v>
      </c>
      <c r="N61" s="6">
        <v>691.1</v>
      </c>
      <c r="O61" s="6">
        <v>0</v>
      </c>
      <c r="P61" s="6">
        <v>0.45</v>
      </c>
      <c r="Q61" s="6">
        <v>3.96</v>
      </c>
    </row>
    <row r="62" spans="1:17" customFormat="1">
      <c r="A62" s="82">
        <v>45461.5625</v>
      </c>
      <c r="B62" s="6">
        <v>9.0399999999999991</v>
      </c>
      <c r="C62" s="6">
        <v>4.08</v>
      </c>
      <c r="D62" s="6">
        <v>13.83</v>
      </c>
      <c r="E62" s="6">
        <v>12.86</v>
      </c>
      <c r="F62" s="6">
        <v>21.93</v>
      </c>
      <c r="G62" s="6">
        <v>37.03</v>
      </c>
      <c r="H62" s="6">
        <v>12.8</v>
      </c>
      <c r="I62" s="6">
        <v>5.08</v>
      </c>
      <c r="J62" s="6">
        <v>1.1499999999999999</v>
      </c>
      <c r="K62" s="6">
        <v>274.92</v>
      </c>
      <c r="L62" s="6">
        <v>40.119999999999997</v>
      </c>
      <c r="M62" s="6">
        <v>33.85</v>
      </c>
      <c r="N62" s="6">
        <v>378.1</v>
      </c>
      <c r="O62" s="6">
        <v>0</v>
      </c>
      <c r="P62" s="6">
        <v>0.44</v>
      </c>
      <c r="Q62" s="6">
        <v>3.95</v>
      </c>
    </row>
    <row r="63" spans="1:17" customFormat="1">
      <c r="A63" s="82">
        <v>45461.572916666664</v>
      </c>
      <c r="B63" s="6">
        <v>9.0500000000000007</v>
      </c>
      <c r="C63" s="6">
        <v>4.03</v>
      </c>
      <c r="D63" s="6">
        <v>13.81</v>
      </c>
      <c r="E63" s="6">
        <v>12.92</v>
      </c>
      <c r="F63" s="6">
        <v>24.35</v>
      </c>
      <c r="G63" s="6">
        <v>37.03</v>
      </c>
      <c r="H63" s="6">
        <v>12.8</v>
      </c>
      <c r="I63" s="6">
        <v>5.07</v>
      </c>
      <c r="J63" s="6">
        <v>1.3</v>
      </c>
      <c r="K63" s="6">
        <v>271.43</v>
      </c>
      <c r="L63" s="6">
        <v>39.92</v>
      </c>
      <c r="M63" s="6">
        <v>33.93</v>
      </c>
      <c r="N63" s="6">
        <v>312.7</v>
      </c>
      <c r="O63" s="6">
        <v>0</v>
      </c>
      <c r="P63" s="6">
        <v>0.44</v>
      </c>
      <c r="Q63" s="6">
        <v>3.93</v>
      </c>
    </row>
    <row r="64" spans="1:17" customFormat="1">
      <c r="A64" s="82">
        <v>45461.583333333336</v>
      </c>
      <c r="B64" s="6">
        <v>9.0399999999999991</v>
      </c>
      <c r="C64" s="6">
        <v>4.03</v>
      </c>
      <c r="D64" s="6">
        <v>13.8</v>
      </c>
      <c r="E64" s="6">
        <v>14.13</v>
      </c>
      <c r="F64" s="6">
        <v>25.37</v>
      </c>
      <c r="G64" s="6">
        <v>37.549999999999997</v>
      </c>
      <c r="H64" s="6">
        <v>14.37</v>
      </c>
      <c r="I64" s="6">
        <v>4.9800000000000004</v>
      </c>
      <c r="J64" s="6">
        <v>1.51</v>
      </c>
      <c r="K64" s="6">
        <v>295.95</v>
      </c>
      <c r="L64" s="6">
        <v>40.18</v>
      </c>
      <c r="M64" s="6">
        <v>31.72</v>
      </c>
      <c r="N64" s="6">
        <v>614.5</v>
      </c>
      <c r="O64" s="6">
        <v>0</v>
      </c>
      <c r="P64" s="6">
        <v>0.46</v>
      </c>
      <c r="Q64" s="6">
        <v>3.94</v>
      </c>
    </row>
    <row r="65" spans="1:17" customFormat="1">
      <c r="A65" s="82">
        <v>45461.59375</v>
      </c>
      <c r="B65" s="6">
        <v>9.02</v>
      </c>
      <c r="C65" s="6">
        <v>4.0599999999999996</v>
      </c>
      <c r="D65" s="6">
        <v>13.81</v>
      </c>
      <c r="E65" s="6">
        <v>15.31</v>
      </c>
      <c r="F65" s="6">
        <v>27.64</v>
      </c>
      <c r="G65" s="6">
        <v>38.049999999999997</v>
      </c>
      <c r="H65" s="6">
        <v>15.94</v>
      </c>
      <c r="I65" s="6">
        <v>4.72</v>
      </c>
      <c r="J65" s="6">
        <v>1.26</v>
      </c>
      <c r="K65" s="6">
        <v>280.98</v>
      </c>
      <c r="L65" s="6">
        <v>40.409999999999997</v>
      </c>
      <c r="M65" s="6">
        <v>32.24</v>
      </c>
      <c r="N65" s="6">
        <v>651.6</v>
      </c>
      <c r="O65" s="6">
        <v>0</v>
      </c>
      <c r="P65" s="6">
        <v>0.42</v>
      </c>
      <c r="Q65" s="6">
        <v>3.95</v>
      </c>
    </row>
    <row r="66" spans="1:17" customFormat="1">
      <c r="A66" s="82">
        <v>45461.604166666664</v>
      </c>
      <c r="B66" s="6">
        <v>9.02</v>
      </c>
      <c r="C66" s="6">
        <v>4.07</v>
      </c>
      <c r="D66" s="6">
        <v>13.81</v>
      </c>
      <c r="E66" s="6">
        <v>15.53</v>
      </c>
      <c r="F66" s="6">
        <v>22.84</v>
      </c>
      <c r="G66" s="6">
        <v>38.049999999999997</v>
      </c>
      <c r="H66" s="6">
        <v>15.94</v>
      </c>
      <c r="I66" s="6">
        <v>4.92</v>
      </c>
      <c r="J66" s="6">
        <v>1</v>
      </c>
      <c r="K66" s="6">
        <v>257.64</v>
      </c>
      <c r="L66" s="6">
        <v>40.78</v>
      </c>
      <c r="M66" s="6">
        <v>31.6</v>
      </c>
      <c r="N66" s="6">
        <v>622.4</v>
      </c>
      <c r="O66" s="6">
        <v>0</v>
      </c>
      <c r="P66" s="6">
        <v>0.41</v>
      </c>
      <c r="Q66" s="6">
        <v>3.96</v>
      </c>
    </row>
    <row r="67" spans="1:17" customFormat="1">
      <c r="A67" s="82">
        <v>45461.614583333336</v>
      </c>
      <c r="B67" s="6">
        <v>9.0299999999999994</v>
      </c>
      <c r="C67" s="6">
        <v>4.0599999999999996</v>
      </c>
      <c r="D67" s="6">
        <v>13.81</v>
      </c>
      <c r="E67" s="6">
        <v>16.260000000000002</v>
      </c>
      <c r="F67" s="6">
        <v>26.74</v>
      </c>
      <c r="G67" s="6">
        <v>38.049999999999997</v>
      </c>
      <c r="H67" s="6">
        <v>15.94</v>
      </c>
      <c r="I67" s="6">
        <v>4.93</v>
      </c>
      <c r="J67" s="6">
        <v>1.03</v>
      </c>
      <c r="K67" s="6">
        <v>265.01</v>
      </c>
      <c r="L67" s="6">
        <v>40.869999999999997</v>
      </c>
      <c r="M67" s="6">
        <v>31.64</v>
      </c>
      <c r="N67" s="6">
        <v>619.20000000000005</v>
      </c>
      <c r="O67" s="6">
        <v>0</v>
      </c>
      <c r="P67" s="6">
        <v>0.42</v>
      </c>
      <c r="Q67" s="6">
        <v>3.97</v>
      </c>
    </row>
    <row r="68" spans="1:17" customFormat="1">
      <c r="A68" s="82">
        <v>45461.625</v>
      </c>
      <c r="B68" s="6">
        <v>9.02</v>
      </c>
      <c r="C68" s="6">
        <v>4.05</v>
      </c>
      <c r="D68" s="6">
        <v>13.8</v>
      </c>
      <c r="E68" s="6">
        <v>16.920000000000002</v>
      </c>
      <c r="F68" s="6">
        <v>29.16</v>
      </c>
      <c r="G68" s="6">
        <v>35.51</v>
      </c>
      <c r="H68" s="6">
        <v>16</v>
      </c>
      <c r="I68" s="6">
        <v>4.82</v>
      </c>
      <c r="J68" s="6">
        <v>1.18</v>
      </c>
      <c r="K68" s="6">
        <v>267.33</v>
      </c>
      <c r="L68" s="6">
        <v>40.58</v>
      </c>
      <c r="M68" s="6">
        <v>31.31</v>
      </c>
      <c r="N68" s="6">
        <v>575.6</v>
      </c>
      <c r="O68" s="6">
        <v>0</v>
      </c>
      <c r="P68" s="6">
        <v>0.41</v>
      </c>
      <c r="Q68" s="6">
        <v>3.95</v>
      </c>
    </row>
    <row r="69" spans="1:17" customFormat="1">
      <c r="A69" s="82">
        <v>45461.635416666664</v>
      </c>
      <c r="B69" s="6">
        <v>9.01</v>
      </c>
      <c r="C69" s="6">
        <v>4.07</v>
      </c>
      <c r="D69" s="6">
        <v>13.8</v>
      </c>
      <c r="E69" s="6">
        <v>15.62</v>
      </c>
      <c r="F69" s="6">
        <v>25.84</v>
      </c>
      <c r="G69" s="6">
        <v>33.08</v>
      </c>
      <c r="H69" s="6">
        <v>16.02</v>
      </c>
      <c r="I69" s="6">
        <v>4.75</v>
      </c>
      <c r="J69" s="6">
        <v>1.1399999999999999</v>
      </c>
      <c r="K69" s="6">
        <v>273.92</v>
      </c>
      <c r="L69" s="6">
        <v>40.659999999999997</v>
      </c>
      <c r="M69" s="6">
        <v>31.19</v>
      </c>
      <c r="N69" s="6">
        <v>545.79999999999995</v>
      </c>
      <c r="O69" s="6">
        <v>0</v>
      </c>
      <c r="P69" s="6">
        <v>0.41</v>
      </c>
      <c r="Q69" s="6">
        <v>3.96</v>
      </c>
    </row>
    <row r="70" spans="1:17" customFormat="1">
      <c r="A70" s="82">
        <v>45461.645833333336</v>
      </c>
      <c r="B70" s="6">
        <v>9.01</v>
      </c>
      <c r="C70" s="6">
        <v>4.0999999999999996</v>
      </c>
      <c r="D70" s="6">
        <v>13.82</v>
      </c>
      <c r="E70" s="6">
        <v>15.74</v>
      </c>
      <c r="F70" s="6">
        <v>27.92</v>
      </c>
      <c r="G70" s="6">
        <v>33.08</v>
      </c>
      <c r="H70" s="6">
        <v>16.02</v>
      </c>
      <c r="I70" s="6">
        <v>4.72</v>
      </c>
      <c r="J70" s="6">
        <v>1.1000000000000001</v>
      </c>
      <c r="K70" s="6">
        <v>265.68</v>
      </c>
      <c r="L70" s="6">
        <v>40.729999999999997</v>
      </c>
      <c r="M70" s="6">
        <v>31.17</v>
      </c>
      <c r="N70" s="6">
        <v>467.7</v>
      </c>
      <c r="O70" s="6">
        <v>0</v>
      </c>
      <c r="P70" s="6">
        <v>0.4</v>
      </c>
      <c r="Q70" s="6">
        <v>3.96</v>
      </c>
    </row>
    <row r="71" spans="1:17" customFormat="1">
      <c r="A71" s="82">
        <v>45461.65625</v>
      </c>
      <c r="B71" s="6">
        <v>9.0500000000000007</v>
      </c>
      <c r="C71" s="6">
        <v>4.07</v>
      </c>
      <c r="D71" s="6">
        <v>13.84</v>
      </c>
      <c r="E71" s="6">
        <v>14.49</v>
      </c>
      <c r="F71" s="6">
        <v>24.2</v>
      </c>
      <c r="G71" s="6">
        <v>33.08</v>
      </c>
      <c r="H71" s="6">
        <v>16.02</v>
      </c>
      <c r="I71" s="6">
        <v>4.55</v>
      </c>
      <c r="J71" s="6">
        <v>1.1499999999999999</v>
      </c>
      <c r="K71" s="6">
        <v>259.32</v>
      </c>
      <c r="L71" s="6">
        <v>40.479999999999997</v>
      </c>
      <c r="M71" s="6">
        <v>31.47</v>
      </c>
      <c r="N71" s="6">
        <v>435.8</v>
      </c>
      <c r="O71" s="6">
        <v>0</v>
      </c>
      <c r="P71" s="6">
        <v>0.41</v>
      </c>
      <c r="Q71" s="6">
        <v>3.9</v>
      </c>
    </row>
    <row r="72" spans="1:17" customFormat="1">
      <c r="A72" s="82">
        <v>45461.666666666664</v>
      </c>
      <c r="B72" s="6">
        <v>9.08</v>
      </c>
      <c r="C72" s="6">
        <v>4.0599999999999996</v>
      </c>
      <c r="D72" s="6">
        <v>13.85</v>
      </c>
      <c r="E72" s="6">
        <v>13.96</v>
      </c>
      <c r="F72" s="6">
        <v>28.14</v>
      </c>
      <c r="G72" s="6">
        <v>35</v>
      </c>
      <c r="H72" s="6">
        <v>14.68</v>
      </c>
      <c r="I72" s="6">
        <v>4.55</v>
      </c>
      <c r="J72" s="6">
        <v>1.03</v>
      </c>
      <c r="K72" s="6">
        <v>275.45999999999998</v>
      </c>
      <c r="L72" s="6">
        <v>40.619999999999997</v>
      </c>
      <c r="M72" s="6">
        <v>30.8</v>
      </c>
      <c r="N72" s="6">
        <v>366.8</v>
      </c>
      <c r="O72" s="6">
        <v>0</v>
      </c>
      <c r="P72" s="6">
        <v>0.39</v>
      </c>
      <c r="Q72" s="6">
        <v>3.91</v>
      </c>
    </row>
    <row r="73" spans="1:17" customFormat="1">
      <c r="A73" s="82">
        <v>45461.677083333336</v>
      </c>
      <c r="B73" s="6">
        <v>9.0399999999999991</v>
      </c>
      <c r="C73" s="6">
        <v>4.0599999999999996</v>
      </c>
      <c r="D73" s="6">
        <v>13.82</v>
      </c>
      <c r="E73" s="6">
        <v>12.86</v>
      </c>
      <c r="F73" s="6">
        <v>26.3</v>
      </c>
      <c r="G73" s="6">
        <v>36.840000000000003</v>
      </c>
      <c r="H73" s="6">
        <v>14.05</v>
      </c>
      <c r="I73" s="6">
        <v>4.63</v>
      </c>
      <c r="J73" s="6">
        <v>1.05</v>
      </c>
      <c r="K73" s="6">
        <v>286.61</v>
      </c>
      <c r="L73" s="6">
        <v>40.39</v>
      </c>
      <c r="M73" s="6">
        <v>30.86</v>
      </c>
      <c r="N73" s="6">
        <v>226.2</v>
      </c>
      <c r="O73" s="6">
        <v>0</v>
      </c>
      <c r="P73" s="6">
        <v>0.39</v>
      </c>
      <c r="Q73" s="6">
        <v>3.91</v>
      </c>
    </row>
    <row r="74" spans="1:17" customFormat="1">
      <c r="A74" s="82">
        <v>45461.6875</v>
      </c>
      <c r="B74" s="6">
        <v>9.0399999999999991</v>
      </c>
      <c r="C74" s="6">
        <v>4.0599999999999996</v>
      </c>
      <c r="D74" s="6">
        <v>13.82</v>
      </c>
      <c r="E74" s="6">
        <v>15.73</v>
      </c>
      <c r="F74" s="6">
        <v>17.38</v>
      </c>
      <c r="G74" s="6">
        <v>36.840000000000003</v>
      </c>
      <c r="H74" s="6">
        <v>14.05</v>
      </c>
      <c r="I74" s="6">
        <v>4.22</v>
      </c>
      <c r="J74" s="6">
        <v>1.78</v>
      </c>
      <c r="K74" s="6">
        <v>28.86</v>
      </c>
      <c r="L74" s="6">
        <v>36</v>
      </c>
      <c r="M74" s="6">
        <v>44.49</v>
      </c>
      <c r="N74" s="6">
        <v>79</v>
      </c>
      <c r="O74" s="6">
        <v>0</v>
      </c>
      <c r="P74" s="6">
        <v>0.43</v>
      </c>
      <c r="Q74" s="6">
        <v>3.91</v>
      </c>
    </row>
    <row r="75" spans="1:17" customFormat="1">
      <c r="A75" s="82">
        <v>45461.697916666664</v>
      </c>
      <c r="B75" s="6">
        <v>9.1</v>
      </c>
      <c r="C75" s="6">
        <v>4.05</v>
      </c>
      <c r="D75" s="6">
        <v>13.86</v>
      </c>
      <c r="E75" s="6">
        <v>17.05</v>
      </c>
      <c r="F75" s="6">
        <v>15.45</v>
      </c>
      <c r="G75" s="6">
        <v>36.840000000000003</v>
      </c>
      <c r="H75" s="6">
        <v>14.05</v>
      </c>
      <c r="I75" s="6">
        <v>4.25</v>
      </c>
      <c r="J75" s="6">
        <v>2.2200000000000002</v>
      </c>
      <c r="K75" s="6">
        <v>44.39</v>
      </c>
      <c r="L75" s="6">
        <v>34.32</v>
      </c>
      <c r="M75" s="6">
        <v>48.81</v>
      </c>
      <c r="N75" s="6">
        <v>42.2</v>
      </c>
      <c r="O75" s="6">
        <v>0</v>
      </c>
      <c r="P75" s="6">
        <v>0.43</v>
      </c>
      <c r="Q75" s="6">
        <v>3.9</v>
      </c>
    </row>
    <row r="76" spans="1:17" customFormat="1">
      <c r="A76" s="82">
        <v>45461.708333333336</v>
      </c>
      <c r="B76" s="6">
        <v>9.1199999999999992</v>
      </c>
      <c r="C76" s="6">
        <v>4.1100000000000003</v>
      </c>
      <c r="D76" s="6">
        <v>13.91</v>
      </c>
      <c r="E76" s="6">
        <v>25.38</v>
      </c>
      <c r="F76" s="6">
        <v>17.57</v>
      </c>
      <c r="G76" s="6">
        <v>45.14</v>
      </c>
      <c r="H76" s="6">
        <v>14.55</v>
      </c>
      <c r="I76" s="6">
        <v>5.01</v>
      </c>
      <c r="J76" s="6">
        <v>1.72</v>
      </c>
      <c r="K76" s="6">
        <v>41.63</v>
      </c>
      <c r="L76" s="6">
        <v>33.61</v>
      </c>
      <c r="M76" s="6">
        <v>50.63</v>
      </c>
      <c r="N76" s="6">
        <v>26.8</v>
      </c>
      <c r="O76" s="6">
        <v>0</v>
      </c>
      <c r="P76" s="6">
        <v>0.46</v>
      </c>
      <c r="Q76" s="6">
        <v>3.93</v>
      </c>
    </row>
    <row r="77" spans="1:17" customFormat="1">
      <c r="A77" s="82">
        <v>45461.71875</v>
      </c>
      <c r="B77" s="6">
        <v>9.1</v>
      </c>
      <c r="C77" s="6">
        <v>4.08</v>
      </c>
      <c r="D77" s="6">
        <v>13.88</v>
      </c>
      <c r="E77" s="6">
        <v>33.08</v>
      </c>
      <c r="F77" s="6">
        <v>16.21</v>
      </c>
      <c r="G77" s="6">
        <v>53.07</v>
      </c>
      <c r="H77" s="6">
        <v>14.78</v>
      </c>
      <c r="I77" s="6">
        <v>4.93</v>
      </c>
      <c r="J77" s="6">
        <v>1.22</v>
      </c>
      <c r="K77" s="6">
        <v>32.68</v>
      </c>
      <c r="L77" s="6">
        <v>33.64</v>
      </c>
      <c r="M77" s="6">
        <v>51.09</v>
      </c>
      <c r="N77" s="6">
        <v>13.9</v>
      </c>
      <c r="O77" s="6">
        <v>0</v>
      </c>
      <c r="P77" s="6">
        <v>0.48</v>
      </c>
      <c r="Q77" s="6">
        <v>3.9</v>
      </c>
    </row>
    <row r="78" spans="1:17" customFormat="1">
      <c r="A78" s="82">
        <v>45461.729166666664</v>
      </c>
      <c r="B78" s="6">
        <v>9.09</v>
      </c>
      <c r="C78" s="6">
        <v>4.09</v>
      </c>
      <c r="D78" s="6">
        <v>13.88</v>
      </c>
      <c r="E78" s="6">
        <v>39.630000000000003</v>
      </c>
      <c r="F78" s="6">
        <v>16.27</v>
      </c>
      <c r="G78" s="6">
        <v>53.07</v>
      </c>
      <c r="H78" s="6">
        <v>14.78</v>
      </c>
      <c r="I78" s="6">
        <v>5.29</v>
      </c>
      <c r="J78" s="6">
        <v>1.1499999999999999</v>
      </c>
      <c r="K78" s="6">
        <v>10.23</v>
      </c>
      <c r="L78" s="6">
        <v>33.659999999999997</v>
      </c>
      <c r="M78" s="6">
        <v>50.77</v>
      </c>
      <c r="N78" s="6">
        <v>10.199999999999999</v>
      </c>
      <c r="O78" s="6">
        <v>0</v>
      </c>
      <c r="P78" s="6">
        <v>0.49</v>
      </c>
      <c r="Q78" s="6">
        <v>3.91</v>
      </c>
    </row>
    <row r="79" spans="1:17" customFormat="1">
      <c r="A79" s="82">
        <v>45461.739583333336</v>
      </c>
      <c r="B79" s="6">
        <v>9.11</v>
      </c>
      <c r="C79" s="6">
        <v>4.08</v>
      </c>
      <c r="D79" s="6">
        <v>13.89</v>
      </c>
      <c r="E79" s="6">
        <v>16.21</v>
      </c>
      <c r="F79" s="6">
        <v>20.03</v>
      </c>
      <c r="G79" s="6">
        <v>53.07</v>
      </c>
      <c r="H79" s="6">
        <v>14.78</v>
      </c>
      <c r="I79" s="6">
        <v>5.29</v>
      </c>
      <c r="J79" s="6">
        <v>1.28</v>
      </c>
      <c r="K79" s="6">
        <v>352.31</v>
      </c>
      <c r="L79" s="6">
        <v>32.69</v>
      </c>
      <c r="M79" s="6">
        <v>52.8</v>
      </c>
      <c r="N79" s="6">
        <v>6.9</v>
      </c>
      <c r="O79" s="6">
        <v>0</v>
      </c>
      <c r="P79" s="6">
        <v>0.44</v>
      </c>
      <c r="Q79" s="6">
        <v>3.92</v>
      </c>
    </row>
    <row r="80" spans="1:17" customFormat="1">
      <c r="A80" s="82">
        <v>45461.75</v>
      </c>
      <c r="B80" s="6">
        <v>9.11</v>
      </c>
      <c r="C80" s="6">
        <v>4.0999999999999996</v>
      </c>
      <c r="D80" s="6">
        <v>13.89</v>
      </c>
      <c r="E80" s="6">
        <v>14.76</v>
      </c>
      <c r="F80" s="6">
        <v>15.64</v>
      </c>
      <c r="G80" s="6">
        <v>59.74</v>
      </c>
      <c r="H80" s="6">
        <v>16.75</v>
      </c>
      <c r="I80" s="6">
        <v>5.51</v>
      </c>
      <c r="J80" s="6">
        <v>1.64</v>
      </c>
      <c r="K80" s="6">
        <v>344.34</v>
      </c>
      <c r="L80" s="6">
        <v>31.66</v>
      </c>
      <c r="M80" s="6">
        <v>56.7</v>
      </c>
      <c r="N80" s="6">
        <v>4.8</v>
      </c>
      <c r="O80" s="6">
        <v>0</v>
      </c>
      <c r="P80" s="6">
        <v>0.44</v>
      </c>
      <c r="Q80" s="6">
        <v>3.92</v>
      </c>
    </row>
    <row r="81" spans="1:17" customFormat="1">
      <c r="A81" s="82">
        <v>45461.760416666664</v>
      </c>
      <c r="B81" s="6">
        <v>9.09</v>
      </c>
      <c r="C81" s="6">
        <v>4.0599999999999996</v>
      </c>
      <c r="D81" s="6">
        <v>13.86</v>
      </c>
      <c r="E81" s="6">
        <v>9.6300000000000008</v>
      </c>
      <c r="F81" s="6">
        <v>16.829999999999998</v>
      </c>
      <c r="G81" s="6">
        <v>66.12</v>
      </c>
      <c r="H81" s="6">
        <v>17.670000000000002</v>
      </c>
      <c r="I81" s="6">
        <v>4.82</v>
      </c>
      <c r="J81" s="6">
        <v>2.37</v>
      </c>
      <c r="K81" s="6">
        <v>35.69</v>
      </c>
      <c r="L81" s="6">
        <v>30.85</v>
      </c>
      <c r="M81" s="6">
        <v>60.18</v>
      </c>
      <c r="N81" s="6">
        <v>3.8</v>
      </c>
      <c r="O81" s="6">
        <v>0</v>
      </c>
      <c r="P81" s="6">
        <v>0.44</v>
      </c>
      <c r="Q81" s="6">
        <v>3.93</v>
      </c>
    </row>
    <row r="82" spans="1:17" customFormat="1">
      <c r="A82" s="82">
        <v>45461.770833333336</v>
      </c>
      <c r="B82" s="6">
        <v>9.07</v>
      </c>
      <c r="C82" s="6">
        <v>4.0199999999999996</v>
      </c>
      <c r="D82" s="6">
        <v>13.82</v>
      </c>
      <c r="E82" s="6">
        <v>9.3800000000000008</v>
      </c>
      <c r="F82" s="6">
        <v>12.35</v>
      </c>
      <c r="G82" s="6">
        <v>66.12</v>
      </c>
      <c r="H82" s="6">
        <v>17.670000000000002</v>
      </c>
      <c r="I82" s="6">
        <v>4.95</v>
      </c>
      <c r="J82" s="6">
        <v>1.58</v>
      </c>
      <c r="K82" s="6">
        <v>337.76</v>
      </c>
      <c r="L82" s="6">
        <v>29.27</v>
      </c>
      <c r="M82" s="6">
        <v>72.900000000000006</v>
      </c>
      <c r="N82" s="6">
        <v>7.4</v>
      </c>
      <c r="O82" s="6">
        <v>0.6</v>
      </c>
      <c r="P82" s="6">
        <v>0.43</v>
      </c>
      <c r="Q82" s="6">
        <v>3.9</v>
      </c>
    </row>
    <row r="83" spans="1:17" customFormat="1">
      <c r="A83" s="82">
        <v>45461.78125</v>
      </c>
      <c r="B83" s="6">
        <v>9.08</v>
      </c>
      <c r="C83" s="6">
        <v>4.04</v>
      </c>
      <c r="D83" s="6">
        <v>13.84</v>
      </c>
      <c r="E83" s="6">
        <v>8.7799999999999994</v>
      </c>
      <c r="F83" s="6">
        <v>12.79</v>
      </c>
      <c r="G83" s="6">
        <v>66.12</v>
      </c>
      <c r="H83" s="6">
        <v>17.670000000000002</v>
      </c>
      <c r="I83" s="6">
        <v>4.8600000000000003</v>
      </c>
      <c r="J83" s="6">
        <v>1.0900000000000001</v>
      </c>
      <c r="K83" s="6">
        <v>340.5</v>
      </c>
      <c r="L83" s="6">
        <v>27.09</v>
      </c>
      <c r="M83" s="6">
        <v>87.13</v>
      </c>
      <c r="N83" s="6">
        <v>4.0999999999999996</v>
      </c>
      <c r="O83" s="6">
        <v>3.6</v>
      </c>
      <c r="P83" s="6">
        <v>0.42</v>
      </c>
      <c r="Q83" s="6">
        <v>3.91</v>
      </c>
    </row>
    <row r="84" spans="1:17" customFormat="1">
      <c r="A84" s="82">
        <v>45461.791666666664</v>
      </c>
      <c r="B84" s="6">
        <v>9.08</v>
      </c>
      <c r="C84" s="6">
        <v>4.08</v>
      </c>
      <c r="D84" s="6">
        <v>13.86</v>
      </c>
      <c r="E84" s="6">
        <v>8.8699999999999992</v>
      </c>
      <c r="F84" s="6">
        <v>12.42</v>
      </c>
      <c r="G84" s="6">
        <v>64.87</v>
      </c>
      <c r="H84" s="6">
        <v>18.39</v>
      </c>
      <c r="I84" s="6">
        <v>4.8600000000000003</v>
      </c>
      <c r="J84" s="6">
        <v>1.03</v>
      </c>
      <c r="K84" s="6">
        <v>35.76</v>
      </c>
      <c r="L84" s="6">
        <v>25.43</v>
      </c>
      <c r="M84" s="6">
        <v>97.02</v>
      </c>
      <c r="N84" s="6">
        <v>4.0999999999999996</v>
      </c>
      <c r="O84" s="6">
        <v>11.8</v>
      </c>
      <c r="P84" s="6">
        <v>0.4</v>
      </c>
      <c r="Q84" s="6">
        <v>3.92</v>
      </c>
    </row>
    <row r="85" spans="1:17" customFormat="1">
      <c r="A85" s="82">
        <v>45461.802083333336</v>
      </c>
      <c r="B85" s="6">
        <v>9.09</v>
      </c>
      <c r="C85" s="6">
        <v>4.07</v>
      </c>
      <c r="D85" s="6">
        <v>13.87</v>
      </c>
      <c r="E85" s="6">
        <v>7.65</v>
      </c>
      <c r="F85" s="6">
        <v>9.68</v>
      </c>
      <c r="G85" s="6">
        <v>63.68</v>
      </c>
      <c r="H85" s="6">
        <v>18.73</v>
      </c>
      <c r="I85" s="6">
        <v>4.6900000000000004</v>
      </c>
      <c r="J85" s="6">
        <v>1.25</v>
      </c>
      <c r="K85" s="6">
        <v>44.67</v>
      </c>
      <c r="L85" s="6">
        <v>24.34</v>
      </c>
      <c r="M85" s="6">
        <v>100.25</v>
      </c>
      <c r="N85" s="6">
        <v>3.1</v>
      </c>
      <c r="O85" s="6">
        <v>9.4</v>
      </c>
      <c r="P85" s="6">
        <v>0.38</v>
      </c>
      <c r="Q85" s="6">
        <v>3.96</v>
      </c>
    </row>
    <row r="86" spans="1:17" customFormat="1">
      <c r="A86" s="82">
        <v>45461.8125</v>
      </c>
      <c r="B86" s="6">
        <v>9.1</v>
      </c>
      <c r="C86" s="6">
        <v>4.09</v>
      </c>
      <c r="D86" s="6">
        <v>13.89</v>
      </c>
      <c r="E86" s="6">
        <v>6.93</v>
      </c>
      <c r="F86" s="6">
        <v>7.46</v>
      </c>
      <c r="G86" s="6">
        <v>63.68</v>
      </c>
      <c r="H86" s="6">
        <v>18.73</v>
      </c>
      <c r="I86" s="6">
        <v>4.59</v>
      </c>
      <c r="J86" s="6">
        <v>1.35</v>
      </c>
      <c r="K86" s="6">
        <v>291</v>
      </c>
      <c r="L86" s="6">
        <v>24.39</v>
      </c>
      <c r="M86" s="6">
        <v>101.29</v>
      </c>
      <c r="N86" s="6">
        <v>2</v>
      </c>
      <c r="O86" s="6">
        <v>2.6</v>
      </c>
      <c r="P86" s="6">
        <v>0.38</v>
      </c>
      <c r="Q86" s="6">
        <v>3.92</v>
      </c>
    </row>
    <row r="87" spans="1:17" customFormat="1">
      <c r="A87" s="82">
        <v>45461.822916666664</v>
      </c>
      <c r="B87" s="6">
        <v>9.09</v>
      </c>
      <c r="C87" s="6">
        <v>4.07</v>
      </c>
      <c r="D87" s="6">
        <v>13.87</v>
      </c>
      <c r="E87" s="6">
        <v>6.46</v>
      </c>
      <c r="F87" s="6">
        <v>8.2799999999999994</v>
      </c>
      <c r="G87" s="6">
        <v>63.68</v>
      </c>
      <c r="H87" s="6">
        <v>18.73</v>
      </c>
      <c r="I87" s="6">
        <v>4.66</v>
      </c>
      <c r="J87" s="6">
        <v>1</v>
      </c>
      <c r="K87" s="6">
        <v>276.52</v>
      </c>
      <c r="L87" s="6">
        <v>24.1</v>
      </c>
      <c r="M87" s="6">
        <v>101.95</v>
      </c>
      <c r="N87" s="6">
        <v>2.8</v>
      </c>
      <c r="O87" s="6">
        <v>1</v>
      </c>
      <c r="P87" s="6">
        <v>0.37</v>
      </c>
      <c r="Q87" s="6">
        <v>3.93</v>
      </c>
    </row>
    <row r="88" spans="1:17" customFormat="1">
      <c r="A88" s="82">
        <v>45461.833333333336</v>
      </c>
      <c r="B88" s="6">
        <v>9.11</v>
      </c>
      <c r="C88" s="6">
        <v>4.09</v>
      </c>
      <c r="D88" s="6">
        <v>13.89</v>
      </c>
      <c r="E88" s="6">
        <v>6.34</v>
      </c>
      <c r="F88" s="6">
        <v>14.29</v>
      </c>
      <c r="G88" s="6">
        <v>55.99</v>
      </c>
      <c r="H88" s="6">
        <v>15.45</v>
      </c>
      <c r="I88" s="6">
        <v>4.6900000000000004</v>
      </c>
      <c r="J88" s="6">
        <v>0.48</v>
      </c>
      <c r="K88" s="6">
        <v>293</v>
      </c>
      <c r="L88" s="6">
        <v>24.3</v>
      </c>
      <c r="M88" s="6">
        <v>102.81</v>
      </c>
      <c r="N88" s="6">
        <v>1.7</v>
      </c>
      <c r="O88" s="6">
        <v>0.6</v>
      </c>
      <c r="P88" s="6">
        <v>0.35</v>
      </c>
      <c r="Q88" s="6">
        <v>3.95</v>
      </c>
    </row>
    <row r="89" spans="1:17" customFormat="1">
      <c r="A89" s="82">
        <v>45461.84375</v>
      </c>
      <c r="B89" s="6">
        <v>9.11</v>
      </c>
      <c r="C89" s="6">
        <v>4.09</v>
      </c>
      <c r="D89" s="6">
        <v>13.89</v>
      </c>
      <c r="E89" s="6">
        <v>6.82</v>
      </c>
      <c r="F89" s="6">
        <v>9.39</v>
      </c>
      <c r="G89" s="6">
        <v>48.63</v>
      </c>
      <c r="H89" s="6">
        <v>12.18</v>
      </c>
      <c r="I89" s="6">
        <v>4.55</v>
      </c>
      <c r="J89" s="6">
        <v>0.46</v>
      </c>
      <c r="K89" s="6">
        <v>268.8</v>
      </c>
      <c r="L89" s="6">
        <v>24.44</v>
      </c>
      <c r="M89" s="6">
        <v>103.7</v>
      </c>
      <c r="N89" s="6">
        <v>2.4</v>
      </c>
      <c r="O89" s="6">
        <v>0.2</v>
      </c>
      <c r="P89" s="6">
        <v>0.36</v>
      </c>
      <c r="Q89" s="6">
        <v>3.93</v>
      </c>
    </row>
    <row r="90" spans="1:17" customFormat="1">
      <c r="A90" s="82">
        <v>45461.854166666664</v>
      </c>
      <c r="B90" s="6">
        <v>9.1</v>
      </c>
      <c r="C90" s="6">
        <v>4.04</v>
      </c>
      <c r="D90" s="6">
        <v>13.86</v>
      </c>
      <c r="E90" s="6">
        <v>6.92</v>
      </c>
      <c r="F90" s="6">
        <v>8.4499999999999993</v>
      </c>
      <c r="G90" s="6">
        <v>48.63</v>
      </c>
      <c r="H90" s="6">
        <v>12.18</v>
      </c>
      <c r="I90" s="6">
        <v>4.21</v>
      </c>
      <c r="J90" s="6">
        <v>0.42</v>
      </c>
      <c r="K90" s="6">
        <v>241.34</v>
      </c>
      <c r="L90" s="6">
        <v>24.92</v>
      </c>
      <c r="M90" s="6">
        <v>104.29</v>
      </c>
      <c r="N90" s="6">
        <v>1</v>
      </c>
      <c r="O90" s="6">
        <v>0.2</v>
      </c>
      <c r="P90" s="6">
        <v>0.39</v>
      </c>
      <c r="Q90" s="6">
        <v>3.94</v>
      </c>
    </row>
    <row r="91" spans="1:17" customFormat="1">
      <c r="A91" s="82">
        <v>45461.864583333336</v>
      </c>
      <c r="B91" s="6">
        <v>9.06</v>
      </c>
      <c r="C91" s="6">
        <v>4.05</v>
      </c>
      <c r="D91" s="6">
        <v>13.84</v>
      </c>
      <c r="E91" s="6">
        <v>7.36</v>
      </c>
      <c r="F91" s="6">
        <v>8.3000000000000007</v>
      </c>
      <c r="G91" s="6">
        <v>48.63</v>
      </c>
      <c r="H91" s="6">
        <v>12.18</v>
      </c>
      <c r="I91" s="6">
        <v>4.3</v>
      </c>
      <c r="J91" s="6">
        <v>0.64</v>
      </c>
      <c r="K91" s="6">
        <v>276.54000000000002</v>
      </c>
      <c r="L91" s="6">
        <v>25.29</v>
      </c>
      <c r="M91" s="6">
        <v>104.85</v>
      </c>
      <c r="N91" s="6">
        <v>2.1</v>
      </c>
      <c r="O91" s="6">
        <v>0.4</v>
      </c>
      <c r="P91" s="6">
        <v>0.39</v>
      </c>
      <c r="Q91" s="6">
        <v>3.95</v>
      </c>
    </row>
    <row r="92" spans="1:17" customFormat="1">
      <c r="A92" s="82">
        <v>45461.875</v>
      </c>
      <c r="B92" s="6">
        <v>9.0500000000000007</v>
      </c>
      <c r="C92" s="6">
        <v>4.08</v>
      </c>
      <c r="D92" s="6">
        <v>13.84</v>
      </c>
      <c r="E92" s="6">
        <v>7.35</v>
      </c>
      <c r="F92" s="6">
        <v>6.77</v>
      </c>
      <c r="G92" s="6">
        <v>40.75</v>
      </c>
      <c r="H92" s="6">
        <v>10.37</v>
      </c>
      <c r="I92" s="6">
        <v>4.41</v>
      </c>
      <c r="J92" s="6">
        <v>0.89</v>
      </c>
      <c r="K92" s="6">
        <v>270.77</v>
      </c>
      <c r="L92" s="6">
        <v>25.4</v>
      </c>
      <c r="M92" s="6">
        <v>104.66</v>
      </c>
      <c r="N92" s="6">
        <v>2.4</v>
      </c>
      <c r="O92" s="6">
        <v>0.4</v>
      </c>
      <c r="P92" s="6">
        <v>0.43</v>
      </c>
      <c r="Q92" s="6">
        <v>3.95</v>
      </c>
    </row>
    <row r="93" spans="1:17" customFormat="1">
      <c r="A93" s="82">
        <v>45461.885416666664</v>
      </c>
      <c r="B93" s="6">
        <v>9.0500000000000007</v>
      </c>
      <c r="C93" s="6">
        <v>4.08</v>
      </c>
      <c r="D93" s="6">
        <v>13.84</v>
      </c>
      <c r="E93" s="6">
        <v>7.14</v>
      </c>
      <c r="F93" s="6">
        <v>6.04</v>
      </c>
      <c r="G93" s="6">
        <v>33.200000000000003</v>
      </c>
      <c r="H93" s="6">
        <v>9.52</v>
      </c>
      <c r="I93" s="6">
        <v>4.4000000000000004</v>
      </c>
      <c r="J93" s="6">
        <v>0.92</v>
      </c>
      <c r="K93" s="6">
        <v>305.82</v>
      </c>
      <c r="L93" s="6">
        <v>25.64</v>
      </c>
      <c r="M93" s="6">
        <v>103.5</v>
      </c>
      <c r="N93" s="6">
        <v>2.2999999999999998</v>
      </c>
      <c r="O93" s="6">
        <v>0.4</v>
      </c>
      <c r="P93" s="6">
        <v>0.44</v>
      </c>
      <c r="Q93" s="6">
        <v>3.97</v>
      </c>
    </row>
    <row r="94" spans="1:17" customFormat="1">
      <c r="A94" s="82">
        <v>45461.895833333336</v>
      </c>
      <c r="B94" s="6">
        <v>9.0299999999999994</v>
      </c>
      <c r="C94" s="6">
        <v>4.09</v>
      </c>
      <c r="D94" s="6">
        <v>13.83</v>
      </c>
      <c r="E94" s="6">
        <v>7.52</v>
      </c>
      <c r="F94" s="6">
        <v>5.13</v>
      </c>
      <c r="G94" s="6">
        <v>33.200000000000003</v>
      </c>
      <c r="H94" s="6">
        <v>9.52</v>
      </c>
      <c r="I94" s="6">
        <v>4.5999999999999996</v>
      </c>
      <c r="J94" s="6">
        <v>0.23</v>
      </c>
      <c r="K94" s="6">
        <v>342.54</v>
      </c>
      <c r="L94" s="6">
        <v>26.01</v>
      </c>
      <c r="M94" s="6">
        <v>103.43</v>
      </c>
      <c r="N94" s="6">
        <v>1.7</v>
      </c>
      <c r="O94" s="6">
        <v>0.2</v>
      </c>
      <c r="P94" s="6">
        <v>0.46</v>
      </c>
      <c r="Q94" s="6">
        <v>3.94</v>
      </c>
    </row>
    <row r="95" spans="1:17" customFormat="1">
      <c r="A95" s="82">
        <v>45461.90625</v>
      </c>
      <c r="B95" s="6">
        <v>9.02</v>
      </c>
      <c r="C95" s="6">
        <v>4.1100000000000003</v>
      </c>
      <c r="D95" s="6">
        <v>13.83</v>
      </c>
      <c r="E95" s="6">
        <v>7.17</v>
      </c>
      <c r="F95" s="6">
        <v>4.5999999999999996</v>
      </c>
      <c r="G95" s="6">
        <v>33.200000000000003</v>
      </c>
      <c r="H95" s="6">
        <v>9.52</v>
      </c>
      <c r="I95" s="6">
        <v>4.6399999999999997</v>
      </c>
      <c r="J95" s="6">
        <v>0.15</v>
      </c>
      <c r="K95" s="6">
        <v>62.27</v>
      </c>
      <c r="L95" s="6">
        <v>26.25</v>
      </c>
      <c r="M95" s="6">
        <v>101.32</v>
      </c>
      <c r="N95" s="6">
        <v>2</v>
      </c>
      <c r="O95" s="6">
        <v>0</v>
      </c>
      <c r="P95" s="6">
        <v>0.49</v>
      </c>
      <c r="Q95" s="6">
        <v>3.95</v>
      </c>
    </row>
    <row r="96" spans="1:17" customFormat="1">
      <c r="A96" s="82">
        <v>45461.916666666664</v>
      </c>
      <c r="B96" s="6">
        <v>9.02</v>
      </c>
      <c r="C96" s="6">
        <v>4.08</v>
      </c>
      <c r="D96" s="6">
        <v>13.81</v>
      </c>
      <c r="E96" s="6">
        <v>7.51</v>
      </c>
      <c r="F96" s="6">
        <v>6.38</v>
      </c>
      <c r="G96" s="6">
        <v>29.28</v>
      </c>
      <c r="H96" s="6">
        <v>8.91</v>
      </c>
      <c r="I96" s="6">
        <v>4.7</v>
      </c>
      <c r="J96" s="6">
        <v>0.14000000000000001</v>
      </c>
      <c r="K96" s="6">
        <v>293.39999999999998</v>
      </c>
      <c r="L96" s="6">
        <v>26.26</v>
      </c>
      <c r="M96" s="6">
        <v>97.73</v>
      </c>
      <c r="N96" s="6">
        <v>2.6</v>
      </c>
      <c r="O96" s="6">
        <v>0</v>
      </c>
      <c r="P96" s="6">
        <v>0.48</v>
      </c>
      <c r="Q96" s="6">
        <v>3.94</v>
      </c>
    </row>
    <row r="97" spans="1:22" customFormat="1">
      <c r="A97" s="82">
        <v>45461.927083333336</v>
      </c>
      <c r="B97" s="6">
        <v>9</v>
      </c>
      <c r="C97" s="6">
        <v>4.08</v>
      </c>
      <c r="D97" s="6">
        <v>13.8</v>
      </c>
      <c r="E97" s="6">
        <v>7.96</v>
      </c>
      <c r="F97" s="6">
        <v>6.84</v>
      </c>
      <c r="G97" s="6">
        <v>25.53</v>
      </c>
      <c r="H97" s="6">
        <v>8.6300000000000008</v>
      </c>
      <c r="I97" s="6">
        <v>4.78</v>
      </c>
      <c r="J97" s="6">
        <v>0.41</v>
      </c>
      <c r="K97" s="6">
        <v>263.49</v>
      </c>
      <c r="L97" s="6">
        <v>26.06</v>
      </c>
      <c r="M97" s="6">
        <v>98.24</v>
      </c>
      <c r="N97" s="6">
        <v>3.1</v>
      </c>
      <c r="O97" s="6">
        <v>0</v>
      </c>
      <c r="P97" s="6">
        <v>0.46</v>
      </c>
      <c r="Q97" s="6">
        <v>3.93</v>
      </c>
    </row>
    <row r="98" spans="1:22" customFormat="1">
      <c r="A98" s="82">
        <v>45461.9375</v>
      </c>
      <c r="B98" s="6">
        <v>9.01</v>
      </c>
      <c r="C98" s="6">
        <v>4.05</v>
      </c>
      <c r="D98" s="6">
        <v>13.79</v>
      </c>
      <c r="E98" s="6">
        <v>8.0399999999999991</v>
      </c>
      <c r="F98" s="6">
        <v>4.8</v>
      </c>
      <c r="G98" s="6">
        <v>25.53</v>
      </c>
      <c r="H98" s="6">
        <v>8.6300000000000008</v>
      </c>
      <c r="I98" s="6">
        <v>4.7699999999999996</v>
      </c>
      <c r="J98" s="6">
        <v>0.72</v>
      </c>
      <c r="K98" s="6">
        <v>275.55</v>
      </c>
      <c r="L98" s="6">
        <v>26.08</v>
      </c>
      <c r="M98" s="6">
        <v>95.53</v>
      </c>
      <c r="N98" s="6">
        <v>2.9</v>
      </c>
      <c r="O98" s="6">
        <v>0</v>
      </c>
      <c r="P98" s="6">
        <v>0.47</v>
      </c>
      <c r="Q98" s="6">
        <v>3.93</v>
      </c>
    </row>
    <row r="99" spans="1:22" customFormat="1">
      <c r="A99" s="82">
        <v>45461.947916666664</v>
      </c>
      <c r="B99" s="6">
        <v>9.01</v>
      </c>
      <c r="C99" s="6">
        <v>4.04</v>
      </c>
      <c r="D99" s="6">
        <v>13.79</v>
      </c>
      <c r="E99" s="6">
        <v>8.5399999999999991</v>
      </c>
      <c r="F99" s="6">
        <v>6.2</v>
      </c>
      <c r="G99" s="6">
        <v>25.53</v>
      </c>
      <c r="H99" s="6">
        <v>8.6300000000000008</v>
      </c>
      <c r="I99" s="6">
        <v>4.7699999999999996</v>
      </c>
      <c r="J99" s="6">
        <v>0.13</v>
      </c>
      <c r="K99" s="6">
        <v>226.78</v>
      </c>
      <c r="L99" s="6">
        <v>26.79</v>
      </c>
      <c r="M99" s="6">
        <v>91.73</v>
      </c>
      <c r="N99" s="6">
        <v>2.5</v>
      </c>
      <c r="O99" s="6">
        <v>0</v>
      </c>
      <c r="P99" s="6">
        <v>0.48</v>
      </c>
      <c r="Q99" s="6">
        <v>3.95</v>
      </c>
    </row>
    <row r="100" spans="1:22" customFormat="1">
      <c r="A100" s="82">
        <v>45461.958333333336</v>
      </c>
      <c r="B100" s="6">
        <v>9</v>
      </c>
      <c r="C100" s="6">
        <v>4.08</v>
      </c>
      <c r="D100" s="6">
        <v>13.8</v>
      </c>
      <c r="E100" s="6">
        <v>8.42</v>
      </c>
      <c r="F100" s="6">
        <v>4.29</v>
      </c>
      <c r="G100" s="6">
        <v>29.26</v>
      </c>
      <c r="H100" s="6">
        <v>8.14</v>
      </c>
      <c r="I100" s="6">
        <v>4.8499999999999996</v>
      </c>
      <c r="J100" s="6">
        <v>0.25</v>
      </c>
      <c r="K100" s="6">
        <v>206.33</v>
      </c>
      <c r="L100" s="6">
        <v>26.74</v>
      </c>
      <c r="M100" s="6">
        <v>94.56</v>
      </c>
      <c r="N100" s="6">
        <v>2.5</v>
      </c>
      <c r="O100" s="6">
        <v>0</v>
      </c>
      <c r="P100" s="6">
        <v>0.48</v>
      </c>
      <c r="Q100" s="6">
        <v>3.94</v>
      </c>
    </row>
    <row r="101" spans="1:22" customFormat="1">
      <c r="A101" s="82">
        <v>45461.96875</v>
      </c>
      <c r="B101" s="6">
        <v>9.02</v>
      </c>
      <c r="C101" s="6">
        <v>4.05</v>
      </c>
      <c r="D101" s="6">
        <v>13.8</v>
      </c>
      <c r="E101" s="6">
        <v>8.23</v>
      </c>
      <c r="F101" s="6">
        <v>4.92</v>
      </c>
      <c r="G101" s="6">
        <v>32.82</v>
      </c>
      <c r="H101" s="6">
        <v>7.91</v>
      </c>
      <c r="I101" s="6">
        <v>4.82</v>
      </c>
      <c r="J101" s="6">
        <v>0.2</v>
      </c>
      <c r="K101" s="6">
        <v>250.53</v>
      </c>
      <c r="L101" s="6">
        <v>26.51</v>
      </c>
      <c r="M101" s="6">
        <v>97.52</v>
      </c>
      <c r="N101" s="6">
        <v>2.4</v>
      </c>
      <c r="O101" s="6">
        <v>0</v>
      </c>
      <c r="P101" s="6">
        <v>0.48</v>
      </c>
      <c r="Q101" s="6">
        <v>3.93</v>
      </c>
    </row>
    <row r="102" spans="1:22" customFormat="1">
      <c r="A102" s="82">
        <v>45461.979166666664</v>
      </c>
      <c r="B102" s="6">
        <v>9</v>
      </c>
      <c r="C102" s="6">
        <v>4.0599999999999996</v>
      </c>
      <c r="D102" s="6">
        <v>13.79</v>
      </c>
      <c r="E102" s="6">
        <v>8.61</v>
      </c>
      <c r="F102" s="6">
        <v>4.93</v>
      </c>
      <c r="G102" s="6">
        <v>32.82</v>
      </c>
      <c r="H102" s="6">
        <v>7.91</v>
      </c>
      <c r="I102" s="6">
        <v>4.88</v>
      </c>
      <c r="J102" s="6">
        <v>0.4</v>
      </c>
      <c r="K102" s="6">
        <v>247.64</v>
      </c>
      <c r="L102" s="6">
        <v>26.37</v>
      </c>
      <c r="M102" s="6">
        <v>96.77</v>
      </c>
      <c r="N102" s="6">
        <v>3.1</v>
      </c>
      <c r="O102" s="6">
        <v>0</v>
      </c>
      <c r="P102" s="6">
        <v>0.47</v>
      </c>
      <c r="Q102" s="6">
        <v>3.94</v>
      </c>
    </row>
    <row r="103" spans="1:22" customFormat="1">
      <c r="A103" s="82">
        <v>45461.989583333336</v>
      </c>
      <c r="B103" s="6">
        <v>9.01</v>
      </c>
      <c r="C103" s="6">
        <v>4.0599999999999996</v>
      </c>
      <c r="D103" s="6">
        <v>13.8</v>
      </c>
      <c r="E103" s="6">
        <v>8.7200000000000006</v>
      </c>
      <c r="F103" s="6">
        <v>4.92</v>
      </c>
      <c r="G103" s="6">
        <v>32.82</v>
      </c>
      <c r="H103" s="6">
        <v>7.91</v>
      </c>
      <c r="I103" s="6">
        <v>4.8499999999999996</v>
      </c>
      <c r="J103" s="6">
        <v>0.31</v>
      </c>
      <c r="K103" s="6">
        <v>238.89</v>
      </c>
      <c r="L103" s="6">
        <v>26.29</v>
      </c>
      <c r="M103" s="6">
        <v>95.75</v>
      </c>
      <c r="N103" s="6">
        <v>2.8</v>
      </c>
      <c r="O103" s="6">
        <v>0</v>
      </c>
      <c r="P103" s="6">
        <v>0.47</v>
      </c>
      <c r="Q103" s="6">
        <v>3.92</v>
      </c>
    </row>
    <row r="104" spans="1:22" customFormat="1">
      <c r="A104" s="82">
        <v>45462</v>
      </c>
      <c r="B104" s="6">
        <v>9.02</v>
      </c>
      <c r="C104" s="6">
        <v>4.04</v>
      </c>
      <c r="D104" s="6">
        <v>13.8</v>
      </c>
      <c r="E104" s="6">
        <v>8.84</v>
      </c>
      <c r="F104" s="6">
        <v>4.91</v>
      </c>
      <c r="G104" s="6">
        <v>27.85</v>
      </c>
      <c r="H104" s="6">
        <v>8.56</v>
      </c>
      <c r="I104" s="6">
        <v>4.74</v>
      </c>
      <c r="J104" s="6">
        <v>0.37</v>
      </c>
      <c r="K104" s="6">
        <v>246.04</v>
      </c>
      <c r="L104" s="6">
        <v>26.2</v>
      </c>
      <c r="M104" s="6">
        <v>96.49</v>
      </c>
      <c r="N104" s="6">
        <v>2.6</v>
      </c>
      <c r="O104" s="6">
        <v>0</v>
      </c>
      <c r="P104" s="6">
        <v>0.46</v>
      </c>
      <c r="Q104" s="6">
        <v>3.95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9</v>
      </c>
      <c r="C106" s="184">
        <f>MIN(C9:C104)</f>
        <v>4.0199999999999996</v>
      </c>
      <c r="D106" s="184">
        <f t="shared" ref="D106:Q106" si="0">MIN(D9:D104)</f>
        <v>13.79</v>
      </c>
      <c r="E106" s="184">
        <f t="shared" si="0"/>
        <v>6.34</v>
      </c>
      <c r="F106" s="184">
        <f t="shared" si="0"/>
        <v>4.29</v>
      </c>
      <c r="G106" s="184">
        <f t="shared" si="0"/>
        <v>17.989999999999998</v>
      </c>
      <c r="H106" s="184">
        <f t="shared" si="0"/>
        <v>5.39</v>
      </c>
      <c r="I106" s="184">
        <f t="shared" si="0"/>
        <v>3.84</v>
      </c>
      <c r="J106" s="184">
        <f t="shared" si="0"/>
        <v>0.13</v>
      </c>
      <c r="K106" s="184">
        <f t="shared" si="0"/>
        <v>10.23</v>
      </c>
      <c r="L106" s="184">
        <f t="shared" si="0"/>
        <v>24.1</v>
      </c>
      <c r="M106" s="184">
        <f t="shared" si="0"/>
        <v>30.8</v>
      </c>
      <c r="N106" s="184">
        <f t="shared" si="0"/>
        <v>1</v>
      </c>
      <c r="O106" s="184">
        <f t="shared" si="0"/>
        <v>0</v>
      </c>
      <c r="P106" s="184">
        <f t="shared" si="0"/>
        <v>0.28999999999999998</v>
      </c>
      <c r="Q106" s="184">
        <f t="shared" si="0"/>
        <v>3.9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9.17</v>
      </c>
      <c r="C107" s="185">
        <f t="shared" ref="C107:Q107" si="1">MAX(C9:C104)</f>
        <v>4.1100000000000003</v>
      </c>
      <c r="D107" s="185">
        <f t="shared" si="1"/>
        <v>13.92</v>
      </c>
      <c r="E107" s="185">
        <f t="shared" si="1"/>
        <v>39.630000000000003</v>
      </c>
      <c r="F107" s="185">
        <f t="shared" si="1"/>
        <v>33.369999999999997</v>
      </c>
      <c r="G107" s="185">
        <f t="shared" si="1"/>
        <v>66.12</v>
      </c>
      <c r="H107" s="185">
        <f t="shared" si="1"/>
        <v>18.73</v>
      </c>
      <c r="I107" s="185">
        <f t="shared" si="1"/>
        <v>7.62</v>
      </c>
      <c r="J107" s="185">
        <f t="shared" si="1"/>
        <v>2.37</v>
      </c>
      <c r="K107" s="185">
        <f t="shared" si="1"/>
        <v>352.31</v>
      </c>
      <c r="L107" s="185">
        <f t="shared" si="1"/>
        <v>40.869999999999997</v>
      </c>
      <c r="M107" s="185">
        <f t="shared" si="1"/>
        <v>104.85</v>
      </c>
      <c r="N107" s="185">
        <f t="shared" si="1"/>
        <v>738.1</v>
      </c>
      <c r="O107" s="185">
        <f t="shared" si="1"/>
        <v>11.8</v>
      </c>
      <c r="P107" s="185">
        <f t="shared" si="1"/>
        <v>0.73</v>
      </c>
      <c r="Q107" s="185">
        <f t="shared" si="1"/>
        <v>3.98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9.0756250000000005</v>
      </c>
      <c r="C108" s="184">
        <f t="shared" ref="C108:Q108" si="2">AVERAGE(C9:C104)</f>
        <v>4.0646874999999989</v>
      </c>
      <c r="D108" s="184">
        <f t="shared" si="2"/>
        <v>13.851979166666657</v>
      </c>
      <c r="E108" s="184">
        <f t="shared" si="2"/>
        <v>12.823020833333333</v>
      </c>
      <c r="F108" s="184">
        <f t="shared" si="2"/>
        <v>14.395937500000004</v>
      </c>
      <c r="G108" s="184">
        <f t="shared" si="2"/>
        <v>33.991249999999994</v>
      </c>
      <c r="H108" s="184">
        <f t="shared" si="2"/>
        <v>11.417708333333332</v>
      </c>
      <c r="I108" s="184">
        <f t="shared" si="2"/>
        <v>4.924166666666669</v>
      </c>
      <c r="J108" s="184">
        <f t="shared" si="2"/>
        <v>1.0607291666666669</v>
      </c>
      <c r="K108" s="184">
        <f t="shared" si="2"/>
        <v>250.99895833333326</v>
      </c>
      <c r="L108" s="184">
        <f t="shared" si="2"/>
        <v>32.022291666666653</v>
      </c>
      <c r="M108" s="184">
        <f t="shared" si="2"/>
        <v>61.655624999999993</v>
      </c>
      <c r="N108" s="184">
        <f t="shared" si="2"/>
        <v>152.56041666666667</v>
      </c>
      <c r="O108" s="184">
        <f t="shared" si="2"/>
        <v>0.32708333333333328</v>
      </c>
      <c r="P108" s="184">
        <f t="shared" si="2"/>
        <v>0.44187499999999985</v>
      </c>
      <c r="Q108" s="184">
        <f t="shared" si="2"/>
        <v>3.9426041666666669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3.8108225386460325E-2</v>
      </c>
      <c r="C109" s="184">
        <f t="shared" ref="C109:Q109" si="3">STDEV(C9:C104)</f>
        <v>1.913679976545607E-2</v>
      </c>
      <c r="D109" s="184">
        <f t="shared" si="3"/>
        <v>3.2819114830318234E-2</v>
      </c>
      <c r="E109" s="184">
        <f t="shared" si="3"/>
        <v>5.0276557516854776</v>
      </c>
      <c r="F109" s="184">
        <f t="shared" si="3"/>
        <v>6.9422369484686968</v>
      </c>
      <c r="G109" s="184">
        <f t="shared" si="3"/>
        <v>12.5096316787043</v>
      </c>
      <c r="H109" s="184">
        <f t="shared" si="3"/>
        <v>3.3324707063636629</v>
      </c>
      <c r="I109" s="184">
        <f t="shared" si="3"/>
        <v>0.65488394579201403</v>
      </c>
      <c r="J109" s="184">
        <f t="shared" si="3"/>
        <v>0.47195058793918221</v>
      </c>
      <c r="K109" s="184">
        <f t="shared" si="3"/>
        <v>72.47700897858914</v>
      </c>
      <c r="L109" s="184">
        <f t="shared" si="3"/>
        <v>4.9703231874516796</v>
      </c>
      <c r="M109" s="184">
        <f t="shared" si="3"/>
        <v>23.110058225461305</v>
      </c>
      <c r="N109" s="184">
        <f t="shared" si="3"/>
        <v>225.72629885685458</v>
      </c>
      <c r="O109" s="184">
        <f t="shared" si="3"/>
        <v>1.5873499376512423</v>
      </c>
      <c r="P109" s="184">
        <f t="shared" si="3"/>
        <v>7.5662860248954703E-2</v>
      </c>
      <c r="Q109" s="184">
        <f t="shared" si="3"/>
        <v>1.9262441866665505E-2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45462.010416666664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45462.010416666664</v>
      </c>
      <c r="B9" s="6">
        <v>9.33</v>
      </c>
      <c r="C9" s="6">
        <v>4.0599999999999996</v>
      </c>
      <c r="D9" s="6">
        <v>14.05</v>
      </c>
      <c r="E9" s="6">
        <v>8.7200000000000006</v>
      </c>
      <c r="F9" s="6">
        <v>4.2300000000000004</v>
      </c>
      <c r="G9" s="6">
        <v>23.09</v>
      </c>
      <c r="H9" s="6">
        <v>8.8699999999999992</v>
      </c>
      <c r="I9" s="6">
        <v>4.75</v>
      </c>
      <c r="J9" s="6">
        <v>0.74</v>
      </c>
      <c r="K9" s="6">
        <v>255.22</v>
      </c>
      <c r="L9" s="6">
        <v>26.33</v>
      </c>
      <c r="M9" s="6">
        <v>95.37</v>
      </c>
      <c r="N9" s="6">
        <v>2.7</v>
      </c>
      <c r="O9" s="6">
        <v>0</v>
      </c>
      <c r="P9" s="6">
        <v>0.47</v>
      </c>
      <c r="Q9" s="6">
        <v>3.96</v>
      </c>
    </row>
    <row r="10" spans="1:21" customFormat="1">
      <c r="A10" s="82">
        <v>45462.020833333336</v>
      </c>
      <c r="B10" s="6">
        <v>9.33</v>
      </c>
      <c r="C10" s="6">
        <v>4.09</v>
      </c>
      <c r="D10" s="6">
        <v>14.07</v>
      </c>
      <c r="E10" s="6">
        <v>8.98</v>
      </c>
      <c r="F10" s="6">
        <v>4</v>
      </c>
      <c r="G10" s="6">
        <v>23.09</v>
      </c>
      <c r="H10" s="6">
        <v>8.8699999999999992</v>
      </c>
      <c r="I10" s="6">
        <v>4.71</v>
      </c>
      <c r="J10" s="6">
        <v>0.94</v>
      </c>
      <c r="K10" s="6">
        <v>263.17</v>
      </c>
      <c r="L10" s="6">
        <v>26.31</v>
      </c>
      <c r="M10" s="6">
        <v>91.57</v>
      </c>
      <c r="N10" s="6">
        <v>3</v>
      </c>
      <c r="O10" s="6">
        <v>0</v>
      </c>
      <c r="P10" s="6">
        <v>0.48</v>
      </c>
      <c r="Q10" s="6">
        <v>3.96</v>
      </c>
    </row>
    <row r="11" spans="1:21" customFormat="1">
      <c r="A11" s="82">
        <v>45462.03125</v>
      </c>
      <c r="B11" s="6">
        <v>9.34</v>
      </c>
      <c r="C11" s="6">
        <v>4.07</v>
      </c>
      <c r="D11" s="6">
        <v>14.07</v>
      </c>
      <c r="E11" s="6">
        <v>8.5</v>
      </c>
      <c r="F11" s="6">
        <v>4.41</v>
      </c>
      <c r="G11" s="6">
        <v>23.09</v>
      </c>
      <c r="H11" s="6">
        <v>8.8699999999999992</v>
      </c>
      <c r="I11" s="6">
        <v>4.8499999999999996</v>
      </c>
      <c r="J11" s="6">
        <v>1.05</v>
      </c>
      <c r="K11" s="6">
        <v>269.56</v>
      </c>
      <c r="L11" s="6">
        <v>26.37</v>
      </c>
      <c r="M11" s="6">
        <v>89.01</v>
      </c>
      <c r="N11" s="6">
        <v>2.5</v>
      </c>
      <c r="O11" s="6">
        <v>0</v>
      </c>
      <c r="P11" s="6">
        <v>0.49</v>
      </c>
      <c r="Q11" s="6">
        <v>3.95</v>
      </c>
    </row>
    <row r="12" spans="1:21" customFormat="1">
      <c r="A12" s="82">
        <v>45462.041666666664</v>
      </c>
      <c r="B12" s="6">
        <v>9.34</v>
      </c>
      <c r="C12" s="6">
        <v>4.08</v>
      </c>
      <c r="D12" s="6">
        <v>14.08</v>
      </c>
      <c r="E12" s="6">
        <v>8.94</v>
      </c>
      <c r="F12" s="6">
        <v>5.85</v>
      </c>
      <c r="G12" s="6">
        <v>22.82</v>
      </c>
      <c r="H12" s="6">
        <v>9.74</v>
      </c>
      <c r="I12" s="6">
        <v>5.13</v>
      </c>
      <c r="J12" s="6">
        <v>0.93</v>
      </c>
      <c r="K12" s="6">
        <v>265.88</v>
      </c>
      <c r="L12" s="6">
        <v>26.51</v>
      </c>
      <c r="M12" s="6">
        <v>87.8</v>
      </c>
      <c r="N12" s="6">
        <v>2.4</v>
      </c>
      <c r="O12" s="6">
        <v>0</v>
      </c>
      <c r="P12" s="6">
        <v>0.48</v>
      </c>
      <c r="Q12" s="6">
        <v>3.97</v>
      </c>
    </row>
    <row r="13" spans="1:21" customFormat="1">
      <c r="A13" s="82">
        <v>45462.052083333336</v>
      </c>
      <c r="B13" s="6">
        <v>9.35</v>
      </c>
      <c r="C13" s="6">
        <v>4.1100000000000003</v>
      </c>
      <c r="D13" s="6">
        <v>14.1</v>
      </c>
      <c r="E13" s="6">
        <v>8.48</v>
      </c>
      <c r="F13" s="6">
        <v>8.83</v>
      </c>
      <c r="G13" s="6">
        <v>22.55</v>
      </c>
      <c r="H13" s="6">
        <v>10.14</v>
      </c>
      <c r="I13" s="6">
        <v>5.24</v>
      </c>
      <c r="J13" s="6">
        <v>0.68</v>
      </c>
      <c r="K13" s="6">
        <v>268.83</v>
      </c>
      <c r="L13" s="6">
        <v>26.64</v>
      </c>
      <c r="M13" s="6">
        <v>87.54</v>
      </c>
      <c r="N13" s="6">
        <v>2.2999999999999998</v>
      </c>
      <c r="O13" s="6">
        <v>0</v>
      </c>
      <c r="P13" s="6">
        <v>0.44</v>
      </c>
      <c r="Q13" s="6">
        <v>3.96</v>
      </c>
    </row>
    <row r="14" spans="1:21" customFormat="1">
      <c r="A14" s="82">
        <v>45462.0625</v>
      </c>
      <c r="B14" s="6">
        <v>9.36</v>
      </c>
      <c r="C14" s="6">
        <v>4.12</v>
      </c>
      <c r="D14" s="6">
        <v>14.11</v>
      </c>
      <c r="E14" s="6">
        <v>7.61</v>
      </c>
      <c r="F14" s="6">
        <v>12.55</v>
      </c>
      <c r="G14" s="6">
        <v>22.55</v>
      </c>
      <c r="H14" s="6">
        <v>10.14</v>
      </c>
      <c r="I14" s="6">
        <v>5.14</v>
      </c>
      <c r="J14" s="6">
        <v>0.62</v>
      </c>
      <c r="K14" s="6">
        <v>269.43</v>
      </c>
      <c r="L14" s="6">
        <v>26.74</v>
      </c>
      <c r="M14" s="6">
        <v>87.02</v>
      </c>
      <c r="N14" s="6">
        <v>1.9</v>
      </c>
      <c r="O14" s="6">
        <v>0</v>
      </c>
      <c r="P14" s="6">
        <v>0.41</v>
      </c>
      <c r="Q14" s="6">
        <v>3.93</v>
      </c>
    </row>
    <row r="15" spans="1:21" customFormat="1">
      <c r="A15" s="82">
        <v>45462.072916666664</v>
      </c>
      <c r="B15" s="6">
        <v>9.3699999999999992</v>
      </c>
      <c r="C15" s="6">
        <v>4.08</v>
      </c>
      <c r="D15" s="6">
        <v>14.1</v>
      </c>
      <c r="E15" s="6">
        <v>7.15</v>
      </c>
      <c r="F15" s="6">
        <v>12.84</v>
      </c>
      <c r="G15" s="6">
        <v>22.55</v>
      </c>
      <c r="H15" s="6">
        <v>10.14</v>
      </c>
      <c r="I15" s="6">
        <v>4.9800000000000004</v>
      </c>
      <c r="J15" s="6">
        <v>0.61</v>
      </c>
      <c r="K15" s="6">
        <v>264.19</v>
      </c>
      <c r="L15" s="6">
        <v>26.87</v>
      </c>
      <c r="M15" s="6">
        <v>86.34</v>
      </c>
      <c r="N15" s="6">
        <v>1.8</v>
      </c>
      <c r="O15" s="6">
        <v>0</v>
      </c>
      <c r="P15" s="6">
        <v>0.38</v>
      </c>
      <c r="Q15" s="6">
        <v>3.93</v>
      </c>
    </row>
    <row r="16" spans="1:21" customFormat="1">
      <c r="A16" s="82">
        <v>45462.083333333336</v>
      </c>
      <c r="B16" s="6">
        <v>9.36</v>
      </c>
      <c r="C16" s="6">
        <v>4.07</v>
      </c>
      <c r="D16" s="6">
        <v>14.09</v>
      </c>
      <c r="E16" s="6">
        <v>6.56</v>
      </c>
      <c r="F16" s="6">
        <v>16.34</v>
      </c>
      <c r="G16" s="6">
        <v>21.01</v>
      </c>
      <c r="H16" s="6">
        <v>9.16</v>
      </c>
      <c r="I16" s="6">
        <v>4.72</v>
      </c>
      <c r="J16" s="6">
        <v>0.74</v>
      </c>
      <c r="K16" s="6">
        <v>271.27999999999997</v>
      </c>
      <c r="L16" s="6">
        <v>26.92</v>
      </c>
      <c r="M16" s="6">
        <v>86.47</v>
      </c>
      <c r="N16" s="6">
        <v>1.8</v>
      </c>
      <c r="O16" s="6">
        <v>0</v>
      </c>
      <c r="P16" s="6">
        <v>0.34</v>
      </c>
      <c r="Q16" s="6">
        <v>3.93</v>
      </c>
    </row>
    <row r="17" spans="1:17" customFormat="1">
      <c r="A17" s="82">
        <v>45462.09375</v>
      </c>
      <c r="B17" s="6">
        <v>9.39</v>
      </c>
      <c r="C17" s="6">
        <v>4.0999999999999996</v>
      </c>
      <c r="D17" s="6">
        <v>14.13</v>
      </c>
      <c r="E17" s="6">
        <v>6.9</v>
      </c>
      <c r="F17" s="6">
        <v>15.29</v>
      </c>
      <c r="G17" s="6">
        <v>19.53</v>
      </c>
      <c r="H17" s="6">
        <v>8.19</v>
      </c>
      <c r="I17" s="6">
        <v>4.45</v>
      </c>
      <c r="J17" s="6">
        <v>0.76</v>
      </c>
      <c r="K17" s="6">
        <v>268.36</v>
      </c>
      <c r="L17" s="6">
        <v>27.06</v>
      </c>
      <c r="M17" s="6">
        <v>85.59</v>
      </c>
      <c r="N17" s="6">
        <v>2</v>
      </c>
      <c r="O17" s="6">
        <v>0</v>
      </c>
      <c r="P17" s="6">
        <v>0.31</v>
      </c>
      <c r="Q17" s="6">
        <v>3.96</v>
      </c>
    </row>
    <row r="18" spans="1:17" customFormat="1">
      <c r="A18" s="82">
        <v>45462.104166666664</v>
      </c>
      <c r="B18" s="6">
        <v>9.44</v>
      </c>
      <c r="C18" s="6">
        <v>4.0999999999999996</v>
      </c>
      <c r="D18" s="6">
        <v>14.16</v>
      </c>
      <c r="E18" s="6">
        <v>8.32</v>
      </c>
      <c r="F18" s="6">
        <v>17.420000000000002</v>
      </c>
      <c r="G18" s="6">
        <v>19.53</v>
      </c>
      <c r="H18" s="6">
        <v>8.19</v>
      </c>
      <c r="I18" s="6">
        <v>4.17</v>
      </c>
      <c r="J18" s="6">
        <v>0.66</v>
      </c>
      <c r="K18" s="6">
        <v>265.22000000000003</v>
      </c>
      <c r="L18" s="6">
        <v>27.29</v>
      </c>
      <c r="M18" s="6">
        <v>83.32</v>
      </c>
      <c r="N18" s="6">
        <v>1.9</v>
      </c>
      <c r="O18" s="6">
        <v>0</v>
      </c>
      <c r="P18" s="6">
        <v>0.3</v>
      </c>
      <c r="Q18" s="6">
        <v>3.96</v>
      </c>
    </row>
    <row r="19" spans="1:17" customFormat="1">
      <c r="A19" s="82">
        <v>45462.114583333336</v>
      </c>
      <c r="B19" s="6">
        <v>9.44</v>
      </c>
      <c r="C19" s="6">
        <v>4.08</v>
      </c>
      <c r="D19" s="6">
        <v>14.15</v>
      </c>
      <c r="E19" s="6">
        <v>9.8699999999999992</v>
      </c>
      <c r="F19" s="6">
        <v>14.13</v>
      </c>
      <c r="G19" s="6">
        <v>19.53</v>
      </c>
      <c r="H19" s="6">
        <v>8.19</v>
      </c>
      <c r="I19" s="6">
        <v>4.13</v>
      </c>
      <c r="J19" s="6">
        <v>0.56000000000000005</v>
      </c>
      <c r="K19" s="6">
        <v>269.95</v>
      </c>
      <c r="L19" s="6">
        <v>27.38</v>
      </c>
      <c r="M19" s="6">
        <v>82.96</v>
      </c>
      <c r="N19" s="6">
        <v>2</v>
      </c>
      <c r="O19" s="6">
        <v>0</v>
      </c>
      <c r="P19" s="6">
        <v>0.39</v>
      </c>
      <c r="Q19" s="6">
        <v>3.97</v>
      </c>
    </row>
    <row r="20" spans="1:17" customFormat="1">
      <c r="A20" s="82">
        <v>45462.125</v>
      </c>
      <c r="B20" s="6">
        <v>9.44</v>
      </c>
      <c r="C20" s="6">
        <v>4.09</v>
      </c>
      <c r="D20" s="6">
        <v>14.16</v>
      </c>
      <c r="E20" s="6">
        <v>11.28</v>
      </c>
      <c r="F20" s="6">
        <v>15.13</v>
      </c>
      <c r="G20" s="6">
        <v>16.579999999999998</v>
      </c>
      <c r="H20" s="6">
        <v>9.57</v>
      </c>
      <c r="I20" s="6">
        <v>4.04</v>
      </c>
      <c r="J20" s="6">
        <v>0.33</v>
      </c>
      <c r="K20" s="6">
        <v>256.33999999999997</v>
      </c>
      <c r="L20" s="6">
        <v>27.42</v>
      </c>
      <c r="M20" s="6">
        <v>83.03</v>
      </c>
      <c r="N20" s="6">
        <v>2.1</v>
      </c>
      <c r="O20" s="6">
        <v>0</v>
      </c>
      <c r="P20" s="6">
        <v>0.56000000000000005</v>
      </c>
      <c r="Q20" s="6">
        <v>3.97</v>
      </c>
    </row>
    <row r="21" spans="1:17" customFormat="1">
      <c r="A21" s="82">
        <v>45462.135416666664</v>
      </c>
      <c r="B21" s="6">
        <v>9.44</v>
      </c>
      <c r="C21" s="6">
        <v>4.07</v>
      </c>
      <c r="D21" s="6">
        <v>14.15</v>
      </c>
      <c r="E21" s="6">
        <v>12.36</v>
      </c>
      <c r="F21" s="6">
        <v>13.54</v>
      </c>
      <c r="G21" s="6">
        <v>13.76</v>
      </c>
      <c r="H21" s="6">
        <v>10.210000000000001</v>
      </c>
      <c r="I21" s="6">
        <v>5.33</v>
      </c>
      <c r="J21" s="6">
        <v>0.18</v>
      </c>
      <c r="K21" s="6">
        <v>230.64</v>
      </c>
      <c r="L21" s="6">
        <v>27.15</v>
      </c>
      <c r="M21" s="6">
        <v>86.67</v>
      </c>
      <c r="N21" s="6">
        <v>2.4</v>
      </c>
      <c r="O21" s="6">
        <v>0</v>
      </c>
      <c r="P21" s="6">
        <v>0.6</v>
      </c>
      <c r="Q21" s="6">
        <v>3.98</v>
      </c>
    </row>
    <row r="22" spans="1:17" customFormat="1">
      <c r="A22" s="82">
        <v>45462.145833333336</v>
      </c>
      <c r="B22" s="6">
        <v>9.44</v>
      </c>
      <c r="C22" s="6">
        <v>4.0999999999999996</v>
      </c>
      <c r="D22" s="6">
        <v>14.16</v>
      </c>
      <c r="E22" s="6">
        <v>12.38</v>
      </c>
      <c r="F22" s="6">
        <v>11.85</v>
      </c>
      <c r="G22" s="6">
        <v>13.76</v>
      </c>
      <c r="H22" s="6">
        <v>10.210000000000001</v>
      </c>
      <c r="I22" s="6">
        <v>6.92</v>
      </c>
      <c r="J22" s="6">
        <v>0.2</v>
      </c>
      <c r="K22" s="6">
        <v>248.97</v>
      </c>
      <c r="L22" s="6">
        <v>27.1</v>
      </c>
      <c r="M22" s="6">
        <v>87.33</v>
      </c>
      <c r="N22" s="6">
        <v>2.1</v>
      </c>
      <c r="O22" s="6">
        <v>0</v>
      </c>
      <c r="P22" s="6">
        <v>0.56999999999999995</v>
      </c>
      <c r="Q22" s="6">
        <v>3.95</v>
      </c>
    </row>
    <row r="23" spans="1:17" customFormat="1">
      <c r="A23" s="82">
        <v>45462.15625</v>
      </c>
      <c r="B23" s="6">
        <v>9.43</v>
      </c>
      <c r="C23" s="6">
        <v>4.1100000000000003</v>
      </c>
      <c r="D23" s="6">
        <v>14.16</v>
      </c>
      <c r="E23" s="6">
        <v>12.69</v>
      </c>
      <c r="F23" s="6">
        <v>10.25</v>
      </c>
      <c r="G23" s="6">
        <v>13.76</v>
      </c>
      <c r="H23" s="6">
        <v>10.210000000000001</v>
      </c>
      <c r="I23" s="6">
        <v>7.33</v>
      </c>
      <c r="J23" s="6">
        <v>0.15</v>
      </c>
      <c r="K23" s="6">
        <v>229.16</v>
      </c>
      <c r="L23" s="6">
        <v>27.16</v>
      </c>
      <c r="M23" s="6">
        <v>86.19</v>
      </c>
      <c r="N23" s="6">
        <v>2.1</v>
      </c>
      <c r="O23" s="6">
        <v>0</v>
      </c>
      <c r="P23" s="6">
        <v>0.64</v>
      </c>
      <c r="Q23" s="6">
        <v>3.96</v>
      </c>
    </row>
    <row r="24" spans="1:17" customFormat="1">
      <c r="A24" s="82">
        <v>45462.166666666664</v>
      </c>
      <c r="B24" s="6">
        <v>9.4499999999999993</v>
      </c>
      <c r="C24" s="6">
        <v>4.08</v>
      </c>
      <c r="D24" s="6">
        <v>14.16</v>
      </c>
      <c r="E24" s="6">
        <v>12.25</v>
      </c>
      <c r="F24" s="6">
        <v>10.54</v>
      </c>
      <c r="G24" s="6">
        <v>19.78</v>
      </c>
      <c r="H24" s="6">
        <v>8.3000000000000007</v>
      </c>
      <c r="I24" s="6">
        <v>7.46</v>
      </c>
      <c r="J24" s="6">
        <v>0.18</v>
      </c>
      <c r="K24" s="6">
        <v>198.08</v>
      </c>
      <c r="L24" s="6">
        <v>27.14</v>
      </c>
      <c r="M24" s="6">
        <v>86.95</v>
      </c>
      <c r="N24" s="6">
        <v>2.1</v>
      </c>
      <c r="O24" s="6">
        <v>0</v>
      </c>
      <c r="P24" s="6">
        <v>0.61</v>
      </c>
      <c r="Q24" s="6">
        <v>3.97</v>
      </c>
    </row>
    <row r="25" spans="1:17" customFormat="1">
      <c r="A25" s="82">
        <v>45462.177083333336</v>
      </c>
      <c r="B25" s="6">
        <v>9.4700000000000006</v>
      </c>
      <c r="C25" s="6">
        <v>4.09</v>
      </c>
      <c r="D25" s="6">
        <v>14.18</v>
      </c>
      <c r="E25" s="6">
        <v>13.28</v>
      </c>
      <c r="F25" s="6">
        <v>9.98</v>
      </c>
      <c r="G25" s="6">
        <v>25.53</v>
      </c>
      <c r="H25" s="6">
        <v>7.41</v>
      </c>
      <c r="I25" s="6">
        <v>8.2899999999999991</v>
      </c>
      <c r="J25" s="6">
        <v>0.23</v>
      </c>
      <c r="K25" s="6">
        <v>185.42</v>
      </c>
      <c r="L25" s="6">
        <v>26.82</v>
      </c>
      <c r="M25" s="6">
        <v>89.79</v>
      </c>
      <c r="N25" s="6">
        <v>2.1</v>
      </c>
      <c r="O25" s="6">
        <v>0</v>
      </c>
      <c r="P25" s="6">
        <v>0.57999999999999996</v>
      </c>
      <c r="Q25" s="6">
        <v>3.98</v>
      </c>
    </row>
    <row r="26" spans="1:17" customFormat="1">
      <c r="A26" s="82">
        <v>45462.1875</v>
      </c>
      <c r="B26" s="6">
        <v>9.48</v>
      </c>
      <c r="C26" s="6">
        <v>4.09</v>
      </c>
      <c r="D26" s="6">
        <v>14.18</v>
      </c>
      <c r="E26" s="6">
        <v>11.83</v>
      </c>
      <c r="F26" s="6">
        <v>9.74</v>
      </c>
      <c r="G26" s="6">
        <v>25.53</v>
      </c>
      <c r="H26" s="6">
        <v>7.41</v>
      </c>
      <c r="I26" s="6">
        <v>8.68</v>
      </c>
      <c r="J26" s="6">
        <v>0.18</v>
      </c>
      <c r="K26" s="6">
        <v>239.59</v>
      </c>
      <c r="L26" s="6">
        <v>26.67</v>
      </c>
      <c r="M26" s="6">
        <v>91.3</v>
      </c>
      <c r="N26" s="6">
        <v>2.1</v>
      </c>
      <c r="O26" s="6">
        <v>0</v>
      </c>
      <c r="P26" s="6">
        <v>0.44</v>
      </c>
      <c r="Q26" s="6">
        <v>3.96</v>
      </c>
    </row>
    <row r="27" spans="1:17" customFormat="1">
      <c r="A27" s="82">
        <v>45462.197916666664</v>
      </c>
      <c r="B27" s="6">
        <v>9.5</v>
      </c>
      <c r="C27" s="6">
        <v>4.07</v>
      </c>
      <c r="D27" s="6">
        <v>14.19</v>
      </c>
      <c r="E27" s="6">
        <v>11.02</v>
      </c>
      <c r="F27" s="6">
        <v>11.88</v>
      </c>
      <c r="G27" s="6">
        <v>25.53</v>
      </c>
      <c r="H27" s="6">
        <v>7.41</v>
      </c>
      <c r="I27" s="6">
        <v>8.0299999999999994</v>
      </c>
      <c r="J27" s="6">
        <v>0.14000000000000001</v>
      </c>
      <c r="K27" s="6">
        <v>198.25</v>
      </c>
      <c r="L27" s="6">
        <v>26.54</v>
      </c>
      <c r="M27" s="6">
        <v>91.63</v>
      </c>
      <c r="N27" s="6">
        <v>1.9</v>
      </c>
      <c r="O27" s="6">
        <v>0</v>
      </c>
      <c r="P27" s="6">
        <v>0.39</v>
      </c>
      <c r="Q27" s="6">
        <v>3.94</v>
      </c>
    </row>
    <row r="28" spans="1:17" customFormat="1">
      <c r="A28" s="82">
        <v>45462.208333333336</v>
      </c>
      <c r="B28" s="6">
        <v>9.5</v>
      </c>
      <c r="C28" s="6">
        <v>4.0599999999999996</v>
      </c>
      <c r="D28" s="6">
        <v>14.19</v>
      </c>
      <c r="E28" s="6">
        <v>10.14</v>
      </c>
      <c r="F28" s="6">
        <v>12.16</v>
      </c>
      <c r="G28" s="6">
        <v>23.46</v>
      </c>
      <c r="H28" s="6">
        <v>7.67</v>
      </c>
      <c r="I28" s="6">
        <v>5.76</v>
      </c>
      <c r="J28" s="6">
        <v>0.17</v>
      </c>
      <c r="K28" s="6">
        <v>222.34</v>
      </c>
      <c r="L28" s="6">
        <v>26.54</v>
      </c>
      <c r="M28" s="6">
        <v>91.03</v>
      </c>
      <c r="N28" s="6">
        <v>1.9</v>
      </c>
      <c r="O28" s="6">
        <v>0</v>
      </c>
      <c r="P28" s="6">
        <v>0.37</v>
      </c>
      <c r="Q28" s="6">
        <v>3.95</v>
      </c>
    </row>
    <row r="29" spans="1:17" customFormat="1">
      <c r="A29" s="82">
        <v>45462.21875</v>
      </c>
      <c r="B29" s="6">
        <v>9.48</v>
      </c>
      <c r="C29" s="6">
        <v>4.08</v>
      </c>
      <c r="D29" s="6">
        <v>14.19</v>
      </c>
      <c r="E29" s="6">
        <v>10.039999999999999</v>
      </c>
      <c r="F29" s="6">
        <v>11.4</v>
      </c>
      <c r="G29" s="6">
        <v>21.48</v>
      </c>
      <c r="H29" s="6">
        <v>7.8</v>
      </c>
      <c r="I29" s="6">
        <v>4.9800000000000004</v>
      </c>
      <c r="J29" s="6">
        <v>0.39</v>
      </c>
      <c r="K29" s="6">
        <v>247.94</v>
      </c>
      <c r="L29" s="6">
        <v>26.68</v>
      </c>
      <c r="M29" s="6">
        <v>89.25</v>
      </c>
      <c r="N29" s="6">
        <v>2.4</v>
      </c>
      <c r="O29" s="6">
        <v>0</v>
      </c>
      <c r="P29" s="6">
        <v>0.39</v>
      </c>
      <c r="Q29" s="6">
        <v>3.96</v>
      </c>
    </row>
    <row r="30" spans="1:17" customFormat="1">
      <c r="A30" s="82">
        <v>45462.229166666664</v>
      </c>
      <c r="B30" s="6">
        <v>9.49</v>
      </c>
      <c r="C30" s="6">
        <v>4.0599999999999996</v>
      </c>
      <c r="D30" s="6">
        <v>14.18</v>
      </c>
      <c r="E30" s="6">
        <v>9.75</v>
      </c>
      <c r="F30" s="6">
        <v>8.4499999999999993</v>
      </c>
      <c r="G30" s="6">
        <v>21.48</v>
      </c>
      <c r="H30" s="6">
        <v>7.8</v>
      </c>
      <c r="I30" s="6">
        <v>4.8099999999999996</v>
      </c>
      <c r="J30" s="6">
        <v>0.41</v>
      </c>
      <c r="K30" s="6">
        <v>251.96</v>
      </c>
      <c r="L30" s="6">
        <v>26.85</v>
      </c>
      <c r="M30" s="6">
        <v>86.89</v>
      </c>
      <c r="N30" s="6">
        <v>8.3000000000000007</v>
      </c>
      <c r="O30" s="6">
        <v>0</v>
      </c>
      <c r="P30" s="6">
        <v>0.41</v>
      </c>
      <c r="Q30" s="6">
        <v>3.95</v>
      </c>
    </row>
    <row r="31" spans="1:17" customFormat="1">
      <c r="A31" s="82">
        <v>45462.239583333336</v>
      </c>
      <c r="B31" s="6">
        <v>9.5</v>
      </c>
      <c r="C31" s="6">
        <v>4.0599999999999996</v>
      </c>
      <c r="D31" s="6">
        <v>14.19</v>
      </c>
      <c r="E31" s="6">
        <v>9.49</v>
      </c>
      <c r="F31" s="6">
        <v>6.96</v>
      </c>
      <c r="G31" s="6">
        <v>21.48</v>
      </c>
      <c r="H31" s="6">
        <v>7.8</v>
      </c>
      <c r="I31" s="6">
        <v>5.13</v>
      </c>
      <c r="J31" s="6">
        <v>0.32</v>
      </c>
      <c r="K31" s="6">
        <v>249.21</v>
      </c>
      <c r="L31" s="6">
        <v>26.83</v>
      </c>
      <c r="M31" s="6">
        <v>86.46</v>
      </c>
      <c r="N31" s="6">
        <v>17.7</v>
      </c>
      <c r="O31" s="6">
        <v>0</v>
      </c>
      <c r="P31" s="6">
        <v>0.44</v>
      </c>
      <c r="Q31" s="6">
        <v>3.94</v>
      </c>
    </row>
    <row r="32" spans="1:17" customFormat="1">
      <c r="A32" s="82">
        <v>45462.25</v>
      </c>
      <c r="B32" s="6">
        <v>9.5</v>
      </c>
      <c r="C32" s="6">
        <v>4.1100000000000003</v>
      </c>
      <c r="D32" s="6">
        <v>14.22</v>
      </c>
      <c r="E32" s="6">
        <v>8.92</v>
      </c>
      <c r="F32" s="6">
        <v>7.62</v>
      </c>
      <c r="G32" s="6">
        <v>20.3</v>
      </c>
      <c r="H32" s="6">
        <v>9.81</v>
      </c>
      <c r="I32" s="6">
        <v>5.71</v>
      </c>
      <c r="J32" s="6">
        <v>0.39</v>
      </c>
      <c r="K32" s="6">
        <v>253.6</v>
      </c>
      <c r="L32" s="6">
        <v>26.97</v>
      </c>
      <c r="M32" s="6">
        <v>85.42</v>
      </c>
      <c r="N32" s="6">
        <v>28.6</v>
      </c>
      <c r="O32" s="6">
        <v>0</v>
      </c>
      <c r="P32" s="6">
        <v>0.45</v>
      </c>
      <c r="Q32" s="6">
        <v>3.95</v>
      </c>
    </row>
    <row r="33" spans="1:17" customFormat="1">
      <c r="A33" s="82">
        <v>45462.260416666664</v>
      </c>
      <c r="B33" s="6">
        <v>9.44</v>
      </c>
      <c r="C33" s="6">
        <v>4.08</v>
      </c>
      <c r="D33" s="6">
        <v>14.16</v>
      </c>
      <c r="E33" s="6">
        <v>9.08</v>
      </c>
      <c r="F33" s="6">
        <v>7.19</v>
      </c>
      <c r="G33" s="6">
        <v>19.170000000000002</v>
      </c>
      <c r="H33" s="6">
        <v>10.74</v>
      </c>
      <c r="I33" s="6">
        <v>5.69</v>
      </c>
      <c r="J33" s="6">
        <v>0.51</v>
      </c>
      <c r="K33" s="6">
        <v>255.84</v>
      </c>
      <c r="L33" s="6">
        <v>27.18</v>
      </c>
      <c r="M33" s="6">
        <v>83.31</v>
      </c>
      <c r="N33" s="6">
        <v>45</v>
      </c>
      <c r="O33" s="6">
        <v>0</v>
      </c>
      <c r="P33" s="6">
        <v>0.45</v>
      </c>
      <c r="Q33" s="6">
        <v>3.93</v>
      </c>
    </row>
    <row r="34" spans="1:17" customFormat="1">
      <c r="A34" s="82">
        <v>45462.270833333336</v>
      </c>
      <c r="B34" s="6">
        <v>9.41</v>
      </c>
      <c r="C34" s="6">
        <v>4.08</v>
      </c>
      <c r="D34" s="6">
        <v>14.13</v>
      </c>
      <c r="E34" s="6">
        <v>9.11</v>
      </c>
      <c r="F34" s="6">
        <v>7.97</v>
      </c>
      <c r="G34" s="6">
        <v>19.170000000000002</v>
      </c>
      <c r="H34" s="6">
        <v>10.74</v>
      </c>
      <c r="I34" s="6">
        <v>5.5</v>
      </c>
      <c r="J34" s="6">
        <v>0.64</v>
      </c>
      <c r="K34" s="6">
        <v>258.63</v>
      </c>
      <c r="L34" s="6">
        <v>27.37</v>
      </c>
      <c r="M34" s="6">
        <v>81</v>
      </c>
      <c r="N34" s="6">
        <v>66.900000000000006</v>
      </c>
      <c r="O34" s="6">
        <v>0</v>
      </c>
      <c r="P34" s="6">
        <v>0.44</v>
      </c>
      <c r="Q34" s="6">
        <v>3.94</v>
      </c>
    </row>
    <row r="35" spans="1:17" customFormat="1">
      <c r="A35" s="82">
        <v>45462.28125</v>
      </c>
      <c r="B35" s="6">
        <v>9.4</v>
      </c>
      <c r="C35" s="6">
        <v>4.07</v>
      </c>
      <c r="D35" s="6">
        <v>14.11</v>
      </c>
      <c r="E35" s="6">
        <v>9.31</v>
      </c>
      <c r="F35" s="6">
        <v>7.43</v>
      </c>
      <c r="G35" s="6">
        <v>19.170000000000002</v>
      </c>
      <c r="H35" s="6">
        <v>10.74</v>
      </c>
      <c r="I35" s="6">
        <v>5.54</v>
      </c>
      <c r="J35" s="6">
        <v>0.68</v>
      </c>
      <c r="K35" s="6">
        <v>266.86</v>
      </c>
      <c r="L35" s="6">
        <v>27.74</v>
      </c>
      <c r="M35" s="6">
        <v>80.37</v>
      </c>
      <c r="N35" s="6">
        <v>82.3</v>
      </c>
      <c r="O35" s="6">
        <v>0</v>
      </c>
      <c r="P35" s="6">
        <v>0.44</v>
      </c>
      <c r="Q35" s="6">
        <v>3.95</v>
      </c>
    </row>
    <row r="36" spans="1:17" customFormat="1">
      <c r="A36" s="82">
        <v>45462.291666666664</v>
      </c>
      <c r="B36" s="6">
        <v>9.4</v>
      </c>
      <c r="C36" s="6">
        <v>4.07</v>
      </c>
      <c r="D36" s="6">
        <v>14.11</v>
      </c>
      <c r="E36" s="6">
        <v>8.84</v>
      </c>
      <c r="F36" s="6">
        <v>6.06</v>
      </c>
      <c r="G36" s="6">
        <v>18.96</v>
      </c>
      <c r="H36" s="6">
        <v>9.1999999999999993</v>
      </c>
      <c r="I36" s="6">
        <v>5.46</v>
      </c>
      <c r="J36" s="6">
        <v>0.92</v>
      </c>
      <c r="K36" s="6">
        <v>269.14</v>
      </c>
      <c r="L36" s="6">
        <v>27.75</v>
      </c>
      <c r="M36" s="6">
        <v>79.87</v>
      </c>
      <c r="N36" s="6">
        <v>104.7</v>
      </c>
      <c r="O36" s="6">
        <v>0</v>
      </c>
      <c r="P36" s="6">
        <v>0.44</v>
      </c>
      <c r="Q36" s="6">
        <v>3.95</v>
      </c>
    </row>
    <row r="37" spans="1:17" customFormat="1">
      <c r="A37" s="82">
        <v>45462.302083333336</v>
      </c>
      <c r="B37" s="6">
        <v>9.41</v>
      </c>
      <c r="C37" s="6">
        <v>4.05</v>
      </c>
      <c r="D37" s="6">
        <v>14.11</v>
      </c>
      <c r="E37" s="6">
        <v>9.2200000000000006</v>
      </c>
      <c r="F37" s="6">
        <v>5.65</v>
      </c>
      <c r="G37" s="6">
        <v>18.77</v>
      </c>
      <c r="H37" s="6">
        <v>8.49</v>
      </c>
      <c r="I37" s="6">
        <v>5.37</v>
      </c>
      <c r="J37" s="6">
        <v>0.87</v>
      </c>
      <c r="K37" s="6">
        <v>258.8</v>
      </c>
      <c r="L37" s="6">
        <v>27.96</v>
      </c>
      <c r="M37" s="6">
        <v>78.47</v>
      </c>
      <c r="N37" s="6">
        <v>122.3</v>
      </c>
      <c r="O37" s="6">
        <v>0</v>
      </c>
      <c r="P37" s="6">
        <v>0.43</v>
      </c>
      <c r="Q37" s="6">
        <v>3.93</v>
      </c>
    </row>
    <row r="38" spans="1:17" customFormat="1">
      <c r="A38" s="82">
        <v>45462.3125</v>
      </c>
      <c r="B38" s="6">
        <v>9.4</v>
      </c>
      <c r="C38" s="6">
        <v>4.0999999999999996</v>
      </c>
      <c r="D38" s="6">
        <v>14.13</v>
      </c>
      <c r="E38" s="6">
        <v>8.91</v>
      </c>
      <c r="F38" s="6">
        <v>5.54</v>
      </c>
      <c r="G38" s="6">
        <v>18.77</v>
      </c>
      <c r="H38" s="6">
        <v>8.49</v>
      </c>
      <c r="I38" s="6">
        <v>5.31</v>
      </c>
      <c r="J38" s="6">
        <v>0.86</v>
      </c>
      <c r="K38" s="6">
        <v>256.82</v>
      </c>
      <c r="L38" s="6">
        <v>28</v>
      </c>
      <c r="M38" s="6">
        <v>78.02</v>
      </c>
      <c r="N38" s="6">
        <v>123.3</v>
      </c>
      <c r="O38" s="6">
        <v>0</v>
      </c>
      <c r="P38" s="6">
        <v>0.42</v>
      </c>
      <c r="Q38" s="6">
        <v>3.92</v>
      </c>
    </row>
    <row r="39" spans="1:17" customFormat="1">
      <c r="A39" s="82">
        <v>45462.322916666664</v>
      </c>
      <c r="B39" s="6">
        <v>9.42</v>
      </c>
      <c r="C39" s="6">
        <v>4.09</v>
      </c>
      <c r="D39" s="6">
        <v>14.14</v>
      </c>
      <c r="E39" s="6">
        <v>9.3800000000000008</v>
      </c>
      <c r="F39" s="6">
        <v>5.73</v>
      </c>
      <c r="G39" s="6">
        <v>18.77</v>
      </c>
      <c r="H39" s="6">
        <v>8.49</v>
      </c>
      <c r="I39" s="6">
        <v>5.26</v>
      </c>
      <c r="J39" s="6">
        <v>0.98</v>
      </c>
      <c r="K39" s="6">
        <v>266.01</v>
      </c>
      <c r="L39" s="6">
        <v>28.08</v>
      </c>
      <c r="M39" s="6">
        <v>77.23</v>
      </c>
      <c r="N39" s="6">
        <v>140.4</v>
      </c>
      <c r="O39" s="6">
        <v>0</v>
      </c>
      <c r="P39" s="6">
        <v>0.4</v>
      </c>
      <c r="Q39" s="6">
        <v>3.92</v>
      </c>
    </row>
    <row r="40" spans="1:17" customFormat="1">
      <c r="A40" s="82">
        <v>45462.333333333336</v>
      </c>
      <c r="B40" s="6">
        <v>9.43</v>
      </c>
      <c r="C40" s="6">
        <v>4.07</v>
      </c>
      <c r="D40" s="6">
        <v>14.14</v>
      </c>
      <c r="E40" s="6">
        <v>9.8800000000000008</v>
      </c>
      <c r="F40" s="6">
        <v>7.06</v>
      </c>
      <c r="G40" s="6">
        <v>17.07</v>
      </c>
      <c r="H40" s="6">
        <v>7.25</v>
      </c>
      <c r="I40" s="6">
        <v>5.1100000000000003</v>
      </c>
      <c r="J40" s="6">
        <v>0.85</v>
      </c>
      <c r="K40" s="6">
        <v>254.43</v>
      </c>
      <c r="L40" s="6">
        <v>28.19</v>
      </c>
      <c r="M40" s="6">
        <v>76.73</v>
      </c>
      <c r="N40" s="6">
        <v>149</v>
      </c>
      <c r="O40" s="6">
        <v>0</v>
      </c>
      <c r="P40" s="6">
        <v>0.4</v>
      </c>
      <c r="Q40" s="6">
        <v>3.92</v>
      </c>
    </row>
    <row r="41" spans="1:17" customFormat="1">
      <c r="A41" s="82">
        <v>45462.34375</v>
      </c>
      <c r="B41" s="6">
        <v>9.42</v>
      </c>
      <c r="C41" s="6">
        <v>4.08</v>
      </c>
      <c r="D41" s="6">
        <v>14.14</v>
      </c>
      <c r="E41" s="6">
        <v>9.58</v>
      </c>
      <c r="F41" s="6">
        <v>5.68</v>
      </c>
      <c r="G41" s="6">
        <v>15.46</v>
      </c>
      <c r="H41" s="6">
        <v>6.02</v>
      </c>
      <c r="I41" s="6">
        <v>5.01</v>
      </c>
      <c r="J41" s="6">
        <v>0.93</v>
      </c>
      <c r="K41" s="6">
        <v>260.69</v>
      </c>
      <c r="L41" s="6">
        <v>28.27</v>
      </c>
      <c r="M41" s="6">
        <v>76.599999999999994</v>
      </c>
      <c r="N41" s="6">
        <v>152.5</v>
      </c>
      <c r="O41" s="6">
        <v>0</v>
      </c>
      <c r="P41" s="6">
        <v>0.4</v>
      </c>
      <c r="Q41" s="6">
        <v>3.95</v>
      </c>
    </row>
    <row r="42" spans="1:17" customFormat="1">
      <c r="A42" s="82">
        <v>45462.354166666664</v>
      </c>
      <c r="B42" s="6">
        <v>9.42</v>
      </c>
      <c r="C42" s="6">
        <v>4.07</v>
      </c>
      <c r="D42" s="6">
        <v>14.13</v>
      </c>
      <c r="E42" s="6">
        <v>9.44</v>
      </c>
      <c r="F42" s="6">
        <v>5.82</v>
      </c>
      <c r="G42" s="6">
        <v>15.46</v>
      </c>
      <c r="H42" s="6">
        <v>6.02</v>
      </c>
      <c r="I42" s="6">
        <v>4.83</v>
      </c>
      <c r="J42" s="6">
        <v>0.86</v>
      </c>
      <c r="K42" s="6">
        <v>266.89999999999998</v>
      </c>
      <c r="L42" s="6">
        <v>28.42</v>
      </c>
      <c r="M42" s="6">
        <v>76.37</v>
      </c>
      <c r="N42" s="6">
        <v>162.80000000000001</v>
      </c>
      <c r="O42" s="6">
        <v>0</v>
      </c>
      <c r="P42" s="6">
        <v>0.39</v>
      </c>
      <c r="Q42" s="6">
        <v>3.93</v>
      </c>
    </row>
    <row r="43" spans="1:17" customFormat="1">
      <c r="A43" s="82">
        <v>45462.364583333336</v>
      </c>
      <c r="B43" s="6">
        <v>9.42</v>
      </c>
      <c r="C43" s="6">
        <v>4.09</v>
      </c>
      <c r="D43" s="6">
        <v>14.14</v>
      </c>
      <c r="E43" s="6">
        <v>9.5</v>
      </c>
      <c r="F43" s="6">
        <v>5.88</v>
      </c>
      <c r="G43" s="6">
        <v>15.46</v>
      </c>
      <c r="H43" s="6">
        <v>6.02</v>
      </c>
      <c r="I43" s="6">
        <v>4.91</v>
      </c>
      <c r="J43" s="6">
        <v>1.01</v>
      </c>
      <c r="K43" s="6">
        <v>262.56</v>
      </c>
      <c r="L43" s="6">
        <v>28.48</v>
      </c>
      <c r="M43" s="6">
        <v>76.16</v>
      </c>
      <c r="N43" s="6">
        <v>145.30000000000001</v>
      </c>
      <c r="O43" s="6">
        <v>0</v>
      </c>
      <c r="P43" s="6">
        <v>0.38</v>
      </c>
      <c r="Q43" s="6">
        <v>3.93</v>
      </c>
    </row>
    <row r="44" spans="1:17" customFormat="1">
      <c r="A44" s="82">
        <v>45462.375</v>
      </c>
      <c r="B44" s="6">
        <v>9.41</v>
      </c>
      <c r="C44" s="6">
        <v>4.09</v>
      </c>
      <c r="D44" s="6">
        <v>14.13</v>
      </c>
      <c r="E44" s="6">
        <v>9.6199999999999992</v>
      </c>
      <c r="F44" s="6">
        <v>6.55</v>
      </c>
      <c r="G44" s="6">
        <v>13.39</v>
      </c>
      <c r="H44" s="6">
        <v>6.2</v>
      </c>
      <c r="I44" s="6">
        <v>4.7699999999999996</v>
      </c>
      <c r="J44" s="6">
        <v>0.7</v>
      </c>
      <c r="K44" s="6">
        <v>260.52999999999997</v>
      </c>
      <c r="L44" s="6">
        <v>28.45</v>
      </c>
      <c r="M44" s="6">
        <v>77.45</v>
      </c>
      <c r="N44" s="6">
        <v>126.1</v>
      </c>
      <c r="O44" s="6">
        <v>0</v>
      </c>
      <c r="P44" s="6">
        <v>0.38</v>
      </c>
      <c r="Q44" s="6">
        <v>3.94</v>
      </c>
    </row>
    <row r="45" spans="1:17" customFormat="1">
      <c r="A45" s="82">
        <v>45462.385416666664</v>
      </c>
      <c r="B45" s="6">
        <v>9.43</v>
      </c>
      <c r="C45" s="6">
        <v>4.07</v>
      </c>
      <c r="D45" s="6">
        <v>14.14</v>
      </c>
      <c r="E45" s="6">
        <v>10.09</v>
      </c>
      <c r="F45" s="6">
        <v>5.9</v>
      </c>
      <c r="G45" s="6">
        <v>11.41</v>
      </c>
      <c r="H45" s="6">
        <v>6.28</v>
      </c>
      <c r="I45" s="6">
        <v>4.72</v>
      </c>
      <c r="J45" s="6">
        <v>0.86</v>
      </c>
      <c r="K45" s="6">
        <v>259.5</v>
      </c>
      <c r="L45" s="6">
        <v>28.44</v>
      </c>
      <c r="M45" s="6">
        <v>76.45</v>
      </c>
      <c r="N45" s="6">
        <v>138.19999999999999</v>
      </c>
      <c r="O45" s="6">
        <v>0</v>
      </c>
      <c r="P45" s="6">
        <v>0.37</v>
      </c>
      <c r="Q45" s="6">
        <v>3.93</v>
      </c>
    </row>
    <row r="46" spans="1:17" customFormat="1">
      <c r="A46" s="82">
        <v>45462.395833333336</v>
      </c>
      <c r="B46" s="6">
        <v>9.42</v>
      </c>
      <c r="C46" s="6">
        <v>4.1100000000000003</v>
      </c>
      <c r="D46" s="6">
        <v>14.15</v>
      </c>
      <c r="E46" s="6">
        <v>9.8699999999999992</v>
      </c>
      <c r="F46" s="6">
        <v>6.06</v>
      </c>
      <c r="G46" s="6">
        <v>11.41</v>
      </c>
      <c r="H46" s="6">
        <v>6.28</v>
      </c>
      <c r="I46" s="6">
        <v>4.62</v>
      </c>
      <c r="J46" s="6">
        <v>0.88</v>
      </c>
      <c r="K46" s="6">
        <v>268.35000000000002</v>
      </c>
      <c r="L46" s="6">
        <v>28.63</v>
      </c>
      <c r="M46" s="6">
        <v>76.930000000000007</v>
      </c>
      <c r="N46" s="6">
        <v>176</v>
      </c>
      <c r="O46" s="6">
        <v>0</v>
      </c>
      <c r="P46" s="6">
        <v>0.36</v>
      </c>
      <c r="Q46" s="6">
        <v>3.93</v>
      </c>
    </row>
    <row r="47" spans="1:17" customFormat="1">
      <c r="A47" s="82">
        <v>45462.40625</v>
      </c>
      <c r="B47" s="6">
        <v>9.41</v>
      </c>
      <c r="C47" s="6">
        <v>4.09</v>
      </c>
      <c r="D47" s="6">
        <v>14.13</v>
      </c>
      <c r="E47" s="6">
        <v>9.9600000000000009</v>
      </c>
      <c r="F47" s="6">
        <v>5.87</v>
      </c>
      <c r="G47" s="6">
        <v>11.41</v>
      </c>
      <c r="H47" s="6">
        <v>6.28</v>
      </c>
      <c r="I47" s="6">
        <v>4.5999999999999996</v>
      </c>
      <c r="J47" s="6">
        <v>0.72</v>
      </c>
      <c r="K47" s="6">
        <v>268.41000000000003</v>
      </c>
      <c r="L47" s="6">
        <v>29.01</v>
      </c>
      <c r="M47" s="6">
        <v>75.77</v>
      </c>
      <c r="N47" s="6">
        <v>205</v>
      </c>
      <c r="O47" s="6">
        <v>0</v>
      </c>
      <c r="P47" s="6">
        <v>0.36</v>
      </c>
      <c r="Q47" s="6">
        <v>3.92</v>
      </c>
    </row>
    <row r="48" spans="1:17" customFormat="1">
      <c r="A48" s="82">
        <v>45462.416666666664</v>
      </c>
      <c r="B48" s="6">
        <v>9.42</v>
      </c>
      <c r="C48" s="6">
        <v>4.0999999999999996</v>
      </c>
      <c r="D48" s="6">
        <v>14.14</v>
      </c>
      <c r="E48" s="6">
        <v>9.86</v>
      </c>
      <c r="F48" s="6">
        <v>8.42</v>
      </c>
      <c r="G48" s="6">
        <v>11.97</v>
      </c>
      <c r="H48" s="6">
        <v>5.72</v>
      </c>
      <c r="I48" s="6">
        <v>4.51</v>
      </c>
      <c r="J48" s="6">
        <v>0.87</v>
      </c>
      <c r="K48" s="6">
        <v>266</v>
      </c>
      <c r="L48" s="6">
        <v>29.29</v>
      </c>
      <c r="M48" s="6">
        <v>74.91</v>
      </c>
      <c r="N48" s="6">
        <v>244.7</v>
      </c>
      <c r="O48" s="6">
        <v>0</v>
      </c>
      <c r="P48" s="6">
        <v>0.36</v>
      </c>
      <c r="Q48" s="6">
        <v>3.95</v>
      </c>
    </row>
    <row r="49" spans="1:17" customFormat="1">
      <c r="A49" s="82">
        <v>45462.427083333336</v>
      </c>
      <c r="B49" s="6">
        <v>9.43</v>
      </c>
      <c r="C49" s="6">
        <v>4.07</v>
      </c>
      <c r="D49" s="6">
        <v>14.14</v>
      </c>
      <c r="E49" s="6">
        <v>8.42</v>
      </c>
      <c r="F49" s="6">
        <v>6.56</v>
      </c>
      <c r="G49" s="6">
        <v>12.5</v>
      </c>
      <c r="H49" s="6">
        <v>5.46</v>
      </c>
      <c r="I49" s="6">
        <v>4.4800000000000004</v>
      </c>
      <c r="J49" s="6">
        <v>0.67</v>
      </c>
      <c r="K49" s="6">
        <v>263.17</v>
      </c>
      <c r="L49" s="6">
        <v>29.75</v>
      </c>
      <c r="M49" s="6">
        <v>74.28</v>
      </c>
      <c r="N49" s="6">
        <v>246.7</v>
      </c>
      <c r="O49" s="6">
        <v>0</v>
      </c>
      <c r="P49" s="6">
        <v>0.35</v>
      </c>
      <c r="Q49" s="6">
        <v>3.93</v>
      </c>
    </row>
    <row r="50" spans="1:17" customFormat="1">
      <c r="A50" s="82">
        <v>45462.4375</v>
      </c>
      <c r="B50" s="6">
        <v>9.44</v>
      </c>
      <c r="C50" s="6">
        <v>4.07</v>
      </c>
      <c r="D50" s="6">
        <v>14.15</v>
      </c>
      <c r="E50" s="6">
        <v>10.15</v>
      </c>
      <c r="F50" s="6">
        <v>6.56</v>
      </c>
      <c r="G50" s="6">
        <v>12.5</v>
      </c>
      <c r="H50" s="6">
        <v>5.46</v>
      </c>
      <c r="I50" s="6">
        <v>4.34</v>
      </c>
      <c r="J50" s="6">
        <v>0.94</v>
      </c>
      <c r="K50" s="6">
        <v>270.17</v>
      </c>
      <c r="L50" s="6">
        <v>29.91</v>
      </c>
      <c r="M50" s="6">
        <v>74.48</v>
      </c>
      <c r="N50" s="6">
        <v>267.8</v>
      </c>
      <c r="O50" s="6">
        <v>0</v>
      </c>
      <c r="P50" s="6">
        <v>0.36</v>
      </c>
      <c r="Q50" s="6">
        <v>3.93</v>
      </c>
    </row>
    <row r="51" spans="1:17" customFormat="1">
      <c r="A51" s="82">
        <v>45462.447916666664</v>
      </c>
      <c r="B51" s="6">
        <v>9.43</v>
      </c>
      <c r="C51" s="6">
        <v>4.09</v>
      </c>
      <c r="D51" s="6">
        <v>14.15</v>
      </c>
      <c r="E51" s="6">
        <v>9.99</v>
      </c>
      <c r="F51" s="6">
        <v>8</v>
      </c>
      <c r="G51" s="6">
        <v>12.5</v>
      </c>
      <c r="H51" s="6">
        <v>5.46</v>
      </c>
      <c r="I51" s="6">
        <v>4.33</v>
      </c>
      <c r="J51" s="6">
        <v>1.1599999999999999</v>
      </c>
      <c r="K51" s="6">
        <v>273.36</v>
      </c>
      <c r="L51" s="6">
        <v>30.31</v>
      </c>
      <c r="M51" s="6">
        <v>72.36</v>
      </c>
      <c r="N51" s="6">
        <v>298</v>
      </c>
      <c r="O51" s="6">
        <v>0</v>
      </c>
      <c r="P51" s="6">
        <v>0.35</v>
      </c>
      <c r="Q51" s="6">
        <v>3.91</v>
      </c>
    </row>
    <row r="52" spans="1:17" customFormat="1">
      <c r="A52" s="82">
        <v>45462.458333333336</v>
      </c>
      <c r="B52" s="6">
        <v>9.41</v>
      </c>
      <c r="C52" s="6">
        <v>4.1100000000000003</v>
      </c>
      <c r="D52" s="6">
        <v>14.15</v>
      </c>
      <c r="E52" s="6">
        <v>12.22</v>
      </c>
      <c r="F52" s="6">
        <v>12.58</v>
      </c>
      <c r="G52" s="6">
        <v>13.37</v>
      </c>
      <c r="H52" s="6">
        <v>7.58</v>
      </c>
      <c r="I52" s="6">
        <v>4.42</v>
      </c>
      <c r="J52" s="6">
        <v>1.03</v>
      </c>
      <c r="K52" s="6">
        <v>276.76</v>
      </c>
      <c r="L52" s="6">
        <v>30.73</v>
      </c>
      <c r="M52" s="6">
        <v>68.760000000000005</v>
      </c>
      <c r="N52" s="6">
        <v>299.10000000000002</v>
      </c>
      <c r="O52" s="6">
        <v>0</v>
      </c>
      <c r="P52" s="6">
        <v>0.35</v>
      </c>
      <c r="Q52" s="6">
        <v>3.92</v>
      </c>
    </row>
    <row r="53" spans="1:17" customFormat="1">
      <c r="A53" s="82">
        <v>45462.46875</v>
      </c>
      <c r="B53" s="6">
        <v>9.39</v>
      </c>
      <c r="C53" s="6">
        <v>4.09</v>
      </c>
      <c r="D53" s="6">
        <v>14.12</v>
      </c>
      <c r="E53" s="6">
        <v>13</v>
      </c>
      <c r="F53" s="6">
        <v>11.5</v>
      </c>
      <c r="G53" s="6">
        <v>14.21</v>
      </c>
      <c r="H53" s="6">
        <v>8.57</v>
      </c>
      <c r="I53" s="6">
        <v>4.4400000000000004</v>
      </c>
      <c r="J53" s="6">
        <v>1.19</v>
      </c>
      <c r="K53" s="6">
        <v>298.06</v>
      </c>
      <c r="L53" s="6">
        <v>30.96</v>
      </c>
      <c r="M53" s="6">
        <v>70.08</v>
      </c>
      <c r="N53" s="6">
        <v>301.3</v>
      </c>
      <c r="O53" s="6">
        <v>0</v>
      </c>
      <c r="P53" s="6">
        <v>0.36</v>
      </c>
      <c r="Q53" s="6">
        <v>3.95</v>
      </c>
    </row>
    <row r="54" spans="1:17" customFormat="1">
      <c r="A54" s="82">
        <v>45462.479166666664</v>
      </c>
      <c r="B54" s="6">
        <v>9.3800000000000008</v>
      </c>
      <c r="C54" s="6">
        <v>4.07</v>
      </c>
      <c r="D54" s="6">
        <v>14.1</v>
      </c>
      <c r="E54" s="6">
        <v>17.63</v>
      </c>
      <c r="F54" s="6">
        <v>16.47</v>
      </c>
      <c r="G54" s="6">
        <v>14.21</v>
      </c>
      <c r="H54" s="6">
        <v>8.57</v>
      </c>
      <c r="I54" s="6">
        <v>4.42</v>
      </c>
      <c r="J54" s="6">
        <v>0.79</v>
      </c>
      <c r="K54" s="6">
        <v>273.13</v>
      </c>
      <c r="L54" s="6">
        <v>31.56</v>
      </c>
      <c r="M54" s="6">
        <v>70.099999999999994</v>
      </c>
      <c r="N54" s="6">
        <v>365</v>
      </c>
      <c r="O54" s="6">
        <v>0</v>
      </c>
      <c r="P54" s="6">
        <v>0.36</v>
      </c>
      <c r="Q54" s="6">
        <v>3.94</v>
      </c>
    </row>
    <row r="55" spans="1:17" customFormat="1">
      <c r="A55" s="82">
        <v>45462.489583333336</v>
      </c>
      <c r="B55" s="6">
        <v>9.39</v>
      </c>
      <c r="C55" s="6">
        <v>4.09</v>
      </c>
      <c r="D55" s="6">
        <v>14.12</v>
      </c>
      <c r="E55" s="6">
        <v>19.190000000000001</v>
      </c>
      <c r="F55" s="6">
        <v>15.69</v>
      </c>
      <c r="G55" s="6">
        <v>14.21</v>
      </c>
      <c r="H55" s="6">
        <v>8.57</v>
      </c>
      <c r="I55" s="6">
        <v>4.58</v>
      </c>
      <c r="J55" s="6">
        <v>1.1200000000000001</v>
      </c>
      <c r="K55" s="6">
        <v>295.07</v>
      </c>
      <c r="L55" s="6">
        <v>32.01</v>
      </c>
      <c r="M55" s="6">
        <v>68.34</v>
      </c>
      <c r="N55" s="6">
        <v>439.7</v>
      </c>
      <c r="O55" s="6">
        <v>0</v>
      </c>
      <c r="P55" s="6">
        <v>0.4</v>
      </c>
      <c r="Q55" s="6">
        <v>3.94</v>
      </c>
    </row>
    <row r="56" spans="1:17" customFormat="1">
      <c r="A56" s="82">
        <v>45462.5</v>
      </c>
      <c r="B56" s="6">
        <v>9.39</v>
      </c>
      <c r="C56" s="6">
        <v>4.12</v>
      </c>
      <c r="D56" s="6">
        <v>14.13</v>
      </c>
      <c r="E56" s="6">
        <v>22.09</v>
      </c>
      <c r="F56" s="6">
        <v>21.89</v>
      </c>
      <c r="G56" s="6">
        <v>19.37</v>
      </c>
      <c r="H56" s="6">
        <v>8.73</v>
      </c>
      <c r="I56" s="6">
        <v>4.68</v>
      </c>
      <c r="J56" s="6">
        <v>1.03</v>
      </c>
      <c r="K56" s="6">
        <v>292.95</v>
      </c>
      <c r="L56" s="6">
        <v>32.64</v>
      </c>
      <c r="M56" s="6">
        <v>67.150000000000006</v>
      </c>
      <c r="N56" s="6">
        <v>560</v>
      </c>
      <c r="O56" s="6">
        <v>0</v>
      </c>
      <c r="P56" s="6">
        <v>0.45</v>
      </c>
      <c r="Q56" s="6">
        <v>3.94</v>
      </c>
    </row>
    <row r="57" spans="1:17" customFormat="1">
      <c r="A57" s="82">
        <v>45462.510416666664</v>
      </c>
      <c r="B57" s="6">
        <v>9.41</v>
      </c>
      <c r="C57" s="6">
        <v>4.13</v>
      </c>
      <c r="D57" s="6">
        <v>14.15</v>
      </c>
      <c r="E57" s="6">
        <v>18.309999999999999</v>
      </c>
      <c r="F57" s="6">
        <v>22.23</v>
      </c>
      <c r="G57" s="6">
        <v>24.31</v>
      </c>
      <c r="H57" s="6">
        <v>8.8000000000000007</v>
      </c>
      <c r="I57" s="6">
        <v>5.0199999999999996</v>
      </c>
      <c r="J57" s="6">
        <v>1.03</v>
      </c>
      <c r="K57" s="6">
        <v>285.02999999999997</v>
      </c>
      <c r="L57" s="6">
        <v>33.6</v>
      </c>
      <c r="M57" s="6">
        <v>64</v>
      </c>
      <c r="N57" s="6">
        <v>677.9</v>
      </c>
      <c r="O57" s="6">
        <v>0</v>
      </c>
      <c r="P57" s="6">
        <v>0.41</v>
      </c>
      <c r="Q57" s="6">
        <v>3.91</v>
      </c>
    </row>
    <row r="58" spans="1:17" customFormat="1">
      <c r="A58" s="82">
        <v>45462.520833333336</v>
      </c>
      <c r="B58" s="6">
        <v>9.4</v>
      </c>
      <c r="C58" s="6">
        <v>4.0999999999999996</v>
      </c>
      <c r="D58" s="6">
        <v>14.13</v>
      </c>
      <c r="E58" s="6">
        <v>14.49</v>
      </c>
      <c r="F58" s="6">
        <v>17.97</v>
      </c>
      <c r="G58" s="6">
        <v>24.31</v>
      </c>
      <c r="H58" s="6">
        <v>8.8000000000000007</v>
      </c>
      <c r="I58" s="6">
        <v>5.35</v>
      </c>
      <c r="J58" s="6">
        <v>1.33</v>
      </c>
      <c r="K58" s="6">
        <v>293.64999999999998</v>
      </c>
      <c r="L58" s="6">
        <v>33.770000000000003</v>
      </c>
      <c r="M58" s="6">
        <v>61.3</v>
      </c>
      <c r="N58" s="6">
        <v>486.5</v>
      </c>
      <c r="O58" s="6">
        <v>0</v>
      </c>
      <c r="P58" s="6">
        <v>0.43</v>
      </c>
      <c r="Q58" s="6">
        <v>3.91</v>
      </c>
    </row>
    <row r="59" spans="1:17" customFormat="1">
      <c r="A59" s="82">
        <v>45462.53125</v>
      </c>
      <c r="B59" s="6">
        <v>9.4</v>
      </c>
      <c r="C59" s="6">
        <v>4.08</v>
      </c>
      <c r="D59" s="6">
        <v>14.12</v>
      </c>
      <c r="E59" s="6">
        <v>14.47</v>
      </c>
      <c r="F59" s="6">
        <v>32.51</v>
      </c>
      <c r="G59" s="6">
        <v>24.31</v>
      </c>
      <c r="H59" s="6">
        <v>8.8000000000000007</v>
      </c>
      <c r="I59" s="6">
        <v>5.31</v>
      </c>
      <c r="J59" s="6">
        <v>1.1100000000000001</v>
      </c>
      <c r="K59" s="6">
        <v>301.02</v>
      </c>
      <c r="L59" s="6">
        <v>33.880000000000003</v>
      </c>
      <c r="M59" s="6">
        <v>61.53</v>
      </c>
      <c r="N59" s="6">
        <v>495.3</v>
      </c>
      <c r="O59" s="6">
        <v>0</v>
      </c>
      <c r="P59" s="6">
        <v>0.47</v>
      </c>
      <c r="Q59" s="6">
        <v>3.92</v>
      </c>
    </row>
    <row r="60" spans="1:17" customFormat="1">
      <c r="A60" s="82">
        <v>45462.541666666664</v>
      </c>
      <c r="B60" s="6">
        <v>9.3800000000000008</v>
      </c>
      <c r="C60" s="6">
        <v>4.09</v>
      </c>
      <c r="D60" s="6">
        <v>14.11</v>
      </c>
      <c r="E60" s="6">
        <v>15.79</v>
      </c>
      <c r="F60" s="6">
        <v>22.93</v>
      </c>
      <c r="G60" s="6">
        <v>30.04</v>
      </c>
      <c r="H60" s="6">
        <v>9.89</v>
      </c>
      <c r="I60" s="6">
        <v>5.37</v>
      </c>
      <c r="J60" s="6">
        <v>1.21</v>
      </c>
      <c r="K60" s="6">
        <v>290.29000000000002</v>
      </c>
      <c r="L60" s="6">
        <v>34.32</v>
      </c>
      <c r="M60" s="6">
        <v>60.42</v>
      </c>
      <c r="N60" s="6">
        <v>508.4</v>
      </c>
      <c r="O60" s="6">
        <v>0</v>
      </c>
      <c r="P60" s="6">
        <v>0.46</v>
      </c>
      <c r="Q60" s="6">
        <v>3.91</v>
      </c>
    </row>
    <row r="61" spans="1:17" customFormat="1">
      <c r="A61" s="82">
        <v>45462.552083333336</v>
      </c>
      <c r="B61" s="6">
        <v>9.36</v>
      </c>
      <c r="C61" s="6">
        <v>4.0999999999999996</v>
      </c>
      <c r="D61" s="6">
        <v>14.1</v>
      </c>
      <c r="E61" s="6">
        <v>12.89</v>
      </c>
      <c r="F61" s="6">
        <v>21.08</v>
      </c>
      <c r="G61" s="6">
        <v>35.53</v>
      </c>
      <c r="H61" s="6">
        <v>10.41</v>
      </c>
      <c r="I61" s="6">
        <v>5.4</v>
      </c>
      <c r="J61" s="6">
        <v>2.02</v>
      </c>
      <c r="K61" s="6">
        <v>310.92</v>
      </c>
      <c r="L61" s="6">
        <v>34.299999999999997</v>
      </c>
      <c r="M61" s="6">
        <v>58.58</v>
      </c>
      <c r="N61" s="6">
        <v>621.29999999999995</v>
      </c>
      <c r="O61" s="6">
        <v>0</v>
      </c>
      <c r="P61" s="6">
        <v>0.45</v>
      </c>
      <c r="Q61" s="6">
        <v>3.92</v>
      </c>
    </row>
    <row r="62" spans="1:17" customFormat="1">
      <c r="A62" s="82">
        <v>45462.5625</v>
      </c>
      <c r="B62" s="6">
        <v>9.3699999999999992</v>
      </c>
      <c r="C62" s="6">
        <v>4.08</v>
      </c>
      <c r="D62" s="6">
        <v>14.1</v>
      </c>
      <c r="E62" s="6">
        <v>11.31</v>
      </c>
      <c r="F62" s="6">
        <v>15.07</v>
      </c>
      <c r="G62" s="6">
        <v>35.53</v>
      </c>
      <c r="H62" s="6">
        <v>10.41</v>
      </c>
      <c r="I62" s="6">
        <v>5.39</v>
      </c>
      <c r="J62" s="6">
        <v>1.99</v>
      </c>
      <c r="K62" s="6">
        <v>301.39</v>
      </c>
      <c r="L62" s="6">
        <v>34.770000000000003</v>
      </c>
      <c r="M62" s="6">
        <v>57.07</v>
      </c>
      <c r="N62" s="6">
        <v>375.6</v>
      </c>
      <c r="O62" s="6">
        <v>0</v>
      </c>
      <c r="P62" s="6">
        <v>0.45</v>
      </c>
      <c r="Q62" s="6">
        <v>3.9</v>
      </c>
    </row>
    <row r="63" spans="1:17" customFormat="1">
      <c r="A63" s="82">
        <v>45462.572916666664</v>
      </c>
      <c r="B63" s="6">
        <v>9.3800000000000008</v>
      </c>
      <c r="C63" s="6">
        <v>4.05</v>
      </c>
      <c r="D63" s="6">
        <v>14.09</v>
      </c>
      <c r="E63" s="6">
        <v>11.13</v>
      </c>
      <c r="F63" s="6">
        <v>26.77</v>
      </c>
      <c r="G63" s="6">
        <v>35.53</v>
      </c>
      <c r="H63" s="6">
        <v>10.41</v>
      </c>
      <c r="I63" s="6">
        <v>5.39</v>
      </c>
      <c r="J63" s="6">
        <v>1.33</v>
      </c>
      <c r="K63" s="6">
        <v>290.42</v>
      </c>
      <c r="L63" s="6">
        <v>35.200000000000003</v>
      </c>
      <c r="M63" s="6">
        <v>56.4</v>
      </c>
      <c r="N63" s="6">
        <v>338.2</v>
      </c>
      <c r="O63" s="6">
        <v>0</v>
      </c>
      <c r="P63" s="6">
        <v>0.44</v>
      </c>
      <c r="Q63" s="6">
        <v>3.92</v>
      </c>
    </row>
    <row r="64" spans="1:17" customFormat="1">
      <c r="A64" s="82">
        <v>45462.583333333336</v>
      </c>
      <c r="B64" s="6">
        <v>9.3800000000000008</v>
      </c>
      <c r="C64" s="6">
        <v>4.0599999999999996</v>
      </c>
      <c r="D64" s="6">
        <v>14.09</v>
      </c>
      <c r="E64" s="6">
        <v>11.93</v>
      </c>
      <c r="F64" s="6">
        <v>35.200000000000003</v>
      </c>
      <c r="G64" s="6">
        <v>34.049999999999997</v>
      </c>
      <c r="H64" s="6">
        <v>11.72</v>
      </c>
      <c r="I64" s="6">
        <v>5.3</v>
      </c>
      <c r="J64" s="6">
        <v>0.92</v>
      </c>
      <c r="K64" s="6">
        <v>288.83999999999997</v>
      </c>
      <c r="L64" s="6">
        <v>35.659999999999997</v>
      </c>
      <c r="M64" s="6">
        <v>56.07</v>
      </c>
      <c r="N64" s="6">
        <v>688.2</v>
      </c>
      <c r="O64" s="6">
        <v>0</v>
      </c>
      <c r="P64" s="6">
        <v>0.44</v>
      </c>
      <c r="Q64" s="6">
        <v>3.93</v>
      </c>
    </row>
    <row r="65" spans="1:17" customFormat="1">
      <c r="A65" s="82">
        <v>45462.59375</v>
      </c>
      <c r="B65" s="6">
        <v>9.3800000000000008</v>
      </c>
      <c r="C65" s="6">
        <v>4.08</v>
      </c>
      <c r="D65" s="6">
        <v>14.1</v>
      </c>
      <c r="E65" s="6">
        <v>13.71</v>
      </c>
      <c r="F65" s="6">
        <v>25.61</v>
      </c>
      <c r="G65" s="6">
        <v>32.630000000000003</v>
      </c>
      <c r="H65" s="6">
        <v>13.02</v>
      </c>
      <c r="I65" s="6">
        <v>4.97</v>
      </c>
      <c r="J65" s="6">
        <v>1.25</v>
      </c>
      <c r="K65" s="6">
        <v>292.39999999999998</v>
      </c>
      <c r="L65" s="6">
        <v>35.97</v>
      </c>
      <c r="M65" s="6">
        <v>55.37</v>
      </c>
      <c r="N65" s="6">
        <v>725.1</v>
      </c>
      <c r="O65" s="6">
        <v>0</v>
      </c>
      <c r="P65" s="6">
        <v>0.5</v>
      </c>
      <c r="Q65" s="6">
        <v>3.94</v>
      </c>
    </row>
    <row r="66" spans="1:17" customFormat="1">
      <c r="A66" s="82">
        <v>45462.604166666664</v>
      </c>
      <c r="B66" s="6">
        <v>9.3800000000000008</v>
      </c>
      <c r="C66" s="6">
        <v>4.08</v>
      </c>
      <c r="D66" s="6">
        <v>14.1</v>
      </c>
      <c r="E66" s="6">
        <v>13.53</v>
      </c>
      <c r="F66" s="6">
        <v>23.18</v>
      </c>
      <c r="G66" s="6">
        <v>32.630000000000003</v>
      </c>
      <c r="H66" s="6">
        <v>13.02</v>
      </c>
      <c r="I66" s="6">
        <v>4.91</v>
      </c>
      <c r="J66" s="6">
        <v>1.23</v>
      </c>
      <c r="K66" s="6">
        <v>286.38</v>
      </c>
      <c r="L66" s="6">
        <v>36.299999999999997</v>
      </c>
      <c r="M66" s="6">
        <v>52.18</v>
      </c>
      <c r="N66" s="6">
        <v>665.4</v>
      </c>
      <c r="O66" s="6">
        <v>0</v>
      </c>
      <c r="P66" s="6">
        <v>0.54</v>
      </c>
      <c r="Q66" s="6">
        <v>3.95</v>
      </c>
    </row>
    <row r="67" spans="1:17" customFormat="1">
      <c r="A67" s="82">
        <v>45462.614583333336</v>
      </c>
      <c r="B67" s="6">
        <v>9.3800000000000008</v>
      </c>
      <c r="C67" s="6">
        <v>4.07</v>
      </c>
      <c r="D67" s="6">
        <v>14.1</v>
      </c>
      <c r="E67" s="6">
        <v>12.47</v>
      </c>
      <c r="F67" s="6">
        <v>29.47</v>
      </c>
      <c r="G67" s="6">
        <v>32.630000000000003</v>
      </c>
      <c r="H67" s="6">
        <v>13.02</v>
      </c>
      <c r="I67" s="6">
        <v>5.28</v>
      </c>
      <c r="J67" s="6">
        <v>1.28</v>
      </c>
      <c r="K67" s="6">
        <v>310.89</v>
      </c>
      <c r="L67" s="6">
        <v>35.97</v>
      </c>
      <c r="M67" s="6">
        <v>52.64</v>
      </c>
      <c r="N67" s="6">
        <v>586.70000000000005</v>
      </c>
      <c r="O67" s="6">
        <v>0</v>
      </c>
      <c r="P67" s="6">
        <v>0.53</v>
      </c>
      <c r="Q67" s="6">
        <v>3.92</v>
      </c>
    </row>
    <row r="68" spans="1:17" customFormat="1">
      <c r="A68" s="82">
        <v>45462.625</v>
      </c>
      <c r="B68" s="6">
        <v>9.39</v>
      </c>
      <c r="C68" s="6">
        <v>4.07</v>
      </c>
      <c r="D68" s="6">
        <v>14.11</v>
      </c>
      <c r="E68" s="6">
        <v>11.94</v>
      </c>
      <c r="F68" s="6">
        <v>19.190000000000001</v>
      </c>
      <c r="G68" s="6">
        <v>32.57</v>
      </c>
      <c r="H68" s="6">
        <v>11.05</v>
      </c>
      <c r="I68" s="6">
        <v>5.24</v>
      </c>
      <c r="J68" s="6">
        <v>1.1599999999999999</v>
      </c>
      <c r="K68" s="6">
        <v>277.92</v>
      </c>
      <c r="L68" s="6">
        <v>36.11</v>
      </c>
      <c r="M68" s="6">
        <v>52.07</v>
      </c>
      <c r="N68" s="6">
        <v>480</v>
      </c>
      <c r="O68" s="6">
        <v>0</v>
      </c>
      <c r="P68" s="6">
        <v>0.52</v>
      </c>
      <c r="Q68" s="6">
        <v>3.93</v>
      </c>
    </row>
    <row r="69" spans="1:17" customFormat="1">
      <c r="A69" s="82">
        <v>45462.635416666664</v>
      </c>
      <c r="B69" s="6">
        <v>9.4</v>
      </c>
      <c r="C69" s="6">
        <v>4.0999999999999996</v>
      </c>
      <c r="D69" s="6">
        <v>14.13</v>
      </c>
      <c r="E69" s="6">
        <v>11.44</v>
      </c>
      <c r="F69" s="6">
        <v>29.71</v>
      </c>
      <c r="G69" s="6">
        <v>32.51</v>
      </c>
      <c r="H69" s="6">
        <v>10.130000000000001</v>
      </c>
      <c r="I69" s="6">
        <v>4.99</v>
      </c>
      <c r="J69" s="6">
        <v>0.76</v>
      </c>
      <c r="K69" s="6">
        <v>279.43</v>
      </c>
      <c r="L69" s="6">
        <v>36.22</v>
      </c>
      <c r="M69" s="6">
        <v>52.21</v>
      </c>
      <c r="N69" s="6">
        <v>484.6</v>
      </c>
      <c r="O69" s="6">
        <v>0</v>
      </c>
      <c r="P69" s="6">
        <v>0.51</v>
      </c>
      <c r="Q69" s="6">
        <v>3.95</v>
      </c>
    </row>
    <row r="70" spans="1:17" customFormat="1">
      <c r="A70" s="82">
        <v>45462.645833333336</v>
      </c>
      <c r="B70" s="6">
        <v>9.41</v>
      </c>
      <c r="C70" s="6">
        <v>4.09</v>
      </c>
      <c r="D70" s="6">
        <v>14.13</v>
      </c>
      <c r="E70" s="6">
        <v>11.13</v>
      </c>
      <c r="F70" s="6">
        <v>28.8</v>
      </c>
      <c r="G70" s="6">
        <v>32.51</v>
      </c>
      <c r="H70" s="6">
        <v>10.130000000000001</v>
      </c>
      <c r="I70" s="6">
        <v>5.0199999999999996</v>
      </c>
      <c r="J70" s="6">
        <v>0.95</v>
      </c>
      <c r="K70" s="6">
        <v>272.31</v>
      </c>
      <c r="L70" s="6">
        <v>36.479999999999997</v>
      </c>
      <c r="M70" s="6">
        <v>51.12</v>
      </c>
      <c r="N70" s="6">
        <v>454</v>
      </c>
      <c r="O70" s="6">
        <v>0</v>
      </c>
      <c r="P70" s="6">
        <v>0.49</v>
      </c>
      <c r="Q70" s="6">
        <v>3.93</v>
      </c>
    </row>
    <row r="71" spans="1:17" customFormat="1">
      <c r="A71" s="82">
        <v>45462.65625</v>
      </c>
      <c r="B71" s="6">
        <v>9.4</v>
      </c>
      <c r="C71" s="6">
        <v>4.0999999999999996</v>
      </c>
      <c r="D71" s="6">
        <v>14.13</v>
      </c>
      <c r="E71" s="6">
        <v>11.27</v>
      </c>
      <c r="F71" s="6">
        <v>29.17</v>
      </c>
      <c r="G71" s="6">
        <v>32.51</v>
      </c>
      <c r="H71" s="6">
        <v>10.130000000000001</v>
      </c>
      <c r="I71" s="6">
        <v>4.7699999999999996</v>
      </c>
      <c r="J71" s="6">
        <v>1.17</v>
      </c>
      <c r="K71" s="6">
        <v>309.8</v>
      </c>
      <c r="L71" s="6">
        <v>36.26</v>
      </c>
      <c r="M71" s="6">
        <v>49.67</v>
      </c>
      <c r="N71" s="6">
        <v>347.8</v>
      </c>
      <c r="O71" s="6">
        <v>0</v>
      </c>
      <c r="P71" s="6">
        <v>0.49</v>
      </c>
      <c r="Q71" s="6">
        <v>3.94</v>
      </c>
    </row>
    <row r="72" spans="1:17" customFormat="1">
      <c r="A72" s="82">
        <v>45462.666666666664</v>
      </c>
      <c r="B72" s="6">
        <v>9.4</v>
      </c>
      <c r="C72" s="6">
        <v>4.1100000000000003</v>
      </c>
      <c r="D72" s="6">
        <v>14.13</v>
      </c>
      <c r="E72" s="6">
        <v>10.57</v>
      </c>
      <c r="F72" s="6">
        <v>23.6</v>
      </c>
      <c r="G72" s="6">
        <v>30.59</v>
      </c>
      <c r="H72" s="6">
        <v>11.29</v>
      </c>
      <c r="I72" s="6">
        <v>4.6500000000000004</v>
      </c>
      <c r="J72" s="6">
        <v>1.24</v>
      </c>
      <c r="K72" s="6">
        <v>298.38</v>
      </c>
      <c r="L72" s="6">
        <v>36.090000000000003</v>
      </c>
      <c r="M72" s="6">
        <v>49.4</v>
      </c>
      <c r="N72" s="6">
        <v>329.6</v>
      </c>
      <c r="O72" s="6">
        <v>0</v>
      </c>
      <c r="P72" s="6">
        <v>0.49</v>
      </c>
      <c r="Q72" s="6">
        <v>3.94</v>
      </c>
    </row>
    <row r="73" spans="1:17" customFormat="1">
      <c r="A73" s="82">
        <v>45462.677083333336</v>
      </c>
      <c r="B73" s="6">
        <v>9.39</v>
      </c>
      <c r="C73" s="6">
        <v>4.08</v>
      </c>
      <c r="D73" s="6">
        <v>14.12</v>
      </c>
      <c r="E73" s="6">
        <v>10.38</v>
      </c>
      <c r="F73" s="6">
        <v>23.87</v>
      </c>
      <c r="G73" s="6">
        <v>28.74</v>
      </c>
      <c r="H73" s="6">
        <v>11.83</v>
      </c>
      <c r="I73" s="6">
        <v>4.54</v>
      </c>
      <c r="J73" s="6">
        <v>1.26</v>
      </c>
      <c r="K73" s="6">
        <v>313.39999999999998</v>
      </c>
      <c r="L73" s="6">
        <v>36.26</v>
      </c>
      <c r="M73" s="6">
        <v>49.29</v>
      </c>
      <c r="N73" s="6">
        <v>224.8</v>
      </c>
      <c r="O73" s="6">
        <v>0</v>
      </c>
      <c r="P73" s="6">
        <v>0.5</v>
      </c>
      <c r="Q73" s="6">
        <v>3.92</v>
      </c>
    </row>
    <row r="74" spans="1:17" customFormat="1">
      <c r="A74" s="82">
        <v>45462.6875</v>
      </c>
      <c r="B74" s="6">
        <v>9.39</v>
      </c>
      <c r="C74" s="6">
        <v>4.07</v>
      </c>
      <c r="D74" s="6">
        <v>14.11</v>
      </c>
      <c r="E74" s="6">
        <v>10.74</v>
      </c>
      <c r="F74" s="6">
        <v>32.049999999999997</v>
      </c>
      <c r="G74" s="6">
        <v>28.74</v>
      </c>
      <c r="H74" s="6">
        <v>11.83</v>
      </c>
      <c r="I74" s="6">
        <v>4.5</v>
      </c>
      <c r="J74" s="6">
        <v>0.72</v>
      </c>
      <c r="K74" s="6">
        <v>291.83</v>
      </c>
      <c r="L74" s="6">
        <v>35.880000000000003</v>
      </c>
      <c r="M74" s="6">
        <v>50.84</v>
      </c>
      <c r="N74" s="6">
        <v>125.8</v>
      </c>
      <c r="O74" s="6">
        <v>0</v>
      </c>
      <c r="P74" s="6">
        <v>0.48</v>
      </c>
      <c r="Q74" s="6">
        <v>3.93</v>
      </c>
    </row>
    <row r="75" spans="1:17" customFormat="1">
      <c r="A75" s="82">
        <v>45462.697916666664</v>
      </c>
      <c r="B75" s="6">
        <v>9.41</v>
      </c>
      <c r="C75" s="6">
        <v>4.08</v>
      </c>
      <c r="D75" s="6">
        <v>14.13</v>
      </c>
      <c r="E75" s="6">
        <v>11.93</v>
      </c>
      <c r="F75" s="6">
        <v>32.51</v>
      </c>
      <c r="G75" s="6">
        <v>28.74</v>
      </c>
      <c r="H75" s="6">
        <v>11.83</v>
      </c>
      <c r="I75" s="6">
        <v>4.5599999999999996</v>
      </c>
      <c r="J75" s="6">
        <v>0.76</v>
      </c>
      <c r="K75" s="6">
        <v>293.3</v>
      </c>
      <c r="L75" s="6">
        <v>35.630000000000003</v>
      </c>
      <c r="M75" s="6">
        <v>51.56</v>
      </c>
      <c r="N75" s="6">
        <v>98.5</v>
      </c>
      <c r="O75" s="6">
        <v>0</v>
      </c>
      <c r="P75" s="6">
        <v>0.52</v>
      </c>
      <c r="Q75" s="6">
        <v>3.94</v>
      </c>
    </row>
    <row r="76" spans="1:17" customFormat="1">
      <c r="A76" s="82">
        <v>45462.708333333336</v>
      </c>
      <c r="B76" s="6">
        <v>9.3800000000000008</v>
      </c>
      <c r="C76" s="6">
        <v>4.1100000000000003</v>
      </c>
      <c r="D76" s="6">
        <v>14.12</v>
      </c>
      <c r="E76" s="6">
        <v>11.78</v>
      </c>
      <c r="F76" s="6">
        <v>37.5</v>
      </c>
      <c r="G76" s="6">
        <v>30.71</v>
      </c>
      <c r="H76" s="6">
        <v>12.17</v>
      </c>
      <c r="I76" s="6">
        <v>4.28</v>
      </c>
      <c r="J76" s="6">
        <v>0.49</v>
      </c>
      <c r="K76" s="6">
        <v>264.60000000000002</v>
      </c>
      <c r="L76" s="6">
        <v>35.31</v>
      </c>
      <c r="M76" s="6">
        <v>53.18</v>
      </c>
      <c r="N76" s="6">
        <v>87.9</v>
      </c>
      <c r="O76" s="6">
        <v>0</v>
      </c>
      <c r="P76" s="6">
        <v>0.48</v>
      </c>
      <c r="Q76" s="6">
        <v>3.96</v>
      </c>
    </row>
    <row r="77" spans="1:17" customFormat="1">
      <c r="A77" s="82">
        <v>45462.71875</v>
      </c>
      <c r="B77" s="6">
        <v>9.3699999999999992</v>
      </c>
      <c r="C77" s="6">
        <v>4.09</v>
      </c>
      <c r="D77" s="6">
        <v>14.1</v>
      </c>
      <c r="E77" s="6">
        <v>13.24</v>
      </c>
      <c r="F77" s="6">
        <v>30.28</v>
      </c>
      <c r="G77" s="6">
        <v>32.58</v>
      </c>
      <c r="H77" s="6">
        <v>12.32</v>
      </c>
      <c r="I77" s="6">
        <v>4.46</v>
      </c>
      <c r="J77" s="6">
        <v>0.6</v>
      </c>
      <c r="K77" s="6">
        <v>295.79000000000002</v>
      </c>
      <c r="L77" s="6">
        <v>35.24</v>
      </c>
      <c r="M77" s="6">
        <v>52.82</v>
      </c>
      <c r="N77" s="6">
        <v>78.2</v>
      </c>
      <c r="O77" s="6">
        <v>0</v>
      </c>
      <c r="P77" s="6">
        <v>0.53</v>
      </c>
      <c r="Q77" s="6">
        <v>3.94</v>
      </c>
    </row>
    <row r="78" spans="1:17" customFormat="1">
      <c r="A78" s="82">
        <v>45462.729166666664</v>
      </c>
      <c r="B78" s="6">
        <v>9.3699999999999992</v>
      </c>
      <c r="C78" s="6">
        <v>4.08</v>
      </c>
      <c r="D78" s="6">
        <v>14.09</v>
      </c>
      <c r="E78" s="6">
        <v>12.95</v>
      </c>
      <c r="F78" s="6">
        <v>28.26</v>
      </c>
      <c r="G78" s="6">
        <v>32.58</v>
      </c>
      <c r="H78" s="6">
        <v>12.32</v>
      </c>
      <c r="I78" s="6">
        <v>4.3499999999999996</v>
      </c>
      <c r="J78" s="6">
        <v>0.86</v>
      </c>
      <c r="K78" s="6">
        <v>292.69</v>
      </c>
      <c r="L78" s="6">
        <v>35.14</v>
      </c>
      <c r="M78" s="6">
        <v>53.54</v>
      </c>
      <c r="N78" s="6">
        <v>63.7</v>
      </c>
      <c r="O78" s="6">
        <v>0</v>
      </c>
      <c r="P78" s="6">
        <v>0.57999999999999996</v>
      </c>
      <c r="Q78" s="6">
        <v>3.94</v>
      </c>
    </row>
    <row r="79" spans="1:17" customFormat="1">
      <c r="A79" s="82">
        <v>45462.739583333336</v>
      </c>
      <c r="B79" s="6">
        <v>9.3800000000000008</v>
      </c>
      <c r="C79" s="6">
        <v>4.0999999999999996</v>
      </c>
      <c r="D79" s="6">
        <v>14.11</v>
      </c>
      <c r="E79" s="6">
        <v>12.53</v>
      </c>
      <c r="F79" s="6">
        <v>18.63</v>
      </c>
      <c r="G79" s="6">
        <v>32.58</v>
      </c>
      <c r="H79" s="6">
        <v>12.32</v>
      </c>
      <c r="I79" s="6">
        <v>4.78</v>
      </c>
      <c r="J79" s="6">
        <v>0.92</v>
      </c>
      <c r="K79" s="6">
        <v>299.47000000000003</v>
      </c>
      <c r="L79" s="6">
        <v>35.01</v>
      </c>
      <c r="M79" s="6">
        <v>51.74</v>
      </c>
      <c r="N79" s="6">
        <v>50.2</v>
      </c>
      <c r="O79" s="6">
        <v>0</v>
      </c>
      <c r="P79" s="6">
        <v>0.61</v>
      </c>
      <c r="Q79" s="6">
        <v>3.93</v>
      </c>
    </row>
    <row r="80" spans="1:17" customFormat="1">
      <c r="A80" s="82">
        <v>45462.75</v>
      </c>
      <c r="B80" s="6">
        <v>9.4</v>
      </c>
      <c r="C80" s="6">
        <v>4.09</v>
      </c>
      <c r="D80" s="6">
        <v>14.12</v>
      </c>
      <c r="E80" s="6">
        <v>11.87</v>
      </c>
      <c r="F80" s="6">
        <v>19.5</v>
      </c>
      <c r="G80" s="6">
        <v>34.47</v>
      </c>
      <c r="H80" s="6">
        <v>13.58</v>
      </c>
      <c r="I80" s="6">
        <v>4.97</v>
      </c>
      <c r="J80" s="6">
        <v>1</v>
      </c>
      <c r="K80" s="6">
        <v>304.16000000000003</v>
      </c>
      <c r="L80" s="6">
        <v>34.799999999999997</v>
      </c>
      <c r="M80" s="6">
        <v>51.5</v>
      </c>
      <c r="N80" s="6">
        <v>33.6</v>
      </c>
      <c r="O80" s="6">
        <v>0</v>
      </c>
      <c r="P80" s="6">
        <v>0.61</v>
      </c>
      <c r="Q80" s="6">
        <v>3.93</v>
      </c>
    </row>
    <row r="81" spans="1:17" customFormat="1">
      <c r="A81" s="82">
        <v>45462.760416666664</v>
      </c>
      <c r="B81" s="6">
        <v>9.39</v>
      </c>
      <c r="C81" s="6">
        <v>4.0999999999999996</v>
      </c>
      <c r="D81" s="6">
        <v>14.12</v>
      </c>
      <c r="E81" s="6">
        <v>8.6999999999999993</v>
      </c>
      <c r="F81" s="6">
        <v>13.44</v>
      </c>
      <c r="G81" s="6">
        <v>36.28</v>
      </c>
      <c r="H81" s="6">
        <v>14.17</v>
      </c>
      <c r="I81" s="6">
        <v>5.0599999999999996</v>
      </c>
      <c r="J81" s="6">
        <v>1.92</v>
      </c>
      <c r="K81" s="6">
        <v>277</v>
      </c>
      <c r="L81" s="6">
        <v>33.409999999999997</v>
      </c>
      <c r="M81" s="6">
        <v>56.8</v>
      </c>
      <c r="N81" s="6">
        <v>19</v>
      </c>
      <c r="O81" s="6">
        <v>0</v>
      </c>
      <c r="P81" s="6">
        <v>0.59</v>
      </c>
      <c r="Q81" s="6">
        <v>3.94</v>
      </c>
    </row>
    <row r="82" spans="1:17" customFormat="1">
      <c r="A82" s="82">
        <v>45462.770833333336</v>
      </c>
      <c r="B82" s="6">
        <v>9.39</v>
      </c>
      <c r="C82" s="6">
        <v>4.0999999999999996</v>
      </c>
      <c r="D82" s="6">
        <v>14.12</v>
      </c>
      <c r="E82" s="6">
        <v>9.32</v>
      </c>
      <c r="F82" s="6">
        <v>8.5500000000000007</v>
      </c>
      <c r="G82" s="6">
        <v>36.28</v>
      </c>
      <c r="H82" s="6">
        <v>14.17</v>
      </c>
      <c r="I82" s="6">
        <v>5.01</v>
      </c>
      <c r="J82" s="6">
        <v>2.4900000000000002</v>
      </c>
      <c r="K82" s="6">
        <v>281.3</v>
      </c>
      <c r="L82" s="6">
        <v>30.38</v>
      </c>
      <c r="M82" s="6">
        <v>67.67</v>
      </c>
      <c r="N82" s="6">
        <v>9.8000000000000007</v>
      </c>
      <c r="O82" s="6">
        <v>0</v>
      </c>
      <c r="P82" s="6">
        <v>0.56999999999999995</v>
      </c>
      <c r="Q82" s="6">
        <v>3.93</v>
      </c>
    </row>
    <row r="83" spans="1:17" customFormat="1">
      <c r="A83" s="82">
        <v>45462.78125</v>
      </c>
      <c r="B83" s="6">
        <v>9.39</v>
      </c>
      <c r="C83" s="6">
        <v>4.0999999999999996</v>
      </c>
      <c r="D83" s="6">
        <v>14.12</v>
      </c>
      <c r="E83" s="6">
        <v>8.64</v>
      </c>
      <c r="F83" s="6">
        <v>6.73</v>
      </c>
      <c r="G83" s="6">
        <v>36.28</v>
      </c>
      <c r="H83" s="6">
        <v>14.17</v>
      </c>
      <c r="I83" s="6">
        <v>5.0999999999999996</v>
      </c>
      <c r="J83" s="6">
        <v>1.93</v>
      </c>
      <c r="K83" s="6">
        <v>262.44</v>
      </c>
      <c r="L83" s="6">
        <v>29.15</v>
      </c>
      <c r="M83" s="6">
        <v>74.61</v>
      </c>
      <c r="N83" s="6">
        <v>4.8</v>
      </c>
      <c r="O83" s="6">
        <v>0</v>
      </c>
      <c r="P83" s="6">
        <v>0.56999999999999995</v>
      </c>
      <c r="Q83" s="6">
        <v>3.94</v>
      </c>
    </row>
    <row r="84" spans="1:17" customFormat="1">
      <c r="A84" s="82">
        <v>45462.791666666664</v>
      </c>
      <c r="B84" s="6">
        <v>9.41</v>
      </c>
      <c r="C84" s="6">
        <v>4.0599999999999996</v>
      </c>
      <c r="D84" s="6">
        <v>14.12</v>
      </c>
      <c r="E84" s="6">
        <v>8.1300000000000008</v>
      </c>
      <c r="F84" s="6">
        <v>8.5500000000000007</v>
      </c>
      <c r="G84" s="6">
        <v>42.22</v>
      </c>
      <c r="H84" s="6">
        <v>13.9</v>
      </c>
      <c r="I84" s="6">
        <v>5.09</v>
      </c>
      <c r="J84" s="6">
        <v>1.37</v>
      </c>
      <c r="K84" s="6">
        <v>268.91000000000003</v>
      </c>
      <c r="L84" s="6">
        <v>28.2</v>
      </c>
      <c r="M84" s="6">
        <v>78.94</v>
      </c>
      <c r="N84" s="6">
        <v>3.1</v>
      </c>
      <c r="O84" s="6">
        <v>0</v>
      </c>
      <c r="P84" s="6">
        <v>0.56000000000000005</v>
      </c>
      <c r="Q84" s="6">
        <v>3.95</v>
      </c>
    </row>
    <row r="85" spans="1:17" customFormat="1">
      <c r="A85" s="82">
        <v>45462.802083333336</v>
      </c>
      <c r="B85" s="6">
        <v>9.39</v>
      </c>
      <c r="C85" s="6">
        <v>4.08</v>
      </c>
      <c r="D85" s="6">
        <v>14.11</v>
      </c>
      <c r="E85" s="6">
        <v>8.65</v>
      </c>
      <c r="F85" s="6">
        <v>7.2</v>
      </c>
      <c r="G85" s="6">
        <v>47.9</v>
      </c>
      <c r="H85" s="6">
        <v>13.77</v>
      </c>
      <c r="I85" s="6">
        <v>5.18</v>
      </c>
      <c r="J85" s="6">
        <v>0.79</v>
      </c>
      <c r="K85" s="6">
        <v>257.56</v>
      </c>
      <c r="L85" s="6">
        <v>27.99</v>
      </c>
      <c r="M85" s="6">
        <v>81.010000000000005</v>
      </c>
      <c r="N85" s="6">
        <v>2.1</v>
      </c>
      <c r="O85" s="6">
        <v>0</v>
      </c>
      <c r="P85" s="6">
        <v>0.55000000000000004</v>
      </c>
      <c r="Q85" s="6">
        <v>3.93</v>
      </c>
    </row>
    <row r="86" spans="1:17" customFormat="1">
      <c r="A86" s="82">
        <v>45462.8125</v>
      </c>
      <c r="B86" s="6">
        <v>9.3800000000000008</v>
      </c>
      <c r="C86" s="6">
        <v>4.08</v>
      </c>
      <c r="D86" s="6">
        <v>14.1</v>
      </c>
      <c r="E86" s="6">
        <v>8.8800000000000008</v>
      </c>
      <c r="F86" s="6">
        <v>6.77</v>
      </c>
      <c r="G86" s="6">
        <v>47.9</v>
      </c>
      <c r="H86" s="6">
        <v>13.77</v>
      </c>
      <c r="I86" s="6">
        <v>5.03</v>
      </c>
      <c r="J86" s="6">
        <v>0.83</v>
      </c>
      <c r="K86" s="6">
        <v>257.02999999999997</v>
      </c>
      <c r="L86" s="6">
        <v>27.84</v>
      </c>
      <c r="M86" s="6">
        <v>80.680000000000007</v>
      </c>
      <c r="N86" s="6">
        <v>2</v>
      </c>
      <c r="O86" s="6">
        <v>0</v>
      </c>
      <c r="P86" s="6">
        <v>0.55000000000000004</v>
      </c>
      <c r="Q86" s="6">
        <v>3.94</v>
      </c>
    </row>
    <row r="87" spans="1:17" customFormat="1">
      <c r="A87" s="82">
        <v>45462.822916666664</v>
      </c>
      <c r="B87" s="6">
        <v>9.3699999999999992</v>
      </c>
      <c r="C87" s="6">
        <v>4.0999999999999996</v>
      </c>
      <c r="D87" s="6">
        <v>14.11</v>
      </c>
      <c r="E87" s="6">
        <v>8.93</v>
      </c>
      <c r="F87" s="6">
        <v>5.84</v>
      </c>
      <c r="G87" s="6">
        <v>47.9</v>
      </c>
      <c r="H87" s="6">
        <v>13.77</v>
      </c>
      <c r="I87" s="6">
        <v>4.9800000000000004</v>
      </c>
      <c r="J87" s="6">
        <v>0.59</v>
      </c>
      <c r="K87" s="6">
        <v>254.07</v>
      </c>
      <c r="L87" s="6">
        <v>27.96</v>
      </c>
      <c r="M87" s="6">
        <v>81.06</v>
      </c>
      <c r="N87" s="6">
        <v>1.7</v>
      </c>
      <c r="O87" s="6">
        <v>0</v>
      </c>
      <c r="P87" s="6">
        <v>0.54</v>
      </c>
      <c r="Q87" s="6">
        <v>3.94</v>
      </c>
    </row>
    <row r="88" spans="1:17" customFormat="1">
      <c r="A88" s="82">
        <v>45462.833333333336</v>
      </c>
      <c r="B88" s="6">
        <v>9.3699999999999992</v>
      </c>
      <c r="C88" s="6">
        <v>4.1100000000000003</v>
      </c>
      <c r="D88" s="6">
        <v>14.11</v>
      </c>
      <c r="E88" s="6">
        <v>8.83</v>
      </c>
      <c r="F88" s="6">
        <v>13.45</v>
      </c>
      <c r="G88" s="6">
        <v>40.5</v>
      </c>
      <c r="H88" s="6">
        <v>13.56</v>
      </c>
      <c r="I88" s="6">
        <v>4.9800000000000004</v>
      </c>
      <c r="J88" s="6">
        <v>0.56000000000000005</v>
      </c>
      <c r="K88" s="6">
        <v>265.01</v>
      </c>
      <c r="L88" s="6">
        <v>27.73</v>
      </c>
      <c r="M88" s="6">
        <v>82.64</v>
      </c>
      <c r="N88" s="6">
        <v>2</v>
      </c>
      <c r="O88" s="6">
        <v>0</v>
      </c>
      <c r="P88" s="6">
        <v>0.53</v>
      </c>
      <c r="Q88" s="6">
        <v>3.92</v>
      </c>
    </row>
    <row r="89" spans="1:17" customFormat="1">
      <c r="A89" s="82">
        <v>45462.84375</v>
      </c>
      <c r="B89" s="6">
        <v>9.4</v>
      </c>
      <c r="C89" s="6">
        <v>4.09</v>
      </c>
      <c r="D89" s="6">
        <v>14.12</v>
      </c>
      <c r="E89" s="6">
        <v>8.94</v>
      </c>
      <c r="F89" s="6">
        <v>13.89</v>
      </c>
      <c r="G89" s="6">
        <v>33.409999999999997</v>
      </c>
      <c r="H89" s="6">
        <v>13.34</v>
      </c>
      <c r="I89" s="6">
        <v>4.96</v>
      </c>
      <c r="J89" s="6">
        <v>0.47</v>
      </c>
      <c r="K89" s="6">
        <v>270.14999999999998</v>
      </c>
      <c r="L89" s="6">
        <v>27.77</v>
      </c>
      <c r="M89" s="6">
        <v>80.86</v>
      </c>
      <c r="N89" s="6">
        <v>1.8</v>
      </c>
      <c r="O89" s="6">
        <v>0</v>
      </c>
      <c r="P89" s="6">
        <v>0.53</v>
      </c>
      <c r="Q89" s="6">
        <v>3.93</v>
      </c>
    </row>
    <row r="90" spans="1:17" customFormat="1">
      <c r="A90" s="82">
        <v>45462.854166666664</v>
      </c>
      <c r="B90" s="6">
        <v>9.3800000000000008</v>
      </c>
      <c r="C90" s="6">
        <v>4.07</v>
      </c>
      <c r="D90" s="6">
        <v>14.1</v>
      </c>
      <c r="E90" s="6">
        <v>8.75</v>
      </c>
      <c r="F90" s="6">
        <v>20.329999999999998</v>
      </c>
      <c r="G90" s="6">
        <v>33.409999999999997</v>
      </c>
      <c r="H90" s="6">
        <v>13.34</v>
      </c>
      <c r="I90" s="6">
        <v>4.6500000000000004</v>
      </c>
      <c r="J90" s="6">
        <v>0.23</v>
      </c>
      <c r="K90" s="6">
        <v>193.36</v>
      </c>
      <c r="L90" s="6">
        <v>27.79</v>
      </c>
      <c r="M90" s="6">
        <v>81.88</v>
      </c>
      <c r="N90" s="6">
        <v>1.8</v>
      </c>
      <c r="O90" s="6">
        <v>0</v>
      </c>
      <c r="P90" s="6">
        <v>0.5</v>
      </c>
      <c r="Q90" s="6">
        <v>3.94</v>
      </c>
    </row>
    <row r="91" spans="1:17" customFormat="1">
      <c r="A91" s="82">
        <v>45462.864583333336</v>
      </c>
      <c r="B91" s="6">
        <v>9.36</v>
      </c>
      <c r="C91" s="6">
        <v>4.0599999999999996</v>
      </c>
      <c r="D91" s="6">
        <v>14.08</v>
      </c>
      <c r="E91" s="6">
        <v>9.61</v>
      </c>
      <c r="F91" s="6">
        <v>19.36</v>
      </c>
      <c r="G91" s="6">
        <v>33.409999999999997</v>
      </c>
      <c r="H91" s="6">
        <v>13.34</v>
      </c>
      <c r="I91" s="6">
        <v>4.67</v>
      </c>
      <c r="J91" s="6">
        <v>0.21</v>
      </c>
      <c r="K91" s="6">
        <v>227.59</v>
      </c>
      <c r="L91" s="6">
        <v>27.87</v>
      </c>
      <c r="M91" s="6">
        <v>83.66</v>
      </c>
      <c r="N91" s="6">
        <v>1.7</v>
      </c>
      <c r="O91" s="6">
        <v>0</v>
      </c>
      <c r="P91" s="6">
        <v>0.5</v>
      </c>
      <c r="Q91" s="6">
        <v>3.93</v>
      </c>
    </row>
    <row r="92" spans="1:17" customFormat="1">
      <c r="A92" s="82">
        <v>45462.875</v>
      </c>
      <c r="B92" s="6">
        <v>9.3699999999999992</v>
      </c>
      <c r="C92" s="6">
        <v>4.07</v>
      </c>
      <c r="D92" s="6">
        <v>14.09</v>
      </c>
      <c r="E92" s="6">
        <v>10.34</v>
      </c>
      <c r="F92" s="6">
        <v>22.46</v>
      </c>
      <c r="G92" s="6">
        <v>29.39</v>
      </c>
      <c r="H92" s="6">
        <v>11.73</v>
      </c>
      <c r="I92" s="6">
        <v>4.6100000000000003</v>
      </c>
      <c r="J92" s="6">
        <v>0.25</v>
      </c>
      <c r="K92" s="6">
        <v>242.16</v>
      </c>
      <c r="L92" s="6">
        <v>27.75</v>
      </c>
      <c r="M92" s="6">
        <v>85.02</v>
      </c>
      <c r="N92" s="6">
        <v>1.8</v>
      </c>
      <c r="O92" s="6">
        <v>0</v>
      </c>
      <c r="P92" s="6">
        <v>0.51</v>
      </c>
      <c r="Q92" s="6">
        <v>3.94</v>
      </c>
    </row>
    <row r="93" spans="1:17" customFormat="1">
      <c r="A93" s="82">
        <v>45462.885416666664</v>
      </c>
      <c r="B93" s="6">
        <v>9.43</v>
      </c>
      <c r="C93" s="6">
        <v>4.07</v>
      </c>
      <c r="D93" s="6">
        <v>14.14</v>
      </c>
      <c r="E93" s="6">
        <v>10.95</v>
      </c>
      <c r="F93" s="6">
        <v>20.21</v>
      </c>
      <c r="G93" s="6">
        <v>25.55</v>
      </c>
      <c r="H93" s="6">
        <v>10.98</v>
      </c>
      <c r="I93" s="6">
        <v>4.8600000000000003</v>
      </c>
      <c r="J93" s="6">
        <v>0.37</v>
      </c>
      <c r="K93" s="6">
        <v>263.74</v>
      </c>
      <c r="L93" s="6">
        <v>27.75</v>
      </c>
      <c r="M93" s="6">
        <v>84.15</v>
      </c>
      <c r="N93" s="6">
        <v>1.8</v>
      </c>
      <c r="O93" s="6">
        <v>0</v>
      </c>
      <c r="P93" s="6">
        <v>0.47</v>
      </c>
      <c r="Q93" s="6">
        <v>3.97</v>
      </c>
    </row>
    <row r="94" spans="1:17" customFormat="1">
      <c r="A94" s="82">
        <v>45462.895833333336</v>
      </c>
      <c r="B94" s="6">
        <v>9.42</v>
      </c>
      <c r="C94" s="6">
        <v>4.08</v>
      </c>
      <c r="D94" s="6">
        <v>14.14</v>
      </c>
      <c r="E94" s="6">
        <v>10.130000000000001</v>
      </c>
      <c r="F94" s="6">
        <v>18.98</v>
      </c>
      <c r="G94" s="6">
        <v>25.55</v>
      </c>
      <c r="H94" s="6">
        <v>10.98</v>
      </c>
      <c r="I94" s="6">
        <v>5.1100000000000003</v>
      </c>
      <c r="J94" s="6">
        <v>0.56999999999999995</v>
      </c>
      <c r="K94" s="6">
        <v>258.5</v>
      </c>
      <c r="L94" s="6">
        <v>27.52</v>
      </c>
      <c r="M94" s="6">
        <v>81.08</v>
      </c>
      <c r="N94" s="6">
        <v>2</v>
      </c>
      <c r="O94" s="6">
        <v>0</v>
      </c>
      <c r="P94" s="6">
        <v>0.43</v>
      </c>
      <c r="Q94" s="6">
        <v>3.95</v>
      </c>
    </row>
    <row r="95" spans="1:17" customFormat="1">
      <c r="A95" s="82">
        <v>45462.90625</v>
      </c>
      <c r="B95" s="6">
        <v>9.42</v>
      </c>
      <c r="C95" s="6">
        <v>4.07</v>
      </c>
      <c r="D95" s="6">
        <v>14.13</v>
      </c>
      <c r="E95" s="6">
        <v>9.2100000000000009</v>
      </c>
      <c r="F95" s="6">
        <v>21.7</v>
      </c>
      <c r="G95" s="6">
        <v>25.55</v>
      </c>
      <c r="H95" s="6">
        <v>10.98</v>
      </c>
      <c r="I95" s="6">
        <v>5.03</v>
      </c>
      <c r="J95" s="6">
        <v>0.36</v>
      </c>
      <c r="K95" s="6">
        <v>241.67</v>
      </c>
      <c r="L95" s="6">
        <v>27.55</v>
      </c>
      <c r="M95" s="6">
        <v>81.02</v>
      </c>
      <c r="N95" s="6">
        <v>1.8</v>
      </c>
      <c r="O95" s="6">
        <v>0</v>
      </c>
      <c r="P95" s="6">
        <v>0.42</v>
      </c>
      <c r="Q95" s="6">
        <v>3.97</v>
      </c>
    </row>
    <row r="96" spans="1:17" customFormat="1">
      <c r="A96" s="82">
        <v>45462.916666666664</v>
      </c>
      <c r="B96" s="6">
        <v>9.42</v>
      </c>
      <c r="C96" s="6">
        <v>4.08</v>
      </c>
      <c r="D96" s="6">
        <v>14.13</v>
      </c>
      <c r="E96" s="6">
        <v>8.5399999999999991</v>
      </c>
      <c r="F96" s="6">
        <v>21.46</v>
      </c>
      <c r="G96" s="6">
        <v>24.83</v>
      </c>
      <c r="H96" s="6">
        <v>9.4700000000000006</v>
      </c>
      <c r="I96" s="6">
        <v>4.58</v>
      </c>
      <c r="J96" s="6">
        <v>0.59</v>
      </c>
      <c r="K96" s="6">
        <v>247.45</v>
      </c>
      <c r="L96" s="6">
        <v>27.45</v>
      </c>
      <c r="M96" s="6">
        <v>81.680000000000007</v>
      </c>
      <c r="N96" s="6">
        <v>2</v>
      </c>
      <c r="O96" s="6">
        <v>0</v>
      </c>
      <c r="P96" s="6">
        <v>0.38</v>
      </c>
      <c r="Q96" s="6">
        <v>3.97</v>
      </c>
    </row>
    <row r="97" spans="1:22" customFormat="1">
      <c r="A97" s="82">
        <v>45462.927083333336</v>
      </c>
      <c r="B97" s="6">
        <v>9.41</v>
      </c>
      <c r="C97" s="6">
        <v>4.1100000000000003</v>
      </c>
      <c r="D97" s="6">
        <v>14.14</v>
      </c>
      <c r="E97" s="6">
        <v>7.47</v>
      </c>
      <c r="F97" s="6">
        <v>21.2</v>
      </c>
      <c r="G97" s="6">
        <v>24.15</v>
      </c>
      <c r="H97" s="6">
        <v>8.77</v>
      </c>
      <c r="I97" s="6">
        <v>4.4800000000000004</v>
      </c>
      <c r="J97" s="6">
        <v>0.46</v>
      </c>
      <c r="K97" s="6">
        <v>256.20999999999998</v>
      </c>
      <c r="L97" s="6">
        <v>27.34</v>
      </c>
      <c r="M97" s="6">
        <v>82.09</v>
      </c>
      <c r="N97" s="6">
        <v>2.1</v>
      </c>
      <c r="O97" s="6">
        <v>0</v>
      </c>
      <c r="P97" s="6">
        <v>0.36</v>
      </c>
      <c r="Q97" s="6">
        <v>3.94</v>
      </c>
    </row>
    <row r="98" spans="1:22" customFormat="1">
      <c r="A98" s="82">
        <v>45462.9375</v>
      </c>
      <c r="B98" s="6">
        <v>9.36</v>
      </c>
      <c r="C98" s="6">
        <v>4.0999999999999996</v>
      </c>
      <c r="D98" s="6">
        <v>14.1</v>
      </c>
      <c r="E98" s="6">
        <v>7.88</v>
      </c>
      <c r="F98" s="6">
        <v>16.399999999999999</v>
      </c>
      <c r="G98" s="6">
        <v>24.15</v>
      </c>
      <c r="H98" s="6">
        <v>8.77</v>
      </c>
      <c r="I98" s="6">
        <v>4.1500000000000004</v>
      </c>
      <c r="J98" s="6">
        <v>0.71</v>
      </c>
      <c r="K98" s="6">
        <v>261.35000000000002</v>
      </c>
      <c r="L98" s="6">
        <v>27.27</v>
      </c>
      <c r="M98" s="6">
        <v>81.64</v>
      </c>
      <c r="N98" s="6">
        <v>2</v>
      </c>
      <c r="O98" s="6">
        <v>0</v>
      </c>
      <c r="P98" s="6">
        <v>0.38</v>
      </c>
      <c r="Q98" s="6">
        <v>3.97</v>
      </c>
    </row>
    <row r="99" spans="1:22" customFormat="1">
      <c r="A99" s="82">
        <v>45462.947916666664</v>
      </c>
      <c r="B99" s="6">
        <v>9.39</v>
      </c>
      <c r="C99" s="6">
        <v>4.05</v>
      </c>
      <c r="D99" s="6">
        <v>14.1</v>
      </c>
      <c r="E99" s="6">
        <v>7.23</v>
      </c>
      <c r="F99" s="6">
        <v>12.83</v>
      </c>
      <c r="G99" s="6">
        <v>24.15</v>
      </c>
      <c r="H99" s="6">
        <v>8.77</v>
      </c>
      <c r="I99" s="6">
        <v>4.0599999999999996</v>
      </c>
      <c r="J99" s="6">
        <v>0.74</v>
      </c>
      <c r="K99" s="6">
        <v>255.49</v>
      </c>
      <c r="L99" s="6">
        <v>27.19</v>
      </c>
      <c r="M99" s="6">
        <v>80.069999999999993</v>
      </c>
      <c r="N99" s="6">
        <v>2.1</v>
      </c>
      <c r="O99" s="6">
        <v>0</v>
      </c>
      <c r="P99" s="6">
        <v>0.38</v>
      </c>
      <c r="Q99" s="6">
        <v>3.97</v>
      </c>
    </row>
    <row r="100" spans="1:22" customFormat="1">
      <c r="A100" s="82">
        <v>45462.958333333336</v>
      </c>
      <c r="B100" s="6">
        <v>9.39</v>
      </c>
      <c r="C100" s="6">
        <v>4.05</v>
      </c>
      <c r="D100" s="6">
        <v>14.1</v>
      </c>
      <c r="E100" s="6">
        <v>6.67</v>
      </c>
      <c r="F100" s="6">
        <v>21.59</v>
      </c>
      <c r="G100" s="6">
        <v>20.59</v>
      </c>
      <c r="H100" s="6">
        <v>8.82</v>
      </c>
      <c r="I100" s="6">
        <v>4.28</v>
      </c>
      <c r="J100" s="6">
        <v>0.35</v>
      </c>
      <c r="K100" s="6">
        <v>240.3</v>
      </c>
      <c r="L100" s="6">
        <v>27.22</v>
      </c>
      <c r="M100" s="6">
        <v>81.27</v>
      </c>
      <c r="N100" s="6">
        <v>2</v>
      </c>
      <c r="O100" s="6">
        <v>0</v>
      </c>
      <c r="P100" s="6">
        <v>0.36</v>
      </c>
      <c r="Q100" s="6">
        <v>3.95</v>
      </c>
    </row>
    <row r="101" spans="1:22" customFormat="1">
      <c r="A101" s="82">
        <v>45462.96875</v>
      </c>
      <c r="B101" s="6">
        <v>9.3800000000000008</v>
      </c>
      <c r="C101" s="6">
        <v>4.07</v>
      </c>
      <c r="D101" s="6">
        <v>14.1</v>
      </c>
      <c r="E101" s="6">
        <v>6.48</v>
      </c>
      <c r="F101" s="6">
        <v>19.89</v>
      </c>
      <c r="G101" s="6">
        <v>17.2</v>
      </c>
      <c r="H101" s="6">
        <v>8.84</v>
      </c>
      <c r="I101" s="6">
        <v>4.3499999999999996</v>
      </c>
      <c r="J101" s="6">
        <v>0.43</v>
      </c>
      <c r="K101" s="6">
        <v>252.46</v>
      </c>
      <c r="L101" s="6">
        <v>27.06</v>
      </c>
      <c r="M101" s="6">
        <v>84.12</v>
      </c>
      <c r="N101" s="6">
        <v>2.1</v>
      </c>
      <c r="O101" s="6">
        <v>0</v>
      </c>
      <c r="P101" s="6">
        <v>0.36</v>
      </c>
      <c r="Q101" s="6">
        <v>3.94</v>
      </c>
    </row>
    <row r="102" spans="1:22" customFormat="1">
      <c r="A102" s="82">
        <v>45462.979166666664</v>
      </c>
      <c r="B102" s="6">
        <v>9.3800000000000008</v>
      </c>
      <c r="C102" s="6">
        <v>4.08</v>
      </c>
      <c r="D102" s="6">
        <v>14.11</v>
      </c>
      <c r="E102" s="6">
        <v>6.66</v>
      </c>
      <c r="F102" s="6">
        <v>12.82</v>
      </c>
      <c r="G102" s="6">
        <v>17.2</v>
      </c>
      <c r="H102" s="6">
        <v>8.84</v>
      </c>
      <c r="I102" s="6">
        <v>3.88</v>
      </c>
      <c r="J102" s="6">
        <v>0.72</v>
      </c>
      <c r="K102" s="6">
        <v>255.85</v>
      </c>
      <c r="L102" s="6">
        <v>27.08</v>
      </c>
      <c r="M102" s="6">
        <v>83.22</v>
      </c>
      <c r="N102" s="6">
        <v>2</v>
      </c>
      <c r="O102" s="6">
        <v>0</v>
      </c>
      <c r="P102" s="6">
        <v>0.37</v>
      </c>
      <c r="Q102" s="6">
        <v>3.93</v>
      </c>
    </row>
    <row r="103" spans="1:22" customFormat="1">
      <c r="A103" s="82">
        <v>45462.989583333336</v>
      </c>
      <c r="B103" s="6">
        <v>9.34</v>
      </c>
      <c r="C103" s="6">
        <v>4.1100000000000003</v>
      </c>
      <c r="D103" s="6">
        <v>14.09</v>
      </c>
      <c r="E103" s="6">
        <v>6.38</v>
      </c>
      <c r="F103" s="6">
        <v>13.5</v>
      </c>
      <c r="G103" s="6">
        <v>17.2</v>
      </c>
      <c r="H103" s="6">
        <v>8.84</v>
      </c>
      <c r="I103" s="6">
        <v>3.84</v>
      </c>
      <c r="J103" s="6">
        <v>0.63</v>
      </c>
      <c r="K103" s="6">
        <v>257.11</v>
      </c>
      <c r="L103" s="6">
        <v>26.99</v>
      </c>
      <c r="M103" s="6">
        <v>83.55</v>
      </c>
      <c r="N103" s="6">
        <v>2.1</v>
      </c>
      <c r="O103" s="6">
        <v>0</v>
      </c>
      <c r="P103" s="6">
        <v>0.37</v>
      </c>
      <c r="Q103" s="6">
        <v>3.93</v>
      </c>
    </row>
    <row r="104" spans="1:22" customFormat="1">
      <c r="A104" s="82">
        <v>45463</v>
      </c>
      <c r="B104" s="6">
        <v>9.34</v>
      </c>
      <c r="C104" s="6">
        <v>4.0999999999999996</v>
      </c>
      <c r="D104" s="6">
        <v>14.08</v>
      </c>
      <c r="E104" s="6">
        <v>6.5</v>
      </c>
      <c r="F104" s="6">
        <v>15.63</v>
      </c>
      <c r="G104" s="6">
        <v>16.329999999999998</v>
      </c>
      <c r="H104" s="6">
        <v>8.32</v>
      </c>
      <c r="I104" s="6">
        <v>4.21</v>
      </c>
      <c r="J104" s="6">
        <v>0.55000000000000004</v>
      </c>
      <c r="K104" s="6">
        <v>263.31</v>
      </c>
      <c r="L104" s="6">
        <v>27.07</v>
      </c>
      <c r="M104" s="6">
        <v>82.46</v>
      </c>
      <c r="N104" s="6">
        <v>1.9</v>
      </c>
      <c r="O104" s="6">
        <v>0</v>
      </c>
      <c r="P104" s="6">
        <v>0.36</v>
      </c>
      <c r="Q104" s="6">
        <v>3.94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9.33</v>
      </c>
      <c r="C106" s="184">
        <f>MIN(C9:C104)</f>
        <v>4.05</v>
      </c>
      <c r="D106" s="184">
        <f t="shared" ref="D106:Q106" si="0">MIN(D9:D104)</f>
        <v>14.05</v>
      </c>
      <c r="E106" s="184">
        <f t="shared" si="0"/>
        <v>6.38</v>
      </c>
      <c r="F106" s="184">
        <f t="shared" si="0"/>
        <v>4</v>
      </c>
      <c r="G106" s="184">
        <f t="shared" si="0"/>
        <v>11.41</v>
      </c>
      <c r="H106" s="184">
        <f t="shared" si="0"/>
        <v>5.46</v>
      </c>
      <c r="I106" s="184">
        <f t="shared" si="0"/>
        <v>3.84</v>
      </c>
      <c r="J106" s="184">
        <f t="shared" si="0"/>
        <v>0.14000000000000001</v>
      </c>
      <c r="K106" s="184">
        <f t="shared" si="0"/>
        <v>185.42</v>
      </c>
      <c r="L106" s="184">
        <f t="shared" si="0"/>
        <v>26.31</v>
      </c>
      <c r="M106" s="184">
        <f t="shared" si="0"/>
        <v>49.29</v>
      </c>
      <c r="N106" s="184">
        <f t="shared" si="0"/>
        <v>1.7</v>
      </c>
      <c r="O106" s="184">
        <f t="shared" si="0"/>
        <v>0</v>
      </c>
      <c r="P106" s="184">
        <f t="shared" si="0"/>
        <v>0.3</v>
      </c>
      <c r="Q106" s="184">
        <f t="shared" si="0"/>
        <v>3.9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9.5</v>
      </c>
      <c r="C107" s="185">
        <f t="shared" ref="C107:Q107" si="1">MAX(C9:C104)</f>
        <v>4.13</v>
      </c>
      <c r="D107" s="185">
        <f t="shared" si="1"/>
        <v>14.22</v>
      </c>
      <c r="E107" s="185">
        <f t="shared" si="1"/>
        <v>22.09</v>
      </c>
      <c r="F107" s="185">
        <f t="shared" si="1"/>
        <v>37.5</v>
      </c>
      <c r="G107" s="185">
        <f t="shared" si="1"/>
        <v>47.9</v>
      </c>
      <c r="H107" s="185">
        <f t="shared" si="1"/>
        <v>14.17</v>
      </c>
      <c r="I107" s="185">
        <f t="shared" si="1"/>
        <v>8.68</v>
      </c>
      <c r="J107" s="185">
        <f t="shared" si="1"/>
        <v>2.4900000000000002</v>
      </c>
      <c r="K107" s="185">
        <f t="shared" si="1"/>
        <v>313.39999999999998</v>
      </c>
      <c r="L107" s="185">
        <f t="shared" si="1"/>
        <v>36.479999999999997</v>
      </c>
      <c r="M107" s="185">
        <f t="shared" si="1"/>
        <v>95.37</v>
      </c>
      <c r="N107" s="185">
        <f t="shared" si="1"/>
        <v>725.1</v>
      </c>
      <c r="O107" s="185">
        <f t="shared" si="1"/>
        <v>0</v>
      </c>
      <c r="P107" s="185">
        <f t="shared" si="1"/>
        <v>0.64</v>
      </c>
      <c r="Q107" s="185">
        <f t="shared" si="1"/>
        <v>3.98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9.4029166666666644</v>
      </c>
      <c r="C108" s="184">
        <f t="shared" ref="C108:Q108" si="2">AVERAGE(C9:C104)</f>
        <v>4.0846875000000002</v>
      </c>
      <c r="D108" s="184">
        <f t="shared" si="2"/>
        <v>14.124895833333321</v>
      </c>
      <c r="E108" s="184">
        <f t="shared" si="2"/>
        <v>10.452291666666669</v>
      </c>
      <c r="F108" s="184">
        <f t="shared" si="2"/>
        <v>15.055416666666671</v>
      </c>
      <c r="G108" s="184">
        <f t="shared" si="2"/>
        <v>24.470000000000002</v>
      </c>
      <c r="H108" s="184">
        <f t="shared" si="2"/>
        <v>9.7719791666666698</v>
      </c>
      <c r="I108" s="184">
        <f t="shared" si="2"/>
        <v>5.0269791666666661</v>
      </c>
      <c r="J108" s="184">
        <f t="shared" si="2"/>
        <v>0.80562500000000004</v>
      </c>
      <c r="K108" s="184">
        <f t="shared" si="2"/>
        <v>266.03187500000001</v>
      </c>
      <c r="L108" s="184">
        <f t="shared" si="2"/>
        <v>29.822083333333335</v>
      </c>
      <c r="M108" s="184">
        <f t="shared" si="2"/>
        <v>74.393750000000011</v>
      </c>
      <c r="N108" s="184">
        <f t="shared" si="2"/>
        <v>147.55208333333334</v>
      </c>
      <c r="O108" s="184">
        <f t="shared" si="2"/>
        <v>0</v>
      </c>
      <c r="P108" s="184">
        <f t="shared" si="2"/>
        <v>0.45218749999999996</v>
      </c>
      <c r="Q108" s="184">
        <f t="shared" si="2"/>
        <v>3.9407291666666673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3.7861705877176521E-2</v>
      </c>
      <c r="C109" s="184">
        <f t="shared" ref="C109:Q109" si="3">STDEV(C9:C104)</f>
        <v>1.7468957429801306E-2</v>
      </c>
      <c r="D109" s="184">
        <f t="shared" si="3"/>
        <v>3.0227028395362371E-2</v>
      </c>
      <c r="E109" s="184">
        <f t="shared" si="3"/>
        <v>2.742786703976225</v>
      </c>
      <c r="F109" s="184">
        <f t="shared" si="3"/>
        <v>8.3904875859406722</v>
      </c>
      <c r="G109" s="184">
        <f t="shared" si="3"/>
        <v>8.7661374798590455</v>
      </c>
      <c r="H109" s="184">
        <f t="shared" si="3"/>
        <v>2.3475158739630975</v>
      </c>
      <c r="I109" s="184">
        <f t="shared" si="3"/>
        <v>0.84252017910135635</v>
      </c>
      <c r="J109" s="184">
        <f t="shared" si="3"/>
        <v>0.43955434967224388</v>
      </c>
      <c r="K109" s="184">
        <f t="shared" si="3"/>
        <v>24.657584946517417</v>
      </c>
      <c r="L109" s="184">
        <f t="shared" si="3"/>
        <v>3.4845076422319039</v>
      </c>
      <c r="M109" s="184">
        <f t="shared" si="3"/>
        <v>13.196493892418156</v>
      </c>
      <c r="N109" s="184">
        <f t="shared" si="3"/>
        <v>203.00524752313632</v>
      </c>
      <c r="O109" s="184">
        <f t="shared" si="3"/>
        <v>0</v>
      </c>
      <c r="P109" s="184">
        <f t="shared" si="3"/>
        <v>8.0068432901915343E-2</v>
      </c>
      <c r="Q109" s="184">
        <f t="shared" si="3"/>
        <v>1.7244055675517633E-2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45463.010416666664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45463.010416666664</v>
      </c>
      <c r="B9" s="6">
        <v>9.0500000000000007</v>
      </c>
      <c r="C9" s="6">
        <v>3.98</v>
      </c>
      <c r="D9" s="6">
        <v>13.79</v>
      </c>
      <c r="E9" s="6">
        <v>6.26</v>
      </c>
      <c r="F9" s="6">
        <v>12.89</v>
      </c>
      <c r="G9" s="6">
        <v>15.49</v>
      </c>
      <c r="H9" s="6">
        <v>8.08</v>
      </c>
      <c r="I9" s="6">
        <v>4.07</v>
      </c>
      <c r="J9" s="6">
        <v>0.73</v>
      </c>
      <c r="K9" s="6">
        <v>248.96</v>
      </c>
      <c r="L9" s="6">
        <v>27.16</v>
      </c>
      <c r="M9" s="6">
        <v>80.67</v>
      </c>
      <c r="N9" s="6">
        <v>1.9</v>
      </c>
      <c r="O9" s="6">
        <v>0</v>
      </c>
      <c r="P9" s="6">
        <v>0.36</v>
      </c>
      <c r="Q9" s="6">
        <v>3.94</v>
      </c>
    </row>
    <row r="10" spans="1:21" customFormat="1">
      <c r="A10" s="82">
        <v>45463.020833333336</v>
      </c>
      <c r="B10" s="6">
        <v>9.0299999999999994</v>
      </c>
      <c r="C10" s="6">
        <v>4.05</v>
      </c>
      <c r="D10" s="6">
        <v>13.81</v>
      </c>
      <c r="E10" s="6">
        <v>6.24</v>
      </c>
      <c r="F10" s="6">
        <v>7.6</v>
      </c>
      <c r="G10" s="6">
        <v>15.49</v>
      </c>
      <c r="H10" s="6">
        <v>8.08</v>
      </c>
      <c r="I10" s="6">
        <v>3.83</v>
      </c>
      <c r="J10" s="6">
        <v>0.57999999999999996</v>
      </c>
      <c r="K10" s="6">
        <v>256.5</v>
      </c>
      <c r="L10" s="6">
        <v>27.31</v>
      </c>
      <c r="M10" s="6">
        <v>79.88</v>
      </c>
      <c r="N10" s="6">
        <v>1.8</v>
      </c>
      <c r="O10" s="6">
        <v>0</v>
      </c>
      <c r="P10" s="6">
        <v>0.36</v>
      </c>
      <c r="Q10" s="6">
        <v>3.95</v>
      </c>
    </row>
    <row r="11" spans="1:21" customFormat="1">
      <c r="A11" s="82">
        <v>45463.03125</v>
      </c>
      <c r="B11" s="6">
        <v>9.0399999999999991</v>
      </c>
      <c r="C11" s="6">
        <v>4.07</v>
      </c>
      <c r="D11" s="6">
        <v>13.83</v>
      </c>
      <c r="E11" s="6">
        <v>6.29</v>
      </c>
      <c r="F11" s="6">
        <v>9.48</v>
      </c>
      <c r="G11" s="6">
        <v>15.49</v>
      </c>
      <c r="H11" s="6">
        <v>8.08</v>
      </c>
      <c r="I11" s="6">
        <v>4</v>
      </c>
      <c r="J11" s="6">
        <v>0.37</v>
      </c>
      <c r="K11" s="6">
        <v>251.12</v>
      </c>
      <c r="L11" s="6">
        <v>27.35</v>
      </c>
      <c r="M11" s="6">
        <v>79.92</v>
      </c>
      <c r="N11" s="6">
        <v>1.9</v>
      </c>
      <c r="O11" s="6">
        <v>0</v>
      </c>
      <c r="P11" s="6">
        <v>0.4</v>
      </c>
      <c r="Q11" s="6">
        <v>3.92</v>
      </c>
    </row>
    <row r="12" spans="1:21" customFormat="1">
      <c r="A12" s="82">
        <v>45463.041666666664</v>
      </c>
      <c r="B12" s="6">
        <v>9.1</v>
      </c>
      <c r="C12" s="6">
        <v>4.0599999999999996</v>
      </c>
      <c r="D12" s="6">
        <v>13.87</v>
      </c>
      <c r="E12" s="6">
        <v>6.11</v>
      </c>
      <c r="F12" s="6">
        <v>8.74</v>
      </c>
      <c r="G12" s="6">
        <v>14.04</v>
      </c>
      <c r="H12" s="6">
        <v>6.52</v>
      </c>
      <c r="I12" s="6">
        <v>4.2300000000000004</v>
      </c>
      <c r="J12" s="6">
        <v>0.47</v>
      </c>
      <c r="K12" s="6">
        <v>254.55</v>
      </c>
      <c r="L12" s="6">
        <v>27.37</v>
      </c>
      <c r="M12" s="6">
        <v>80.459999999999994</v>
      </c>
      <c r="N12" s="6">
        <v>1.8</v>
      </c>
      <c r="O12" s="6">
        <v>0</v>
      </c>
      <c r="P12" s="6">
        <v>0.41</v>
      </c>
      <c r="Q12" s="6">
        <v>3.92</v>
      </c>
    </row>
    <row r="13" spans="1:21" customFormat="1">
      <c r="A13" s="82">
        <v>45463.052083333336</v>
      </c>
      <c r="B13" s="6">
        <v>9.1199999999999992</v>
      </c>
      <c r="C13" s="6">
        <v>4.07</v>
      </c>
      <c r="D13" s="6">
        <v>13.89</v>
      </c>
      <c r="E13" s="6">
        <v>6.43</v>
      </c>
      <c r="F13" s="6">
        <v>9.0399999999999991</v>
      </c>
      <c r="G13" s="6">
        <v>12.65</v>
      </c>
      <c r="H13" s="6">
        <v>5.79</v>
      </c>
      <c r="I13" s="6">
        <v>4.0999999999999996</v>
      </c>
      <c r="J13" s="6">
        <v>0.4</v>
      </c>
      <c r="K13" s="6">
        <v>253.59</v>
      </c>
      <c r="L13" s="6">
        <v>27.26</v>
      </c>
      <c r="M13" s="6">
        <v>83.18</v>
      </c>
      <c r="N13" s="6">
        <v>2</v>
      </c>
      <c r="O13" s="6">
        <v>0</v>
      </c>
      <c r="P13" s="6">
        <v>0.41</v>
      </c>
      <c r="Q13" s="6">
        <v>3.93</v>
      </c>
    </row>
    <row r="14" spans="1:21" customFormat="1">
      <c r="A14" s="82">
        <v>45463.0625</v>
      </c>
      <c r="B14" s="6">
        <v>9.11</v>
      </c>
      <c r="C14" s="6">
        <v>4.08</v>
      </c>
      <c r="D14" s="6">
        <v>13.89</v>
      </c>
      <c r="E14" s="6">
        <v>6.71</v>
      </c>
      <c r="F14" s="6">
        <v>7.51</v>
      </c>
      <c r="G14" s="6">
        <v>12.65</v>
      </c>
      <c r="H14" s="6">
        <v>5.79</v>
      </c>
      <c r="I14" s="6">
        <v>4.0599999999999996</v>
      </c>
      <c r="J14" s="6">
        <v>0.35</v>
      </c>
      <c r="K14" s="6">
        <v>238.69</v>
      </c>
      <c r="L14" s="6">
        <v>27.4</v>
      </c>
      <c r="M14" s="6">
        <v>81.569999999999993</v>
      </c>
      <c r="N14" s="6">
        <v>1.9</v>
      </c>
      <c r="O14" s="6">
        <v>0</v>
      </c>
      <c r="P14" s="6">
        <v>0.41</v>
      </c>
      <c r="Q14" s="6">
        <v>3.93</v>
      </c>
    </row>
    <row r="15" spans="1:21" customFormat="1">
      <c r="A15" s="82">
        <v>45463.072916666664</v>
      </c>
      <c r="B15" s="6">
        <v>9.09</v>
      </c>
      <c r="C15" s="6">
        <v>4.05</v>
      </c>
      <c r="D15" s="6">
        <v>13.86</v>
      </c>
      <c r="E15" s="6">
        <v>6.36</v>
      </c>
      <c r="F15" s="6">
        <v>8.93</v>
      </c>
      <c r="G15" s="6">
        <v>12.65</v>
      </c>
      <c r="H15" s="6">
        <v>5.79</v>
      </c>
      <c r="I15" s="6">
        <v>4.04</v>
      </c>
      <c r="J15" s="6">
        <v>0.37</v>
      </c>
      <c r="K15" s="6">
        <v>252.95</v>
      </c>
      <c r="L15" s="6">
        <v>27.18</v>
      </c>
      <c r="M15" s="6">
        <v>83.71</v>
      </c>
      <c r="N15" s="6">
        <v>2</v>
      </c>
      <c r="O15" s="6">
        <v>0</v>
      </c>
      <c r="P15" s="6">
        <v>0.4</v>
      </c>
      <c r="Q15" s="6">
        <v>3.95</v>
      </c>
    </row>
    <row r="16" spans="1:21" customFormat="1">
      <c r="A16" s="82">
        <v>45463.083333333336</v>
      </c>
      <c r="B16" s="6">
        <v>9.06</v>
      </c>
      <c r="C16" s="6">
        <v>4.09</v>
      </c>
      <c r="D16" s="6">
        <v>13.85</v>
      </c>
      <c r="E16" s="6">
        <v>6.86</v>
      </c>
      <c r="F16" s="6">
        <v>7.68</v>
      </c>
      <c r="G16" s="6">
        <v>12.49</v>
      </c>
      <c r="H16" s="6">
        <v>5.58</v>
      </c>
      <c r="I16" s="6">
        <v>3.98</v>
      </c>
      <c r="J16" s="6">
        <v>0.25</v>
      </c>
      <c r="K16" s="6">
        <v>233.01</v>
      </c>
      <c r="L16" s="6">
        <v>27.25</v>
      </c>
      <c r="M16" s="6">
        <v>84.45</v>
      </c>
      <c r="N16" s="6">
        <v>1.9</v>
      </c>
      <c r="O16" s="6">
        <v>0</v>
      </c>
      <c r="P16" s="6">
        <v>0.41</v>
      </c>
      <c r="Q16" s="6">
        <v>3.95</v>
      </c>
    </row>
    <row r="17" spans="1:17" customFormat="1">
      <c r="A17" s="82">
        <v>45463.09375</v>
      </c>
      <c r="B17" s="6">
        <v>9.0500000000000007</v>
      </c>
      <c r="C17" s="6">
        <v>4.05</v>
      </c>
      <c r="D17" s="6">
        <v>13.82</v>
      </c>
      <c r="E17" s="6">
        <v>8.56</v>
      </c>
      <c r="F17" s="6">
        <v>8.41</v>
      </c>
      <c r="G17" s="6">
        <v>12.35</v>
      </c>
      <c r="H17" s="6">
        <v>5.38</v>
      </c>
      <c r="I17" s="6">
        <v>3.87</v>
      </c>
      <c r="J17" s="6">
        <v>0.17</v>
      </c>
      <c r="K17" s="6">
        <v>220.96</v>
      </c>
      <c r="L17" s="6">
        <v>27.06</v>
      </c>
      <c r="M17" s="6">
        <v>86.4</v>
      </c>
      <c r="N17" s="6">
        <v>2.1</v>
      </c>
      <c r="O17" s="6">
        <v>0</v>
      </c>
      <c r="P17" s="6">
        <v>0.39</v>
      </c>
      <c r="Q17" s="6">
        <v>3.91</v>
      </c>
    </row>
    <row r="18" spans="1:17" customFormat="1">
      <c r="A18" s="82">
        <v>45463.104166666664</v>
      </c>
      <c r="B18" s="6">
        <v>9.06</v>
      </c>
      <c r="C18" s="6">
        <v>4.03</v>
      </c>
      <c r="D18" s="6">
        <v>13.82</v>
      </c>
      <c r="E18" s="6">
        <v>11.11</v>
      </c>
      <c r="F18" s="6">
        <v>6.61</v>
      </c>
      <c r="G18" s="6">
        <v>12.35</v>
      </c>
      <c r="H18" s="6">
        <v>5.38</v>
      </c>
      <c r="I18" s="6">
        <v>3.86</v>
      </c>
      <c r="J18" s="6">
        <v>0.31</v>
      </c>
      <c r="K18" s="6">
        <v>248.08</v>
      </c>
      <c r="L18" s="6">
        <v>26.99</v>
      </c>
      <c r="M18" s="6">
        <v>85.33</v>
      </c>
      <c r="N18" s="6">
        <v>1.9</v>
      </c>
      <c r="O18" s="6">
        <v>0</v>
      </c>
      <c r="P18" s="6">
        <v>0.4</v>
      </c>
      <c r="Q18" s="6">
        <v>3.9</v>
      </c>
    </row>
    <row r="19" spans="1:17" customFormat="1">
      <c r="A19" s="82">
        <v>45463.114583333336</v>
      </c>
      <c r="B19" s="6">
        <v>9.0399999999999991</v>
      </c>
      <c r="C19" s="6">
        <v>4.07</v>
      </c>
      <c r="D19" s="6">
        <v>13.83</v>
      </c>
      <c r="E19" s="6">
        <v>10.19</v>
      </c>
      <c r="F19" s="6">
        <v>6.14</v>
      </c>
      <c r="G19" s="6">
        <v>12.35</v>
      </c>
      <c r="H19" s="6">
        <v>5.38</v>
      </c>
      <c r="I19" s="6">
        <v>3.79</v>
      </c>
      <c r="J19" s="6">
        <v>0.26</v>
      </c>
      <c r="K19" s="6">
        <v>246.24</v>
      </c>
      <c r="L19" s="6">
        <v>27.06</v>
      </c>
      <c r="M19" s="6">
        <v>84.63</v>
      </c>
      <c r="N19" s="6">
        <v>1.9</v>
      </c>
      <c r="O19" s="6">
        <v>0</v>
      </c>
      <c r="P19" s="6">
        <v>0.4</v>
      </c>
      <c r="Q19" s="6">
        <v>3.93</v>
      </c>
    </row>
    <row r="20" spans="1:17" customFormat="1">
      <c r="A20" s="82">
        <v>45463.125</v>
      </c>
      <c r="B20" s="6">
        <v>9.0399999999999991</v>
      </c>
      <c r="C20" s="6">
        <v>4.07</v>
      </c>
      <c r="D20" s="6">
        <v>13.82</v>
      </c>
      <c r="E20" s="6">
        <v>10.31</v>
      </c>
      <c r="F20" s="6">
        <v>5.55</v>
      </c>
      <c r="G20" s="6">
        <v>10.48</v>
      </c>
      <c r="H20" s="6">
        <v>4.38</v>
      </c>
      <c r="I20" s="6">
        <v>3.88</v>
      </c>
      <c r="J20" s="6">
        <v>0.34</v>
      </c>
      <c r="K20" s="6">
        <v>241.28</v>
      </c>
      <c r="L20" s="6">
        <v>27.15</v>
      </c>
      <c r="M20" s="6">
        <v>84.12</v>
      </c>
      <c r="N20" s="6">
        <v>1.9</v>
      </c>
      <c r="O20" s="6">
        <v>0</v>
      </c>
      <c r="P20" s="6">
        <v>0.4</v>
      </c>
      <c r="Q20" s="6">
        <v>3.93</v>
      </c>
    </row>
    <row r="21" spans="1:17" customFormat="1">
      <c r="A21" s="82">
        <v>45463.135416666664</v>
      </c>
      <c r="B21" s="6">
        <v>9.0299999999999994</v>
      </c>
      <c r="C21" s="6">
        <v>4.07</v>
      </c>
      <c r="D21" s="6">
        <v>13.82</v>
      </c>
      <c r="E21" s="6">
        <v>10.46</v>
      </c>
      <c r="F21" s="6">
        <v>5.48</v>
      </c>
      <c r="G21" s="6">
        <v>8.6999999999999993</v>
      </c>
      <c r="H21" s="6">
        <v>3.92</v>
      </c>
      <c r="I21" s="6">
        <v>3.84</v>
      </c>
      <c r="J21" s="6">
        <v>0.48</v>
      </c>
      <c r="K21" s="6">
        <v>255.87</v>
      </c>
      <c r="L21" s="6">
        <v>27.16</v>
      </c>
      <c r="M21" s="6">
        <v>83.38</v>
      </c>
      <c r="N21" s="6">
        <v>1.9</v>
      </c>
      <c r="O21" s="6">
        <v>0</v>
      </c>
      <c r="P21" s="6">
        <v>0.4</v>
      </c>
      <c r="Q21" s="6">
        <v>3.92</v>
      </c>
    </row>
    <row r="22" spans="1:17" customFormat="1">
      <c r="A22" s="82">
        <v>45463.145833333336</v>
      </c>
      <c r="B22" s="6">
        <v>9.0399999999999991</v>
      </c>
      <c r="C22" s="6">
        <v>4.07</v>
      </c>
      <c r="D22" s="6">
        <v>13.83</v>
      </c>
      <c r="E22" s="6">
        <v>10.75</v>
      </c>
      <c r="F22" s="6">
        <v>5.9</v>
      </c>
      <c r="G22" s="6">
        <v>8.6999999999999993</v>
      </c>
      <c r="H22" s="6">
        <v>3.92</v>
      </c>
      <c r="I22" s="6">
        <v>3.81</v>
      </c>
      <c r="J22" s="6">
        <v>0.26</v>
      </c>
      <c r="K22" s="6">
        <v>240.48</v>
      </c>
      <c r="L22" s="6">
        <v>27.17</v>
      </c>
      <c r="M22" s="6">
        <v>84.27</v>
      </c>
      <c r="N22" s="6">
        <v>2.1</v>
      </c>
      <c r="O22" s="6">
        <v>0</v>
      </c>
      <c r="P22" s="6">
        <v>0.39</v>
      </c>
      <c r="Q22" s="6">
        <v>3.94</v>
      </c>
    </row>
    <row r="23" spans="1:17" customFormat="1">
      <c r="A23" s="82">
        <v>45463.15625</v>
      </c>
      <c r="B23" s="6">
        <v>9.0500000000000007</v>
      </c>
      <c r="C23" s="6">
        <v>4.07</v>
      </c>
      <c r="D23" s="6">
        <v>13.84</v>
      </c>
      <c r="E23" s="6">
        <v>11.14</v>
      </c>
      <c r="F23" s="6">
        <v>5.62</v>
      </c>
      <c r="G23" s="6">
        <v>8.6999999999999993</v>
      </c>
      <c r="H23" s="6">
        <v>3.92</v>
      </c>
      <c r="I23" s="6">
        <v>3.84</v>
      </c>
      <c r="J23" s="6">
        <v>0.32</v>
      </c>
      <c r="K23" s="6">
        <v>256.22000000000003</v>
      </c>
      <c r="L23" s="6">
        <v>27.2</v>
      </c>
      <c r="M23" s="6">
        <v>83.91</v>
      </c>
      <c r="N23" s="6">
        <v>2</v>
      </c>
      <c r="O23" s="6">
        <v>0</v>
      </c>
      <c r="P23" s="6">
        <v>0.39</v>
      </c>
      <c r="Q23" s="6">
        <v>3.96</v>
      </c>
    </row>
    <row r="24" spans="1:17" customFormat="1">
      <c r="A24" s="82">
        <v>45463.166666666664</v>
      </c>
      <c r="B24" s="6">
        <v>9.06</v>
      </c>
      <c r="C24" s="6">
        <v>4.05</v>
      </c>
      <c r="D24" s="6">
        <v>13.83</v>
      </c>
      <c r="E24" s="6">
        <v>11</v>
      </c>
      <c r="F24" s="6">
        <v>5.72</v>
      </c>
      <c r="G24" s="6">
        <v>8.66</v>
      </c>
      <c r="H24" s="6">
        <v>3.29</v>
      </c>
      <c r="I24" s="6">
        <v>3.76</v>
      </c>
      <c r="J24" s="6">
        <v>0.36</v>
      </c>
      <c r="K24" s="6">
        <v>256.27</v>
      </c>
      <c r="L24" s="6">
        <v>27.21</v>
      </c>
      <c r="M24" s="6">
        <v>83.3</v>
      </c>
      <c r="N24" s="6">
        <v>2.1</v>
      </c>
      <c r="O24" s="6">
        <v>0</v>
      </c>
      <c r="P24" s="6">
        <v>0.38</v>
      </c>
      <c r="Q24" s="6">
        <v>3.94</v>
      </c>
    </row>
    <row r="25" spans="1:17" customFormat="1">
      <c r="A25" s="82">
        <v>45463.177083333336</v>
      </c>
      <c r="B25" s="6">
        <v>9.06</v>
      </c>
      <c r="C25" s="6">
        <v>4.04</v>
      </c>
      <c r="D25" s="6">
        <v>13.82</v>
      </c>
      <c r="E25" s="6">
        <v>11.15</v>
      </c>
      <c r="F25" s="6">
        <v>5.27</v>
      </c>
      <c r="G25" s="6">
        <v>8.61</v>
      </c>
      <c r="H25" s="6">
        <v>3.01</v>
      </c>
      <c r="I25" s="6">
        <v>3.79</v>
      </c>
      <c r="J25" s="6">
        <v>0.34</v>
      </c>
      <c r="K25" s="6">
        <v>250.46</v>
      </c>
      <c r="L25" s="6">
        <v>27.27</v>
      </c>
      <c r="M25" s="6">
        <v>82.9</v>
      </c>
      <c r="N25" s="6">
        <v>2</v>
      </c>
      <c r="O25" s="6">
        <v>0</v>
      </c>
      <c r="P25" s="6">
        <v>0.39</v>
      </c>
      <c r="Q25" s="6">
        <v>3.94</v>
      </c>
    </row>
    <row r="26" spans="1:17" customFormat="1">
      <c r="A26" s="82">
        <v>45463.1875</v>
      </c>
      <c r="B26" s="6">
        <v>9.06</v>
      </c>
      <c r="C26" s="6">
        <v>4.08</v>
      </c>
      <c r="D26" s="6">
        <v>13.85</v>
      </c>
      <c r="E26" s="6">
        <v>11.04</v>
      </c>
      <c r="F26" s="6">
        <v>4.8499999999999996</v>
      </c>
      <c r="G26" s="6">
        <v>8.61</v>
      </c>
      <c r="H26" s="6">
        <v>3.01</v>
      </c>
      <c r="I26" s="6">
        <v>3.73</v>
      </c>
      <c r="J26" s="6">
        <v>0.34</v>
      </c>
      <c r="K26" s="6">
        <v>246.61</v>
      </c>
      <c r="L26" s="6">
        <v>27.22</v>
      </c>
      <c r="M26" s="6">
        <v>83.58</v>
      </c>
      <c r="N26" s="6">
        <v>2.1</v>
      </c>
      <c r="O26" s="6">
        <v>0</v>
      </c>
      <c r="P26" s="6">
        <v>0.38</v>
      </c>
      <c r="Q26" s="6">
        <v>3.96</v>
      </c>
    </row>
    <row r="27" spans="1:17" customFormat="1">
      <c r="A27" s="82">
        <v>45463.197916666664</v>
      </c>
      <c r="B27" s="6">
        <v>9.07</v>
      </c>
      <c r="C27" s="6">
        <v>4.07</v>
      </c>
      <c r="D27" s="6">
        <v>13.85</v>
      </c>
      <c r="E27" s="6">
        <v>11.49</v>
      </c>
      <c r="F27" s="6">
        <v>4.6500000000000004</v>
      </c>
      <c r="G27" s="6">
        <v>8.61</v>
      </c>
      <c r="H27" s="6">
        <v>3.01</v>
      </c>
      <c r="I27" s="6">
        <v>3.77</v>
      </c>
      <c r="J27" s="6">
        <v>0.31</v>
      </c>
      <c r="K27" s="6">
        <v>248.37</v>
      </c>
      <c r="L27" s="6">
        <v>27.1</v>
      </c>
      <c r="M27" s="6">
        <v>84.54</v>
      </c>
      <c r="N27" s="6">
        <v>2</v>
      </c>
      <c r="O27" s="6">
        <v>0</v>
      </c>
      <c r="P27" s="6">
        <v>0.38</v>
      </c>
      <c r="Q27" s="6">
        <v>3.94</v>
      </c>
    </row>
    <row r="28" spans="1:17" customFormat="1">
      <c r="A28" s="82">
        <v>45463.208333333336</v>
      </c>
      <c r="B28" s="6">
        <v>9.09</v>
      </c>
      <c r="C28" s="6">
        <v>4.0199999999999996</v>
      </c>
      <c r="D28" s="6">
        <v>13.84</v>
      </c>
      <c r="E28" s="6">
        <v>11.17</v>
      </c>
      <c r="F28" s="6">
        <v>5.73</v>
      </c>
      <c r="G28" s="6">
        <v>9.2200000000000006</v>
      </c>
      <c r="H28" s="6">
        <v>2.92</v>
      </c>
      <c r="I28" s="6">
        <v>3.7</v>
      </c>
      <c r="J28" s="6">
        <v>0.24</v>
      </c>
      <c r="K28" s="6">
        <v>227.28</v>
      </c>
      <c r="L28" s="6">
        <v>27.05</v>
      </c>
      <c r="M28" s="6">
        <v>85.32</v>
      </c>
      <c r="N28" s="6">
        <v>2.1</v>
      </c>
      <c r="O28" s="6">
        <v>0</v>
      </c>
      <c r="P28" s="6">
        <v>0.38</v>
      </c>
      <c r="Q28" s="6">
        <v>3.93</v>
      </c>
    </row>
    <row r="29" spans="1:17" customFormat="1">
      <c r="A29" s="82">
        <v>45463.21875</v>
      </c>
      <c r="B29" s="6">
        <v>9.07</v>
      </c>
      <c r="C29" s="6">
        <v>4.07</v>
      </c>
      <c r="D29" s="6">
        <v>13.85</v>
      </c>
      <c r="E29" s="6">
        <v>11.35</v>
      </c>
      <c r="F29" s="6">
        <v>4.3600000000000003</v>
      </c>
      <c r="G29" s="6">
        <v>9.8000000000000007</v>
      </c>
      <c r="H29" s="6">
        <v>2.88</v>
      </c>
      <c r="I29" s="6">
        <v>3.74</v>
      </c>
      <c r="J29" s="6">
        <v>0.12</v>
      </c>
      <c r="K29" s="6">
        <v>224.66</v>
      </c>
      <c r="L29" s="6">
        <v>27.03</v>
      </c>
      <c r="M29" s="6">
        <v>85.22</v>
      </c>
      <c r="N29" s="6">
        <v>3.7</v>
      </c>
      <c r="O29" s="6">
        <v>0</v>
      </c>
      <c r="P29" s="6">
        <v>0.37</v>
      </c>
      <c r="Q29" s="6">
        <v>3.92</v>
      </c>
    </row>
    <row r="30" spans="1:17" customFormat="1">
      <c r="A30" s="82">
        <v>45463.229166666664</v>
      </c>
      <c r="B30" s="6">
        <v>9.07</v>
      </c>
      <c r="C30" s="6">
        <v>4.07</v>
      </c>
      <c r="D30" s="6">
        <v>13.85</v>
      </c>
      <c r="E30" s="6">
        <v>10.210000000000001</v>
      </c>
      <c r="F30" s="6">
        <v>6.92</v>
      </c>
      <c r="G30" s="6">
        <v>9.8000000000000007</v>
      </c>
      <c r="H30" s="6">
        <v>2.88</v>
      </c>
      <c r="I30" s="6">
        <v>3.68</v>
      </c>
      <c r="J30" s="6">
        <v>0.25</v>
      </c>
      <c r="K30" s="6">
        <v>278.33</v>
      </c>
      <c r="L30" s="6">
        <v>26.92</v>
      </c>
      <c r="M30" s="6">
        <v>85.48</v>
      </c>
      <c r="N30" s="6">
        <v>11.1</v>
      </c>
      <c r="O30" s="6">
        <v>0</v>
      </c>
      <c r="P30" s="6">
        <v>0.36</v>
      </c>
      <c r="Q30" s="6">
        <v>3.9</v>
      </c>
    </row>
    <row r="31" spans="1:17" customFormat="1">
      <c r="A31" s="82">
        <v>45463.239583333336</v>
      </c>
      <c r="B31" s="6">
        <v>9.06</v>
      </c>
      <c r="C31" s="6">
        <v>4.05</v>
      </c>
      <c r="D31" s="6">
        <v>13.83</v>
      </c>
      <c r="E31" s="6">
        <v>10</v>
      </c>
      <c r="F31" s="6">
        <v>8.2799999999999994</v>
      </c>
      <c r="G31" s="6">
        <v>9.8000000000000007</v>
      </c>
      <c r="H31" s="6">
        <v>2.88</v>
      </c>
      <c r="I31" s="6">
        <v>3.71</v>
      </c>
      <c r="J31" s="6">
        <v>0.26</v>
      </c>
      <c r="K31" s="6">
        <v>237.02</v>
      </c>
      <c r="L31" s="6">
        <v>27.09</v>
      </c>
      <c r="M31" s="6">
        <v>85.09</v>
      </c>
      <c r="N31" s="6">
        <v>23.3</v>
      </c>
      <c r="O31" s="6">
        <v>0</v>
      </c>
      <c r="P31" s="6">
        <v>0.35</v>
      </c>
      <c r="Q31" s="6">
        <v>3.92</v>
      </c>
    </row>
    <row r="32" spans="1:17" customFormat="1">
      <c r="A32" s="82">
        <v>45463.25</v>
      </c>
      <c r="B32" s="6">
        <v>9.0399999999999991</v>
      </c>
      <c r="C32" s="6">
        <v>4.0199999999999996</v>
      </c>
      <c r="D32" s="6">
        <v>13.79</v>
      </c>
      <c r="E32" s="6">
        <v>9.8699999999999992</v>
      </c>
      <c r="F32" s="6">
        <v>9.65</v>
      </c>
      <c r="G32" s="6">
        <v>8.7200000000000006</v>
      </c>
      <c r="H32" s="6">
        <v>3.46</v>
      </c>
      <c r="I32" s="6">
        <v>3.38</v>
      </c>
      <c r="J32" s="6">
        <v>0.33</v>
      </c>
      <c r="K32" s="6">
        <v>242.21</v>
      </c>
      <c r="L32" s="6">
        <v>27.24</v>
      </c>
      <c r="M32" s="6">
        <v>84.64</v>
      </c>
      <c r="N32" s="6">
        <v>43.5</v>
      </c>
      <c r="O32" s="6">
        <v>0</v>
      </c>
      <c r="P32" s="6">
        <v>0.34</v>
      </c>
      <c r="Q32" s="6">
        <v>3.94</v>
      </c>
    </row>
    <row r="33" spans="1:17" customFormat="1">
      <c r="A33" s="82">
        <v>45463.260416666664</v>
      </c>
      <c r="B33" s="6">
        <v>9.0399999999999991</v>
      </c>
      <c r="C33" s="6">
        <v>4.0599999999999996</v>
      </c>
      <c r="D33" s="6">
        <v>13.82</v>
      </c>
      <c r="E33" s="6">
        <v>9.74</v>
      </c>
      <c r="F33" s="6">
        <v>9.51</v>
      </c>
      <c r="G33" s="6">
        <v>7.63</v>
      </c>
      <c r="H33" s="6">
        <v>3.73</v>
      </c>
      <c r="I33" s="6">
        <v>3.38</v>
      </c>
      <c r="J33" s="6">
        <v>0.41</v>
      </c>
      <c r="K33" s="6">
        <v>237.64</v>
      </c>
      <c r="L33" s="6">
        <v>27.65</v>
      </c>
      <c r="M33" s="6">
        <v>82.07</v>
      </c>
      <c r="N33" s="6">
        <v>51.9</v>
      </c>
      <c r="O33" s="6">
        <v>0</v>
      </c>
      <c r="P33" s="6">
        <v>0.32</v>
      </c>
      <c r="Q33" s="6">
        <v>3.95</v>
      </c>
    </row>
    <row r="34" spans="1:17" customFormat="1">
      <c r="A34" s="82">
        <v>45463.270833333336</v>
      </c>
      <c r="B34" s="6">
        <v>9.06</v>
      </c>
      <c r="C34" s="6">
        <v>4.04</v>
      </c>
      <c r="D34" s="6">
        <v>13.83</v>
      </c>
      <c r="E34" s="6">
        <v>9.2100000000000009</v>
      </c>
      <c r="F34" s="6">
        <v>11.61</v>
      </c>
      <c r="G34" s="6">
        <v>7.63</v>
      </c>
      <c r="H34" s="6">
        <v>3.73</v>
      </c>
      <c r="I34" s="6">
        <v>3.42</v>
      </c>
      <c r="J34" s="6">
        <v>0.46</v>
      </c>
      <c r="K34" s="6">
        <v>249.34</v>
      </c>
      <c r="L34" s="6">
        <v>27.82</v>
      </c>
      <c r="M34" s="6">
        <v>81.19</v>
      </c>
      <c r="N34" s="6">
        <v>81.099999999999994</v>
      </c>
      <c r="O34" s="6">
        <v>0</v>
      </c>
      <c r="P34" s="6">
        <v>0.3</v>
      </c>
      <c r="Q34" s="6">
        <v>3.96</v>
      </c>
    </row>
    <row r="35" spans="1:17" customFormat="1">
      <c r="A35" s="82">
        <v>45463.28125</v>
      </c>
      <c r="B35" s="6">
        <v>9.06</v>
      </c>
      <c r="C35" s="6">
        <v>4.04</v>
      </c>
      <c r="D35" s="6">
        <v>13.83</v>
      </c>
      <c r="E35" s="6">
        <v>9.39</v>
      </c>
      <c r="F35" s="6">
        <v>12.38</v>
      </c>
      <c r="G35" s="6">
        <v>7.63</v>
      </c>
      <c r="H35" s="6">
        <v>3.73</v>
      </c>
      <c r="I35" s="6">
        <v>3.48</v>
      </c>
      <c r="J35" s="6">
        <v>0.59</v>
      </c>
      <c r="K35" s="6">
        <v>270.49</v>
      </c>
      <c r="L35" s="6">
        <v>28.33</v>
      </c>
      <c r="M35" s="6">
        <v>79.239999999999995</v>
      </c>
      <c r="N35" s="6">
        <v>94.6</v>
      </c>
      <c r="O35" s="6">
        <v>0</v>
      </c>
      <c r="P35" s="6">
        <v>0.3</v>
      </c>
      <c r="Q35" s="6">
        <v>3.95</v>
      </c>
    </row>
    <row r="36" spans="1:17" customFormat="1">
      <c r="A36" s="82">
        <v>45463.291666666664</v>
      </c>
      <c r="B36" s="6">
        <v>9.0500000000000007</v>
      </c>
      <c r="C36" s="6">
        <v>4.0599999999999996</v>
      </c>
      <c r="D36" s="6">
        <v>13.83</v>
      </c>
      <c r="E36" s="6">
        <v>9.27</v>
      </c>
      <c r="F36" s="6">
        <v>11.38</v>
      </c>
      <c r="G36" s="6">
        <v>8.85</v>
      </c>
      <c r="H36" s="6">
        <v>4.04</v>
      </c>
      <c r="I36" s="6">
        <v>3.43</v>
      </c>
      <c r="J36" s="6">
        <v>0.78</v>
      </c>
      <c r="K36" s="6">
        <v>255.05</v>
      </c>
      <c r="L36" s="6">
        <v>28.62</v>
      </c>
      <c r="M36" s="6">
        <v>77.37</v>
      </c>
      <c r="N36" s="6">
        <v>106.3</v>
      </c>
      <c r="O36" s="6">
        <v>0</v>
      </c>
      <c r="P36" s="6">
        <v>0.28000000000000003</v>
      </c>
      <c r="Q36" s="6">
        <v>3.96</v>
      </c>
    </row>
    <row r="37" spans="1:17" customFormat="1">
      <c r="A37" s="82">
        <v>45463.302083333336</v>
      </c>
      <c r="B37" s="6">
        <v>9.09</v>
      </c>
      <c r="C37" s="6">
        <v>4.05</v>
      </c>
      <c r="D37" s="6">
        <v>13.85</v>
      </c>
      <c r="E37" s="6">
        <v>9.15</v>
      </c>
      <c r="F37" s="6">
        <v>14.38</v>
      </c>
      <c r="G37" s="6">
        <v>10.02</v>
      </c>
      <c r="H37" s="6">
        <v>4.18</v>
      </c>
      <c r="I37" s="6">
        <v>3.5</v>
      </c>
      <c r="J37" s="6">
        <v>0.63</v>
      </c>
      <c r="K37" s="6">
        <v>258.81</v>
      </c>
      <c r="L37" s="6">
        <v>29.12</v>
      </c>
      <c r="M37" s="6">
        <v>75.510000000000005</v>
      </c>
      <c r="N37" s="6">
        <v>108.5</v>
      </c>
      <c r="O37" s="6">
        <v>0</v>
      </c>
      <c r="P37" s="6">
        <v>0.27</v>
      </c>
      <c r="Q37" s="6">
        <v>3.95</v>
      </c>
    </row>
    <row r="38" spans="1:17" customFormat="1">
      <c r="A38" s="82">
        <v>45463.3125</v>
      </c>
      <c r="B38" s="6">
        <v>9.07</v>
      </c>
      <c r="C38" s="6">
        <v>4.0599999999999996</v>
      </c>
      <c r="D38" s="6">
        <v>13.84</v>
      </c>
      <c r="E38" s="6">
        <v>9.48</v>
      </c>
      <c r="F38" s="6">
        <v>10.14</v>
      </c>
      <c r="G38" s="6">
        <v>10.02</v>
      </c>
      <c r="H38" s="6">
        <v>4.18</v>
      </c>
      <c r="I38" s="6">
        <v>3.45</v>
      </c>
      <c r="J38" s="6">
        <v>0.88</v>
      </c>
      <c r="K38" s="6">
        <v>262.39999999999998</v>
      </c>
      <c r="L38" s="6">
        <v>29.47</v>
      </c>
      <c r="M38" s="6">
        <v>73.209999999999994</v>
      </c>
      <c r="N38" s="6">
        <v>124.6</v>
      </c>
      <c r="O38" s="6">
        <v>0</v>
      </c>
      <c r="P38" s="6">
        <v>0.27</v>
      </c>
      <c r="Q38" s="6">
        <v>3.97</v>
      </c>
    </row>
    <row r="39" spans="1:17" customFormat="1">
      <c r="A39" s="82">
        <v>45463.322916666664</v>
      </c>
      <c r="B39" s="6">
        <v>9.0500000000000007</v>
      </c>
      <c r="C39" s="6">
        <v>4.0599999999999996</v>
      </c>
      <c r="D39" s="6">
        <v>13.83</v>
      </c>
      <c r="E39" s="6">
        <v>9.66</v>
      </c>
      <c r="F39" s="6">
        <v>8.17</v>
      </c>
      <c r="G39" s="6">
        <v>10.02</v>
      </c>
      <c r="H39" s="6">
        <v>4.18</v>
      </c>
      <c r="I39" s="6">
        <v>3.45</v>
      </c>
      <c r="J39" s="6">
        <v>1.23</v>
      </c>
      <c r="K39" s="6">
        <v>265.07</v>
      </c>
      <c r="L39" s="6">
        <v>29.96</v>
      </c>
      <c r="M39" s="6">
        <v>70.510000000000005</v>
      </c>
      <c r="N39" s="6">
        <v>168</v>
      </c>
      <c r="O39" s="6">
        <v>0</v>
      </c>
      <c r="P39" s="6">
        <v>0.28000000000000003</v>
      </c>
      <c r="Q39" s="6">
        <v>3.94</v>
      </c>
    </row>
    <row r="40" spans="1:17" customFormat="1">
      <c r="A40" s="82">
        <v>45463.333333333336</v>
      </c>
      <c r="B40" s="6">
        <v>9.06</v>
      </c>
      <c r="C40" s="6">
        <v>4.05</v>
      </c>
      <c r="D40" s="6">
        <v>13.83</v>
      </c>
      <c r="E40" s="6">
        <v>9.58</v>
      </c>
      <c r="F40" s="6">
        <v>10.17</v>
      </c>
      <c r="G40" s="6">
        <v>10.84</v>
      </c>
      <c r="H40" s="6">
        <v>3.57</v>
      </c>
      <c r="I40" s="6">
        <v>3.58</v>
      </c>
      <c r="J40" s="6">
        <v>1.32</v>
      </c>
      <c r="K40" s="6">
        <v>260.45999999999998</v>
      </c>
      <c r="L40" s="6">
        <v>30.5</v>
      </c>
      <c r="M40" s="6">
        <v>68.72</v>
      </c>
      <c r="N40" s="6">
        <v>228.6</v>
      </c>
      <c r="O40" s="6">
        <v>0</v>
      </c>
      <c r="P40" s="6">
        <v>0.28000000000000003</v>
      </c>
      <c r="Q40" s="6">
        <v>3.93</v>
      </c>
    </row>
    <row r="41" spans="1:17" customFormat="1">
      <c r="A41" s="82">
        <v>45463.34375</v>
      </c>
      <c r="B41" s="6">
        <v>9.06</v>
      </c>
      <c r="C41" s="6">
        <v>4.0599999999999996</v>
      </c>
      <c r="D41" s="6">
        <v>13.83</v>
      </c>
      <c r="E41" s="6">
        <v>9.2799999999999994</v>
      </c>
      <c r="F41" s="6">
        <v>10.82</v>
      </c>
      <c r="G41" s="6">
        <v>11.62</v>
      </c>
      <c r="H41" s="6">
        <v>2.93</v>
      </c>
      <c r="I41" s="6">
        <v>3.65</v>
      </c>
      <c r="J41" s="6">
        <v>1.1299999999999999</v>
      </c>
      <c r="K41" s="6">
        <v>267.35000000000002</v>
      </c>
      <c r="L41" s="6">
        <v>30.8</v>
      </c>
      <c r="M41" s="6">
        <v>68.23</v>
      </c>
      <c r="N41" s="6">
        <v>254.2</v>
      </c>
      <c r="O41" s="6">
        <v>0</v>
      </c>
      <c r="P41" s="6">
        <v>0.27</v>
      </c>
      <c r="Q41" s="6">
        <v>3.95</v>
      </c>
    </row>
    <row r="42" spans="1:17" customFormat="1">
      <c r="A42" s="82">
        <v>45463.354166666664</v>
      </c>
      <c r="B42" s="6">
        <v>9.0399999999999991</v>
      </c>
      <c r="C42" s="6">
        <v>4.0599999999999996</v>
      </c>
      <c r="D42" s="6">
        <v>13.82</v>
      </c>
      <c r="E42" s="6">
        <v>9.4499999999999993</v>
      </c>
      <c r="F42" s="6">
        <v>9.93</v>
      </c>
      <c r="G42" s="6">
        <v>11.62</v>
      </c>
      <c r="H42" s="6">
        <v>2.93</v>
      </c>
      <c r="I42" s="6">
        <v>3.46</v>
      </c>
      <c r="J42" s="6">
        <v>1.23</v>
      </c>
      <c r="K42" s="6">
        <v>266.75</v>
      </c>
      <c r="L42" s="6">
        <v>30.55</v>
      </c>
      <c r="M42" s="6">
        <v>69.11</v>
      </c>
      <c r="N42" s="6">
        <v>236.6</v>
      </c>
      <c r="O42" s="6">
        <v>0</v>
      </c>
      <c r="P42" s="6">
        <v>0.28000000000000003</v>
      </c>
      <c r="Q42" s="6">
        <v>3.93</v>
      </c>
    </row>
    <row r="43" spans="1:17" customFormat="1">
      <c r="A43" s="82">
        <v>45463.364583333336</v>
      </c>
      <c r="B43" s="6">
        <v>9.0399999999999991</v>
      </c>
      <c r="C43" s="6">
        <v>4.04</v>
      </c>
      <c r="D43" s="6">
        <v>13.81</v>
      </c>
      <c r="E43" s="6">
        <v>9.27</v>
      </c>
      <c r="F43" s="6">
        <v>10.050000000000001</v>
      </c>
      <c r="G43" s="6">
        <v>11.62</v>
      </c>
      <c r="H43" s="6">
        <v>2.93</v>
      </c>
      <c r="I43" s="6">
        <v>3.43</v>
      </c>
      <c r="J43" s="6">
        <v>1.23</v>
      </c>
      <c r="K43" s="6">
        <v>274.57</v>
      </c>
      <c r="L43" s="6">
        <v>30.66</v>
      </c>
      <c r="M43" s="6">
        <v>69.12</v>
      </c>
      <c r="N43" s="6">
        <v>185.8</v>
      </c>
      <c r="O43" s="6">
        <v>0</v>
      </c>
      <c r="P43" s="6">
        <v>0.27</v>
      </c>
      <c r="Q43" s="6">
        <v>3.94</v>
      </c>
    </row>
    <row r="44" spans="1:17" customFormat="1">
      <c r="A44" s="82">
        <v>45463.375</v>
      </c>
      <c r="B44" s="6">
        <v>9.0500000000000007</v>
      </c>
      <c r="C44" s="6">
        <v>4.08</v>
      </c>
      <c r="D44" s="6">
        <v>13.84</v>
      </c>
      <c r="E44" s="6">
        <v>9</v>
      </c>
      <c r="F44" s="6">
        <v>11.64</v>
      </c>
      <c r="G44" s="6">
        <v>10.69</v>
      </c>
      <c r="H44" s="6">
        <v>2.8</v>
      </c>
      <c r="I44" s="6">
        <v>3.47</v>
      </c>
      <c r="J44" s="6">
        <v>1.1499999999999999</v>
      </c>
      <c r="K44" s="6">
        <v>271.04000000000002</v>
      </c>
      <c r="L44" s="6">
        <v>31.14</v>
      </c>
      <c r="M44" s="6">
        <v>67.98</v>
      </c>
      <c r="N44" s="6">
        <v>176.3</v>
      </c>
      <c r="O44" s="6">
        <v>0</v>
      </c>
      <c r="P44" s="6">
        <v>0.28000000000000003</v>
      </c>
      <c r="Q44" s="6">
        <v>3.94</v>
      </c>
    </row>
    <row r="45" spans="1:17" customFormat="1">
      <c r="A45" s="82">
        <v>45463.385416666664</v>
      </c>
      <c r="B45" s="6">
        <v>9.06</v>
      </c>
      <c r="C45" s="6">
        <v>4.08</v>
      </c>
      <c r="D45" s="6">
        <v>13.85</v>
      </c>
      <c r="E45" s="6">
        <v>9.82</v>
      </c>
      <c r="F45" s="6">
        <v>11.41</v>
      </c>
      <c r="G45" s="6">
        <v>9.7899999999999991</v>
      </c>
      <c r="H45" s="6">
        <v>2.74</v>
      </c>
      <c r="I45" s="6">
        <v>3.44</v>
      </c>
      <c r="J45" s="6">
        <v>1.19</v>
      </c>
      <c r="K45" s="6">
        <v>273.41000000000003</v>
      </c>
      <c r="L45" s="6">
        <v>30.93</v>
      </c>
      <c r="M45" s="6">
        <v>68.3</v>
      </c>
      <c r="N45" s="6">
        <v>183</v>
      </c>
      <c r="O45" s="6">
        <v>0</v>
      </c>
      <c r="P45" s="6">
        <v>0.28999999999999998</v>
      </c>
      <c r="Q45" s="6">
        <v>3.93</v>
      </c>
    </row>
    <row r="46" spans="1:17" customFormat="1">
      <c r="A46" s="82">
        <v>45463.395833333336</v>
      </c>
      <c r="B46" s="6">
        <v>9.0500000000000007</v>
      </c>
      <c r="C46" s="6">
        <v>4.03</v>
      </c>
      <c r="D46" s="6">
        <v>13.82</v>
      </c>
      <c r="E46" s="6">
        <v>10.48</v>
      </c>
      <c r="F46" s="6">
        <v>11.29</v>
      </c>
      <c r="G46" s="6">
        <v>9.7899999999999991</v>
      </c>
      <c r="H46" s="6">
        <v>2.74</v>
      </c>
      <c r="I46" s="6">
        <v>3.39</v>
      </c>
      <c r="J46" s="6">
        <v>1.21</v>
      </c>
      <c r="K46" s="6">
        <v>268.58</v>
      </c>
      <c r="L46" s="6">
        <v>30.8</v>
      </c>
      <c r="M46" s="6">
        <v>68.650000000000006</v>
      </c>
      <c r="N46" s="6">
        <v>214.3</v>
      </c>
      <c r="O46" s="6">
        <v>0</v>
      </c>
      <c r="P46" s="6">
        <v>0.33</v>
      </c>
      <c r="Q46" s="6">
        <v>3.93</v>
      </c>
    </row>
    <row r="47" spans="1:17" customFormat="1">
      <c r="A47" s="82">
        <v>45463.40625</v>
      </c>
      <c r="B47" s="6">
        <v>9.0399999999999991</v>
      </c>
      <c r="C47" s="6">
        <v>4.04</v>
      </c>
      <c r="D47" s="6">
        <v>13.81</v>
      </c>
      <c r="E47" s="6">
        <v>11.17</v>
      </c>
      <c r="F47" s="6">
        <v>9.48</v>
      </c>
      <c r="G47" s="6">
        <v>9.7899999999999991</v>
      </c>
      <c r="H47" s="6">
        <v>2.74</v>
      </c>
      <c r="I47" s="6">
        <v>3.46</v>
      </c>
      <c r="J47" s="6">
        <v>1.83</v>
      </c>
      <c r="K47" s="6">
        <v>287.14</v>
      </c>
      <c r="L47" s="6">
        <v>30.77</v>
      </c>
      <c r="M47" s="6">
        <v>67.930000000000007</v>
      </c>
      <c r="N47" s="6">
        <v>223.8</v>
      </c>
      <c r="O47" s="6">
        <v>0</v>
      </c>
      <c r="P47" s="6">
        <v>0.35</v>
      </c>
      <c r="Q47" s="6">
        <v>3.94</v>
      </c>
    </row>
    <row r="48" spans="1:17" customFormat="1">
      <c r="A48" s="82">
        <v>45463.416666666664</v>
      </c>
      <c r="B48" s="6">
        <v>9.0399999999999991</v>
      </c>
      <c r="C48" s="6">
        <v>4.03</v>
      </c>
      <c r="D48" s="6">
        <v>13.81</v>
      </c>
      <c r="E48" s="6">
        <v>10.050000000000001</v>
      </c>
      <c r="F48" s="6">
        <v>8.14</v>
      </c>
      <c r="G48" s="6">
        <v>12.86</v>
      </c>
      <c r="H48" s="6">
        <v>4.7300000000000004</v>
      </c>
      <c r="I48" s="6">
        <v>3.73</v>
      </c>
      <c r="J48" s="6">
        <v>1.31</v>
      </c>
      <c r="K48" s="6">
        <v>274.89999999999998</v>
      </c>
      <c r="L48" s="6">
        <v>31.12</v>
      </c>
      <c r="M48" s="6">
        <v>67.849999999999994</v>
      </c>
      <c r="N48" s="6">
        <v>268.10000000000002</v>
      </c>
      <c r="O48" s="6">
        <v>0</v>
      </c>
      <c r="P48" s="6">
        <v>0.35</v>
      </c>
      <c r="Q48" s="6">
        <v>3.94</v>
      </c>
    </row>
    <row r="49" spans="1:17" customFormat="1">
      <c r="A49" s="82">
        <v>45463.427083333336</v>
      </c>
      <c r="B49" s="6">
        <v>9.11</v>
      </c>
      <c r="C49" s="6">
        <v>4.05</v>
      </c>
      <c r="D49" s="6">
        <v>13.87</v>
      </c>
      <c r="E49" s="6">
        <v>8.44</v>
      </c>
      <c r="F49" s="6">
        <v>8.98</v>
      </c>
      <c r="G49" s="6">
        <v>15.81</v>
      </c>
      <c r="H49" s="6">
        <v>5.66</v>
      </c>
      <c r="I49" s="6">
        <v>3.84</v>
      </c>
      <c r="J49" s="6">
        <v>1.42</v>
      </c>
      <c r="K49" s="6">
        <v>278.10000000000002</v>
      </c>
      <c r="L49" s="6">
        <v>31.14</v>
      </c>
      <c r="M49" s="6">
        <v>67.709999999999994</v>
      </c>
      <c r="N49" s="6">
        <v>287.2</v>
      </c>
      <c r="O49" s="6">
        <v>0</v>
      </c>
      <c r="P49" s="6">
        <v>0.38</v>
      </c>
      <c r="Q49" s="6">
        <v>3.91</v>
      </c>
    </row>
    <row r="50" spans="1:17" customFormat="1">
      <c r="A50" s="82">
        <v>45463.4375</v>
      </c>
      <c r="B50" s="6">
        <v>9.08</v>
      </c>
      <c r="C50" s="6">
        <v>4.05</v>
      </c>
      <c r="D50" s="6">
        <v>13.85</v>
      </c>
      <c r="E50" s="6">
        <v>9.36</v>
      </c>
      <c r="F50" s="6">
        <v>10.130000000000001</v>
      </c>
      <c r="G50" s="6">
        <v>15.81</v>
      </c>
      <c r="H50" s="6">
        <v>5.66</v>
      </c>
      <c r="I50" s="6">
        <v>3.76</v>
      </c>
      <c r="J50" s="6">
        <v>1.31</v>
      </c>
      <c r="K50" s="6">
        <v>282.58999999999997</v>
      </c>
      <c r="L50" s="6">
        <v>31.5</v>
      </c>
      <c r="M50" s="6">
        <v>66.97</v>
      </c>
      <c r="N50" s="6">
        <v>286.7</v>
      </c>
      <c r="O50" s="6">
        <v>0</v>
      </c>
      <c r="P50" s="6">
        <v>0.39</v>
      </c>
      <c r="Q50" s="6">
        <v>3.92</v>
      </c>
    </row>
    <row r="51" spans="1:17" customFormat="1">
      <c r="A51" s="82">
        <v>45463.447916666664</v>
      </c>
      <c r="B51" s="6">
        <v>9.0299999999999994</v>
      </c>
      <c r="C51" s="6">
        <v>4.05</v>
      </c>
      <c r="D51" s="6">
        <v>13.81</v>
      </c>
      <c r="E51" s="6">
        <v>9.4600000000000009</v>
      </c>
      <c r="F51" s="6">
        <v>8.14</v>
      </c>
      <c r="G51" s="6">
        <v>15.81</v>
      </c>
      <c r="H51" s="6">
        <v>5.66</v>
      </c>
      <c r="I51" s="6">
        <v>3.77</v>
      </c>
      <c r="J51" s="6">
        <v>1.5</v>
      </c>
      <c r="K51" s="6">
        <v>279.14</v>
      </c>
      <c r="L51" s="6">
        <v>32.799999999999997</v>
      </c>
      <c r="M51" s="6">
        <v>62.93</v>
      </c>
      <c r="N51" s="6">
        <v>368.5</v>
      </c>
      <c r="O51" s="6">
        <v>0</v>
      </c>
      <c r="P51" s="6">
        <v>0.4</v>
      </c>
      <c r="Q51" s="6">
        <v>3.93</v>
      </c>
    </row>
    <row r="52" spans="1:17" customFormat="1">
      <c r="A52" s="82">
        <v>45463.458333333336</v>
      </c>
      <c r="B52" s="6">
        <v>8.98</v>
      </c>
      <c r="C52" s="6">
        <v>4.07</v>
      </c>
      <c r="D52" s="6">
        <v>13.78</v>
      </c>
      <c r="E52" s="6">
        <v>9.39</v>
      </c>
      <c r="F52" s="6">
        <v>7.88</v>
      </c>
      <c r="G52" s="6">
        <v>17.64</v>
      </c>
      <c r="H52" s="6">
        <v>6.64</v>
      </c>
      <c r="I52" s="6">
        <v>3.71</v>
      </c>
      <c r="J52" s="6">
        <v>1.64</v>
      </c>
      <c r="K52" s="6">
        <v>286.13</v>
      </c>
      <c r="L52" s="6">
        <v>32.54</v>
      </c>
      <c r="M52" s="6">
        <v>63.19</v>
      </c>
      <c r="N52" s="6">
        <v>356.4</v>
      </c>
      <c r="O52" s="6">
        <v>0</v>
      </c>
      <c r="P52" s="6">
        <v>0.41</v>
      </c>
      <c r="Q52" s="6">
        <v>3.93</v>
      </c>
    </row>
    <row r="53" spans="1:17" customFormat="1">
      <c r="A53" s="82">
        <v>45463.46875</v>
      </c>
      <c r="B53" s="6">
        <v>8.9700000000000006</v>
      </c>
      <c r="C53" s="6">
        <v>4.07</v>
      </c>
      <c r="D53" s="6">
        <v>13.77</v>
      </c>
      <c r="E53" s="6">
        <v>9.0500000000000007</v>
      </c>
      <c r="F53" s="6">
        <v>8.64</v>
      </c>
      <c r="G53" s="6">
        <v>19.399999999999999</v>
      </c>
      <c r="H53" s="6">
        <v>7.11</v>
      </c>
      <c r="I53" s="6">
        <v>3.78</v>
      </c>
      <c r="J53" s="6">
        <v>1.73</v>
      </c>
      <c r="K53" s="6">
        <v>292.89999999999998</v>
      </c>
      <c r="L53" s="6">
        <v>32.450000000000003</v>
      </c>
      <c r="M53" s="6">
        <v>62.78</v>
      </c>
      <c r="N53" s="6">
        <v>378.5</v>
      </c>
      <c r="O53" s="6">
        <v>0</v>
      </c>
      <c r="P53" s="6">
        <v>0.41</v>
      </c>
      <c r="Q53" s="6">
        <v>3.91</v>
      </c>
    </row>
    <row r="54" spans="1:17" customFormat="1">
      <c r="A54" s="82">
        <v>45463.479166666664</v>
      </c>
      <c r="B54" s="6">
        <v>8.98</v>
      </c>
      <c r="C54" s="6">
        <v>4.08</v>
      </c>
      <c r="D54" s="6">
        <v>13.78</v>
      </c>
      <c r="E54" s="6">
        <v>8.98</v>
      </c>
      <c r="F54" s="6">
        <v>10.32</v>
      </c>
      <c r="G54" s="6">
        <v>19.399999999999999</v>
      </c>
      <c r="H54" s="6">
        <v>7.11</v>
      </c>
      <c r="I54" s="6">
        <v>3.79</v>
      </c>
      <c r="J54" s="6">
        <v>1.21</v>
      </c>
      <c r="K54" s="6">
        <v>281.35000000000002</v>
      </c>
      <c r="L54" s="6">
        <v>32.51</v>
      </c>
      <c r="M54" s="6">
        <v>63.37</v>
      </c>
      <c r="N54" s="6">
        <v>342.4</v>
      </c>
      <c r="O54" s="6">
        <v>0</v>
      </c>
      <c r="P54" s="6">
        <v>0.41</v>
      </c>
      <c r="Q54" s="6">
        <v>3.91</v>
      </c>
    </row>
    <row r="55" spans="1:17" customFormat="1">
      <c r="A55" s="82">
        <v>45463.489583333336</v>
      </c>
      <c r="B55" s="6">
        <v>8.98</v>
      </c>
      <c r="C55" s="6">
        <v>4.05</v>
      </c>
      <c r="D55" s="6">
        <v>13.77</v>
      </c>
      <c r="E55" s="6">
        <v>9.34</v>
      </c>
      <c r="F55" s="6">
        <v>9.43</v>
      </c>
      <c r="G55" s="6">
        <v>19.399999999999999</v>
      </c>
      <c r="H55" s="6">
        <v>7.11</v>
      </c>
      <c r="I55" s="6">
        <v>3.78</v>
      </c>
      <c r="J55" s="6">
        <v>1.58</v>
      </c>
      <c r="K55" s="6">
        <v>298.82</v>
      </c>
      <c r="L55" s="6">
        <v>33.33</v>
      </c>
      <c r="M55" s="6">
        <v>60.31</v>
      </c>
      <c r="N55" s="6">
        <v>689.5</v>
      </c>
      <c r="O55" s="6">
        <v>0</v>
      </c>
      <c r="P55" s="6">
        <v>0.4</v>
      </c>
      <c r="Q55" s="6">
        <v>3.91</v>
      </c>
    </row>
    <row r="56" spans="1:17" customFormat="1">
      <c r="A56" s="82">
        <v>45463.5</v>
      </c>
      <c r="B56" s="6">
        <v>8.99</v>
      </c>
      <c r="C56" s="6">
        <v>4.04</v>
      </c>
      <c r="D56" s="6">
        <v>13.77</v>
      </c>
      <c r="E56" s="6">
        <v>9.15</v>
      </c>
      <c r="F56" s="6">
        <v>9.8699999999999992</v>
      </c>
      <c r="G56" s="6">
        <v>19.399999999999999</v>
      </c>
      <c r="H56" s="6">
        <v>6.77</v>
      </c>
      <c r="I56" s="6">
        <v>3.76</v>
      </c>
      <c r="J56" s="6">
        <v>1.75</v>
      </c>
      <c r="K56" s="6">
        <v>311.38</v>
      </c>
      <c r="L56" s="6">
        <v>33.549999999999997</v>
      </c>
      <c r="M56" s="6">
        <v>59.55</v>
      </c>
      <c r="N56" s="6">
        <v>713.4</v>
      </c>
      <c r="O56" s="6">
        <v>0</v>
      </c>
      <c r="P56" s="6">
        <v>0.4</v>
      </c>
      <c r="Q56" s="6">
        <v>3.91</v>
      </c>
    </row>
    <row r="57" spans="1:17" customFormat="1">
      <c r="A57" s="82">
        <v>45463.510416666664</v>
      </c>
      <c r="B57" s="6">
        <v>8.98</v>
      </c>
      <c r="C57" s="6">
        <v>4.0599999999999996</v>
      </c>
      <c r="D57" s="6">
        <v>13.77</v>
      </c>
      <c r="E57" s="6">
        <v>9.69</v>
      </c>
      <c r="F57" s="6">
        <v>12.23</v>
      </c>
      <c r="G57" s="6">
        <v>19.39</v>
      </c>
      <c r="H57" s="6">
        <v>6.61</v>
      </c>
      <c r="I57" s="6">
        <v>3.77</v>
      </c>
      <c r="J57" s="6">
        <v>1.22</v>
      </c>
      <c r="K57" s="6">
        <v>298.77999999999997</v>
      </c>
      <c r="L57" s="6">
        <v>33.53</v>
      </c>
      <c r="M57" s="6">
        <v>59.48</v>
      </c>
      <c r="N57" s="6">
        <v>592</v>
      </c>
      <c r="O57" s="6">
        <v>0</v>
      </c>
      <c r="P57" s="6">
        <v>0.41</v>
      </c>
      <c r="Q57" s="6">
        <v>3.92</v>
      </c>
    </row>
    <row r="58" spans="1:17" customFormat="1">
      <c r="A58" s="82">
        <v>45463.520833333336</v>
      </c>
      <c r="B58" s="6">
        <v>9</v>
      </c>
      <c r="C58" s="6">
        <v>4.05</v>
      </c>
      <c r="D58" s="6">
        <v>13.78</v>
      </c>
      <c r="E58" s="6">
        <v>9.56</v>
      </c>
      <c r="F58" s="6">
        <v>11.23</v>
      </c>
      <c r="G58" s="6">
        <v>19.39</v>
      </c>
      <c r="H58" s="6">
        <v>6.61</v>
      </c>
      <c r="I58" s="6">
        <v>3.8</v>
      </c>
      <c r="J58" s="6">
        <v>1.49</v>
      </c>
      <c r="K58" s="6">
        <v>295.2</v>
      </c>
      <c r="L58" s="6">
        <v>34.11</v>
      </c>
      <c r="M58" s="6">
        <v>57.21</v>
      </c>
      <c r="N58" s="6">
        <v>773.7</v>
      </c>
      <c r="O58" s="6">
        <v>0</v>
      </c>
      <c r="P58" s="6">
        <v>0.41</v>
      </c>
      <c r="Q58" s="6">
        <v>3.94</v>
      </c>
    </row>
    <row r="59" spans="1:17" customFormat="1">
      <c r="A59" s="82">
        <v>45463.53125</v>
      </c>
      <c r="B59" s="6">
        <v>9</v>
      </c>
      <c r="C59" s="6">
        <v>4.05</v>
      </c>
      <c r="D59" s="6">
        <v>13.79</v>
      </c>
      <c r="E59" s="6">
        <v>10.33</v>
      </c>
      <c r="F59" s="6">
        <v>9.68</v>
      </c>
      <c r="G59" s="6">
        <v>19.39</v>
      </c>
      <c r="H59" s="6">
        <v>6.61</v>
      </c>
      <c r="I59" s="6">
        <v>3.72</v>
      </c>
      <c r="J59" s="6">
        <v>1.38</v>
      </c>
      <c r="K59" s="6">
        <v>294.57</v>
      </c>
      <c r="L59" s="6">
        <v>34.090000000000003</v>
      </c>
      <c r="M59" s="6">
        <v>57.9</v>
      </c>
      <c r="N59" s="6">
        <v>529.70000000000005</v>
      </c>
      <c r="O59" s="6">
        <v>0</v>
      </c>
      <c r="P59" s="6">
        <v>0.41</v>
      </c>
      <c r="Q59" s="6">
        <v>3.93</v>
      </c>
    </row>
    <row r="60" spans="1:17" customFormat="1">
      <c r="A60" s="82">
        <v>45463.541666666664</v>
      </c>
      <c r="B60" s="6">
        <v>9.02</v>
      </c>
      <c r="C60" s="6">
        <v>4.0199999999999996</v>
      </c>
      <c r="D60" s="6">
        <v>13.78</v>
      </c>
      <c r="E60" s="6">
        <v>10.119999999999999</v>
      </c>
      <c r="F60" s="6">
        <v>10.050000000000001</v>
      </c>
      <c r="G60" s="6">
        <v>19.649999999999999</v>
      </c>
      <c r="H60" s="6">
        <v>7.13</v>
      </c>
      <c r="I60" s="6">
        <v>3.81</v>
      </c>
      <c r="J60" s="6">
        <v>1.35</v>
      </c>
      <c r="K60" s="6">
        <v>274.76</v>
      </c>
      <c r="L60" s="6">
        <v>33.65</v>
      </c>
      <c r="M60" s="6">
        <v>59.02</v>
      </c>
      <c r="N60" s="6">
        <v>332.2</v>
      </c>
      <c r="O60" s="6">
        <v>0</v>
      </c>
      <c r="P60" s="6">
        <v>0.43</v>
      </c>
      <c r="Q60" s="6">
        <v>3.91</v>
      </c>
    </row>
    <row r="61" spans="1:17" customFormat="1">
      <c r="A61" s="82">
        <v>45463.552083333336</v>
      </c>
      <c r="B61" s="6">
        <v>9.01</v>
      </c>
      <c r="C61" s="6">
        <v>4.07</v>
      </c>
      <c r="D61" s="6">
        <v>13.8</v>
      </c>
      <c r="E61" s="6">
        <v>10.92</v>
      </c>
      <c r="F61" s="6">
        <v>12.18</v>
      </c>
      <c r="G61" s="6">
        <v>19.89</v>
      </c>
      <c r="H61" s="6">
        <v>7.38</v>
      </c>
      <c r="I61" s="6">
        <v>3.79</v>
      </c>
      <c r="J61" s="6">
        <v>1.23</v>
      </c>
      <c r="K61" s="6">
        <v>291.29000000000002</v>
      </c>
      <c r="L61" s="6">
        <v>33.67</v>
      </c>
      <c r="M61" s="6">
        <v>58.48</v>
      </c>
      <c r="N61" s="6">
        <v>348.8</v>
      </c>
      <c r="O61" s="6">
        <v>0</v>
      </c>
      <c r="P61" s="6">
        <v>0.42</v>
      </c>
      <c r="Q61" s="6">
        <v>3.93</v>
      </c>
    </row>
    <row r="62" spans="1:17" customFormat="1">
      <c r="A62" s="82">
        <v>45463.5625</v>
      </c>
      <c r="B62" s="6">
        <v>9.01</v>
      </c>
      <c r="C62" s="6">
        <v>4.0599999999999996</v>
      </c>
      <c r="D62" s="6">
        <v>13.8</v>
      </c>
      <c r="E62" s="6">
        <v>10.58</v>
      </c>
      <c r="F62" s="6">
        <v>11.36</v>
      </c>
      <c r="G62" s="6">
        <v>19.89</v>
      </c>
      <c r="H62" s="6">
        <v>7.38</v>
      </c>
      <c r="I62" s="6">
        <v>3.92</v>
      </c>
      <c r="J62" s="6">
        <v>1.48</v>
      </c>
      <c r="K62" s="6">
        <v>282.42</v>
      </c>
      <c r="L62" s="6">
        <v>33.880000000000003</v>
      </c>
      <c r="M62" s="6">
        <v>57.93</v>
      </c>
      <c r="N62" s="6">
        <v>310.39999999999998</v>
      </c>
      <c r="O62" s="6">
        <v>0</v>
      </c>
      <c r="P62" s="6">
        <v>0.44</v>
      </c>
      <c r="Q62" s="6">
        <v>3.92</v>
      </c>
    </row>
    <row r="63" spans="1:17" customFormat="1">
      <c r="A63" s="82">
        <v>45463.572916666664</v>
      </c>
      <c r="B63" s="6">
        <v>9</v>
      </c>
      <c r="C63" s="6">
        <v>4.0599999999999996</v>
      </c>
      <c r="D63" s="6">
        <v>13.79</v>
      </c>
      <c r="E63" s="6">
        <v>10.99</v>
      </c>
      <c r="F63" s="6">
        <v>11.95</v>
      </c>
      <c r="G63" s="6">
        <v>19.89</v>
      </c>
      <c r="H63" s="6">
        <v>7.38</v>
      </c>
      <c r="I63" s="6">
        <v>3.9</v>
      </c>
      <c r="J63" s="6">
        <v>1.97</v>
      </c>
      <c r="K63" s="6">
        <v>301.32</v>
      </c>
      <c r="L63" s="6">
        <v>34.61</v>
      </c>
      <c r="M63" s="6">
        <v>55.38</v>
      </c>
      <c r="N63" s="6">
        <v>470.4</v>
      </c>
      <c r="O63" s="6">
        <v>0</v>
      </c>
      <c r="P63" s="6">
        <v>0.44</v>
      </c>
      <c r="Q63" s="6">
        <v>3.92</v>
      </c>
    </row>
    <row r="64" spans="1:17" customFormat="1">
      <c r="A64" s="82">
        <v>45463.583333333336</v>
      </c>
      <c r="B64" s="6">
        <v>9</v>
      </c>
      <c r="C64" s="6">
        <v>4.0599999999999996</v>
      </c>
      <c r="D64" s="6">
        <v>13.79</v>
      </c>
      <c r="E64" s="6">
        <v>11.34</v>
      </c>
      <c r="F64" s="6">
        <v>12.18</v>
      </c>
      <c r="G64" s="6">
        <v>20.86</v>
      </c>
      <c r="H64" s="6">
        <v>9.11</v>
      </c>
      <c r="I64" s="6">
        <v>4.08</v>
      </c>
      <c r="J64" s="6">
        <v>1.32</v>
      </c>
      <c r="K64" s="6">
        <v>274.55</v>
      </c>
      <c r="L64" s="6">
        <v>34.409999999999997</v>
      </c>
      <c r="M64" s="6">
        <v>57.44</v>
      </c>
      <c r="N64" s="6">
        <v>509.7</v>
      </c>
      <c r="O64" s="6">
        <v>0</v>
      </c>
      <c r="P64" s="6">
        <v>0.47</v>
      </c>
      <c r="Q64" s="6">
        <v>3.94</v>
      </c>
    </row>
    <row r="65" spans="1:17" customFormat="1">
      <c r="A65" s="82">
        <v>45463.59375</v>
      </c>
      <c r="B65" s="6">
        <v>9.01</v>
      </c>
      <c r="C65" s="6">
        <v>4.0599999999999996</v>
      </c>
      <c r="D65" s="6">
        <v>13.8</v>
      </c>
      <c r="E65" s="6">
        <v>12.14</v>
      </c>
      <c r="F65" s="6">
        <v>11.58</v>
      </c>
      <c r="G65" s="6">
        <v>21.79</v>
      </c>
      <c r="H65" s="6">
        <v>10.85</v>
      </c>
      <c r="I65" s="6">
        <v>4.1100000000000003</v>
      </c>
      <c r="J65" s="6">
        <v>1.68</v>
      </c>
      <c r="K65" s="6">
        <v>289.43</v>
      </c>
      <c r="L65" s="6">
        <v>34.590000000000003</v>
      </c>
      <c r="M65" s="6">
        <v>56.55</v>
      </c>
      <c r="N65" s="6">
        <v>563.20000000000005</v>
      </c>
      <c r="O65" s="6">
        <v>0</v>
      </c>
      <c r="P65" s="6">
        <v>0.44</v>
      </c>
      <c r="Q65" s="6">
        <v>3.93</v>
      </c>
    </row>
    <row r="66" spans="1:17" customFormat="1">
      <c r="A66" s="82">
        <v>45463.604166666664</v>
      </c>
      <c r="B66" s="6">
        <v>9</v>
      </c>
      <c r="C66" s="6">
        <v>4.07</v>
      </c>
      <c r="D66" s="6">
        <v>13.8</v>
      </c>
      <c r="E66" s="6">
        <v>10.89</v>
      </c>
      <c r="F66" s="6">
        <v>9.9700000000000006</v>
      </c>
      <c r="G66" s="6">
        <v>21.79</v>
      </c>
      <c r="H66" s="6">
        <v>10.85</v>
      </c>
      <c r="I66" s="6">
        <v>4.34</v>
      </c>
      <c r="J66" s="6">
        <v>2.09</v>
      </c>
      <c r="K66" s="6">
        <v>299.48</v>
      </c>
      <c r="L66" s="6">
        <v>34.79</v>
      </c>
      <c r="M66" s="6">
        <v>52.88</v>
      </c>
      <c r="N66" s="6">
        <v>723.5</v>
      </c>
      <c r="O66" s="6">
        <v>0</v>
      </c>
      <c r="P66" s="6">
        <v>0.47</v>
      </c>
      <c r="Q66" s="6">
        <v>3.96</v>
      </c>
    </row>
    <row r="67" spans="1:17" customFormat="1">
      <c r="A67" s="82">
        <v>45463.614583333336</v>
      </c>
      <c r="B67" s="6">
        <v>9.01</v>
      </c>
      <c r="C67" s="6">
        <v>4.05</v>
      </c>
      <c r="D67" s="6">
        <v>13.79</v>
      </c>
      <c r="E67" s="6">
        <v>11.32</v>
      </c>
      <c r="F67" s="6">
        <v>10.039999999999999</v>
      </c>
      <c r="G67" s="6">
        <v>21.79</v>
      </c>
      <c r="H67" s="6">
        <v>10.85</v>
      </c>
      <c r="I67" s="6">
        <v>4.5599999999999996</v>
      </c>
      <c r="J67" s="6">
        <v>1.64</v>
      </c>
      <c r="K67" s="6">
        <v>283.8</v>
      </c>
      <c r="L67" s="6">
        <v>34.93</v>
      </c>
      <c r="M67" s="6">
        <v>53.44</v>
      </c>
      <c r="N67" s="6">
        <v>565.79999999999995</v>
      </c>
      <c r="O67" s="6">
        <v>0</v>
      </c>
      <c r="P67" s="6">
        <v>0.49</v>
      </c>
      <c r="Q67" s="6">
        <v>3.94</v>
      </c>
    </row>
    <row r="68" spans="1:17" customFormat="1">
      <c r="A68" s="82">
        <v>45463.625</v>
      </c>
      <c r="B68" s="6">
        <v>9.02</v>
      </c>
      <c r="C68" s="6">
        <v>4.04</v>
      </c>
      <c r="D68" s="6">
        <v>13.79</v>
      </c>
      <c r="E68" s="6">
        <v>12.46</v>
      </c>
      <c r="F68" s="6">
        <v>14.21</v>
      </c>
      <c r="G68" s="6">
        <v>23.45</v>
      </c>
      <c r="H68" s="6">
        <v>10.94</v>
      </c>
      <c r="I68" s="6">
        <v>4.5599999999999996</v>
      </c>
      <c r="J68" s="6">
        <v>1.46</v>
      </c>
      <c r="K68" s="6">
        <v>288.99</v>
      </c>
      <c r="L68" s="6">
        <v>34.479999999999997</v>
      </c>
      <c r="M68" s="6">
        <v>53.44</v>
      </c>
      <c r="N68" s="6">
        <v>357.3</v>
      </c>
      <c r="O68" s="6">
        <v>0</v>
      </c>
      <c r="P68" s="6">
        <v>0.5</v>
      </c>
      <c r="Q68" s="6">
        <v>3.92</v>
      </c>
    </row>
    <row r="69" spans="1:17" customFormat="1">
      <c r="A69" s="82">
        <v>45463.635416666664</v>
      </c>
      <c r="B69" s="6">
        <v>9.0500000000000007</v>
      </c>
      <c r="C69" s="6">
        <v>4.05</v>
      </c>
      <c r="D69" s="6">
        <v>13.82</v>
      </c>
      <c r="E69" s="6">
        <v>11.16</v>
      </c>
      <c r="F69" s="6">
        <v>13.9</v>
      </c>
      <c r="G69" s="6">
        <v>25.03</v>
      </c>
      <c r="H69" s="6">
        <v>10.98</v>
      </c>
      <c r="I69" s="6">
        <v>4.62</v>
      </c>
      <c r="J69" s="6">
        <v>1.35</v>
      </c>
      <c r="K69" s="6">
        <v>279.35000000000002</v>
      </c>
      <c r="L69" s="6">
        <v>34.18</v>
      </c>
      <c r="M69" s="6">
        <v>54.74</v>
      </c>
      <c r="N69" s="6">
        <v>305.10000000000002</v>
      </c>
      <c r="O69" s="6">
        <v>0</v>
      </c>
      <c r="P69" s="6">
        <v>0.48</v>
      </c>
      <c r="Q69" s="6">
        <v>3.91</v>
      </c>
    </row>
    <row r="70" spans="1:17" customFormat="1">
      <c r="A70" s="82">
        <v>45463.645833333336</v>
      </c>
      <c r="B70" s="6">
        <v>9.0399999999999991</v>
      </c>
      <c r="C70" s="6">
        <v>4.07</v>
      </c>
      <c r="D70" s="6">
        <v>13.83</v>
      </c>
      <c r="E70" s="6">
        <v>10.36</v>
      </c>
      <c r="F70" s="6">
        <v>9.5399999999999991</v>
      </c>
      <c r="G70" s="6">
        <v>25.03</v>
      </c>
      <c r="H70" s="6">
        <v>10.98</v>
      </c>
      <c r="I70" s="6">
        <v>4.5999999999999996</v>
      </c>
      <c r="J70" s="6">
        <v>1.77</v>
      </c>
      <c r="K70" s="6">
        <v>284.41000000000003</v>
      </c>
      <c r="L70" s="6">
        <v>33.630000000000003</v>
      </c>
      <c r="M70" s="6">
        <v>55.03</v>
      </c>
      <c r="N70" s="6">
        <v>146</v>
      </c>
      <c r="O70" s="6">
        <v>0</v>
      </c>
      <c r="P70" s="6">
        <v>0.48</v>
      </c>
      <c r="Q70" s="6">
        <v>3.89</v>
      </c>
    </row>
    <row r="71" spans="1:17" customFormat="1">
      <c r="A71" s="82">
        <v>45463.65625</v>
      </c>
      <c r="B71" s="6">
        <v>9.0299999999999994</v>
      </c>
      <c r="C71" s="6">
        <v>4.0999999999999996</v>
      </c>
      <c r="D71" s="6">
        <v>13.84</v>
      </c>
      <c r="E71" s="6">
        <v>10.06</v>
      </c>
      <c r="F71" s="6">
        <v>13.11</v>
      </c>
      <c r="G71" s="6">
        <v>25.03</v>
      </c>
      <c r="H71" s="6">
        <v>10.98</v>
      </c>
      <c r="I71" s="6">
        <v>4.49</v>
      </c>
      <c r="J71" s="6">
        <v>1.33</v>
      </c>
      <c r="K71" s="6">
        <v>271.36</v>
      </c>
      <c r="L71" s="6">
        <v>33.5</v>
      </c>
      <c r="M71" s="6">
        <v>55.76</v>
      </c>
      <c r="N71" s="6">
        <v>148.5</v>
      </c>
      <c r="O71" s="6">
        <v>0</v>
      </c>
      <c r="P71" s="6">
        <v>0.47</v>
      </c>
      <c r="Q71" s="6">
        <v>3.9</v>
      </c>
    </row>
    <row r="72" spans="1:17" customFormat="1">
      <c r="A72" s="82">
        <v>45463.666666666664</v>
      </c>
      <c r="B72" s="6">
        <v>9.0299999999999994</v>
      </c>
      <c r="C72" s="6">
        <v>4.1100000000000003</v>
      </c>
      <c r="D72" s="6">
        <v>13.84</v>
      </c>
      <c r="E72" s="6">
        <v>10.28</v>
      </c>
      <c r="F72" s="6">
        <v>15.26</v>
      </c>
      <c r="G72" s="6">
        <v>23.74</v>
      </c>
      <c r="H72" s="6">
        <v>9.11</v>
      </c>
      <c r="I72" s="6">
        <v>4.53</v>
      </c>
      <c r="J72" s="6">
        <v>1.3</v>
      </c>
      <c r="K72" s="6">
        <v>273.57</v>
      </c>
      <c r="L72" s="6">
        <v>33.36</v>
      </c>
      <c r="M72" s="6">
        <v>55.84</v>
      </c>
      <c r="N72" s="6">
        <v>122.3</v>
      </c>
      <c r="O72" s="6">
        <v>0</v>
      </c>
      <c r="P72" s="6">
        <v>0.47</v>
      </c>
      <c r="Q72" s="6">
        <v>3.91</v>
      </c>
    </row>
    <row r="73" spans="1:17" customFormat="1">
      <c r="A73" s="82">
        <v>45463.677083333336</v>
      </c>
      <c r="B73" s="6">
        <v>8.99</v>
      </c>
      <c r="C73" s="6">
        <v>4.08</v>
      </c>
      <c r="D73" s="6">
        <v>13.79</v>
      </c>
      <c r="E73" s="6">
        <v>10.45</v>
      </c>
      <c r="F73" s="6">
        <v>15.18</v>
      </c>
      <c r="G73" s="6">
        <v>22.5</v>
      </c>
      <c r="H73" s="6">
        <v>8.24</v>
      </c>
      <c r="I73" s="6">
        <v>4.34</v>
      </c>
      <c r="J73" s="6">
        <v>1.0900000000000001</v>
      </c>
      <c r="K73" s="6">
        <v>262.10000000000002</v>
      </c>
      <c r="L73" s="6">
        <v>33.1</v>
      </c>
      <c r="M73" s="6">
        <v>56.58</v>
      </c>
      <c r="N73" s="6">
        <v>75.599999999999994</v>
      </c>
      <c r="O73" s="6">
        <v>0</v>
      </c>
      <c r="P73" s="6">
        <v>0.46</v>
      </c>
      <c r="Q73" s="6">
        <v>3.91</v>
      </c>
    </row>
    <row r="74" spans="1:17" customFormat="1">
      <c r="A74" s="82">
        <v>45463.6875</v>
      </c>
      <c r="B74" s="6">
        <v>8.98</v>
      </c>
      <c r="C74" s="6">
        <v>4.08</v>
      </c>
      <c r="D74" s="6">
        <v>13.78</v>
      </c>
      <c r="E74" s="6">
        <v>11.66</v>
      </c>
      <c r="F74" s="6">
        <v>14.55</v>
      </c>
      <c r="G74" s="6">
        <v>22.5</v>
      </c>
      <c r="H74" s="6">
        <v>8.24</v>
      </c>
      <c r="I74" s="6">
        <v>4.28</v>
      </c>
      <c r="J74" s="6">
        <v>1.1299999999999999</v>
      </c>
      <c r="K74" s="6">
        <v>265.02</v>
      </c>
      <c r="L74" s="6">
        <v>32.9</v>
      </c>
      <c r="M74" s="6">
        <v>58.15</v>
      </c>
      <c r="N74" s="6">
        <v>48.6</v>
      </c>
      <c r="O74" s="6">
        <v>0</v>
      </c>
      <c r="P74" s="6">
        <v>0.47</v>
      </c>
      <c r="Q74" s="6">
        <v>3.9</v>
      </c>
    </row>
    <row r="75" spans="1:17" customFormat="1">
      <c r="A75" s="82">
        <v>45463.697916666664</v>
      </c>
      <c r="B75" s="6">
        <v>8.98</v>
      </c>
      <c r="C75" s="6">
        <v>4.0599999999999996</v>
      </c>
      <c r="D75" s="6">
        <v>13.77</v>
      </c>
      <c r="E75" s="6">
        <v>12.18</v>
      </c>
      <c r="F75" s="6">
        <v>15.81</v>
      </c>
      <c r="G75" s="6">
        <v>22.5</v>
      </c>
      <c r="H75" s="6">
        <v>8.24</v>
      </c>
      <c r="I75" s="6">
        <v>4.3499999999999996</v>
      </c>
      <c r="J75" s="6">
        <v>0.95</v>
      </c>
      <c r="K75" s="6">
        <v>257.82</v>
      </c>
      <c r="L75" s="6">
        <v>32.75</v>
      </c>
      <c r="M75" s="6">
        <v>59.12</v>
      </c>
      <c r="N75" s="6">
        <v>36.200000000000003</v>
      </c>
      <c r="O75" s="6">
        <v>0</v>
      </c>
      <c r="P75" s="6">
        <v>0.47</v>
      </c>
      <c r="Q75" s="6">
        <v>3.89</v>
      </c>
    </row>
    <row r="76" spans="1:17" customFormat="1">
      <c r="A76" s="82">
        <v>45463.708333333336</v>
      </c>
      <c r="B76" s="6">
        <v>9</v>
      </c>
      <c r="C76" s="6">
        <v>4.07</v>
      </c>
      <c r="D76" s="6">
        <v>13.79</v>
      </c>
      <c r="E76" s="6">
        <v>11.19</v>
      </c>
      <c r="F76" s="6">
        <v>16.649999999999999</v>
      </c>
      <c r="G76" s="6">
        <v>22.56</v>
      </c>
      <c r="H76" s="6">
        <v>7.64</v>
      </c>
      <c r="I76" s="6">
        <v>4.47</v>
      </c>
      <c r="J76" s="6">
        <v>1.1299999999999999</v>
      </c>
      <c r="K76" s="6">
        <v>275.33</v>
      </c>
      <c r="L76" s="6">
        <v>32.67</v>
      </c>
      <c r="M76" s="6">
        <v>58.52</v>
      </c>
      <c r="N76" s="6">
        <v>18.899999999999999</v>
      </c>
      <c r="O76" s="6">
        <v>0</v>
      </c>
      <c r="P76" s="6">
        <v>0.46</v>
      </c>
      <c r="Q76" s="6">
        <v>3.92</v>
      </c>
    </row>
    <row r="77" spans="1:17" customFormat="1">
      <c r="A77" s="82">
        <v>45463.71875</v>
      </c>
      <c r="B77" s="6">
        <v>9</v>
      </c>
      <c r="C77" s="6">
        <v>4.08</v>
      </c>
      <c r="D77" s="6">
        <v>13.8</v>
      </c>
      <c r="E77" s="6">
        <v>11.49</v>
      </c>
      <c r="F77" s="6">
        <v>15.99</v>
      </c>
      <c r="G77" s="6">
        <v>22.61</v>
      </c>
      <c r="H77" s="6">
        <v>7.46</v>
      </c>
      <c r="I77" s="6">
        <v>4.43</v>
      </c>
      <c r="J77" s="6">
        <v>1.17</v>
      </c>
      <c r="K77" s="6">
        <v>4.4400000000000004</v>
      </c>
      <c r="L77" s="6">
        <v>32.22</v>
      </c>
      <c r="M77" s="6">
        <v>60.17</v>
      </c>
      <c r="N77" s="6">
        <v>9.3000000000000007</v>
      </c>
      <c r="O77" s="6">
        <v>0</v>
      </c>
      <c r="P77" s="6">
        <v>0.49</v>
      </c>
      <c r="Q77" s="6">
        <v>3.92</v>
      </c>
    </row>
    <row r="78" spans="1:17" customFormat="1">
      <c r="A78" s="82">
        <v>45463.729166666664</v>
      </c>
      <c r="B78" s="6">
        <v>9.06</v>
      </c>
      <c r="C78" s="6">
        <v>4.0599999999999996</v>
      </c>
      <c r="D78" s="6">
        <v>13.83</v>
      </c>
      <c r="E78" s="6">
        <v>10.71</v>
      </c>
      <c r="F78" s="6">
        <v>12.03</v>
      </c>
      <c r="G78" s="6">
        <v>22.61</v>
      </c>
      <c r="H78" s="6">
        <v>7.46</v>
      </c>
      <c r="I78" s="6">
        <v>4.3899999999999997</v>
      </c>
      <c r="J78" s="6">
        <v>3.12</v>
      </c>
      <c r="K78" s="6">
        <v>41.95</v>
      </c>
      <c r="L78" s="6">
        <v>28.3</v>
      </c>
      <c r="M78" s="6">
        <v>76.66</v>
      </c>
      <c r="N78" s="6">
        <v>8.5</v>
      </c>
      <c r="O78" s="6">
        <v>0</v>
      </c>
      <c r="P78" s="6">
        <v>0.45</v>
      </c>
      <c r="Q78" s="6">
        <v>3.92</v>
      </c>
    </row>
    <row r="79" spans="1:17" customFormat="1">
      <c r="A79" s="82">
        <v>45463.739583333336</v>
      </c>
      <c r="B79" s="6">
        <v>9.11</v>
      </c>
      <c r="C79" s="6">
        <v>4.07</v>
      </c>
      <c r="D79" s="6">
        <v>13.88</v>
      </c>
      <c r="E79" s="6">
        <v>9.06</v>
      </c>
      <c r="F79" s="6">
        <v>11.43</v>
      </c>
      <c r="G79" s="6">
        <v>22.61</v>
      </c>
      <c r="H79" s="6">
        <v>7.46</v>
      </c>
      <c r="I79" s="6">
        <v>4.51</v>
      </c>
      <c r="J79" s="6">
        <v>3.16</v>
      </c>
      <c r="K79" s="6">
        <v>46.51</v>
      </c>
      <c r="L79" s="6">
        <v>27.2</v>
      </c>
      <c r="M79" s="6">
        <v>79.459999999999994</v>
      </c>
      <c r="N79" s="6">
        <v>5.9</v>
      </c>
      <c r="O79" s="6">
        <v>0</v>
      </c>
      <c r="P79" s="6">
        <v>0.43</v>
      </c>
      <c r="Q79" s="6">
        <v>3.93</v>
      </c>
    </row>
    <row r="80" spans="1:17" customFormat="1">
      <c r="A80" s="82">
        <v>45463.75</v>
      </c>
      <c r="B80" s="6">
        <v>9.1</v>
      </c>
      <c r="C80" s="6">
        <v>4.0599999999999996</v>
      </c>
      <c r="D80" s="6">
        <v>13.87</v>
      </c>
      <c r="E80" s="6">
        <v>8.3800000000000008</v>
      </c>
      <c r="F80" s="6">
        <v>14.11</v>
      </c>
      <c r="G80" s="6">
        <v>23.96</v>
      </c>
      <c r="H80" s="6">
        <v>6.76</v>
      </c>
      <c r="I80" s="6">
        <v>4.34</v>
      </c>
      <c r="J80" s="6">
        <v>3.04</v>
      </c>
      <c r="K80" s="6">
        <v>41.46</v>
      </c>
      <c r="L80" s="6">
        <v>25.99</v>
      </c>
      <c r="M80" s="6">
        <v>85.79</v>
      </c>
      <c r="N80" s="6">
        <v>4.4000000000000004</v>
      </c>
      <c r="O80" s="6">
        <v>0</v>
      </c>
      <c r="P80" s="6">
        <v>0.41</v>
      </c>
      <c r="Q80" s="6">
        <v>3.92</v>
      </c>
    </row>
    <row r="81" spans="1:17" customFormat="1">
      <c r="A81" s="82">
        <v>45463.760416666664</v>
      </c>
      <c r="B81" s="6">
        <v>9.07</v>
      </c>
      <c r="C81" s="6">
        <v>4.07</v>
      </c>
      <c r="D81" s="6">
        <v>13.85</v>
      </c>
      <c r="E81" s="6">
        <v>8.51</v>
      </c>
      <c r="F81" s="6">
        <v>11.53</v>
      </c>
      <c r="G81" s="6">
        <v>25.25</v>
      </c>
      <c r="H81" s="6">
        <v>6.43</v>
      </c>
      <c r="I81" s="6">
        <v>4.22</v>
      </c>
      <c r="J81" s="6">
        <v>1.46</v>
      </c>
      <c r="K81" s="6">
        <v>38.86</v>
      </c>
      <c r="L81" s="6">
        <v>24.96</v>
      </c>
      <c r="M81" s="6">
        <v>93.62</v>
      </c>
      <c r="N81" s="6">
        <v>3.7</v>
      </c>
      <c r="O81" s="6">
        <v>0.4</v>
      </c>
      <c r="P81" s="6">
        <v>0.39</v>
      </c>
      <c r="Q81" s="6">
        <v>3.93</v>
      </c>
    </row>
    <row r="82" spans="1:17" customFormat="1">
      <c r="A82" s="82">
        <v>45463.770833333336</v>
      </c>
      <c r="B82" s="6">
        <v>9.06</v>
      </c>
      <c r="C82" s="6">
        <v>4.04</v>
      </c>
      <c r="D82" s="6">
        <v>13.83</v>
      </c>
      <c r="E82" s="6">
        <v>11.77</v>
      </c>
      <c r="F82" s="6">
        <v>14.41</v>
      </c>
      <c r="G82" s="6">
        <v>25.25</v>
      </c>
      <c r="H82" s="6">
        <v>6.43</v>
      </c>
      <c r="I82" s="6">
        <v>3.99</v>
      </c>
      <c r="J82" s="6">
        <v>0.23</v>
      </c>
      <c r="K82" s="6">
        <v>10.67</v>
      </c>
      <c r="L82" s="6">
        <v>24.97</v>
      </c>
      <c r="M82" s="6">
        <v>96.21</v>
      </c>
      <c r="N82" s="6">
        <v>1.9</v>
      </c>
      <c r="O82" s="6">
        <v>1.2</v>
      </c>
      <c r="P82" s="6">
        <v>0.39</v>
      </c>
      <c r="Q82" s="6">
        <v>3.94</v>
      </c>
    </row>
    <row r="83" spans="1:17" customFormat="1">
      <c r="A83" s="82">
        <v>45463.78125</v>
      </c>
      <c r="B83" s="6">
        <v>9.1</v>
      </c>
      <c r="C83" s="6">
        <v>4.04</v>
      </c>
      <c r="D83" s="6">
        <v>13.85</v>
      </c>
      <c r="E83" s="6">
        <v>10.35</v>
      </c>
      <c r="F83" s="6">
        <v>10.46</v>
      </c>
      <c r="G83" s="6">
        <v>25.25</v>
      </c>
      <c r="H83" s="6">
        <v>6.43</v>
      </c>
      <c r="I83" s="6">
        <v>3.91</v>
      </c>
      <c r="J83" s="6">
        <v>1.22</v>
      </c>
      <c r="K83" s="6">
        <v>331.52</v>
      </c>
      <c r="L83" s="6">
        <v>24.7</v>
      </c>
      <c r="M83" s="6">
        <v>98.65</v>
      </c>
      <c r="N83" s="6">
        <v>2.5</v>
      </c>
      <c r="O83" s="6">
        <v>3.8</v>
      </c>
      <c r="P83" s="6">
        <v>0.37</v>
      </c>
      <c r="Q83" s="6">
        <v>3.95</v>
      </c>
    </row>
    <row r="84" spans="1:17" customFormat="1">
      <c r="A84" s="82">
        <v>45463.791666666664</v>
      </c>
      <c r="B84" s="6">
        <v>9.14</v>
      </c>
      <c r="C84" s="6">
        <v>4.0599999999999996</v>
      </c>
      <c r="D84" s="6">
        <v>13.9</v>
      </c>
      <c r="E84" s="6">
        <v>8.3800000000000008</v>
      </c>
      <c r="F84" s="6">
        <v>8.67</v>
      </c>
      <c r="G84" s="6">
        <v>22.56</v>
      </c>
      <c r="H84" s="6">
        <v>8.99</v>
      </c>
      <c r="I84" s="6">
        <v>3.79</v>
      </c>
      <c r="J84" s="6">
        <v>2.1</v>
      </c>
      <c r="K84" s="6">
        <v>311.64999999999998</v>
      </c>
      <c r="L84" s="6">
        <v>24.01</v>
      </c>
      <c r="M84" s="6">
        <v>100.85</v>
      </c>
      <c r="N84" s="6">
        <v>3.8</v>
      </c>
      <c r="O84" s="6">
        <v>10.4</v>
      </c>
      <c r="P84" s="6">
        <v>0.36</v>
      </c>
      <c r="Q84" s="6">
        <v>3.95</v>
      </c>
    </row>
    <row r="85" spans="1:17" customFormat="1">
      <c r="A85" s="82">
        <v>45463.802083333336</v>
      </c>
      <c r="B85" s="6">
        <v>9.1199999999999992</v>
      </c>
      <c r="C85" s="6">
        <v>4.08</v>
      </c>
      <c r="D85" s="6">
        <v>13.9</v>
      </c>
      <c r="E85" s="6">
        <v>8.24</v>
      </c>
      <c r="F85" s="6">
        <v>6.69</v>
      </c>
      <c r="G85" s="6">
        <v>20</v>
      </c>
      <c r="H85" s="6">
        <v>10.18</v>
      </c>
      <c r="I85" s="6">
        <v>3.97</v>
      </c>
      <c r="J85" s="6">
        <v>2.0699999999999998</v>
      </c>
      <c r="K85" s="6">
        <v>304.99</v>
      </c>
      <c r="L85" s="6">
        <v>23.51</v>
      </c>
      <c r="M85" s="6">
        <v>101.78</v>
      </c>
      <c r="N85" s="6">
        <v>2.4</v>
      </c>
      <c r="O85" s="6">
        <v>4.2</v>
      </c>
      <c r="P85" s="6">
        <v>0.35</v>
      </c>
      <c r="Q85" s="6">
        <v>3.95</v>
      </c>
    </row>
    <row r="86" spans="1:17" customFormat="1">
      <c r="A86" s="82">
        <v>45463.8125</v>
      </c>
      <c r="B86" s="6">
        <v>9.07</v>
      </c>
      <c r="C86" s="6">
        <v>4.04</v>
      </c>
      <c r="D86" s="6">
        <v>13.83</v>
      </c>
      <c r="E86" s="6">
        <v>8.06</v>
      </c>
      <c r="F86" s="6">
        <v>5.0199999999999996</v>
      </c>
      <c r="G86" s="6">
        <v>20</v>
      </c>
      <c r="H86" s="6">
        <v>10.18</v>
      </c>
      <c r="I86" s="6">
        <v>3.96</v>
      </c>
      <c r="J86" s="6">
        <v>0.71</v>
      </c>
      <c r="K86" s="6">
        <v>300.98</v>
      </c>
      <c r="L86" s="6">
        <v>23.74</v>
      </c>
      <c r="M86" s="6">
        <v>102.43</v>
      </c>
      <c r="N86" s="6">
        <v>1.9</v>
      </c>
      <c r="O86" s="6">
        <v>0.8</v>
      </c>
      <c r="P86" s="6">
        <v>0.37</v>
      </c>
      <c r="Q86" s="6">
        <v>3.92</v>
      </c>
    </row>
    <row r="87" spans="1:17" customFormat="1">
      <c r="A87" s="82">
        <v>45463.822916666664</v>
      </c>
      <c r="B87" s="6">
        <v>9.0500000000000007</v>
      </c>
      <c r="C87" s="6">
        <v>4.03</v>
      </c>
      <c r="D87" s="6">
        <v>13.81</v>
      </c>
      <c r="E87" s="6">
        <v>8.15</v>
      </c>
      <c r="F87" s="6">
        <v>7.73</v>
      </c>
      <c r="G87" s="6">
        <v>20</v>
      </c>
      <c r="H87" s="6">
        <v>10.18</v>
      </c>
      <c r="I87" s="6">
        <v>3.97</v>
      </c>
      <c r="J87" s="6">
        <v>0.42</v>
      </c>
      <c r="K87" s="6">
        <v>312.95999999999998</v>
      </c>
      <c r="L87" s="6">
        <v>23.94</v>
      </c>
      <c r="M87" s="6">
        <v>101.77</v>
      </c>
      <c r="N87" s="6">
        <v>2.1</v>
      </c>
      <c r="O87" s="6">
        <v>0.2</v>
      </c>
      <c r="P87" s="6">
        <v>0.41</v>
      </c>
      <c r="Q87" s="6">
        <v>3.92</v>
      </c>
    </row>
    <row r="88" spans="1:17" customFormat="1">
      <c r="A88" s="82">
        <v>45463.833333333336</v>
      </c>
      <c r="B88" s="6">
        <v>9.07</v>
      </c>
      <c r="C88" s="6">
        <v>4.09</v>
      </c>
      <c r="D88" s="6">
        <v>13.86</v>
      </c>
      <c r="E88" s="6">
        <v>8.2100000000000009</v>
      </c>
      <c r="F88" s="6">
        <v>7.64</v>
      </c>
      <c r="G88" s="6">
        <v>18.739999999999998</v>
      </c>
      <c r="H88" s="6">
        <v>9.2200000000000006</v>
      </c>
      <c r="I88" s="6">
        <v>3.93</v>
      </c>
      <c r="J88" s="6">
        <v>0.66</v>
      </c>
      <c r="K88" s="6">
        <v>266.54000000000002</v>
      </c>
      <c r="L88" s="6">
        <v>24.16</v>
      </c>
      <c r="M88" s="6">
        <v>102.04</v>
      </c>
      <c r="N88" s="6">
        <v>2.1</v>
      </c>
      <c r="O88" s="6">
        <v>0.6</v>
      </c>
      <c r="P88" s="6">
        <v>0.43</v>
      </c>
      <c r="Q88" s="6">
        <v>3.91</v>
      </c>
    </row>
    <row r="89" spans="1:17" customFormat="1">
      <c r="A89" s="82">
        <v>45463.84375</v>
      </c>
      <c r="B89" s="6">
        <v>9.06</v>
      </c>
      <c r="C89" s="6">
        <v>4.0599999999999996</v>
      </c>
      <c r="D89" s="6">
        <v>13.83</v>
      </c>
      <c r="E89" s="6">
        <v>8.5</v>
      </c>
      <c r="F89" s="6">
        <v>5.42</v>
      </c>
      <c r="G89" s="6">
        <v>17.53</v>
      </c>
      <c r="H89" s="6">
        <v>8.26</v>
      </c>
      <c r="I89" s="6">
        <v>3.87</v>
      </c>
      <c r="J89" s="6">
        <v>0.66</v>
      </c>
      <c r="K89" s="6">
        <v>287.42</v>
      </c>
      <c r="L89" s="6">
        <v>24.32</v>
      </c>
      <c r="M89" s="6">
        <v>102.31</v>
      </c>
      <c r="N89" s="6">
        <v>2.2000000000000002</v>
      </c>
      <c r="O89" s="6">
        <v>0.8</v>
      </c>
      <c r="P89" s="6">
        <v>0.45</v>
      </c>
      <c r="Q89" s="6">
        <v>3.91</v>
      </c>
    </row>
    <row r="90" spans="1:17" customFormat="1">
      <c r="A90" s="82">
        <v>45463.854166666664</v>
      </c>
      <c r="B90" s="6">
        <v>9.0399999999999991</v>
      </c>
      <c r="C90" s="6">
        <v>4.04</v>
      </c>
      <c r="D90" s="6">
        <v>13.81</v>
      </c>
      <c r="E90" s="6">
        <v>8.6199999999999992</v>
      </c>
      <c r="F90" s="6">
        <v>6.31</v>
      </c>
      <c r="G90" s="6">
        <v>17.53</v>
      </c>
      <c r="H90" s="6">
        <v>8.26</v>
      </c>
      <c r="I90" s="6">
        <v>3.86</v>
      </c>
      <c r="J90" s="6">
        <v>0.43</v>
      </c>
      <c r="K90" s="6">
        <v>313.39</v>
      </c>
      <c r="L90" s="6">
        <v>24.44</v>
      </c>
      <c r="M90" s="6">
        <v>102.67</v>
      </c>
      <c r="N90" s="6">
        <v>2.1</v>
      </c>
      <c r="O90" s="6">
        <v>0.8</v>
      </c>
      <c r="P90" s="6">
        <v>0.47</v>
      </c>
      <c r="Q90" s="6">
        <v>3.94</v>
      </c>
    </row>
    <row r="91" spans="1:17" customFormat="1">
      <c r="A91" s="82">
        <v>45463.864583333336</v>
      </c>
      <c r="B91" s="6">
        <v>9.0399999999999991</v>
      </c>
      <c r="C91" s="6">
        <v>4.0599999999999996</v>
      </c>
      <c r="D91" s="6">
        <v>13.82</v>
      </c>
      <c r="E91" s="6">
        <v>8.84</v>
      </c>
      <c r="F91" s="6">
        <v>6.3</v>
      </c>
      <c r="G91" s="6">
        <v>17.53</v>
      </c>
      <c r="H91" s="6">
        <v>8.26</v>
      </c>
      <c r="I91" s="6">
        <v>3.95</v>
      </c>
      <c r="J91" s="6">
        <v>0.27</v>
      </c>
      <c r="K91" s="6">
        <v>262.77</v>
      </c>
      <c r="L91" s="6">
        <v>24.52</v>
      </c>
      <c r="M91" s="6">
        <v>103.03</v>
      </c>
      <c r="N91" s="6">
        <v>2.2000000000000002</v>
      </c>
      <c r="O91" s="6">
        <v>0.6</v>
      </c>
      <c r="P91" s="6">
        <v>0.47</v>
      </c>
      <c r="Q91" s="6">
        <v>3.9</v>
      </c>
    </row>
    <row r="92" spans="1:17" customFormat="1">
      <c r="A92" s="82">
        <v>45463.875</v>
      </c>
      <c r="B92" s="6">
        <v>9.0299999999999994</v>
      </c>
      <c r="C92" s="6">
        <v>4.08</v>
      </c>
      <c r="D92" s="6">
        <v>13.82</v>
      </c>
      <c r="E92" s="6">
        <v>9.06</v>
      </c>
      <c r="F92" s="6">
        <v>5.27</v>
      </c>
      <c r="G92" s="6">
        <v>16.16</v>
      </c>
      <c r="H92" s="6">
        <v>8.15</v>
      </c>
      <c r="I92" s="6">
        <v>3.98</v>
      </c>
      <c r="J92" s="6">
        <v>0.27</v>
      </c>
      <c r="K92" s="6">
        <v>324.16000000000003</v>
      </c>
      <c r="L92" s="6">
        <v>24.61</v>
      </c>
      <c r="M92" s="6">
        <v>102.15</v>
      </c>
      <c r="N92" s="6">
        <v>2.2000000000000002</v>
      </c>
      <c r="O92" s="6">
        <v>0.4</v>
      </c>
      <c r="P92" s="6">
        <v>0.48</v>
      </c>
      <c r="Q92" s="6">
        <v>3.92</v>
      </c>
    </row>
    <row r="93" spans="1:17" customFormat="1">
      <c r="A93" s="82">
        <v>45463.885416666664</v>
      </c>
      <c r="B93" s="6">
        <v>9.0299999999999994</v>
      </c>
      <c r="C93" s="6">
        <v>4.07</v>
      </c>
      <c r="D93" s="6">
        <v>13.82</v>
      </c>
      <c r="E93" s="6">
        <v>9.07</v>
      </c>
      <c r="F93" s="6">
        <v>4.88</v>
      </c>
      <c r="G93" s="6">
        <v>14.85</v>
      </c>
      <c r="H93" s="6">
        <v>8.1</v>
      </c>
      <c r="I93" s="6">
        <v>4.01</v>
      </c>
      <c r="J93" s="6">
        <v>0.27</v>
      </c>
      <c r="K93" s="6">
        <v>66.5</v>
      </c>
      <c r="L93" s="6">
        <v>24.75</v>
      </c>
      <c r="M93" s="6">
        <v>102.57</v>
      </c>
      <c r="N93" s="6">
        <v>2.1</v>
      </c>
      <c r="O93" s="6">
        <v>0.2</v>
      </c>
      <c r="P93" s="6">
        <v>0.51</v>
      </c>
      <c r="Q93" s="6">
        <v>3.91</v>
      </c>
    </row>
    <row r="94" spans="1:17" customFormat="1">
      <c r="A94" s="82">
        <v>45463.895833333336</v>
      </c>
      <c r="B94" s="6">
        <v>9.0399999999999991</v>
      </c>
      <c r="C94" s="6">
        <v>4.05</v>
      </c>
      <c r="D94" s="6">
        <v>13.81</v>
      </c>
      <c r="E94" s="6">
        <v>9.42</v>
      </c>
      <c r="F94" s="6">
        <v>4.59</v>
      </c>
      <c r="G94" s="6">
        <v>14.85</v>
      </c>
      <c r="H94" s="6">
        <v>8.1</v>
      </c>
      <c r="I94" s="6">
        <v>4.13</v>
      </c>
      <c r="J94" s="6">
        <v>0.17</v>
      </c>
      <c r="K94" s="6">
        <v>212.34</v>
      </c>
      <c r="L94" s="6">
        <v>24.93</v>
      </c>
      <c r="M94" s="6">
        <v>103.29</v>
      </c>
      <c r="N94" s="6">
        <v>1.9</v>
      </c>
      <c r="O94" s="6">
        <v>0</v>
      </c>
      <c r="P94" s="6">
        <v>0.51</v>
      </c>
      <c r="Q94" s="6">
        <v>3.93</v>
      </c>
    </row>
    <row r="95" spans="1:17" customFormat="1">
      <c r="A95" s="82">
        <v>45463.90625</v>
      </c>
      <c r="B95" s="6">
        <v>9.0299999999999994</v>
      </c>
      <c r="C95" s="6">
        <v>4.07</v>
      </c>
      <c r="D95" s="6">
        <v>13.82</v>
      </c>
      <c r="E95" s="6">
        <v>9.48</v>
      </c>
      <c r="F95" s="6">
        <v>4.29</v>
      </c>
      <c r="G95" s="6">
        <v>14.85</v>
      </c>
      <c r="H95" s="6">
        <v>8.1</v>
      </c>
      <c r="I95" s="6">
        <v>4.1900000000000004</v>
      </c>
      <c r="J95" s="6">
        <v>0.22</v>
      </c>
      <c r="K95" s="6">
        <v>178.37</v>
      </c>
      <c r="L95" s="6">
        <v>24.94</v>
      </c>
      <c r="M95" s="6">
        <v>103.02</v>
      </c>
      <c r="N95" s="6">
        <v>2.2000000000000002</v>
      </c>
      <c r="O95" s="6">
        <v>0</v>
      </c>
      <c r="P95" s="6">
        <v>0.51</v>
      </c>
      <c r="Q95" s="6">
        <v>3.94</v>
      </c>
    </row>
    <row r="96" spans="1:17" customFormat="1">
      <c r="A96" s="82">
        <v>45463.916666666664</v>
      </c>
      <c r="B96" s="6">
        <v>9.0299999999999994</v>
      </c>
      <c r="C96" s="6">
        <v>4.0599999999999996</v>
      </c>
      <c r="D96" s="6">
        <v>13.81</v>
      </c>
      <c r="E96" s="6">
        <v>9.5</v>
      </c>
      <c r="F96" s="6">
        <v>4.7699999999999996</v>
      </c>
      <c r="G96" s="6">
        <v>13.53</v>
      </c>
      <c r="H96" s="6">
        <v>7.6</v>
      </c>
      <c r="I96" s="6">
        <v>4.16</v>
      </c>
      <c r="J96" s="6">
        <v>0.21</v>
      </c>
      <c r="K96" s="6">
        <v>170.88</v>
      </c>
      <c r="L96" s="6">
        <v>25.04</v>
      </c>
      <c r="M96" s="6">
        <v>104.22</v>
      </c>
      <c r="N96" s="6">
        <v>2.1</v>
      </c>
      <c r="O96" s="6">
        <v>0</v>
      </c>
      <c r="P96" s="6">
        <v>0.51</v>
      </c>
      <c r="Q96" s="6">
        <v>3.92</v>
      </c>
    </row>
    <row r="97" spans="1:22" customFormat="1">
      <c r="A97" s="82">
        <v>45463.927083333336</v>
      </c>
      <c r="B97" s="6">
        <v>9.02</v>
      </c>
      <c r="C97" s="6">
        <v>4.07</v>
      </c>
      <c r="D97" s="6">
        <v>13.82</v>
      </c>
      <c r="E97" s="6">
        <v>9.82</v>
      </c>
      <c r="F97" s="6">
        <v>4.42</v>
      </c>
      <c r="G97" s="6">
        <v>12.26</v>
      </c>
      <c r="H97" s="6">
        <v>7.37</v>
      </c>
      <c r="I97" s="6">
        <v>4.1500000000000004</v>
      </c>
      <c r="J97" s="6">
        <v>0.18</v>
      </c>
      <c r="K97" s="6">
        <v>175.67</v>
      </c>
      <c r="L97" s="6">
        <v>25</v>
      </c>
      <c r="M97" s="6">
        <v>104.53</v>
      </c>
      <c r="N97" s="6">
        <v>2.2999999999999998</v>
      </c>
      <c r="O97" s="6">
        <v>0</v>
      </c>
      <c r="P97" s="6">
        <v>0.51</v>
      </c>
      <c r="Q97" s="6">
        <v>3.94</v>
      </c>
    </row>
    <row r="98" spans="1:22" customFormat="1">
      <c r="A98" s="82">
        <v>45463.9375</v>
      </c>
      <c r="B98" s="6">
        <v>9.0399999999999991</v>
      </c>
      <c r="C98" s="6">
        <v>4.07</v>
      </c>
      <c r="D98" s="6">
        <v>13.83</v>
      </c>
      <c r="E98" s="6">
        <v>9.93</v>
      </c>
      <c r="F98" s="6">
        <v>4.1500000000000004</v>
      </c>
      <c r="G98" s="6">
        <v>12.26</v>
      </c>
      <c r="H98" s="6">
        <v>7.37</v>
      </c>
      <c r="I98" s="6">
        <v>4.25</v>
      </c>
      <c r="J98" s="6">
        <v>0.16</v>
      </c>
      <c r="K98" s="6">
        <v>234.52</v>
      </c>
      <c r="L98" s="6">
        <v>25.09</v>
      </c>
      <c r="M98" s="6">
        <v>103.92</v>
      </c>
      <c r="N98" s="6">
        <v>2</v>
      </c>
      <c r="O98" s="6">
        <v>0</v>
      </c>
      <c r="P98" s="6">
        <v>0.51</v>
      </c>
      <c r="Q98" s="6">
        <v>3.93</v>
      </c>
    </row>
    <row r="99" spans="1:22" customFormat="1">
      <c r="A99" s="82">
        <v>45463.947916666664</v>
      </c>
      <c r="B99" s="6">
        <v>9.06</v>
      </c>
      <c r="C99" s="6">
        <v>4.0599999999999996</v>
      </c>
      <c r="D99" s="6">
        <v>13.84</v>
      </c>
      <c r="E99" s="6">
        <v>10</v>
      </c>
      <c r="F99" s="6">
        <v>3.9</v>
      </c>
      <c r="G99" s="6">
        <v>12.26</v>
      </c>
      <c r="H99" s="6">
        <v>7.37</v>
      </c>
      <c r="I99" s="6">
        <v>4.18</v>
      </c>
      <c r="J99" s="6">
        <v>0.19</v>
      </c>
      <c r="K99" s="6">
        <v>235.11</v>
      </c>
      <c r="L99" s="6">
        <v>25</v>
      </c>
      <c r="M99" s="6">
        <v>102.86</v>
      </c>
      <c r="N99" s="6">
        <v>2.4</v>
      </c>
      <c r="O99" s="6">
        <v>0</v>
      </c>
      <c r="P99" s="6">
        <v>0.51</v>
      </c>
      <c r="Q99" s="6">
        <v>3.92</v>
      </c>
    </row>
    <row r="100" spans="1:22" customFormat="1">
      <c r="A100" s="82">
        <v>45463.958333333336</v>
      </c>
      <c r="B100" s="6">
        <v>9.0500000000000007</v>
      </c>
      <c r="C100" s="6">
        <v>4.05</v>
      </c>
      <c r="D100" s="6">
        <v>13.82</v>
      </c>
      <c r="E100" s="6">
        <v>9.83</v>
      </c>
      <c r="F100" s="6">
        <v>3.98</v>
      </c>
      <c r="G100" s="6">
        <v>13.85</v>
      </c>
      <c r="H100" s="6">
        <v>6.94</v>
      </c>
      <c r="I100" s="6">
        <v>4.17</v>
      </c>
      <c r="J100" s="6">
        <v>0.12</v>
      </c>
      <c r="K100" s="6">
        <v>258.83</v>
      </c>
      <c r="L100" s="6">
        <v>24.92</v>
      </c>
      <c r="M100" s="6">
        <v>101.99</v>
      </c>
      <c r="N100" s="6">
        <v>2.2999999999999998</v>
      </c>
      <c r="O100" s="6">
        <v>0</v>
      </c>
      <c r="P100" s="6">
        <v>0.5</v>
      </c>
      <c r="Q100" s="6">
        <v>3.93</v>
      </c>
    </row>
    <row r="101" spans="1:22" customFormat="1">
      <c r="A101" s="82">
        <v>45463.96875</v>
      </c>
      <c r="B101" s="6">
        <v>9.0500000000000007</v>
      </c>
      <c r="C101" s="6">
        <v>4.05</v>
      </c>
      <c r="D101" s="6">
        <v>13.82</v>
      </c>
      <c r="E101" s="6">
        <v>9.83</v>
      </c>
      <c r="F101" s="6">
        <v>3.98</v>
      </c>
      <c r="G101" s="6">
        <v>13.85</v>
      </c>
      <c r="H101" s="6">
        <v>6.94</v>
      </c>
      <c r="I101" s="6">
        <v>4.17</v>
      </c>
      <c r="J101" s="6">
        <v>0.12</v>
      </c>
      <c r="K101" s="6">
        <v>258.83</v>
      </c>
      <c r="L101" s="6">
        <v>24.92</v>
      </c>
      <c r="M101" s="6">
        <v>101.99</v>
      </c>
      <c r="N101" s="6">
        <v>2.2999999999999998</v>
      </c>
      <c r="O101" s="6">
        <v>0</v>
      </c>
      <c r="P101" s="6">
        <v>0.5</v>
      </c>
      <c r="Q101" s="6">
        <v>3.93</v>
      </c>
    </row>
    <row r="102" spans="1:22" customFormat="1">
      <c r="A102" s="82">
        <v>45463.979166666664</v>
      </c>
      <c r="B102" s="6">
        <v>9.1</v>
      </c>
      <c r="C102" s="6">
        <v>4.0599999999999996</v>
      </c>
      <c r="D102" s="6">
        <v>13.87</v>
      </c>
      <c r="E102" s="6">
        <v>10.49</v>
      </c>
      <c r="F102" s="6">
        <v>4</v>
      </c>
      <c r="G102" s="6">
        <v>15.38</v>
      </c>
      <c r="H102" s="6">
        <v>6.75</v>
      </c>
      <c r="I102" s="6">
        <v>4.12</v>
      </c>
      <c r="J102" s="6">
        <v>0.19</v>
      </c>
      <c r="K102" s="6">
        <v>235.55</v>
      </c>
      <c r="L102" s="6">
        <v>24.95</v>
      </c>
      <c r="M102" s="6">
        <v>101.4</v>
      </c>
      <c r="N102" s="6">
        <v>2.2000000000000002</v>
      </c>
      <c r="O102" s="6">
        <v>0</v>
      </c>
      <c r="P102" s="6">
        <v>0.49</v>
      </c>
      <c r="Q102" s="6">
        <v>3.93</v>
      </c>
    </row>
    <row r="103" spans="1:22" customFormat="1">
      <c r="A103" s="82">
        <v>45463.989583333336</v>
      </c>
      <c r="B103" s="6">
        <v>9.1199999999999992</v>
      </c>
      <c r="C103" s="6">
        <v>4.08</v>
      </c>
      <c r="D103" s="6">
        <v>13.89</v>
      </c>
      <c r="E103" s="6">
        <v>10.27</v>
      </c>
      <c r="F103" s="6">
        <v>4.05</v>
      </c>
      <c r="G103" s="6">
        <v>15.38</v>
      </c>
      <c r="H103" s="6">
        <v>6.75</v>
      </c>
      <c r="I103" s="6">
        <v>4.0599999999999996</v>
      </c>
      <c r="J103" s="6">
        <v>0.08</v>
      </c>
      <c r="K103" s="6">
        <v>190.91</v>
      </c>
      <c r="L103" s="6">
        <v>24.84</v>
      </c>
      <c r="M103" s="6">
        <v>100.88</v>
      </c>
      <c r="N103" s="6">
        <v>2.4</v>
      </c>
      <c r="O103" s="6">
        <v>0</v>
      </c>
      <c r="P103" s="6">
        <v>0.47</v>
      </c>
      <c r="Q103" s="6">
        <v>3.94</v>
      </c>
    </row>
    <row r="104" spans="1:22" customFormat="1">
      <c r="A104" s="82">
        <v>45464</v>
      </c>
      <c r="B104" s="6">
        <v>9.09</v>
      </c>
      <c r="C104" s="6">
        <v>4.07</v>
      </c>
      <c r="D104" s="6">
        <v>13.87</v>
      </c>
      <c r="E104" s="6">
        <v>11.07</v>
      </c>
      <c r="F104" s="6">
        <v>5.34</v>
      </c>
      <c r="G104" s="6">
        <v>13.08</v>
      </c>
      <c r="H104" s="6">
        <v>7.25</v>
      </c>
      <c r="I104" s="6">
        <v>4.09</v>
      </c>
      <c r="J104" s="6">
        <v>0.11</v>
      </c>
      <c r="K104" s="6">
        <v>159.82</v>
      </c>
      <c r="L104" s="6">
        <v>24.86</v>
      </c>
      <c r="M104" s="6">
        <v>100.46</v>
      </c>
      <c r="N104" s="6">
        <v>2.4</v>
      </c>
      <c r="O104" s="6">
        <v>0</v>
      </c>
      <c r="P104" s="6">
        <v>0.46</v>
      </c>
      <c r="Q104" s="6">
        <v>3.93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8.9700000000000006</v>
      </c>
      <c r="C106" s="184">
        <f>MIN(C9:C104)</f>
        <v>3.98</v>
      </c>
      <c r="D106" s="184">
        <f t="shared" ref="D106:Q106" si="0">MIN(D9:D104)</f>
        <v>13.77</v>
      </c>
      <c r="E106" s="184">
        <f t="shared" si="0"/>
        <v>6.11</v>
      </c>
      <c r="F106" s="184">
        <f t="shared" si="0"/>
        <v>3.9</v>
      </c>
      <c r="G106" s="184">
        <f t="shared" si="0"/>
        <v>7.63</v>
      </c>
      <c r="H106" s="184">
        <f t="shared" si="0"/>
        <v>2.74</v>
      </c>
      <c r="I106" s="184">
        <f t="shared" si="0"/>
        <v>3.38</v>
      </c>
      <c r="J106" s="184">
        <f t="shared" si="0"/>
        <v>0.08</v>
      </c>
      <c r="K106" s="184">
        <f t="shared" si="0"/>
        <v>4.4400000000000004</v>
      </c>
      <c r="L106" s="184">
        <f t="shared" si="0"/>
        <v>23.51</v>
      </c>
      <c r="M106" s="184">
        <f t="shared" si="0"/>
        <v>52.88</v>
      </c>
      <c r="N106" s="184">
        <f t="shared" si="0"/>
        <v>1.8</v>
      </c>
      <c r="O106" s="184">
        <f t="shared" si="0"/>
        <v>0</v>
      </c>
      <c r="P106" s="184">
        <f t="shared" si="0"/>
        <v>0.27</v>
      </c>
      <c r="Q106" s="184">
        <f t="shared" si="0"/>
        <v>3.89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9.14</v>
      </c>
      <c r="C107" s="185">
        <f t="shared" ref="C107:Q107" si="1">MAX(C9:C104)</f>
        <v>4.1100000000000003</v>
      </c>
      <c r="D107" s="185">
        <f t="shared" si="1"/>
        <v>13.9</v>
      </c>
      <c r="E107" s="185">
        <f t="shared" si="1"/>
        <v>12.46</v>
      </c>
      <c r="F107" s="185">
        <f t="shared" si="1"/>
        <v>16.649999999999999</v>
      </c>
      <c r="G107" s="185">
        <f t="shared" si="1"/>
        <v>25.25</v>
      </c>
      <c r="H107" s="185">
        <f t="shared" si="1"/>
        <v>10.98</v>
      </c>
      <c r="I107" s="185">
        <f t="shared" si="1"/>
        <v>4.62</v>
      </c>
      <c r="J107" s="185">
        <f t="shared" si="1"/>
        <v>3.16</v>
      </c>
      <c r="K107" s="185">
        <f t="shared" si="1"/>
        <v>331.52</v>
      </c>
      <c r="L107" s="185">
        <f t="shared" si="1"/>
        <v>34.93</v>
      </c>
      <c r="M107" s="185">
        <f t="shared" si="1"/>
        <v>104.53</v>
      </c>
      <c r="N107" s="185">
        <f t="shared" si="1"/>
        <v>773.7</v>
      </c>
      <c r="O107" s="185">
        <f t="shared" si="1"/>
        <v>10.4</v>
      </c>
      <c r="P107" s="185">
        <f t="shared" si="1"/>
        <v>0.51</v>
      </c>
      <c r="Q107" s="185">
        <f t="shared" si="1"/>
        <v>3.97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9.0459374999999955</v>
      </c>
      <c r="C108" s="184">
        <f t="shared" ref="C108:Q108" si="2">AVERAGE(C9:C104)</f>
        <v>4.0587500000000007</v>
      </c>
      <c r="D108" s="184">
        <f t="shared" si="2"/>
        <v>13.824791666666648</v>
      </c>
      <c r="E108" s="184">
        <f t="shared" si="2"/>
        <v>9.6973958333333332</v>
      </c>
      <c r="F108" s="184">
        <f t="shared" si="2"/>
        <v>9.0304166666666621</v>
      </c>
      <c r="G108" s="184">
        <f t="shared" si="2"/>
        <v>15.724479166666656</v>
      </c>
      <c r="H108" s="184">
        <f t="shared" si="2"/>
        <v>6.4144791666666725</v>
      </c>
      <c r="I108" s="184">
        <f t="shared" si="2"/>
        <v>3.9287500000000022</v>
      </c>
      <c r="J108" s="184">
        <f t="shared" si="2"/>
        <v>0.91979166666666645</v>
      </c>
      <c r="K108" s="184">
        <f t="shared" si="2"/>
        <v>246.71114583333329</v>
      </c>
      <c r="L108" s="184">
        <f t="shared" si="2"/>
        <v>28.874166666666664</v>
      </c>
      <c r="M108" s="184">
        <f t="shared" si="2"/>
        <v>78.555833333333325</v>
      </c>
      <c r="N108" s="184">
        <f t="shared" si="2"/>
        <v>138.65520833333332</v>
      </c>
      <c r="O108" s="184">
        <f t="shared" si="2"/>
        <v>0.25416666666666671</v>
      </c>
      <c r="P108" s="184">
        <f t="shared" si="2"/>
        <v>0.40604166666666641</v>
      </c>
      <c r="Q108" s="184">
        <f t="shared" si="2"/>
        <v>3.9289583333333344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3.6751745393568479E-2</v>
      </c>
      <c r="C109" s="184">
        <f t="shared" ref="C109:Q109" si="3">STDEV(C9:C104)</f>
        <v>1.8764468102184434E-2</v>
      </c>
      <c r="D109" s="184">
        <f t="shared" si="3"/>
        <v>3.0710161756130897E-2</v>
      </c>
      <c r="E109" s="184">
        <f t="shared" si="3"/>
        <v>1.408522364818164</v>
      </c>
      <c r="F109" s="184">
        <f t="shared" si="3"/>
        <v>3.3430172053233229</v>
      </c>
      <c r="G109" s="184">
        <f t="shared" si="3"/>
        <v>5.3662271113034254</v>
      </c>
      <c r="H109" s="184">
        <f t="shared" si="3"/>
        <v>2.3950953699467346</v>
      </c>
      <c r="I109" s="184">
        <f t="shared" si="3"/>
        <v>0.31726877199653197</v>
      </c>
      <c r="J109" s="184">
        <f t="shared" si="3"/>
        <v>0.70168215801543188</v>
      </c>
      <c r="K109" s="184">
        <f t="shared" si="3"/>
        <v>67.393132820079444</v>
      </c>
      <c r="L109" s="184">
        <f t="shared" si="3"/>
        <v>3.5225611695161372</v>
      </c>
      <c r="M109" s="184">
        <f t="shared" si="3"/>
        <v>16.734667682871454</v>
      </c>
      <c r="N109" s="184">
        <f t="shared" si="3"/>
        <v>201.13578543639133</v>
      </c>
      <c r="O109" s="184">
        <f t="shared" si="3"/>
        <v>1.2075130306950088</v>
      </c>
      <c r="P109" s="184">
        <f t="shared" si="3"/>
        <v>6.7441657697470028E-2</v>
      </c>
      <c r="Q109" s="184">
        <f t="shared" si="3"/>
        <v>1.6763316256929145E-2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45464.010416666664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45464.010416666664</v>
      </c>
      <c r="B9" s="6">
        <v>9.19</v>
      </c>
      <c r="C9" s="6">
        <v>4.04</v>
      </c>
      <c r="D9" s="6">
        <v>13.93</v>
      </c>
      <c r="E9" s="6">
        <v>10.89</v>
      </c>
      <c r="F9" s="6">
        <v>4.0599999999999996</v>
      </c>
      <c r="G9" s="6">
        <v>10.88</v>
      </c>
      <c r="H9" s="6">
        <v>7.49</v>
      </c>
      <c r="I9" s="6">
        <v>3.94</v>
      </c>
      <c r="J9" s="6">
        <v>0.09</v>
      </c>
      <c r="K9" s="6">
        <v>156.91</v>
      </c>
      <c r="L9" s="6">
        <v>24.99</v>
      </c>
      <c r="M9" s="6">
        <v>99.82</v>
      </c>
      <c r="N9" s="6">
        <v>2.4</v>
      </c>
      <c r="O9" s="6">
        <v>0</v>
      </c>
      <c r="P9" s="6">
        <v>0.46</v>
      </c>
      <c r="Q9" s="6">
        <v>3.93</v>
      </c>
    </row>
    <row r="10" spans="1:21" customFormat="1">
      <c r="A10" s="82">
        <v>45464.020833333336</v>
      </c>
      <c r="B10" s="6">
        <v>9.19</v>
      </c>
      <c r="C10" s="6">
        <v>4.0599999999999996</v>
      </c>
      <c r="D10" s="6">
        <v>13.94</v>
      </c>
      <c r="E10" s="6">
        <v>10.82</v>
      </c>
      <c r="F10" s="6">
        <v>4.82</v>
      </c>
      <c r="G10" s="6">
        <v>10.88</v>
      </c>
      <c r="H10" s="6">
        <v>7.49</v>
      </c>
      <c r="I10" s="6">
        <v>3.88</v>
      </c>
      <c r="J10" s="6">
        <v>0.18</v>
      </c>
      <c r="K10" s="6">
        <v>275.27</v>
      </c>
      <c r="L10" s="6">
        <v>24.88</v>
      </c>
      <c r="M10" s="6">
        <v>99</v>
      </c>
      <c r="N10" s="6">
        <v>2.5</v>
      </c>
      <c r="O10" s="6">
        <v>0</v>
      </c>
      <c r="P10" s="6">
        <v>0.44</v>
      </c>
      <c r="Q10" s="6">
        <v>3.92</v>
      </c>
    </row>
    <row r="11" spans="1:21" customFormat="1">
      <c r="A11" s="82">
        <v>45464.03125</v>
      </c>
      <c r="B11" s="6">
        <v>9.1999999999999993</v>
      </c>
      <c r="C11" s="6">
        <v>4.04</v>
      </c>
      <c r="D11" s="6">
        <v>13.94</v>
      </c>
      <c r="E11" s="6">
        <v>10.55</v>
      </c>
      <c r="F11" s="6">
        <v>6.12</v>
      </c>
      <c r="G11" s="6">
        <v>10.88</v>
      </c>
      <c r="H11" s="6">
        <v>7.49</v>
      </c>
      <c r="I11" s="6">
        <v>3.92</v>
      </c>
      <c r="J11" s="6">
        <v>0.2</v>
      </c>
      <c r="K11" s="6">
        <v>183.46</v>
      </c>
      <c r="L11" s="6">
        <v>25.09</v>
      </c>
      <c r="M11" s="6">
        <v>99.34</v>
      </c>
      <c r="N11" s="6">
        <v>1.9</v>
      </c>
      <c r="O11" s="6">
        <v>0</v>
      </c>
      <c r="P11" s="6">
        <v>0.42</v>
      </c>
      <c r="Q11" s="6">
        <v>3.93</v>
      </c>
    </row>
    <row r="12" spans="1:21" customFormat="1">
      <c r="A12" s="82">
        <v>45464.041666666664</v>
      </c>
      <c r="B12" s="6">
        <v>9.1999999999999993</v>
      </c>
      <c r="C12" s="6">
        <v>4.05</v>
      </c>
      <c r="D12" s="6">
        <v>13.95</v>
      </c>
      <c r="E12" s="6">
        <v>9.3000000000000007</v>
      </c>
      <c r="F12" s="6">
        <v>12.64</v>
      </c>
      <c r="G12" s="6">
        <v>11.56</v>
      </c>
      <c r="H12" s="6">
        <v>6.13</v>
      </c>
      <c r="I12" s="6">
        <v>3.82</v>
      </c>
      <c r="J12" s="6">
        <v>0.2</v>
      </c>
      <c r="K12" s="6">
        <v>194.87</v>
      </c>
      <c r="L12" s="6">
        <v>24.94</v>
      </c>
      <c r="M12" s="6">
        <v>99.25</v>
      </c>
      <c r="N12" s="6">
        <v>2.2999999999999998</v>
      </c>
      <c r="O12" s="6">
        <v>0</v>
      </c>
      <c r="P12" s="6">
        <v>0.37</v>
      </c>
      <c r="Q12" s="6">
        <v>3.94</v>
      </c>
    </row>
    <row r="13" spans="1:21" customFormat="1">
      <c r="A13" s="82">
        <v>45464.052083333336</v>
      </c>
      <c r="B13" s="6">
        <v>9.1999999999999993</v>
      </c>
      <c r="C13" s="6">
        <v>4.05</v>
      </c>
      <c r="D13" s="6">
        <v>13.94</v>
      </c>
      <c r="E13" s="6">
        <v>9.01</v>
      </c>
      <c r="F13" s="6">
        <v>12.65</v>
      </c>
      <c r="G13" s="6">
        <v>12.21</v>
      </c>
      <c r="H13" s="6">
        <v>5.5</v>
      </c>
      <c r="I13" s="6">
        <v>3.76</v>
      </c>
      <c r="J13" s="6">
        <v>0.21</v>
      </c>
      <c r="K13" s="6">
        <v>224.99</v>
      </c>
      <c r="L13" s="6">
        <v>24.83</v>
      </c>
      <c r="M13" s="6">
        <v>99.82</v>
      </c>
      <c r="N13" s="6">
        <v>2.2999999999999998</v>
      </c>
      <c r="O13" s="6">
        <v>0</v>
      </c>
      <c r="P13" s="6">
        <v>0.34</v>
      </c>
      <c r="Q13" s="6">
        <v>3.94</v>
      </c>
    </row>
    <row r="14" spans="1:21" customFormat="1">
      <c r="A14" s="82">
        <v>45464.0625</v>
      </c>
      <c r="B14" s="6">
        <v>9.2100000000000009</v>
      </c>
      <c r="C14" s="6">
        <v>4.0599999999999996</v>
      </c>
      <c r="D14" s="6">
        <v>13.96</v>
      </c>
      <c r="E14" s="6">
        <v>8.65</v>
      </c>
      <c r="F14" s="6">
        <v>15.06</v>
      </c>
      <c r="G14" s="6">
        <v>12.21</v>
      </c>
      <c r="H14" s="6">
        <v>5.5</v>
      </c>
      <c r="I14" s="6">
        <v>3.19</v>
      </c>
      <c r="J14" s="6">
        <v>0.14000000000000001</v>
      </c>
      <c r="K14" s="6">
        <v>220.77</v>
      </c>
      <c r="L14" s="6">
        <v>24.77</v>
      </c>
      <c r="M14" s="6">
        <v>100.13</v>
      </c>
      <c r="N14" s="6">
        <v>2.1</v>
      </c>
      <c r="O14" s="6">
        <v>0</v>
      </c>
      <c r="P14" s="6">
        <v>0.32</v>
      </c>
      <c r="Q14" s="6">
        <v>3.94</v>
      </c>
    </row>
    <row r="15" spans="1:21" customFormat="1">
      <c r="A15" s="82">
        <v>45464.072916666664</v>
      </c>
      <c r="B15" s="6">
        <v>9.1999999999999993</v>
      </c>
      <c r="C15" s="6">
        <v>4.0599999999999996</v>
      </c>
      <c r="D15" s="6">
        <v>13.95</v>
      </c>
      <c r="E15" s="6">
        <v>8.84</v>
      </c>
      <c r="F15" s="6">
        <v>15.42</v>
      </c>
      <c r="G15" s="6">
        <v>12.21</v>
      </c>
      <c r="H15" s="6">
        <v>5.5</v>
      </c>
      <c r="I15" s="6">
        <v>3.15</v>
      </c>
      <c r="J15" s="6">
        <v>0.16</v>
      </c>
      <c r="K15" s="6">
        <v>205.85</v>
      </c>
      <c r="L15" s="6">
        <v>24.79</v>
      </c>
      <c r="M15" s="6">
        <v>100.03</v>
      </c>
      <c r="N15" s="6">
        <v>2.2000000000000002</v>
      </c>
      <c r="O15" s="6">
        <v>0</v>
      </c>
      <c r="P15" s="6">
        <v>0.3</v>
      </c>
      <c r="Q15" s="6">
        <v>3.95</v>
      </c>
    </row>
    <row r="16" spans="1:21" customFormat="1">
      <c r="A16" s="82">
        <v>45464.083333333336</v>
      </c>
      <c r="B16" s="6">
        <v>9.23</v>
      </c>
      <c r="C16" s="6">
        <v>4.04</v>
      </c>
      <c r="D16" s="6">
        <v>13.96</v>
      </c>
      <c r="E16" s="6">
        <v>8.2799999999999994</v>
      </c>
      <c r="F16" s="6">
        <v>14.97</v>
      </c>
      <c r="G16" s="6">
        <v>11.62</v>
      </c>
      <c r="H16" s="6">
        <v>4.7699999999999996</v>
      </c>
      <c r="I16" s="6">
        <v>2.93</v>
      </c>
      <c r="J16" s="6">
        <v>0.15</v>
      </c>
      <c r="K16" s="6">
        <v>175.28</v>
      </c>
      <c r="L16" s="6">
        <v>24.83</v>
      </c>
      <c r="M16" s="6">
        <v>100.4</v>
      </c>
      <c r="N16" s="6">
        <v>2.1</v>
      </c>
      <c r="O16" s="6">
        <v>0</v>
      </c>
      <c r="P16" s="6">
        <v>0.28999999999999998</v>
      </c>
      <c r="Q16" s="6">
        <v>3.95</v>
      </c>
    </row>
    <row r="17" spans="1:17" customFormat="1">
      <c r="A17" s="82">
        <v>45464.09375</v>
      </c>
      <c r="B17" s="6">
        <v>9.2100000000000009</v>
      </c>
      <c r="C17" s="6">
        <v>4.05</v>
      </c>
      <c r="D17" s="6">
        <v>13.95</v>
      </c>
      <c r="E17" s="6">
        <v>7.03</v>
      </c>
      <c r="F17" s="6">
        <v>11.77</v>
      </c>
      <c r="G17" s="6">
        <v>11.06</v>
      </c>
      <c r="H17" s="6">
        <v>4.04</v>
      </c>
      <c r="I17" s="6">
        <v>2.77</v>
      </c>
      <c r="J17" s="6">
        <v>0.15</v>
      </c>
      <c r="K17" s="6">
        <v>188.21</v>
      </c>
      <c r="L17" s="6">
        <v>24.82</v>
      </c>
      <c r="M17" s="6">
        <v>100.4</v>
      </c>
      <c r="N17" s="6">
        <v>2.1</v>
      </c>
      <c r="O17" s="6">
        <v>0</v>
      </c>
      <c r="P17" s="6">
        <v>0.3</v>
      </c>
      <c r="Q17" s="6">
        <v>3.93</v>
      </c>
    </row>
    <row r="18" spans="1:17" customFormat="1">
      <c r="A18" s="82">
        <v>45464.104166666664</v>
      </c>
      <c r="B18" s="6">
        <v>9.16</v>
      </c>
      <c r="C18" s="6">
        <v>4.07</v>
      </c>
      <c r="D18" s="6">
        <v>13.93</v>
      </c>
      <c r="E18" s="6">
        <v>8.34</v>
      </c>
      <c r="F18" s="6">
        <v>11.68</v>
      </c>
      <c r="G18" s="6">
        <v>11.06</v>
      </c>
      <c r="H18" s="6">
        <v>4.04</v>
      </c>
      <c r="I18" s="6">
        <v>2.75</v>
      </c>
      <c r="J18" s="6">
        <v>0.2</v>
      </c>
      <c r="K18" s="6">
        <v>206.88</v>
      </c>
      <c r="L18" s="6">
        <v>24.71</v>
      </c>
      <c r="M18" s="6">
        <v>100.65</v>
      </c>
      <c r="N18" s="6">
        <v>2.2000000000000002</v>
      </c>
      <c r="O18" s="6">
        <v>0</v>
      </c>
      <c r="P18" s="6">
        <v>0.3</v>
      </c>
      <c r="Q18" s="6">
        <v>3.92</v>
      </c>
    </row>
    <row r="19" spans="1:17" customFormat="1">
      <c r="A19" s="82">
        <v>45464.114583333336</v>
      </c>
      <c r="B19" s="6">
        <v>9.17</v>
      </c>
      <c r="C19" s="6">
        <v>4.04</v>
      </c>
      <c r="D19" s="6">
        <v>13.92</v>
      </c>
      <c r="E19" s="6">
        <v>8.43</v>
      </c>
      <c r="F19" s="6">
        <v>11.42</v>
      </c>
      <c r="G19" s="6">
        <v>11.06</v>
      </c>
      <c r="H19" s="6">
        <v>4.04</v>
      </c>
      <c r="I19" s="6">
        <v>3.03</v>
      </c>
      <c r="J19" s="6">
        <v>0.24</v>
      </c>
      <c r="K19" s="6">
        <v>229.31</v>
      </c>
      <c r="L19" s="6">
        <v>24.64</v>
      </c>
      <c r="M19" s="6">
        <v>100.77</v>
      </c>
      <c r="N19" s="6">
        <v>2.2000000000000002</v>
      </c>
      <c r="O19" s="6">
        <v>0</v>
      </c>
      <c r="P19" s="6">
        <v>0.31</v>
      </c>
      <c r="Q19" s="6">
        <v>3.93</v>
      </c>
    </row>
    <row r="20" spans="1:17" customFormat="1">
      <c r="A20" s="82">
        <v>45464.125</v>
      </c>
      <c r="B20" s="6">
        <v>9.14</v>
      </c>
      <c r="C20" s="6">
        <v>4.08</v>
      </c>
      <c r="D20" s="6">
        <v>13.91</v>
      </c>
      <c r="E20" s="6">
        <v>8.3800000000000008</v>
      </c>
      <c r="F20" s="6">
        <v>12.18</v>
      </c>
      <c r="G20" s="6">
        <v>9.5399999999999991</v>
      </c>
      <c r="H20" s="6">
        <v>3.37</v>
      </c>
      <c r="I20" s="6">
        <v>3.12</v>
      </c>
      <c r="J20" s="6">
        <v>0.09</v>
      </c>
      <c r="K20" s="6">
        <v>224.97</v>
      </c>
      <c r="L20" s="6">
        <v>24.75</v>
      </c>
      <c r="M20" s="6">
        <v>100.93</v>
      </c>
      <c r="N20" s="6">
        <v>2</v>
      </c>
      <c r="O20" s="6">
        <v>0.2</v>
      </c>
      <c r="P20" s="6">
        <v>0.31</v>
      </c>
      <c r="Q20" s="6">
        <v>3.92</v>
      </c>
    </row>
    <row r="21" spans="1:17" customFormat="1">
      <c r="A21" s="82">
        <v>45464.135416666664</v>
      </c>
      <c r="B21" s="6">
        <v>9.14</v>
      </c>
      <c r="C21" s="6">
        <v>4.08</v>
      </c>
      <c r="D21" s="6">
        <v>13.91</v>
      </c>
      <c r="E21" s="6">
        <v>8.5</v>
      </c>
      <c r="F21" s="6">
        <v>10.99</v>
      </c>
      <c r="G21" s="6">
        <v>8.09</v>
      </c>
      <c r="H21" s="6">
        <v>3.06</v>
      </c>
      <c r="I21" s="6">
        <v>3.02</v>
      </c>
      <c r="J21" s="6">
        <v>0.08</v>
      </c>
      <c r="K21" s="6">
        <v>214.84</v>
      </c>
      <c r="L21" s="6">
        <v>24.82</v>
      </c>
      <c r="M21" s="6">
        <v>101.03</v>
      </c>
      <c r="N21" s="6">
        <v>2.1</v>
      </c>
      <c r="O21" s="6">
        <v>0</v>
      </c>
      <c r="P21" s="6">
        <v>0.31</v>
      </c>
      <c r="Q21" s="6">
        <v>3.91</v>
      </c>
    </row>
    <row r="22" spans="1:17" customFormat="1">
      <c r="A22" s="82">
        <v>45464.145833333336</v>
      </c>
      <c r="B22" s="6">
        <v>9.15</v>
      </c>
      <c r="C22" s="6">
        <v>4.0599999999999996</v>
      </c>
      <c r="D22" s="6">
        <v>13.91</v>
      </c>
      <c r="E22" s="6">
        <v>8.6</v>
      </c>
      <c r="F22" s="6">
        <v>9.4</v>
      </c>
      <c r="G22" s="6">
        <v>8.09</v>
      </c>
      <c r="H22" s="6">
        <v>3.06</v>
      </c>
      <c r="I22" s="6">
        <v>2.92</v>
      </c>
      <c r="J22" s="6">
        <v>0.08</v>
      </c>
      <c r="K22" s="6">
        <v>140.41</v>
      </c>
      <c r="L22" s="6">
        <v>24.95</v>
      </c>
      <c r="M22" s="6">
        <v>101.33</v>
      </c>
      <c r="N22" s="6">
        <v>2.1</v>
      </c>
      <c r="O22" s="6">
        <v>0</v>
      </c>
      <c r="P22" s="6">
        <v>0.31</v>
      </c>
      <c r="Q22" s="6">
        <v>3.91</v>
      </c>
    </row>
    <row r="23" spans="1:17" customFormat="1">
      <c r="A23" s="82">
        <v>45464.15625</v>
      </c>
      <c r="B23" s="6">
        <v>9.14</v>
      </c>
      <c r="C23" s="6">
        <v>4.0999999999999996</v>
      </c>
      <c r="D23" s="6">
        <v>13.92</v>
      </c>
      <c r="E23" s="6">
        <v>8.34</v>
      </c>
      <c r="F23" s="6">
        <v>9.92</v>
      </c>
      <c r="G23" s="6">
        <v>8.09</v>
      </c>
      <c r="H23" s="6">
        <v>3.06</v>
      </c>
      <c r="I23" s="6">
        <v>2.98</v>
      </c>
      <c r="J23" s="6">
        <v>0.06</v>
      </c>
      <c r="K23" s="6">
        <v>154.16999999999999</v>
      </c>
      <c r="L23" s="6">
        <v>24.85</v>
      </c>
      <c r="M23" s="6">
        <v>101.84</v>
      </c>
      <c r="N23" s="6">
        <v>2.1</v>
      </c>
      <c r="O23" s="6">
        <v>0</v>
      </c>
      <c r="P23" s="6">
        <v>0.32</v>
      </c>
      <c r="Q23" s="6">
        <v>3.9</v>
      </c>
    </row>
    <row r="24" spans="1:17" customFormat="1">
      <c r="A24" s="82">
        <v>45464.166666666664</v>
      </c>
      <c r="B24" s="6">
        <v>9.15</v>
      </c>
      <c r="C24" s="6">
        <v>4.0599999999999996</v>
      </c>
      <c r="D24" s="6">
        <v>13.91</v>
      </c>
      <c r="E24" s="6">
        <v>8.6199999999999992</v>
      </c>
      <c r="F24" s="6">
        <v>9.6999999999999993</v>
      </c>
      <c r="G24" s="6">
        <v>8.1</v>
      </c>
      <c r="H24" s="6">
        <v>2.75</v>
      </c>
      <c r="I24" s="6">
        <v>3.16</v>
      </c>
      <c r="J24" s="6">
        <v>0.19</v>
      </c>
      <c r="K24" s="6">
        <v>223.21</v>
      </c>
      <c r="L24" s="6">
        <v>24.77</v>
      </c>
      <c r="M24" s="6">
        <v>101.77</v>
      </c>
      <c r="N24" s="6">
        <v>2.2000000000000002</v>
      </c>
      <c r="O24" s="6">
        <v>0</v>
      </c>
      <c r="P24" s="6">
        <v>0.31</v>
      </c>
      <c r="Q24" s="6">
        <v>3.9</v>
      </c>
    </row>
    <row r="25" spans="1:17" customFormat="1">
      <c r="A25" s="82">
        <v>45464.177083333336</v>
      </c>
      <c r="B25" s="6">
        <v>9.14</v>
      </c>
      <c r="C25" s="6">
        <v>4.05</v>
      </c>
      <c r="D25" s="6">
        <v>13.9</v>
      </c>
      <c r="E25" s="6">
        <v>8.83</v>
      </c>
      <c r="F25" s="6">
        <v>9.99</v>
      </c>
      <c r="G25" s="6">
        <v>8.1</v>
      </c>
      <c r="H25" s="6">
        <v>2.61</v>
      </c>
      <c r="I25" s="6">
        <v>3</v>
      </c>
      <c r="J25" s="6">
        <v>0.13</v>
      </c>
      <c r="K25" s="6">
        <v>220.86</v>
      </c>
      <c r="L25" s="6">
        <v>24.83</v>
      </c>
      <c r="M25" s="6">
        <v>102.01</v>
      </c>
      <c r="N25" s="6">
        <v>2</v>
      </c>
      <c r="O25" s="6">
        <v>0</v>
      </c>
      <c r="P25" s="6">
        <v>0.31</v>
      </c>
      <c r="Q25" s="6">
        <v>3.92</v>
      </c>
    </row>
    <row r="26" spans="1:17" customFormat="1">
      <c r="A26" s="82">
        <v>45464.1875</v>
      </c>
      <c r="B26" s="6">
        <v>9.14</v>
      </c>
      <c r="C26" s="6">
        <v>4.08</v>
      </c>
      <c r="D26" s="6">
        <v>13.91</v>
      </c>
      <c r="E26" s="6">
        <v>8.15</v>
      </c>
      <c r="F26" s="6">
        <v>9.69</v>
      </c>
      <c r="G26" s="6">
        <v>8.1</v>
      </c>
      <c r="H26" s="6">
        <v>2.61</v>
      </c>
      <c r="I26" s="6">
        <v>3.02</v>
      </c>
      <c r="J26" s="6">
        <v>0.15</v>
      </c>
      <c r="K26" s="6">
        <v>241.46</v>
      </c>
      <c r="L26" s="6">
        <v>24.87</v>
      </c>
      <c r="M26" s="6">
        <v>101.45</v>
      </c>
      <c r="N26" s="6">
        <v>2.2000000000000002</v>
      </c>
      <c r="O26" s="6">
        <v>0</v>
      </c>
      <c r="P26" s="6">
        <v>0.31</v>
      </c>
      <c r="Q26" s="6">
        <v>3.91</v>
      </c>
    </row>
    <row r="27" spans="1:17" customFormat="1">
      <c r="A27" s="82">
        <v>45464.197916666664</v>
      </c>
      <c r="B27" s="6">
        <v>9.1300000000000008</v>
      </c>
      <c r="C27" s="6">
        <v>4.09</v>
      </c>
      <c r="D27" s="6">
        <v>13.91</v>
      </c>
      <c r="E27" s="6">
        <v>8.35</v>
      </c>
      <c r="F27" s="6">
        <v>9.77</v>
      </c>
      <c r="G27" s="6">
        <v>8.1</v>
      </c>
      <c r="H27" s="6">
        <v>2.61</v>
      </c>
      <c r="I27" s="6">
        <v>3.04</v>
      </c>
      <c r="J27" s="6">
        <v>0.09</v>
      </c>
      <c r="K27" s="6">
        <v>196.8</v>
      </c>
      <c r="L27" s="6">
        <v>24.93</v>
      </c>
      <c r="M27" s="6">
        <v>101.44</v>
      </c>
      <c r="N27" s="6">
        <v>2.2000000000000002</v>
      </c>
      <c r="O27" s="6">
        <v>0</v>
      </c>
      <c r="P27" s="6">
        <v>0.31</v>
      </c>
      <c r="Q27" s="6">
        <v>3.92</v>
      </c>
    </row>
    <row r="28" spans="1:17" customFormat="1">
      <c r="A28" s="82">
        <v>45464.208333333336</v>
      </c>
      <c r="B28" s="6">
        <v>9.15</v>
      </c>
      <c r="C28" s="6">
        <v>4.07</v>
      </c>
      <c r="D28" s="6">
        <v>13.91</v>
      </c>
      <c r="E28" s="6">
        <v>9.16</v>
      </c>
      <c r="F28" s="6">
        <v>5.41</v>
      </c>
      <c r="G28" s="6">
        <v>7.42</v>
      </c>
      <c r="H28" s="6">
        <v>2.97</v>
      </c>
      <c r="I28" s="6">
        <v>2.97</v>
      </c>
      <c r="J28" s="6">
        <v>0.09</v>
      </c>
      <c r="K28" s="6">
        <v>241.57</v>
      </c>
      <c r="L28" s="6">
        <v>25.03</v>
      </c>
      <c r="M28" s="6">
        <v>100.64</v>
      </c>
      <c r="N28" s="6">
        <v>2.2000000000000002</v>
      </c>
      <c r="O28" s="6">
        <v>0</v>
      </c>
      <c r="P28" s="6">
        <v>0.33</v>
      </c>
      <c r="Q28" s="6">
        <v>3.91</v>
      </c>
    </row>
    <row r="29" spans="1:17" customFormat="1">
      <c r="A29" s="82">
        <v>45464.21875</v>
      </c>
      <c r="B29" s="6">
        <v>9.19</v>
      </c>
      <c r="C29" s="6">
        <v>4.08</v>
      </c>
      <c r="D29" s="6">
        <v>13.95</v>
      </c>
      <c r="E29" s="6">
        <v>8.91</v>
      </c>
      <c r="F29" s="6">
        <v>6.81</v>
      </c>
      <c r="G29" s="6">
        <v>6.76</v>
      </c>
      <c r="H29" s="6">
        <v>3.14</v>
      </c>
      <c r="I29" s="6">
        <v>2.81</v>
      </c>
      <c r="J29" s="6">
        <v>0.13</v>
      </c>
      <c r="K29" s="6">
        <v>231.45</v>
      </c>
      <c r="L29" s="6">
        <v>25.08</v>
      </c>
      <c r="M29" s="6">
        <v>100.19</v>
      </c>
      <c r="N29" s="6">
        <v>3.1</v>
      </c>
      <c r="O29" s="6">
        <v>0</v>
      </c>
      <c r="P29" s="6">
        <v>0.35</v>
      </c>
      <c r="Q29" s="6">
        <v>3.9</v>
      </c>
    </row>
    <row r="30" spans="1:17" customFormat="1">
      <c r="A30" s="82">
        <v>45464.229166666664</v>
      </c>
      <c r="B30" s="6">
        <v>9.2100000000000009</v>
      </c>
      <c r="C30" s="6">
        <v>4.08</v>
      </c>
      <c r="D30" s="6">
        <v>13.97</v>
      </c>
      <c r="E30" s="6">
        <v>8.67</v>
      </c>
      <c r="F30" s="6">
        <v>7.19</v>
      </c>
      <c r="G30" s="6">
        <v>6.76</v>
      </c>
      <c r="H30" s="6">
        <v>3.14</v>
      </c>
      <c r="I30" s="6">
        <v>3.17</v>
      </c>
      <c r="J30" s="6">
        <v>7.0000000000000007E-2</v>
      </c>
      <c r="K30" s="6">
        <v>119.76</v>
      </c>
      <c r="L30" s="6">
        <v>25.15</v>
      </c>
      <c r="M30" s="6">
        <v>100</v>
      </c>
      <c r="N30" s="6">
        <v>5.3</v>
      </c>
      <c r="O30" s="6">
        <v>0</v>
      </c>
      <c r="P30" s="6">
        <v>0.36</v>
      </c>
      <c r="Q30" s="6">
        <v>3.92</v>
      </c>
    </row>
    <row r="31" spans="1:17" customFormat="1">
      <c r="A31" s="82">
        <v>45464.239583333336</v>
      </c>
      <c r="B31" s="6">
        <v>9.1999999999999993</v>
      </c>
      <c r="C31" s="6">
        <v>4.09</v>
      </c>
      <c r="D31" s="6">
        <v>13.96</v>
      </c>
      <c r="E31" s="6">
        <v>8.77</v>
      </c>
      <c r="F31" s="6">
        <v>6.08</v>
      </c>
      <c r="G31" s="6">
        <v>6.76</v>
      </c>
      <c r="H31" s="6">
        <v>3.14</v>
      </c>
      <c r="I31" s="6">
        <v>3.34</v>
      </c>
      <c r="J31" s="6">
        <v>0.08</v>
      </c>
      <c r="K31" s="6">
        <v>182.24</v>
      </c>
      <c r="L31" s="6">
        <v>25.22</v>
      </c>
      <c r="M31" s="6">
        <v>99.7</v>
      </c>
      <c r="N31" s="6">
        <v>7.3</v>
      </c>
      <c r="O31" s="6">
        <v>0</v>
      </c>
      <c r="P31" s="6">
        <v>0.37</v>
      </c>
      <c r="Q31" s="6">
        <v>3.91</v>
      </c>
    </row>
    <row r="32" spans="1:17" customFormat="1">
      <c r="A32" s="82">
        <v>45464.25</v>
      </c>
      <c r="B32" s="6">
        <v>9.2100000000000009</v>
      </c>
      <c r="C32" s="6">
        <v>4.07</v>
      </c>
      <c r="D32" s="6">
        <v>13.96</v>
      </c>
      <c r="E32" s="6">
        <v>8.5</v>
      </c>
      <c r="F32" s="6">
        <v>6.16</v>
      </c>
      <c r="G32" s="6">
        <v>6.42</v>
      </c>
      <c r="H32" s="6">
        <v>2.76</v>
      </c>
      <c r="I32" s="6">
        <v>3.27</v>
      </c>
      <c r="J32" s="6">
        <v>7.0000000000000007E-2</v>
      </c>
      <c r="K32" s="6">
        <v>201.69</v>
      </c>
      <c r="L32" s="6">
        <v>25.24</v>
      </c>
      <c r="M32" s="6">
        <v>98.96</v>
      </c>
      <c r="N32" s="6">
        <v>14.8</v>
      </c>
      <c r="O32" s="6">
        <v>0</v>
      </c>
      <c r="P32" s="6">
        <v>0.36</v>
      </c>
      <c r="Q32" s="6">
        <v>3.91</v>
      </c>
    </row>
    <row r="33" spans="1:17" customFormat="1">
      <c r="A33" s="82">
        <v>45464.260416666664</v>
      </c>
      <c r="B33" s="6">
        <v>9.19</v>
      </c>
      <c r="C33" s="6">
        <v>4.0999999999999996</v>
      </c>
      <c r="D33" s="6">
        <v>13.96</v>
      </c>
      <c r="E33" s="6">
        <v>9.1199999999999992</v>
      </c>
      <c r="F33" s="6">
        <v>5.76</v>
      </c>
      <c r="G33" s="6">
        <v>6.1</v>
      </c>
      <c r="H33" s="6">
        <v>2.58</v>
      </c>
      <c r="I33" s="6">
        <v>3.06</v>
      </c>
      <c r="J33" s="6">
        <v>0.14000000000000001</v>
      </c>
      <c r="K33" s="6">
        <v>172.63</v>
      </c>
      <c r="L33" s="6">
        <v>25.46</v>
      </c>
      <c r="M33" s="6">
        <v>98.25</v>
      </c>
      <c r="N33" s="6">
        <v>29.3</v>
      </c>
      <c r="O33" s="6">
        <v>0</v>
      </c>
      <c r="P33" s="6">
        <v>0.37</v>
      </c>
      <c r="Q33" s="6">
        <v>3.92</v>
      </c>
    </row>
    <row r="34" spans="1:17" customFormat="1">
      <c r="A34" s="82">
        <v>45464.270833333336</v>
      </c>
      <c r="B34" s="6">
        <v>9.18</v>
      </c>
      <c r="C34" s="6">
        <v>4.07</v>
      </c>
      <c r="D34" s="6">
        <v>13.94</v>
      </c>
      <c r="E34" s="6">
        <v>9.1</v>
      </c>
      <c r="F34" s="6">
        <v>5.49</v>
      </c>
      <c r="G34" s="6">
        <v>6.1</v>
      </c>
      <c r="H34" s="6">
        <v>2.58</v>
      </c>
      <c r="I34" s="6">
        <v>3.01</v>
      </c>
      <c r="J34" s="6">
        <v>0.2</v>
      </c>
      <c r="K34" s="6">
        <v>165.29</v>
      </c>
      <c r="L34" s="6">
        <v>25.67</v>
      </c>
      <c r="M34" s="6">
        <v>97.84</v>
      </c>
      <c r="N34" s="6">
        <v>48.5</v>
      </c>
      <c r="O34" s="6">
        <v>0</v>
      </c>
      <c r="P34" s="6">
        <v>0.36</v>
      </c>
      <c r="Q34" s="6">
        <v>3.9</v>
      </c>
    </row>
    <row r="35" spans="1:17" customFormat="1">
      <c r="A35" s="82">
        <v>45464.28125</v>
      </c>
      <c r="B35" s="6">
        <v>9.19</v>
      </c>
      <c r="C35" s="6">
        <v>4.04</v>
      </c>
      <c r="D35" s="6">
        <v>13.93</v>
      </c>
      <c r="E35" s="6">
        <v>8.89</v>
      </c>
      <c r="F35" s="6">
        <v>5.09</v>
      </c>
      <c r="G35" s="6">
        <v>6.1</v>
      </c>
      <c r="H35" s="6">
        <v>2.58</v>
      </c>
      <c r="I35" s="6">
        <v>3.09</v>
      </c>
      <c r="J35" s="6">
        <v>0.11</v>
      </c>
      <c r="K35" s="6">
        <v>155.30000000000001</v>
      </c>
      <c r="L35" s="6">
        <v>26.16</v>
      </c>
      <c r="M35" s="6">
        <v>94.27</v>
      </c>
      <c r="N35" s="6">
        <v>64.900000000000006</v>
      </c>
      <c r="O35" s="6">
        <v>0</v>
      </c>
      <c r="P35" s="6">
        <v>0.36</v>
      </c>
      <c r="Q35" s="6">
        <v>3.91</v>
      </c>
    </row>
    <row r="36" spans="1:17" customFormat="1">
      <c r="A36" s="82">
        <v>45464.291666666664</v>
      </c>
      <c r="B36" s="6">
        <v>9.17</v>
      </c>
      <c r="C36" s="6">
        <v>4.03</v>
      </c>
      <c r="D36" s="6">
        <v>13.91</v>
      </c>
      <c r="E36" s="6">
        <v>9.65</v>
      </c>
      <c r="F36" s="6">
        <v>4.5599999999999996</v>
      </c>
      <c r="G36" s="6">
        <v>5.26</v>
      </c>
      <c r="H36" s="6">
        <v>2.61</v>
      </c>
      <c r="I36" s="6">
        <v>3.07</v>
      </c>
      <c r="J36" s="6">
        <v>0.19</v>
      </c>
      <c r="K36" s="6">
        <v>104.86</v>
      </c>
      <c r="L36" s="6">
        <v>26.25</v>
      </c>
      <c r="M36" s="6">
        <v>94.65</v>
      </c>
      <c r="N36" s="6">
        <v>64.599999999999994</v>
      </c>
      <c r="O36" s="6">
        <v>0</v>
      </c>
      <c r="P36" s="6">
        <v>0.37</v>
      </c>
      <c r="Q36" s="6">
        <v>3.92</v>
      </c>
    </row>
    <row r="37" spans="1:17" customFormat="1">
      <c r="A37" s="82">
        <v>45464.302083333336</v>
      </c>
      <c r="B37" s="6">
        <v>9.16</v>
      </c>
      <c r="C37" s="6">
        <v>4.0599999999999996</v>
      </c>
      <c r="D37" s="6">
        <v>13.92</v>
      </c>
      <c r="E37" s="6">
        <v>9.49</v>
      </c>
      <c r="F37" s="6">
        <v>4.13</v>
      </c>
      <c r="G37" s="6">
        <v>4.47</v>
      </c>
      <c r="H37" s="6">
        <v>2.63</v>
      </c>
      <c r="I37" s="6">
        <v>3.09</v>
      </c>
      <c r="J37" s="6">
        <v>0.15</v>
      </c>
      <c r="K37" s="6">
        <v>185.23</v>
      </c>
      <c r="L37" s="6">
        <v>26.38</v>
      </c>
      <c r="M37" s="6">
        <v>94.05</v>
      </c>
      <c r="N37" s="6">
        <v>55.1</v>
      </c>
      <c r="O37" s="6">
        <v>0</v>
      </c>
      <c r="P37" s="6">
        <v>0.37</v>
      </c>
      <c r="Q37" s="6">
        <v>3.92</v>
      </c>
    </row>
    <row r="38" spans="1:17" customFormat="1">
      <c r="A38" s="82">
        <v>45464.3125</v>
      </c>
      <c r="B38" s="6">
        <v>9.15</v>
      </c>
      <c r="C38" s="6">
        <v>4.08</v>
      </c>
      <c r="D38" s="6">
        <v>13.92</v>
      </c>
      <c r="E38" s="6">
        <v>9.57</v>
      </c>
      <c r="F38" s="6">
        <v>4.17</v>
      </c>
      <c r="G38" s="6">
        <v>4.47</v>
      </c>
      <c r="H38" s="6">
        <v>2.63</v>
      </c>
      <c r="I38" s="6">
        <v>3.13</v>
      </c>
      <c r="J38" s="6">
        <v>0.11</v>
      </c>
      <c r="K38" s="6">
        <v>204.8</v>
      </c>
      <c r="L38" s="6">
        <v>26.33</v>
      </c>
      <c r="M38" s="6">
        <v>94.92</v>
      </c>
      <c r="N38" s="6">
        <v>54.2</v>
      </c>
      <c r="O38" s="6">
        <v>0</v>
      </c>
      <c r="P38" s="6">
        <v>0.36</v>
      </c>
      <c r="Q38" s="6">
        <v>3.93</v>
      </c>
    </row>
    <row r="39" spans="1:17" customFormat="1">
      <c r="A39" s="82">
        <v>45464.322916666664</v>
      </c>
      <c r="B39" s="6">
        <v>9.16</v>
      </c>
      <c r="C39" s="6">
        <v>4.08</v>
      </c>
      <c r="D39" s="6">
        <v>13.93</v>
      </c>
      <c r="E39" s="6">
        <v>9.57</v>
      </c>
      <c r="F39" s="6">
        <v>4.6500000000000004</v>
      </c>
      <c r="G39" s="6">
        <v>4.47</v>
      </c>
      <c r="H39" s="6">
        <v>2.63</v>
      </c>
      <c r="I39" s="6">
        <v>3.35</v>
      </c>
      <c r="J39" s="6">
        <v>0.13</v>
      </c>
      <c r="K39" s="6">
        <v>194.22</v>
      </c>
      <c r="L39" s="6">
        <v>26.4</v>
      </c>
      <c r="M39" s="6">
        <v>93.4</v>
      </c>
      <c r="N39" s="6">
        <v>47.4</v>
      </c>
      <c r="O39" s="6">
        <v>0</v>
      </c>
      <c r="P39" s="6">
        <v>0.37</v>
      </c>
      <c r="Q39" s="6">
        <v>3.93</v>
      </c>
    </row>
    <row r="40" spans="1:17" customFormat="1">
      <c r="A40" s="82">
        <v>45464.333333333336</v>
      </c>
      <c r="B40" s="6">
        <v>9.15</v>
      </c>
      <c r="C40" s="6">
        <v>4.09</v>
      </c>
      <c r="D40" s="6">
        <v>13.92</v>
      </c>
      <c r="E40" s="6">
        <v>9.7799999999999994</v>
      </c>
      <c r="F40" s="6">
        <v>4.99</v>
      </c>
      <c r="G40" s="6">
        <v>6.58</v>
      </c>
      <c r="H40" s="6">
        <v>2.38</v>
      </c>
      <c r="I40" s="6">
        <v>3.18</v>
      </c>
      <c r="J40" s="6">
        <v>0.13</v>
      </c>
      <c r="K40" s="6">
        <v>175.06</v>
      </c>
      <c r="L40" s="6">
        <v>26.56</v>
      </c>
      <c r="M40" s="6">
        <v>92.29</v>
      </c>
      <c r="N40" s="6">
        <v>46.9</v>
      </c>
      <c r="O40" s="6">
        <v>0</v>
      </c>
      <c r="P40" s="6">
        <v>0.37</v>
      </c>
      <c r="Q40" s="6">
        <v>3.9</v>
      </c>
    </row>
    <row r="41" spans="1:17" customFormat="1">
      <c r="A41" s="82">
        <v>45464.34375</v>
      </c>
      <c r="B41" s="6">
        <v>9.16</v>
      </c>
      <c r="C41" s="6">
        <v>4.07</v>
      </c>
      <c r="D41" s="6">
        <v>13.92</v>
      </c>
      <c r="E41" s="6">
        <v>9.8699999999999992</v>
      </c>
      <c r="F41" s="6">
        <v>4.76</v>
      </c>
      <c r="G41" s="6">
        <v>8.61</v>
      </c>
      <c r="H41" s="6">
        <v>2.13</v>
      </c>
      <c r="I41" s="6">
        <v>3.45</v>
      </c>
      <c r="J41" s="6">
        <v>0.13</v>
      </c>
      <c r="K41" s="6">
        <v>212.42</v>
      </c>
      <c r="L41" s="6">
        <v>26.58</v>
      </c>
      <c r="M41" s="6">
        <v>92.16</v>
      </c>
      <c r="N41" s="6">
        <v>71.3</v>
      </c>
      <c r="O41" s="6">
        <v>0</v>
      </c>
      <c r="P41" s="6">
        <v>0.37</v>
      </c>
      <c r="Q41" s="6">
        <v>3.9</v>
      </c>
    </row>
    <row r="42" spans="1:17" customFormat="1">
      <c r="A42" s="82">
        <v>45464.354166666664</v>
      </c>
      <c r="B42" s="6">
        <v>9.16</v>
      </c>
      <c r="C42" s="6">
        <v>4.05</v>
      </c>
      <c r="D42" s="6">
        <v>13.91</v>
      </c>
      <c r="E42" s="6">
        <v>10.5</v>
      </c>
      <c r="F42" s="6">
        <v>4.05</v>
      </c>
      <c r="G42" s="6">
        <v>8.61</v>
      </c>
      <c r="H42" s="6">
        <v>2.13</v>
      </c>
      <c r="I42" s="6">
        <v>3.17</v>
      </c>
      <c r="J42" s="6">
        <v>7.0000000000000007E-2</v>
      </c>
      <c r="K42" s="6">
        <v>201.97</v>
      </c>
      <c r="L42" s="6">
        <v>26.98</v>
      </c>
      <c r="M42" s="6">
        <v>91.75</v>
      </c>
      <c r="N42" s="6">
        <v>98.3</v>
      </c>
      <c r="O42" s="6">
        <v>0</v>
      </c>
      <c r="P42" s="6">
        <v>0.37</v>
      </c>
      <c r="Q42" s="6">
        <v>3.91</v>
      </c>
    </row>
    <row r="43" spans="1:17" customFormat="1">
      <c r="A43" s="82">
        <v>45464.364583333336</v>
      </c>
      <c r="B43" s="6">
        <v>9.15</v>
      </c>
      <c r="C43" s="6">
        <v>4.07</v>
      </c>
      <c r="D43" s="6">
        <v>13.91</v>
      </c>
      <c r="E43" s="6">
        <v>10.51</v>
      </c>
      <c r="F43" s="6">
        <v>4.82</v>
      </c>
      <c r="G43" s="6">
        <v>8.61</v>
      </c>
      <c r="H43" s="6">
        <v>2.13</v>
      </c>
      <c r="I43" s="6">
        <v>3.45</v>
      </c>
      <c r="J43" s="6">
        <v>0.19</v>
      </c>
      <c r="K43" s="6">
        <v>194.41</v>
      </c>
      <c r="L43" s="6">
        <v>27.17</v>
      </c>
      <c r="M43" s="6">
        <v>92.22</v>
      </c>
      <c r="N43" s="6">
        <v>113.3</v>
      </c>
      <c r="O43" s="6">
        <v>0</v>
      </c>
      <c r="P43" s="6">
        <v>0.37</v>
      </c>
      <c r="Q43" s="6">
        <v>3.94</v>
      </c>
    </row>
    <row r="44" spans="1:17" customFormat="1">
      <c r="A44" s="82">
        <v>45464.375</v>
      </c>
      <c r="B44" s="6">
        <v>9.16</v>
      </c>
      <c r="C44" s="6">
        <v>4.05</v>
      </c>
      <c r="D44" s="6">
        <v>13.91</v>
      </c>
      <c r="E44" s="6">
        <v>10.89</v>
      </c>
      <c r="F44" s="6">
        <v>4.3499999999999996</v>
      </c>
      <c r="G44" s="6">
        <v>7.52</v>
      </c>
      <c r="H44" s="6">
        <v>1.77</v>
      </c>
      <c r="I44" s="6">
        <v>3.28</v>
      </c>
      <c r="J44" s="6">
        <v>0.24</v>
      </c>
      <c r="K44" s="6">
        <v>232.76</v>
      </c>
      <c r="L44" s="6">
        <v>27.37</v>
      </c>
      <c r="M44" s="6">
        <v>91.72</v>
      </c>
      <c r="N44" s="6">
        <v>139.69999999999999</v>
      </c>
      <c r="O44" s="6">
        <v>0</v>
      </c>
      <c r="P44" s="6">
        <v>0.38</v>
      </c>
      <c r="Q44" s="6">
        <v>3.92</v>
      </c>
    </row>
    <row r="45" spans="1:17" customFormat="1">
      <c r="A45" s="82">
        <v>45464.385416666664</v>
      </c>
      <c r="B45" s="6">
        <v>9.16</v>
      </c>
      <c r="C45" s="6">
        <v>4.0199999999999996</v>
      </c>
      <c r="D45" s="6">
        <v>13.89</v>
      </c>
      <c r="E45" s="6">
        <v>10.76</v>
      </c>
      <c r="F45" s="6">
        <v>4.29</v>
      </c>
      <c r="G45" s="6">
        <v>6.48</v>
      </c>
      <c r="H45" s="6">
        <v>1.61</v>
      </c>
      <c r="I45" s="6">
        <v>3.55</v>
      </c>
      <c r="J45" s="6">
        <v>0.31</v>
      </c>
      <c r="K45" s="6">
        <v>251.98</v>
      </c>
      <c r="L45" s="6">
        <v>27.57</v>
      </c>
      <c r="M45" s="6">
        <v>89.7</v>
      </c>
      <c r="N45" s="6">
        <v>164.1</v>
      </c>
      <c r="O45" s="6">
        <v>0</v>
      </c>
      <c r="P45" s="6">
        <v>0.39</v>
      </c>
      <c r="Q45" s="6">
        <v>3.92</v>
      </c>
    </row>
    <row r="46" spans="1:17" customFormat="1">
      <c r="A46" s="82">
        <v>45464.395833333336</v>
      </c>
      <c r="B46" s="6">
        <v>9.14</v>
      </c>
      <c r="C46" s="6">
        <v>4.0599999999999996</v>
      </c>
      <c r="D46" s="6">
        <v>13.9</v>
      </c>
      <c r="E46" s="6">
        <v>10.97</v>
      </c>
      <c r="F46" s="6">
        <v>3.78</v>
      </c>
      <c r="G46" s="6">
        <v>6.48</v>
      </c>
      <c r="H46" s="6">
        <v>1.61</v>
      </c>
      <c r="I46" s="6">
        <v>3.61</v>
      </c>
      <c r="J46" s="6">
        <v>0.34</v>
      </c>
      <c r="K46" s="6">
        <v>254.15</v>
      </c>
      <c r="L46" s="6">
        <v>28.1</v>
      </c>
      <c r="M46" s="6">
        <v>88.04</v>
      </c>
      <c r="N46" s="6">
        <v>203.2</v>
      </c>
      <c r="O46" s="6">
        <v>0</v>
      </c>
      <c r="P46" s="6">
        <v>0.39</v>
      </c>
      <c r="Q46" s="6">
        <v>3.91</v>
      </c>
    </row>
    <row r="47" spans="1:17" customFormat="1">
      <c r="A47" s="82">
        <v>45464.40625</v>
      </c>
      <c r="B47" s="6">
        <v>9.14</v>
      </c>
      <c r="C47" s="6">
        <v>4.0599999999999996</v>
      </c>
      <c r="D47" s="6">
        <v>13.9</v>
      </c>
      <c r="E47" s="6">
        <v>11.13</v>
      </c>
      <c r="F47" s="6">
        <v>5.1100000000000003</v>
      </c>
      <c r="G47" s="6">
        <v>6.48</v>
      </c>
      <c r="H47" s="6">
        <v>1.61</v>
      </c>
      <c r="I47" s="6">
        <v>3.48</v>
      </c>
      <c r="J47" s="6">
        <v>0.49</v>
      </c>
      <c r="K47" s="6">
        <v>275.45</v>
      </c>
      <c r="L47" s="6">
        <v>28.35</v>
      </c>
      <c r="M47" s="6">
        <v>85.72</v>
      </c>
      <c r="N47" s="6">
        <v>239</v>
      </c>
      <c r="O47" s="6">
        <v>0</v>
      </c>
      <c r="P47" s="6">
        <v>0.39</v>
      </c>
      <c r="Q47" s="6">
        <v>3.92</v>
      </c>
    </row>
    <row r="48" spans="1:17" customFormat="1">
      <c r="A48" s="82">
        <v>45464.416666666664</v>
      </c>
      <c r="B48" s="6">
        <v>9.15</v>
      </c>
      <c r="C48" s="6">
        <v>4.05</v>
      </c>
      <c r="D48" s="6">
        <v>13.9</v>
      </c>
      <c r="E48" s="6">
        <v>10.7</v>
      </c>
      <c r="F48" s="6">
        <v>10.220000000000001</v>
      </c>
      <c r="G48" s="6">
        <v>7.48</v>
      </c>
      <c r="H48" s="6">
        <v>2.36</v>
      </c>
      <c r="I48" s="6">
        <v>3.56</v>
      </c>
      <c r="J48" s="6">
        <v>0.59</v>
      </c>
      <c r="K48" s="6">
        <v>274.29000000000002</v>
      </c>
      <c r="L48" s="6">
        <v>28.7</v>
      </c>
      <c r="M48" s="6">
        <v>84.83</v>
      </c>
      <c r="N48" s="6">
        <v>282.39999999999998</v>
      </c>
      <c r="O48" s="6">
        <v>0</v>
      </c>
      <c r="P48" s="6">
        <v>0.4</v>
      </c>
      <c r="Q48" s="6">
        <v>3.91</v>
      </c>
    </row>
    <row r="49" spans="1:17" customFormat="1">
      <c r="A49" s="82">
        <v>45464.427083333336</v>
      </c>
      <c r="B49" s="6">
        <v>9.16</v>
      </c>
      <c r="C49" s="6">
        <v>4.05</v>
      </c>
      <c r="D49" s="6">
        <v>13.91</v>
      </c>
      <c r="E49" s="6">
        <v>8.2899999999999991</v>
      </c>
      <c r="F49" s="6">
        <v>9.0500000000000007</v>
      </c>
      <c r="G49" s="6">
        <v>8.44</v>
      </c>
      <c r="H49" s="6">
        <v>2.71</v>
      </c>
      <c r="I49" s="6">
        <v>3.83</v>
      </c>
      <c r="J49" s="6">
        <v>0.66</v>
      </c>
      <c r="K49" s="6">
        <v>262.63</v>
      </c>
      <c r="L49" s="6">
        <v>29.18</v>
      </c>
      <c r="M49" s="6">
        <v>81.489999999999995</v>
      </c>
      <c r="N49" s="6">
        <v>298.60000000000002</v>
      </c>
      <c r="O49" s="6">
        <v>0</v>
      </c>
      <c r="P49" s="6">
        <v>0.4</v>
      </c>
      <c r="Q49" s="6">
        <v>3.91</v>
      </c>
    </row>
    <row r="50" spans="1:17" customFormat="1">
      <c r="A50" s="82">
        <v>45464.4375</v>
      </c>
      <c r="B50" s="6">
        <v>9.17</v>
      </c>
      <c r="C50" s="6">
        <v>4.04</v>
      </c>
      <c r="D50" s="6">
        <v>13.91</v>
      </c>
      <c r="E50" s="6">
        <v>10.25</v>
      </c>
      <c r="F50" s="6">
        <v>10.63</v>
      </c>
      <c r="G50" s="6">
        <v>8.44</v>
      </c>
      <c r="H50" s="6">
        <v>2.71</v>
      </c>
      <c r="I50" s="6">
        <v>3.75</v>
      </c>
      <c r="J50" s="6">
        <v>0.87</v>
      </c>
      <c r="K50" s="6">
        <v>282.04000000000002</v>
      </c>
      <c r="L50" s="6">
        <v>29.89</v>
      </c>
      <c r="M50" s="6">
        <v>77.569999999999993</v>
      </c>
      <c r="N50" s="6">
        <v>370.3</v>
      </c>
      <c r="O50" s="6">
        <v>0</v>
      </c>
      <c r="P50" s="6">
        <v>0.42</v>
      </c>
      <c r="Q50" s="6">
        <v>3.92</v>
      </c>
    </row>
    <row r="51" spans="1:17" customFormat="1">
      <c r="A51" s="82">
        <v>45464.447916666664</v>
      </c>
      <c r="B51" s="6">
        <v>9.16</v>
      </c>
      <c r="C51" s="6">
        <v>4.03</v>
      </c>
      <c r="D51" s="6">
        <v>13.9</v>
      </c>
      <c r="E51" s="6">
        <v>12.03</v>
      </c>
      <c r="F51" s="6">
        <v>10.76</v>
      </c>
      <c r="G51" s="6">
        <v>8.44</v>
      </c>
      <c r="H51" s="6">
        <v>2.71</v>
      </c>
      <c r="I51" s="6">
        <v>3.97</v>
      </c>
      <c r="J51" s="6">
        <v>0.77</v>
      </c>
      <c r="K51" s="6">
        <v>274.89</v>
      </c>
      <c r="L51" s="6">
        <v>31.01</v>
      </c>
      <c r="M51" s="6">
        <v>73.53</v>
      </c>
      <c r="N51" s="6">
        <v>462.9</v>
      </c>
      <c r="O51" s="6">
        <v>0</v>
      </c>
      <c r="P51" s="6">
        <v>0.43</v>
      </c>
      <c r="Q51" s="6">
        <v>3.93</v>
      </c>
    </row>
    <row r="52" spans="1:17" customFormat="1">
      <c r="A52" s="82">
        <v>45464.458333333336</v>
      </c>
      <c r="B52" s="6">
        <v>9.15</v>
      </c>
      <c r="C52" s="6">
        <v>4.0599999999999996</v>
      </c>
      <c r="D52" s="6">
        <v>13.91</v>
      </c>
      <c r="E52" s="6">
        <v>11.94</v>
      </c>
      <c r="F52" s="6">
        <v>10.94</v>
      </c>
      <c r="G52" s="6">
        <v>10.81</v>
      </c>
      <c r="H52" s="6">
        <v>3.83</v>
      </c>
      <c r="I52" s="6">
        <v>4.43</v>
      </c>
      <c r="J52" s="6">
        <v>0.63</v>
      </c>
      <c r="K52" s="6">
        <v>271.01</v>
      </c>
      <c r="L52" s="6">
        <v>31.43</v>
      </c>
      <c r="M52" s="6">
        <v>71.5</v>
      </c>
      <c r="N52" s="6">
        <v>397.6</v>
      </c>
      <c r="O52" s="6">
        <v>0</v>
      </c>
      <c r="P52" s="6">
        <v>0.41</v>
      </c>
      <c r="Q52" s="6">
        <v>3.91</v>
      </c>
    </row>
    <row r="53" spans="1:17" customFormat="1">
      <c r="A53" s="82">
        <v>45464.46875</v>
      </c>
      <c r="B53" s="6">
        <v>9.1300000000000008</v>
      </c>
      <c r="C53" s="6">
        <v>4.0999999999999996</v>
      </c>
      <c r="D53" s="6">
        <v>13.92</v>
      </c>
      <c r="E53" s="6">
        <v>12.51</v>
      </c>
      <c r="F53" s="6">
        <v>14.32</v>
      </c>
      <c r="G53" s="6">
        <v>13.09</v>
      </c>
      <c r="H53" s="6">
        <v>4.3499999999999996</v>
      </c>
      <c r="I53" s="6">
        <v>4.7300000000000004</v>
      </c>
      <c r="J53" s="6">
        <v>0.75</v>
      </c>
      <c r="K53" s="6">
        <v>292.58</v>
      </c>
      <c r="L53" s="6">
        <v>31.41</v>
      </c>
      <c r="M53" s="6">
        <v>71.87</v>
      </c>
      <c r="N53" s="6">
        <v>453.1</v>
      </c>
      <c r="O53" s="6">
        <v>0</v>
      </c>
      <c r="P53" s="6">
        <v>0.43</v>
      </c>
      <c r="Q53" s="6">
        <v>3.9</v>
      </c>
    </row>
    <row r="54" spans="1:17" customFormat="1">
      <c r="A54" s="82">
        <v>45464.479166666664</v>
      </c>
      <c r="B54" s="6">
        <v>9.15</v>
      </c>
      <c r="C54" s="6">
        <v>4.1100000000000003</v>
      </c>
      <c r="D54" s="6">
        <v>13.93</v>
      </c>
      <c r="E54" s="6">
        <v>12.71</v>
      </c>
      <c r="F54" s="6">
        <v>16.27</v>
      </c>
      <c r="G54" s="6">
        <v>13.09</v>
      </c>
      <c r="H54" s="6">
        <v>4.3499999999999996</v>
      </c>
      <c r="I54" s="6">
        <v>5</v>
      </c>
      <c r="J54" s="6">
        <v>0.43</v>
      </c>
      <c r="K54" s="6">
        <v>250.11</v>
      </c>
      <c r="L54" s="6">
        <v>31.46</v>
      </c>
      <c r="M54" s="6">
        <v>72.39</v>
      </c>
      <c r="N54" s="6">
        <v>331.2</v>
      </c>
      <c r="O54" s="6">
        <v>0</v>
      </c>
      <c r="P54" s="6">
        <v>0.44</v>
      </c>
      <c r="Q54" s="6">
        <v>3.94</v>
      </c>
    </row>
    <row r="55" spans="1:17" customFormat="1">
      <c r="A55" s="82">
        <v>45464.489583333336</v>
      </c>
      <c r="B55" s="6">
        <v>9.15</v>
      </c>
      <c r="C55" s="6">
        <v>4.08</v>
      </c>
      <c r="D55" s="6">
        <v>13.92</v>
      </c>
      <c r="E55" s="6">
        <v>14.01</v>
      </c>
      <c r="F55" s="6">
        <v>20.12</v>
      </c>
      <c r="G55" s="6">
        <v>13.09</v>
      </c>
      <c r="H55" s="6">
        <v>4.3499999999999996</v>
      </c>
      <c r="I55" s="6">
        <v>5.49</v>
      </c>
      <c r="J55" s="6">
        <v>0.76</v>
      </c>
      <c r="K55" s="6">
        <v>283.75</v>
      </c>
      <c r="L55" s="6">
        <v>31.23</v>
      </c>
      <c r="M55" s="6">
        <v>71.650000000000006</v>
      </c>
      <c r="N55" s="6">
        <v>307.60000000000002</v>
      </c>
      <c r="O55" s="6">
        <v>0</v>
      </c>
      <c r="P55" s="6">
        <v>0.47</v>
      </c>
      <c r="Q55" s="6">
        <v>3.9</v>
      </c>
    </row>
    <row r="56" spans="1:17" customFormat="1">
      <c r="A56" s="82">
        <v>45464.5</v>
      </c>
      <c r="B56" s="6">
        <v>9.15</v>
      </c>
      <c r="C56" s="6">
        <v>4.0599999999999996</v>
      </c>
      <c r="D56" s="6">
        <v>13.91</v>
      </c>
      <c r="E56" s="6">
        <v>14.94</v>
      </c>
      <c r="F56" s="6">
        <v>28.01</v>
      </c>
      <c r="G56" s="6">
        <v>15.17</v>
      </c>
      <c r="H56" s="6">
        <v>6.16</v>
      </c>
      <c r="I56" s="6">
        <v>5.63</v>
      </c>
      <c r="J56" s="6">
        <v>0.24</v>
      </c>
      <c r="K56" s="6">
        <v>246.86</v>
      </c>
      <c r="L56" s="6">
        <v>31.1</v>
      </c>
      <c r="M56" s="6">
        <v>72.53</v>
      </c>
      <c r="N56" s="6">
        <v>230.4</v>
      </c>
      <c r="O56" s="6">
        <v>0</v>
      </c>
      <c r="P56" s="6">
        <v>0.52</v>
      </c>
      <c r="Q56" s="6">
        <v>3.91</v>
      </c>
    </row>
    <row r="57" spans="1:17" customFormat="1">
      <c r="A57" s="82">
        <v>45464.510416666664</v>
      </c>
      <c r="B57" s="6">
        <v>9.16</v>
      </c>
      <c r="C57" s="6">
        <v>4.07</v>
      </c>
      <c r="D57" s="6">
        <v>13.92</v>
      </c>
      <c r="E57" s="6">
        <v>15.72</v>
      </c>
      <c r="F57" s="6">
        <v>25.28</v>
      </c>
      <c r="G57" s="6">
        <v>17.16</v>
      </c>
      <c r="H57" s="6">
        <v>7.01</v>
      </c>
      <c r="I57" s="6">
        <v>5.9</v>
      </c>
      <c r="J57" s="6">
        <v>0.44</v>
      </c>
      <c r="K57" s="6">
        <v>288.27</v>
      </c>
      <c r="L57" s="6">
        <v>31.22</v>
      </c>
      <c r="M57" s="6">
        <v>71.33</v>
      </c>
      <c r="N57" s="6">
        <v>283.8</v>
      </c>
      <c r="O57" s="6">
        <v>0</v>
      </c>
      <c r="P57" s="6">
        <v>0.51</v>
      </c>
      <c r="Q57" s="6">
        <v>3.91</v>
      </c>
    </row>
    <row r="58" spans="1:17" customFormat="1">
      <c r="A58" s="82">
        <v>45464.520833333336</v>
      </c>
      <c r="B58" s="6">
        <v>9.16</v>
      </c>
      <c r="C58" s="6">
        <v>4.09</v>
      </c>
      <c r="D58" s="6">
        <v>13.93</v>
      </c>
      <c r="E58" s="6">
        <v>17.39</v>
      </c>
      <c r="F58" s="6">
        <v>28.36</v>
      </c>
      <c r="G58" s="6">
        <v>17.16</v>
      </c>
      <c r="H58" s="6">
        <v>7.01</v>
      </c>
      <c r="I58" s="6">
        <v>6.02</v>
      </c>
      <c r="J58" s="6">
        <v>0.27</v>
      </c>
      <c r="K58" s="6">
        <v>275.69</v>
      </c>
      <c r="L58" s="6">
        <v>31.61</v>
      </c>
      <c r="M58" s="6">
        <v>70.45</v>
      </c>
      <c r="N58" s="6">
        <v>336.3</v>
      </c>
      <c r="O58" s="6">
        <v>0</v>
      </c>
      <c r="P58" s="6">
        <v>0.52</v>
      </c>
      <c r="Q58" s="6">
        <v>3.92</v>
      </c>
    </row>
    <row r="59" spans="1:17" customFormat="1">
      <c r="A59" s="82">
        <v>45464.53125</v>
      </c>
      <c r="B59" s="6">
        <v>9.1300000000000008</v>
      </c>
      <c r="C59" s="6">
        <v>4.08</v>
      </c>
      <c r="D59" s="6">
        <v>13.9</v>
      </c>
      <c r="E59" s="6">
        <v>17.22</v>
      </c>
      <c r="F59" s="6">
        <v>23.59</v>
      </c>
      <c r="G59" s="6">
        <v>17.16</v>
      </c>
      <c r="H59" s="6">
        <v>7.01</v>
      </c>
      <c r="I59" s="6">
        <v>5.83</v>
      </c>
      <c r="J59" s="6">
        <v>0.67</v>
      </c>
      <c r="K59" s="6">
        <v>268.22000000000003</v>
      </c>
      <c r="L59" s="6">
        <v>31.75</v>
      </c>
      <c r="M59" s="6">
        <v>70.05</v>
      </c>
      <c r="N59" s="6">
        <v>351.1</v>
      </c>
      <c r="O59" s="6">
        <v>0</v>
      </c>
      <c r="P59" s="6">
        <v>0.5</v>
      </c>
      <c r="Q59" s="6">
        <v>3.91</v>
      </c>
    </row>
    <row r="60" spans="1:17" customFormat="1">
      <c r="A60" s="82">
        <v>45464.541666666664</v>
      </c>
      <c r="B60" s="6">
        <v>9.1300000000000008</v>
      </c>
      <c r="C60" s="6">
        <v>4.08</v>
      </c>
      <c r="D60" s="6">
        <v>13.9</v>
      </c>
      <c r="E60" s="6">
        <v>17.22</v>
      </c>
      <c r="F60" s="6">
        <v>23.59</v>
      </c>
      <c r="G60" s="6">
        <v>17.16</v>
      </c>
      <c r="H60" s="6">
        <v>7.01</v>
      </c>
      <c r="I60" s="6">
        <v>5.83</v>
      </c>
      <c r="J60" s="6">
        <v>0.67</v>
      </c>
      <c r="K60" s="6">
        <v>268.22000000000003</v>
      </c>
      <c r="L60" s="6">
        <v>31.75</v>
      </c>
      <c r="M60" s="6">
        <v>70.05</v>
      </c>
      <c r="N60" s="6">
        <v>351.1</v>
      </c>
      <c r="O60" s="6">
        <v>0</v>
      </c>
      <c r="P60" s="6">
        <v>0.5</v>
      </c>
      <c r="Q60" s="6">
        <v>3.91</v>
      </c>
    </row>
    <row r="61" spans="1:17" customFormat="1">
      <c r="A61" s="82">
        <v>45464.552083333336</v>
      </c>
      <c r="B61" s="6">
        <v>9.14</v>
      </c>
      <c r="C61" s="6">
        <v>4.08</v>
      </c>
      <c r="D61" s="6">
        <v>13.91</v>
      </c>
      <c r="E61" s="6">
        <v>15.19</v>
      </c>
      <c r="F61" s="6">
        <v>30.5</v>
      </c>
      <c r="G61" s="6">
        <v>23.93</v>
      </c>
      <c r="H61" s="6">
        <v>8.8000000000000007</v>
      </c>
      <c r="I61" s="6">
        <v>5.99</v>
      </c>
      <c r="J61" s="6">
        <v>0.52</v>
      </c>
      <c r="K61" s="6">
        <v>277.76</v>
      </c>
      <c r="L61" s="6">
        <v>31.67</v>
      </c>
      <c r="M61" s="6">
        <v>70.22</v>
      </c>
      <c r="N61" s="6">
        <v>281.7</v>
      </c>
      <c r="O61" s="6">
        <v>0</v>
      </c>
      <c r="P61" s="6">
        <v>0.52</v>
      </c>
      <c r="Q61" s="6">
        <v>3.9</v>
      </c>
    </row>
    <row r="62" spans="1:17" customFormat="1">
      <c r="A62" s="82">
        <v>45464.5625</v>
      </c>
      <c r="B62" s="6">
        <v>9.16</v>
      </c>
      <c r="C62" s="6">
        <v>4.0999999999999996</v>
      </c>
      <c r="D62" s="6">
        <v>13.94</v>
      </c>
      <c r="E62" s="6">
        <v>16.079999999999998</v>
      </c>
      <c r="F62" s="6">
        <v>30.94</v>
      </c>
      <c r="G62" s="6">
        <v>26.22</v>
      </c>
      <c r="H62" s="6">
        <v>9.09</v>
      </c>
      <c r="I62" s="6">
        <v>5.97</v>
      </c>
      <c r="J62" s="6">
        <v>0.26</v>
      </c>
      <c r="K62" s="6">
        <v>241.04</v>
      </c>
      <c r="L62" s="6">
        <v>32.29</v>
      </c>
      <c r="M62" s="6">
        <v>69.33</v>
      </c>
      <c r="N62" s="6">
        <v>392.5</v>
      </c>
      <c r="O62" s="6">
        <v>0</v>
      </c>
      <c r="P62" s="6">
        <v>0.53</v>
      </c>
      <c r="Q62" s="6">
        <v>3.89</v>
      </c>
    </row>
    <row r="63" spans="1:17" customFormat="1">
      <c r="A63" s="82">
        <v>45464.572916666664</v>
      </c>
      <c r="B63" s="6">
        <v>9.17</v>
      </c>
      <c r="C63" s="6">
        <v>4.0599999999999996</v>
      </c>
      <c r="D63" s="6">
        <v>13.92</v>
      </c>
      <c r="E63" s="6">
        <v>15.75</v>
      </c>
      <c r="F63" s="6">
        <v>28.56</v>
      </c>
      <c r="G63" s="6">
        <v>26.22</v>
      </c>
      <c r="H63" s="6">
        <v>9.09</v>
      </c>
      <c r="I63" s="6">
        <v>6.05</v>
      </c>
      <c r="J63" s="6">
        <v>0.67</v>
      </c>
      <c r="K63" s="6">
        <v>278.73</v>
      </c>
      <c r="L63" s="6">
        <v>33.159999999999997</v>
      </c>
      <c r="M63" s="6">
        <v>65.010000000000005</v>
      </c>
      <c r="N63" s="6">
        <v>477.8</v>
      </c>
      <c r="O63" s="6">
        <v>0</v>
      </c>
      <c r="P63" s="6">
        <v>0.54</v>
      </c>
      <c r="Q63" s="6">
        <v>3.89</v>
      </c>
    </row>
    <row r="64" spans="1:17" customFormat="1">
      <c r="A64" s="82">
        <v>45464.583333333336</v>
      </c>
      <c r="B64" s="6">
        <v>9.16</v>
      </c>
      <c r="C64" s="6">
        <v>4.03</v>
      </c>
      <c r="D64" s="6">
        <v>13.9</v>
      </c>
      <c r="E64" s="6">
        <v>16.75</v>
      </c>
      <c r="F64" s="6">
        <v>42.16</v>
      </c>
      <c r="G64" s="6">
        <v>28.17</v>
      </c>
      <c r="H64" s="6">
        <v>10.02</v>
      </c>
      <c r="I64" s="6">
        <v>6.12</v>
      </c>
      <c r="J64" s="6">
        <v>0.35</v>
      </c>
      <c r="K64" s="6">
        <v>305.72000000000003</v>
      </c>
      <c r="L64" s="6">
        <v>33.46</v>
      </c>
      <c r="M64" s="6">
        <v>64.75</v>
      </c>
      <c r="N64" s="6">
        <v>528.6</v>
      </c>
      <c r="O64" s="6">
        <v>0</v>
      </c>
      <c r="P64" s="6">
        <v>0.55000000000000004</v>
      </c>
      <c r="Q64" s="6">
        <v>3.92</v>
      </c>
    </row>
    <row r="65" spans="1:17" customFormat="1">
      <c r="A65" s="82">
        <v>45464.59375</v>
      </c>
      <c r="B65" s="6">
        <v>9.16</v>
      </c>
      <c r="C65" s="6">
        <v>4.04</v>
      </c>
      <c r="D65" s="6">
        <v>13.9</v>
      </c>
      <c r="E65" s="6">
        <v>17.57</v>
      </c>
      <c r="F65" s="6">
        <v>27.53</v>
      </c>
      <c r="G65" s="6">
        <v>30.04</v>
      </c>
      <c r="H65" s="6">
        <v>10.96</v>
      </c>
      <c r="I65" s="6">
        <v>6.38</v>
      </c>
      <c r="J65" s="6">
        <v>0.64</v>
      </c>
      <c r="K65" s="6">
        <v>289.82</v>
      </c>
      <c r="L65" s="6">
        <v>33.369999999999997</v>
      </c>
      <c r="M65" s="6">
        <v>64.47</v>
      </c>
      <c r="N65" s="6">
        <v>514.5</v>
      </c>
      <c r="O65" s="6">
        <v>0</v>
      </c>
      <c r="P65" s="6">
        <v>0.54</v>
      </c>
      <c r="Q65" s="6">
        <v>3.92</v>
      </c>
    </row>
    <row r="66" spans="1:17" customFormat="1">
      <c r="A66" s="82">
        <v>45464.604166666664</v>
      </c>
      <c r="B66" s="6">
        <v>9.16</v>
      </c>
      <c r="C66" s="6">
        <v>4.07</v>
      </c>
      <c r="D66" s="6">
        <v>13.92</v>
      </c>
      <c r="E66" s="6">
        <v>14.5</v>
      </c>
      <c r="F66" s="6">
        <v>17.239999999999998</v>
      </c>
      <c r="G66" s="6">
        <v>30.04</v>
      </c>
      <c r="H66" s="6">
        <v>10.96</v>
      </c>
      <c r="I66" s="6">
        <v>6.33</v>
      </c>
      <c r="J66" s="6">
        <v>0.95</v>
      </c>
      <c r="K66" s="6">
        <v>292.20999999999998</v>
      </c>
      <c r="L66" s="6">
        <v>32.93</v>
      </c>
      <c r="M66" s="6">
        <v>65.319999999999993</v>
      </c>
      <c r="N66" s="6">
        <v>452.4</v>
      </c>
      <c r="O66" s="6">
        <v>0</v>
      </c>
      <c r="P66" s="6">
        <v>0.55000000000000004</v>
      </c>
      <c r="Q66" s="6">
        <v>3.92</v>
      </c>
    </row>
    <row r="67" spans="1:17" customFormat="1">
      <c r="A67" s="82">
        <v>45464.614583333336</v>
      </c>
      <c r="B67" s="6">
        <v>9.15</v>
      </c>
      <c r="C67" s="6">
        <v>4.0599999999999996</v>
      </c>
      <c r="D67" s="6">
        <v>13.91</v>
      </c>
      <c r="E67" s="6">
        <v>13.02</v>
      </c>
      <c r="F67" s="6">
        <v>19.68</v>
      </c>
      <c r="G67" s="6">
        <v>30.04</v>
      </c>
      <c r="H67" s="6">
        <v>10.96</v>
      </c>
      <c r="I67" s="6">
        <v>6.64</v>
      </c>
      <c r="J67" s="6">
        <v>0.49</v>
      </c>
      <c r="K67" s="6">
        <v>265.52</v>
      </c>
      <c r="L67" s="6">
        <v>33.479999999999997</v>
      </c>
      <c r="M67" s="6">
        <v>64.14</v>
      </c>
      <c r="N67" s="6">
        <v>498</v>
      </c>
      <c r="O67" s="6">
        <v>0</v>
      </c>
      <c r="P67" s="6">
        <v>0.57999999999999996</v>
      </c>
      <c r="Q67" s="6">
        <v>3.9</v>
      </c>
    </row>
    <row r="68" spans="1:17" customFormat="1">
      <c r="A68" s="82">
        <v>45464.625</v>
      </c>
      <c r="B68" s="6">
        <v>9.17</v>
      </c>
      <c r="C68" s="6">
        <v>4.05</v>
      </c>
      <c r="D68" s="6">
        <v>13.92</v>
      </c>
      <c r="E68" s="6">
        <v>13.67</v>
      </c>
      <c r="F68" s="6">
        <v>21.34</v>
      </c>
      <c r="G68" s="6">
        <v>30.12</v>
      </c>
      <c r="H68" s="6">
        <v>11.66</v>
      </c>
      <c r="I68" s="6">
        <v>6.49</v>
      </c>
      <c r="J68" s="6">
        <v>0.36</v>
      </c>
      <c r="K68" s="6">
        <v>234.09</v>
      </c>
      <c r="L68" s="6">
        <v>33.78</v>
      </c>
      <c r="M68" s="6">
        <v>63.88</v>
      </c>
      <c r="N68" s="6">
        <v>258.10000000000002</v>
      </c>
      <c r="O68" s="6">
        <v>0</v>
      </c>
      <c r="P68" s="6">
        <v>0.59</v>
      </c>
      <c r="Q68" s="6">
        <v>3.89</v>
      </c>
    </row>
    <row r="69" spans="1:17" customFormat="1">
      <c r="A69" s="82">
        <v>45464.635416666664</v>
      </c>
      <c r="B69" s="6">
        <v>9.17</v>
      </c>
      <c r="C69" s="6">
        <v>4.05</v>
      </c>
      <c r="D69" s="6">
        <v>13.92</v>
      </c>
      <c r="E69" s="6">
        <v>13.54</v>
      </c>
      <c r="F69" s="6">
        <v>25.65</v>
      </c>
      <c r="G69" s="6">
        <v>30.2</v>
      </c>
      <c r="H69" s="6">
        <v>11.98</v>
      </c>
      <c r="I69" s="6">
        <v>6.45</v>
      </c>
      <c r="J69" s="6">
        <v>0.27</v>
      </c>
      <c r="K69" s="6">
        <v>234.19</v>
      </c>
      <c r="L69" s="6">
        <v>33.74</v>
      </c>
      <c r="M69" s="6">
        <v>63.75</v>
      </c>
      <c r="N69" s="6">
        <v>454.5</v>
      </c>
      <c r="O69" s="6">
        <v>0</v>
      </c>
      <c r="P69" s="6">
        <v>0.56999999999999995</v>
      </c>
      <c r="Q69" s="6">
        <v>3.9</v>
      </c>
    </row>
    <row r="70" spans="1:17" customFormat="1">
      <c r="A70" s="82">
        <v>45464.645833333336</v>
      </c>
      <c r="B70" s="6">
        <v>9.17</v>
      </c>
      <c r="C70" s="6">
        <v>4.07</v>
      </c>
      <c r="D70" s="6">
        <v>13.93</v>
      </c>
      <c r="E70" s="6">
        <v>13.43</v>
      </c>
      <c r="F70" s="6">
        <v>20.81</v>
      </c>
      <c r="G70" s="6">
        <v>30.2</v>
      </c>
      <c r="H70" s="6">
        <v>11.98</v>
      </c>
      <c r="I70" s="6">
        <v>6.37</v>
      </c>
      <c r="J70" s="6">
        <v>0.28000000000000003</v>
      </c>
      <c r="K70" s="6">
        <v>215.68</v>
      </c>
      <c r="L70" s="6">
        <v>34.83</v>
      </c>
      <c r="M70" s="6">
        <v>61.2</v>
      </c>
      <c r="N70" s="6">
        <v>390.9</v>
      </c>
      <c r="O70" s="6">
        <v>0</v>
      </c>
      <c r="P70" s="6">
        <v>0.56999999999999995</v>
      </c>
      <c r="Q70" s="6">
        <v>3.91</v>
      </c>
    </row>
    <row r="71" spans="1:17" customFormat="1">
      <c r="A71" s="82">
        <v>45464.65625</v>
      </c>
      <c r="B71" s="6">
        <v>9.17</v>
      </c>
      <c r="C71" s="6">
        <v>4.08</v>
      </c>
      <c r="D71" s="6">
        <v>13.94</v>
      </c>
      <c r="E71" s="6">
        <v>13.29</v>
      </c>
      <c r="F71" s="6">
        <v>23.83</v>
      </c>
      <c r="G71" s="6">
        <v>30.2</v>
      </c>
      <c r="H71" s="6">
        <v>11.98</v>
      </c>
      <c r="I71" s="6">
        <v>6.2</v>
      </c>
      <c r="J71" s="6">
        <v>0.33</v>
      </c>
      <c r="K71" s="6">
        <v>221.1</v>
      </c>
      <c r="L71" s="6">
        <v>34.14</v>
      </c>
      <c r="M71" s="6">
        <v>62.82</v>
      </c>
      <c r="N71" s="6">
        <v>374</v>
      </c>
      <c r="O71" s="6">
        <v>0</v>
      </c>
      <c r="P71" s="6">
        <v>0.55000000000000004</v>
      </c>
      <c r="Q71" s="6">
        <v>3.91</v>
      </c>
    </row>
    <row r="72" spans="1:17" customFormat="1">
      <c r="A72" s="82">
        <v>45464.666666666664</v>
      </c>
      <c r="B72" s="6">
        <v>9.16</v>
      </c>
      <c r="C72" s="6">
        <v>4.0999999999999996</v>
      </c>
      <c r="D72" s="6">
        <v>13.94</v>
      </c>
      <c r="E72" s="6">
        <v>13.63</v>
      </c>
      <c r="F72" s="6">
        <v>18.690000000000001</v>
      </c>
      <c r="G72" s="6">
        <v>30.35</v>
      </c>
      <c r="H72" s="6">
        <v>12.07</v>
      </c>
      <c r="I72" s="6">
        <v>6.12</v>
      </c>
      <c r="J72" s="6">
        <v>0.39</v>
      </c>
      <c r="K72" s="6">
        <v>217.55</v>
      </c>
      <c r="L72" s="6">
        <v>34.44</v>
      </c>
      <c r="M72" s="6">
        <v>61.22</v>
      </c>
      <c r="N72" s="6">
        <v>377.8</v>
      </c>
      <c r="O72" s="6">
        <v>0</v>
      </c>
      <c r="P72" s="6">
        <v>0.56000000000000005</v>
      </c>
      <c r="Q72" s="6">
        <v>3.91</v>
      </c>
    </row>
    <row r="73" spans="1:17" customFormat="1">
      <c r="A73" s="82">
        <v>45464.677083333336</v>
      </c>
      <c r="B73" s="6">
        <v>9.16</v>
      </c>
      <c r="C73" s="6">
        <v>4.07</v>
      </c>
      <c r="D73" s="6">
        <v>13.92</v>
      </c>
      <c r="E73" s="6">
        <v>13.79</v>
      </c>
      <c r="F73" s="6">
        <v>20.14</v>
      </c>
      <c r="G73" s="6">
        <v>30.5</v>
      </c>
      <c r="H73" s="6">
        <v>12.11</v>
      </c>
      <c r="I73" s="6">
        <v>5.94</v>
      </c>
      <c r="J73" s="6">
        <v>0.31</v>
      </c>
      <c r="K73" s="6">
        <v>224.71</v>
      </c>
      <c r="L73" s="6">
        <v>33.83</v>
      </c>
      <c r="M73" s="6">
        <v>63.76</v>
      </c>
      <c r="N73" s="6">
        <v>176.6</v>
      </c>
      <c r="O73" s="6">
        <v>0</v>
      </c>
      <c r="P73" s="6">
        <v>0.56000000000000005</v>
      </c>
      <c r="Q73" s="6">
        <v>3.92</v>
      </c>
    </row>
    <row r="74" spans="1:17" customFormat="1">
      <c r="A74" s="82">
        <v>45464.6875</v>
      </c>
      <c r="B74" s="6">
        <v>9.15</v>
      </c>
      <c r="C74" s="6">
        <v>4.08</v>
      </c>
      <c r="D74" s="6">
        <v>13.92</v>
      </c>
      <c r="E74" s="6">
        <v>13.18</v>
      </c>
      <c r="F74" s="6">
        <v>21.37</v>
      </c>
      <c r="G74" s="6">
        <v>30.5</v>
      </c>
      <c r="H74" s="6">
        <v>12.11</v>
      </c>
      <c r="I74" s="6">
        <v>6.05</v>
      </c>
      <c r="J74" s="6">
        <v>0.37</v>
      </c>
      <c r="K74" s="6">
        <v>245.46</v>
      </c>
      <c r="L74" s="6">
        <v>33.54</v>
      </c>
      <c r="M74" s="6">
        <v>63.15</v>
      </c>
      <c r="N74" s="6">
        <v>178</v>
      </c>
      <c r="O74" s="6">
        <v>0</v>
      </c>
      <c r="P74" s="6">
        <v>0.56000000000000005</v>
      </c>
      <c r="Q74" s="6">
        <v>3.93</v>
      </c>
    </row>
    <row r="75" spans="1:17" customFormat="1">
      <c r="A75" s="82">
        <v>45464.697916666664</v>
      </c>
      <c r="B75" s="6">
        <v>9.14</v>
      </c>
      <c r="C75" s="6">
        <v>4.09</v>
      </c>
      <c r="D75" s="6">
        <v>13.92</v>
      </c>
      <c r="E75" s="6">
        <v>13.04</v>
      </c>
      <c r="F75" s="6">
        <v>26.64</v>
      </c>
      <c r="G75" s="6">
        <v>30.5</v>
      </c>
      <c r="H75" s="6">
        <v>12.11</v>
      </c>
      <c r="I75" s="6">
        <v>6.05</v>
      </c>
      <c r="J75" s="6">
        <v>0.28000000000000003</v>
      </c>
      <c r="K75" s="6">
        <v>191.92</v>
      </c>
      <c r="L75" s="6">
        <v>33.94</v>
      </c>
      <c r="M75" s="6">
        <v>62.95</v>
      </c>
      <c r="N75" s="6">
        <v>176.2</v>
      </c>
      <c r="O75" s="6">
        <v>0</v>
      </c>
      <c r="P75" s="6">
        <v>0.55000000000000004</v>
      </c>
      <c r="Q75" s="6">
        <v>3.92</v>
      </c>
    </row>
    <row r="76" spans="1:17" customFormat="1">
      <c r="A76" s="82">
        <v>45464.708333333336</v>
      </c>
      <c r="B76" s="6">
        <v>9.16</v>
      </c>
      <c r="C76" s="6">
        <v>4.0599999999999996</v>
      </c>
      <c r="D76" s="6">
        <v>13.92</v>
      </c>
      <c r="E76" s="6">
        <v>12.36</v>
      </c>
      <c r="F76" s="6">
        <v>31.92</v>
      </c>
      <c r="G76" s="6">
        <v>30</v>
      </c>
      <c r="H76" s="6">
        <v>15.08</v>
      </c>
      <c r="I76" s="6">
        <v>6.03</v>
      </c>
      <c r="J76" s="6">
        <v>0.22</v>
      </c>
      <c r="K76" s="6">
        <v>242.19</v>
      </c>
      <c r="L76" s="6">
        <v>33.65</v>
      </c>
      <c r="M76" s="6">
        <v>63.53</v>
      </c>
      <c r="N76" s="6">
        <v>106.7</v>
      </c>
      <c r="O76" s="6">
        <v>0</v>
      </c>
      <c r="P76" s="6">
        <v>0.53</v>
      </c>
      <c r="Q76" s="6">
        <v>3.93</v>
      </c>
    </row>
    <row r="77" spans="1:17" customFormat="1">
      <c r="A77" s="82">
        <v>45464.71875</v>
      </c>
      <c r="B77" s="6">
        <v>9.17</v>
      </c>
      <c r="C77" s="6">
        <v>4.0199999999999996</v>
      </c>
      <c r="D77" s="6">
        <v>13.91</v>
      </c>
      <c r="E77" s="6">
        <v>13.01</v>
      </c>
      <c r="F77" s="6">
        <v>21.51</v>
      </c>
      <c r="G77" s="6">
        <v>29.51</v>
      </c>
      <c r="H77" s="6">
        <v>16.46</v>
      </c>
      <c r="I77" s="6">
        <v>5.67</v>
      </c>
      <c r="J77" s="6">
        <v>0.26</v>
      </c>
      <c r="K77" s="6">
        <v>221.73</v>
      </c>
      <c r="L77" s="6">
        <v>32.770000000000003</v>
      </c>
      <c r="M77" s="6">
        <v>66.09</v>
      </c>
      <c r="N77" s="6">
        <v>97.4</v>
      </c>
      <c r="O77" s="6">
        <v>0</v>
      </c>
      <c r="P77" s="6">
        <v>0.54</v>
      </c>
      <c r="Q77" s="6">
        <v>3.92</v>
      </c>
    </row>
    <row r="78" spans="1:17" customFormat="1">
      <c r="A78" s="82">
        <v>45464.729166666664</v>
      </c>
      <c r="B78" s="6">
        <v>9.16</v>
      </c>
      <c r="C78" s="6">
        <v>4.04</v>
      </c>
      <c r="D78" s="6">
        <v>13.91</v>
      </c>
      <c r="E78" s="6">
        <v>12.73</v>
      </c>
      <c r="F78" s="6">
        <v>27.56</v>
      </c>
      <c r="G78" s="6">
        <v>29.51</v>
      </c>
      <c r="H78" s="6">
        <v>16.46</v>
      </c>
      <c r="I78" s="6">
        <v>5.38</v>
      </c>
      <c r="J78" s="6">
        <v>0.23</v>
      </c>
      <c r="K78" s="6">
        <v>181.63</v>
      </c>
      <c r="L78" s="6">
        <v>33.1</v>
      </c>
      <c r="M78" s="6">
        <v>64.36</v>
      </c>
      <c r="N78" s="6">
        <v>89.8</v>
      </c>
      <c r="O78" s="6">
        <v>0</v>
      </c>
      <c r="P78" s="6">
        <v>0.51</v>
      </c>
      <c r="Q78" s="6">
        <v>3.92</v>
      </c>
    </row>
    <row r="79" spans="1:17" customFormat="1">
      <c r="A79" s="82">
        <v>45464.739583333336</v>
      </c>
      <c r="B79" s="6">
        <v>9.14</v>
      </c>
      <c r="C79" s="6">
        <v>4.05</v>
      </c>
      <c r="D79" s="6">
        <v>13.9</v>
      </c>
      <c r="E79" s="6">
        <v>12.71</v>
      </c>
      <c r="F79" s="6">
        <v>14.84</v>
      </c>
      <c r="G79" s="6">
        <v>29.51</v>
      </c>
      <c r="H79" s="6">
        <v>16.46</v>
      </c>
      <c r="I79" s="6">
        <v>5.59</v>
      </c>
      <c r="J79" s="6">
        <v>1.43</v>
      </c>
      <c r="K79" s="6">
        <v>30.64</v>
      </c>
      <c r="L79" s="6">
        <v>31.54</v>
      </c>
      <c r="M79" s="6">
        <v>65.180000000000007</v>
      </c>
      <c r="N79" s="6">
        <v>15.1</v>
      </c>
      <c r="O79" s="6">
        <v>0</v>
      </c>
      <c r="P79" s="6">
        <v>0.52</v>
      </c>
      <c r="Q79" s="6">
        <v>3.93</v>
      </c>
    </row>
    <row r="80" spans="1:17" customFormat="1">
      <c r="A80" s="82">
        <v>45464.75</v>
      </c>
      <c r="B80" s="6">
        <v>9.15</v>
      </c>
      <c r="C80" s="6">
        <v>4.08</v>
      </c>
      <c r="D80" s="6">
        <v>13.91</v>
      </c>
      <c r="E80" s="6">
        <v>12.67</v>
      </c>
      <c r="F80" s="6">
        <v>8.68</v>
      </c>
      <c r="G80" s="6">
        <v>30.43</v>
      </c>
      <c r="H80" s="6">
        <v>15.32</v>
      </c>
      <c r="I80" s="6">
        <v>5.29</v>
      </c>
      <c r="J80" s="6">
        <v>1.25</v>
      </c>
      <c r="K80" s="6">
        <v>334.62</v>
      </c>
      <c r="L80" s="6">
        <v>29.76</v>
      </c>
      <c r="M80" s="6">
        <v>65.209999999999994</v>
      </c>
      <c r="N80" s="6">
        <v>9.8000000000000007</v>
      </c>
      <c r="O80" s="6">
        <v>0</v>
      </c>
      <c r="P80" s="6">
        <v>0.54</v>
      </c>
      <c r="Q80" s="6">
        <v>3.93</v>
      </c>
    </row>
    <row r="81" spans="1:17" customFormat="1">
      <c r="A81" s="82">
        <v>45464.760416666664</v>
      </c>
      <c r="B81" s="6">
        <v>9.15</v>
      </c>
      <c r="C81" s="6">
        <v>4.09</v>
      </c>
      <c r="D81" s="6">
        <v>13.92</v>
      </c>
      <c r="E81" s="6">
        <v>9.67</v>
      </c>
      <c r="F81" s="6">
        <v>10.56</v>
      </c>
      <c r="G81" s="6">
        <v>31.3</v>
      </c>
      <c r="H81" s="6">
        <v>14.78</v>
      </c>
      <c r="I81" s="6">
        <v>5.47</v>
      </c>
      <c r="J81" s="6">
        <v>2.02</v>
      </c>
      <c r="K81" s="6">
        <v>42.83</v>
      </c>
      <c r="L81" s="6">
        <v>29.14</v>
      </c>
      <c r="M81" s="6">
        <v>69.489999999999995</v>
      </c>
      <c r="N81" s="6">
        <v>4.9000000000000004</v>
      </c>
      <c r="O81" s="6">
        <v>0</v>
      </c>
      <c r="P81" s="6">
        <v>0.53</v>
      </c>
      <c r="Q81" s="6">
        <v>3.92</v>
      </c>
    </row>
    <row r="82" spans="1:17" customFormat="1">
      <c r="A82" s="82">
        <v>45464.770833333336</v>
      </c>
      <c r="B82" s="6">
        <v>9.14</v>
      </c>
      <c r="C82" s="6">
        <v>4.1100000000000003</v>
      </c>
      <c r="D82" s="6">
        <v>13.93</v>
      </c>
      <c r="E82" s="6">
        <v>11.05</v>
      </c>
      <c r="F82" s="6">
        <v>9.48</v>
      </c>
      <c r="G82" s="6">
        <v>31.3</v>
      </c>
      <c r="H82" s="6">
        <v>14.78</v>
      </c>
      <c r="I82" s="6">
        <v>5.6</v>
      </c>
      <c r="J82" s="6">
        <v>2.86</v>
      </c>
      <c r="K82" s="6">
        <v>46.35</v>
      </c>
      <c r="L82" s="6">
        <v>27.35</v>
      </c>
      <c r="M82" s="6">
        <v>85.24</v>
      </c>
      <c r="N82" s="6">
        <v>9.1</v>
      </c>
      <c r="O82" s="6">
        <v>1</v>
      </c>
      <c r="P82" s="6">
        <v>0.52</v>
      </c>
      <c r="Q82" s="6">
        <v>3.92</v>
      </c>
    </row>
    <row r="83" spans="1:17" customFormat="1">
      <c r="A83" s="82">
        <v>45464.78125</v>
      </c>
      <c r="B83" s="6">
        <v>9.14</v>
      </c>
      <c r="C83" s="6">
        <v>4.09</v>
      </c>
      <c r="D83" s="6">
        <v>13.92</v>
      </c>
      <c r="E83" s="6">
        <v>10.57</v>
      </c>
      <c r="F83" s="6">
        <v>7.04</v>
      </c>
      <c r="G83" s="6">
        <v>31.3</v>
      </c>
      <c r="H83" s="6">
        <v>14.78</v>
      </c>
      <c r="I83" s="6">
        <v>5.41</v>
      </c>
      <c r="J83" s="6">
        <v>1.71</v>
      </c>
      <c r="K83" s="6">
        <v>55.16</v>
      </c>
      <c r="L83" s="6">
        <v>25.82</v>
      </c>
      <c r="M83" s="6">
        <v>95.11</v>
      </c>
      <c r="N83" s="6">
        <v>2.8</v>
      </c>
      <c r="O83" s="6">
        <v>0.6</v>
      </c>
      <c r="P83" s="6">
        <v>0.52</v>
      </c>
      <c r="Q83" s="6">
        <v>3.93</v>
      </c>
    </row>
    <row r="84" spans="1:17" customFormat="1">
      <c r="A84" s="82">
        <v>45464.791666666664</v>
      </c>
      <c r="B84" s="6">
        <v>9.14</v>
      </c>
      <c r="C84" s="6">
        <v>4.07</v>
      </c>
      <c r="D84" s="6">
        <v>13.91</v>
      </c>
      <c r="E84" s="6">
        <v>9.8699999999999992</v>
      </c>
      <c r="F84" s="6">
        <v>5.58</v>
      </c>
      <c r="G84" s="6">
        <v>31.31</v>
      </c>
      <c r="H84" s="6">
        <v>11.99</v>
      </c>
      <c r="I84" s="6">
        <v>5.35</v>
      </c>
      <c r="J84" s="6">
        <v>0.27</v>
      </c>
      <c r="K84" s="6">
        <v>204.97</v>
      </c>
      <c r="L84" s="6">
        <v>26.03</v>
      </c>
      <c r="M84" s="6">
        <v>96.6</v>
      </c>
      <c r="N84" s="6">
        <v>1.7</v>
      </c>
      <c r="O84" s="6">
        <v>0.2</v>
      </c>
      <c r="P84" s="6">
        <v>0.51</v>
      </c>
      <c r="Q84" s="6">
        <v>3.94</v>
      </c>
    </row>
    <row r="85" spans="1:17" customFormat="1">
      <c r="A85" s="82">
        <v>45464.802083333336</v>
      </c>
      <c r="B85" s="6">
        <v>9.15</v>
      </c>
      <c r="C85" s="6">
        <v>4.0199999999999996</v>
      </c>
      <c r="D85" s="6">
        <v>13.89</v>
      </c>
      <c r="E85" s="6">
        <v>10.36</v>
      </c>
      <c r="F85" s="6">
        <v>6.16</v>
      </c>
      <c r="G85" s="6">
        <v>31.32</v>
      </c>
      <c r="H85" s="6">
        <v>10.68</v>
      </c>
      <c r="I85" s="6">
        <v>5.24</v>
      </c>
      <c r="J85" s="6">
        <v>0.12</v>
      </c>
      <c r="K85" s="6">
        <v>270.02</v>
      </c>
      <c r="L85" s="6">
        <v>25.91</v>
      </c>
      <c r="M85" s="6">
        <v>98.25</v>
      </c>
      <c r="N85" s="6">
        <v>2</v>
      </c>
      <c r="O85" s="6">
        <v>0</v>
      </c>
      <c r="P85" s="6">
        <v>0.51</v>
      </c>
      <c r="Q85" s="6">
        <v>3.92</v>
      </c>
    </row>
    <row r="86" spans="1:17" customFormat="1">
      <c r="A86" s="82">
        <v>45464.8125</v>
      </c>
      <c r="B86" s="6">
        <v>9.17</v>
      </c>
      <c r="C86" s="6">
        <v>4.04</v>
      </c>
      <c r="D86" s="6">
        <v>13.92</v>
      </c>
      <c r="E86" s="6">
        <v>9.51</v>
      </c>
      <c r="F86" s="6">
        <v>9.2799999999999994</v>
      </c>
      <c r="G86" s="6">
        <v>31.32</v>
      </c>
      <c r="H86" s="6">
        <v>10.68</v>
      </c>
      <c r="I86" s="6">
        <v>5.21</v>
      </c>
      <c r="J86" s="6">
        <v>0.22</v>
      </c>
      <c r="K86" s="6">
        <v>78.930000000000007</v>
      </c>
      <c r="L86" s="6">
        <v>25.96</v>
      </c>
      <c r="M86" s="6">
        <v>99.26</v>
      </c>
      <c r="N86" s="6">
        <v>2.1</v>
      </c>
      <c r="O86" s="6">
        <v>0.2</v>
      </c>
      <c r="P86" s="6">
        <v>0.48</v>
      </c>
      <c r="Q86" s="6">
        <v>3.89</v>
      </c>
    </row>
    <row r="87" spans="1:17" customFormat="1">
      <c r="A87" s="82">
        <v>45464.822916666664</v>
      </c>
      <c r="B87" s="6">
        <v>9.1199999999999992</v>
      </c>
      <c r="C87" s="6">
        <v>4.07</v>
      </c>
      <c r="D87" s="6">
        <v>13.9</v>
      </c>
      <c r="E87" s="6">
        <v>9.11</v>
      </c>
      <c r="F87" s="6">
        <v>10.29</v>
      </c>
      <c r="G87" s="6">
        <v>31.32</v>
      </c>
      <c r="H87" s="6">
        <v>10.68</v>
      </c>
      <c r="I87" s="6">
        <v>5.0999999999999996</v>
      </c>
      <c r="J87" s="6">
        <v>0.24</v>
      </c>
      <c r="K87" s="6">
        <v>99.47</v>
      </c>
      <c r="L87" s="6">
        <v>25.92</v>
      </c>
      <c r="M87" s="6">
        <v>99.86</v>
      </c>
      <c r="N87" s="6">
        <v>2.1</v>
      </c>
      <c r="O87" s="6">
        <v>0</v>
      </c>
      <c r="P87" s="6">
        <v>0.47</v>
      </c>
      <c r="Q87" s="6">
        <v>3.9</v>
      </c>
    </row>
    <row r="88" spans="1:17" customFormat="1">
      <c r="A88" s="82">
        <v>45464.833333333336</v>
      </c>
      <c r="B88" s="6">
        <v>9.1199999999999992</v>
      </c>
      <c r="C88" s="6">
        <v>4.07</v>
      </c>
      <c r="D88" s="6">
        <v>13.89</v>
      </c>
      <c r="E88" s="6">
        <v>7.92</v>
      </c>
      <c r="F88" s="6">
        <v>17.32</v>
      </c>
      <c r="G88" s="6">
        <v>28.06</v>
      </c>
      <c r="H88" s="6">
        <v>11.11</v>
      </c>
      <c r="I88" s="6">
        <v>4.7699999999999996</v>
      </c>
      <c r="J88" s="6">
        <v>0.17</v>
      </c>
      <c r="K88" s="6">
        <v>125.8</v>
      </c>
      <c r="L88" s="6">
        <v>25.85</v>
      </c>
      <c r="M88" s="6">
        <v>99.47</v>
      </c>
      <c r="N88" s="6">
        <v>2.5</v>
      </c>
      <c r="O88" s="6">
        <v>0.4</v>
      </c>
      <c r="P88" s="6">
        <v>0.44</v>
      </c>
      <c r="Q88" s="6">
        <v>3.93</v>
      </c>
    </row>
    <row r="89" spans="1:17" customFormat="1">
      <c r="A89" s="82">
        <v>45464.84375</v>
      </c>
      <c r="B89" s="6">
        <v>9.17</v>
      </c>
      <c r="C89" s="6">
        <v>4.08</v>
      </c>
      <c r="D89" s="6">
        <v>13.94</v>
      </c>
      <c r="E89" s="6">
        <v>7.64</v>
      </c>
      <c r="F89" s="6">
        <v>16.66</v>
      </c>
      <c r="G89" s="6">
        <v>24.94</v>
      </c>
      <c r="H89" s="6">
        <v>11.54</v>
      </c>
      <c r="I89" s="6">
        <v>4.82</v>
      </c>
      <c r="J89" s="6">
        <v>0.13</v>
      </c>
      <c r="K89" s="6">
        <v>175.64</v>
      </c>
      <c r="L89" s="6">
        <v>25.61</v>
      </c>
      <c r="M89" s="6">
        <v>98.76</v>
      </c>
      <c r="N89" s="6">
        <v>2.2000000000000002</v>
      </c>
      <c r="O89" s="6">
        <v>0.4</v>
      </c>
      <c r="P89" s="6">
        <v>0.4</v>
      </c>
      <c r="Q89" s="6">
        <v>3.94</v>
      </c>
    </row>
    <row r="90" spans="1:17" customFormat="1">
      <c r="A90" s="82">
        <v>45464.854166666664</v>
      </c>
      <c r="B90" s="6">
        <v>9.19</v>
      </c>
      <c r="C90" s="6">
        <v>4.09</v>
      </c>
      <c r="D90" s="6">
        <v>13.95</v>
      </c>
      <c r="E90" s="6">
        <v>7.63</v>
      </c>
      <c r="F90" s="6">
        <v>18.45</v>
      </c>
      <c r="G90" s="6">
        <v>24.94</v>
      </c>
      <c r="H90" s="6">
        <v>11.54</v>
      </c>
      <c r="I90" s="6">
        <v>4.3499999999999996</v>
      </c>
      <c r="J90" s="6">
        <v>0.36</v>
      </c>
      <c r="K90" s="6">
        <v>269.13</v>
      </c>
      <c r="L90" s="6">
        <v>25.45</v>
      </c>
      <c r="M90" s="6">
        <v>98.72</v>
      </c>
      <c r="N90" s="6">
        <v>2.2000000000000002</v>
      </c>
      <c r="O90" s="6">
        <v>0.6</v>
      </c>
      <c r="P90" s="6">
        <v>0.37</v>
      </c>
      <c r="Q90" s="6">
        <v>3.96</v>
      </c>
    </row>
    <row r="91" spans="1:17" customFormat="1">
      <c r="A91" s="82">
        <v>45464.864583333336</v>
      </c>
      <c r="B91" s="6">
        <v>9.19</v>
      </c>
      <c r="C91" s="6">
        <v>4.08</v>
      </c>
      <c r="D91" s="6">
        <v>13.95</v>
      </c>
      <c r="E91" s="6">
        <v>7.65</v>
      </c>
      <c r="F91" s="6">
        <v>19.649999999999999</v>
      </c>
      <c r="G91" s="6">
        <v>24.94</v>
      </c>
      <c r="H91" s="6">
        <v>11.54</v>
      </c>
      <c r="I91" s="6">
        <v>4.26</v>
      </c>
      <c r="J91" s="6">
        <v>0.35</v>
      </c>
      <c r="K91" s="6">
        <v>242.56</v>
      </c>
      <c r="L91" s="6">
        <v>25.62</v>
      </c>
      <c r="M91" s="6">
        <v>99.79</v>
      </c>
      <c r="N91" s="6">
        <v>1.9</v>
      </c>
      <c r="O91" s="6">
        <v>0.4</v>
      </c>
      <c r="P91" s="6">
        <v>0.37</v>
      </c>
      <c r="Q91" s="6">
        <v>3.92</v>
      </c>
    </row>
    <row r="92" spans="1:17" customFormat="1">
      <c r="A92" s="82">
        <v>45464.875</v>
      </c>
      <c r="B92" s="6">
        <v>9.17</v>
      </c>
      <c r="C92" s="6">
        <v>4.07</v>
      </c>
      <c r="D92" s="6">
        <v>13.93</v>
      </c>
      <c r="E92" s="6">
        <v>7.47</v>
      </c>
      <c r="F92" s="6">
        <v>16.399999999999999</v>
      </c>
      <c r="G92" s="6">
        <v>20.63</v>
      </c>
      <c r="H92" s="6">
        <v>9.41</v>
      </c>
      <c r="I92" s="6">
        <v>4.0599999999999996</v>
      </c>
      <c r="J92" s="6">
        <v>0.62</v>
      </c>
      <c r="K92" s="6">
        <v>254.17</v>
      </c>
      <c r="L92" s="6">
        <v>25.49</v>
      </c>
      <c r="M92" s="6">
        <v>100.17</v>
      </c>
      <c r="N92" s="6">
        <v>2.6</v>
      </c>
      <c r="O92" s="6">
        <v>1.2</v>
      </c>
      <c r="P92" s="6">
        <v>0.37</v>
      </c>
      <c r="Q92" s="6">
        <v>3.93</v>
      </c>
    </row>
    <row r="93" spans="1:17" customFormat="1">
      <c r="A93" s="82">
        <v>45464.885416666664</v>
      </c>
      <c r="B93" s="6">
        <v>9.1999999999999993</v>
      </c>
      <c r="C93" s="6">
        <v>4.05</v>
      </c>
      <c r="D93" s="6">
        <v>13.94</v>
      </c>
      <c r="E93" s="6">
        <v>7.39</v>
      </c>
      <c r="F93" s="6">
        <v>11.01</v>
      </c>
      <c r="G93" s="6">
        <v>16.510000000000002</v>
      </c>
      <c r="H93" s="6">
        <v>8.41</v>
      </c>
      <c r="I93" s="6">
        <v>4</v>
      </c>
      <c r="J93" s="6">
        <v>0.76</v>
      </c>
      <c r="K93" s="6">
        <v>253.72</v>
      </c>
      <c r="L93" s="6">
        <v>25.06</v>
      </c>
      <c r="M93" s="6">
        <v>100.56</v>
      </c>
      <c r="N93" s="6">
        <v>3</v>
      </c>
      <c r="O93" s="6">
        <v>1</v>
      </c>
      <c r="P93" s="6">
        <v>0.36</v>
      </c>
      <c r="Q93" s="6">
        <v>3.93</v>
      </c>
    </row>
    <row r="94" spans="1:17" customFormat="1">
      <c r="A94" s="82">
        <v>45464.895833333336</v>
      </c>
      <c r="B94" s="6">
        <v>9.14</v>
      </c>
      <c r="C94" s="6">
        <v>4.05</v>
      </c>
      <c r="D94" s="6">
        <v>13.89</v>
      </c>
      <c r="E94" s="6">
        <v>7.11</v>
      </c>
      <c r="F94" s="6">
        <v>12.55</v>
      </c>
      <c r="G94" s="6">
        <v>16.510000000000002</v>
      </c>
      <c r="H94" s="6">
        <v>8.41</v>
      </c>
      <c r="I94" s="6">
        <v>4.17</v>
      </c>
      <c r="J94" s="6">
        <v>0.5</v>
      </c>
      <c r="K94" s="6">
        <v>253.71</v>
      </c>
      <c r="L94" s="6">
        <v>24.64</v>
      </c>
      <c r="M94" s="6">
        <v>101.28</v>
      </c>
      <c r="N94" s="6">
        <v>2.6</v>
      </c>
      <c r="O94" s="6">
        <v>1</v>
      </c>
      <c r="P94" s="6">
        <v>0.37</v>
      </c>
      <c r="Q94" s="6">
        <v>3.94</v>
      </c>
    </row>
    <row r="95" spans="1:17" customFormat="1">
      <c r="A95" s="82">
        <v>45464.90625</v>
      </c>
      <c r="B95" s="6">
        <v>9.09</v>
      </c>
      <c r="C95" s="6">
        <v>4.08</v>
      </c>
      <c r="D95" s="6">
        <v>13.87</v>
      </c>
      <c r="E95" s="6">
        <v>7.04</v>
      </c>
      <c r="F95" s="6">
        <v>13.24</v>
      </c>
      <c r="G95" s="6">
        <v>16.510000000000002</v>
      </c>
      <c r="H95" s="6">
        <v>8.41</v>
      </c>
      <c r="I95" s="6">
        <v>4.51</v>
      </c>
      <c r="J95" s="6">
        <v>0.3</v>
      </c>
      <c r="K95" s="6">
        <v>247.56</v>
      </c>
      <c r="L95" s="6">
        <v>24.72</v>
      </c>
      <c r="M95" s="6">
        <v>101.83</v>
      </c>
      <c r="N95" s="6">
        <v>2.2000000000000002</v>
      </c>
      <c r="O95" s="6">
        <v>0.4</v>
      </c>
      <c r="P95" s="6">
        <v>0.37</v>
      </c>
      <c r="Q95" s="6">
        <v>3.92</v>
      </c>
    </row>
    <row r="96" spans="1:17" customFormat="1">
      <c r="A96" s="82">
        <v>45464.916666666664</v>
      </c>
      <c r="B96" s="6">
        <v>9.09</v>
      </c>
      <c r="C96" s="6">
        <v>4.08</v>
      </c>
      <c r="D96" s="6">
        <v>13.87</v>
      </c>
      <c r="E96" s="6">
        <v>7.05</v>
      </c>
      <c r="F96" s="6">
        <v>21.87</v>
      </c>
      <c r="G96" s="6">
        <v>14.98</v>
      </c>
      <c r="H96" s="6">
        <v>6.69</v>
      </c>
      <c r="I96" s="6">
        <v>4.41</v>
      </c>
      <c r="J96" s="6">
        <v>0.23</v>
      </c>
      <c r="K96" s="6">
        <v>235.25</v>
      </c>
      <c r="L96" s="6">
        <v>24.79</v>
      </c>
      <c r="M96" s="6">
        <v>101.91</v>
      </c>
      <c r="N96" s="6">
        <v>2.1</v>
      </c>
      <c r="O96" s="6">
        <v>0.4</v>
      </c>
      <c r="P96" s="6">
        <v>0.34</v>
      </c>
      <c r="Q96" s="6">
        <v>3.91</v>
      </c>
    </row>
    <row r="97" spans="1:22" customFormat="1">
      <c r="A97" s="82">
        <v>45464.927083333336</v>
      </c>
      <c r="B97" s="6">
        <v>9.11</v>
      </c>
      <c r="C97" s="6">
        <v>4.05</v>
      </c>
      <c r="D97" s="6">
        <v>13.87</v>
      </c>
      <c r="E97" s="6">
        <v>7.03</v>
      </c>
      <c r="F97" s="6">
        <v>20.57</v>
      </c>
      <c r="G97" s="6">
        <v>13.51</v>
      </c>
      <c r="H97" s="6">
        <v>5.89</v>
      </c>
      <c r="I97" s="6">
        <v>4.32</v>
      </c>
      <c r="J97" s="6">
        <v>0.18</v>
      </c>
      <c r="K97" s="6">
        <v>217.95</v>
      </c>
      <c r="L97" s="6">
        <v>24.93</v>
      </c>
      <c r="M97" s="6">
        <v>102.25</v>
      </c>
      <c r="N97" s="6">
        <v>2.1</v>
      </c>
      <c r="O97" s="6">
        <v>0.8</v>
      </c>
      <c r="P97" s="6">
        <v>0.34</v>
      </c>
      <c r="Q97" s="6">
        <v>3.93</v>
      </c>
    </row>
    <row r="98" spans="1:22" customFormat="1">
      <c r="A98" s="82">
        <v>45464.9375</v>
      </c>
      <c r="B98" s="6">
        <v>9.11</v>
      </c>
      <c r="C98" s="6">
        <v>4.05</v>
      </c>
      <c r="D98" s="6">
        <v>13.87</v>
      </c>
      <c r="E98" s="6">
        <v>7.36</v>
      </c>
      <c r="F98" s="6">
        <v>21.68</v>
      </c>
      <c r="G98" s="6">
        <v>13.51</v>
      </c>
      <c r="H98" s="6">
        <v>5.89</v>
      </c>
      <c r="I98" s="6">
        <v>3.74</v>
      </c>
      <c r="J98" s="6">
        <v>0.13</v>
      </c>
      <c r="K98" s="6">
        <v>227.66</v>
      </c>
      <c r="L98" s="6">
        <v>24.99</v>
      </c>
      <c r="M98" s="6">
        <v>102.64</v>
      </c>
      <c r="N98" s="6">
        <v>2.1</v>
      </c>
      <c r="O98" s="6">
        <v>1.2</v>
      </c>
      <c r="P98" s="6">
        <v>0.33</v>
      </c>
      <c r="Q98" s="6">
        <v>3.94</v>
      </c>
    </row>
    <row r="99" spans="1:22" customFormat="1">
      <c r="A99" s="82">
        <v>45464.947916666664</v>
      </c>
      <c r="B99" s="6">
        <v>9.1</v>
      </c>
      <c r="C99" s="6">
        <v>4.07</v>
      </c>
      <c r="D99" s="6">
        <v>13.87</v>
      </c>
      <c r="E99" s="6">
        <v>7.29</v>
      </c>
      <c r="F99" s="6">
        <v>21.15</v>
      </c>
      <c r="G99" s="6">
        <v>13.51</v>
      </c>
      <c r="H99" s="6">
        <v>5.89</v>
      </c>
      <c r="I99" s="6">
        <v>3.65</v>
      </c>
      <c r="J99" s="6">
        <v>0.2</v>
      </c>
      <c r="K99" s="6">
        <v>215.89</v>
      </c>
      <c r="L99" s="6">
        <v>24.82</v>
      </c>
      <c r="M99" s="6">
        <v>103.29</v>
      </c>
      <c r="N99" s="6">
        <v>2.4</v>
      </c>
      <c r="O99" s="6">
        <v>0.6</v>
      </c>
      <c r="P99" s="6">
        <v>0.33</v>
      </c>
      <c r="Q99" s="6">
        <v>3.94</v>
      </c>
    </row>
    <row r="100" spans="1:22" customFormat="1">
      <c r="A100" s="82">
        <v>45464.958333333336</v>
      </c>
      <c r="B100" s="6">
        <v>9.1</v>
      </c>
      <c r="C100" s="6">
        <v>4.05</v>
      </c>
      <c r="D100" s="6">
        <v>13.87</v>
      </c>
      <c r="E100" s="6">
        <v>7.16</v>
      </c>
      <c r="F100" s="6">
        <v>23.11</v>
      </c>
      <c r="G100" s="6">
        <v>11.39</v>
      </c>
      <c r="H100" s="6">
        <v>4.93</v>
      </c>
      <c r="I100" s="6">
        <v>3.43</v>
      </c>
      <c r="J100" s="6">
        <v>0.14000000000000001</v>
      </c>
      <c r="K100" s="6">
        <v>220.99</v>
      </c>
      <c r="L100" s="6">
        <v>24.83</v>
      </c>
      <c r="M100" s="6">
        <v>103.15</v>
      </c>
      <c r="N100" s="6">
        <v>2.2000000000000002</v>
      </c>
      <c r="O100" s="6">
        <v>0.6</v>
      </c>
      <c r="P100" s="6">
        <v>0.33</v>
      </c>
      <c r="Q100" s="6">
        <v>3.93</v>
      </c>
    </row>
    <row r="101" spans="1:22" customFormat="1">
      <c r="A101" s="82">
        <v>45464.96875</v>
      </c>
      <c r="B101" s="6">
        <v>9.1</v>
      </c>
      <c r="C101" s="6">
        <v>4.05</v>
      </c>
      <c r="D101" s="6">
        <v>13.86</v>
      </c>
      <c r="E101" s="6">
        <v>6.94</v>
      </c>
      <c r="F101" s="6">
        <v>21.36</v>
      </c>
      <c r="G101" s="6">
        <v>9.36</v>
      </c>
      <c r="H101" s="6">
        <v>4.49</v>
      </c>
      <c r="I101" s="6">
        <v>3.47</v>
      </c>
      <c r="J101" s="6">
        <v>0.14000000000000001</v>
      </c>
      <c r="K101" s="6">
        <v>216.95</v>
      </c>
      <c r="L101" s="6">
        <v>24.72</v>
      </c>
      <c r="M101" s="6">
        <v>103.93</v>
      </c>
      <c r="N101" s="6">
        <v>2.2999999999999998</v>
      </c>
      <c r="O101" s="6">
        <v>0.4</v>
      </c>
      <c r="P101" s="6">
        <v>0.32</v>
      </c>
      <c r="Q101" s="6">
        <v>3.93</v>
      </c>
    </row>
    <row r="102" spans="1:22" customFormat="1">
      <c r="A102" s="82">
        <v>45464.979166666664</v>
      </c>
      <c r="B102" s="6">
        <v>9.11</v>
      </c>
      <c r="C102" s="6">
        <v>4.0599999999999996</v>
      </c>
      <c r="D102" s="6">
        <v>13.88</v>
      </c>
      <c r="E102" s="6">
        <v>7.34</v>
      </c>
      <c r="F102" s="6">
        <v>20.36</v>
      </c>
      <c r="G102" s="6">
        <v>9.36</v>
      </c>
      <c r="H102" s="6">
        <v>4.49</v>
      </c>
      <c r="I102" s="6">
        <v>3.28</v>
      </c>
      <c r="J102" s="6">
        <v>0.15</v>
      </c>
      <c r="K102" s="6">
        <v>237.72</v>
      </c>
      <c r="L102" s="6">
        <v>24.72</v>
      </c>
      <c r="M102" s="6">
        <v>104.3</v>
      </c>
      <c r="N102" s="6">
        <v>2.2999999999999998</v>
      </c>
      <c r="O102" s="6">
        <v>0.6</v>
      </c>
      <c r="P102" s="6">
        <v>0.32</v>
      </c>
      <c r="Q102" s="6">
        <v>3.92</v>
      </c>
    </row>
    <row r="103" spans="1:22" customFormat="1">
      <c r="A103" s="82">
        <v>45464.989583333336</v>
      </c>
      <c r="B103" s="6">
        <v>9.11</v>
      </c>
      <c r="C103" s="6">
        <v>4.0599999999999996</v>
      </c>
      <c r="D103" s="6">
        <v>13.88</v>
      </c>
      <c r="E103" s="6">
        <v>7.55</v>
      </c>
      <c r="F103" s="6">
        <v>13.48</v>
      </c>
      <c r="G103" s="6">
        <v>9.36</v>
      </c>
      <c r="H103" s="6">
        <v>4.49</v>
      </c>
      <c r="I103" s="6">
        <v>3.33</v>
      </c>
      <c r="J103" s="6">
        <v>0.47</v>
      </c>
      <c r="K103" s="6">
        <v>263.48</v>
      </c>
      <c r="L103" s="6">
        <v>24.41</v>
      </c>
      <c r="M103" s="6">
        <v>103.35</v>
      </c>
      <c r="N103" s="6">
        <v>2.8</v>
      </c>
      <c r="O103" s="6">
        <v>0.4</v>
      </c>
      <c r="P103" s="6">
        <v>0.33</v>
      </c>
      <c r="Q103" s="6">
        <v>3.91</v>
      </c>
    </row>
    <row r="104" spans="1:22" customFormat="1">
      <c r="A104" s="82">
        <v>45465</v>
      </c>
      <c r="B104" s="6">
        <v>9.1</v>
      </c>
      <c r="C104" s="6">
        <v>4.08</v>
      </c>
      <c r="D104" s="6">
        <v>13.88</v>
      </c>
      <c r="E104" s="6">
        <v>8.11</v>
      </c>
      <c r="F104" s="6">
        <v>5.63</v>
      </c>
      <c r="G104" s="6">
        <v>11.57</v>
      </c>
      <c r="H104" s="6">
        <v>3.75</v>
      </c>
      <c r="I104" s="6">
        <v>3.4</v>
      </c>
      <c r="J104" s="6">
        <v>0.36</v>
      </c>
      <c r="K104" s="6">
        <v>263.42</v>
      </c>
      <c r="L104" s="6">
        <v>24.27</v>
      </c>
      <c r="M104" s="6">
        <v>103.75</v>
      </c>
      <c r="N104" s="6">
        <v>2.4</v>
      </c>
      <c r="O104" s="6">
        <v>0.6</v>
      </c>
      <c r="P104" s="6">
        <v>0.37</v>
      </c>
      <c r="Q104" s="6">
        <v>3.93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9.09</v>
      </c>
      <c r="C106" s="184">
        <f>MIN(C9:C104)</f>
        <v>4.0199999999999996</v>
      </c>
      <c r="D106" s="184">
        <f t="shared" ref="D106:Q106" si="0">MIN(D9:D104)</f>
        <v>13.86</v>
      </c>
      <c r="E106" s="184">
        <f t="shared" si="0"/>
        <v>6.94</v>
      </c>
      <c r="F106" s="184">
        <f t="shared" si="0"/>
        <v>3.78</v>
      </c>
      <c r="G106" s="184">
        <f t="shared" si="0"/>
        <v>4.47</v>
      </c>
      <c r="H106" s="184">
        <f t="shared" si="0"/>
        <v>1.61</v>
      </c>
      <c r="I106" s="184">
        <f t="shared" si="0"/>
        <v>2.75</v>
      </c>
      <c r="J106" s="184">
        <f t="shared" si="0"/>
        <v>0.06</v>
      </c>
      <c r="K106" s="184">
        <f t="shared" si="0"/>
        <v>30.64</v>
      </c>
      <c r="L106" s="184">
        <f t="shared" si="0"/>
        <v>24.27</v>
      </c>
      <c r="M106" s="184">
        <f t="shared" si="0"/>
        <v>61.2</v>
      </c>
      <c r="N106" s="184">
        <f t="shared" si="0"/>
        <v>1.7</v>
      </c>
      <c r="O106" s="184">
        <f t="shared" si="0"/>
        <v>0</v>
      </c>
      <c r="P106" s="184">
        <f t="shared" si="0"/>
        <v>0.28999999999999998</v>
      </c>
      <c r="Q106" s="184">
        <f t="shared" si="0"/>
        <v>3.89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9.23</v>
      </c>
      <c r="C107" s="185">
        <f t="shared" ref="C107:Q107" si="1">MAX(C9:C104)</f>
        <v>4.1100000000000003</v>
      </c>
      <c r="D107" s="185">
        <f t="shared" si="1"/>
        <v>13.97</v>
      </c>
      <c r="E107" s="185">
        <f t="shared" si="1"/>
        <v>17.57</v>
      </c>
      <c r="F107" s="185">
        <f t="shared" si="1"/>
        <v>42.16</v>
      </c>
      <c r="G107" s="185">
        <f t="shared" si="1"/>
        <v>31.32</v>
      </c>
      <c r="H107" s="185">
        <f t="shared" si="1"/>
        <v>16.46</v>
      </c>
      <c r="I107" s="185">
        <f t="shared" si="1"/>
        <v>6.64</v>
      </c>
      <c r="J107" s="185">
        <f t="shared" si="1"/>
        <v>2.86</v>
      </c>
      <c r="K107" s="185">
        <f t="shared" si="1"/>
        <v>334.62</v>
      </c>
      <c r="L107" s="185">
        <f t="shared" si="1"/>
        <v>34.83</v>
      </c>
      <c r="M107" s="185">
        <f t="shared" si="1"/>
        <v>104.3</v>
      </c>
      <c r="N107" s="185">
        <f t="shared" si="1"/>
        <v>528.6</v>
      </c>
      <c r="O107" s="185">
        <f t="shared" si="1"/>
        <v>1.2</v>
      </c>
      <c r="P107" s="185">
        <f t="shared" si="1"/>
        <v>0.59</v>
      </c>
      <c r="Q107" s="185">
        <f t="shared" si="1"/>
        <v>3.96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9.1562499999999982</v>
      </c>
      <c r="C108" s="184">
        <f t="shared" ref="C108:Q108" si="2">AVERAGE(C9:C104)</f>
        <v>4.0653124999999992</v>
      </c>
      <c r="D108" s="184">
        <f t="shared" si="2"/>
        <v>13.916562499999996</v>
      </c>
      <c r="E108" s="184">
        <f t="shared" si="2"/>
        <v>10.545624999999996</v>
      </c>
      <c r="F108" s="184">
        <f t="shared" si="2"/>
        <v>14.244895833333331</v>
      </c>
      <c r="G108" s="184">
        <f t="shared" si="2"/>
        <v>16.395208333333333</v>
      </c>
      <c r="H108" s="184">
        <f t="shared" si="2"/>
        <v>6.8370833333333296</v>
      </c>
      <c r="I108" s="184">
        <f t="shared" si="2"/>
        <v>4.337083333333335</v>
      </c>
      <c r="J108" s="184">
        <f t="shared" si="2"/>
        <v>0.37916666666666649</v>
      </c>
      <c r="K108" s="184">
        <f t="shared" si="2"/>
        <v>217.0829166666667</v>
      </c>
      <c r="L108" s="184">
        <f t="shared" si="2"/>
        <v>27.867916666666655</v>
      </c>
      <c r="M108" s="184">
        <f t="shared" si="2"/>
        <v>87.754374999999996</v>
      </c>
      <c r="N108" s="184">
        <f t="shared" si="2"/>
        <v>123.80312500000004</v>
      </c>
      <c r="O108" s="184">
        <f t="shared" si="2"/>
        <v>0.13749999999999998</v>
      </c>
      <c r="P108" s="184">
        <f t="shared" si="2"/>
        <v>0.41885416666666631</v>
      </c>
      <c r="Q108" s="184">
        <f t="shared" si="2"/>
        <v>3.9191666666666674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2.8882702891450233E-2</v>
      </c>
      <c r="C109" s="184">
        <f t="shared" ref="C109:Q109" si="3">STDEV(C9:C104)</f>
        <v>2.0362665785567929E-2</v>
      </c>
      <c r="D109" s="184">
        <f t="shared" si="3"/>
        <v>2.3567512205978514E-2</v>
      </c>
      <c r="E109" s="184">
        <f t="shared" si="3"/>
        <v>2.8419851521890838</v>
      </c>
      <c r="F109" s="184">
        <f t="shared" si="3"/>
        <v>8.3383098116675267</v>
      </c>
      <c r="G109" s="184">
        <f t="shared" si="3"/>
        <v>9.5539950287182016</v>
      </c>
      <c r="H109" s="184">
        <f t="shared" si="3"/>
        <v>4.2903271661940305</v>
      </c>
      <c r="I109" s="184">
        <f t="shared" si="3"/>
        <v>1.2190038354645016</v>
      </c>
      <c r="J109" s="184">
        <f t="shared" si="3"/>
        <v>0.42480625098648578</v>
      </c>
      <c r="K109" s="184">
        <f t="shared" si="3"/>
        <v>59.340033418766772</v>
      </c>
      <c r="L109" s="184">
        <f t="shared" si="3"/>
        <v>3.4376044035183</v>
      </c>
      <c r="M109" s="184">
        <f t="shared" si="3"/>
        <v>15.330623347954411</v>
      </c>
      <c r="N109" s="184">
        <f t="shared" si="3"/>
        <v>165.28201000785538</v>
      </c>
      <c r="O109" s="184">
        <f t="shared" si="3"/>
        <v>0.29208866714353054</v>
      </c>
      <c r="P109" s="184">
        <f t="shared" si="3"/>
        <v>8.9746658541131924E-2</v>
      </c>
      <c r="Q109" s="184">
        <f t="shared" si="3"/>
        <v>1.4412470233988835E-2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45465.010416666664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45465.010416666664</v>
      </c>
      <c r="B9" s="6">
        <v>9.27</v>
      </c>
      <c r="C9" s="6">
        <v>4.1100000000000003</v>
      </c>
      <c r="D9" s="6">
        <v>14.03</v>
      </c>
      <c r="E9" s="6">
        <v>7.9</v>
      </c>
      <c r="F9" s="6">
        <v>8.98</v>
      </c>
      <c r="G9" s="6">
        <v>13.69</v>
      </c>
      <c r="H9" s="6">
        <v>3.4</v>
      </c>
      <c r="I9" s="6">
        <v>3.77</v>
      </c>
      <c r="J9" s="6">
        <v>0.23</v>
      </c>
      <c r="K9" s="6">
        <v>263.45</v>
      </c>
      <c r="L9" s="6">
        <v>24.36</v>
      </c>
      <c r="M9" s="6">
        <v>104.03</v>
      </c>
      <c r="N9" s="6">
        <v>2.1</v>
      </c>
      <c r="O9" s="6">
        <v>0.2</v>
      </c>
      <c r="P9" s="6">
        <v>0.39</v>
      </c>
      <c r="Q9" s="6">
        <v>3.92</v>
      </c>
    </row>
    <row r="10" spans="1:21" customFormat="1">
      <c r="A10" s="82">
        <v>45465.020833333336</v>
      </c>
      <c r="B10" s="6">
        <v>9.25</v>
      </c>
      <c r="C10" s="6">
        <v>4.08</v>
      </c>
      <c r="D10" s="6">
        <v>14</v>
      </c>
      <c r="E10" s="6">
        <v>7.79</v>
      </c>
      <c r="F10" s="6">
        <v>8.58</v>
      </c>
      <c r="G10" s="6">
        <v>13.69</v>
      </c>
      <c r="H10" s="6">
        <v>3.4</v>
      </c>
      <c r="I10" s="6">
        <v>4.1399999999999997</v>
      </c>
      <c r="J10" s="6">
        <v>0.22</v>
      </c>
      <c r="K10" s="6">
        <v>175.86</v>
      </c>
      <c r="L10" s="6">
        <v>24.64</v>
      </c>
      <c r="M10" s="6">
        <v>103.46</v>
      </c>
      <c r="N10" s="6">
        <v>1.9</v>
      </c>
      <c r="O10" s="6">
        <v>0</v>
      </c>
      <c r="P10" s="6">
        <v>0.39</v>
      </c>
      <c r="Q10" s="6">
        <v>3.91</v>
      </c>
    </row>
    <row r="11" spans="1:21" customFormat="1">
      <c r="A11" s="82">
        <v>45465.03125</v>
      </c>
      <c r="B11" s="6">
        <v>9.27</v>
      </c>
      <c r="C11" s="6">
        <v>4.07</v>
      </c>
      <c r="D11" s="6">
        <v>14.01</v>
      </c>
      <c r="E11" s="6">
        <v>7.55</v>
      </c>
      <c r="F11" s="6">
        <v>8.56</v>
      </c>
      <c r="G11" s="6">
        <v>13.69</v>
      </c>
      <c r="H11" s="6">
        <v>3.4</v>
      </c>
      <c r="I11" s="6">
        <v>3.88</v>
      </c>
      <c r="J11" s="6">
        <v>0.3</v>
      </c>
      <c r="K11" s="6">
        <v>267.39</v>
      </c>
      <c r="L11" s="6">
        <v>24.53</v>
      </c>
      <c r="M11" s="6">
        <v>103.26</v>
      </c>
      <c r="N11" s="6">
        <v>2.4</v>
      </c>
      <c r="O11" s="6">
        <v>0.2</v>
      </c>
      <c r="P11" s="6">
        <v>0.4</v>
      </c>
      <c r="Q11" s="6">
        <v>3.89</v>
      </c>
    </row>
    <row r="12" spans="1:21" customFormat="1">
      <c r="A12" s="82">
        <v>45465.041666666664</v>
      </c>
      <c r="B12" s="6">
        <v>9.2799999999999994</v>
      </c>
      <c r="C12" s="6">
        <v>4.07</v>
      </c>
      <c r="D12" s="6">
        <v>14.02</v>
      </c>
      <c r="E12" s="6">
        <v>8.42</v>
      </c>
      <c r="F12" s="6">
        <v>6.31</v>
      </c>
      <c r="G12" s="6">
        <v>11.65</v>
      </c>
      <c r="H12" s="6">
        <v>4.2300000000000004</v>
      </c>
      <c r="I12" s="6">
        <v>3.85</v>
      </c>
      <c r="J12" s="6">
        <v>0.5</v>
      </c>
      <c r="K12" s="6">
        <v>266.24</v>
      </c>
      <c r="L12" s="6">
        <v>24.48</v>
      </c>
      <c r="M12" s="6">
        <v>103.32</v>
      </c>
      <c r="N12" s="6">
        <v>2.2999999999999998</v>
      </c>
      <c r="O12" s="6">
        <v>0</v>
      </c>
      <c r="P12" s="6">
        <v>0.4</v>
      </c>
      <c r="Q12" s="6">
        <v>3.9</v>
      </c>
    </row>
    <row r="13" spans="1:21" customFormat="1">
      <c r="A13" s="82">
        <v>45465.052083333336</v>
      </c>
      <c r="B13" s="6">
        <v>9.26</v>
      </c>
      <c r="C13" s="6">
        <v>4.09</v>
      </c>
      <c r="D13" s="6">
        <v>14.01</v>
      </c>
      <c r="E13" s="6">
        <v>8.2799999999999994</v>
      </c>
      <c r="F13" s="6">
        <v>5.54</v>
      </c>
      <c r="G13" s="6">
        <v>9.6999999999999993</v>
      </c>
      <c r="H13" s="6">
        <v>4.62</v>
      </c>
      <c r="I13" s="6">
        <v>3.85</v>
      </c>
      <c r="J13" s="6">
        <v>0.56000000000000005</v>
      </c>
      <c r="K13" s="6">
        <v>256</v>
      </c>
      <c r="L13" s="6">
        <v>24.53</v>
      </c>
      <c r="M13" s="6">
        <v>103.38</v>
      </c>
      <c r="N13" s="6">
        <v>2.2999999999999998</v>
      </c>
      <c r="O13" s="6">
        <v>0</v>
      </c>
      <c r="P13" s="6">
        <v>0.4</v>
      </c>
      <c r="Q13" s="6">
        <v>3.9</v>
      </c>
    </row>
    <row r="14" spans="1:21" customFormat="1">
      <c r="A14" s="82">
        <v>45465.0625</v>
      </c>
      <c r="B14" s="6">
        <v>9.26</v>
      </c>
      <c r="C14" s="6">
        <v>4.04</v>
      </c>
      <c r="D14" s="6">
        <v>13.99</v>
      </c>
      <c r="E14" s="6">
        <v>7.79</v>
      </c>
      <c r="F14" s="6">
        <v>6.19</v>
      </c>
      <c r="G14" s="6">
        <v>9.6999999999999993</v>
      </c>
      <c r="H14" s="6">
        <v>4.62</v>
      </c>
      <c r="I14" s="6">
        <v>3.83</v>
      </c>
      <c r="J14" s="6">
        <v>0.28000000000000003</v>
      </c>
      <c r="K14" s="6">
        <v>230.03</v>
      </c>
      <c r="L14" s="6">
        <v>24.65</v>
      </c>
      <c r="M14" s="6">
        <v>102.54</v>
      </c>
      <c r="N14" s="6">
        <v>2.1</v>
      </c>
      <c r="O14" s="6">
        <v>0</v>
      </c>
      <c r="P14" s="6">
        <v>0.39</v>
      </c>
      <c r="Q14" s="6">
        <v>3.9</v>
      </c>
    </row>
    <row r="15" spans="1:21" customFormat="1">
      <c r="A15" s="82">
        <v>45465.072916666664</v>
      </c>
      <c r="B15" s="6">
        <v>9.25</v>
      </c>
      <c r="C15" s="6">
        <v>4.05</v>
      </c>
      <c r="D15" s="6">
        <v>13.98</v>
      </c>
      <c r="E15" s="6">
        <v>7.73</v>
      </c>
      <c r="F15" s="6">
        <v>5.49</v>
      </c>
      <c r="G15" s="6">
        <v>9.6999999999999993</v>
      </c>
      <c r="H15" s="6">
        <v>4.62</v>
      </c>
      <c r="I15" s="6">
        <v>3.86</v>
      </c>
      <c r="J15" s="6">
        <v>0.25</v>
      </c>
      <c r="K15" s="6">
        <v>222.85</v>
      </c>
      <c r="L15" s="6">
        <v>24.71</v>
      </c>
      <c r="M15" s="6">
        <v>102.68</v>
      </c>
      <c r="N15" s="6">
        <v>2.4</v>
      </c>
      <c r="O15" s="6">
        <v>0</v>
      </c>
      <c r="P15" s="6">
        <v>0.39</v>
      </c>
      <c r="Q15" s="6">
        <v>3.9</v>
      </c>
    </row>
    <row r="16" spans="1:21" customFormat="1">
      <c r="A16" s="82">
        <v>45465.083333333336</v>
      </c>
      <c r="B16" s="6">
        <v>9.23</v>
      </c>
      <c r="C16" s="6">
        <v>4.07</v>
      </c>
      <c r="D16" s="6">
        <v>13.97</v>
      </c>
      <c r="E16" s="6">
        <v>8.06</v>
      </c>
      <c r="F16" s="6">
        <v>6.54</v>
      </c>
      <c r="G16" s="6">
        <v>8.24</v>
      </c>
      <c r="H16" s="6">
        <v>4.53</v>
      </c>
      <c r="I16" s="6">
        <v>3.74</v>
      </c>
      <c r="J16" s="6">
        <v>0.21</v>
      </c>
      <c r="K16" s="6">
        <v>237.72</v>
      </c>
      <c r="L16" s="6">
        <v>24.61</v>
      </c>
      <c r="M16" s="6">
        <v>101.89</v>
      </c>
      <c r="N16" s="6">
        <v>2.2999999999999998</v>
      </c>
      <c r="O16" s="6">
        <v>0</v>
      </c>
      <c r="P16" s="6">
        <v>0.39</v>
      </c>
      <c r="Q16" s="6">
        <v>3.91</v>
      </c>
    </row>
    <row r="17" spans="1:17" customFormat="1">
      <c r="A17" s="82">
        <v>45465.09375</v>
      </c>
      <c r="B17" s="6">
        <v>9.2100000000000009</v>
      </c>
      <c r="C17" s="6">
        <v>4.07</v>
      </c>
      <c r="D17" s="6">
        <v>13.96</v>
      </c>
      <c r="E17" s="6">
        <v>7.34</v>
      </c>
      <c r="F17" s="6">
        <v>6.05</v>
      </c>
      <c r="G17" s="6">
        <v>6.84</v>
      </c>
      <c r="H17" s="6">
        <v>4.4400000000000004</v>
      </c>
      <c r="I17" s="6">
        <v>3.74</v>
      </c>
      <c r="J17" s="6">
        <v>0.19</v>
      </c>
      <c r="K17" s="6">
        <v>257.51</v>
      </c>
      <c r="L17" s="6">
        <v>24.59</v>
      </c>
      <c r="M17" s="6">
        <v>101.29</v>
      </c>
      <c r="N17" s="6">
        <v>2.5</v>
      </c>
      <c r="O17" s="6">
        <v>0</v>
      </c>
      <c r="P17" s="6">
        <v>0.38</v>
      </c>
      <c r="Q17" s="6">
        <v>3.92</v>
      </c>
    </row>
    <row r="18" spans="1:17" customFormat="1">
      <c r="A18" s="82">
        <v>45465.104166666664</v>
      </c>
      <c r="B18" s="6">
        <v>9.2200000000000006</v>
      </c>
      <c r="C18" s="6">
        <v>4.08</v>
      </c>
      <c r="D18" s="6">
        <v>13.98</v>
      </c>
      <c r="E18" s="6">
        <v>8.8000000000000007</v>
      </c>
      <c r="F18" s="6">
        <v>5.36</v>
      </c>
      <c r="G18" s="6">
        <v>6.84</v>
      </c>
      <c r="H18" s="6">
        <v>4.4400000000000004</v>
      </c>
      <c r="I18" s="6">
        <v>3.45</v>
      </c>
      <c r="J18" s="6">
        <v>0.34</v>
      </c>
      <c r="K18" s="6">
        <v>266.55</v>
      </c>
      <c r="L18" s="6">
        <v>24.42</v>
      </c>
      <c r="M18" s="6">
        <v>100.61</v>
      </c>
      <c r="N18" s="6">
        <v>2.5</v>
      </c>
      <c r="O18" s="6">
        <v>0</v>
      </c>
      <c r="P18" s="6">
        <v>0.38</v>
      </c>
      <c r="Q18" s="6">
        <v>3.92</v>
      </c>
    </row>
    <row r="19" spans="1:17" customFormat="1">
      <c r="A19" s="82">
        <v>45465.114583333336</v>
      </c>
      <c r="B19" s="6">
        <v>9.25</v>
      </c>
      <c r="C19" s="6">
        <v>4.09</v>
      </c>
      <c r="D19" s="6">
        <v>14</v>
      </c>
      <c r="E19" s="6">
        <v>9.2100000000000009</v>
      </c>
      <c r="F19" s="6">
        <v>4.91</v>
      </c>
      <c r="G19" s="6">
        <v>6.84</v>
      </c>
      <c r="H19" s="6">
        <v>4.4400000000000004</v>
      </c>
      <c r="I19" s="6">
        <v>3.7</v>
      </c>
      <c r="J19" s="6">
        <v>0.14000000000000001</v>
      </c>
      <c r="K19" s="6">
        <v>256.44</v>
      </c>
      <c r="L19" s="6">
        <v>24.51</v>
      </c>
      <c r="M19" s="6">
        <v>101.06</v>
      </c>
      <c r="N19" s="6">
        <v>2.1</v>
      </c>
      <c r="O19" s="6">
        <v>0</v>
      </c>
      <c r="P19" s="6">
        <v>0.38</v>
      </c>
      <c r="Q19" s="6">
        <v>3.91</v>
      </c>
    </row>
    <row r="20" spans="1:17" customFormat="1">
      <c r="A20" s="82">
        <v>45465.125</v>
      </c>
      <c r="B20" s="6">
        <v>9.24</v>
      </c>
      <c r="C20" s="6">
        <v>4.08</v>
      </c>
      <c r="D20" s="6">
        <v>13.99</v>
      </c>
      <c r="E20" s="6">
        <v>9.31</v>
      </c>
      <c r="F20" s="6">
        <v>4.6500000000000004</v>
      </c>
      <c r="G20" s="6">
        <v>5.86</v>
      </c>
      <c r="H20" s="6">
        <v>3.6</v>
      </c>
      <c r="I20" s="6">
        <v>3.64</v>
      </c>
      <c r="J20" s="6">
        <v>0.26</v>
      </c>
      <c r="K20" s="6">
        <v>256.31</v>
      </c>
      <c r="L20" s="6">
        <v>24.48</v>
      </c>
      <c r="M20" s="6">
        <v>100.56</v>
      </c>
      <c r="N20" s="6">
        <v>2.2999999999999998</v>
      </c>
      <c r="O20" s="6">
        <v>0</v>
      </c>
      <c r="P20" s="6">
        <v>0.38</v>
      </c>
      <c r="Q20" s="6">
        <v>3.92</v>
      </c>
    </row>
    <row r="21" spans="1:17" customFormat="1">
      <c r="A21" s="82">
        <v>45465.135416666664</v>
      </c>
      <c r="B21" s="6">
        <v>9.24</v>
      </c>
      <c r="C21" s="6">
        <v>4.09</v>
      </c>
      <c r="D21" s="6">
        <v>14</v>
      </c>
      <c r="E21" s="6">
        <v>9.91</v>
      </c>
      <c r="F21" s="6">
        <v>4.4000000000000004</v>
      </c>
      <c r="G21" s="6">
        <v>4.92</v>
      </c>
      <c r="H21" s="6">
        <v>3.2</v>
      </c>
      <c r="I21" s="6">
        <v>3.41</v>
      </c>
      <c r="J21" s="6">
        <v>0.15</v>
      </c>
      <c r="K21" s="6">
        <v>243.24</v>
      </c>
      <c r="L21" s="6">
        <v>24.67</v>
      </c>
      <c r="M21" s="6">
        <v>100.72</v>
      </c>
      <c r="N21" s="6">
        <v>2.1</v>
      </c>
      <c r="O21" s="6">
        <v>0</v>
      </c>
      <c r="P21" s="6">
        <v>0.37</v>
      </c>
      <c r="Q21" s="6">
        <v>3.9</v>
      </c>
    </row>
    <row r="22" spans="1:17" customFormat="1">
      <c r="A22" s="82">
        <v>45465.145833333336</v>
      </c>
      <c r="B22" s="6">
        <v>9.25</v>
      </c>
      <c r="C22" s="6">
        <v>4.08</v>
      </c>
      <c r="D22" s="6">
        <v>14</v>
      </c>
      <c r="E22" s="6">
        <v>9.23</v>
      </c>
      <c r="F22" s="6">
        <v>4.34</v>
      </c>
      <c r="G22" s="6">
        <v>4.92</v>
      </c>
      <c r="H22" s="6">
        <v>3.2</v>
      </c>
      <c r="I22" s="6">
        <v>3.36</v>
      </c>
      <c r="J22" s="6">
        <v>0.15</v>
      </c>
      <c r="K22" s="6">
        <v>184.53</v>
      </c>
      <c r="L22" s="6">
        <v>24.78</v>
      </c>
      <c r="M22" s="6">
        <v>100.08</v>
      </c>
      <c r="N22" s="6">
        <v>2.1</v>
      </c>
      <c r="O22" s="6">
        <v>0</v>
      </c>
      <c r="P22" s="6">
        <v>0.37</v>
      </c>
      <c r="Q22" s="6">
        <v>3.93</v>
      </c>
    </row>
    <row r="23" spans="1:17" customFormat="1">
      <c r="A23" s="82">
        <v>45465.15625</v>
      </c>
      <c r="B23" s="6">
        <v>9.26</v>
      </c>
      <c r="C23" s="6">
        <v>4.07</v>
      </c>
      <c r="D23" s="6">
        <v>14</v>
      </c>
      <c r="E23" s="6">
        <v>9.86</v>
      </c>
      <c r="F23" s="6">
        <v>3.97</v>
      </c>
      <c r="G23" s="6">
        <v>4.92</v>
      </c>
      <c r="H23" s="6">
        <v>3.2</v>
      </c>
      <c r="I23" s="6">
        <v>3.34</v>
      </c>
      <c r="J23" s="6">
        <v>0.25</v>
      </c>
      <c r="K23" s="6">
        <v>263.07</v>
      </c>
      <c r="L23" s="6">
        <v>24.67</v>
      </c>
      <c r="M23" s="6">
        <v>100.09</v>
      </c>
      <c r="N23" s="6">
        <v>2.6</v>
      </c>
      <c r="O23" s="6">
        <v>0</v>
      </c>
      <c r="P23" s="6">
        <v>0.37</v>
      </c>
      <c r="Q23" s="6">
        <v>3.92</v>
      </c>
    </row>
    <row r="24" spans="1:17" customFormat="1">
      <c r="A24" s="82">
        <v>45465.166666666664</v>
      </c>
      <c r="B24" s="6">
        <v>9.27</v>
      </c>
      <c r="C24" s="6">
        <v>4.05</v>
      </c>
      <c r="D24" s="6">
        <v>14</v>
      </c>
      <c r="E24" s="6">
        <v>9.6199999999999992</v>
      </c>
      <c r="F24" s="6">
        <v>3.96</v>
      </c>
      <c r="G24" s="6">
        <v>5.14</v>
      </c>
      <c r="H24" s="6">
        <v>2.71</v>
      </c>
      <c r="I24" s="6">
        <v>3.31</v>
      </c>
      <c r="J24" s="6">
        <v>0.24</v>
      </c>
      <c r="K24" s="6">
        <v>254.46</v>
      </c>
      <c r="L24" s="6">
        <v>24.74</v>
      </c>
      <c r="M24" s="6">
        <v>99.38</v>
      </c>
      <c r="N24" s="6">
        <v>2.6</v>
      </c>
      <c r="O24" s="6">
        <v>0</v>
      </c>
      <c r="P24" s="6">
        <v>0.37</v>
      </c>
      <c r="Q24" s="6">
        <v>3.91</v>
      </c>
    </row>
    <row r="25" spans="1:17" customFormat="1">
      <c r="A25" s="82">
        <v>45465.177083333336</v>
      </c>
      <c r="B25" s="6">
        <v>9.27</v>
      </c>
      <c r="C25" s="6">
        <v>4.03</v>
      </c>
      <c r="D25" s="6">
        <v>13.99</v>
      </c>
      <c r="E25" s="6">
        <v>9.5</v>
      </c>
      <c r="F25" s="6">
        <v>4.21</v>
      </c>
      <c r="G25" s="6">
        <v>5.34</v>
      </c>
      <c r="H25" s="6">
        <v>2.48</v>
      </c>
      <c r="I25" s="6">
        <v>3.29</v>
      </c>
      <c r="J25" s="6">
        <v>0.26</v>
      </c>
      <c r="K25" s="6">
        <v>183.54</v>
      </c>
      <c r="L25" s="6">
        <v>24.96</v>
      </c>
      <c r="M25" s="6">
        <v>98.62</v>
      </c>
      <c r="N25" s="6">
        <v>2.2999999999999998</v>
      </c>
      <c r="O25" s="6">
        <v>0</v>
      </c>
      <c r="P25" s="6">
        <v>0.36</v>
      </c>
      <c r="Q25" s="6">
        <v>3.92</v>
      </c>
    </row>
    <row r="26" spans="1:17" customFormat="1">
      <c r="A26" s="82">
        <v>45465.1875</v>
      </c>
      <c r="B26" s="6">
        <v>9.25</v>
      </c>
      <c r="C26" s="6">
        <v>4.05</v>
      </c>
      <c r="D26" s="6">
        <v>13.98</v>
      </c>
      <c r="E26" s="6">
        <v>9.7799999999999994</v>
      </c>
      <c r="F26" s="6">
        <v>4.38</v>
      </c>
      <c r="G26" s="6">
        <v>5.34</v>
      </c>
      <c r="H26" s="6">
        <v>2.48</v>
      </c>
      <c r="I26" s="6">
        <v>3.28</v>
      </c>
      <c r="J26" s="6">
        <v>0.17</v>
      </c>
      <c r="K26" s="6">
        <v>174.74</v>
      </c>
      <c r="L26" s="6">
        <v>24.97</v>
      </c>
      <c r="M26" s="6">
        <v>98.4</v>
      </c>
      <c r="N26" s="6">
        <v>2.2000000000000002</v>
      </c>
      <c r="O26" s="6">
        <v>0</v>
      </c>
      <c r="P26" s="6">
        <v>0.36</v>
      </c>
      <c r="Q26" s="6">
        <v>3.92</v>
      </c>
    </row>
    <row r="27" spans="1:17" customFormat="1">
      <c r="A27" s="82">
        <v>45465.197916666664</v>
      </c>
      <c r="B27" s="6">
        <v>9.24</v>
      </c>
      <c r="C27" s="6">
        <v>4.05</v>
      </c>
      <c r="D27" s="6">
        <v>13.97</v>
      </c>
      <c r="E27" s="6">
        <v>10.07</v>
      </c>
      <c r="F27" s="6">
        <v>3.9</v>
      </c>
      <c r="G27" s="6">
        <v>5.34</v>
      </c>
      <c r="H27" s="6">
        <v>2.48</v>
      </c>
      <c r="I27" s="6">
        <v>3.29</v>
      </c>
      <c r="J27" s="6">
        <v>0.18</v>
      </c>
      <c r="K27" s="6">
        <v>204.74</v>
      </c>
      <c r="L27" s="6">
        <v>24.72</v>
      </c>
      <c r="M27" s="6">
        <v>99.1</v>
      </c>
      <c r="N27" s="6">
        <v>2.2999999999999998</v>
      </c>
      <c r="O27" s="6">
        <v>0</v>
      </c>
      <c r="P27" s="6">
        <v>0.37</v>
      </c>
      <c r="Q27" s="6">
        <v>3.91</v>
      </c>
    </row>
    <row r="28" spans="1:17" customFormat="1">
      <c r="A28" s="82">
        <v>45465.208333333336</v>
      </c>
      <c r="B28" s="6">
        <v>9.24</v>
      </c>
      <c r="C28" s="6">
        <v>4.08</v>
      </c>
      <c r="D28" s="6">
        <v>13.99</v>
      </c>
      <c r="E28" s="6">
        <v>10.35</v>
      </c>
      <c r="F28" s="6">
        <v>7.36</v>
      </c>
      <c r="G28" s="6">
        <v>4.6100000000000003</v>
      </c>
      <c r="H28" s="6">
        <v>2.19</v>
      </c>
      <c r="I28" s="6">
        <v>3.33</v>
      </c>
      <c r="J28" s="6">
        <v>0.21</v>
      </c>
      <c r="K28" s="6">
        <v>217.89</v>
      </c>
      <c r="L28" s="6">
        <v>24.6</v>
      </c>
      <c r="M28" s="6">
        <v>99.54</v>
      </c>
      <c r="N28" s="6">
        <v>2.7</v>
      </c>
      <c r="O28" s="6">
        <v>0</v>
      </c>
      <c r="P28" s="6">
        <v>0.36</v>
      </c>
      <c r="Q28" s="6">
        <v>3.89</v>
      </c>
    </row>
    <row r="29" spans="1:17" customFormat="1">
      <c r="A29" s="82">
        <v>45465.21875</v>
      </c>
      <c r="B29" s="6">
        <v>9.25</v>
      </c>
      <c r="C29" s="6">
        <v>4.0999999999999996</v>
      </c>
      <c r="D29" s="6">
        <v>14.01</v>
      </c>
      <c r="E29" s="6">
        <v>8.9600000000000009</v>
      </c>
      <c r="F29" s="6">
        <v>8.49</v>
      </c>
      <c r="G29" s="6">
        <v>3.91</v>
      </c>
      <c r="H29" s="6">
        <v>2.0499999999999998</v>
      </c>
      <c r="I29" s="6">
        <v>3.37</v>
      </c>
      <c r="J29" s="6">
        <v>7.0000000000000007E-2</v>
      </c>
      <c r="K29" s="6">
        <v>203.46</v>
      </c>
      <c r="L29" s="6">
        <v>24.69</v>
      </c>
      <c r="M29" s="6">
        <v>100.24</v>
      </c>
      <c r="N29" s="6">
        <v>7.2</v>
      </c>
      <c r="O29" s="6">
        <v>0</v>
      </c>
      <c r="P29" s="6">
        <v>0.34</v>
      </c>
      <c r="Q29" s="6">
        <v>3.91</v>
      </c>
    </row>
    <row r="30" spans="1:17" customFormat="1">
      <c r="A30" s="82">
        <v>45465.229166666664</v>
      </c>
      <c r="B30" s="6">
        <v>9.25</v>
      </c>
      <c r="C30" s="6">
        <v>4.08</v>
      </c>
      <c r="D30" s="6">
        <v>14</v>
      </c>
      <c r="E30" s="6">
        <v>8.17</v>
      </c>
      <c r="F30" s="6">
        <v>11.94</v>
      </c>
      <c r="G30" s="6">
        <v>3.91</v>
      </c>
      <c r="H30" s="6">
        <v>2.0499999999999998</v>
      </c>
      <c r="I30" s="6">
        <v>3.15</v>
      </c>
      <c r="J30" s="6">
        <v>0.21</v>
      </c>
      <c r="K30" s="6">
        <v>207.41</v>
      </c>
      <c r="L30" s="6">
        <v>24.59</v>
      </c>
      <c r="M30" s="6">
        <v>100.72</v>
      </c>
      <c r="N30" s="6">
        <v>11.3</v>
      </c>
      <c r="O30" s="6">
        <v>0</v>
      </c>
      <c r="P30" s="6">
        <v>0.32</v>
      </c>
      <c r="Q30" s="6">
        <v>3.91</v>
      </c>
    </row>
    <row r="31" spans="1:17" customFormat="1">
      <c r="A31" s="82">
        <v>45465.239583333336</v>
      </c>
      <c r="B31" s="6">
        <v>9.32</v>
      </c>
      <c r="C31" s="6">
        <v>4.07</v>
      </c>
      <c r="D31" s="6">
        <v>14.05</v>
      </c>
      <c r="E31" s="6">
        <v>8.31</v>
      </c>
      <c r="F31" s="6">
        <v>12.02</v>
      </c>
      <c r="G31" s="6">
        <v>3.91</v>
      </c>
      <c r="H31" s="6">
        <v>2.0499999999999998</v>
      </c>
      <c r="I31" s="6">
        <v>3.13</v>
      </c>
      <c r="J31" s="6">
        <v>0.21</v>
      </c>
      <c r="K31" s="6">
        <v>172.63</v>
      </c>
      <c r="L31" s="6">
        <v>24.92</v>
      </c>
      <c r="M31" s="6">
        <v>101.05</v>
      </c>
      <c r="N31" s="6">
        <v>17.399999999999999</v>
      </c>
      <c r="O31" s="6">
        <v>0</v>
      </c>
      <c r="P31" s="6">
        <v>0.3</v>
      </c>
      <c r="Q31" s="6">
        <v>3.91</v>
      </c>
    </row>
    <row r="32" spans="1:17" customFormat="1">
      <c r="A32" s="82">
        <v>45465.25</v>
      </c>
      <c r="B32" s="6">
        <v>9.35</v>
      </c>
      <c r="C32" s="6">
        <v>4.09</v>
      </c>
      <c r="D32" s="6">
        <v>14.08</v>
      </c>
      <c r="E32" s="6">
        <v>7.23</v>
      </c>
      <c r="F32" s="6">
        <v>15.44</v>
      </c>
      <c r="G32" s="6">
        <v>6.66</v>
      </c>
      <c r="H32" s="6">
        <v>1.74</v>
      </c>
      <c r="I32" s="6">
        <v>2.98</v>
      </c>
      <c r="J32" s="6">
        <v>0.2</v>
      </c>
      <c r="K32" s="6">
        <v>155.08000000000001</v>
      </c>
      <c r="L32" s="6">
        <v>25.06</v>
      </c>
      <c r="M32" s="6">
        <v>101.08</v>
      </c>
      <c r="N32" s="6">
        <v>28.8</v>
      </c>
      <c r="O32" s="6">
        <v>0</v>
      </c>
      <c r="P32" s="6">
        <v>0.28999999999999998</v>
      </c>
      <c r="Q32" s="6">
        <v>3.94</v>
      </c>
    </row>
    <row r="33" spans="1:17" customFormat="1">
      <c r="A33" s="82">
        <v>45465.260416666664</v>
      </c>
      <c r="B33" s="6">
        <v>9.36</v>
      </c>
      <c r="C33" s="6">
        <v>4.0599999999999996</v>
      </c>
      <c r="D33" s="6">
        <v>14.08</v>
      </c>
      <c r="E33" s="6">
        <v>7.15</v>
      </c>
      <c r="F33" s="6">
        <v>15.84</v>
      </c>
      <c r="G33" s="6">
        <v>9.3000000000000007</v>
      </c>
      <c r="H33" s="6">
        <v>1.59</v>
      </c>
      <c r="I33" s="6">
        <v>2.99</v>
      </c>
      <c r="J33" s="6">
        <v>0.11</v>
      </c>
      <c r="K33" s="6">
        <v>239.57</v>
      </c>
      <c r="L33" s="6">
        <v>25.27</v>
      </c>
      <c r="M33" s="6">
        <v>101.05</v>
      </c>
      <c r="N33" s="6">
        <v>39.6</v>
      </c>
      <c r="O33" s="6">
        <v>0</v>
      </c>
      <c r="P33" s="6">
        <v>0.28999999999999998</v>
      </c>
      <c r="Q33" s="6">
        <v>3.95</v>
      </c>
    </row>
    <row r="34" spans="1:17" customFormat="1">
      <c r="A34" s="82">
        <v>45465.270833333336</v>
      </c>
      <c r="B34" s="6">
        <v>9.41</v>
      </c>
      <c r="C34" s="6">
        <v>4.07</v>
      </c>
      <c r="D34" s="6">
        <v>14.12</v>
      </c>
      <c r="E34" s="6">
        <v>7.14</v>
      </c>
      <c r="F34" s="6">
        <v>15.43</v>
      </c>
      <c r="G34" s="6">
        <v>9.3000000000000007</v>
      </c>
      <c r="H34" s="6">
        <v>1.59</v>
      </c>
      <c r="I34" s="6">
        <v>2.99</v>
      </c>
      <c r="J34" s="6">
        <v>0.1</v>
      </c>
      <c r="K34" s="6">
        <v>225.22</v>
      </c>
      <c r="L34" s="6">
        <v>25.28</v>
      </c>
      <c r="M34" s="6">
        <v>101.41</v>
      </c>
      <c r="N34" s="6">
        <v>49.3</v>
      </c>
      <c r="O34" s="6">
        <v>0</v>
      </c>
      <c r="P34" s="6">
        <v>0.26</v>
      </c>
      <c r="Q34" s="6">
        <v>3.92</v>
      </c>
    </row>
    <row r="35" spans="1:17" customFormat="1">
      <c r="A35" s="82">
        <v>45465.28125</v>
      </c>
      <c r="B35" s="6">
        <v>9.36</v>
      </c>
      <c r="C35" s="6">
        <v>4.05</v>
      </c>
      <c r="D35" s="6">
        <v>14.07</v>
      </c>
      <c r="E35" s="6">
        <v>7.95</v>
      </c>
      <c r="F35" s="6">
        <v>12.1</v>
      </c>
      <c r="G35" s="6">
        <v>9.3000000000000007</v>
      </c>
      <c r="H35" s="6">
        <v>1.59</v>
      </c>
      <c r="I35" s="6">
        <v>3.05</v>
      </c>
      <c r="J35" s="6">
        <v>0.14000000000000001</v>
      </c>
      <c r="K35" s="6">
        <v>222.01</v>
      </c>
      <c r="L35" s="6">
        <v>25.47</v>
      </c>
      <c r="M35" s="6">
        <v>99.48</v>
      </c>
      <c r="N35" s="6">
        <v>79.2</v>
      </c>
      <c r="O35" s="6">
        <v>0</v>
      </c>
      <c r="P35" s="6">
        <v>0.28000000000000003</v>
      </c>
      <c r="Q35" s="6">
        <v>3.94</v>
      </c>
    </row>
    <row r="36" spans="1:17" customFormat="1">
      <c r="A36" s="82">
        <v>45465.291666666664</v>
      </c>
      <c r="B36" s="6">
        <v>9.33</v>
      </c>
      <c r="C36" s="6">
        <v>4.05</v>
      </c>
      <c r="D36" s="6">
        <v>14.05</v>
      </c>
      <c r="E36" s="6">
        <v>8.0500000000000007</v>
      </c>
      <c r="F36" s="6">
        <v>13.1</v>
      </c>
      <c r="G36" s="6">
        <v>8.51</v>
      </c>
      <c r="H36" s="6">
        <v>1.55</v>
      </c>
      <c r="I36" s="6">
        <v>2.89</v>
      </c>
      <c r="J36" s="6">
        <v>0.1</v>
      </c>
      <c r="K36" s="6">
        <v>217.08</v>
      </c>
      <c r="L36" s="6">
        <v>25.82</v>
      </c>
      <c r="M36" s="6">
        <v>98.49</v>
      </c>
      <c r="N36" s="6">
        <v>110</v>
      </c>
      <c r="O36" s="6">
        <v>0</v>
      </c>
      <c r="P36" s="6">
        <v>0.32</v>
      </c>
      <c r="Q36" s="6">
        <v>3.91</v>
      </c>
    </row>
    <row r="37" spans="1:17" customFormat="1">
      <c r="A37" s="82">
        <v>45465.302083333336</v>
      </c>
      <c r="B37" s="6">
        <v>9.31</v>
      </c>
      <c r="C37" s="6">
        <v>4.08</v>
      </c>
      <c r="D37" s="6">
        <v>14.05</v>
      </c>
      <c r="E37" s="6">
        <v>8.66</v>
      </c>
      <c r="F37" s="6">
        <v>11.87</v>
      </c>
      <c r="G37" s="6">
        <v>7.75</v>
      </c>
      <c r="H37" s="6">
        <v>1.53</v>
      </c>
      <c r="I37" s="6">
        <v>3.16</v>
      </c>
      <c r="J37" s="6">
        <v>0.16</v>
      </c>
      <c r="K37" s="6">
        <v>241.73</v>
      </c>
      <c r="L37" s="6">
        <v>26.14</v>
      </c>
      <c r="M37" s="6">
        <v>96.46</v>
      </c>
      <c r="N37" s="6">
        <v>121.4</v>
      </c>
      <c r="O37" s="6">
        <v>0</v>
      </c>
      <c r="P37" s="6">
        <v>0.32</v>
      </c>
      <c r="Q37" s="6">
        <v>3.9</v>
      </c>
    </row>
    <row r="38" spans="1:17" customFormat="1">
      <c r="A38" s="82">
        <v>45465.3125</v>
      </c>
      <c r="B38" s="6">
        <v>9.32</v>
      </c>
      <c r="C38" s="6">
        <v>4.07</v>
      </c>
      <c r="D38" s="6">
        <v>14.05</v>
      </c>
      <c r="E38" s="6">
        <v>8.19</v>
      </c>
      <c r="F38" s="6">
        <v>11.82</v>
      </c>
      <c r="G38" s="6">
        <v>7.75</v>
      </c>
      <c r="H38" s="6">
        <v>1.53</v>
      </c>
      <c r="I38" s="6">
        <v>3.39</v>
      </c>
      <c r="J38" s="6">
        <v>0.14000000000000001</v>
      </c>
      <c r="K38" s="6">
        <v>187.29</v>
      </c>
      <c r="L38" s="6">
        <v>26.37</v>
      </c>
      <c r="M38" s="6">
        <v>96.15</v>
      </c>
      <c r="N38" s="6">
        <v>96.6</v>
      </c>
      <c r="O38" s="6">
        <v>0</v>
      </c>
      <c r="P38" s="6">
        <v>0.32</v>
      </c>
      <c r="Q38" s="6">
        <v>3.9</v>
      </c>
    </row>
    <row r="39" spans="1:17" customFormat="1">
      <c r="A39" s="82">
        <v>45465.322916666664</v>
      </c>
      <c r="B39" s="6">
        <v>9.32</v>
      </c>
      <c r="C39" s="6">
        <v>4.08</v>
      </c>
      <c r="D39" s="6">
        <v>14.06</v>
      </c>
      <c r="E39" s="6">
        <v>8.18</v>
      </c>
      <c r="F39" s="6">
        <v>13.92</v>
      </c>
      <c r="G39" s="6">
        <v>7.75</v>
      </c>
      <c r="H39" s="6">
        <v>1.53</v>
      </c>
      <c r="I39" s="6">
        <v>3.24</v>
      </c>
      <c r="J39" s="6">
        <v>0.12</v>
      </c>
      <c r="K39" s="6">
        <v>227.41</v>
      </c>
      <c r="L39" s="6">
        <v>26.43</v>
      </c>
      <c r="M39" s="6">
        <v>95.96</v>
      </c>
      <c r="N39" s="6">
        <v>110.4</v>
      </c>
      <c r="O39" s="6">
        <v>0</v>
      </c>
      <c r="P39" s="6">
        <v>0.33</v>
      </c>
      <c r="Q39" s="6">
        <v>3.91</v>
      </c>
    </row>
    <row r="40" spans="1:17" customFormat="1">
      <c r="A40" s="82">
        <v>45465.333333333336</v>
      </c>
      <c r="B40" s="6">
        <v>9.33</v>
      </c>
      <c r="C40" s="6">
        <v>4.0599999999999996</v>
      </c>
      <c r="D40" s="6">
        <v>14.06</v>
      </c>
      <c r="E40" s="6">
        <v>8.0299999999999994</v>
      </c>
      <c r="F40" s="6">
        <v>17.809999999999999</v>
      </c>
      <c r="G40" s="6">
        <v>7.89</v>
      </c>
      <c r="H40" s="6">
        <v>2.2000000000000002</v>
      </c>
      <c r="I40" s="6">
        <v>3.2</v>
      </c>
      <c r="J40" s="6">
        <v>0.19</v>
      </c>
      <c r="K40" s="6">
        <v>245.78</v>
      </c>
      <c r="L40" s="6">
        <v>26.46</v>
      </c>
      <c r="M40" s="6">
        <v>95.1</v>
      </c>
      <c r="N40" s="6">
        <v>100.7</v>
      </c>
      <c r="O40" s="6">
        <v>0</v>
      </c>
      <c r="P40" s="6">
        <v>0.33</v>
      </c>
      <c r="Q40" s="6">
        <v>3.91</v>
      </c>
    </row>
    <row r="41" spans="1:17" customFormat="1">
      <c r="A41" s="82">
        <v>45465.34375</v>
      </c>
      <c r="B41" s="6">
        <v>9.33</v>
      </c>
      <c r="C41" s="6">
        <v>4.0999999999999996</v>
      </c>
      <c r="D41" s="6">
        <v>14.08</v>
      </c>
      <c r="E41" s="6">
        <v>7.51</v>
      </c>
      <c r="F41" s="6">
        <v>15.76</v>
      </c>
      <c r="G41" s="6">
        <v>8.0299999999999994</v>
      </c>
      <c r="H41" s="6">
        <v>2.88</v>
      </c>
      <c r="I41" s="6">
        <v>3.19</v>
      </c>
      <c r="J41" s="6">
        <v>0.25</v>
      </c>
      <c r="K41" s="6">
        <v>257.43</v>
      </c>
      <c r="L41" s="6">
        <v>26.61</v>
      </c>
      <c r="M41" s="6">
        <v>95.14</v>
      </c>
      <c r="N41" s="6">
        <v>158.30000000000001</v>
      </c>
      <c r="O41" s="6">
        <v>0</v>
      </c>
      <c r="P41" s="6">
        <v>0.32</v>
      </c>
      <c r="Q41" s="6">
        <v>3.92</v>
      </c>
    </row>
    <row r="42" spans="1:17" customFormat="1">
      <c r="A42" s="82">
        <v>45465.354166666664</v>
      </c>
      <c r="B42" s="6">
        <v>9.33</v>
      </c>
      <c r="C42" s="6">
        <v>4.09</v>
      </c>
      <c r="D42" s="6">
        <v>14.07</v>
      </c>
      <c r="E42" s="6">
        <v>8.48</v>
      </c>
      <c r="F42" s="6">
        <v>14.57</v>
      </c>
      <c r="G42" s="6">
        <v>8.0299999999999994</v>
      </c>
      <c r="H42" s="6">
        <v>2.88</v>
      </c>
      <c r="I42" s="6">
        <v>3.37</v>
      </c>
      <c r="J42" s="6">
        <v>0.4</v>
      </c>
      <c r="K42" s="6">
        <v>248.4</v>
      </c>
      <c r="L42" s="6">
        <v>26.92</v>
      </c>
      <c r="M42" s="6">
        <v>93.1</v>
      </c>
      <c r="N42" s="6">
        <v>172.7</v>
      </c>
      <c r="O42" s="6">
        <v>0</v>
      </c>
      <c r="P42" s="6">
        <v>0.33</v>
      </c>
      <c r="Q42" s="6">
        <v>3.94</v>
      </c>
    </row>
    <row r="43" spans="1:17" customFormat="1">
      <c r="A43" s="82">
        <v>45465.364583333336</v>
      </c>
      <c r="B43" s="6">
        <v>9.33</v>
      </c>
      <c r="C43" s="6">
        <v>4.0999999999999996</v>
      </c>
      <c r="D43" s="6">
        <v>14.07</v>
      </c>
      <c r="E43" s="6">
        <v>8.11</v>
      </c>
      <c r="F43" s="6">
        <v>13.94</v>
      </c>
      <c r="G43" s="6">
        <v>8.0299999999999994</v>
      </c>
      <c r="H43" s="6">
        <v>2.88</v>
      </c>
      <c r="I43" s="6">
        <v>3.54</v>
      </c>
      <c r="J43" s="6">
        <v>0.41</v>
      </c>
      <c r="K43" s="6">
        <v>259.32</v>
      </c>
      <c r="L43" s="6">
        <v>27.04</v>
      </c>
      <c r="M43" s="6">
        <v>92.22</v>
      </c>
      <c r="N43" s="6">
        <v>198.2</v>
      </c>
      <c r="O43" s="6">
        <v>0</v>
      </c>
      <c r="P43" s="6">
        <v>0.34</v>
      </c>
      <c r="Q43" s="6">
        <v>3.93</v>
      </c>
    </row>
    <row r="44" spans="1:17" customFormat="1">
      <c r="A44" s="82">
        <v>45465.375</v>
      </c>
      <c r="B44" s="6">
        <v>9.32</v>
      </c>
      <c r="C44" s="6">
        <v>4.1100000000000003</v>
      </c>
      <c r="D44" s="6">
        <v>14.07</v>
      </c>
      <c r="E44" s="6">
        <v>7.96</v>
      </c>
      <c r="F44" s="6">
        <v>13.47</v>
      </c>
      <c r="G44" s="6">
        <v>7.8</v>
      </c>
      <c r="H44" s="6">
        <v>3.92</v>
      </c>
      <c r="I44" s="6">
        <v>3.83</v>
      </c>
      <c r="J44" s="6">
        <v>0.46</v>
      </c>
      <c r="K44" s="6">
        <v>252.27</v>
      </c>
      <c r="L44" s="6">
        <v>27.42</v>
      </c>
      <c r="M44" s="6">
        <v>90.5</v>
      </c>
      <c r="N44" s="6">
        <v>215.2</v>
      </c>
      <c r="O44" s="6">
        <v>0</v>
      </c>
      <c r="P44" s="6">
        <v>0.35</v>
      </c>
      <c r="Q44" s="6">
        <v>3.94</v>
      </c>
    </row>
    <row r="45" spans="1:17" customFormat="1">
      <c r="A45" s="82">
        <v>45465.385416666664</v>
      </c>
      <c r="B45" s="6">
        <v>9.33</v>
      </c>
      <c r="C45" s="6">
        <v>4.07</v>
      </c>
      <c r="D45" s="6">
        <v>14.06</v>
      </c>
      <c r="E45" s="6">
        <v>8.39</v>
      </c>
      <c r="F45" s="6">
        <v>9.68</v>
      </c>
      <c r="G45" s="6">
        <v>7.58</v>
      </c>
      <c r="H45" s="6">
        <v>4.41</v>
      </c>
      <c r="I45" s="6">
        <v>3.89</v>
      </c>
      <c r="J45" s="6">
        <v>0.53</v>
      </c>
      <c r="K45" s="6">
        <v>255.89</v>
      </c>
      <c r="L45" s="6">
        <v>27.47</v>
      </c>
      <c r="M45" s="6">
        <v>90.11</v>
      </c>
      <c r="N45" s="6">
        <v>217.3</v>
      </c>
      <c r="O45" s="6">
        <v>0</v>
      </c>
      <c r="P45" s="6">
        <v>0.35</v>
      </c>
      <c r="Q45" s="6">
        <v>3.93</v>
      </c>
    </row>
    <row r="46" spans="1:17" customFormat="1">
      <c r="A46" s="82">
        <v>45465.395833333336</v>
      </c>
      <c r="B46" s="6">
        <v>9.3000000000000007</v>
      </c>
      <c r="C46" s="6">
        <v>4.08</v>
      </c>
      <c r="D46" s="6">
        <v>14.04</v>
      </c>
      <c r="E46" s="6">
        <v>8.83</v>
      </c>
      <c r="F46" s="6">
        <v>7.27</v>
      </c>
      <c r="G46" s="6">
        <v>7.58</v>
      </c>
      <c r="H46" s="6">
        <v>4.41</v>
      </c>
      <c r="I46" s="6">
        <v>3.79</v>
      </c>
      <c r="J46" s="6">
        <v>0.54</v>
      </c>
      <c r="K46" s="6">
        <v>261.22000000000003</v>
      </c>
      <c r="L46" s="6">
        <v>27.71</v>
      </c>
      <c r="M46" s="6">
        <v>89.18</v>
      </c>
      <c r="N46" s="6">
        <v>206.4</v>
      </c>
      <c r="O46" s="6">
        <v>0</v>
      </c>
      <c r="P46" s="6">
        <v>0.39</v>
      </c>
      <c r="Q46" s="6">
        <v>3.89</v>
      </c>
    </row>
    <row r="47" spans="1:17" customFormat="1">
      <c r="A47" s="82">
        <v>45465.40625</v>
      </c>
      <c r="B47" s="6">
        <v>9.33</v>
      </c>
      <c r="C47" s="6">
        <v>4.08</v>
      </c>
      <c r="D47" s="6">
        <v>14.06</v>
      </c>
      <c r="E47" s="6">
        <v>9.6300000000000008</v>
      </c>
      <c r="F47" s="6">
        <v>7.74</v>
      </c>
      <c r="G47" s="6">
        <v>7.58</v>
      </c>
      <c r="H47" s="6">
        <v>4.41</v>
      </c>
      <c r="I47" s="6">
        <v>3.88</v>
      </c>
      <c r="J47" s="6">
        <v>0.57999999999999996</v>
      </c>
      <c r="K47" s="6">
        <v>259.87</v>
      </c>
      <c r="L47" s="6">
        <v>28.01</v>
      </c>
      <c r="M47" s="6">
        <v>88.11</v>
      </c>
      <c r="N47" s="6">
        <v>275</v>
      </c>
      <c r="O47" s="6">
        <v>0</v>
      </c>
      <c r="P47" s="6">
        <v>0.44</v>
      </c>
      <c r="Q47" s="6">
        <v>3.88</v>
      </c>
    </row>
    <row r="48" spans="1:17" customFormat="1">
      <c r="A48" s="82">
        <v>45465.416666666664</v>
      </c>
      <c r="B48" s="6">
        <v>9.31</v>
      </c>
      <c r="C48" s="6">
        <v>4.08</v>
      </c>
      <c r="D48" s="6">
        <v>14.05</v>
      </c>
      <c r="E48" s="6">
        <v>8.81</v>
      </c>
      <c r="F48" s="6">
        <v>7.89</v>
      </c>
      <c r="G48" s="6">
        <v>9.6</v>
      </c>
      <c r="H48" s="6">
        <v>6.65</v>
      </c>
      <c r="I48" s="6">
        <v>4.12</v>
      </c>
      <c r="J48" s="6">
        <v>0.37</v>
      </c>
      <c r="K48" s="6">
        <v>242.89</v>
      </c>
      <c r="L48" s="6">
        <v>28.04</v>
      </c>
      <c r="M48" s="6">
        <v>87.95</v>
      </c>
      <c r="N48" s="6">
        <v>141.30000000000001</v>
      </c>
      <c r="O48" s="6">
        <v>0</v>
      </c>
      <c r="P48" s="6">
        <v>0.48</v>
      </c>
      <c r="Q48" s="6">
        <v>3.9</v>
      </c>
    </row>
    <row r="49" spans="1:17" customFormat="1">
      <c r="A49" s="82">
        <v>45465.427083333336</v>
      </c>
      <c r="B49" s="6">
        <v>9.3000000000000007</v>
      </c>
      <c r="C49" s="6">
        <v>4.0999999999999996</v>
      </c>
      <c r="D49" s="6">
        <v>14.05</v>
      </c>
      <c r="E49" s="6">
        <v>8.5</v>
      </c>
      <c r="F49" s="6">
        <v>6.65</v>
      </c>
      <c r="G49" s="6">
        <v>11.54</v>
      </c>
      <c r="H49" s="6">
        <v>7.7</v>
      </c>
      <c r="I49" s="6">
        <v>4.1100000000000003</v>
      </c>
      <c r="J49" s="6">
        <v>0.5</v>
      </c>
      <c r="K49" s="6">
        <v>255.31</v>
      </c>
      <c r="L49" s="6">
        <v>28.01</v>
      </c>
      <c r="M49" s="6">
        <v>87.19</v>
      </c>
      <c r="N49" s="6">
        <v>233.4</v>
      </c>
      <c r="O49" s="6">
        <v>0</v>
      </c>
      <c r="P49" s="6">
        <v>0.46</v>
      </c>
      <c r="Q49" s="6">
        <v>3.9</v>
      </c>
    </row>
    <row r="50" spans="1:17" customFormat="1">
      <c r="A50" s="82">
        <v>45465.4375</v>
      </c>
      <c r="B50" s="6">
        <v>9.3000000000000007</v>
      </c>
      <c r="C50" s="6">
        <v>4.0999999999999996</v>
      </c>
      <c r="D50" s="6">
        <v>14.05</v>
      </c>
      <c r="E50" s="6">
        <v>10.17</v>
      </c>
      <c r="F50" s="6">
        <v>6.75</v>
      </c>
      <c r="G50" s="6">
        <v>11.54</v>
      </c>
      <c r="H50" s="6">
        <v>7.7</v>
      </c>
      <c r="I50" s="6">
        <v>4.43</v>
      </c>
      <c r="J50" s="6">
        <v>0.54</v>
      </c>
      <c r="K50" s="6">
        <v>257.91000000000003</v>
      </c>
      <c r="L50" s="6">
        <v>28.22</v>
      </c>
      <c r="M50" s="6">
        <v>86.77</v>
      </c>
      <c r="N50" s="6">
        <v>151.30000000000001</v>
      </c>
      <c r="O50" s="6">
        <v>0</v>
      </c>
      <c r="P50" s="6">
        <v>0.47</v>
      </c>
      <c r="Q50" s="6">
        <v>3.92</v>
      </c>
    </row>
    <row r="51" spans="1:17" customFormat="1">
      <c r="A51" s="82">
        <v>45465.447916666664</v>
      </c>
      <c r="B51" s="6">
        <v>9.3000000000000007</v>
      </c>
      <c r="C51" s="6">
        <v>4.07</v>
      </c>
      <c r="D51" s="6">
        <v>14.04</v>
      </c>
      <c r="E51" s="6">
        <v>10.29</v>
      </c>
      <c r="F51" s="6">
        <v>5.98</v>
      </c>
      <c r="G51" s="6">
        <v>11.54</v>
      </c>
      <c r="H51" s="6">
        <v>7.7</v>
      </c>
      <c r="I51" s="6">
        <v>4.55</v>
      </c>
      <c r="J51" s="6">
        <v>0.69</v>
      </c>
      <c r="K51" s="6">
        <v>255.85</v>
      </c>
      <c r="L51" s="6">
        <v>27.79</v>
      </c>
      <c r="M51" s="6">
        <v>87.94</v>
      </c>
      <c r="N51" s="6">
        <v>135.69999999999999</v>
      </c>
      <c r="O51" s="6">
        <v>0</v>
      </c>
      <c r="P51" s="6">
        <v>0.47</v>
      </c>
      <c r="Q51" s="6">
        <v>3.92</v>
      </c>
    </row>
    <row r="52" spans="1:17" customFormat="1">
      <c r="A52" s="82">
        <v>45465.458333333336</v>
      </c>
      <c r="B52" s="6">
        <v>9.3000000000000007</v>
      </c>
      <c r="C52" s="6">
        <v>4.07</v>
      </c>
      <c r="D52" s="6">
        <v>14.03</v>
      </c>
      <c r="E52" s="6">
        <v>9.43</v>
      </c>
      <c r="F52" s="6">
        <v>5.99</v>
      </c>
      <c r="G52" s="6">
        <v>10.75</v>
      </c>
      <c r="H52" s="6">
        <v>6.34</v>
      </c>
      <c r="I52" s="6">
        <v>4.49</v>
      </c>
      <c r="J52" s="6">
        <v>0.55000000000000004</v>
      </c>
      <c r="K52" s="6">
        <v>254.37</v>
      </c>
      <c r="L52" s="6">
        <v>27.65</v>
      </c>
      <c r="M52" s="6">
        <v>87.52</v>
      </c>
      <c r="N52" s="6">
        <v>145.19999999999999</v>
      </c>
      <c r="O52" s="6">
        <v>0</v>
      </c>
      <c r="P52" s="6">
        <v>0.46</v>
      </c>
      <c r="Q52" s="6">
        <v>3.89</v>
      </c>
    </row>
    <row r="53" spans="1:17" customFormat="1">
      <c r="A53" s="82">
        <v>45465.46875</v>
      </c>
      <c r="B53" s="6">
        <v>9.2899999999999991</v>
      </c>
      <c r="C53" s="6">
        <v>4.08</v>
      </c>
      <c r="D53" s="6">
        <v>14.03</v>
      </c>
      <c r="E53" s="6">
        <v>9.59</v>
      </c>
      <c r="F53" s="6">
        <v>5.29</v>
      </c>
      <c r="G53" s="6">
        <v>10.01</v>
      </c>
      <c r="H53" s="6">
        <v>5.71</v>
      </c>
      <c r="I53" s="6">
        <v>4.46</v>
      </c>
      <c r="J53" s="6">
        <v>0.61</v>
      </c>
      <c r="K53" s="6">
        <v>247.54</v>
      </c>
      <c r="L53" s="6">
        <v>27.95</v>
      </c>
      <c r="M53" s="6">
        <v>84.58</v>
      </c>
      <c r="N53" s="6">
        <v>230.9</v>
      </c>
      <c r="O53" s="6">
        <v>0</v>
      </c>
      <c r="P53" s="6">
        <v>0.46</v>
      </c>
      <c r="Q53" s="6">
        <v>3.9</v>
      </c>
    </row>
    <row r="54" spans="1:17" customFormat="1">
      <c r="A54" s="82">
        <v>45465.479166666664</v>
      </c>
      <c r="B54" s="6">
        <v>9.2899999999999991</v>
      </c>
      <c r="C54" s="6">
        <v>4.07</v>
      </c>
      <c r="D54" s="6">
        <v>14.03</v>
      </c>
      <c r="E54" s="6">
        <v>9.9600000000000009</v>
      </c>
      <c r="F54" s="6">
        <v>6.03</v>
      </c>
      <c r="G54" s="6">
        <v>10.01</v>
      </c>
      <c r="H54" s="6">
        <v>5.71</v>
      </c>
      <c r="I54" s="6">
        <v>4.13</v>
      </c>
      <c r="J54" s="6">
        <v>0.88</v>
      </c>
      <c r="K54" s="6">
        <v>279.83</v>
      </c>
      <c r="L54" s="6">
        <v>28.28</v>
      </c>
      <c r="M54" s="6">
        <v>81.91</v>
      </c>
      <c r="N54" s="6">
        <v>231</v>
      </c>
      <c r="O54" s="6">
        <v>0</v>
      </c>
      <c r="P54" s="6">
        <v>0.45</v>
      </c>
      <c r="Q54" s="6">
        <v>3.91</v>
      </c>
    </row>
    <row r="55" spans="1:17" customFormat="1">
      <c r="A55" s="82">
        <v>45465.489583333336</v>
      </c>
      <c r="B55" s="6">
        <v>9.2899999999999991</v>
      </c>
      <c r="C55" s="6">
        <v>4.05</v>
      </c>
      <c r="D55" s="6">
        <v>14.02</v>
      </c>
      <c r="E55" s="6">
        <v>10.15</v>
      </c>
      <c r="F55" s="6">
        <v>6.09</v>
      </c>
      <c r="G55" s="6">
        <v>10.01</v>
      </c>
      <c r="H55" s="6">
        <v>5.71</v>
      </c>
      <c r="I55" s="6">
        <v>4.0999999999999996</v>
      </c>
      <c r="J55" s="6">
        <v>0.77</v>
      </c>
      <c r="K55" s="6">
        <v>272.77999999999997</v>
      </c>
      <c r="L55" s="6">
        <v>28.27</v>
      </c>
      <c r="M55" s="6">
        <v>82.07</v>
      </c>
      <c r="N55" s="6">
        <v>206.1</v>
      </c>
      <c r="O55" s="6">
        <v>0</v>
      </c>
      <c r="P55" s="6">
        <v>0.45</v>
      </c>
      <c r="Q55" s="6">
        <v>3.9</v>
      </c>
    </row>
    <row r="56" spans="1:17" customFormat="1">
      <c r="A56" s="82">
        <v>45465.5</v>
      </c>
      <c r="B56" s="6">
        <v>9.2799999999999994</v>
      </c>
      <c r="C56" s="6">
        <v>4.09</v>
      </c>
      <c r="D56" s="6">
        <v>14.03</v>
      </c>
      <c r="E56" s="6">
        <v>10.31</v>
      </c>
      <c r="F56" s="6">
        <v>6.29</v>
      </c>
      <c r="G56" s="6">
        <v>11.72</v>
      </c>
      <c r="H56" s="6">
        <v>6.42</v>
      </c>
      <c r="I56" s="6">
        <v>4.24</v>
      </c>
      <c r="J56" s="6">
        <v>0.88</v>
      </c>
      <c r="K56" s="6">
        <v>280.13</v>
      </c>
      <c r="L56" s="6">
        <v>28.79</v>
      </c>
      <c r="M56" s="6">
        <v>81.260000000000005</v>
      </c>
      <c r="N56" s="6">
        <v>410.8</v>
      </c>
      <c r="O56" s="6">
        <v>0</v>
      </c>
      <c r="P56" s="6">
        <v>0.48</v>
      </c>
      <c r="Q56" s="6">
        <v>3.9</v>
      </c>
    </row>
    <row r="57" spans="1:17" customFormat="1">
      <c r="A57" s="82">
        <v>45465.510416666664</v>
      </c>
      <c r="B57" s="6">
        <v>9.27</v>
      </c>
      <c r="C57" s="6">
        <v>4.0999999999999996</v>
      </c>
      <c r="D57" s="6">
        <v>14.03</v>
      </c>
      <c r="E57" s="6">
        <v>10.72</v>
      </c>
      <c r="F57" s="6">
        <v>5.61</v>
      </c>
      <c r="G57" s="6">
        <v>13.37</v>
      </c>
      <c r="H57" s="6">
        <v>6.76</v>
      </c>
      <c r="I57" s="6">
        <v>4.04</v>
      </c>
      <c r="J57" s="6">
        <v>0.94</v>
      </c>
      <c r="K57" s="6">
        <v>273.73</v>
      </c>
      <c r="L57" s="6">
        <v>30.02</v>
      </c>
      <c r="M57" s="6">
        <v>77.48</v>
      </c>
      <c r="N57" s="6">
        <v>735.8</v>
      </c>
      <c r="O57" s="6">
        <v>0</v>
      </c>
      <c r="P57" s="6">
        <v>0.49</v>
      </c>
      <c r="Q57" s="6">
        <v>3.91</v>
      </c>
    </row>
    <row r="58" spans="1:17" customFormat="1">
      <c r="A58" s="82">
        <v>45465.520833333336</v>
      </c>
      <c r="B58" s="6">
        <v>9.26</v>
      </c>
      <c r="C58" s="6">
        <v>4.0999999999999996</v>
      </c>
      <c r="D58" s="6">
        <v>14.02</v>
      </c>
      <c r="E58" s="6">
        <v>10.9</v>
      </c>
      <c r="F58" s="6">
        <v>6.75</v>
      </c>
      <c r="G58" s="6">
        <v>13.37</v>
      </c>
      <c r="H58" s="6">
        <v>6.76</v>
      </c>
      <c r="I58" s="6">
        <v>4.46</v>
      </c>
      <c r="J58" s="6">
        <v>0.57999999999999996</v>
      </c>
      <c r="K58" s="6">
        <v>237.95</v>
      </c>
      <c r="L58" s="6">
        <v>30.65</v>
      </c>
      <c r="M58" s="6">
        <v>76.14</v>
      </c>
      <c r="N58" s="6">
        <v>521.9</v>
      </c>
      <c r="O58" s="6">
        <v>0</v>
      </c>
      <c r="P58" s="6">
        <v>0.48</v>
      </c>
      <c r="Q58" s="6">
        <v>3.91</v>
      </c>
    </row>
    <row r="59" spans="1:17" customFormat="1">
      <c r="A59" s="82">
        <v>45465.53125</v>
      </c>
      <c r="B59" s="6">
        <v>9.27</v>
      </c>
      <c r="C59" s="6">
        <v>4.09</v>
      </c>
      <c r="D59" s="6">
        <v>14.02</v>
      </c>
      <c r="E59" s="6">
        <v>10.77</v>
      </c>
      <c r="F59" s="6">
        <v>7.58</v>
      </c>
      <c r="G59" s="6">
        <v>13.37</v>
      </c>
      <c r="H59" s="6">
        <v>6.76</v>
      </c>
      <c r="I59" s="6">
        <v>4.55</v>
      </c>
      <c r="J59" s="6">
        <v>0.67</v>
      </c>
      <c r="K59" s="6">
        <v>279.37</v>
      </c>
      <c r="L59" s="6">
        <v>30.71</v>
      </c>
      <c r="M59" s="6">
        <v>76.150000000000006</v>
      </c>
      <c r="N59" s="6">
        <v>461.6</v>
      </c>
      <c r="O59" s="6">
        <v>0</v>
      </c>
      <c r="P59" s="6">
        <v>0.49</v>
      </c>
      <c r="Q59" s="6">
        <v>3.89</v>
      </c>
    </row>
    <row r="60" spans="1:17" customFormat="1">
      <c r="A60" s="82">
        <v>45465.541666666664</v>
      </c>
      <c r="B60" s="6">
        <v>9.2799999999999994</v>
      </c>
      <c r="C60" s="6">
        <v>4.07</v>
      </c>
      <c r="D60" s="6">
        <v>14.02</v>
      </c>
      <c r="E60" s="6">
        <v>10.99</v>
      </c>
      <c r="F60" s="6">
        <v>7.65</v>
      </c>
      <c r="G60" s="6">
        <v>16.36</v>
      </c>
      <c r="H60" s="6">
        <v>7.69</v>
      </c>
      <c r="I60" s="6">
        <v>4.6100000000000003</v>
      </c>
      <c r="J60" s="6">
        <v>0.53</v>
      </c>
      <c r="K60" s="6">
        <v>251.64</v>
      </c>
      <c r="L60" s="6">
        <v>31.11</v>
      </c>
      <c r="M60" s="6">
        <v>75.67</v>
      </c>
      <c r="N60" s="6">
        <v>459.8</v>
      </c>
      <c r="O60" s="6">
        <v>0</v>
      </c>
      <c r="P60" s="6">
        <v>0.51</v>
      </c>
      <c r="Q60" s="6">
        <v>3.89</v>
      </c>
    </row>
    <row r="61" spans="1:17" customFormat="1">
      <c r="A61" s="82">
        <v>45465.552083333336</v>
      </c>
      <c r="B61" s="6">
        <v>9.27</v>
      </c>
      <c r="C61" s="6">
        <v>4.07</v>
      </c>
      <c r="D61" s="6">
        <v>14.01</v>
      </c>
      <c r="E61" s="6">
        <v>11.18</v>
      </c>
      <c r="F61" s="6">
        <v>7.68</v>
      </c>
      <c r="G61" s="6">
        <v>19.23</v>
      </c>
      <c r="H61" s="6">
        <v>8.1199999999999992</v>
      </c>
      <c r="I61" s="6">
        <v>4.66</v>
      </c>
      <c r="J61" s="6">
        <v>0.52</v>
      </c>
      <c r="K61" s="6">
        <v>258.67</v>
      </c>
      <c r="L61" s="6">
        <v>31.52</v>
      </c>
      <c r="M61" s="6">
        <v>74.03</v>
      </c>
      <c r="N61" s="6">
        <v>466.4</v>
      </c>
      <c r="O61" s="6">
        <v>0</v>
      </c>
      <c r="P61" s="6">
        <v>0.51</v>
      </c>
      <c r="Q61" s="6">
        <v>3.9</v>
      </c>
    </row>
    <row r="62" spans="1:17" customFormat="1">
      <c r="A62" s="82">
        <v>45465.5625</v>
      </c>
      <c r="B62" s="6">
        <v>9.2799999999999994</v>
      </c>
      <c r="C62" s="6">
        <v>4.08</v>
      </c>
      <c r="D62" s="6">
        <v>14.02</v>
      </c>
      <c r="E62" s="6">
        <v>11.24</v>
      </c>
      <c r="F62" s="6">
        <v>7.75</v>
      </c>
      <c r="G62" s="6">
        <v>19.23</v>
      </c>
      <c r="H62" s="6">
        <v>8.1199999999999992</v>
      </c>
      <c r="I62" s="6">
        <v>4.68</v>
      </c>
      <c r="J62" s="6">
        <v>0.62</v>
      </c>
      <c r="K62" s="6">
        <v>258.35000000000002</v>
      </c>
      <c r="L62" s="6">
        <v>31.74</v>
      </c>
      <c r="M62" s="6">
        <v>73.42</v>
      </c>
      <c r="N62" s="6">
        <v>456.2</v>
      </c>
      <c r="O62" s="6">
        <v>0</v>
      </c>
      <c r="P62" s="6">
        <v>0.51</v>
      </c>
      <c r="Q62" s="6">
        <v>3.9</v>
      </c>
    </row>
    <row r="63" spans="1:17" customFormat="1">
      <c r="A63" s="82">
        <v>45465.572916666664</v>
      </c>
      <c r="B63" s="6">
        <v>9.27</v>
      </c>
      <c r="C63" s="6">
        <v>4.05</v>
      </c>
      <c r="D63" s="6">
        <v>14</v>
      </c>
      <c r="E63" s="6">
        <v>10.96</v>
      </c>
      <c r="F63" s="6">
        <v>8.6</v>
      </c>
      <c r="G63" s="6">
        <v>19.23</v>
      </c>
      <c r="H63" s="6">
        <v>8.1199999999999992</v>
      </c>
      <c r="I63" s="6">
        <v>4.7300000000000004</v>
      </c>
      <c r="J63" s="6">
        <v>0.57999999999999996</v>
      </c>
      <c r="K63" s="6">
        <v>270.72000000000003</v>
      </c>
      <c r="L63" s="6">
        <v>31.57</v>
      </c>
      <c r="M63" s="6">
        <v>72.67</v>
      </c>
      <c r="N63" s="6">
        <v>227.3</v>
      </c>
      <c r="O63" s="6">
        <v>0</v>
      </c>
      <c r="P63" s="6">
        <v>0.53</v>
      </c>
      <c r="Q63" s="6">
        <v>3.92</v>
      </c>
    </row>
    <row r="64" spans="1:17" customFormat="1">
      <c r="A64" s="82">
        <v>45465.583333333336</v>
      </c>
      <c r="B64" s="6">
        <v>9.26</v>
      </c>
      <c r="C64" s="6">
        <v>4.05</v>
      </c>
      <c r="D64" s="6">
        <v>13.99</v>
      </c>
      <c r="E64" s="6">
        <v>11.44</v>
      </c>
      <c r="F64" s="6">
        <v>9.23</v>
      </c>
      <c r="G64" s="6">
        <v>19.79</v>
      </c>
      <c r="H64" s="6">
        <v>8.31</v>
      </c>
      <c r="I64" s="6">
        <v>4.8</v>
      </c>
      <c r="J64" s="6">
        <v>0.79</v>
      </c>
      <c r="K64" s="6">
        <v>263.86</v>
      </c>
      <c r="L64" s="6">
        <v>30.01</v>
      </c>
      <c r="M64" s="6">
        <v>77.900000000000006</v>
      </c>
      <c r="N64" s="6">
        <v>93.5</v>
      </c>
      <c r="O64" s="6">
        <v>0</v>
      </c>
      <c r="P64" s="6">
        <v>0.52</v>
      </c>
      <c r="Q64" s="6">
        <v>3.91</v>
      </c>
    </row>
    <row r="65" spans="1:17" customFormat="1">
      <c r="A65" s="82">
        <v>45465.59375</v>
      </c>
      <c r="B65" s="6">
        <v>9.26</v>
      </c>
      <c r="C65" s="6">
        <v>4.07</v>
      </c>
      <c r="D65" s="6">
        <v>14</v>
      </c>
      <c r="E65" s="6">
        <v>11.8</v>
      </c>
      <c r="F65" s="6">
        <v>10.84</v>
      </c>
      <c r="G65" s="6">
        <v>20.32</v>
      </c>
      <c r="H65" s="6">
        <v>8.49</v>
      </c>
      <c r="I65" s="6">
        <v>4.84</v>
      </c>
      <c r="J65" s="6">
        <v>0.76</v>
      </c>
      <c r="K65" s="6">
        <v>287.79000000000002</v>
      </c>
      <c r="L65" s="6">
        <v>30.16</v>
      </c>
      <c r="M65" s="6">
        <v>77.8</v>
      </c>
      <c r="N65" s="6">
        <v>202.9</v>
      </c>
      <c r="O65" s="6">
        <v>0</v>
      </c>
      <c r="P65" s="6">
        <v>0.44</v>
      </c>
      <c r="Q65" s="6">
        <v>3.89</v>
      </c>
    </row>
    <row r="66" spans="1:17" customFormat="1">
      <c r="A66" s="82">
        <v>45465.604166666664</v>
      </c>
      <c r="B66" s="6">
        <v>9.2799999999999994</v>
      </c>
      <c r="C66" s="6">
        <v>4.0599999999999996</v>
      </c>
      <c r="D66" s="6">
        <v>14.01</v>
      </c>
      <c r="E66" s="6">
        <v>13</v>
      </c>
      <c r="F66" s="6">
        <v>12.71</v>
      </c>
      <c r="G66" s="6">
        <v>20.32</v>
      </c>
      <c r="H66" s="6">
        <v>8.49</v>
      </c>
      <c r="I66" s="6">
        <v>4.8499999999999996</v>
      </c>
      <c r="J66" s="6">
        <v>1.1200000000000001</v>
      </c>
      <c r="K66" s="6">
        <v>295.45999999999998</v>
      </c>
      <c r="L66" s="6">
        <v>30.62</v>
      </c>
      <c r="M66" s="6">
        <v>75.150000000000006</v>
      </c>
      <c r="N66" s="6">
        <v>412.8</v>
      </c>
      <c r="O66" s="6">
        <v>0</v>
      </c>
      <c r="P66" s="6">
        <v>0.46</v>
      </c>
      <c r="Q66" s="6">
        <v>3.91</v>
      </c>
    </row>
    <row r="67" spans="1:17" customFormat="1">
      <c r="A67" s="82">
        <v>45465.614583333336</v>
      </c>
      <c r="B67" s="6">
        <v>9.23</v>
      </c>
      <c r="C67" s="6">
        <v>4.07</v>
      </c>
      <c r="D67" s="6">
        <v>13.98</v>
      </c>
      <c r="E67" s="6">
        <v>12.89</v>
      </c>
      <c r="F67" s="6">
        <v>11.18</v>
      </c>
      <c r="G67" s="6">
        <v>20.32</v>
      </c>
      <c r="H67" s="6">
        <v>8.49</v>
      </c>
      <c r="I67" s="6">
        <v>4.8899999999999997</v>
      </c>
      <c r="J67" s="6">
        <v>0.83</v>
      </c>
      <c r="K67" s="6">
        <v>268.93</v>
      </c>
      <c r="L67" s="6">
        <v>30.87</v>
      </c>
      <c r="M67" s="6">
        <v>76.37</v>
      </c>
      <c r="N67" s="6">
        <v>295.10000000000002</v>
      </c>
      <c r="O67" s="6">
        <v>0</v>
      </c>
      <c r="P67" s="6">
        <v>0.46</v>
      </c>
      <c r="Q67" s="6">
        <v>3.89</v>
      </c>
    </row>
    <row r="68" spans="1:17" customFormat="1">
      <c r="A68" s="82">
        <v>45465.625</v>
      </c>
      <c r="B68" s="6">
        <v>9.2200000000000006</v>
      </c>
      <c r="C68" s="6">
        <v>4.08</v>
      </c>
      <c r="D68" s="6">
        <v>13.97</v>
      </c>
      <c r="E68" s="6">
        <v>11</v>
      </c>
      <c r="F68" s="6">
        <v>12.68</v>
      </c>
      <c r="G68" s="6">
        <v>19.91</v>
      </c>
      <c r="H68" s="6">
        <v>8.2100000000000009</v>
      </c>
      <c r="I68" s="6">
        <v>4.96</v>
      </c>
      <c r="J68" s="6">
        <v>0.65</v>
      </c>
      <c r="K68" s="6">
        <v>253.21</v>
      </c>
      <c r="L68" s="6">
        <v>30.55</v>
      </c>
      <c r="M68" s="6">
        <v>77.989999999999995</v>
      </c>
      <c r="N68" s="6">
        <v>249.9</v>
      </c>
      <c r="O68" s="6">
        <v>0</v>
      </c>
      <c r="P68" s="6">
        <v>0.44</v>
      </c>
      <c r="Q68" s="6">
        <v>3.92</v>
      </c>
    </row>
    <row r="69" spans="1:17" customFormat="1">
      <c r="A69" s="82">
        <v>45465.635416666664</v>
      </c>
      <c r="B69" s="6">
        <v>9.2200000000000006</v>
      </c>
      <c r="C69" s="6">
        <v>4.04</v>
      </c>
      <c r="D69" s="6">
        <v>13.95</v>
      </c>
      <c r="E69" s="6">
        <v>10.93</v>
      </c>
      <c r="F69" s="6">
        <v>12.92</v>
      </c>
      <c r="G69" s="6">
        <v>19.52</v>
      </c>
      <c r="H69" s="6">
        <v>8.08</v>
      </c>
      <c r="I69" s="6">
        <v>5.04</v>
      </c>
      <c r="J69" s="6">
        <v>0.64</v>
      </c>
      <c r="K69" s="6">
        <v>251.93</v>
      </c>
      <c r="L69" s="6">
        <v>30.45</v>
      </c>
      <c r="M69" s="6">
        <v>78.92</v>
      </c>
      <c r="N69" s="6">
        <v>188</v>
      </c>
      <c r="O69" s="6">
        <v>0</v>
      </c>
      <c r="P69" s="6">
        <v>0.42</v>
      </c>
      <c r="Q69" s="6">
        <v>3.91</v>
      </c>
    </row>
    <row r="70" spans="1:17" customFormat="1">
      <c r="A70" s="82">
        <v>45465.645833333336</v>
      </c>
      <c r="B70" s="6">
        <v>9.2100000000000009</v>
      </c>
      <c r="C70" s="6">
        <v>4.04</v>
      </c>
      <c r="D70" s="6">
        <v>13.94</v>
      </c>
      <c r="E70" s="6">
        <v>10.4</v>
      </c>
      <c r="F70" s="6">
        <v>15.8</v>
      </c>
      <c r="G70" s="6">
        <v>19.52</v>
      </c>
      <c r="H70" s="6">
        <v>8.08</v>
      </c>
      <c r="I70" s="6">
        <v>4.8</v>
      </c>
      <c r="J70" s="6">
        <v>0.49</v>
      </c>
      <c r="K70" s="6">
        <v>246.12</v>
      </c>
      <c r="L70" s="6">
        <v>30.03</v>
      </c>
      <c r="M70" s="6">
        <v>80.47</v>
      </c>
      <c r="N70" s="6">
        <v>108.1</v>
      </c>
      <c r="O70" s="6">
        <v>0</v>
      </c>
      <c r="P70" s="6">
        <v>0.4</v>
      </c>
      <c r="Q70" s="6">
        <v>3.89</v>
      </c>
    </row>
    <row r="71" spans="1:17" customFormat="1">
      <c r="A71" s="82">
        <v>45465.65625</v>
      </c>
      <c r="B71" s="6">
        <v>9.2100000000000009</v>
      </c>
      <c r="C71" s="6">
        <v>4.07</v>
      </c>
      <c r="D71" s="6">
        <v>13.97</v>
      </c>
      <c r="E71" s="6">
        <v>11.32</v>
      </c>
      <c r="F71" s="6">
        <v>19.190000000000001</v>
      </c>
      <c r="G71" s="6">
        <v>19.52</v>
      </c>
      <c r="H71" s="6">
        <v>8.08</v>
      </c>
      <c r="I71" s="6">
        <v>4.78</v>
      </c>
      <c r="J71" s="6">
        <v>0.42</v>
      </c>
      <c r="K71" s="6">
        <v>245.16</v>
      </c>
      <c r="L71" s="6">
        <v>29.91</v>
      </c>
      <c r="M71" s="6">
        <v>82.15</v>
      </c>
      <c r="N71" s="6">
        <v>212.7</v>
      </c>
      <c r="O71" s="6">
        <v>0</v>
      </c>
      <c r="P71" s="6">
        <v>0.4</v>
      </c>
      <c r="Q71" s="6">
        <v>3.9</v>
      </c>
    </row>
    <row r="72" spans="1:17" customFormat="1">
      <c r="A72" s="82">
        <v>45465.666666666664</v>
      </c>
      <c r="B72" s="6">
        <v>9.2799999999999994</v>
      </c>
      <c r="C72" s="6">
        <v>4.0599999999999996</v>
      </c>
      <c r="D72" s="6">
        <v>14.01</v>
      </c>
      <c r="E72" s="6">
        <v>12.11</v>
      </c>
      <c r="F72" s="6">
        <v>22.71</v>
      </c>
      <c r="G72" s="6">
        <v>20.65</v>
      </c>
      <c r="H72" s="6">
        <v>7.95</v>
      </c>
      <c r="I72" s="6">
        <v>4.66</v>
      </c>
      <c r="J72" s="6">
        <v>0.43</v>
      </c>
      <c r="K72" s="6">
        <v>249.01</v>
      </c>
      <c r="L72" s="6">
        <v>30.54</v>
      </c>
      <c r="M72" s="6">
        <v>78.52</v>
      </c>
      <c r="N72" s="6">
        <v>291.39999999999998</v>
      </c>
      <c r="O72" s="6">
        <v>0</v>
      </c>
      <c r="P72" s="6">
        <v>0.4</v>
      </c>
      <c r="Q72" s="6">
        <v>3.91</v>
      </c>
    </row>
    <row r="73" spans="1:17" customFormat="1">
      <c r="A73" s="82">
        <v>45465.677083333336</v>
      </c>
      <c r="B73" s="6">
        <v>9.3000000000000007</v>
      </c>
      <c r="C73" s="6">
        <v>4.07</v>
      </c>
      <c r="D73" s="6">
        <v>14.03</v>
      </c>
      <c r="E73" s="6">
        <v>11.59</v>
      </c>
      <c r="F73" s="6">
        <v>23.19</v>
      </c>
      <c r="G73" s="6">
        <v>21.73</v>
      </c>
      <c r="H73" s="6">
        <v>7.9</v>
      </c>
      <c r="I73" s="6">
        <v>4.47</v>
      </c>
      <c r="J73" s="6">
        <v>0.4</v>
      </c>
      <c r="K73" s="6">
        <v>236.05</v>
      </c>
      <c r="L73" s="6">
        <v>31.28</v>
      </c>
      <c r="M73" s="6">
        <v>75.17</v>
      </c>
      <c r="N73" s="6">
        <v>333.9</v>
      </c>
      <c r="O73" s="6">
        <v>0</v>
      </c>
      <c r="P73" s="6">
        <v>0.38</v>
      </c>
      <c r="Q73" s="6">
        <v>3.92</v>
      </c>
    </row>
    <row r="74" spans="1:17" customFormat="1">
      <c r="A74" s="82">
        <v>45465.6875</v>
      </c>
      <c r="B74" s="6">
        <v>9.2799999999999994</v>
      </c>
      <c r="C74" s="6">
        <v>4.0999999999999996</v>
      </c>
      <c r="D74" s="6">
        <v>14.03</v>
      </c>
      <c r="E74" s="6">
        <v>11.37</v>
      </c>
      <c r="F74" s="6">
        <v>26.39</v>
      </c>
      <c r="G74" s="6">
        <v>21.73</v>
      </c>
      <c r="H74" s="6">
        <v>7.9</v>
      </c>
      <c r="I74" s="6">
        <v>4.49</v>
      </c>
      <c r="J74" s="6">
        <v>0.31</v>
      </c>
      <c r="K74" s="6">
        <v>230.11</v>
      </c>
      <c r="L74" s="6">
        <v>31.45</v>
      </c>
      <c r="M74" s="6">
        <v>75.36</v>
      </c>
      <c r="N74" s="6">
        <v>187.5</v>
      </c>
      <c r="O74" s="6">
        <v>0</v>
      </c>
      <c r="P74" s="6">
        <v>0.37</v>
      </c>
      <c r="Q74" s="6">
        <v>3.91</v>
      </c>
    </row>
    <row r="75" spans="1:17" customFormat="1">
      <c r="A75" s="82">
        <v>45465.697916666664</v>
      </c>
      <c r="B75" s="6">
        <v>9.2899999999999991</v>
      </c>
      <c r="C75" s="6">
        <v>4.08</v>
      </c>
      <c r="D75" s="6">
        <v>14.03</v>
      </c>
      <c r="E75" s="6">
        <v>10.87</v>
      </c>
      <c r="F75" s="6">
        <v>28.86</v>
      </c>
      <c r="G75" s="6">
        <v>21.73</v>
      </c>
      <c r="H75" s="6">
        <v>7.9</v>
      </c>
      <c r="I75" s="6">
        <v>4.45</v>
      </c>
      <c r="J75" s="6">
        <v>0.28999999999999998</v>
      </c>
      <c r="K75" s="6">
        <v>245.55</v>
      </c>
      <c r="L75" s="6">
        <v>31.22</v>
      </c>
      <c r="M75" s="6">
        <v>76.47</v>
      </c>
      <c r="N75" s="6">
        <v>150</v>
      </c>
      <c r="O75" s="6">
        <v>0</v>
      </c>
      <c r="P75" s="6">
        <v>0.35</v>
      </c>
      <c r="Q75" s="6">
        <v>3.89</v>
      </c>
    </row>
    <row r="76" spans="1:17" customFormat="1">
      <c r="A76" s="82">
        <v>45465.708333333336</v>
      </c>
      <c r="B76" s="6">
        <v>9.2899999999999991</v>
      </c>
      <c r="C76" s="6">
        <v>4.08</v>
      </c>
      <c r="D76" s="6">
        <v>14.03</v>
      </c>
      <c r="E76" s="6">
        <v>10.46</v>
      </c>
      <c r="F76" s="6">
        <v>30.65</v>
      </c>
      <c r="G76" s="6">
        <v>22.24</v>
      </c>
      <c r="H76" s="6">
        <v>8.86</v>
      </c>
      <c r="I76" s="6">
        <v>4.29</v>
      </c>
      <c r="J76" s="6">
        <v>0.49</v>
      </c>
      <c r="K76" s="6">
        <v>255.91</v>
      </c>
      <c r="L76" s="6">
        <v>30.91</v>
      </c>
      <c r="M76" s="6">
        <v>76.150000000000006</v>
      </c>
      <c r="N76" s="6">
        <v>129.19999999999999</v>
      </c>
      <c r="O76" s="6">
        <v>0</v>
      </c>
      <c r="P76" s="6">
        <v>0.34</v>
      </c>
      <c r="Q76" s="6">
        <v>3.93</v>
      </c>
    </row>
    <row r="77" spans="1:17" customFormat="1">
      <c r="A77" s="82">
        <v>45465.71875</v>
      </c>
      <c r="B77" s="6">
        <v>9.3000000000000007</v>
      </c>
      <c r="C77" s="6">
        <v>4.08</v>
      </c>
      <c r="D77" s="6">
        <v>14.04</v>
      </c>
      <c r="E77" s="6">
        <v>10.35</v>
      </c>
      <c r="F77" s="6">
        <v>34.44</v>
      </c>
      <c r="G77" s="6">
        <v>22.73</v>
      </c>
      <c r="H77" s="6">
        <v>9.31</v>
      </c>
      <c r="I77" s="6">
        <v>4.1500000000000004</v>
      </c>
      <c r="J77" s="6">
        <v>0.23</v>
      </c>
      <c r="K77" s="6">
        <v>231</v>
      </c>
      <c r="L77" s="6">
        <v>30.99</v>
      </c>
      <c r="M77" s="6">
        <v>75.98</v>
      </c>
      <c r="N77" s="6">
        <v>120.3</v>
      </c>
      <c r="O77" s="6">
        <v>0</v>
      </c>
      <c r="P77" s="6">
        <v>0.33</v>
      </c>
      <c r="Q77" s="6">
        <v>3.93</v>
      </c>
    </row>
    <row r="78" spans="1:17" customFormat="1">
      <c r="A78" s="82">
        <v>45465.729166666664</v>
      </c>
      <c r="B78" s="6">
        <v>9.2899999999999991</v>
      </c>
      <c r="C78" s="6">
        <v>4.07</v>
      </c>
      <c r="D78" s="6">
        <v>14.02</v>
      </c>
      <c r="E78" s="6">
        <v>10.28</v>
      </c>
      <c r="F78" s="6">
        <v>37.79</v>
      </c>
      <c r="G78" s="6">
        <v>22.73</v>
      </c>
      <c r="H78" s="6">
        <v>9.31</v>
      </c>
      <c r="I78" s="6">
        <v>3.9</v>
      </c>
      <c r="J78" s="6">
        <v>0.27</v>
      </c>
      <c r="K78" s="6">
        <v>228.6</v>
      </c>
      <c r="L78" s="6">
        <v>30.65</v>
      </c>
      <c r="M78" s="6">
        <v>77.09</v>
      </c>
      <c r="N78" s="6">
        <v>94.3</v>
      </c>
      <c r="O78" s="6">
        <v>0</v>
      </c>
      <c r="P78" s="6">
        <v>0.31</v>
      </c>
      <c r="Q78" s="6">
        <v>3.91</v>
      </c>
    </row>
    <row r="79" spans="1:17" customFormat="1">
      <c r="A79" s="82">
        <v>45465.739583333336</v>
      </c>
      <c r="B79" s="6">
        <v>9.26</v>
      </c>
      <c r="C79" s="6">
        <v>4.04</v>
      </c>
      <c r="D79" s="6">
        <v>13.99</v>
      </c>
      <c r="E79" s="6">
        <v>9.83</v>
      </c>
      <c r="F79" s="6">
        <v>39.82</v>
      </c>
      <c r="G79" s="6">
        <v>22.73</v>
      </c>
      <c r="H79" s="6">
        <v>9.31</v>
      </c>
      <c r="I79" s="6">
        <v>3.76</v>
      </c>
      <c r="J79" s="6">
        <v>0.28999999999999998</v>
      </c>
      <c r="K79" s="6">
        <v>248</v>
      </c>
      <c r="L79" s="6">
        <v>30.5</v>
      </c>
      <c r="M79" s="6">
        <v>77.5</v>
      </c>
      <c r="N79" s="6">
        <v>81.099999999999994</v>
      </c>
      <c r="O79" s="6">
        <v>0</v>
      </c>
      <c r="P79" s="6">
        <v>0.28999999999999998</v>
      </c>
      <c r="Q79" s="6">
        <v>3.89</v>
      </c>
    </row>
    <row r="80" spans="1:17" customFormat="1">
      <c r="A80" s="82">
        <v>45465.75</v>
      </c>
      <c r="B80" s="6">
        <v>9.26</v>
      </c>
      <c r="C80" s="6">
        <v>4.04</v>
      </c>
      <c r="D80" s="6">
        <v>13.99</v>
      </c>
      <c r="E80" s="6">
        <v>9.75</v>
      </c>
      <c r="F80" s="6">
        <v>44.17</v>
      </c>
      <c r="G80" s="6">
        <v>20.27</v>
      </c>
      <c r="H80" s="6">
        <v>8.9700000000000006</v>
      </c>
      <c r="I80" s="6">
        <v>3.51</v>
      </c>
      <c r="J80" s="6">
        <v>0.24</v>
      </c>
      <c r="K80" s="6">
        <v>245.03</v>
      </c>
      <c r="L80" s="6">
        <v>30.26</v>
      </c>
      <c r="M80" s="6">
        <v>78.88</v>
      </c>
      <c r="N80" s="6">
        <v>57.6</v>
      </c>
      <c r="O80" s="6">
        <v>0</v>
      </c>
      <c r="P80" s="6">
        <v>0.28000000000000003</v>
      </c>
      <c r="Q80" s="6">
        <v>3.93</v>
      </c>
    </row>
    <row r="81" spans="1:17" customFormat="1">
      <c r="A81" s="82">
        <v>45465.760416666664</v>
      </c>
      <c r="B81" s="6">
        <v>9.2799999999999994</v>
      </c>
      <c r="C81" s="6">
        <v>4.0599999999999996</v>
      </c>
      <c r="D81" s="6">
        <v>14.01</v>
      </c>
      <c r="E81" s="6">
        <v>7.3</v>
      </c>
      <c r="F81" s="6">
        <v>42.99</v>
      </c>
      <c r="G81" s="6">
        <v>17.91</v>
      </c>
      <c r="H81" s="6">
        <v>8.82</v>
      </c>
      <c r="I81" s="6">
        <v>3.36</v>
      </c>
      <c r="J81" s="6">
        <v>0.19</v>
      </c>
      <c r="K81" s="6">
        <v>230.56</v>
      </c>
      <c r="L81" s="6">
        <v>30.08</v>
      </c>
      <c r="M81" s="6">
        <v>79.11</v>
      </c>
      <c r="N81" s="6">
        <v>37</v>
      </c>
      <c r="O81" s="6">
        <v>0</v>
      </c>
      <c r="P81" s="6">
        <v>0.27</v>
      </c>
      <c r="Q81" s="6">
        <v>3.91</v>
      </c>
    </row>
    <row r="82" spans="1:17" customFormat="1">
      <c r="A82" s="82">
        <v>45465.770833333336</v>
      </c>
      <c r="B82" s="6">
        <v>9.2899999999999991</v>
      </c>
      <c r="C82" s="6">
        <v>4.05</v>
      </c>
      <c r="D82" s="6">
        <v>14.01</v>
      </c>
      <c r="E82" s="6">
        <v>8.24</v>
      </c>
      <c r="F82" s="6">
        <v>44.82</v>
      </c>
      <c r="G82" s="6">
        <v>17.91</v>
      </c>
      <c r="H82" s="6">
        <v>8.82</v>
      </c>
      <c r="I82" s="6">
        <v>3.06</v>
      </c>
      <c r="J82" s="6">
        <v>0.18</v>
      </c>
      <c r="K82" s="6">
        <v>187.08</v>
      </c>
      <c r="L82" s="6">
        <v>29.64</v>
      </c>
      <c r="M82" s="6">
        <v>80.3</v>
      </c>
      <c r="N82" s="6">
        <v>13.1</v>
      </c>
      <c r="O82" s="6">
        <v>0</v>
      </c>
      <c r="P82" s="6">
        <v>0.25</v>
      </c>
      <c r="Q82" s="6">
        <v>3.89</v>
      </c>
    </row>
    <row r="83" spans="1:17" customFormat="1">
      <c r="A83" s="82">
        <v>45465.78125</v>
      </c>
      <c r="B83" s="6">
        <v>9.2799999999999994</v>
      </c>
      <c r="C83" s="6">
        <v>4.0599999999999996</v>
      </c>
      <c r="D83" s="6">
        <v>14.01</v>
      </c>
      <c r="E83" s="6">
        <v>8.24</v>
      </c>
      <c r="F83" s="6">
        <v>27.19</v>
      </c>
      <c r="G83" s="6">
        <v>17.91</v>
      </c>
      <c r="H83" s="6">
        <v>8.82</v>
      </c>
      <c r="I83" s="6">
        <v>3.07</v>
      </c>
      <c r="J83" s="6">
        <v>0.13</v>
      </c>
      <c r="K83" s="6">
        <v>178.93</v>
      </c>
      <c r="L83" s="6">
        <v>29.33</v>
      </c>
      <c r="M83" s="6">
        <v>82.3</v>
      </c>
      <c r="N83" s="6">
        <v>3.6</v>
      </c>
      <c r="O83" s="6">
        <v>0</v>
      </c>
      <c r="P83" s="6">
        <v>0.28000000000000003</v>
      </c>
      <c r="Q83" s="6">
        <v>3.9</v>
      </c>
    </row>
    <row r="84" spans="1:17" customFormat="1">
      <c r="A84" s="82">
        <v>45465.791666666664</v>
      </c>
      <c r="B84" s="6">
        <v>9.23</v>
      </c>
      <c r="C84" s="6">
        <v>4.08</v>
      </c>
      <c r="D84" s="6">
        <v>13.98</v>
      </c>
      <c r="E84" s="6">
        <v>9.1</v>
      </c>
      <c r="F84" s="6">
        <v>20.88</v>
      </c>
      <c r="G84" s="6">
        <v>16.91</v>
      </c>
      <c r="H84" s="6">
        <v>8.2100000000000009</v>
      </c>
      <c r="I84" s="6">
        <v>2.98</v>
      </c>
      <c r="J84" s="6">
        <v>0.13</v>
      </c>
      <c r="K84" s="6">
        <v>221.66</v>
      </c>
      <c r="L84" s="6">
        <v>28.89</v>
      </c>
      <c r="M84" s="6">
        <v>84.63</v>
      </c>
      <c r="N84" s="6">
        <v>2.2000000000000002</v>
      </c>
      <c r="O84" s="6">
        <v>0</v>
      </c>
      <c r="P84" s="6">
        <v>0.33</v>
      </c>
      <c r="Q84" s="6">
        <v>3.87</v>
      </c>
    </row>
    <row r="85" spans="1:17" customFormat="1">
      <c r="A85" s="82">
        <v>45465.802083333336</v>
      </c>
      <c r="B85" s="6">
        <v>9.23</v>
      </c>
      <c r="C85" s="6">
        <v>4.08</v>
      </c>
      <c r="D85" s="6">
        <v>13.98</v>
      </c>
      <c r="E85" s="6">
        <v>9.1</v>
      </c>
      <c r="F85" s="6">
        <v>20.88</v>
      </c>
      <c r="G85" s="6">
        <v>16.91</v>
      </c>
      <c r="H85" s="6">
        <v>8.2100000000000009</v>
      </c>
      <c r="I85" s="6">
        <v>2.98</v>
      </c>
      <c r="J85" s="6">
        <v>0.13</v>
      </c>
      <c r="K85" s="6">
        <v>221.66</v>
      </c>
      <c r="L85" s="6">
        <v>28.89</v>
      </c>
      <c r="M85" s="6">
        <v>84.63</v>
      </c>
      <c r="N85" s="6">
        <v>2.2000000000000002</v>
      </c>
      <c r="O85" s="6">
        <v>0</v>
      </c>
      <c r="P85" s="6">
        <v>0.33</v>
      </c>
      <c r="Q85" s="6">
        <v>3.87</v>
      </c>
    </row>
    <row r="86" spans="1:17" customFormat="1">
      <c r="A86" s="82">
        <v>45465.8125</v>
      </c>
      <c r="B86" s="6">
        <v>9.26</v>
      </c>
      <c r="C86" s="6">
        <v>4.08</v>
      </c>
      <c r="D86" s="6">
        <v>14.01</v>
      </c>
      <c r="E86" s="6">
        <v>8.84</v>
      </c>
      <c r="F86" s="6">
        <v>17.52</v>
      </c>
      <c r="G86" s="6">
        <v>15.99</v>
      </c>
      <c r="H86" s="6">
        <v>7.95</v>
      </c>
      <c r="I86" s="6">
        <v>3.56</v>
      </c>
      <c r="J86" s="6">
        <v>0.24</v>
      </c>
      <c r="K86" s="6">
        <v>241.96</v>
      </c>
      <c r="L86" s="6">
        <v>28.76</v>
      </c>
      <c r="M86" s="6">
        <v>84.21</v>
      </c>
      <c r="N86" s="6">
        <v>2</v>
      </c>
      <c r="O86" s="6">
        <v>0</v>
      </c>
      <c r="P86" s="6">
        <v>0.36</v>
      </c>
      <c r="Q86" s="6">
        <v>3.89</v>
      </c>
    </row>
    <row r="87" spans="1:17" customFormat="1">
      <c r="A87" s="82">
        <v>45465.822916666664</v>
      </c>
      <c r="B87" s="6">
        <v>9.3000000000000007</v>
      </c>
      <c r="C87" s="6">
        <v>4.0599999999999996</v>
      </c>
      <c r="D87" s="6">
        <v>14.03</v>
      </c>
      <c r="E87" s="6">
        <v>8.64</v>
      </c>
      <c r="F87" s="6">
        <v>16.940000000000001</v>
      </c>
      <c r="G87" s="6">
        <v>15.99</v>
      </c>
      <c r="H87" s="6">
        <v>7.95</v>
      </c>
      <c r="I87" s="6">
        <v>3.85</v>
      </c>
      <c r="J87" s="6">
        <v>0.11</v>
      </c>
      <c r="K87" s="6">
        <v>179.86</v>
      </c>
      <c r="L87" s="6">
        <v>28.61</v>
      </c>
      <c r="M87" s="6">
        <v>83.95</v>
      </c>
      <c r="N87" s="6">
        <v>2.1</v>
      </c>
      <c r="O87" s="6">
        <v>0</v>
      </c>
      <c r="P87" s="6">
        <v>0.4</v>
      </c>
      <c r="Q87" s="6">
        <v>3.9</v>
      </c>
    </row>
    <row r="88" spans="1:17" customFormat="1">
      <c r="A88" s="82">
        <v>45465.833333333336</v>
      </c>
      <c r="B88" s="6">
        <v>9.3000000000000007</v>
      </c>
      <c r="C88" s="6">
        <v>4.08</v>
      </c>
      <c r="D88" s="6">
        <v>14.04</v>
      </c>
      <c r="E88" s="6">
        <v>9.0500000000000007</v>
      </c>
      <c r="F88" s="6">
        <v>13.72</v>
      </c>
      <c r="G88" s="6">
        <v>18.91</v>
      </c>
      <c r="H88" s="6">
        <v>8.43</v>
      </c>
      <c r="I88" s="6">
        <v>3.96</v>
      </c>
      <c r="J88" s="6">
        <v>0.18</v>
      </c>
      <c r="K88" s="6">
        <v>178.76</v>
      </c>
      <c r="L88" s="6">
        <v>28.36</v>
      </c>
      <c r="M88" s="6">
        <v>86.79</v>
      </c>
      <c r="N88" s="6">
        <v>2</v>
      </c>
      <c r="O88" s="6">
        <v>0</v>
      </c>
      <c r="P88" s="6">
        <v>0.41</v>
      </c>
      <c r="Q88" s="6">
        <v>3.87</v>
      </c>
    </row>
    <row r="89" spans="1:17" customFormat="1">
      <c r="A89" s="82">
        <v>45465.84375</v>
      </c>
      <c r="B89" s="6">
        <v>9.31</v>
      </c>
      <c r="C89" s="6">
        <v>4.0599999999999996</v>
      </c>
      <c r="D89" s="6">
        <v>14.04</v>
      </c>
      <c r="E89" s="6">
        <v>9.34</v>
      </c>
      <c r="F89" s="6">
        <v>11.17</v>
      </c>
      <c r="G89" s="6">
        <v>21.7</v>
      </c>
      <c r="H89" s="6">
        <v>8.91</v>
      </c>
      <c r="I89" s="6">
        <v>4.13</v>
      </c>
      <c r="J89" s="6">
        <v>0.12</v>
      </c>
      <c r="K89" s="6">
        <v>200.42</v>
      </c>
      <c r="L89" s="6">
        <v>28.11</v>
      </c>
      <c r="M89" s="6">
        <v>89.63</v>
      </c>
      <c r="N89" s="6">
        <v>2.1</v>
      </c>
      <c r="O89" s="6">
        <v>0</v>
      </c>
      <c r="P89" s="6">
        <v>0.41</v>
      </c>
      <c r="Q89" s="6">
        <v>3.87</v>
      </c>
    </row>
    <row r="90" spans="1:17" customFormat="1">
      <c r="A90" s="82">
        <v>45465.854166666664</v>
      </c>
      <c r="B90" s="6">
        <v>9.3000000000000007</v>
      </c>
      <c r="C90" s="6">
        <v>4.05</v>
      </c>
      <c r="D90" s="6">
        <v>14.02</v>
      </c>
      <c r="E90" s="6">
        <v>9.31</v>
      </c>
      <c r="F90" s="6">
        <v>13.03</v>
      </c>
      <c r="G90" s="6">
        <v>21.7</v>
      </c>
      <c r="H90" s="6">
        <v>8.91</v>
      </c>
      <c r="I90" s="6">
        <v>4.58</v>
      </c>
      <c r="J90" s="6">
        <v>0.14000000000000001</v>
      </c>
      <c r="K90" s="6">
        <v>187.15</v>
      </c>
      <c r="L90" s="6">
        <v>27.96</v>
      </c>
      <c r="M90" s="6">
        <v>88.16</v>
      </c>
      <c r="N90" s="6">
        <v>1.8</v>
      </c>
      <c r="O90" s="6">
        <v>0</v>
      </c>
      <c r="P90" s="6">
        <v>0.42</v>
      </c>
      <c r="Q90" s="6">
        <v>3.89</v>
      </c>
    </row>
    <row r="91" spans="1:17" customFormat="1">
      <c r="A91" s="82">
        <v>45465.864583333336</v>
      </c>
      <c r="B91" s="6">
        <v>9.2899999999999991</v>
      </c>
      <c r="C91" s="6">
        <v>4.0599999999999996</v>
      </c>
      <c r="D91" s="6">
        <v>14.02</v>
      </c>
      <c r="E91" s="6">
        <v>9.24</v>
      </c>
      <c r="F91" s="6">
        <v>10.72</v>
      </c>
      <c r="G91" s="6">
        <v>21.7</v>
      </c>
      <c r="H91" s="6">
        <v>8.91</v>
      </c>
      <c r="I91" s="6">
        <v>4.49</v>
      </c>
      <c r="J91" s="6">
        <v>0.2</v>
      </c>
      <c r="K91" s="6">
        <v>172.48</v>
      </c>
      <c r="L91" s="6">
        <v>28.08</v>
      </c>
      <c r="M91" s="6">
        <v>88.67</v>
      </c>
      <c r="N91" s="6">
        <v>1.9</v>
      </c>
      <c r="O91" s="6">
        <v>0</v>
      </c>
      <c r="P91" s="6">
        <v>0.44</v>
      </c>
      <c r="Q91" s="6">
        <v>3.89</v>
      </c>
    </row>
    <row r="92" spans="1:17" customFormat="1">
      <c r="A92" s="82">
        <v>45465.875</v>
      </c>
      <c r="B92" s="6">
        <v>9.3000000000000007</v>
      </c>
      <c r="C92" s="6">
        <v>4.07</v>
      </c>
      <c r="D92" s="6">
        <v>14.03</v>
      </c>
      <c r="E92" s="6">
        <v>9.11</v>
      </c>
      <c r="F92" s="6">
        <v>9.11</v>
      </c>
      <c r="G92" s="6">
        <v>23.64</v>
      </c>
      <c r="H92" s="6">
        <v>8.32</v>
      </c>
      <c r="I92" s="6">
        <v>4.59</v>
      </c>
      <c r="J92" s="6">
        <v>0.11</v>
      </c>
      <c r="K92" s="6">
        <v>200.08</v>
      </c>
      <c r="L92" s="6">
        <v>27.85</v>
      </c>
      <c r="M92" s="6">
        <v>90.27</v>
      </c>
      <c r="N92" s="6">
        <v>2</v>
      </c>
      <c r="O92" s="6">
        <v>0</v>
      </c>
      <c r="P92" s="6">
        <v>0.44</v>
      </c>
      <c r="Q92" s="6">
        <v>3.9</v>
      </c>
    </row>
    <row r="93" spans="1:17" customFormat="1">
      <c r="A93" s="82">
        <v>45465.885416666664</v>
      </c>
      <c r="B93" s="6">
        <v>9.3000000000000007</v>
      </c>
      <c r="C93" s="6">
        <v>4.07</v>
      </c>
      <c r="D93" s="6">
        <v>14.04</v>
      </c>
      <c r="E93" s="6">
        <v>9.32</v>
      </c>
      <c r="F93" s="6">
        <v>10.38</v>
      </c>
      <c r="G93" s="6">
        <v>25.5</v>
      </c>
      <c r="H93" s="6">
        <v>8.0399999999999991</v>
      </c>
      <c r="I93" s="6">
        <v>4.6500000000000004</v>
      </c>
      <c r="J93" s="6">
        <v>0.06</v>
      </c>
      <c r="K93" s="6">
        <v>179.28</v>
      </c>
      <c r="L93" s="6">
        <v>27.87</v>
      </c>
      <c r="M93" s="6">
        <v>88.62</v>
      </c>
      <c r="N93" s="6">
        <v>1.9</v>
      </c>
      <c r="O93" s="6">
        <v>0</v>
      </c>
      <c r="P93" s="6">
        <v>0.44</v>
      </c>
      <c r="Q93" s="6">
        <v>3.91</v>
      </c>
    </row>
    <row r="94" spans="1:17" customFormat="1">
      <c r="A94" s="82">
        <v>45465.895833333336</v>
      </c>
      <c r="B94" s="6">
        <v>9.2899999999999991</v>
      </c>
      <c r="C94" s="6">
        <v>4.08</v>
      </c>
      <c r="D94" s="6">
        <v>14.04</v>
      </c>
      <c r="E94" s="6">
        <v>9.92</v>
      </c>
      <c r="F94" s="6">
        <v>9.74</v>
      </c>
      <c r="G94" s="6">
        <v>25.5</v>
      </c>
      <c r="H94" s="6">
        <v>8.0399999999999991</v>
      </c>
      <c r="I94" s="6">
        <v>4.76</v>
      </c>
      <c r="J94" s="6">
        <v>0.31</v>
      </c>
      <c r="K94" s="6">
        <v>246.88</v>
      </c>
      <c r="L94" s="6">
        <v>27.91</v>
      </c>
      <c r="M94" s="6">
        <v>87.77</v>
      </c>
      <c r="N94" s="6">
        <v>1.7</v>
      </c>
      <c r="O94" s="6">
        <v>0</v>
      </c>
      <c r="P94" s="6">
        <v>0.45</v>
      </c>
      <c r="Q94" s="6">
        <v>3.9</v>
      </c>
    </row>
    <row r="95" spans="1:17" customFormat="1">
      <c r="A95" s="82">
        <v>45465.90625</v>
      </c>
      <c r="B95" s="6">
        <v>9.3000000000000007</v>
      </c>
      <c r="C95" s="6">
        <v>4.0999999999999996</v>
      </c>
      <c r="D95" s="6">
        <v>14.04</v>
      </c>
      <c r="E95" s="6">
        <v>9.67</v>
      </c>
      <c r="F95" s="6">
        <v>10.27</v>
      </c>
      <c r="G95" s="6">
        <v>25.5</v>
      </c>
      <c r="H95" s="6">
        <v>8.0399999999999991</v>
      </c>
      <c r="I95" s="6">
        <v>4.78</v>
      </c>
      <c r="J95" s="6">
        <v>0.23</v>
      </c>
      <c r="K95" s="6">
        <v>233.29</v>
      </c>
      <c r="L95" s="6">
        <v>28.07</v>
      </c>
      <c r="M95" s="6">
        <v>86.68</v>
      </c>
      <c r="N95" s="6">
        <v>2</v>
      </c>
      <c r="O95" s="6">
        <v>0</v>
      </c>
      <c r="P95" s="6">
        <v>0.45</v>
      </c>
      <c r="Q95" s="6">
        <v>3.92</v>
      </c>
    </row>
    <row r="96" spans="1:17" customFormat="1">
      <c r="A96" s="82">
        <v>45465.916666666664</v>
      </c>
      <c r="B96" s="6">
        <v>9.27</v>
      </c>
      <c r="C96" s="6">
        <v>4.1100000000000003</v>
      </c>
      <c r="D96" s="6">
        <v>14.03</v>
      </c>
      <c r="E96" s="6">
        <v>9.77</v>
      </c>
      <c r="F96" s="6">
        <v>10.93</v>
      </c>
      <c r="G96" s="6">
        <v>24.17</v>
      </c>
      <c r="H96" s="6">
        <v>8.89</v>
      </c>
      <c r="I96" s="6">
        <v>4.8099999999999996</v>
      </c>
      <c r="J96" s="6">
        <v>0.11</v>
      </c>
      <c r="K96" s="6">
        <v>210.81</v>
      </c>
      <c r="L96" s="6">
        <v>28.17</v>
      </c>
      <c r="M96" s="6">
        <v>86</v>
      </c>
      <c r="N96" s="6">
        <v>2.1</v>
      </c>
      <c r="O96" s="6">
        <v>0</v>
      </c>
      <c r="P96" s="6">
        <v>0.44</v>
      </c>
      <c r="Q96" s="6">
        <v>3.92</v>
      </c>
    </row>
    <row r="97" spans="1:22" customFormat="1">
      <c r="A97" s="82">
        <v>45465.927083333336</v>
      </c>
      <c r="B97" s="6">
        <v>9.27</v>
      </c>
      <c r="C97" s="6">
        <v>4.09</v>
      </c>
      <c r="D97" s="6">
        <v>14.02</v>
      </c>
      <c r="E97" s="6">
        <v>9.8699999999999992</v>
      </c>
      <c r="F97" s="6">
        <v>11.12</v>
      </c>
      <c r="G97" s="6">
        <v>22.9</v>
      </c>
      <c r="H97" s="6">
        <v>9.2799999999999994</v>
      </c>
      <c r="I97" s="6">
        <v>4.63</v>
      </c>
      <c r="J97" s="6">
        <v>0.13</v>
      </c>
      <c r="K97" s="6">
        <v>227.94</v>
      </c>
      <c r="L97" s="6">
        <v>28.15</v>
      </c>
      <c r="M97" s="6">
        <v>86.35</v>
      </c>
      <c r="N97" s="6">
        <v>2.1</v>
      </c>
      <c r="O97" s="6">
        <v>0</v>
      </c>
      <c r="P97" s="6">
        <v>0.42</v>
      </c>
      <c r="Q97" s="6">
        <v>3.91</v>
      </c>
    </row>
    <row r="98" spans="1:22" customFormat="1">
      <c r="A98" s="82">
        <v>45465.9375</v>
      </c>
      <c r="B98" s="6">
        <v>9.2799999999999994</v>
      </c>
      <c r="C98" s="6">
        <v>4.07</v>
      </c>
      <c r="D98" s="6">
        <v>14.02</v>
      </c>
      <c r="E98" s="6">
        <v>10.41</v>
      </c>
      <c r="F98" s="6">
        <v>10.46</v>
      </c>
      <c r="G98" s="6">
        <v>22.9</v>
      </c>
      <c r="H98" s="6">
        <v>9.2799999999999994</v>
      </c>
      <c r="I98" s="6">
        <v>4.53</v>
      </c>
      <c r="J98" s="6">
        <v>0.14000000000000001</v>
      </c>
      <c r="K98" s="6">
        <v>172.4</v>
      </c>
      <c r="L98" s="6">
        <v>28.13</v>
      </c>
      <c r="M98" s="6">
        <v>86.58</v>
      </c>
      <c r="N98" s="6">
        <v>2</v>
      </c>
      <c r="O98" s="6">
        <v>0</v>
      </c>
      <c r="P98" s="6">
        <v>0.42</v>
      </c>
      <c r="Q98" s="6">
        <v>3.91</v>
      </c>
    </row>
    <row r="99" spans="1:22" customFormat="1">
      <c r="A99" s="82">
        <v>45465.947916666664</v>
      </c>
      <c r="B99" s="6">
        <v>9.2899999999999991</v>
      </c>
      <c r="C99" s="6">
        <v>4.05</v>
      </c>
      <c r="D99" s="6">
        <v>14.02</v>
      </c>
      <c r="E99" s="6">
        <v>10.81</v>
      </c>
      <c r="F99" s="6">
        <v>10.89</v>
      </c>
      <c r="G99" s="6">
        <v>22.9</v>
      </c>
      <c r="H99" s="6">
        <v>9.2799999999999994</v>
      </c>
      <c r="I99" s="6">
        <v>4.49</v>
      </c>
      <c r="J99" s="6">
        <v>0.14000000000000001</v>
      </c>
      <c r="K99" s="6">
        <v>260.83</v>
      </c>
      <c r="L99" s="6">
        <v>28.02</v>
      </c>
      <c r="M99" s="6">
        <v>86.77</v>
      </c>
      <c r="N99" s="6">
        <v>2.1</v>
      </c>
      <c r="O99" s="6">
        <v>0</v>
      </c>
      <c r="P99" s="6">
        <v>0.42</v>
      </c>
      <c r="Q99" s="6">
        <v>3.9</v>
      </c>
    </row>
    <row r="100" spans="1:22" customFormat="1">
      <c r="A100" s="82">
        <v>45465.958333333336</v>
      </c>
      <c r="B100" s="6">
        <v>9.3000000000000007</v>
      </c>
      <c r="C100" s="6">
        <v>4.07</v>
      </c>
      <c r="D100" s="6">
        <v>14.03</v>
      </c>
      <c r="E100" s="6">
        <v>10.43</v>
      </c>
      <c r="F100" s="6">
        <v>9.27</v>
      </c>
      <c r="G100" s="6">
        <v>23.01</v>
      </c>
      <c r="H100" s="6">
        <v>10.01</v>
      </c>
      <c r="I100" s="6">
        <v>4.46</v>
      </c>
      <c r="J100" s="6">
        <v>0.2</v>
      </c>
      <c r="K100" s="6">
        <v>214.53</v>
      </c>
      <c r="L100" s="6">
        <v>27.99</v>
      </c>
      <c r="M100" s="6">
        <v>88.06</v>
      </c>
      <c r="N100" s="6">
        <v>2.1</v>
      </c>
      <c r="O100" s="6">
        <v>0</v>
      </c>
      <c r="P100" s="6">
        <v>0.42</v>
      </c>
      <c r="Q100" s="6">
        <v>3.91</v>
      </c>
    </row>
    <row r="101" spans="1:22" customFormat="1">
      <c r="A101" s="82">
        <v>45465.96875</v>
      </c>
      <c r="B101" s="6">
        <v>9.3000000000000007</v>
      </c>
      <c r="C101" s="6">
        <v>4.07</v>
      </c>
      <c r="D101" s="6">
        <v>14.03</v>
      </c>
      <c r="E101" s="6">
        <v>10.43</v>
      </c>
      <c r="F101" s="6">
        <v>9.27</v>
      </c>
      <c r="G101" s="6">
        <v>23.01</v>
      </c>
      <c r="H101" s="6">
        <v>10.01</v>
      </c>
      <c r="I101" s="6">
        <v>4.46</v>
      </c>
      <c r="J101" s="6">
        <v>0.2</v>
      </c>
      <c r="K101" s="6">
        <v>214.53</v>
      </c>
      <c r="L101" s="6">
        <v>27.99</v>
      </c>
      <c r="M101" s="6">
        <v>88.06</v>
      </c>
      <c r="N101" s="6">
        <v>2.1</v>
      </c>
      <c r="O101" s="6">
        <v>0</v>
      </c>
      <c r="P101" s="6">
        <v>0.42</v>
      </c>
      <c r="Q101" s="6">
        <v>3.91</v>
      </c>
    </row>
    <row r="102" spans="1:22" customFormat="1">
      <c r="A102" s="82">
        <v>45465.979166666664</v>
      </c>
      <c r="B102" s="6">
        <v>9.3000000000000007</v>
      </c>
      <c r="C102" s="6">
        <v>4.08</v>
      </c>
      <c r="D102" s="6">
        <v>14.04</v>
      </c>
      <c r="E102" s="6">
        <v>10.81</v>
      </c>
      <c r="F102" s="6">
        <v>8.9499999999999993</v>
      </c>
      <c r="G102" s="6">
        <v>23.13</v>
      </c>
      <c r="H102" s="6">
        <v>10.35</v>
      </c>
      <c r="I102" s="6">
        <v>4.37</v>
      </c>
      <c r="J102" s="6">
        <v>0.13</v>
      </c>
      <c r="K102" s="6">
        <v>175.9</v>
      </c>
      <c r="L102" s="6">
        <v>27.96</v>
      </c>
      <c r="M102" s="6">
        <v>88.79</v>
      </c>
      <c r="N102" s="6">
        <v>2.1</v>
      </c>
      <c r="O102" s="6">
        <v>0</v>
      </c>
      <c r="P102" s="6">
        <v>0.41</v>
      </c>
      <c r="Q102" s="6">
        <v>3.93</v>
      </c>
    </row>
    <row r="103" spans="1:22" customFormat="1">
      <c r="A103" s="82">
        <v>45465.989583333336</v>
      </c>
      <c r="B103" s="6">
        <v>9.2899999999999991</v>
      </c>
      <c r="C103" s="6">
        <v>4.07</v>
      </c>
      <c r="D103" s="6">
        <v>14.03</v>
      </c>
      <c r="E103" s="6">
        <v>10.9</v>
      </c>
      <c r="F103" s="6">
        <v>10.53</v>
      </c>
      <c r="G103" s="6">
        <v>23.13</v>
      </c>
      <c r="H103" s="6">
        <v>10.35</v>
      </c>
      <c r="I103" s="6">
        <v>4.3099999999999996</v>
      </c>
      <c r="J103" s="6">
        <v>7.0000000000000007E-2</v>
      </c>
      <c r="K103" s="6">
        <v>217.13</v>
      </c>
      <c r="L103" s="6">
        <v>27.72</v>
      </c>
      <c r="M103" s="6">
        <v>90.75</v>
      </c>
      <c r="N103" s="6">
        <v>2.1</v>
      </c>
      <c r="O103" s="6">
        <v>0</v>
      </c>
      <c r="P103" s="6">
        <v>0.4</v>
      </c>
      <c r="Q103" s="6">
        <v>3.9</v>
      </c>
    </row>
    <row r="104" spans="1:22" customFormat="1">
      <c r="A104" s="82">
        <v>45466</v>
      </c>
      <c r="B104" s="6">
        <v>9.2799999999999994</v>
      </c>
      <c r="C104" s="6">
        <v>4.0999999999999996</v>
      </c>
      <c r="D104" s="6">
        <v>14.03</v>
      </c>
      <c r="E104" s="6">
        <v>10.81</v>
      </c>
      <c r="F104" s="6">
        <v>15.43</v>
      </c>
      <c r="G104" s="6">
        <v>23.55</v>
      </c>
      <c r="H104" s="6">
        <v>9.01</v>
      </c>
      <c r="I104" s="6">
        <v>4.33</v>
      </c>
      <c r="J104" s="6">
        <v>0.11</v>
      </c>
      <c r="K104" s="6">
        <v>234.28</v>
      </c>
      <c r="L104" s="6">
        <v>27.82</v>
      </c>
      <c r="M104" s="6">
        <v>90.98</v>
      </c>
      <c r="N104" s="6">
        <v>2.1</v>
      </c>
      <c r="O104" s="6">
        <v>0</v>
      </c>
      <c r="P104" s="6">
        <v>0.38</v>
      </c>
      <c r="Q104" s="6">
        <v>3.9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9.2100000000000009</v>
      </c>
      <c r="C106" s="184">
        <f>MIN(C9:C104)</f>
        <v>4.03</v>
      </c>
      <c r="D106" s="184">
        <f t="shared" ref="D106:Q106" si="0">MIN(D9:D104)</f>
        <v>13.94</v>
      </c>
      <c r="E106" s="184">
        <f t="shared" si="0"/>
        <v>7.14</v>
      </c>
      <c r="F106" s="184">
        <f t="shared" si="0"/>
        <v>3.9</v>
      </c>
      <c r="G106" s="184">
        <f t="shared" si="0"/>
        <v>3.91</v>
      </c>
      <c r="H106" s="184">
        <f t="shared" si="0"/>
        <v>1.53</v>
      </c>
      <c r="I106" s="184">
        <f t="shared" si="0"/>
        <v>2.89</v>
      </c>
      <c r="J106" s="184">
        <f t="shared" si="0"/>
        <v>0.06</v>
      </c>
      <c r="K106" s="184">
        <f t="shared" si="0"/>
        <v>155.08000000000001</v>
      </c>
      <c r="L106" s="184">
        <f t="shared" si="0"/>
        <v>24.36</v>
      </c>
      <c r="M106" s="184">
        <f t="shared" si="0"/>
        <v>72.67</v>
      </c>
      <c r="N106" s="184">
        <f t="shared" si="0"/>
        <v>1.7</v>
      </c>
      <c r="O106" s="184">
        <f t="shared" si="0"/>
        <v>0</v>
      </c>
      <c r="P106" s="184">
        <f t="shared" si="0"/>
        <v>0.25</v>
      </c>
      <c r="Q106" s="184">
        <f t="shared" si="0"/>
        <v>3.87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9.41</v>
      </c>
      <c r="C107" s="185">
        <f t="shared" ref="C107:Q107" si="1">MAX(C9:C104)</f>
        <v>4.1100000000000003</v>
      </c>
      <c r="D107" s="185">
        <f t="shared" si="1"/>
        <v>14.12</v>
      </c>
      <c r="E107" s="185">
        <f t="shared" si="1"/>
        <v>13</v>
      </c>
      <c r="F107" s="185">
        <f t="shared" si="1"/>
        <v>44.82</v>
      </c>
      <c r="G107" s="185">
        <f t="shared" si="1"/>
        <v>25.5</v>
      </c>
      <c r="H107" s="185">
        <f t="shared" si="1"/>
        <v>10.35</v>
      </c>
      <c r="I107" s="185">
        <f t="shared" si="1"/>
        <v>5.04</v>
      </c>
      <c r="J107" s="185">
        <f t="shared" si="1"/>
        <v>1.1200000000000001</v>
      </c>
      <c r="K107" s="185">
        <f t="shared" si="1"/>
        <v>295.45999999999998</v>
      </c>
      <c r="L107" s="185">
        <f t="shared" si="1"/>
        <v>31.74</v>
      </c>
      <c r="M107" s="185">
        <f t="shared" si="1"/>
        <v>104.03</v>
      </c>
      <c r="N107" s="185">
        <f t="shared" si="1"/>
        <v>735.8</v>
      </c>
      <c r="O107" s="185">
        <f t="shared" si="1"/>
        <v>0.2</v>
      </c>
      <c r="P107" s="185">
        <f t="shared" si="1"/>
        <v>0.53</v>
      </c>
      <c r="Q107" s="185">
        <f t="shared" si="1"/>
        <v>3.95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9.2815624999999891</v>
      </c>
      <c r="C108" s="184">
        <f t="shared" ref="C108:Q108" si="2">AVERAGE(C9:C104)</f>
        <v>4.0730208333333326</v>
      </c>
      <c r="D108" s="184">
        <f t="shared" si="2"/>
        <v>14.02062499999999</v>
      </c>
      <c r="E108" s="184">
        <f t="shared" si="2"/>
        <v>9.5151041666666618</v>
      </c>
      <c r="F108" s="184">
        <f t="shared" si="2"/>
        <v>12.846354166666671</v>
      </c>
      <c r="G108" s="184">
        <f t="shared" si="2"/>
        <v>14.339166666666676</v>
      </c>
      <c r="H108" s="184">
        <f t="shared" si="2"/>
        <v>6.1137499999999987</v>
      </c>
      <c r="I108" s="184">
        <f t="shared" si="2"/>
        <v>3.9716666666666658</v>
      </c>
      <c r="J108" s="184">
        <f t="shared" si="2"/>
        <v>0.33937499999999993</v>
      </c>
      <c r="K108" s="184">
        <f t="shared" si="2"/>
        <v>234.04989583333338</v>
      </c>
      <c r="L108" s="184">
        <f t="shared" si="2"/>
        <v>27.722708333333333</v>
      </c>
      <c r="M108" s="184">
        <f t="shared" si="2"/>
        <v>88.94</v>
      </c>
      <c r="N108" s="184">
        <f t="shared" si="2"/>
        <v>112.29687500000006</v>
      </c>
      <c r="O108" s="184">
        <f t="shared" si="2"/>
        <v>4.1666666666666666E-3</v>
      </c>
      <c r="P108" s="184">
        <f t="shared" si="2"/>
        <v>0.39083333333333342</v>
      </c>
      <c r="Q108" s="184">
        <f t="shared" si="2"/>
        <v>3.9073958333333323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3.5727863960190676E-2</v>
      </c>
      <c r="C109" s="184">
        <f t="shared" ref="C109:Q109" si="3">STDEV(C9:C104)</f>
        <v>1.7836673732076872E-2</v>
      </c>
      <c r="D109" s="184">
        <f t="shared" si="3"/>
        <v>3.1483078161550673E-2</v>
      </c>
      <c r="E109" s="184">
        <f t="shared" si="3"/>
        <v>1.329046349666376</v>
      </c>
      <c r="F109" s="184">
        <f t="shared" si="3"/>
        <v>9.2190175432482597</v>
      </c>
      <c r="G109" s="184">
        <f t="shared" si="3"/>
        <v>6.785666420619977</v>
      </c>
      <c r="H109" s="184">
        <f t="shared" si="3"/>
        <v>2.7755413886303368</v>
      </c>
      <c r="I109" s="184">
        <f t="shared" si="3"/>
        <v>0.61126386182395642</v>
      </c>
      <c r="J109" s="184">
        <f t="shared" si="3"/>
        <v>0.23467698965532241</v>
      </c>
      <c r="K109" s="184">
        <f t="shared" si="3"/>
        <v>31.912202994920932</v>
      </c>
      <c r="L109" s="184">
        <f t="shared" si="3"/>
        <v>2.2982389043359723</v>
      </c>
      <c r="M109" s="184">
        <f t="shared" si="3"/>
        <v>9.4978233517504727</v>
      </c>
      <c r="N109" s="184">
        <f t="shared" si="3"/>
        <v>148.80548621261809</v>
      </c>
      <c r="O109" s="184">
        <f t="shared" si="3"/>
        <v>2.8715177232759195E-2</v>
      </c>
      <c r="P109" s="184">
        <f t="shared" si="3"/>
        <v>6.4736984738110626E-2</v>
      </c>
      <c r="Q109" s="184">
        <f t="shared" si="3"/>
        <v>1.6042364418637003E-2</v>
      </c>
      <c r="R109" s="188"/>
      <c r="S109" s="188"/>
      <c r="T109" s="188"/>
      <c r="U109" s="188"/>
    </row>
    <row r="110" spans="1:22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12" activePane="bottomRight" state="frozen"/>
      <selection activeCell="A9" sqref="A9"/>
      <selection pane="topRight" activeCell="A9" sqref="A9"/>
      <selection pane="bottomLeft" activeCell="A9" sqref="A9"/>
      <selection pane="bottomRight" activeCell="A9" sqref="A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23/06/2024 00:15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94" t="s">
        <v>39</v>
      </c>
      <c r="C8" s="194" t="s">
        <v>39</v>
      </c>
      <c r="D8" s="194" t="s">
        <v>40</v>
      </c>
      <c r="E8" s="194" t="s">
        <v>39</v>
      </c>
      <c r="F8" s="194" t="s">
        <v>39</v>
      </c>
      <c r="G8" s="194" t="s">
        <v>39</v>
      </c>
      <c r="H8" s="194" t="s">
        <v>39</v>
      </c>
      <c r="I8" s="194" t="s">
        <v>39</v>
      </c>
      <c r="J8" s="194" t="s">
        <v>41</v>
      </c>
      <c r="K8" s="194" t="s">
        <v>42</v>
      </c>
      <c r="L8" s="195" t="s">
        <v>43</v>
      </c>
      <c r="M8" s="194" t="s">
        <v>44</v>
      </c>
      <c r="N8" s="194" t="s">
        <v>45</v>
      </c>
      <c r="O8" s="195" t="s">
        <v>46</v>
      </c>
      <c r="P8" s="194" t="s">
        <v>47</v>
      </c>
      <c r="Q8" s="194" t="s">
        <v>39</v>
      </c>
      <c r="R8" s="174"/>
      <c r="S8" s="175"/>
      <c r="T8" s="174"/>
      <c r="U8" s="174"/>
    </row>
    <row r="9" spans="1:21" customFormat="1">
      <c r="A9" s="196" t="s">
        <v>239</v>
      </c>
      <c r="B9" s="112">
        <v>9.26</v>
      </c>
      <c r="C9" s="112">
        <v>4.0599999999999996</v>
      </c>
      <c r="D9" s="112">
        <v>13.99</v>
      </c>
      <c r="E9" s="112">
        <v>10.61</v>
      </c>
      <c r="F9" s="112">
        <v>17.68</v>
      </c>
      <c r="G9" s="112">
        <v>23.95</v>
      </c>
      <c r="H9" s="112">
        <v>8.3800000000000008</v>
      </c>
      <c r="I9" s="112">
        <v>3.92</v>
      </c>
      <c r="J9" s="112">
        <v>0.13</v>
      </c>
      <c r="K9" s="112">
        <v>165.73</v>
      </c>
      <c r="L9" s="112">
        <v>27.69</v>
      </c>
      <c r="M9" s="112">
        <v>91.36</v>
      </c>
      <c r="N9" s="112">
        <v>2.1</v>
      </c>
      <c r="O9" s="112">
        <v>0</v>
      </c>
      <c r="P9" s="112">
        <v>0.36</v>
      </c>
      <c r="Q9" s="112">
        <v>3.89</v>
      </c>
      <c r="R9" s="6"/>
      <c r="S9" s="6"/>
      <c r="T9" s="182"/>
      <c r="U9" s="6"/>
    </row>
    <row r="10" spans="1:21" customFormat="1">
      <c r="A10" s="196" t="s">
        <v>240</v>
      </c>
      <c r="B10" s="112">
        <v>9.24</v>
      </c>
      <c r="C10" s="112">
        <v>4.05</v>
      </c>
      <c r="D10" s="112">
        <v>13.98</v>
      </c>
      <c r="E10" s="112">
        <v>10.24</v>
      </c>
      <c r="F10" s="112">
        <v>18.46</v>
      </c>
      <c r="G10" s="112">
        <v>23.95</v>
      </c>
      <c r="H10" s="112">
        <v>8.3800000000000008</v>
      </c>
      <c r="I10" s="112">
        <v>3.64</v>
      </c>
      <c r="J10" s="112">
        <v>0.12</v>
      </c>
      <c r="K10" s="112">
        <v>188.52</v>
      </c>
      <c r="L10" s="112">
        <v>27.77</v>
      </c>
      <c r="M10" s="112">
        <v>91.15</v>
      </c>
      <c r="N10" s="112">
        <v>2.1</v>
      </c>
      <c r="O10" s="112">
        <v>0</v>
      </c>
      <c r="P10" s="112">
        <v>0.35</v>
      </c>
      <c r="Q10" s="112">
        <v>3.9</v>
      </c>
      <c r="R10" s="6"/>
      <c r="S10" s="6"/>
      <c r="T10" s="182"/>
      <c r="U10" s="6"/>
    </row>
    <row r="11" spans="1:21" customFormat="1">
      <c r="A11" s="196" t="s">
        <v>241</v>
      </c>
      <c r="B11" s="112">
        <v>9.26</v>
      </c>
      <c r="C11" s="112">
        <v>4.08</v>
      </c>
      <c r="D11" s="112">
        <v>14.01</v>
      </c>
      <c r="E11" s="112">
        <v>10.039999999999999</v>
      </c>
      <c r="F11" s="112">
        <v>19.420000000000002</v>
      </c>
      <c r="G11" s="112">
        <v>23.95</v>
      </c>
      <c r="H11" s="112">
        <v>8.3800000000000008</v>
      </c>
      <c r="I11" s="112">
        <v>3.54</v>
      </c>
      <c r="J11" s="112">
        <v>0.19</v>
      </c>
      <c r="K11" s="112">
        <v>253.77</v>
      </c>
      <c r="L11" s="112">
        <v>27.56</v>
      </c>
      <c r="M11" s="112">
        <v>92.46</v>
      </c>
      <c r="N11" s="112">
        <v>2.1</v>
      </c>
      <c r="O11" s="112">
        <v>0</v>
      </c>
      <c r="P11" s="112">
        <v>0.31</v>
      </c>
      <c r="Q11" s="112">
        <v>3.92</v>
      </c>
      <c r="R11" s="6"/>
      <c r="S11" s="6"/>
      <c r="T11" s="182"/>
      <c r="U11" s="6"/>
    </row>
    <row r="12" spans="1:21" customFormat="1">
      <c r="A12" s="196" t="s">
        <v>242</v>
      </c>
      <c r="B12" s="112">
        <v>9.27</v>
      </c>
      <c r="C12" s="112">
        <v>4.09</v>
      </c>
      <c r="D12" s="112">
        <v>14.02</v>
      </c>
      <c r="E12" s="112">
        <v>9.94</v>
      </c>
      <c r="F12" s="112">
        <v>23.08</v>
      </c>
      <c r="G12" s="112">
        <v>21.72</v>
      </c>
      <c r="H12" s="112">
        <v>9.68</v>
      </c>
      <c r="I12" s="112">
        <v>3.45</v>
      </c>
      <c r="J12" s="112">
        <v>0.21</v>
      </c>
      <c r="K12" s="112">
        <v>254.49</v>
      </c>
      <c r="L12" s="112">
        <v>27.66</v>
      </c>
      <c r="M12" s="112">
        <v>91.55</v>
      </c>
      <c r="N12" s="112">
        <v>2.1</v>
      </c>
      <c r="O12" s="112">
        <v>0</v>
      </c>
      <c r="P12" s="112">
        <v>0.28999999999999998</v>
      </c>
      <c r="Q12" s="112">
        <v>3.91</v>
      </c>
      <c r="R12" s="6"/>
      <c r="S12" s="6"/>
      <c r="T12" s="182"/>
      <c r="U12" s="6"/>
    </row>
    <row r="13" spans="1:21" customFormat="1">
      <c r="A13" s="196" t="s">
        <v>243</v>
      </c>
      <c r="B13" s="112">
        <v>9.2899999999999991</v>
      </c>
      <c r="C13" s="112">
        <v>4.0999999999999996</v>
      </c>
      <c r="D13" s="112">
        <v>14.04</v>
      </c>
      <c r="E13" s="112">
        <v>10.16</v>
      </c>
      <c r="F13" s="112">
        <v>23.84</v>
      </c>
      <c r="G13" s="112">
        <v>19.579999999999998</v>
      </c>
      <c r="H13" s="112">
        <v>10.29</v>
      </c>
      <c r="I13" s="112">
        <v>3.29</v>
      </c>
      <c r="J13" s="112">
        <v>0.17</v>
      </c>
      <c r="K13" s="112">
        <v>231.03</v>
      </c>
      <c r="L13" s="112">
        <v>27.63</v>
      </c>
      <c r="M13" s="112">
        <v>92.1</v>
      </c>
      <c r="N13" s="112">
        <v>2.1</v>
      </c>
      <c r="O13" s="112">
        <v>0</v>
      </c>
      <c r="P13" s="112">
        <v>0.26</v>
      </c>
      <c r="Q13" s="112">
        <v>3.93</v>
      </c>
      <c r="R13" s="6"/>
      <c r="S13" s="6"/>
      <c r="T13" s="182"/>
      <c r="U13" s="6"/>
    </row>
    <row r="14" spans="1:21" customFormat="1">
      <c r="A14" s="196" t="s">
        <v>244</v>
      </c>
      <c r="B14" s="112">
        <v>9.2899999999999991</v>
      </c>
      <c r="C14" s="112">
        <v>4.0599999999999996</v>
      </c>
      <c r="D14" s="112">
        <v>14.02</v>
      </c>
      <c r="E14" s="112">
        <v>10.1</v>
      </c>
      <c r="F14" s="112">
        <v>23.42</v>
      </c>
      <c r="G14" s="112">
        <v>19.579999999999998</v>
      </c>
      <c r="H14" s="112">
        <v>10.29</v>
      </c>
      <c r="I14" s="112">
        <v>3.08</v>
      </c>
      <c r="J14" s="112">
        <v>0.19</v>
      </c>
      <c r="K14" s="112">
        <v>237.42</v>
      </c>
      <c r="L14" s="112">
        <v>27.56</v>
      </c>
      <c r="M14" s="112">
        <v>92.11</v>
      </c>
      <c r="N14" s="112">
        <v>2.1</v>
      </c>
      <c r="O14" s="112">
        <v>0</v>
      </c>
      <c r="P14" s="112">
        <v>0.25</v>
      </c>
      <c r="Q14" s="112">
        <v>3.94</v>
      </c>
      <c r="R14" s="6"/>
      <c r="S14" s="6"/>
      <c r="T14" s="182"/>
      <c r="U14" s="6"/>
    </row>
    <row r="15" spans="1:21" customFormat="1">
      <c r="A15" s="196" t="s">
        <v>245</v>
      </c>
      <c r="B15" s="112">
        <v>9.31</v>
      </c>
      <c r="C15" s="112">
        <v>4.08</v>
      </c>
      <c r="D15" s="112">
        <v>14.04</v>
      </c>
      <c r="E15" s="112">
        <v>9.69</v>
      </c>
      <c r="F15" s="112">
        <v>21.77</v>
      </c>
      <c r="G15" s="112">
        <v>19.579999999999998</v>
      </c>
      <c r="H15" s="112">
        <v>10.29</v>
      </c>
      <c r="I15" s="112">
        <v>3.03</v>
      </c>
      <c r="J15" s="112">
        <v>0.17</v>
      </c>
      <c r="K15" s="112">
        <v>225.97</v>
      </c>
      <c r="L15" s="112">
        <v>27.59</v>
      </c>
      <c r="M15" s="112">
        <v>91.43</v>
      </c>
      <c r="N15" s="112">
        <v>2.1</v>
      </c>
      <c r="O15" s="112">
        <v>0</v>
      </c>
      <c r="P15" s="112">
        <v>0.25</v>
      </c>
      <c r="Q15" s="112">
        <v>3.94</v>
      </c>
      <c r="R15" s="6"/>
      <c r="S15" s="6"/>
      <c r="T15" s="182"/>
      <c r="U15" s="6"/>
    </row>
    <row r="16" spans="1:21" customFormat="1">
      <c r="A16" s="196" t="s">
        <v>246</v>
      </c>
      <c r="B16" s="112">
        <v>9.32</v>
      </c>
      <c r="C16" s="112">
        <v>4.05</v>
      </c>
      <c r="D16" s="112">
        <v>14.05</v>
      </c>
      <c r="E16" s="112">
        <v>8.75</v>
      </c>
      <c r="F16" s="112">
        <v>25.17</v>
      </c>
      <c r="G16" s="112">
        <v>18.829999999999998</v>
      </c>
      <c r="H16" s="112">
        <v>10.199999999999999</v>
      </c>
      <c r="I16" s="112">
        <v>2.91</v>
      </c>
      <c r="J16" s="112">
        <v>0.15</v>
      </c>
      <c r="K16" s="112">
        <v>248.72</v>
      </c>
      <c r="L16" s="112">
        <v>27.4</v>
      </c>
      <c r="M16" s="112">
        <v>92.09</v>
      </c>
      <c r="N16" s="112">
        <v>2.1</v>
      </c>
      <c r="O16" s="112">
        <v>0</v>
      </c>
      <c r="P16" s="112">
        <v>0.22</v>
      </c>
      <c r="Q16" s="112">
        <v>3.93</v>
      </c>
      <c r="R16" s="6"/>
      <c r="S16" s="6"/>
      <c r="T16" s="182"/>
      <c r="U16" s="6"/>
    </row>
    <row r="17" spans="1:21" customFormat="1">
      <c r="A17" s="196" t="s">
        <v>247</v>
      </c>
      <c r="B17" s="112">
        <v>9.32</v>
      </c>
      <c r="C17" s="112">
        <v>4.08</v>
      </c>
      <c r="D17" s="112">
        <v>14.06</v>
      </c>
      <c r="E17" s="112">
        <v>6.49</v>
      </c>
      <c r="F17" s="112">
        <v>20.23</v>
      </c>
      <c r="G17" s="112">
        <v>18.11</v>
      </c>
      <c r="H17" s="112">
        <v>10.11</v>
      </c>
      <c r="I17" s="112">
        <v>2.95</v>
      </c>
      <c r="J17" s="112">
        <v>0.11</v>
      </c>
      <c r="K17" s="112">
        <v>194.3</v>
      </c>
      <c r="L17" s="112">
        <v>27.38</v>
      </c>
      <c r="M17" s="112">
        <v>92.51</v>
      </c>
      <c r="N17" s="112">
        <v>2.1</v>
      </c>
      <c r="O17" s="112">
        <v>0</v>
      </c>
      <c r="P17" s="112">
        <v>0.22</v>
      </c>
      <c r="Q17" s="112">
        <v>3.92</v>
      </c>
      <c r="R17" s="6"/>
      <c r="S17" s="6"/>
      <c r="T17" s="182"/>
      <c r="U17" s="6"/>
    </row>
    <row r="18" spans="1:21" customFormat="1">
      <c r="A18" s="196" t="s">
        <v>248</v>
      </c>
      <c r="B18" s="112">
        <v>9.31</v>
      </c>
      <c r="C18" s="112">
        <v>4.0599999999999996</v>
      </c>
      <c r="D18" s="112">
        <v>14.03</v>
      </c>
      <c r="E18" s="112">
        <v>8</v>
      </c>
      <c r="F18" s="112">
        <v>21.2</v>
      </c>
      <c r="G18" s="112">
        <v>18.11</v>
      </c>
      <c r="H18" s="112">
        <v>10.11</v>
      </c>
      <c r="I18" s="112">
        <v>2.5099999999999998</v>
      </c>
      <c r="J18" s="112">
        <v>0.15</v>
      </c>
      <c r="K18" s="112">
        <v>220.17</v>
      </c>
      <c r="L18" s="112">
        <v>27.22</v>
      </c>
      <c r="M18" s="112">
        <v>93.19</v>
      </c>
      <c r="N18" s="112">
        <v>2.1</v>
      </c>
      <c r="O18" s="112">
        <v>0</v>
      </c>
      <c r="P18" s="112">
        <v>0.23</v>
      </c>
      <c r="Q18" s="112">
        <v>3.91</v>
      </c>
      <c r="R18" s="6"/>
      <c r="S18" s="6"/>
      <c r="T18" s="182"/>
      <c r="U18" s="6"/>
    </row>
    <row r="19" spans="1:21" customFormat="1">
      <c r="A19" s="196" t="s">
        <v>249</v>
      </c>
      <c r="B19" s="112">
        <v>9.2899999999999991</v>
      </c>
      <c r="C19" s="112">
        <v>4.08</v>
      </c>
      <c r="D19" s="112">
        <v>14.03</v>
      </c>
      <c r="E19" s="112">
        <v>8.64</v>
      </c>
      <c r="F19" s="112">
        <v>19.93</v>
      </c>
      <c r="G19" s="112">
        <v>18.11</v>
      </c>
      <c r="H19" s="112">
        <v>10.11</v>
      </c>
      <c r="I19" s="112">
        <v>2.74</v>
      </c>
      <c r="J19" s="112">
        <v>0.16</v>
      </c>
      <c r="K19" s="112">
        <v>216.8</v>
      </c>
      <c r="L19" s="112">
        <v>27.29</v>
      </c>
      <c r="M19" s="112">
        <v>92.11</v>
      </c>
      <c r="N19" s="112">
        <v>2</v>
      </c>
      <c r="O19" s="112">
        <v>0</v>
      </c>
      <c r="P19" s="112">
        <v>0.24</v>
      </c>
      <c r="Q19" s="112">
        <v>3.93</v>
      </c>
      <c r="R19" s="6"/>
      <c r="S19" s="6"/>
      <c r="T19" s="182"/>
      <c r="U19" s="6"/>
    </row>
    <row r="20" spans="1:21" customFormat="1">
      <c r="A20" s="196" t="s">
        <v>250</v>
      </c>
      <c r="B20" s="112">
        <v>9.2899999999999991</v>
      </c>
      <c r="C20" s="112">
        <v>4.07</v>
      </c>
      <c r="D20" s="112">
        <v>14.02</v>
      </c>
      <c r="E20" s="112">
        <v>7.93</v>
      </c>
      <c r="F20" s="112">
        <v>20.96</v>
      </c>
      <c r="G20" s="112">
        <v>17.07</v>
      </c>
      <c r="H20" s="112">
        <v>8.48</v>
      </c>
      <c r="I20" s="112">
        <v>2.68</v>
      </c>
      <c r="J20" s="112">
        <v>0.11</v>
      </c>
      <c r="K20" s="112">
        <v>207.17</v>
      </c>
      <c r="L20" s="112">
        <v>27.13</v>
      </c>
      <c r="M20" s="112">
        <v>93.17</v>
      </c>
      <c r="N20" s="112">
        <v>2.1</v>
      </c>
      <c r="O20" s="112">
        <v>0</v>
      </c>
      <c r="P20" s="112">
        <v>0.24</v>
      </c>
      <c r="Q20" s="112">
        <v>3.95</v>
      </c>
      <c r="R20" s="6"/>
      <c r="S20" s="6"/>
      <c r="T20" s="182"/>
      <c r="U20" s="6"/>
    </row>
    <row r="21" spans="1:21" customFormat="1">
      <c r="A21" s="196" t="s">
        <v>251</v>
      </c>
      <c r="B21" s="112">
        <v>9.2899999999999991</v>
      </c>
      <c r="C21" s="112">
        <v>4.08</v>
      </c>
      <c r="D21" s="112">
        <v>14.03</v>
      </c>
      <c r="E21" s="112">
        <v>8.48</v>
      </c>
      <c r="F21" s="112">
        <v>19.670000000000002</v>
      </c>
      <c r="G21" s="112">
        <v>16.07</v>
      </c>
      <c r="H21" s="112">
        <v>7.71</v>
      </c>
      <c r="I21" s="112">
        <v>2.8</v>
      </c>
      <c r="J21" s="112">
        <v>0.13</v>
      </c>
      <c r="K21" s="112">
        <v>201.79</v>
      </c>
      <c r="L21" s="112">
        <v>27.21</v>
      </c>
      <c r="M21" s="112">
        <v>92.53</v>
      </c>
      <c r="N21" s="112">
        <v>2</v>
      </c>
      <c r="O21" s="112">
        <v>0</v>
      </c>
      <c r="P21" s="112">
        <v>0.23</v>
      </c>
      <c r="Q21" s="112">
        <v>3.93</v>
      </c>
      <c r="R21" s="6"/>
      <c r="S21" s="6"/>
      <c r="T21" s="182"/>
      <c r="U21" s="6"/>
    </row>
    <row r="22" spans="1:21" customFormat="1">
      <c r="A22" s="196" t="s">
        <v>252</v>
      </c>
      <c r="B22" s="112">
        <v>9.2899999999999991</v>
      </c>
      <c r="C22" s="112">
        <v>4.1100000000000003</v>
      </c>
      <c r="D22" s="112">
        <v>14.05</v>
      </c>
      <c r="E22" s="112">
        <v>8.25</v>
      </c>
      <c r="F22" s="112">
        <v>19.12</v>
      </c>
      <c r="G22" s="112">
        <v>16.07</v>
      </c>
      <c r="H22" s="112">
        <v>7.71</v>
      </c>
      <c r="I22" s="112">
        <v>2.6</v>
      </c>
      <c r="J22" s="112">
        <v>0.12</v>
      </c>
      <c r="K22" s="112">
        <v>190.84</v>
      </c>
      <c r="L22" s="112">
        <v>27.1</v>
      </c>
      <c r="M22" s="112">
        <v>93.28</v>
      </c>
      <c r="N22" s="112">
        <v>2.1</v>
      </c>
      <c r="O22" s="112">
        <v>0</v>
      </c>
      <c r="P22" s="112">
        <v>0.23</v>
      </c>
      <c r="Q22" s="112">
        <v>3.9</v>
      </c>
      <c r="R22" s="6"/>
      <c r="S22" s="6"/>
      <c r="T22" s="182"/>
      <c r="U22" s="6"/>
    </row>
    <row r="23" spans="1:21" customFormat="1">
      <c r="A23" s="196" t="s">
        <v>253</v>
      </c>
      <c r="B23" s="112">
        <v>9.3000000000000007</v>
      </c>
      <c r="C23" s="112">
        <v>4.09</v>
      </c>
      <c r="D23" s="112">
        <v>14.05</v>
      </c>
      <c r="E23" s="112">
        <v>8.18</v>
      </c>
      <c r="F23" s="112">
        <v>17.149999999999999</v>
      </c>
      <c r="G23" s="112">
        <v>16.07</v>
      </c>
      <c r="H23" s="112">
        <v>7.71</v>
      </c>
      <c r="I23" s="112">
        <v>2.67</v>
      </c>
      <c r="J23" s="112">
        <v>0.09</v>
      </c>
      <c r="K23" s="112">
        <v>228.28</v>
      </c>
      <c r="L23" s="112">
        <v>27.04</v>
      </c>
      <c r="M23" s="112">
        <v>92.53</v>
      </c>
      <c r="N23" s="112">
        <v>2.1</v>
      </c>
      <c r="O23" s="112">
        <v>0</v>
      </c>
      <c r="P23" s="112">
        <v>0.22</v>
      </c>
      <c r="Q23" s="112">
        <v>3.93</v>
      </c>
      <c r="R23" s="6"/>
      <c r="S23" s="6"/>
      <c r="T23" s="182"/>
      <c r="U23" s="6"/>
    </row>
    <row r="24" spans="1:21" customFormat="1">
      <c r="A24" s="196" t="s">
        <v>254</v>
      </c>
      <c r="B24" s="112">
        <v>9.3000000000000007</v>
      </c>
      <c r="C24" s="112">
        <v>4.07</v>
      </c>
      <c r="D24" s="112">
        <v>14.04</v>
      </c>
      <c r="E24" s="112">
        <v>7.89</v>
      </c>
      <c r="F24" s="112">
        <v>18.04</v>
      </c>
      <c r="G24" s="112">
        <v>13.97</v>
      </c>
      <c r="H24" s="112">
        <v>7.76</v>
      </c>
      <c r="I24" s="112">
        <v>2.6</v>
      </c>
      <c r="J24" s="112">
        <v>0.09</v>
      </c>
      <c r="K24" s="112">
        <v>172.62</v>
      </c>
      <c r="L24" s="112">
        <v>27.1</v>
      </c>
      <c r="M24" s="112">
        <v>92.7</v>
      </c>
      <c r="N24" s="112">
        <v>2.1</v>
      </c>
      <c r="O24" s="112">
        <v>0</v>
      </c>
      <c r="P24" s="112">
        <v>0.23</v>
      </c>
      <c r="Q24" s="112">
        <v>3.93</v>
      </c>
      <c r="R24" s="6"/>
      <c r="S24" s="6"/>
      <c r="T24" s="182"/>
      <c r="U24" s="6"/>
    </row>
    <row r="25" spans="1:21" customFormat="1">
      <c r="A25" s="196" t="s">
        <v>255</v>
      </c>
      <c r="B25" s="112">
        <v>9.2899999999999991</v>
      </c>
      <c r="C25" s="112">
        <v>4.07</v>
      </c>
      <c r="D25" s="112">
        <v>14.02</v>
      </c>
      <c r="E25" s="112">
        <v>8.8000000000000007</v>
      </c>
      <c r="F25" s="112">
        <v>8.1300000000000008</v>
      </c>
      <c r="G25" s="112">
        <v>12.04</v>
      </c>
      <c r="H25" s="112">
        <v>7.79</v>
      </c>
      <c r="I25" s="112">
        <v>2.82</v>
      </c>
      <c r="J25" s="112">
        <v>7.0000000000000007E-2</v>
      </c>
      <c r="K25" s="112">
        <v>217.98</v>
      </c>
      <c r="L25" s="112">
        <v>27.09</v>
      </c>
      <c r="M25" s="112">
        <v>92.06</v>
      </c>
      <c r="N25" s="112">
        <v>2.1</v>
      </c>
      <c r="O25" s="112">
        <v>0</v>
      </c>
      <c r="P25" s="112">
        <v>0.25</v>
      </c>
      <c r="Q25" s="112">
        <v>3.91</v>
      </c>
      <c r="R25" s="6"/>
      <c r="S25" s="6"/>
      <c r="T25" s="182"/>
      <c r="U25" s="6"/>
    </row>
    <row r="26" spans="1:21" customFormat="1">
      <c r="A26" s="196" t="s">
        <v>256</v>
      </c>
      <c r="B26" s="112">
        <v>9.31</v>
      </c>
      <c r="C26" s="112">
        <v>4.07</v>
      </c>
      <c r="D26" s="112">
        <v>14.04</v>
      </c>
      <c r="E26" s="112">
        <v>8.93</v>
      </c>
      <c r="F26" s="112">
        <v>7.74</v>
      </c>
      <c r="G26" s="112">
        <v>12.04</v>
      </c>
      <c r="H26" s="112">
        <v>7.79</v>
      </c>
      <c r="I26" s="112">
        <v>2.95</v>
      </c>
      <c r="J26" s="112">
        <v>0.11</v>
      </c>
      <c r="K26" s="112">
        <v>204.94</v>
      </c>
      <c r="L26" s="112">
        <v>27.06</v>
      </c>
      <c r="M26" s="112">
        <v>92.62</v>
      </c>
      <c r="N26" s="112">
        <v>2.1</v>
      </c>
      <c r="O26" s="112">
        <v>0</v>
      </c>
      <c r="P26" s="112">
        <v>0.28999999999999998</v>
      </c>
      <c r="Q26" s="112">
        <v>3.89</v>
      </c>
      <c r="R26" s="6"/>
      <c r="S26" s="6"/>
      <c r="T26" s="182"/>
      <c r="U26" s="6"/>
    </row>
    <row r="27" spans="1:21" customFormat="1">
      <c r="A27" s="196" t="s">
        <v>257</v>
      </c>
      <c r="B27" s="112">
        <v>9.3000000000000007</v>
      </c>
      <c r="C27" s="112">
        <v>4.09</v>
      </c>
      <c r="D27" s="112">
        <v>14.04</v>
      </c>
      <c r="E27" s="112">
        <v>8.52</v>
      </c>
      <c r="F27" s="112">
        <v>8.7899999999999991</v>
      </c>
      <c r="G27" s="112">
        <v>12.04</v>
      </c>
      <c r="H27" s="112">
        <v>7.79</v>
      </c>
      <c r="I27" s="112">
        <v>3.5</v>
      </c>
      <c r="J27" s="112">
        <v>0.06</v>
      </c>
      <c r="K27" s="112">
        <v>292.68</v>
      </c>
      <c r="L27" s="112">
        <v>27</v>
      </c>
      <c r="M27" s="112">
        <v>93.03</v>
      </c>
      <c r="N27" s="112">
        <v>2.1</v>
      </c>
      <c r="O27" s="112">
        <v>0</v>
      </c>
      <c r="P27" s="112">
        <v>0.3</v>
      </c>
      <c r="Q27" s="112">
        <v>3.89</v>
      </c>
      <c r="R27" s="6"/>
      <c r="S27" s="6"/>
      <c r="T27" s="182"/>
      <c r="U27" s="6"/>
    </row>
    <row r="28" spans="1:21" customFormat="1">
      <c r="A28" s="196" t="s">
        <v>258</v>
      </c>
      <c r="B28" s="112">
        <v>9.27</v>
      </c>
      <c r="C28" s="112">
        <v>4.09</v>
      </c>
      <c r="D28" s="112">
        <v>14.02</v>
      </c>
      <c r="E28" s="112">
        <v>8.44</v>
      </c>
      <c r="F28" s="112">
        <v>6.7</v>
      </c>
      <c r="G28" s="112">
        <v>12.12</v>
      </c>
      <c r="H28" s="112">
        <v>6.46</v>
      </c>
      <c r="I28" s="112">
        <v>3.38</v>
      </c>
      <c r="J28" s="112">
        <v>0.72</v>
      </c>
      <c r="K28" s="112">
        <v>24.29</v>
      </c>
      <c r="L28" s="112">
        <v>26.72</v>
      </c>
      <c r="M28" s="112">
        <v>93.5</v>
      </c>
      <c r="N28" s="112">
        <v>2.7</v>
      </c>
      <c r="O28" s="112">
        <v>0</v>
      </c>
      <c r="P28" s="112">
        <v>0.33</v>
      </c>
      <c r="Q28" s="112">
        <v>3.88</v>
      </c>
      <c r="R28" s="6"/>
      <c r="S28" s="6"/>
      <c r="T28" s="182"/>
      <c r="U28" s="6"/>
    </row>
    <row r="29" spans="1:21" customFormat="1">
      <c r="A29" s="196" t="s">
        <v>259</v>
      </c>
      <c r="B29" s="112">
        <v>9.23</v>
      </c>
      <c r="C29" s="112">
        <v>4.09</v>
      </c>
      <c r="D29" s="112">
        <v>13.99</v>
      </c>
      <c r="E29" s="112">
        <v>8.6199999999999992</v>
      </c>
      <c r="F29" s="112">
        <v>6.95</v>
      </c>
      <c r="G29" s="112">
        <v>12.2</v>
      </c>
      <c r="H29" s="112">
        <v>5.81</v>
      </c>
      <c r="I29" s="112">
        <v>3.31</v>
      </c>
      <c r="J29" s="112">
        <v>0.82</v>
      </c>
      <c r="K29" s="112">
        <v>44.63</v>
      </c>
      <c r="L29" s="112">
        <v>26.41</v>
      </c>
      <c r="M29" s="112">
        <v>95.37</v>
      </c>
      <c r="N29" s="112">
        <v>3.3</v>
      </c>
      <c r="O29" s="112">
        <v>0</v>
      </c>
      <c r="P29" s="112">
        <v>0.33</v>
      </c>
      <c r="Q29" s="112">
        <v>3.9</v>
      </c>
      <c r="R29" s="6"/>
      <c r="S29" s="6"/>
      <c r="T29" s="182"/>
      <c r="U29" s="6"/>
    </row>
    <row r="30" spans="1:21" customFormat="1">
      <c r="A30" s="196" t="s">
        <v>260</v>
      </c>
      <c r="B30" s="112">
        <v>9.19</v>
      </c>
      <c r="C30" s="112">
        <v>4.09</v>
      </c>
      <c r="D30" s="112">
        <v>13.95</v>
      </c>
      <c r="E30" s="112">
        <v>8.69</v>
      </c>
      <c r="F30" s="112">
        <v>7.43</v>
      </c>
      <c r="G30" s="112">
        <v>12.2</v>
      </c>
      <c r="H30" s="112">
        <v>5.81</v>
      </c>
      <c r="I30" s="112">
        <v>3.55</v>
      </c>
      <c r="J30" s="112">
        <v>1.24</v>
      </c>
      <c r="K30" s="112">
        <v>61.28</v>
      </c>
      <c r="L30" s="112">
        <v>26.25</v>
      </c>
      <c r="M30" s="112">
        <v>96.04</v>
      </c>
      <c r="N30" s="112">
        <v>4</v>
      </c>
      <c r="O30" s="112">
        <v>0</v>
      </c>
      <c r="P30" s="112">
        <v>0.34</v>
      </c>
      <c r="Q30" s="112">
        <v>3.88</v>
      </c>
      <c r="R30" s="6"/>
      <c r="S30" s="6"/>
      <c r="T30" s="182"/>
      <c r="U30" s="6"/>
    </row>
    <row r="31" spans="1:21" customFormat="1">
      <c r="A31" s="196" t="s">
        <v>261</v>
      </c>
      <c r="B31" s="112">
        <v>9.17</v>
      </c>
      <c r="C31" s="112">
        <v>4.0999999999999996</v>
      </c>
      <c r="D31" s="112">
        <v>13.95</v>
      </c>
      <c r="E31" s="112">
        <v>8.48</v>
      </c>
      <c r="F31" s="112">
        <v>6.62</v>
      </c>
      <c r="G31" s="112">
        <v>12.2</v>
      </c>
      <c r="H31" s="112">
        <v>5.81</v>
      </c>
      <c r="I31" s="112">
        <v>3.66</v>
      </c>
      <c r="J31" s="112">
        <v>1.24</v>
      </c>
      <c r="K31" s="112">
        <v>54.67</v>
      </c>
      <c r="L31" s="112">
        <v>26.15</v>
      </c>
      <c r="M31" s="112">
        <v>95.53</v>
      </c>
      <c r="N31" s="112">
        <v>4</v>
      </c>
      <c r="O31" s="112">
        <v>0.2</v>
      </c>
      <c r="P31" s="112">
        <v>0.35</v>
      </c>
      <c r="Q31" s="112">
        <v>3.89</v>
      </c>
      <c r="R31" s="6"/>
      <c r="S31" s="6"/>
      <c r="T31" s="182"/>
      <c r="U31" s="6"/>
    </row>
    <row r="32" spans="1:21" customFormat="1">
      <c r="A32" s="196" t="s">
        <v>262</v>
      </c>
      <c r="B32" s="112">
        <v>9.19</v>
      </c>
      <c r="C32" s="112">
        <v>4.1100000000000003</v>
      </c>
      <c r="D32" s="112">
        <v>13.96</v>
      </c>
      <c r="E32" s="112">
        <v>9.2100000000000009</v>
      </c>
      <c r="F32" s="112">
        <v>5.87</v>
      </c>
      <c r="G32" s="112">
        <v>16.350000000000001</v>
      </c>
      <c r="H32" s="112">
        <v>7.48</v>
      </c>
      <c r="I32" s="112">
        <v>3.76</v>
      </c>
      <c r="J32" s="112">
        <v>1.26</v>
      </c>
      <c r="K32" s="112">
        <v>48.8</v>
      </c>
      <c r="L32" s="112">
        <v>25.7</v>
      </c>
      <c r="M32" s="112">
        <v>97.83</v>
      </c>
      <c r="N32" s="112">
        <v>8.5</v>
      </c>
      <c r="O32" s="112">
        <v>2.2000000000000002</v>
      </c>
      <c r="P32" s="112">
        <v>0.37</v>
      </c>
      <c r="Q32" s="112">
        <v>3.91</v>
      </c>
      <c r="R32" s="6"/>
      <c r="S32" s="6"/>
      <c r="T32" s="182"/>
      <c r="U32" s="6"/>
    </row>
    <row r="33" spans="1:21" customFormat="1">
      <c r="A33" s="196" t="s">
        <v>263</v>
      </c>
      <c r="B33" s="112">
        <v>9.1999999999999993</v>
      </c>
      <c r="C33" s="112">
        <v>4.0999999999999996</v>
      </c>
      <c r="D33" s="112">
        <v>13.97</v>
      </c>
      <c r="E33" s="112">
        <v>10.25</v>
      </c>
      <c r="F33" s="112">
        <v>5.3</v>
      </c>
      <c r="G33" s="112">
        <v>20.32</v>
      </c>
      <c r="H33" s="112">
        <v>8.26</v>
      </c>
      <c r="I33" s="112">
        <v>3.86</v>
      </c>
      <c r="J33" s="112">
        <v>1.31</v>
      </c>
      <c r="K33" s="112">
        <v>39.11</v>
      </c>
      <c r="L33" s="112">
        <v>25.12</v>
      </c>
      <c r="M33" s="112">
        <v>99.33</v>
      </c>
      <c r="N33" s="112">
        <v>25</v>
      </c>
      <c r="O33" s="112">
        <v>2.6</v>
      </c>
      <c r="P33" s="112">
        <v>0.38</v>
      </c>
      <c r="Q33" s="112">
        <v>3.89</v>
      </c>
      <c r="R33" s="6"/>
      <c r="S33" s="6"/>
      <c r="T33" s="182"/>
      <c r="U33" s="6"/>
    </row>
    <row r="34" spans="1:21" customFormat="1">
      <c r="A34" s="196" t="s">
        <v>264</v>
      </c>
      <c r="B34" s="112">
        <v>9.2100000000000009</v>
      </c>
      <c r="C34" s="112">
        <v>4.1100000000000003</v>
      </c>
      <c r="D34" s="112">
        <v>13.98</v>
      </c>
      <c r="E34" s="112">
        <v>11.67</v>
      </c>
      <c r="F34" s="112">
        <v>3.83</v>
      </c>
      <c r="G34" s="112">
        <v>20.32</v>
      </c>
      <c r="H34" s="112">
        <v>8.26</v>
      </c>
      <c r="I34" s="112">
        <v>3.96</v>
      </c>
      <c r="J34" s="112">
        <v>0.73</v>
      </c>
      <c r="K34" s="112">
        <v>48.77</v>
      </c>
      <c r="L34" s="112">
        <v>25.16</v>
      </c>
      <c r="M34" s="112">
        <v>100.33</v>
      </c>
      <c r="N34" s="112">
        <v>64.7</v>
      </c>
      <c r="O34" s="112">
        <v>0.2</v>
      </c>
      <c r="P34" s="112">
        <v>0.4</v>
      </c>
      <c r="Q34" s="112">
        <v>3.91</v>
      </c>
      <c r="R34" s="6"/>
      <c r="S34" s="6"/>
      <c r="T34" s="182"/>
      <c r="U34" s="6"/>
    </row>
    <row r="35" spans="1:21" customFormat="1">
      <c r="A35" s="196" t="s">
        <v>265</v>
      </c>
      <c r="B35" s="112">
        <v>9.1999999999999993</v>
      </c>
      <c r="C35" s="112">
        <v>4.09</v>
      </c>
      <c r="D35" s="112">
        <v>13.97</v>
      </c>
      <c r="E35" s="112">
        <v>10.87</v>
      </c>
      <c r="F35" s="112">
        <v>4.53</v>
      </c>
      <c r="G35" s="112">
        <v>20.32</v>
      </c>
      <c r="H35" s="112">
        <v>8.26</v>
      </c>
      <c r="I35" s="112">
        <v>4.05</v>
      </c>
      <c r="J35" s="112">
        <v>0.67</v>
      </c>
      <c r="K35" s="112">
        <v>36.29</v>
      </c>
      <c r="L35" s="112">
        <v>25.5</v>
      </c>
      <c r="M35" s="112">
        <v>100.79</v>
      </c>
      <c r="N35" s="112">
        <v>101.5</v>
      </c>
      <c r="O35" s="112">
        <v>0</v>
      </c>
      <c r="P35" s="112">
        <v>0.42</v>
      </c>
      <c r="Q35" s="112">
        <v>3.91</v>
      </c>
      <c r="R35" s="6"/>
      <c r="S35" s="6"/>
      <c r="T35" s="182"/>
      <c r="U35" s="6"/>
    </row>
    <row r="36" spans="1:21" customFormat="1">
      <c r="A36" s="196" t="s">
        <v>266</v>
      </c>
      <c r="B36" s="112">
        <v>9.1999999999999993</v>
      </c>
      <c r="C36" s="112">
        <v>4.08</v>
      </c>
      <c r="D36" s="112">
        <v>13.96</v>
      </c>
      <c r="E36" s="112">
        <v>10.71</v>
      </c>
      <c r="F36" s="112">
        <v>4.58</v>
      </c>
      <c r="G36" s="112">
        <v>22.03</v>
      </c>
      <c r="H36" s="112">
        <v>10.35</v>
      </c>
      <c r="I36" s="112">
        <v>4.22</v>
      </c>
      <c r="J36" s="112">
        <v>0.72</v>
      </c>
      <c r="K36" s="112">
        <v>49.13</v>
      </c>
      <c r="L36" s="112">
        <v>25.78</v>
      </c>
      <c r="M36" s="112">
        <v>100.69</v>
      </c>
      <c r="N36" s="112">
        <v>84.6</v>
      </c>
      <c r="O36" s="112">
        <v>0</v>
      </c>
      <c r="P36" s="112">
        <v>0.42</v>
      </c>
      <c r="Q36" s="112">
        <v>3.92</v>
      </c>
      <c r="R36" s="6"/>
      <c r="S36" s="6"/>
      <c r="T36" s="182"/>
      <c r="U36" s="6"/>
    </row>
    <row r="37" spans="1:21" customFormat="1">
      <c r="A37" s="196" t="s">
        <v>267</v>
      </c>
      <c r="B37" s="112">
        <v>9.1999999999999993</v>
      </c>
      <c r="C37" s="112">
        <v>4.07</v>
      </c>
      <c r="D37" s="112">
        <v>13.95</v>
      </c>
      <c r="E37" s="112">
        <v>11</v>
      </c>
      <c r="F37" s="112">
        <v>4.88</v>
      </c>
      <c r="G37" s="112">
        <v>23.63</v>
      </c>
      <c r="H37" s="112">
        <v>11.3</v>
      </c>
      <c r="I37" s="112">
        <v>4.33</v>
      </c>
      <c r="J37" s="112">
        <v>0.6</v>
      </c>
      <c r="K37" s="112">
        <v>39.6</v>
      </c>
      <c r="L37" s="112">
        <v>26.26</v>
      </c>
      <c r="M37" s="112">
        <v>99.05</v>
      </c>
      <c r="N37" s="112">
        <v>133.19999999999999</v>
      </c>
      <c r="O37" s="112">
        <v>0</v>
      </c>
      <c r="P37" s="112">
        <v>0.42</v>
      </c>
      <c r="Q37" s="112">
        <v>3.89</v>
      </c>
      <c r="R37" s="6"/>
      <c r="S37" s="6"/>
      <c r="T37" s="182"/>
      <c r="U37" s="6"/>
    </row>
    <row r="38" spans="1:21" customFormat="1">
      <c r="A38" s="196" t="s">
        <v>268</v>
      </c>
      <c r="B38" s="112">
        <v>9.1999999999999993</v>
      </c>
      <c r="C38" s="112">
        <v>4.04</v>
      </c>
      <c r="D38" s="112">
        <v>13.94</v>
      </c>
      <c r="E38" s="112">
        <v>10.68</v>
      </c>
      <c r="F38" s="112">
        <v>6.09</v>
      </c>
      <c r="G38" s="112">
        <v>23.63</v>
      </c>
      <c r="H38" s="112">
        <v>11.3</v>
      </c>
      <c r="I38" s="112">
        <v>4.37</v>
      </c>
      <c r="J38" s="112">
        <v>0.59</v>
      </c>
      <c r="K38" s="112">
        <v>31.5</v>
      </c>
      <c r="L38" s="112">
        <v>26.81</v>
      </c>
      <c r="M38" s="112">
        <v>94.43</v>
      </c>
      <c r="N38" s="112">
        <v>197.3</v>
      </c>
      <c r="O38" s="112">
        <v>0</v>
      </c>
      <c r="P38" s="112">
        <v>0.44</v>
      </c>
      <c r="Q38" s="112">
        <v>3.91</v>
      </c>
      <c r="R38" s="6"/>
      <c r="S38" s="6"/>
      <c r="T38" s="182"/>
      <c r="U38" s="6"/>
    </row>
    <row r="39" spans="1:21" customFormat="1">
      <c r="A39" s="196" t="s">
        <v>269</v>
      </c>
      <c r="B39" s="112">
        <v>9.2200000000000006</v>
      </c>
      <c r="C39" s="112">
        <v>4.07</v>
      </c>
      <c r="D39" s="112">
        <v>13.96</v>
      </c>
      <c r="E39" s="112">
        <v>10.47</v>
      </c>
      <c r="F39" s="112">
        <v>4.6500000000000004</v>
      </c>
      <c r="G39" s="112">
        <v>23.63</v>
      </c>
      <c r="H39" s="112">
        <v>11.3</v>
      </c>
      <c r="I39" s="112">
        <v>4.45</v>
      </c>
      <c r="J39" s="112">
        <v>0.24</v>
      </c>
      <c r="K39" s="112">
        <v>43.72</v>
      </c>
      <c r="L39" s="112">
        <v>27.5</v>
      </c>
      <c r="M39" s="112">
        <v>91.37</v>
      </c>
      <c r="N39" s="112">
        <v>187.1</v>
      </c>
      <c r="O39" s="112">
        <v>0</v>
      </c>
      <c r="P39" s="112">
        <v>0.44</v>
      </c>
      <c r="Q39" s="112">
        <v>3.9</v>
      </c>
      <c r="R39" s="6"/>
      <c r="S39" s="6"/>
      <c r="T39" s="182"/>
      <c r="U39" s="6"/>
    </row>
    <row r="40" spans="1:21" customFormat="1">
      <c r="A40" s="196" t="s">
        <v>270</v>
      </c>
      <c r="B40" s="112">
        <v>9.1999999999999993</v>
      </c>
      <c r="C40" s="112">
        <v>4.13</v>
      </c>
      <c r="D40" s="112">
        <v>13.99</v>
      </c>
      <c r="E40" s="112">
        <v>10.37</v>
      </c>
      <c r="F40" s="112">
        <v>5.28</v>
      </c>
      <c r="G40" s="112">
        <v>27.23</v>
      </c>
      <c r="H40" s="112">
        <v>11.83</v>
      </c>
      <c r="I40" s="112">
        <v>4.5199999999999996</v>
      </c>
      <c r="J40" s="112">
        <v>0.48</v>
      </c>
      <c r="K40" s="112">
        <v>20.14</v>
      </c>
      <c r="L40" s="112">
        <v>27.8</v>
      </c>
      <c r="M40" s="112">
        <v>90.06</v>
      </c>
      <c r="N40" s="112">
        <v>182.4</v>
      </c>
      <c r="O40" s="112">
        <v>0</v>
      </c>
      <c r="P40" s="112">
        <v>0.45</v>
      </c>
      <c r="Q40" s="112">
        <v>3.9</v>
      </c>
      <c r="R40" s="6"/>
      <c r="S40" s="6"/>
      <c r="T40" s="182"/>
      <c r="U40" s="6"/>
    </row>
    <row r="41" spans="1:21" customFormat="1">
      <c r="A41" s="196" t="s">
        <v>271</v>
      </c>
      <c r="B41" s="112">
        <v>9.1999999999999993</v>
      </c>
      <c r="C41" s="112">
        <v>4.1100000000000003</v>
      </c>
      <c r="D41" s="112">
        <v>13.97</v>
      </c>
      <c r="E41" s="112">
        <v>10.84</v>
      </c>
      <c r="F41" s="112">
        <v>5.01</v>
      </c>
      <c r="G41" s="112">
        <v>30.59</v>
      </c>
      <c r="H41" s="112">
        <v>12.38</v>
      </c>
      <c r="I41" s="112">
        <v>4.5199999999999996</v>
      </c>
      <c r="J41" s="112">
        <v>0.38</v>
      </c>
      <c r="K41" s="112">
        <v>57.79</v>
      </c>
      <c r="L41" s="112">
        <v>27.95</v>
      </c>
      <c r="M41" s="112">
        <v>88.81</v>
      </c>
      <c r="N41" s="112">
        <v>108.1</v>
      </c>
      <c r="O41" s="112">
        <v>0</v>
      </c>
      <c r="P41" s="112">
        <v>0.46</v>
      </c>
      <c r="Q41" s="112">
        <v>3.91</v>
      </c>
      <c r="R41" s="6"/>
      <c r="S41" s="6"/>
      <c r="T41" s="182"/>
      <c r="U41" s="6"/>
    </row>
    <row r="42" spans="1:21" customFormat="1">
      <c r="A42" s="196" t="s">
        <v>272</v>
      </c>
      <c r="B42" s="112">
        <v>9.2100000000000009</v>
      </c>
      <c r="C42" s="112">
        <v>4.09</v>
      </c>
      <c r="D42" s="112">
        <v>13.97</v>
      </c>
      <c r="E42" s="112">
        <v>10.210000000000001</v>
      </c>
      <c r="F42" s="112">
        <v>4.7699999999999996</v>
      </c>
      <c r="G42" s="112">
        <v>30.59</v>
      </c>
      <c r="H42" s="112">
        <v>12.38</v>
      </c>
      <c r="I42" s="112">
        <v>4.5999999999999996</v>
      </c>
      <c r="J42" s="112">
        <v>0.25</v>
      </c>
      <c r="K42" s="112">
        <v>113.71</v>
      </c>
      <c r="L42" s="112">
        <v>28.09</v>
      </c>
      <c r="M42" s="112">
        <v>88.84</v>
      </c>
      <c r="N42" s="112">
        <v>111.6</v>
      </c>
      <c r="O42" s="112">
        <v>0</v>
      </c>
      <c r="P42" s="112">
        <v>0.45</v>
      </c>
      <c r="Q42" s="112">
        <v>3.9</v>
      </c>
      <c r="R42" s="6"/>
      <c r="S42" s="6"/>
      <c r="T42" s="182"/>
      <c r="U42" s="6"/>
    </row>
    <row r="43" spans="1:21" customFormat="1">
      <c r="A43" s="196" t="s">
        <v>273</v>
      </c>
      <c r="B43" s="112">
        <v>9.2200000000000006</v>
      </c>
      <c r="C43" s="112">
        <v>4.0599999999999996</v>
      </c>
      <c r="D43" s="112">
        <v>13.97</v>
      </c>
      <c r="E43" s="112">
        <v>10.51</v>
      </c>
      <c r="F43" s="112">
        <v>6.04</v>
      </c>
      <c r="G43" s="112">
        <v>30.59</v>
      </c>
      <c r="H43" s="112">
        <v>12.38</v>
      </c>
      <c r="I43" s="112">
        <v>4.6100000000000003</v>
      </c>
      <c r="J43" s="112">
        <v>0.24</v>
      </c>
      <c r="K43" s="112">
        <v>185.45</v>
      </c>
      <c r="L43" s="112">
        <v>28.3</v>
      </c>
      <c r="M43" s="112">
        <v>86.92</v>
      </c>
      <c r="N43" s="112">
        <v>84.7</v>
      </c>
      <c r="O43" s="112">
        <v>0</v>
      </c>
      <c r="P43" s="112">
        <v>0.45</v>
      </c>
      <c r="Q43" s="112">
        <v>3.91</v>
      </c>
      <c r="R43" s="6"/>
      <c r="S43" s="6"/>
      <c r="T43" s="182"/>
      <c r="U43" s="6"/>
    </row>
    <row r="44" spans="1:21" customFormat="1">
      <c r="A44" s="196" t="s">
        <v>274</v>
      </c>
      <c r="B44" s="112">
        <v>9.2200000000000006</v>
      </c>
      <c r="C44" s="112">
        <v>4.08</v>
      </c>
      <c r="D44" s="112">
        <v>13.98</v>
      </c>
      <c r="E44" s="112">
        <v>10.5</v>
      </c>
      <c r="F44" s="112">
        <v>5.63</v>
      </c>
      <c r="G44" s="112">
        <v>29.06</v>
      </c>
      <c r="H44" s="112">
        <v>11.43</v>
      </c>
      <c r="I44" s="112">
        <v>4.63</v>
      </c>
      <c r="J44" s="112">
        <v>0.25</v>
      </c>
      <c r="K44" s="112">
        <v>181.61</v>
      </c>
      <c r="L44" s="112">
        <v>27.82</v>
      </c>
      <c r="M44" s="112">
        <v>91.78</v>
      </c>
      <c r="N44" s="112">
        <v>111.2</v>
      </c>
      <c r="O44" s="112">
        <v>0.4</v>
      </c>
      <c r="P44" s="112">
        <v>0.45</v>
      </c>
      <c r="Q44" s="112">
        <v>3.93</v>
      </c>
      <c r="R44" s="6"/>
      <c r="S44" s="6"/>
      <c r="T44" s="182"/>
      <c r="U44" s="6"/>
    </row>
    <row r="45" spans="1:21" customFormat="1">
      <c r="A45" s="196" t="s">
        <v>275</v>
      </c>
      <c r="B45" s="112">
        <v>9.23</v>
      </c>
      <c r="C45" s="112">
        <v>4.08</v>
      </c>
      <c r="D45" s="112">
        <v>13.98</v>
      </c>
      <c r="E45" s="112">
        <v>10.19</v>
      </c>
      <c r="F45" s="112">
        <v>6.33</v>
      </c>
      <c r="G45" s="112">
        <v>27.6</v>
      </c>
      <c r="H45" s="112">
        <v>10.98</v>
      </c>
      <c r="I45" s="112">
        <v>4.54</v>
      </c>
      <c r="J45" s="112">
        <v>0.13</v>
      </c>
      <c r="K45" s="112">
        <v>198.59</v>
      </c>
      <c r="L45" s="112">
        <v>27.66</v>
      </c>
      <c r="M45" s="112">
        <v>95.56</v>
      </c>
      <c r="N45" s="112">
        <v>151.5</v>
      </c>
      <c r="O45" s="112">
        <v>0.2</v>
      </c>
      <c r="P45" s="112">
        <v>0.44</v>
      </c>
      <c r="Q45" s="112">
        <v>3.92</v>
      </c>
      <c r="R45" s="6"/>
      <c r="S45" s="6"/>
      <c r="T45" s="182"/>
      <c r="U45" s="6"/>
    </row>
    <row r="46" spans="1:21" customFormat="1">
      <c r="A46" s="196" t="s">
        <v>276</v>
      </c>
      <c r="B46" s="112">
        <v>9.26</v>
      </c>
      <c r="C46" s="112">
        <v>4.05</v>
      </c>
      <c r="D46" s="112">
        <v>14</v>
      </c>
      <c r="E46" s="112">
        <v>10.61</v>
      </c>
      <c r="F46" s="112">
        <v>8.9499999999999993</v>
      </c>
      <c r="G46" s="112">
        <v>27.6</v>
      </c>
      <c r="H46" s="112">
        <v>10.98</v>
      </c>
      <c r="I46" s="112">
        <v>4.53</v>
      </c>
      <c r="J46" s="112">
        <v>0.23</v>
      </c>
      <c r="K46" s="112">
        <v>248.1</v>
      </c>
      <c r="L46" s="112">
        <v>27.65</v>
      </c>
      <c r="M46" s="112">
        <v>95.48</v>
      </c>
      <c r="N46" s="112">
        <v>150.6</v>
      </c>
      <c r="O46" s="112">
        <v>0</v>
      </c>
      <c r="P46" s="112">
        <v>0.43</v>
      </c>
      <c r="Q46" s="112">
        <v>3.91</v>
      </c>
      <c r="R46" s="6"/>
      <c r="S46" s="6"/>
      <c r="T46" s="182"/>
      <c r="U46" s="6"/>
    </row>
    <row r="47" spans="1:21" customFormat="1">
      <c r="A47" s="196" t="s">
        <v>277</v>
      </c>
      <c r="B47" s="112">
        <v>9.27</v>
      </c>
      <c r="C47" s="112">
        <v>4.08</v>
      </c>
      <c r="D47" s="112">
        <v>14.02</v>
      </c>
      <c r="E47" s="112">
        <v>9.2899999999999991</v>
      </c>
      <c r="F47" s="112">
        <v>8.6999999999999993</v>
      </c>
      <c r="G47" s="112">
        <v>27.6</v>
      </c>
      <c r="H47" s="112">
        <v>10.98</v>
      </c>
      <c r="I47" s="112">
        <v>4.3899999999999997</v>
      </c>
      <c r="J47" s="112">
        <v>0.44</v>
      </c>
      <c r="K47" s="112">
        <v>253.78</v>
      </c>
      <c r="L47" s="112">
        <v>27.58</v>
      </c>
      <c r="M47" s="112">
        <v>94.57</v>
      </c>
      <c r="N47" s="112">
        <v>129.30000000000001</v>
      </c>
      <c r="O47" s="112">
        <v>0</v>
      </c>
      <c r="P47" s="112">
        <v>0.42</v>
      </c>
      <c r="Q47" s="112">
        <v>3.9</v>
      </c>
      <c r="R47" s="6"/>
      <c r="S47" s="6"/>
      <c r="T47" s="182"/>
      <c r="U47" s="6"/>
    </row>
    <row r="48" spans="1:21" customFormat="1">
      <c r="A48" s="196" t="s">
        <v>278</v>
      </c>
      <c r="B48" s="112">
        <v>9.3000000000000007</v>
      </c>
      <c r="C48" s="112">
        <v>4.08</v>
      </c>
      <c r="D48" s="112">
        <v>14.04</v>
      </c>
      <c r="E48" s="112">
        <v>8.89</v>
      </c>
      <c r="F48" s="112">
        <v>10.07</v>
      </c>
      <c r="G48" s="112">
        <v>26.47</v>
      </c>
      <c r="H48" s="112">
        <v>9.5299999999999994</v>
      </c>
      <c r="I48" s="112">
        <v>4.3099999999999996</v>
      </c>
      <c r="J48" s="112">
        <v>0.47</v>
      </c>
      <c r="K48" s="112">
        <v>262.07</v>
      </c>
      <c r="L48" s="112">
        <v>27.14</v>
      </c>
      <c r="M48" s="112">
        <v>95.87</v>
      </c>
      <c r="N48" s="112">
        <v>150.1</v>
      </c>
      <c r="O48" s="112">
        <v>0</v>
      </c>
      <c r="P48" s="112">
        <v>0.39</v>
      </c>
      <c r="Q48" s="112">
        <v>3.92</v>
      </c>
      <c r="R48" s="6"/>
      <c r="S48" s="6"/>
      <c r="T48" s="182"/>
      <c r="U48" s="6"/>
    </row>
    <row r="49" spans="1:21" customFormat="1">
      <c r="A49" s="196" t="s">
        <v>279</v>
      </c>
      <c r="B49" s="112">
        <v>9.31</v>
      </c>
      <c r="C49" s="112">
        <v>4.0599999999999996</v>
      </c>
      <c r="D49" s="112">
        <v>14.03</v>
      </c>
      <c r="E49" s="112">
        <v>8.3000000000000007</v>
      </c>
      <c r="F49" s="112">
        <v>8.36</v>
      </c>
      <c r="G49" s="112">
        <v>25.39</v>
      </c>
      <c r="H49" s="112">
        <v>8.86</v>
      </c>
      <c r="I49" s="112">
        <v>4.41</v>
      </c>
      <c r="J49" s="112">
        <v>0.81</v>
      </c>
      <c r="K49" s="112">
        <v>268.24</v>
      </c>
      <c r="L49" s="112">
        <v>27.06</v>
      </c>
      <c r="M49" s="112">
        <v>95.74</v>
      </c>
      <c r="N49" s="112">
        <v>245.6</v>
      </c>
      <c r="O49" s="112">
        <v>0</v>
      </c>
      <c r="P49" s="112">
        <v>0.36</v>
      </c>
      <c r="Q49" s="112">
        <v>3.91</v>
      </c>
      <c r="R49" s="6"/>
      <c r="S49" s="6"/>
      <c r="T49" s="182"/>
      <c r="U49" s="6"/>
    </row>
    <row r="50" spans="1:21" customFormat="1">
      <c r="A50" s="196" t="s">
        <v>280</v>
      </c>
      <c r="B50" s="112">
        <v>9.31</v>
      </c>
      <c r="C50" s="112">
        <v>4.04</v>
      </c>
      <c r="D50" s="112">
        <v>14.03</v>
      </c>
      <c r="E50" s="112">
        <v>9.06</v>
      </c>
      <c r="F50" s="112">
        <v>8.1199999999999992</v>
      </c>
      <c r="G50" s="112">
        <v>25.39</v>
      </c>
      <c r="H50" s="112">
        <v>8.86</v>
      </c>
      <c r="I50" s="112">
        <v>4.33</v>
      </c>
      <c r="J50" s="112">
        <v>1.02</v>
      </c>
      <c r="K50" s="112">
        <v>268.66000000000003</v>
      </c>
      <c r="L50" s="112">
        <v>27.35</v>
      </c>
      <c r="M50" s="112">
        <v>94.55</v>
      </c>
      <c r="N50" s="112">
        <v>358.8</v>
      </c>
      <c r="O50" s="112">
        <v>0</v>
      </c>
      <c r="P50" s="112">
        <v>0.35</v>
      </c>
      <c r="Q50" s="112">
        <v>3.92</v>
      </c>
      <c r="R50" s="6"/>
      <c r="S50" s="6"/>
      <c r="T50" s="182"/>
      <c r="U50" s="6"/>
    </row>
    <row r="51" spans="1:21" customFormat="1">
      <c r="A51" s="196" t="s">
        <v>281</v>
      </c>
      <c r="B51" s="112">
        <v>9.2899999999999991</v>
      </c>
      <c r="C51" s="112">
        <v>4.1100000000000003</v>
      </c>
      <c r="D51" s="112">
        <v>14.04</v>
      </c>
      <c r="E51" s="112">
        <v>8.7200000000000006</v>
      </c>
      <c r="F51" s="112">
        <v>9.4600000000000009</v>
      </c>
      <c r="G51" s="112">
        <v>25.39</v>
      </c>
      <c r="H51" s="112">
        <v>8.86</v>
      </c>
      <c r="I51" s="112">
        <v>4.32</v>
      </c>
      <c r="J51" s="112">
        <v>0.91</v>
      </c>
      <c r="K51" s="112">
        <v>272.51</v>
      </c>
      <c r="L51" s="112">
        <v>27.52</v>
      </c>
      <c r="M51" s="112">
        <v>92.27</v>
      </c>
      <c r="N51" s="112">
        <v>187.1</v>
      </c>
      <c r="O51" s="112">
        <v>0</v>
      </c>
      <c r="P51" s="112">
        <v>0.33</v>
      </c>
      <c r="Q51" s="112">
        <v>3.91</v>
      </c>
      <c r="R51" s="6"/>
      <c r="S51" s="6"/>
      <c r="T51" s="182"/>
      <c r="U51" s="6"/>
    </row>
    <row r="52" spans="1:21" customFormat="1">
      <c r="A52" s="196" t="s">
        <v>282</v>
      </c>
      <c r="B52" s="112">
        <v>9.32</v>
      </c>
      <c r="C52" s="112">
        <v>4.07</v>
      </c>
      <c r="D52" s="112">
        <v>14.05</v>
      </c>
      <c r="E52" s="112">
        <v>8.11</v>
      </c>
      <c r="F52" s="112">
        <v>11.8</v>
      </c>
      <c r="G52" s="112">
        <v>23.2</v>
      </c>
      <c r="H52" s="112">
        <v>10</v>
      </c>
      <c r="I52" s="112">
        <v>4.3899999999999997</v>
      </c>
      <c r="J52" s="112">
        <v>0.96</v>
      </c>
      <c r="K52" s="112">
        <v>295.36</v>
      </c>
      <c r="L52" s="112">
        <v>27.03</v>
      </c>
      <c r="M52" s="112">
        <v>94.04</v>
      </c>
      <c r="N52" s="112">
        <v>111.9</v>
      </c>
      <c r="O52" s="112">
        <v>0</v>
      </c>
      <c r="P52" s="112">
        <v>0.33</v>
      </c>
      <c r="Q52" s="112">
        <v>3.9</v>
      </c>
      <c r="R52" s="6"/>
      <c r="S52" s="6"/>
      <c r="T52" s="182"/>
      <c r="U52" s="6"/>
    </row>
    <row r="53" spans="1:21" customFormat="1">
      <c r="A53" s="196" t="s">
        <v>283</v>
      </c>
      <c r="B53" s="112">
        <v>9.33</v>
      </c>
      <c r="C53" s="112">
        <v>4.04</v>
      </c>
      <c r="D53" s="112">
        <v>14.04</v>
      </c>
      <c r="E53" s="112">
        <v>8.25</v>
      </c>
      <c r="F53" s="112">
        <v>12.79</v>
      </c>
      <c r="G53" s="112">
        <v>21.01</v>
      </c>
      <c r="H53" s="112">
        <v>10.57</v>
      </c>
      <c r="I53" s="112">
        <v>4.21</v>
      </c>
      <c r="J53" s="112">
        <v>0.64</v>
      </c>
      <c r="K53" s="112">
        <v>269.64</v>
      </c>
      <c r="L53" s="112">
        <v>27.17</v>
      </c>
      <c r="M53" s="112">
        <v>92.47</v>
      </c>
      <c r="N53" s="112">
        <v>130.4</v>
      </c>
      <c r="O53" s="112">
        <v>0</v>
      </c>
      <c r="P53" s="112">
        <v>0.34</v>
      </c>
      <c r="Q53" s="112">
        <v>3.92</v>
      </c>
      <c r="R53" s="6"/>
      <c r="S53" s="6"/>
      <c r="T53" s="182"/>
      <c r="U53" s="6"/>
    </row>
    <row r="54" spans="1:21" customFormat="1">
      <c r="A54" s="196" t="s">
        <v>284</v>
      </c>
      <c r="B54" s="112">
        <v>9.31</v>
      </c>
      <c r="C54" s="112">
        <v>4.0199999999999996</v>
      </c>
      <c r="D54" s="112">
        <v>14.02</v>
      </c>
      <c r="E54" s="112">
        <v>13.27</v>
      </c>
      <c r="F54" s="112">
        <v>11.55</v>
      </c>
      <c r="G54" s="112">
        <v>21.01</v>
      </c>
      <c r="H54" s="112">
        <v>10.57</v>
      </c>
      <c r="I54" s="112">
        <v>4.1399999999999997</v>
      </c>
      <c r="J54" s="112">
        <v>0.74</v>
      </c>
      <c r="K54" s="112">
        <v>262.57</v>
      </c>
      <c r="L54" s="112">
        <v>27.02</v>
      </c>
      <c r="M54" s="112">
        <v>90.91</v>
      </c>
      <c r="N54" s="112">
        <v>132.19999999999999</v>
      </c>
      <c r="O54" s="112">
        <v>0</v>
      </c>
      <c r="P54" s="112">
        <v>0.32</v>
      </c>
      <c r="Q54" s="112">
        <v>3.95</v>
      </c>
      <c r="R54" s="6"/>
      <c r="S54" s="6"/>
      <c r="T54" s="182"/>
      <c r="U54" s="6"/>
    </row>
    <row r="55" spans="1:21" customFormat="1">
      <c r="A55" s="196" t="s">
        <v>285</v>
      </c>
      <c r="B55" s="112">
        <v>9.2899999999999991</v>
      </c>
      <c r="C55" s="112">
        <v>4.09</v>
      </c>
      <c r="D55" s="112">
        <v>14.03</v>
      </c>
      <c r="E55" s="112">
        <v>16.420000000000002</v>
      </c>
      <c r="F55" s="112">
        <v>11.39</v>
      </c>
      <c r="G55" s="112">
        <v>21.01</v>
      </c>
      <c r="H55" s="112">
        <v>10.57</v>
      </c>
      <c r="I55" s="112">
        <v>4.1500000000000004</v>
      </c>
      <c r="J55" s="112">
        <v>0.73</v>
      </c>
      <c r="K55" s="112">
        <v>281.98</v>
      </c>
      <c r="L55" s="112">
        <v>27.53</v>
      </c>
      <c r="M55" s="112">
        <v>89.37</v>
      </c>
      <c r="N55" s="112">
        <v>357.7</v>
      </c>
      <c r="O55" s="112">
        <v>0</v>
      </c>
      <c r="P55" s="112">
        <v>0.33</v>
      </c>
      <c r="Q55" s="112">
        <v>3.94</v>
      </c>
      <c r="R55" s="6"/>
      <c r="S55" s="6"/>
      <c r="T55" s="182"/>
      <c r="U55" s="6"/>
    </row>
    <row r="56" spans="1:21" customFormat="1">
      <c r="A56" s="196" t="s">
        <v>286</v>
      </c>
      <c r="B56" s="112">
        <v>9.2899999999999991</v>
      </c>
      <c r="C56" s="112">
        <v>4.07</v>
      </c>
      <c r="D56" s="112">
        <v>14.02</v>
      </c>
      <c r="E56" s="112">
        <v>14.59</v>
      </c>
      <c r="F56" s="112">
        <v>12.08</v>
      </c>
      <c r="G56" s="112">
        <v>23.32</v>
      </c>
      <c r="H56" s="112">
        <v>9.25</v>
      </c>
      <c r="I56" s="112">
        <v>4.1500000000000004</v>
      </c>
      <c r="J56" s="112">
        <v>0.77</v>
      </c>
      <c r="K56" s="112">
        <v>283.68</v>
      </c>
      <c r="L56" s="112">
        <v>28.64</v>
      </c>
      <c r="M56" s="112">
        <v>84.87</v>
      </c>
      <c r="N56" s="112">
        <v>339.6</v>
      </c>
      <c r="O56" s="112">
        <v>0</v>
      </c>
      <c r="P56" s="112">
        <v>0.39</v>
      </c>
      <c r="Q56" s="112">
        <v>3.94</v>
      </c>
      <c r="R56" s="6"/>
      <c r="S56" s="6"/>
      <c r="T56" s="182"/>
      <c r="U56" s="6"/>
    </row>
    <row r="57" spans="1:21" customFormat="1">
      <c r="A57" s="196" t="s">
        <v>287</v>
      </c>
      <c r="B57" s="112">
        <v>9.3000000000000007</v>
      </c>
      <c r="C57" s="112">
        <v>4.07</v>
      </c>
      <c r="D57" s="112">
        <v>14.03</v>
      </c>
      <c r="E57" s="112">
        <v>12.87</v>
      </c>
      <c r="F57" s="112">
        <v>11.57</v>
      </c>
      <c r="G57" s="112">
        <v>25.53</v>
      </c>
      <c r="H57" s="112">
        <v>8.6300000000000008</v>
      </c>
      <c r="I57" s="112">
        <v>4.3099999999999996</v>
      </c>
      <c r="J57" s="112">
        <v>0.79</v>
      </c>
      <c r="K57" s="112">
        <v>299.87</v>
      </c>
      <c r="L57" s="112">
        <v>28.38</v>
      </c>
      <c r="M57" s="112">
        <v>84.97</v>
      </c>
      <c r="N57" s="112">
        <v>136.5</v>
      </c>
      <c r="O57" s="112">
        <v>0</v>
      </c>
      <c r="P57" s="112">
        <v>0.49</v>
      </c>
      <c r="Q57" s="112">
        <v>3.92</v>
      </c>
      <c r="R57" s="6"/>
      <c r="S57" s="6"/>
      <c r="T57" s="182"/>
      <c r="U57" s="6"/>
    </row>
    <row r="58" spans="1:21" customFormat="1">
      <c r="A58" s="196" t="s">
        <v>288</v>
      </c>
      <c r="B58" s="112">
        <v>9.31</v>
      </c>
      <c r="C58" s="112">
        <v>4.09</v>
      </c>
      <c r="D58" s="112">
        <v>14.05</v>
      </c>
      <c r="E58" s="112">
        <v>11.47</v>
      </c>
      <c r="F58" s="112">
        <v>12.68</v>
      </c>
      <c r="G58" s="112">
        <v>25.53</v>
      </c>
      <c r="H58" s="112">
        <v>8.6300000000000008</v>
      </c>
      <c r="I58" s="112">
        <v>5.04</v>
      </c>
      <c r="J58" s="112">
        <v>0.69</v>
      </c>
      <c r="K58" s="112">
        <v>259.41000000000003</v>
      </c>
      <c r="L58" s="112">
        <v>27.94</v>
      </c>
      <c r="M58" s="112">
        <v>86.51</v>
      </c>
      <c r="N58" s="112">
        <v>132.1</v>
      </c>
      <c r="O58" s="112">
        <v>0</v>
      </c>
      <c r="P58" s="112">
        <v>0.54</v>
      </c>
      <c r="Q58" s="112">
        <v>3.91</v>
      </c>
      <c r="R58" s="6"/>
      <c r="S58" s="6"/>
      <c r="T58" s="182"/>
      <c r="U58" s="6"/>
    </row>
    <row r="59" spans="1:21" customFormat="1">
      <c r="A59" s="196" t="s">
        <v>289</v>
      </c>
      <c r="B59" s="112">
        <v>9.31</v>
      </c>
      <c r="C59" s="112">
        <v>4.09</v>
      </c>
      <c r="D59" s="112">
        <v>14.05</v>
      </c>
      <c r="E59" s="112">
        <v>10.25</v>
      </c>
      <c r="F59" s="112">
        <v>12.52</v>
      </c>
      <c r="G59" s="112">
        <v>25.53</v>
      </c>
      <c r="H59" s="112">
        <v>8.6300000000000008</v>
      </c>
      <c r="I59" s="112">
        <v>5.47</v>
      </c>
      <c r="J59" s="112">
        <v>0.65</v>
      </c>
      <c r="K59" s="112">
        <v>258.85000000000002</v>
      </c>
      <c r="L59" s="112">
        <v>27.72</v>
      </c>
      <c r="M59" s="112">
        <v>87.5</v>
      </c>
      <c r="N59" s="112">
        <v>186</v>
      </c>
      <c r="O59" s="112">
        <v>0</v>
      </c>
      <c r="P59" s="112">
        <v>0.48</v>
      </c>
      <c r="Q59" s="112">
        <v>3.92</v>
      </c>
      <c r="R59" s="6"/>
      <c r="S59" s="6"/>
      <c r="T59" s="182"/>
      <c r="U59" s="6"/>
    </row>
    <row r="60" spans="1:21" customFormat="1">
      <c r="A60" s="196" t="s">
        <v>290</v>
      </c>
      <c r="B60" s="112">
        <v>9.32</v>
      </c>
      <c r="C60" s="112">
        <v>4.08</v>
      </c>
      <c r="D60" s="112">
        <v>14.06</v>
      </c>
      <c r="E60" s="112">
        <v>9.44</v>
      </c>
      <c r="F60" s="112">
        <v>19.53</v>
      </c>
      <c r="G60" s="112">
        <v>26.57</v>
      </c>
      <c r="H60" s="112">
        <v>10.63</v>
      </c>
      <c r="I60" s="112">
        <v>5.03</v>
      </c>
      <c r="J60" s="112">
        <v>0.63</v>
      </c>
      <c r="K60" s="112">
        <v>306.32</v>
      </c>
      <c r="L60" s="112">
        <v>28.38</v>
      </c>
      <c r="M60" s="112">
        <v>83.08</v>
      </c>
      <c r="N60" s="112">
        <v>309.5</v>
      </c>
      <c r="O60" s="112">
        <v>0</v>
      </c>
      <c r="P60" s="112">
        <v>0.44</v>
      </c>
      <c r="Q60" s="112">
        <v>3.92</v>
      </c>
      <c r="R60" s="6"/>
      <c r="S60" s="6"/>
      <c r="T60" s="182"/>
      <c r="U60" s="6"/>
    </row>
    <row r="61" spans="1:21" customFormat="1">
      <c r="A61" s="196" t="s">
        <v>291</v>
      </c>
      <c r="B61" s="112">
        <v>9.33</v>
      </c>
      <c r="C61" s="112">
        <v>4.08</v>
      </c>
      <c r="D61" s="112">
        <v>14.07</v>
      </c>
      <c r="E61" s="112">
        <v>8.9</v>
      </c>
      <c r="F61" s="112">
        <v>20.99</v>
      </c>
      <c r="G61" s="112">
        <v>27.51</v>
      </c>
      <c r="H61" s="112">
        <v>11.42</v>
      </c>
      <c r="I61" s="112">
        <v>4.8099999999999996</v>
      </c>
      <c r="J61" s="112">
        <v>0.24</v>
      </c>
      <c r="K61" s="112">
        <v>295.55</v>
      </c>
      <c r="L61" s="112">
        <v>29.34</v>
      </c>
      <c r="M61" s="112">
        <v>78.34</v>
      </c>
      <c r="N61" s="112">
        <v>360.3</v>
      </c>
      <c r="O61" s="112">
        <v>0</v>
      </c>
      <c r="P61" s="112">
        <v>0.42</v>
      </c>
      <c r="Q61" s="112">
        <v>3.93</v>
      </c>
      <c r="R61" s="6"/>
      <c r="S61" s="6"/>
      <c r="T61" s="182"/>
      <c r="U61" s="6"/>
    </row>
    <row r="62" spans="1:21" customFormat="1">
      <c r="A62" s="196" t="s">
        <v>292</v>
      </c>
      <c r="B62" s="112">
        <v>9.34</v>
      </c>
      <c r="C62" s="112">
        <v>4.05</v>
      </c>
      <c r="D62" s="112">
        <v>14.05</v>
      </c>
      <c r="E62" s="112">
        <v>8.19</v>
      </c>
      <c r="F62" s="112">
        <v>24.55</v>
      </c>
      <c r="G62" s="112">
        <v>27.51</v>
      </c>
      <c r="H62" s="112">
        <v>11.42</v>
      </c>
      <c r="I62" s="112">
        <v>4.57</v>
      </c>
      <c r="J62" s="112">
        <v>0.35</v>
      </c>
      <c r="K62" s="112">
        <v>287.3</v>
      </c>
      <c r="L62" s="112">
        <v>29.69</v>
      </c>
      <c r="M62" s="112">
        <v>77.510000000000005</v>
      </c>
      <c r="N62" s="112">
        <v>259</v>
      </c>
      <c r="O62" s="112">
        <v>0</v>
      </c>
      <c r="P62" s="112">
        <v>0.41</v>
      </c>
      <c r="Q62" s="112">
        <v>3.93</v>
      </c>
      <c r="R62" s="6"/>
      <c r="S62" s="6"/>
      <c r="T62" s="182"/>
      <c r="U62" s="6"/>
    </row>
    <row r="63" spans="1:21" customFormat="1">
      <c r="A63" s="196" t="s">
        <v>293</v>
      </c>
      <c r="B63" s="112">
        <v>9.32</v>
      </c>
      <c r="C63" s="112">
        <v>4.05</v>
      </c>
      <c r="D63" s="112">
        <v>14.04</v>
      </c>
      <c r="E63" s="112">
        <v>8.31</v>
      </c>
      <c r="F63" s="112">
        <v>12.89</v>
      </c>
      <c r="G63" s="112">
        <v>27.51</v>
      </c>
      <c r="H63" s="112">
        <v>11.42</v>
      </c>
      <c r="I63" s="112">
        <v>4.42</v>
      </c>
      <c r="J63" s="112">
        <v>0.27</v>
      </c>
      <c r="K63" s="112">
        <v>335.18</v>
      </c>
      <c r="L63" s="112">
        <v>30.11</v>
      </c>
      <c r="M63" s="112">
        <v>75.02</v>
      </c>
      <c r="N63" s="112">
        <v>306</v>
      </c>
      <c r="O63" s="112">
        <v>0</v>
      </c>
      <c r="P63" s="112">
        <v>0.45</v>
      </c>
      <c r="Q63" s="112">
        <v>3.91</v>
      </c>
      <c r="R63" s="6"/>
      <c r="S63" s="6"/>
      <c r="T63" s="182"/>
      <c r="U63" s="6"/>
    </row>
    <row r="64" spans="1:21" customFormat="1">
      <c r="A64" s="196" t="s">
        <v>294</v>
      </c>
      <c r="B64" s="112">
        <v>9.3000000000000007</v>
      </c>
      <c r="C64" s="112">
        <v>4.0999999999999996</v>
      </c>
      <c r="D64" s="112">
        <v>14.05</v>
      </c>
      <c r="E64" s="112">
        <v>8.2200000000000006</v>
      </c>
      <c r="F64" s="112">
        <v>14.7</v>
      </c>
      <c r="G64" s="112">
        <v>24.89</v>
      </c>
      <c r="H64" s="112">
        <v>10.64</v>
      </c>
      <c r="I64" s="112">
        <v>4.33</v>
      </c>
      <c r="J64" s="112">
        <v>0.69</v>
      </c>
      <c r="K64" s="112">
        <v>2.89</v>
      </c>
      <c r="L64" s="112">
        <v>29.98</v>
      </c>
      <c r="M64" s="112">
        <v>74.650000000000006</v>
      </c>
      <c r="N64" s="112">
        <v>245.8</v>
      </c>
      <c r="O64" s="112">
        <v>0</v>
      </c>
      <c r="P64" s="112">
        <v>0.49</v>
      </c>
      <c r="Q64" s="112">
        <v>3.87</v>
      </c>
      <c r="R64" s="6"/>
      <c r="S64" s="6"/>
      <c r="T64" s="182"/>
      <c r="U64" s="6"/>
    </row>
    <row r="65" spans="1:21" customFormat="1">
      <c r="A65" s="196" t="s">
        <v>295</v>
      </c>
      <c r="B65" s="112">
        <v>9.33</v>
      </c>
      <c r="C65" s="112">
        <v>4.09</v>
      </c>
      <c r="D65" s="112">
        <v>14.07</v>
      </c>
      <c r="E65" s="112">
        <v>8.5</v>
      </c>
      <c r="F65" s="112">
        <v>15.26</v>
      </c>
      <c r="G65" s="112">
        <v>22.51</v>
      </c>
      <c r="H65" s="112">
        <v>9.86</v>
      </c>
      <c r="I65" s="112">
        <v>5</v>
      </c>
      <c r="J65" s="112">
        <v>0.28999999999999998</v>
      </c>
      <c r="K65" s="112">
        <v>27.88</v>
      </c>
      <c r="L65" s="112">
        <v>30.14</v>
      </c>
      <c r="M65" s="112">
        <v>74</v>
      </c>
      <c r="N65" s="112">
        <v>178.3</v>
      </c>
      <c r="O65" s="112">
        <v>0</v>
      </c>
      <c r="P65" s="112">
        <v>0.52</v>
      </c>
      <c r="Q65" s="112">
        <v>3.89</v>
      </c>
      <c r="R65" s="6"/>
      <c r="S65" s="6"/>
      <c r="T65" s="182"/>
      <c r="U65" s="6"/>
    </row>
    <row r="66" spans="1:21" customFormat="1">
      <c r="A66" s="196" t="s">
        <v>296</v>
      </c>
      <c r="B66" s="112">
        <v>9.31</v>
      </c>
      <c r="C66" s="112">
        <v>4.05</v>
      </c>
      <c r="D66" s="112">
        <v>14.03</v>
      </c>
      <c r="E66" s="112">
        <v>8.58</v>
      </c>
      <c r="F66" s="112">
        <v>14.77</v>
      </c>
      <c r="G66" s="112">
        <v>22.51</v>
      </c>
      <c r="H66" s="112">
        <v>9.86</v>
      </c>
      <c r="I66" s="112">
        <v>5.76</v>
      </c>
      <c r="J66" s="112">
        <v>0.09</v>
      </c>
      <c r="K66" s="112">
        <v>242.05</v>
      </c>
      <c r="L66" s="112">
        <v>30.13</v>
      </c>
      <c r="M66" s="112">
        <v>75.03</v>
      </c>
      <c r="N66" s="112">
        <v>231</v>
      </c>
      <c r="O66" s="112">
        <v>0</v>
      </c>
      <c r="P66" s="112">
        <v>0.53</v>
      </c>
      <c r="Q66" s="112">
        <v>3.91</v>
      </c>
      <c r="R66" s="6"/>
      <c r="S66" s="6"/>
      <c r="T66" s="182"/>
      <c r="U66" s="6"/>
    </row>
    <row r="67" spans="1:21" customFormat="1">
      <c r="A67" s="196" t="s">
        <v>297</v>
      </c>
      <c r="B67" s="112">
        <v>9.2799999999999994</v>
      </c>
      <c r="C67" s="112">
        <v>4.05</v>
      </c>
      <c r="D67" s="112">
        <v>14.01</v>
      </c>
      <c r="E67" s="112">
        <v>9.07</v>
      </c>
      <c r="F67" s="112">
        <v>16.510000000000002</v>
      </c>
      <c r="G67" s="112">
        <v>22.51</v>
      </c>
      <c r="H67" s="112">
        <v>9.86</v>
      </c>
      <c r="I67" s="112">
        <v>5.87</v>
      </c>
      <c r="J67" s="112">
        <v>0.2</v>
      </c>
      <c r="K67" s="112">
        <v>240.65</v>
      </c>
      <c r="L67" s="112">
        <v>30.85</v>
      </c>
      <c r="M67" s="112">
        <v>71.98</v>
      </c>
      <c r="N67" s="112">
        <v>326.8</v>
      </c>
      <c r="O67" s="112">
        <v>0</v>
      </c>
      <c r="P67" s="112">
        <v>0.53</v>
      </c>
      <c r="Q67" s="112">
        <v>3.91</v>
      </c>
      <c r="R67" s="6"/>
      <c r="S67" s="6"/>
      <c r="T67" s="182"/>
      <c r="U67" s="6"/>
    </row>
    <row r="68" spans="1:21" customFormat="1">
      <c r="A68" s="196" t="s">
        <v>298</v>
      </c>
      <c r="B68" s="112">
        <v>9.25</v>
      </c>
      <c r="C68" s="112">
        <v>4.07</v>
      </c>
      <c r="D68" s="112">
        <v>14</v>
      </c>
      <c r="E68" s="112">
        <v>9.7200000000000006</v>
      </c>
      <c r="F68" s="112">
        <v>14.39</v>
      </c>
      <c r="G68" s="112">
        <v>21.91</v>
      </c>
      <c r="H68" s="112">
        <v>8.16</v>
      </c>
      <c r="I68" s="112">
        <v>5.0999999999999996</v>
      </c>
      <c r="J68" s="112">
        <v>0.39</v>
      </c>
      <c r="K68" s="112">
        <v>330.62</v>
      </c>
      <c r="L68" s="112">
        <v>31.52</v>
      </c>
      <c r="M68" s="112">
        <v>70.13</v>
      </c>
      <c r="N68" s="112">
        <v>516</v>
      </c>
      <c r="O68" s="112">
        <v>0</v>
      </c>
      <c r="P68" s="112">
        <v>0.54</v>
      </c>
      <c r="Q68" s="112">
        <v>3.9</v>
      </c>
      <c r="R68" s="6"/>
      <c r="S68" s="6"/>
      <c r="T68" s="182"/>
      <c r="U68" s="6"/>
    </row>
    <row r="69" spans="1:21" customFormat="1">
      <c r="A69" s="196" t="s">
        <v>299</v>
      </c>
      <c r="B69" s="112">
        <v>9.24</v>
      </c>
      <c r="C69" s="112">
        <v>4.0999999999999996</v>
      </c>
      <c r="D69" s="112">
        <v>14</v>
      </c>
      <c r="E69" s="112">
        <v>11.97</v>
      </c>
      <c r="F69" s="112">
        <v>12.21</v>
      </c>
      <c r="G69" s="112">
        <v>21.33</v>
      </c>
      <c r="H69" s="112">
        <v>7.37</v>
      </c>
      <c r="I69" s="112">
        <v>5.04</v>
      </c>
      <c r="J69" s="112">
        <v>0.34</v>
      </c>
      <c r="K69" s="112">
        <v>287.13</v>
      </c>
      <c r="L69" s="112">
        <v>32.58</v>
      </c>
      <c r="M69" s="112">
        <v>66.400000000000006</v>
      </c>
      <c r="N69" s="112">
        <v>673.7</v>
      </c>
      <c r="O69" s="112">
        <v>0</v>
      </c>
      <c r="P69" s="112">
        <v>0.53</v>
      </c>
      <c r="Q69" s="112">
        <v>3.9</v>
      </c>
      <c r="R69" s="6"/>
      <c r="S69" s="6"/>
      <c r="T69" s="182"/>
      <c r="U69" s="6"/>
    </row>
    <row r="70" spans="1:21" customFormat="1">
      <c r="A70" s="196" t="s">
        <v>300</v>
      </c>
      <c r="B70" s="112">
        <v>9.26</v>
      </c>
      <c r="C70" s="112">
        <v>4.08</v>
      </c>
      <c r="D70" s="112">
        <v>14.01</v>
      </c>
      <c r="E70" s="112">
        <v>11.97</v>
      </c>
      <c r="F70" s="112">
        <v>8.3800000000000008</v>
      </c>
      <c r="G70" s="112">
        <v>21.33</v>
      </c>
      <c r="H70" s="112">
        <v>7.37</v>
      </c>
      <c r="I70" s="112">
        <v>5.12</v>
      </c>
      <c r="J70" s="112">
        <v>0.32</v>
      </c>
      <c r="K70" s="112">
        <v>185.65</v>
      </c>
      <c r="L70" s="112">
        <v>33.299999999999997</v>
      </c>
      <c r="M70" s="112">
        <v>64.209999999999994</v>
      </c>
      <c r="N70" s="112">
        <v>506.7</v>
      </c>
      <c r="O70" s="112">
        <v>0</v>
      </c>
      <c r="P70" s="112">
        <v>0.53</v>
      </c>
      <c r="Q70" s="112">
        <v>3.9</v>
      </c>
      <c r="R70" s="6"/>
      <c r="S70" s="6"/>
      <c r="T70" s="182"/>
      <c r="U70" s="6"/>
    </row>
    <row r="71" spans="1:21" customFormat="1">
      <c r="A71" s="196" t="s">
        <v>301</v>
      </c>
      <c r="B71" s="112">
        <v>9.26</v>
      </c>
      <c r="C71" s="112">
        <v>4.05</v>
      </c>
      <c r="D71" s="112">
        <v>14</v>
      </c>
      <c r="E71" s="112">
        <v>11.01</v>
      </c>
      <c r="F71" s="112">
        <v>12.64</v>
      </c>
      <c r="G71" s="112">
        <v>21.33</v>
      </c>
      <c r="H71" s="112">
        <v>7.37</v>
      </c>
      <c r="I71" s="112">
        <v>5.22</v>
      </c>
      <c r="J71" s="112">
        <v>0.15</v>
      </c>
      <c r="K71" s="112">
        <v>272.72000000000003</v>
      </c>
      <c r="L71" s="112">
        <v>32.869999999999997</v>
      </c>
      <c r="M71" s="112">
        <v>65.8</v>
      </c>
      <c r="N71" s="112">
        <v>402.5</v>
      </c>
      <c r="O71" s="112">
        <v>0</v>
      </c>
      <c r="P71" s="112">
        <v>0.53</v>
      </c>
      <c r="Q71" s="112">
        <v>3.9</v>
      </c>
      <c r="R71" s="6"/>
      <c r="S71" s="6"/>
      <c r="T71" s="182"/>
      <c r="U71" s="6"/>
    </row>
    <row r="72" spans="1:21" customFormat="1">
      <c r="A72" s="196" t="s">
        <v>302</v>
      </c>
      <c r="B72" s="112">
        <v>9.26</v>
      </c>
      <c r="C72" s="112">
        <v>4.07</v>
      </c>
      <c r="D72" s="112">
        <v>14</v>
      </c>
      <c r="E72" s="112">
        <v>12.97</v>
      </c>
      <c r="F72" s="112">
        <v>11.05</v>
      </c>
      <c r="G72" s="112">
        <v>22.52</v>
      </c>
      <c r="H72" s="112">
        <v>8.61</v>
      </c>
      <c r="I72" s="112">
        <v>5.31</v>
      </c>
      <c r="J72" s="112">
        <v>0.26</v>
      </c>
      <c r="K72" s="112">
        <v>172.48</v>
      </c>
      <c r="L72" s="112">
        <v>33.11</v>
      </c>
      <c r="M72" s="112">
        <v>67.48</v>
      </c>
      <c r="N72" s="112">
        <v>349.6</v>
      </c>
      <c r="O72" s="112">
        <v>0</v>
      </c>
      <c r="P72" s="112">
        <v>0.54</v>
      </c>
      <c r="Q72" s="112">
        <v>3.91</v>
      </c>
      <c r="R72" s="6"/>
      <c r="S72" s="6"/>
      <c r="T72" s="182"/>
      <c r="U72" s="6"/>
    </row>
    <row r="73" spans="1:21" customFormat="1">
      <c r="A73" s="196" t="s">
        <v>303</v>
      </c>
      <c r="B73" s="112">
        <v>9.26</v>
      </c>
      <c r="C73" s="112">
        <v>4.1100000000000003</v>
      </c>
      <c r="D73" s="112">
        <v>14.02</v>
      </c>
      <c r="E73" s="112">
        <v>12.01</v>
      </c>
      <c r="F73" s="112">
        <v>11.84</v>
      </c>
      <c r="G73" s="112">
        <v>23.52</v>
      </c>
      <c r="H73" s="112">
        <v>9.2100000000000009</v>
      </c>
      <c r="I73" s="112">
        <v>5.31</v>
      </c>
      <c r="J73" s="112">
        <v>0.19</v>
      </c>
      <c r="K73" s="112">
        <v>121.63</v>
      </c>
      <c r="L73" s="112">
        <v>32.090000000000003</v>
      </c>
      <c r="M73" s="112">
        <v>70.36</v>
      </c>
      <c r="N73" s="112">
        <v>88.6</v>
      </c>
      <c r="O73" s="112">
        <v>0</v>
      </c>
      <c r="P73" s="112">
        <v>0.54</v>
      </c>
      <c r="Q73" s="112">
        <v>3.92</v>
      </c>
      <c r="R73" s="6"/>
      <c r="S73" s="6"/>
      <c r="T73" s="182"/>
      <c r="U73" s="6"/>
    </row>
    <row r="74" spans="1:21" customFormat="1">
      <c r="A74" s="196" t="s">
        <v>304</v>
      </c>
      <c r="B74" s="112">
        <v>9.2799999999999994</v>
      </c>
      <c r="C74" s="112">
        <v>4.13</v>
      </c>
      <c r="D74" s="112">
        <v>14.05</v>
      </c>
      <c r="E74" s="112">
        <v>11.22</v>
      </c>
      <c r="F74" s="112">
        <v>16.43</v>
      </c>
      <c r="G74" s="112">
        <v>23.52</v>
      </c>
      <c r="H74" s="112">
        <v>9.2100000000000009</v>
      </c>
      <c r="I74" s="112">
        <v>5.5</v>
      </c>
      <c r="J74" s="112">
        <v>0.21</v>
      </c>
      <c r="K74" s="112">
        <v>168.8</v>
      </c>
      <c r="L74" s="112">
        <v>31.23</v>
      </c>
      <c r="M74" s="112">
        <v>73.23</v>
      </c>
      <c r="N74" s="112">
        <v>83.3</v>
      </c>
      <c r="O74" s="112">
        <v>0</v>
      </c>
      <c r="P74" s="112">
        <v>0.55000000000000004</v>
      </c>
      <c r="Q74" s="112">
        <v>3.9</v>
      </c>
      <c r="R74" s="6"/>
      <c r="S74" s="6"/>
      <c r="T74" s="182"/>
      <c r="U74" s="6"/>
    </row>
    <row r="75" spans="1:21" customFormat="1">
      <c r="A75" s="196" t="s">
        <v>305</v>
      </c>
      <c r="B75" s="112">
        <v>9.2899999999999991</v>
      </c>
      <c r="C75" s="112">
        <v>4.12</v>
      </c>
      <c r="D75" s="112">
        <v>14.06</v>
      </c>
      <c r="E75" s="112">
        <v>11.24</v>
      </c>
      <c r="F75" s="112">
        <v>15.51</v>
      </c>
      <c r="G75" s="112">
        <v>23.52</v>
      </c>
      <c r="H75" s="112">
        <v>9.2100000000000009</v>
      </c>
      <c r="I75" s="112">
        <v>5.55</v>
      </c>
      <c r="J75" s="112">
        <v>0.26</v>
      </c>
      <c r="K75" s="112">
        <v>184.87</v>
      </c>
      <c r="L75" s="112">
        <v>30.74</v>
      </c>
      <c r="M75" s="112">
        <v>75.05</v>
      </c>
      <c r="N75" s="112">
        <v>94.8</v>
      </c>
      <c r="O75" s="112">
        <v>0</v>
      </c>
      <c r="P75" s="112">
        <v>0.54</v>
      </c>
      <c r="Q75" s="112">
        <v>3.91</v>
      </c>
      <c r="R75" s="6"/>
      <c r="S75" s="6"/>
      <c r="T75" s="182"/>
      <c r="U75" s="6"/>
    </row>
    <row r="76" spans="1:21" customFormat="1">
      <c r="A76" s="196" t="s">
        <v>306</v>
      </c>
      <c r="B76" s="112">
        <v>9.25</v>
      </c>
      <c r="C76" s="112">
        <v>4.09</v>
      </c>
      <c r="D76" s="112">
        <v>14</v>
      </c>
      <c r="E76" s="112">
        <v>11.01</v>
      </c>
      <c r="F76" s="112">
        <v>16.12</v>
      </c>
      <c r="G76" s="112">
        <v>23.96</v>
      </c>
      <c r="H76" s="112">
        <v>9.93</v>
      </c>
      <c r="I76" s="112">
        <v>5.59</v>
      </c>
      <c r="J76" s="112">
        <v>0.11</v>
      </c>
      <c r="K76" s="112">
        <v>228.75</v>
      </c>
      <c r="L76" s="112">
        <v>30.56</v>
      </c>
      <c r="M76" s="112">
        <v>76.930000000000007</v>
      </c>
      <c r="N76" s="112">
        <v>84.9</v>
      </c>
      <c r="O76" s="112">
        <v>0</v>
      </c>
      <c r="P76" s="112">
        <v>0.54</v>
      </c>
      <c r="Q76" s="112">
        <v>3.91</v>
      </c>
      <c r="R76" s="6"/>
      <c r="S76" s="6"/>
      <c r="T76" s="182"/>
      <c r="U76" s="6"/>
    </row>
    <row r="77" spans="1:21" customFormat="1">
      <c r="A77" s="196" t="s">
        <v>307</v>
      </c>
      <c r="B77" s="112">
        <v>9.2200000000000006</v>
      </c>
      <c r="C77" s="112">
        <v>4.0999999999999996</v>
      </c>
      <c r="D77" s="112">
        <v>13.99</v>
      </c>
      <c r="E77" s="112">
        <v>10.86</v>
      </c>
      <c r="F77" s="112">
        <v>15.58</v>
      </c>
      <c r="G77" s="112">
        <v>24.36</v>
      </c>
      <c r="H77" s="112">
        <v>10.24</v>
      </c>
      <c r="I77" s="112">
        <v>5.6</v>
      </c>
      <c r="J77" s="112">
        <v>0.18</v>
      </c>
      <c r="K77" s="112">
        <v>178.09</v>
      </c>
      <c r="L77" s="112">
        <v>30.68</v>
      </c>
      <c r="M77" s="112">
        <v>76.06</v>
      </c>
      <c r="N77" s="112">
        <v>94.1</v>
      </c>
      <c r="O77" s="112">
        <v>0</v>
      </c>
      <c r="P77" s="112">
        <v>0.53</v>
      </c>
      <c r="Q77" s="112">
        <v>3.91</v>
      </c>
      <c r="R77" s="6"/>
      <c r="S77" s="6"/>
      <c r="T77" s="182"/>
      <c r="U77" s="6"/>
    </row>
    <row r="78" spans="1:21" customFormat="1">
      <c r="A78" s="196" t="s">
        <v>308</v>
      </c>
      <c r="B78" s="112">
        <v>9.2100000000000009</v>
      </c>
      <c r="C78" s="112">
        <v>4.09</v>
      </c>
      <c r="D78" s="112">
        <v>13.97</v>
      </c>
      <c r="E78" s="112">
        <v>11.17</v>
      </c>
      <c r="F78" s="112">
        <v>16.350000000000001</v>
      </c>
      <c r="G78" s="112">
        <v>24.36</v>
      </c>
      <c r="H78" s="112">
        <v>10.24</v>
      </c>
      <c r="I78" s="112">
        <v>5.56</v>
      </c>
      <c r="J78" s="112">
        <v>0.3</v>
      </c>
      <c r="K78" s="112">
        <v>161.36000000000001</v>
      </c>
      <c r="L78" s="112">
        <v>31.03</v>
      </c>
      <c r="M78" s="112">
        <v>74.28</v>
      </c>
      <c r="N78" s="112">
        <v>101.8</v>
      </c>
      <c r="O78" s="112">
        <v>0</v>
      </c>
      <c r="P78" s="112">
        <v>0.54</v>
      </c>
      <c r="Q78" s="112">
        <v>3.9</v>
      </c>
      <c r="R78" s="6"/>
      <c r="S78" s="6"/>
      <c r="T78" s="182"/>
      <c r="U78" s="6"/>
    </row>
    <row r="79" spans="1:21" customFormat="1">
      <c r="A79" s="196" t="s">
        <v>309</v>
      </c>
      <c r="B79" s="112">
        <v>9.1999999999999993</v>
      </c>
      <c r="C79" s="112">
        <v>4.08</v>
      </c>
      <c r="D79" s="112">
        <v>13.96</v>
      </c>
      <c r="E79" s="112">
        <v>11.21</v>
      </c>
      <c r="F79" s="112">
        <v>17.3</v>
      </c>
      <c r="G79" s="112">
        <v>24.36</v>
      </c>
      <c r="H79" s="112">
        <v>10.24</v>
      </c>
      <c r="I79" s="112">
        <v>5.44</v>
      </c>
      <c r="J79" s="112">
        <v>0.19</v>
      </c>
      <c r="K79" s="112">
        <v>165.05</v>
      </c>
      <c r="L79" s="112">
        <v>31.27</v>
      </c>
      <c r="M79" s="112">
        <v>73.16</v>
      </c>
      <c r="N79" s="112">
        <v>112.9</v>
      </c>
      <c r="O79" s="112">
        <v>0</v>
      </c>
      <c r="P79" s="112">
        <v>0.53</v>
      </c>
      <c r="Q79" s="112">
        <v>3.91</v>
      </c>
      <c r="R79" s="6"/>
      <c r="S79" s="6"/>
      <c r="T79" s="182"/>
      <c r="U79" s="6"/>
    </row>
    <row r="80" spans="1:21" customFormat="1">
      <c r="A80" s="196" t="s">
        <v>310</v>
      </c>
      <c r="B80" s="112">
        <v>9.2100000000000009</v>
      </c>
      <c r="C80" s="112">
        <v>4.07</v>
      </c>
      <c r="D80" s="112">
        <v>13.96</v>
      </c>
      <c r="E80" s="112">
        <v>11.35</v>
      </c>
      <c r="F80" s="112">
        <v>19.41</v>
      </c>
      <c r="G80" s="112">
        <v>22.53</v>
      </c>
      <c r="H80" s="112">
        <v>11.07</v>
      </c>
      <c r="I80" s="112">
        <v>5.44</v>
      </c>
      <c r="J80" s="112">
        <v>0.16</v>
      </c>
      <c r="K80" s="112">
        <v>188.37</v>
      </c>
      <c r="L80" s="112">
        <v>30.92</v>
      </c>
      <c r="M80" s="112">
        <v>74.430000000000007</v>
      </c>
      <c r="N80" s="112">
        <v>67.5</v>
      </c>
      <c r="O80" s="112">
        <v>0</v>
      </c>
      <c r="P80" s="112">
        <v>0.54</v>
      </c>
      <c r="Q80" s="112">
        <v>3.89</v>
      </c>
      <c r="R80" s="6"/>
      <c r="S80" s="6"/>
      <c r="T80" s="182"/>
      <c r="U80" s="6"/>
    </row>
    <row r="81" spans="1:26" customFormat="1">
      <c r="A81" s="196" t="s">
        <v>311</v>
      </c>
      <c r="B81" s="112">
        <v>9.2100000000000009</v>
      </c>
      <c r="C81" s="112">
        <v>4.05</v>
      </c>
      <c r="D81" s="112">
        <v>13.95</v>
      </c>
      <c r="E81" s="112">
        <v>9.32</v>
      </c>
      <c r="F81" s="112">
        <v>15.85</v>
      </c>
      <c r="G81" s="112">
        <v>20.7</v>
      </c>
      <c r="H81" s="112">
        <v>11.5</v>
      </c>
      <c r="I81" s="112">
        <v>5.4</v>
      </c>
      <c r="J81" s="112">
        <v>0.17</v>
      </c>
      <c r="K81" s="112">
        <v>180.36</v>
      </c>
      <c r="L81" s="112">
        <v>30.52</v>
      </c>
      <c r="M81" s="112">
        <v>75.61</v>
      </c>
      <c r="N81" s="112">
        <v>32.700000000000003</v>
      </c>
      <c r="O81" s="112">
        <v>0</v>
      </c>
      <c r="P81" s="112">
        <v>0.54</v>
      </c>
      <c r="Q81" s="112">
        <v>3.91</v>
      </c>
      <c r="R81" s="6"/>
      <c r="S81" s="6"/>
      <c r="T81" s="182"/>
      <c r="U81" s="6"/>
    </row>
    <row r="82" spans="1:26" customFormat="1">
      <c r="A82" s="196" t="s">
        <v>312</v>
      </c>
      <c r="B82" s="112">
        <v>9.2100000000000009</v>
      </c>
      <c r="C82" s="112">
        <v>4.05</v>
      </c>
      <c r="D82" s="112">
        <v>13.95</v>
      </c>
      <c r="E82" s="112">
        <v>10.3</v>
      </c>
      <c r="F82" s="112">
        <v>15.87</v>
      </c>
      <c r="G82" s="112">
        <v>20.7</v>
      </c>
      <c r="H82" s="112">
        <v>11.5</v>
      </c>
      <c r="I82" s="112">
        <v>5.45</v>
      </c>
      <c r="J82" s="112">
        <v>0.14000000000000001</v>
      </c>
      <c r="K82" s="112">
        <v>202.59</v>
      </c>
      <c r="L82" s="112">
        <v>29.75</v>
      </c>
      <c r="M82" s="112">
        <v>79</v>
      </c>
      <c r="N82" s="112">
        <v>13.6</v>
      </c>
      <c r="O82" s="112">
        <v>0</v>
      </c>
      <c r="P82" s="112">
        <v>0.53</v>
      </c>
      <c r="Q82" s="112">
        <v>3.91</v>
      </c>
      <c r="R82" s="6"/>
      <c r="S82" s="6"/>
      <c r="T82" s="182"/>
      <c r="U82" s="6"/>
    </row>
    <row r="83" spans="1:26" customFormat="1">
      <c r="A83" s="196" t="s">
        <v>313</v>
      </c>
      <c r="B83" s="112">
        <v>9.2200000000000006</v>
      </c>
      <c r="C83" s="112">
        <v>4.08</v>
      </c>
      <c r="D83" s="112">
        <v>13.98</v>
      </c>
      <c r="E83" s="112">
        <v>9.8800000000000008</v>
      </c>
      <c r="F83" s="112">
        <v>25.68</v>
      </c>
      <c r="G83" s="112">
        <v>20.7</v>
      </c>
      <c r="H83" s="112">
        <v>11.5</v>
      </c>
      <c r="I83" s="112">
        <v>5.45</v>
      </c>
      <c r="J83" s="112">
        <v>0.17</v>
      </c>
      <c r="K83" s="112">
        <v>219.44</v>
      </c>
      <c r="L83" s="112">
        <v>29.18</v>
      </c>
      <c r="M83" s="112">
        <v>79.819999999999993</v>
      </c>
      <c r="N83" s="112">
        <v>4.5</v>
      </c>
      <c r="O83" s="112">
        <v>0</v>
      </c>
      <c r="P83" s="112">
        <v>0.51</v>
      </c>
      <c r="Q83" s="112">
        <v>3.88</v>
      </c>
      <c r="R83" s="6"/>
      <c r="S83" s="6"/>
      <c r="T83" s="182"/>
      <c r="U83" s="6"/>
    </row>
    <row r="84" spans="1:26" customFormat="1">
      <c r="A84" s="196" t="s">
        <v>314</v>
      </c>
      <c r="B84" s="112">
        <v>9.23</v>
      </c>
      <c r="C84" s="112">
        <v>4.09</v>
      </c>
      <c r="D84" s="112">
        <v>13.99</v>
      </c>
      <c r="E84" s="112">
        <v>9.4600000000000009</v>
      </c>
      <c r="F84" s="112">
        <v>31.47</v>
      </c>
      <c r="G84" s="112">
        <v>23.3</v>
      </c>
      <c r="H84" s="112">
        <v>9.69</v>
      </c>
      <c r="I84" s="112">
        <v>5.37</v>
      </c>
      <c r="J84" s="112">
        <v>0.14000000000000001</v>
      </c>
      <c r="K84" s="112">
        <v>225.82</v>
      </c>
      <c r="L84" s="112">
        <v>28.7</v>
      </c>
      <c r="M84" s="112">
        <v>81.06</v>
      </c>
      <c r="N84" s="112">
        <v>2.4</v>
      </c>
      <c r="O84" s="112">
        <v>0</v>
      </c>
      <c r="P84" s="112">
        <v>0.48</v>
      </c>
      <c r="Q84" s="112">
        <v>3.89</v>
      </c>
      <c r="R84" s="6"/>
      <c r="S84" s="6"/>
      <c r="T84" s="182"/>
      <c r="U84" s="6"/>
    </row>
    <row r="85" spans="1:26" customFormat="1">
      <c r="A85" s="196" t="s">
        <v>315</v>
      </c>
      <c r="B85" s="112">
        <v>9.2100000000000009</v>
      </c>
      <c r="C85" s="112">
        <v>4.12</v>
      </c>
      <c r="D85" s="112">
        <v>13.99</v>
      </c>
      <c r="E85" s="112">
        <v>9.33</v>
      </c>
      <c r="F85" s="112">
        <v>25.17</v>
      </c>
      <c r="G85" s="112">
        <v>25.9</v>
      </c>
      <c r="H85" s="112">
        <v>8.74</v>
      </c>
      <c r="I85" s="112">
        <v>4.84</v>
      </c>
      <c r="J85" s="112">
        <v>0.13</v>
      </c>
      <c r="K85" s="112">
        <v>177.13</v>
      </c>
      <c r="L85" s="112">
        <v>28.64</v>
      </c>
      <c r="M85" s="112">
        <v>83.42</v>
      </c>
      <c r="N85" s="112">
        <v>2.1</v>
      </c>
      <c r="O85" s="112">
        <v>0</v>
      </c>
      <c r="P85" s="112">
        <v>0.48</v>
      </c>
      <c r="Q85" s="112">
        <v>3.9</v>
      </c>
      <c r="R85" s="6"/>
      <c r="S85" s="6"/>
      <c r="T85" s="182"/>
      <c r="U85" s="6"/>
    </row>
    <row r="86" spans="1:26" customFormat="1">
      <c r="A86" s="196" t="s">
        <v>316</v>
      </c>
      <c r="B86" s="112">
        <v>9.2200000000000006</v>
      </c>
      <c r="C86" s="112">
        <v>4.09</v>
      </c>
      <c r="D86" s="112">
        <v>13.98</v>
      </c>
      <c r="E86" s="112">
        <v>8.5500000000000007</v>
      </c>
      <c r="F86" s="112">
        <v>27.72</v>
      </c>
      <c r="G86" s="112">
        <v>25.9</v>
      </c>
      <c r="H86" s="112">
        <v>8.74</v>
      </c>
      <c r="I86" s="112">
        <v>4.42</v>
      </c>
      <c r="J86" s="112">
        <v>0.19</v>
      </c>
      <c r="K86" s="112">
        <v>253.06</v>
      </c>
      <c r="L86" s="112">
        <v>28.34</v>
      </c>
      <c r="M86" s="112">
        <v>86.54</v>
      </c>
      <c r="N86" s="112">
        <v>2</v>
      </c>
      <c r="O86" s="112">
        <v>0</v>
      </c>
      <c r="P86" s="112">
        <v>0.45</v>
      </c>
      <c r="Q86" s="112">
        <v>3.93</v>
      </c>
      <c r="R86" s="6"/>
      <c r="S86" s="6"/>
      <c r="T86" s="182"/>
      <c r="U86" s="6"/>
    </row>
    <row r="87" spans="1:26" customFormat="1">
      <c r="A87" s="196" t="s">
        <v>317</v>
      </c>
      <c r="B87" s="112">
        <v>9.24</v>
      </c>
      <c r="C87" s="112">
        <v>4.05</v>
      </c>
      <c r="D87" s="112">
        <v>13.97</v>
      </c>
      <c r="E87" s="112">
        <v>8.4</v>
      </c>
      <c r="F87" s="112">
        <v>28.41</v>
      </c>
      <c r="G87" s="112">
        <v>25.9</v>
      </c>
      <c r="H87" s="112">
        <v>8.74</v>
      </c>
      <c r="I87" s="112">
        <v>4.54</v>
      </c>
      <c r="J87" s="112">
        <v>0.11</v>
      </c>
      <c r="K87" s="112">
        <v>240.78</v>
      </c>
      <c r="L87" s="112">
        <v>28.27</v>
      </c>
      <c r="M87" s="112">
        <v>88.69</v>
      </c>
      <c r="N87" s="112">
        <v>2</v>
      </c>
      <c r="O87" s="112">
        <v>0</v>
      </c>
      <c r="P87" s="112">
        <v>0.42</v>
      </c>
      <c r="Q87" s="112">
        <v>3.91</v>
      </c>
      <c r="R87" s="6"/>
      <c r="S87" s="6"/>
      <c r="T87" s="182"/>
      <c r="U87" s="6"/>
    </row>
    <row r="88" spans="1:26" customFormat="1">
      <c r="A88" s="196" t="s">
        <v>318</v>
      </c>
      <c r="B88" s="112">
        <v>9.2899999999999991</v>
      </c>
      <c r="C88" s="112">
        <v>4.04</v>
      </c>
      <c r="D88" s="112">
        <v>14.01</v>
      </c>
      <c r="E88" s="112">
        <v>8.26</v>
      </c>
      <c r="F88" s="112">
        <v>33.770000000000003</v>
      </c>
      <c r="G88" s="112">
        <v>23.55</v>
      </c>
      <c r="H88" s="112">
        <v>8.61</v>
      </c>
      <c r="I88" s="112">
        <v>4.3899999999999997</v>
      </c>
      <c r="J88" s="112">
        <v>0.14000000000000001</v>
      </c>
      <c r="K88" s="112">
        <v>228.09</v>
      </c>
      <c r="L88" s="112">
        <v>28.08</v>
      </c>
      <c r="M88" s="112">
        <v>90.41</v>
      </c>
      <c r="N88" s="112">
        <v>2.1</v>
      </c>
      <c r="O88" s="112">
        <v>0</v>
      </c>
      <c r="P88" s="112">
        <v>0.38</v>
      </c>
      <c r="Q88" s="112">
        <v>3.91</v>
      </c>
      <c r="R88" s="6"/>
      <c r="S88" s="6"/>
      <c r="T88" s="182"/>
      <c r="U88" s="6"/>
    </row>
    <row r="89" spans="1:26" customFormat="1">
      <c r="A89" s="196" t="s">
        <v>319</v>
      </c>
      <c r="B89" s="112">
        <v>9.2899999999999991</v>
      </c>
      <c r="C89" s="112">
        <v>4.1100000000000003</v>
      </c>
      <c r="D89" s="112">
        <v>14.05</v>
      </c>
      <c r="E89" s="112">
        <v>7.65</v>
      </c>
      <c r="F89" s="112">
        <v>31.2</v>
      </c>
      <c r="G89" s="112">
        <v>21.27</v>
      </c>
      <c r="H89" s="112">
        <v>8.5</v>
      </c>
      <c r="I89" s="112">
        <v>4.22</v>
      </c>
      <c r="J89" s="112">
        <v>0.13</v>
      </c>
      <c r="K89" s="112">
        <v>259.82</v>
      </c>
      <c r="L89" s="112">
        <v>27.83</v>
      </c>
      <c r="M89" s="112">
        <v>90.81</v>
      </c>
      <c r="N89" s="112">
        <v>2</v>
      </c>
      <c r="O89" s="112">
        <v>0</v>
      </c>
      <c r="P89" s="112">
        <v>0.37</v>
      </c>
      <c r="Q89" s="112">
        <v>3.91</v>
      </c>
      <c r="R89" s="6"/>
      <c r="S89" s="6"/>
      <c r="T89" s="182"/>
      <c r="U89" s="6"/>
    </row>
    <row r="90" spans="1:26" customFormat="1">
      <c r="A90" s="196" t="s">
        <v>320</v>
      </c>
      <c r="B90" s="112">
        <v>9.24</v>
      </c>
      <c r="C90" s="112">
        <v>4.09</v>
      </c>
      <c r="D90" s="112">
        <v>13.99</v>
      </c>
      <c r="E90" s="112">
        <v>8.14</v>
      </c>
      <c r="F90" s="112">
        <v>29.22</v>
      </c>
      <c r="G90" s="112">
        <v>21.27</v>
      </c>
      <c r="H90" s="112">
        <v>8.5</v>
      </c>
      <c r="I90" s="112">
        <v>3.69</v>
      </c>
      <c r="J90" s="112">
        <v>0.11</v>
      </c>
      <c r="K90" s="112">
        <v>182.56</v>
      </c>
      <c r="L90" s="112">
        <v>27.88</v>
      </c>
      <c r="M90" s="112">
        <v>90.3</v>
      </c>
      <c r="N90" s="112">
        <v>1.8</v>
      </c>
      <c r="O90" s="112">
        <v>0</v>
      </c>
      <c r="P90" s="112">
        <v>0.36</v>
      </c>
      <c r="Q90" s="112">
        <v>3.93</v>
      </c>
      <c r="R90" s="6"/>
      <c r="S90" s="6"/>
      <c r="T90" s="182"/>
      <c r="U90" s="6"/>
    </row>
    <row r="91" spans="1:26" customFormat="1">
      <c r="A91" s="196" t="s">
        <v>321</v>
      </c>
      <c r="B91" s="112">
        <v>9.24</v>
      </c>
      <c r="C91" s="112">
        <v>4.0599999999999996</v>
      </c>
      <c r="D91" s="112">
        <v>13.98</v>
      </c>
      <c r="E91" s="112">
        <v>7.54</v>
      </c>
      <c r="F91" s="112">
        <v>29.24</v>
      </c>
      <c r="G91" s="112">
        <v>21.27</v>
      </c>
      <c r="H91" s="112">
        <v>8.5</v>
      </c>
      <c r="I91" s="112">
        <v>3.71</v>
      </c>
      <c r="J91" s="112">
        <v>0.12</v>
      </c>
      <c r="K91" s="112">
        <v>201.27</v>
      </c>
      <c r="L91" s="112">
        <v>27.61</v>
      </c>
      <c r="M91" s="112">
        <v>90.99</v>
      </c>
      <c r="N91" s="112">
        <v>2.1</v>
      </c>
      <c r="O91" s="112">
        <v>0</v>
      </c>
      <c r="P91" s="112">
        <v>0.35</v>
      </c>
      <c r="Q91" s="112">
        <v>3.94</v>
      </c>
      <c r="R91" s="6"/>
      <c r="S91" s="6"/>
      <c r="T91" s="182"/>
      <c r="U91" s="6"/>
    </row>
    <row r="92" spans="1:26" customFormat="1">
      <c r="A92" s="196" t="s">
        <v>322</v>
      </c>
      <c r="B92" s="112">
        <v>9.25</v>
      </c>
      <c r="C92" s="112">
        <v>4.07</v>
      </c>
      <c r="D92" s="112">
        <v>13.99</v>
      </c>
      <c r="E92" s="112">
        <v>7.11</v>
      </c>
      <c r="F92" s="112">
        <v>28.86</v>
      </c>
      <c r="G92" s="112">
        <v>19.59</v>
      </c>
      <c r="H92" s="112">
        <v>6.96</v>
      </c>
      <c r="I92" s="112">
        <v>3.76</v>
      </c>
      <c r="J92" s="112">
        <v>0.12</v>
      </c>
      <c r="K92" s="112">
        <v>182.01</v>
      </c>
      <c r="L92" s="112">
        <v>27.49</v>
      </c>
      <c r="M92" s="112">
        <v>91.42</v>
      </c>
      <c r="N92" s="112">
        <v>1.8</v>
      </c>
      <c r="O92" s="112">
        <v>0</v>
      </c>
      <c r="P92" s="112">
        <v>0.35</v>
      </c>
      <c r="Q92" s="112">
        <v>3.94</v>
      </c>
      <c r="R92" s="6"/>
      <c r="S92" s="6"/>
      <c r="T92" s="182"/>
      <c r="U92" s="6"/>
    </row>
    <row r="93" spans="1:26" customFormat="1">
      <c r="A93" s="196" t="s">
        <v>323</v>
      </c>
      <c r="B93" s="112">
        <v>9.27</v>
      </c>
      <c r="C93" s="112">
        <v>4.0599999999999996</v>
      </c>
      <c r="D93" s="112">
        <v>14</v>
      </c>
      <c r="E93" s="112">
        <v>7.76</v>
      </c>
      <c r="F93" s="112">
        <v>26.61</v>
      </c>
      <c r="G93" s="112">
        <v>17.91</v>
      </c>
      <c r="H93" s="112">
        <v>6.23</v>
      </c>
      <c r="I93" s="112">
        <v>3.69</v>
      </c>
      <c r="J93" s="112">
        <v>0.12</v>
      </c>
      <c r="K93" s="112">
        <v>176.24</v>
      </c>
      <c r="L93" s="112">
        <v>27.38</v>
      </c>
      <c r="M93" s="112">
        <v>92.19</v>
      </c>
      <c r="N93" s="112">
        <v>1.9</v>
      </c>
      <c r="O93" s="112">
        <v>0</v>
      </c>
      <c r="P93" s="112">
        <v>0.35</v>
      </c>
      <c r="Q93" s="112">
        <v>3.92</v>
      </c>
      <c r="R93" s="6"/>
      <c r="S93" s="6"/>
      <c r="T93" s="182"/>
      <c r="U93" s="6"/>
    </row>
    <row r="94" spans="1:26" customFormat="1">
      <c r="A94" s="196" t="s">
        <v>324</v>
      </c>
      <c r="B94" s="112">
        <v>9.26</v>
      </c>
      <c r="C94" s="112">
        <v>4.0599999999999996</v>
      </c>
      <c r="D94" s="112">
        <v>14</v>
      </c>
      <c r="E94" s="112">
        <v>8.17</v>
      </c>
      <c r="F94" s="112">
        <v>23.38</v>
      </c>
      <c r="G94" s="112">
        <v>17.91</v>
      </c>
      <c r="H94" s="112">
        <v>6.23</v>
      </c>
      <c r="I94" s="112">
        <v>3.62</v>
      </c>
      <c r="J94" s="112">
        <v>0.13</v>
      </c>
      <c r="K94" s="112">
        <v>165.97</v>
      </c>
      <c r="L94" s="112">
        <v>27.43</v>
      </c>
      <c r="M94" s="112">
        <v>92.99</v>
      </c>
      <c r="N94" s="112">
        <v>1.8</v>
      </c>
      <c r="O94" s="112">
        <v>0</v>
      </c>
      <c r="P94" s="112">
        <v>0.35</v>
      </c>
      <c r="Q94" s="112">
        <v>3.93</v>
      </c>
      <c r="R94" s="6"/>
      <c r="S94" s="6"/>
      <c r="T94" s="182"/>
      <c r="U94" s="6"/>
    </row>
    <row r="95" spans="1:26" customFormat="1">
      <c r="A95" s="196" t="s">
        <v>325</v>
      </c>
      <c r="B95" s="112">
        <v>9.25</v>
      </c>
      <c r="C95" s="112">
        <v>4.05</v>
      </c>
      <c r="D95" s="112">
        <v>13.98</v>
      </c>
      <c r="E95" s="112">
        <v>7.44</v>
      </c>
      <c r="F95" s="112">
        <v>21.33</v>
      </c>
      <c r="G95" s="112">
        <v>17.91</v>
      </c>
      <c r="H95" s="112">
        <v>6.23</v>
      </c>
      <c r="I95" s="112">
        <v>3.6</v>
      </c>
      <c r="J95" s="112">
        <v>0.14000000000000001</v>
      </c>
      <c r="K95" s="112">
        <v>212.57</v>
      </c>
      <c r="L95" s="112">
        <v>27.09</v>
      </c>
      <c r="M95" s="112">
        <v>94.72</v>
      </c>
      <c r="N95" s="112">
        <v>2</v>
      </c>
      <c r="O95" s="112">
        <v>0</v>
      </c>
      <c r="P95" s="112">
        <v>0.36</v>
      </c>
      <c r="Q95" s="112">
        <v>3.92</v>
      </c>
      <c r="R95" s="6"/>
      <c r="S95" s="6"/>
      <c r="T95" s="182"/>
      <c r="U95" s="6"/>
    </row>
    <row r="96" spans="1:26" customFormat="1">
      <c r="A96" s="196" t="s">
        <v>326</v>
      </c>
      <c r="B96" s="112">
        <v>9.25</v>
      </c>
      <c r="C96" s="112">
        <v>4.07</v>
      </c>
      <c r="D96" s="112">
        <v>14</v>
      </c>
      <c r="E96" s="112">
        <v>8.23</v>
      </c>
      <c r="F96" s="112">
        <v>22.86</v>
      </c>
      <c r="G96" s="112">
        <v>15.79</v>
      </c>
      <c r="H96" s="112">
        <v>5.36</v>
      </c>
      <c r="I96" s="112">
        <v>3.81</v>
      </c>
      <c r="J96" s="112">
        <v>0.11</v>
      </c>
      <c r="K96" s="112">
        <v>198.78</v>
      </c>
      <c r="L96" s="112">
        <v>27.16</v>
      </c>
      <c r="M96" s="112">
        <v>93.74</v>
      </c>
      <c r="N96" s="112">
        <v>1.9</v>
      </c>
      <c r="O96" s="112">
        <v>0</v>
      </c>
      <c r="P96" s="112">
        <v>0.35</v>
      </c>
      <c r="Q96" s="112">
        <v>3.92</v>
      </c>
      <c r="R96" s="6"/>
      <c r="S96" s="6"/>
      <c r="T96" s="182"/>
      <c r="U96" s="6"/>
      <c r="Z96" s="190"/>
    </row>
    <row r="97" spans="1:33" customFormat="1">
      <c r="A97" s="196" t="s">
        <v>327</v>
      </c>
      <c r="B97" s="112">
        <v>9.2799999999999994</v>
      </c>
      <c r="C97" s="112">
        <v>4.08</v>
      </c>
      <c r="D97" s="112">
        <v>14.02</v>
      </c>
      <c r="E97" s="112">
        <v>7.66</v>
      </c>
      <c r="F97" s="112">
        <v>21.72</v>
      </c>
      <c r="G97" s="112">
        <v>13.67</v>
      </c>
      <c r="H97" s="112">
        <v>4.93</v>
      </c>
      <c r="I97" s="112">
        <v>3.75</v>
      </c>
      <c r="J97" s="112">
        <v>0.16</v>
      </c>
      <c r="K97" s="112">
        <v>206.75</v>
      </c>
      <c r="L97" s="112">
        <v>27.09</v>
      </c>
      <c r="M97" s="112">
        <v>95.09</v>
      </c>
      <c r="N97" s="112">
        <v>1.8</v>
      </c>
      <c r="O97" s="112">
        <v>0</v>
      </c>
      <c r="P97" s="112">
        <v>0.35</v>
      </c>
      <c r="Q97" s="112">
        <v>3.92</v>
      </c>
      <c r="R97" s="6"/>
      <c r="S97" s="6"/>
      <c r="T97" s="182"/>
      <c r="U97" s="6"/>
    </row>
    <row r="98" spans="1:33" customFormat="1">
      <c r="A98" s="196" t="s">
        <v>328</v>
      </c>
      <c r="B98" s="112">
        <v>9.2899999999999991</v>
      </c>
      <c r="C98" s="112">
        <v>4.0599999999999996</v>
      </c>
      <c r="D98" s="112">
        <v>14.02</v>
      </c>
      <c r="E98" s="112">
        <v>7.48</v>
      </c>
      <c r="F98" s="112">
        <v>19.36</v>
      </c>
      <c r="G98" s="112">
        <v>13.67</v>
      </c>
      <c r="H98" s="112">
        <v>4.93</v>
      </c>
      <c r="I98" s="112">
        <v>3.67</v>
      </c>
      <c r="J98" s="112">
        <v>0.21</v>
      </c>
      <c r="K98" s="112">
        <v>248.86</v>
      </c>
      <c r="L98" s="112">
        <v>27.21</v>
      </c>
      <c r="M98" s="112">
        <v>93.88</v>
      </c>
      <c r="N98" s="112">
        <v>1.8</v>
      </c>
      <c r="O98" s="112">
        <v>0</v>
      </c>
      <c r="P98" s="112">
        <v>0.38</v>
      </c>
      <c r="Q98" s="112">
        <v>3.92</v>
      </c>
      <c r="R98" s="6"/>
      <c r="S98" s="6"/>
      <c r="T98" s="182"/>
      <c r="U98" s="6"/>
    </row>
    <row r="99" spans="1:33" customFormat="1">
      <c r="A99" s="196" t="s">
        <v>329</v>
      </c>
      <c r="B99" s="112">
        <v>9.2799999999999994</v>
      </c>
      <c r="C99" s="112">
        <v>4.0599999999999996</v>
      </c>
      <c r="D99" s="112">
        <v>14.02</v>
      </c>
      <c r="E99" s="112">
        <v>7.77</v>
      </c>
      <c r="F99" s="112">
        <v>19.5</v>
      </c>
      <c r="G99" s="112">
        <v>13.67</v>
      </c>
      <c r="H99" s="112">
        <v>4.93</v>
      </c>
      <c r="I99" s="112">
        <v>3.8</v>
      </c>
      <c r="J99" s="112">
        <v>0.19</v>
      </c>
      <c r="K99" s="112">
        <v>231.08</v>
      </c>
      <c r="L99" s="112">
        <v>27.33</v>
      </c>
      <c r="M99" s="112">
        <v>93.47</v>
      </c>
      <c r="N99" s="112">
        <v>1.8</v>
      </c>
      <c r="O99" s="112">
        <v>0</v>
      </c>
      <c r="P99" s="112">
        <v>0.38</v>
      </c>
      <c r="Q99" s="112">
        <v>3.92</v>
      </c>
      <c r="R99" s="6"/>
      <c r="S99" s="6"/>
      <c r="T99" s="182"/>
      <c r="U99" s="6"/>
    </row>
    <row r="100" spans="1:33" customFormat="1">
      <c r="A100" s="196" t="s">
        <v>330</v>
      </c>
      <c r="B100" s="112">
        <v>9.2899999999999991</v>
      </c>
      <c r="C100" s="112">
        <v>4.08</v>
      </c>
      <c r="D100" s="112">
        <v>14.03</v>
      </c>
      <c r="E100" s="112">
        <v>7.71</v>
      </c>
      <c r="F100" s="112">
        <v>23.03</v>
      </c>
      <c r="G100" s="112">
        <v>15.24</v>
      </c>
      <c r="H100" s="112">
        <v>5.47</v>
      </c>
      <c r="I100" s="112">
        <v>4.3</v>
      </c>
      <c r="J100" s="112">
        <v>0.13</v>
      </c>
      <c r="K100" s="112">
        <v>238.14</v>
      </c>
      <c r="L100" s="112">
        <v>27.42</v>
      </c>
      <c r="M100" s="112">
        <v>93.47</v>
      </c>
      <c r="N100" s="112">
        <v>2</v>
      </c>
      <c r="O100" s="112">
        <v>0</v>
      </c>
      <c r="P100" s="112">
        <v>0.35</v>
      </c>
      <c r="Q100" s="112">
        <v>3.92</v>
      </c>
      <c r="R100" s="6"/>
      <c r="S100" s="6"/>
      <c r="T100" s="182"/>
      <c r="U100" s="6"/>
      <c r="AB100" s="191"/>
      <c r="AG100" s="190"/>
    </row>
    <row r="101" spans="1:33" customFormat="1">
      <c r="A101" s="196" t="s">
        <v>331</v>
      </c>
      <c r="B101" s="112">
        <v>9.27</v>
      </c>
      <c r="C101" s="112">
        <v>4.09</v>
      </c>
      <c r="D101" s="112">
        <v>14.02</v>
      </c>
      <c r="E101" s="112">
        <v>9.0299999999999994</v>
      </c>
      <c r="F101" s="112">
        <v>7.07</v>
      </c>
      <c r="G101" s="112">
        <v>16.809999999999999</v>
      </c>
      <c r="H101" s="112">
        <v>5.75</v>
      </c>
      <c r="I101" s="112">
        <v>4.07</v>
      </c>
      <c r="J101" s="112">
        <v>0.2</v>
      </c>
      <c r="K101" s="112">
        <v>250.58</v>
      </c>
      <c r="L101" s="112">
        <v>27.39</v>
      </c>
      <c r="M101" s="112">
        <v>92.15</v>
      </c>
      <c r="N101" s="112">
        <v>2.1</v>
      </c>
      <c r="O101" s="112">
        <v>0</v>
      </c>
      <c r="P101" s="112">
        <v>0.38</v>
      </c>
      <c r="Q101" s="112">
        <v>3.91</v>
      </c>
      <c r="R101" s="6"/>
      <c r="S101" s="6"/>
      <c r="T101" s="182"/>
      <c r="U101" s="6"/>
    </row>
    <row r="102" spans="1:33" customFormat="1">
      <c r="A102" s="196" t="s">
        <v>332</v>
      </c>
      <c r="B102" s="112">
        <v>9.27</v>
      </c>
      <c r="C102" s="112">
        <v>4.09</v>
      </c>
      <c r="D102" s="112">
        <v>14.02</v>
      </c>
      <c r="E102" s="112">
        <v>9.0299999999999994</v>
      </c>
      <c r="F102" s="112">
        <v>7.07</v>
      </c>
      <c r="G102" s="112">
        <v>16.809999999999999</v>
      </c>
      <c r="H102" s="112">
        <v>5.75</v>
      </c>
      <c r="I102" s="112">
        <v>4.07</v>
      </c>
      <c r="J102" s="112">
        <v>0.2</v>
      </c>
      <c r="K102" s="112">
        <v>250.58</v>
      </c>
      <c r="L102" s="112">
        <v>27.39</v>
      </c>
      <c r="M102" s="112">
        <v>92.15</v>
      </c>
      <c r="N102" s="112">
        <v>2.1</v>
      </c>
      <c r="O102" s="112">
        <v>0</v>
      </c>
      <c r="P102" s="112">
        <v>0.38</v>
      </c>
      <c r="Q102" s="112">
        <v>3.91</v>
      </c>
      <c r="R102" s="6"/>
      <c r="S102" s="6"/>
      <c r="T102" s="182"/>
      <c r="U102" s="6"/>
    </row>
    <row r="103" spans="1:33" customFormat="1">
      <c r="A103" s="196" t="s">
        <v>333</v>
      </c>
      <c r="B103" s="112">
        <v>9.2899999999999991</v>
      </c>
      <c r="C103" s="112">
        <v>4.08</v>
      </c>
      <c r="D103" s="112">
        <v>14.03</v>
      </c>
      <c r="E103" s="112">
        <v>8.6</v>
      </c>
      <c r="F103" s="112">
        <v>9.48</v>
      </c>
      <c r="G103" s="112">
        <v>16.809999999999999</v>
      </c>
      <c r="H103" s="112">
        <v>5.75</v>
      </c>
      <c r="I103" s="112">
        <v>4.0599999999999996</v>
      </c>
      <c r="J103" s="112">
        <v>0.14000000000000001</v>
      </c>
      <c r="K103" s="112">
        <v>234.27</v>
      </c>
      <c r="L103" s="112">
        <v>27.47</v>
      </c>
      <c r="M103" s="112">
        <v>91.3</v>
      </c>
      <c r="N103" s="112">
        <v>2.1</v>
      </c>
      <c r="O103" s="112">
        <v>0</v>
      </c>
      <c r="P103" s="112">
        <v>0.42</v>
      </c>
      <c r="Q103" s="112">
        <v>3.89</v>
      </c>
      <c r="R103" s="6"/>
      <c r="S103" s="6"/>
      <c r="T103" s="182"/>
      <c r="U103" s="6"/>
    </row>
    <row r="104" spans="1:33" customFormat="1">
      <c r="A104" s="196" t="s">
        <v>334</v>
      </c>
      <c r="B104" s="112">
        <v>9.3000000000000007</v>
      </c>
      <c r="C104" s="112">
        <v>4.0599999999999996</v>
      </c>
      <c r="D104" s="112">
        <v>14.03</v>
      </c>
      <c r="E104" s="112">
        <v>8.52</v>
      </c>
      <c r="F104" s="112">
        <v>9.7799999999999994</v>
      </c>
      <c r="G104" s="112">
        <v>15.49</v>
      </c>
      <c r="H104" s="112">
        <v>4.74</v>
      </c>
      <c r="I104" s="112">
        <v>4.3</v>
      </c>
      <c r="J104" s="112">
        <v>0.13</v>
      </c>
      <c r="K104" s="112">
        <v>213.75</v>
      </c>
      <c r="L104" s="112">
        <v>27.44</v>
      </c>
      <c r="M104" s="112">
        <v>91.73</v>
      </c>
      <c r="N104" s="112">
        <v>2.1</v>
      </c>
      <c r="O104" s="112">
        <v>0</v>
      </c>
      <c r="P104" s="112">
        <v>0.44</v>
      </c>
      <c r="Q104" s="112">
        <v>3.87</v>
      </c>
      <c r="R104" s="6"/>
      <c r="S104" s="6"/>
      <c r="T104" s="182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3" t="s">
        <v>48</v>
      </c>
      <c r="B106" s="184">
        <f>MIN(B9:B104)</f>
        <v>9.17</v>
      </c>
      <c r="C106" s="184">
        <f>MIN(C9:C104)</f>
        <v>4.0199999999999996</v>
      </c>
      <c r="D106" s="184">
        <f t="shared" ref="D106:Q106" si="0">MIN(D9:D104)</f>
        <v>13.94</v>
      </c>
      <c r="E106" s="184">
        <f t="shared" si="0"/>
        <v>6.49</v>
      </c>
      <c r="F106" s="184">
        <f t="shared" si="0"/>
        <v>3.83</v>
      </c>
      <c r="G106" s="184">
        <f t="shared" si="0"/>
        <v>12.04</v>
      </c>
      <c r="H106" s="184">
        <f t="shared" si="0"/>
        <v>4.74</v>
      </c>
      <c r="I106" s="184">
        <f t="shared" si="0"/>
        <v>2.5099999999999998</v>
      </c>
      <c r="J106" s="184">
        <f t="shared" si="0"/>
        <v>0.06</v>
      </c>
      <c r="K106" s="184">
        <f t="shared" si="0"/>
        <v>2.89</v>
      </c>
      <c r="L106" s="184">
        <f t="shared" si="0"/>
        <v>25.12</v>
      </c>
      <c r="M106" s="184">
        <f t="shared" si="0"/>
        <v>64.209999999999994</v>
      </c>
      <c r="N106" s="184">
        <f t="shared" si="0"/>
        <v>1.8</v>
      </c>
      <c r="O106" s="184">
        <f t="shared" si="0"/>
        <v>0</v>
      </c>
      <c r="P106" s="184">
        <f t="shared" si="0"/>
        <v>0.22</v>
      </c>
      <c r="Q106" s="184">
        <f t="shared" si="0"/>
        <v>3.87</v>
      </c>
      <c r="R106" s="188"/>
      <c r="S106" s="188"/>
      <c r="T106" s="188"/>
      <c r="U106" s="188"/>
    </row>
    <row r="107" spans="1:33">
      <c r="A107" s="183" t="s">
        <v>49</v>
      </c>
      <c r="B107" s="185">
        <f>MAX(B9:B104)</f>
        <v>9.34</v>
      </c>
      <c r="C107" s="185">
        <f t="shared" ref="C107:Q107" si="1">MAX(C9:C104)</f>
        <v>4.13</v>
      </c>
      <c r="D107" s="185">
        <f t="shared" si="1"/>
        <v>14.07</v>
      </c>
      <c r="E107" s="185">
        <f t="shared" si="1"/>
        <v>16.420000000000002</v>
      </c>
      <c r="F107" s="185">
        <f t="shared" si="1"/>
        <v>33.770000000000003</v>
      </c>
      <c r="G107" s="185">
        <f t="shared" si="1"/>
        <v>30.59</v>
      </c>
      <c r="H107" s="185">
        <f t="shared" si="1"/>
        <v>12.38</v>
      </c>
      <c r="I107" s="185">
        <f t="shared" si="1"/>
        <v>5.87</v>
      </c>
      <c r="J107" s="185">
        <f t="shared" si="1"/>
        <v>1.31</v>
      </c>
      <c r="K107" s="185">
        <f t="shared" si="1"/>
        <v>335.18</v>
      </c>
      <c r="L107" s="185">
        <f t="shared" si="1"/>
        <v>33.299999999999997</v>
      </c>
      <c r="M107" s="185">
        <f t="shared" si="1"/>
        <v>100.79</v>
      </c>
      <c r="N107" s="185">
        <f t="shared" si="1"/>
        <v>673.7</v>
      </c>
      <c r="O107" s="185">
        <f t="shared" si="1"/>
        <v>2.6</v>
      </c>
      <c r="P107" s="185">
        <f t="shared" si="1"/>
        <v>0.55000000000000004</v>
      </c>
      <c r="Q107" s="185">
        <f t="shared" si="1"/>
        <v>3.95</v>
      </c>
      <c r="R107" s="189"/>
      <c r="S107" s="189"/>
      <c r="T107" s="189"/>
      <c r="U107" s="189"/>
    </row>
    <row r="108" spans="1:33">
      <c r="A108" s="183" t="s">
        <v>50</v>
      </c>
      <c r="B108" s="184">
        <f>AVERAGE(B9:B104)</f>
        <v>9.2641666666666662</v>
      </c>
      <c r="C108" s="184">
        <f t="shared" ref="C108:Q108" si="2">AVERAGE(C9:C104)</f>
        <v>4.0774999999999997</v>
      </c>
      <c r="D108" s="184">
        <f t="shared" si="2"/>
        <v>14.009062499999994</v>
      </c>
      <c r="E108" s="184">
        <f t="shared" si="2"/>
        <v>9.5803125000000033</v>
      </c>
      <c r="F108" s="184">
        <f t="shared" si="2"/>
        <v>15.254062499999995</v>
      </c>
      <c r="G108" s="184">
        <f t="shared" si="2"/>
        <v>21.262916666666669</v>
      </c>
      <c r="H108" s="184">
        <f t="shared" si="2"/>
        <v>8.9247916666666693</v>
      </c>
      <c r="I108" s="184">
        <f t="shared" si="2"/>
        <v>4.2260416666666663</v>
      </c>
      <c r="J108" s="184">
        <f t="shared" si="2"/>
        <v>0.35000000000000014</v>
      </c>
      <c r="K108" s="184">
        <f t="shared" si="2"/>
        <v>195.63395833333334</v>
      </c>
      <c r="L108" s="184">
        <f t="shared" si="2"/>
        <v>28.195833333333326</v>
      </c>
      <c r="M108" s="184">
        <f t="shared" si="2"/>
        <v>87.723020833333308</v>
      </c>
      <c r="N108" s="184">
        <f t="shared" si="2"/>
        <v>102.48541666666664</v>
      </c>
      <c r="O108" s="184">
        <f t="shared" si="2"/>
        <v>6.0416666666666674E-2</v>
      </c>
      <c r="P108" s="184">
        <f t="shared" si="2"/>
        <v>0.3988541666666669</v>
      </c>
      <c r="Q108" s="184">
        <f t="shared" si="2"/>
        <v>3.9116666666666688</v>
      </c>
      <c r="R108" s="188"/>
      <c r="S108" s="188"/>
      <c r="T108" s="188"/>
      <c r="U108" s="188"/>
    </row>
    <row r="109" spans="1:33">
      <c r="A109" s="183" t="s">
        <v>51</v>
      </c>
      <c r="B109" s="184">
        <f>STDEV(B9:B104)</f>
        <v>4.1893767069795057E-2</v>
      </c>
      <c r="C109" s="184">
        <f t="shared" ref="C109:Q109" si="3">STDEV(C9:C104)</f>
        <v>2.1715868561225527E-2</v>
      </c>
      <c r="D109" s="184">
        <f t="shared" si="3"/>
        <v>3.2833812001141584E-2</v>
      </c>
      <c r="E109" s="184">
        <f t="shared" si="3"/>
        <v>1.670254599643878</v>
      </c>
      <c r="F109" s="184">
        <f t="shared" si="3"/>
        <v>7.6579809869216069</v>
      </c>
      <c r="G109" s="184">
        <f t="shared" si="3"/>
        <v>4.7322125495411562</v>
      </c>
      <c r="H109" s="184">
        <f t="shared" si="3"/>
        <v>1.9649148791884334</v>
      </c>
      <c r="I109" s="184">
        <f t="shared" si="3"/>
        <v>0.85336298091315754</v>
      </c>
      <c r="J109" s="184">
        <f t="shared" si="3"/>
        <v>0.31020536491339479</v>
      </c>
      <c r="K109" s="184">
        <f t="shared" si="3"/>
        <v>81.775458530361476</v>
      </c>
      <c r="L109" s="184">
        <f t="shared" si="3"/>
        <v>1.767910849542575</v>
      </c>
      <c r="M109" s="184">
        <f t="shared" si="3"/>
        <v>8.9662730765785863</v>
      </c>
      <c r="N109" s="184">
        <f t="shared" si="3"/>
        <v>138.46313663260841</v>
      </c>
      <c r="O109" s="184">
        <f t="shared" si="3"/>
        <v>0.3483734132905657</v>
      </c>
      <c r="P109" s="184">
        <f t="shared" si="3"/>
        <v>9.6984749660276925E-2</v>
      </c>
      <c r="Q109" s="184">
        <f t="shared" si="3"/>
        <v>1.6649113563674808E-2</v>
      </c>
      <c r="R109" s="188"/>
      <c r="S109" s="188"/>
      <c r="T109" s="188"/>
      <c r="U109" s="188"/>
    </row>
    <row r="110" spans="1:33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33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78" activePane="bottomRight" state="frozen"/>
      <selection activeCell="A9" sqref="A9"/>
      <selection pane="topRight" activeCell="A9" sqref="A9"/>
      <selection pane="bottomLeft" activeCell="A9" sqref="A9"/>
      <selection pane="bottomRight" activeCell="A9" sqref="A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24/06/2024 00:15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94" t="s">
        <v>39</v>
      </c>
      <c r="C8" s="194" t="s">
        <v>39</v>
      </c>
      <c r="D8" s="194" t="s">
        <v>40</v>
      </c>
      <c r="E8" s="194" t="s">
        <v>39</v>
      </c>
      <c r="F8" s="194" t="s">
        <v>39</v>
      </c>
      <c r="G8" s="194" t="s">
        <v>39</v>
      </c>
      <c r="H8" s="194" t="s">
        <v>39</v>
      </c>
      <c r="I8" s="194" t="s">
        <v>39</v>
      </c>
      <c r="J8" s="194" t="s">
        <v>41</v>
      </c>
      <c r="K8" s="194" t="s">
        <v>42</v>
      </c>
      <c r="L8" s="195" t="s">
        <v>43</v>
      </c>
      <c r="M8" s="194" t="s">
        <v>44</v>
      </c>
      <c r="N8" s="194" t="s">
        <v>45</v>
      </c>
      <c r="O8" s="195" t="s">
        <v>46</v>
      </c>
      <c r="P8" s="194" t="s">
        <v>47</v>
      </c>
      <c r="Q8" s="194" t="s">
        <v>39</v>
      </c>
      <c r="R8" s="174"/>
      <c r="S8" s="175"/>
      <c r="T8" s="174"/>
      <c r="U8" s="174"/>
    </row>
    <row r="9" spans="1:21" customFormat="1">
      <c r="A9" s="196" t="s">
        <v>335</v>
      </c>
      <c r="B9" s="112">
        <v>9.24</v>
      </c>
      <c r="C9" s="112">
        <v>4.04</v>
      </c>
      <c r="D9" s="112">
        <v>13.97</v>
      </c>
      <c r="E9" s="112">
        <v>8.9</v>
      </c>
      <c r="F9" s="112">
        <v>8.91</v>
      </c>
      <c r="G9" s="112">
        <v>14.66</v>
      </c>
      <c r="H9" s="112">
        <v>4.3499999999999996</v>
      </c>
      <c r="I9" s="112">
        <v>4.32</v>
      </c>
      <c r="J9" s="112">
        <v>0.09</v>
      </c>
      <c r="K9" s="112">
        <v>177.13</v>
      </c>
      <c r="L9" s="112">
        <v>27.47</v>
      </c>
      <c r="M9" s="112">
        <v>91.26</v>
      </c>
      <c r="N9" s="112">
        <v>2.1</v>
      </c>
      <c r="O9" s="112">
        <v>0</v>
      </c>
      <c r="P9" s="112">
        <v>0.43</v>
      </c>
      <c r="Q9" s="112">
        <v>3.9</v>
      </c>
      <c r="R9" s="6"/>
      <c r="S9" s="6"/>
      <c r="T9" s="182"/>
      <c r="U9" s="6"/>
    </row>
    <row r="10" spans="1:21" customFormat="1">
      <c r="A10" s="196" t="s">
        <v>336</v>
      </c>
      <c r="B10" s="112">
        <v>9.24</v>
      </c>
      <c r="C10" s="112">
        <v>4.04</v>
      </c>
      <c r="D10" s="112">
        <v>13.97</v>
      </c>
      <c r="E10" s="112">
        <v>8.73</v>
      </c>
      <c r="F10" s="112">
        <v>9.0299999999999994</v>
      </c>
      <c r="G10" s="112">
        <v>14.66</v>
      </c>
      <c r="H10" s="112">
        <v>4.3499999999999996</v>
      </c>
      <c r="I10" s="112">
        <v>4.21</v>
      </c>
      <c r="J10" s="112">
        <v>0.13</v>
      </c>
      <c r="K10" s="112">
        <v>211.84</v>
      </c>
      <c r="L10" s="112">
        <v>27.38</v>
      </c>
      <c r="M10" s="112">
        <v>92.02</v>
      </c>
      <c r="N10" s="112">
        <v>2.1</v>
      </c>
      <c r="O10" s="112">
        <v>0</v>
      </c>
      <c r="P10" s="112">
        <v>0.43</v>
      </c>
      <c r="Q10" s="112">
        <v>3.9</v>
      </c>
      <c r="R10" s="6"/>
      <c r="S10" s="6"/>
      <c r="T10" s="182"/>
      <c r="U10" s="6"/>
    </row>
    <row r="11" spans="1:21" customFormat="1">
      <c r="A11" s="196" t="s">
        <v>337</v>
      </c>
      <c r="B11" s="112">
        <v>9.24</v>
      </c>
      <c r="C11" s="112">
        <v>4.07</v>
      </c>
      <c r="D11" s="112">
        <v>13.99</v>
      </c>
      <c r="E11" s="112">
        <v>8.61</v>
      </c>
      <c r="F11" s="112">
        <v>7.72</v>
      </c>
      <c r="G11" s="112">
        <v>14.66</v>
      </c>
      <c r="H11" s="112">
        <v>4.3499999999999996</v>
      </c>
      <c r="I11" s="112">
        <v>4.29</v>
      </c>
      <c r="J11" s="112">
        <v>0.13</v>
      </c>
      <c r="K11" s="112">
        <v>222.17</v>
      </c>
      <c r="L11" s="112">
        <v>27.31</v>
      </c>
      <c r="M11" s="112">
        <v>93.03</v>
      </c>
      <c r="N11" s="112">
        <v>2.1</v>
      </c>
      <c r="O11" s="112">
        <v>0</v>
      </c>
      <c r="P11" s="112">
        <v>0.43</v>
      </c>
      <c r="Q11" s="112">
        <v>3.86</v>
      </c>
      <c r="R11" s="6"/>
      <c r="S11" s="6"/>
      <c r="T11" s="182"/>
      <c r="U11" s="6"/>
    </row>
    <row r="12" spans="1:21" customFormat="1">
      <c r="A12" s="196" t="s">
        <v>338</v>
      </c>
      <c r="B12" s="112">
        <v>9.2200000000000006</v>
      </c>
      <c r="C12" s="112">
        <v>4.09</v>
      </c>
      <c r="D12" s="112">
        <v>13.98</v>
      </c>
      <c r="E12" s="112">
        <v>8.75</v>
      </c>
      <c r="F12" s="112">
        <v>7.81</v>
      </c>
      <c r="G12" s="112">
        <v>12.95</v>
      </c>
      <c r="H12" s="112">
        <v>6.29</v>
      </c>
      <c r="I12" s="112">
        <v>4.21</v>
      </c>
      <c r="J12" s="112">
        <v>0.1</v>
      </c>
      <c r="K12" s="112">
        <v>240.93</v>
      </c>
      <c r="L12" s="112">
        <v>27.19</v>
      </c>
      <c r="M12" s="112">
        <v>94.3</v>
      </c>
      <c r="N12" s="112">
        <v>2.1</v>
      </c>
      <c r="O12" s="112">
        <v>0</v>
      </c>
      <c r="P12" s="112">
        <v>0.43</v>
      </c>
      <c r="Q12" s="112">
        <v>3.87</v>
      </c>
      <c r="R12" s="6"/>
      <c r="S12" s="6"/>
      <c r="T12" s="182"/>
      <c r="U12" s="6"/>
    </row>
    <row r="13" spans="1:21" customFormat="1">
      <c r="A13" s="196" t="s">
        <v>339</v>
      </c>
      <c r="B13" s="112">
        <v>9.23</v>
      </c>
      <c r="C13" s="112">
        <v>4.07</v>
      </c>
      <c r="D13" s="112">
        <v>13.98</v>
      </c>
      <c r="E13" s="112">
        <v>9.23</v>
      </c>
      <c r="F13" s="112">
        <v>7.57</v>
      </c>
      <c r="G13" s="112">
        <v>11.39</v>
      </c>
      <c r="H13" s="112">
        <v>7.19</v>
      </c>
      <c r="I13" s="112">
        <v>4.22</v>
      </c>
      <c r="J13" s="112">
        <v>0.13</v>
      </c>
      <c r="K13" s="112">
        <v>192.5</v>
      </c>
      <c r="L13" s="112">
        <v>27.21</v>
      </c>
      <c r="M13" s="112">
        <v>94.47</v>
      </c>
      <c r="N13" s="112">
        <v>2.1</v>
      </c>
      <c r="O13" s="112">
        <v>0</v>
      </c>
      <c r="P13" s="112">
        <v>0.43</v>
      </c>
      <c r="Q13" s="112">
        <v>3.89</v>
      </c>
      <c r="R13" s="6"/>
      <c r="S13" s="6"/>
      <c r="T13" s="182"/>
      <c r="U13" s="6"/>
    </row>
    <row r="14" spans="1:21" customFormat="1">
      <c r="A14" s="196" t="s">
        <v>340</v>
      </c>
      <c r="B14" s="112">
        <v>9.24</v>
      </c>
      <c r="C14" s="112">
        <v>4.0599999999999996</v>
      </c>
      <c r="D14" s="112">
        <v>13.98</v>
      </c>
      <c r="E14" s="112">
        <v>8.9700000000000006</v>
      </c>
      <c r="F14" s="112">
        <v>6.69</v>
      </c>
      <c r="G14" s="112">
        <v>11.39</v>
      </c>
      <c r="H14" s="112">
        <v>7.19</v>
      </c>
      <c r="I14" s="112">
        <v>4.24</v>
      </c>
      <c r="J14" s="112">
        <v>0.13</v>
      </c>
      <c r="K14" s="112">
        <v>236.99</v>
      </c>
      <c r="L14" s="112">
        <v>27.21</v>
      </c>
      <c r="M14" s="112">
        <v>95.18</v>
      </c>
      <c r="N14" s="112">
        <v>2.1</v>
      </c>
      <c r="O14" s="112">
        <v>0</v>
      </c>
      <c r="P14" s="112">
        <v>0.42</v>
      </c>
      <c r="Q14" s="112">
        <v>3.9</v>
      </c>
      <c r="R14" s="6"/>
      <c r="S14" s="6"/>
      <c r="T14" s="182"/>
      <c r="U14" s="6"/>
    </row>
    <row r="15" spans="1:21" customFormat="1">
      <c r="A15" s="196" t="s">
        <v>341</v>
      </c>
      <c r="B15" s="112">
        <v>9.25</v>
      </c>
      <c r="C15" s="112">
        <v>4.05</v>
      </c>
      <c r="D15" s="112">
        <v>13.99</v>
      </c>
      <c r="E15" s="112">
        <v>9.1300000000000008</v>
      </c>
      <c r="F15" s="112">
        <v>7.25</v>
      </c>
      <c r="G15" s="112">
        <v>11.39</v>
      </c>
      <c r="H15" s="112">
        <v>7.19</v>
      </c>
      <c r="I15" s="112">
        <v>4.2300000000000004</v>
      </c>
      <c r="J15" s="112">
        <v>7.0000000000000007E-2</v>
      </c>
      <c r="K15" s="112">
        <v>246.53</v>
      </c>
      <c r="L15" s="112">
        <v>27.3</v>
      </c>
      <c r="M15" s="112">
        <v>94.28</v>
      </c>
      <c r="N15" s="112">
        <v>2.1</v>
      </c>
      <c r="O15" s="112">
        <v>0</v>
      </c>
      <c r="P15" s="112">
        <v>0.43</v>
      </c>
      <c r="Q15" s="112">
        <v>3.9</v>
      </c>
      <c r="R15" s="6"/>
      <c r="S15" s="6"/>
      <c r="T15" s="182"/>
      <c r="U15" s="6"/>
    </row>
    <row r="16" spans="1:21" customFormat="1">
      <c r="A16" s="196" t="s">
        <v>342</v>
      </c>
      <c r="B16" s="112">
        <v>9.25</v>
      </c>
      <c r="C16" s="112">
        <v>4.05</v>
      </c>
      <c r="D16" s="112">
        <v>13.98</v>
      </c>
      <c r="E16" s="112">
        <v>9.01</v>
      </c>
      <c r="F16" s="112">
        <v>7</v>
      </c>
      <c r="G16" s="112">
        <v>13.55</v>
      </c>
      <c r="H16" s="112">
        <v>6.26</v>
      </c>
      <c r="I16" s="112">
        <v>4.21</v>
      </c>
      <c r="J16" s="112">
        <v>7.0000000000000007E-2</v>
      </c>
      <c r="K16" s="112">
        <v>225.75</v>
      </c>
      <c r="L16" s="112">
        <v>27.27</v>
      </c>
      <c r="M16" s="112">
        <v>94.3</v>
      </c>
      <c r="N16" s="112">
        <v>2.1</v>
      </c>
      <c r="O16" s="112">
        <v>0</v>
      </c>
      <c r="P16" s="112">
        <v>0.42</v>
      </c>
      <c r="Q16" s="112">
        <v>3.88</v>
      </c>
      <c r="R16" s="6"/>
      <c r="S16" s="6"/>
      <c r="T16" s="182"/>
      <c r="U16" s="6"/>
    </row>
    <row r="17" spans="1:21" customFormat="1">
      <c r="A17" s="196" t="s">
        <v>343</v>
      </c>
      <c r="B17" s="112">
        <v>9.23</v>
      </c>
      <c r="C17" s="112">
        <v>4.0599999999999996</v>
      </c>
      <c r="D17" s="112">
        <v>13.98</v>
      </c>
      <c r="E17" s="112">
        <v>8.68</v>
      </c>
      <c r="F17" s="112">
        <v>6.45</v>
      </c>
      <c r="G17" s="112">
        <v>15.71</v>
      </c>
      <c r="H17" s="112">
        <v>5.16</v>
      </c>
      <c r="I17" s="112">
        <v>4.05</v>
      </c>
      <c r="J17" s="112">
        <v>0.1</v>
      </c>
      <c r="K17" s="112">
        <v>231.98</v>
      </c>
      <c r="L17" s="112">
        <v>27.24</v>
      </c>
      <c r="M17" s="112">
        <v>94</v>
      </c>
      <c r="N17" s="112">
        <v>2.1</v>
      </c>
      <c r="O17" s="112">
        <v>0</v>
      </c>
      <c r="P17" s="112">
        <v>0.42</v>
      </c>
      <c r="Q17" s="112">
        <v>3.9</v>
      </c>
      <c r="R17" s="6"/>
      <c r="S17" s="6"/>
      <c r="T17" s="182"/>
      <c r="U17" s="6"/>
    </row>
    <row r="18" spans="1:21" customFormat="1">
      <c r="A18" s="196" t="s">
        <v>344</v>
      </c>
      <c r="B18" s="112">
        <v>9.23</v>
      </c>
      <c r="C18" s="112">
        <v>4.08</v>
      </c>
      <c r="D18" s="112">
        <v>13.98</v>
      </c>
      <c r="E18" s="112">
        <v>10.73</v>
      </c>
      <c r="F18" s="112">
        <v>7.62</v>
      </c>
      <c r="G18" s="112">
        <v>15.71</v>
      </c>
      <c r="H18" s="112">
        <v>5.16</v>
      </c>
      <c r="I18" s="112">
        <v>4.0999999999999996</v>
      </c>
      <c r="J18" s="112">
        <v>0.15</v>
      </c>
      <c r="K18" s="112">
        <v>174.06</v>
      </c>
      <c r="L18" s="112">
        <v>27.3</v>
      </c>
      <c r="M18" s="112">
        <v>93.99</v>
      </c>
      <c r="N18" s="112">
        <v>2.1</v>
      </c>
      <c r="O18" s="112">
        <v>0</v>
      </c>
      <c r="P18" s="112">
        <v>0.41</v>
      </c>
      <c r="Q18" s="112">
        <v>3.92</v>
      </c>
      <c r="R18" s="6"/>
      <c r="S18" s="6"/>
      <c r="T18" s="182"/>
      <c r="U18" s="6"/>
    </row>
    <row r="19" spans="1:21" customFormat="1">
      <c r="A19" s="196" t="s">
        <v>345</v>
      </c>
      <c r="B19" s="112">
        <v>9.23</v>
      </c>
      <c r="C19" s="112">
        <v>4.09</v>
      </c>
      <c r="D19" s="112">
        <v>13.99</v>
      </c>
      <c r="E19" s="112">
        <v>10.71</v>
      </c>
      <c r="F19" s="112">
        <v>5.64</v>
      </c>
      <c r="G19" s="112">
        <v>15.71</v>
      </c>
      <c r="H19" s="112">
        <v>5.16</v>
      </c>
      <c r="I19" s="112">
        <v>4.0599999999999996</v>
      </c>
      <c r="J19" s="112">
        <v>0.1</v>
      </c>
      <c r="K19" s="112">
        <v>139.58000000000001</v>
      </c>
      <c r="L19" s="112">
        <v>27.3</v>
      </c>
      <c r="M19" s="112">
        <v>94.42</v>
      </c>
      <c r="N19" s="112">
        <v>2.1</v>
      </c>
      <c r="O19" s="112">
        <v>0</v>
      </c>
      <c r="P19" s="112">
        <v>0.41</v>
      </c>
      <c r="Q19" s="112">
        <v>3.93</v>
      </c>
      <c r="R19" s="6"/>
      <c r="S19" s="6"/>
      <c r="T19" s="182"/>
      <c r="U19" s="6"/>
    </row>
    <row r="20" spans="1:21" customFormat="1">
      <c r="A20" s="196" t="s">
        <v>346</v>
      </c>
      <c r="B20" s="112">
        <v>9.25</v>
      </c>
      <c r="C20" s="112">
        <v>4.07</v>
      </c>
      <c r="D20" s="112">
        <v>13.99</v>
      </c>
      <c r="E20" s="112">
        <v>10.77</v>
      </c>
      <c r="F20" s="112">
        <v>4.82</v>
      </c>
      <c r="G20" s="112">
        <v>14.66</v>
      </c>
      <c r="H20" s="112">
        <v>4.21</v>
      </c>
      <c r="I20" s="112">
        <v>3.95</v>
      </c>
      <c r="J20" s="112">
        <v>0.31</v>
      </c>
      <c r="K20" s="112">
        <v>139.54</v>
      </c>
      <c r="L20" s="112">
        <v>27.5</v>
      </c>
      <c r="M20" s="112">
        <v>93.17</v>
      </c>
      <c r="N20" s="112">
        <v>2.1</v>
      </c>
      <c r="O20" s="112">
        <v>0</v>
      </c>
      <c r="P20" s="112">
        <v>0.4</v>
      </c>
      <c r="Q20" s="112">
        <v>3.92</v>
      </c>
      <c r="R20" s="6"/>
      <c r="S20" s="6"/>
      <c r="T20" s="182"/>
      <c r="U20" s="6"/>
    </row>
    <row r="21" spans="1:21" customFormat="1">
      <c r="A21" s="196" t="s">
        <v>347</v>
      </c>
      <c r="B21" s="112">
        <v>9.26</v>
      </c>
      <c r="C21" s="112">
        <v>4.05</v>
      </c>
      <c r="D21" s="112">
        <v>13.99</v>
      </c>
      <c r="E21" s="112">
        <v>10.57</v>
      </c>
      <c r="F21" s="112">
        <v>4.96</v>
      </c>
      <c r="G21" s="112">
        <v>13.68</v>
      </c>
      <c r="H21" s="112">
        <v>3.77</v>
      </c>
      <c r="I21" s="112">
        <v>3.95</v>
      </c>
      <c r="J21" s="112">
        <v>0.16</v>
      </c>
      <c r="K21" s="112">
        <v>160.97999999999999</v>
      </c>
      <c r="L21" s="112">
        <v>27.3</v>
      </c>
      <c r="M21" s="112">
        <v>93.58</v>
      </c>
      <c r="N21" s="112">
        <v>2.2000000000000002</v>
      </c>
      <c r="O21" s="112">
        <v>0</v>
      </c>
      <c r="P21" s="112">
        <v>0.4</v>
      </c>
      <c r="Q21" s="112">
        <v>3.93</v>
      </c>
      <c r="R21" s="6"/>
      <c r="S21" s="6"/>
      <c r="T21" s="182"/>
      <c r="U21" s="6"/>
    </row>
    <row r="22" spans="1:21" customFormat="1">
      <c r="A22" s="196" t="s">
        <v>348</v>
      </c>
      <c r="B22" s="112">
        <v>9.26</v>
      </c>
      <c r="C22" s="112">
        <v>4.07</v>
      </c>
      <c r="D22" s="112">
        <v>14</v>
      </c>
      <c r="E22" s="112">
        <v>11.21</v>
      </c>
      <c r="F22" s="112">
        <v>4.7699999999999996</v>
      </c>
      <c r="G22" s="112">
        <v>13.68</v>
      </c>
      <c r="H22" s="112">
        <v>3.77</v>
      </c>
      <c r="I22" s="112">
        <v>4.05</v>
      </c>
      <c r="J22" s="112">
        <v>0.28000000000000003</v>
      </c>
      <c r="K22" s="112">
        <v>136.5</v>
      </c>
      <c r="L22" s="112">
        <v>27.26</v>
      </c>
      <c r="M22" s="112">
        <v>94.36</v>
      </c>
      <c r="N22" s="112">
        <v>2.4</v>
      </c>
      <c r="O22" s="112">
        <v>0.2</v>
      </c>
      <c r="P22" s="112">
        <v>0.4</v>
      </c>
      <c r="Q22" s="112">
        <v>3.93</v>
      </c>
      <c r="R22" s="6"/>
      <c r="S22" s="6"/>
      <c r="T22" s="182"/>
      <c r="U22" s="6"/>
    </row>
    <row r="23" spans="1:21" customFormat="1">
      <c r="A23" s="196" t="s">
        <v>349</v>
      </c>
      <c r="B23" s="112">
        <v>9.27</v>
      </c>
      <c r="C23" s="112">
        <v>4.07</v>
      </c>
      <c r="D23" s="112">
        <v>14.01</v>
      </c>
      <c r="E23" s="112">
        <v>10.64</v>
      </c>
      <c r="F23" s="112">
        <v>4.4800000000000004</v>
      </c>
      <c r="G23" s="112">
        <v>13.68</v>
      </c>
      <c r="H23" s="112">
        <v>3.77</v>
      </c>
      <c r="I23" s="112">
        <v>3.93</v>
      </c>
      <c r="J23" s="112">
        <v>0.22</v>
      </c>
      <c r="K23" s="112">
        <v>94.49</v>
      </c>
      <c r="L23" s="112">
        <v>26.72</v>
      </c>
      <c r="M23" s="112">
        <v>97.69</v>
      </c>
      <c r="N23" s="112">
        <v>2.4</v>
      </c>
      <c r="O23" s="112">
        <v>0</v>
      </c>
      <c r="P23" s="112">
        <v>0.39</v>
      </c>
      <c r="Q23" s="112">
        <v>3.9</v>
      </c>
      <c r="R23" s="6"/>
      <c r="S23" s="6"/>
      <c r="T23" s="182"/>
      <c r="U23" s="6"/>
    </row>
    <row r="24" spans="1:21" customFormat="1">
      <c r="A24" s="196" t="s">
        <v>350</v>
      </c>
      <c r="B24" s="112">
        <v>9.25</v>
      </c>
      <c r="C24" s="112">
        <v>4.08</v>
      </c>
      <c r="D24" s="112">
        <v>14</v>
      </c>
      <c r="E24" s="112">
        <v>10.99</v>
      </c>
      <c r="F24" s="112">
        <v>5.41</v>
      </c>
      <c r="G24" s="112">
        <v>13.12</v>
      </c>
      <c r="H24" s="112">
        <v>3.15</v>
      </c>
      <c r="I24" s="112">
        <v>3.97</v>
      </c>
      <c r="J24" s="112">
        <v>0.2</v>
      </c>
      <c r="K24" s="112">
        <v>138.18</v>
      </c>
      <c r="L24" s="112">
        <v>26.55</v>
      </c>
      <c r="M24" s="112">
        <v>98.01</v>
      </c>
      <c r="N24" s="112">
        <v>2.4</v>
      </c>
      <c r="O24" s="112">
        <v>0</v>
      </c>
      <c r="P24" s="112">
        <v>0.39</v>
      </c>
      <c r="Q24" s="112">
        <v>3.9</v>
      </c>
      <c r="R24" s="6"/>
      <c r="S24" s="6"/>
      <c r="T24" s="182"/>
      <c r="U24" s="6"/>
    </row>
    <row r="25" spans="1:21" customFormat="1">
      <c r="A25" s="196" t="s">
        <v>351</v>
      </c>
      <c r="B25" s="112">
        <v>9.25</v>
      </c>
      <c r="C25" s="112">
        <v>4.08</v>
      </c>
      <c r="D25" s="112">
        <v>14</v>
      </c>
      <c r="E25" s="112">
        <v>10.99</v>
      </c>
      <c r="F25" s="112">
        <v>5.41</v>
      </c>
      <c r="G25" s="112">
        <v>13.12</v>
      </c>
      <c r="H25" s="112">
        <v>3.15</v>
      </c>
      <c r="I25" s="112">
        <v>3.97</v>
      </c>
      <c r="J25" s="112">
        <v>0.2</v>
      </c>
      <c r="K25" s="112">
        <v>138.18</v>
      </c>
      <c r="L25" s="112">
        <v>26.55</v>
      </c>
      <c r="M25" s="112">
        <v>98.01</v>
      </c>
      <c r="N25" s="112">
        <v>2.4</v>
      </c>
      <c r="O25" s="112">
        <v>0</v>
      </c>
      <c r="P25" s="112">
        <v>0.39</v>
      </c>
      <c r="Q25" s="112">
        <v>3.9</v>
      </c>
      <c r="R25" s="6"/>
      <c r="S25" s="6"/>
      <c r="T25" s="182"/>
      <c r="U25" s="6"/>
    </row>
    <row r="26" spans="1:21" customFormat="1">
      <c r="A26" s="196" t="s">
        <v>352</v>
      </c>
      <c r="B26" s="112">
        <v>9.2200000000000006</v>
      </c>
      <c r="C26" s="112">
        <v>4.07</v>
      </c>
      <c r="D26" s="112">
        <v>13.97</v>
      </c>
      <c r="E26" s="112">
        <v>10.5</v>
      </c>
      <c r="F26" s="112">
        <v>7.84</v>
      </c>
      <c r="G26" s="112">
        <v>12.54</v>
      </c>
      <c r="H26" s="112">
        <v>2.82</v>
      </c>
      <c r="I26" s="112">
        <v>3.76</v>
      </c>
      <c r="J26" s="112">
        <v>0.14000000000000001</v>
      </c>
      <c r="K26" s="112">
        <v>151.82</v>
      </c>
      <c r="L26" s="112">
        <v>26.29</v>
      </c>
      <c r="M26" s="112">
        <v>98.65</v>
      </c>
      <c r="N26" s="112">
        <v>2.2999999999999998</v>
      </c>
      <c r="O26" s="112">
        <v>0</v>
      </c>
      <c r="P26" s="112">
        <v>0.36</v>
      </c>
      <c r="Q26" s="112">
        <v>3.87</v>
      </c>
      <c r="R26" s="6"/>
      <c r="S26" s="6"/>
      <c r="T26" s="182"/>
      <c r="U26" s="6"/>
    </row>
    <row r="27" spans="1:21" customFormat="1">
      <c r="A27" s="196" t="s">
        <v>353</v>
      </c>
      <c r="B27" s="112">
        <v>9.2100000000000009</v>
      </c>
      <c r="C27" s="112">
        <v>4.07</v>
      </c>
      <c r="D27" s="112">
        <v>13.96</v>
      </c>
      <c r="E27" s="112">
        <v>9.24</v>
      </c>
      <c r="F27" s="112">
        <v>11.46</v>
      </c>
      <c r="G27" s="112">
        <v>12.54</v>
      </c>
      <c r="H27" s="112">
        <v>2.82</v>
      </c>
      <c r="I27" s="112">
        <v>3.43</v>
      </c>
      <c r="J27" s="112">
        <v>0.11</v>
      </c>
      <c r="K27" s="112">
        <v>189.1</v>
      </c>
      <c r="L27" s="112">
        <v>26.14</v>
      </c>
      <c r="M27" s="112">
        <v>100.19</v>
      </c>
      <c r="N27" s="112">
        <v>2.2000000000000002</v>
      </c>
      <c r="O27" s="112">
        <v>0</v>
      </c>
      <c r="P27" s="112">
        <v>0.33</v>
      </c>
      <c r="Q27" s="112">
        <v>3.89</v>
      </c>
      <c r="R27" s="6"/>
      <c r="S27" s="6"/>
      <c r="T27" s="182"/>
      <c r="U27" s="6"/>
    </row>
    <row r="28" spans="1:21" customFormat="1">
      <c r="A28" s="196" t="s">
        <v>354</v>
      </c>
      <c r="B28" s="112">
        <v>9.2200000000000006</v>
      </c>
      <c r="C28" s="112">
        <v>4.07</v>
      </c>
      <c r="D28" s="112">
        <v>13.97</v>
      </c>
      <c r="E28" s="112">
        <v>8.61</v>
      </c>
      <c r="F28" s="112">
        <v>14.41</v>
      </c>
      <c r="G28" s="112">
        <v>12.31</v>
      </c>
      <c r="H28" s="112">
        <v>2.42</v>
      </c>
      <c r="I28" s="112">
        <v>3.13</v>
      </c>
      <c r="J28" s="112">
        <v>0.11</v>
      </c>
      <c r="K28" s="112">
        <v>104.14</v>
      </c>
      <c r="L28" s="112">
        <v>26.18</v>
      </c>
      <c r="M28" s="112">
        <v>100.25</v>
      </c>
      <c r="N28" s="112">
        <v>2.2000000000000002</v>
      </c>
      <c r="O28" s="112">
        <v>0</v>
      </c>
      <c r="P28" s="112">
        <v>0.28999999999999998</v>
      </c>
      <c r="Q28" s="112">
        <v>3.91</v>
      </c>
      <c r="R28" s="6"/>
      <c r="S28" s="6"/>
      <c r="T28" s="182"/>
      <c r="U28" s="6"/>
    </row>
    <row r="29" spans="1:21" customFormat="1">
      <c r="A29" s="196" t="s">
        <v>355</v>
      </c>
      <c r="B29" s="112">
        <v>9.2899999999999991</v>
      </c>
      <c r="C29" s="112">
        <v>4.08</v>
      </c>
      <c r="D29" s="112">
        <v>14.03</v>
      </c>
      <c r="E29" s="112">
        <v>8.24</v>
      </c>
      <c r="F29" s="112">
        <v>15.3</v>
      </c>
      <c r="G29" s="112">
        <v>12.08</v>
      </c>
      <c r="H29" s="112">
        <v>2.21</v>
      </c>
      <c r="I29" s="112">
        <v>2.93</v>
      </c>
      <c r="J29" s="112">
        <v>0.13</v>
      </c>
      <c r="K29" s="112">
        <v>231.38</v>
      </c>
      <c r="L29" s="112">
        <v>26.03</v>
      </c>
      <c r="M29" s="112">
        <v>100.25</v>
      </c>
      <c r="N29" s="112">
        <v>3.1</v>
      </c>
      <c r="O29" s="112">
        <v>0</v>
      </c>
      <c r="P29" s="112">
        <v>0.26</v>
      </c>
      <c r="Q29" s="112">
        <v>3.92</v>
      </c>
      <c r="R29" s="6"/>
      <c r="S29" s="6"/>
      <c r="T29" s="182"/>
      <c r="U29" s="6"/>
    </row>
    <row r="30" spans="1:21" customFormat="1">
      <c r="A30" s="196" t="s">
        <v>356</v>
      </c>
      <c r="B30" s="112">
        <v>9.2799999999999994</v>
      </c>
      <c r="C30" s="112">
        <v>4.0999999999999996</v>
      </c>
      <c r="D30" s="112">
        <v>14.04</v>
      </c>
      <c r="E30" s="112">
        <v>8.59</v>
      </c>
      <c r="F30" s="112">
        <v>16.07</v>
      </c>
      <c r="G30" s="112">
        <v>12.08</v>
      </c>
      <c r="H30" s="112">
        <v>2.21</v>
      </c>
      <c r="I30" s="112">
        <v>2.71</v>
      </c>
      <c r="J30" s="112">
        <v>0.17</v>
      </c>
      <c r="K30" s="112">
        <v>266.56</v>
      </c>
      <c r="L30" s="112">
        <v>26.03</v>
      </c>
      <c r="M30" s="112">
        <v>99.79</v>
      </c>
      <c r="N30" s="112">
        <v>7.5</v>
      </c>
      <c r="O30" s="112">
        <v>0</v>
      </c>
      <c r="P30" s="112">
        <v>0.25</v>
      </c>
      <c r="Q30" s="112">
        <v>3.91</v>
      </c>
      <c r="R30" s="6"/>
      <c r="S30" s="6"/>
      <c r="T30" s="182"/>
      <c r="U30" s="6"/>
    </row>
    <row r="31" spans="1:21" customFormat="1">
      <c r="A31" s="196" t="s">
        <v>357</v>
      </c>
      <c r="B31" s="112">
        <v>9.27</v>
      </c>
      <c r="C31" s="112">
        <v>4.08</v>
      </c>
      <c r="D31" s="112">
        <v>14.01</v>
      </c>
      <c r="E31" s="112">
        <v>7.71</v>
      </c>
      <c r="F31" s="112">
        <v>16.920000000000002</v>
      </c>
      <c r="G31" s="112">
        <v>12.08</v>
      </c>
      <c r="H31" s="112">
        <v>2.21</v>
      </c>
      <c r="I31" s="112">
        <v>2.65</v>
      </c>
      <c r="J31" s="112">
        <v>0.14000000000000001</v>
      </c>
      <c r="K31" s="112">
        <v>242.56</v>
      </c>
      <c r="L31" s="112">
        <v>26.08</v>
      </c>
      <c r="M31" s="112">
        <v>99.57</v>
      </c>
      <c r="N31" s="112">
        <v>18.2</v>
      </c>
      <c r="O31" s="112">
        <v>0</v>
      </c>
      <c r="P31" s="112">
        <v>0.24</v>
      </c>
      <c r="Q31" s="112">
        <v>3.93</v>
      </c>
      <c r="R31" s="6"/>
      <c r="S31" s="6"/>
      <c r="T31" s="182"/>
      <c r="U31" s="6"/>
    </row>
    <row r="32" spans="1:21" customFormat="1">
      <c r="A32" s="196" t="s">
        <v>358</v>
      </c>
      <c r="B32" s="112">
        <v>9.23</v>
      </c>
      <c r="C32" s="112">
        <v>4.07</v>
      </c>
      <c r="D32" s="112">
        <v>13.98</v>
      </c>
      <c r="E32" s="112">
        <v>7.92</v>
      </c>
      <c r="F32" s="112">
        <v>18.27</v>
      </c>
      <c r="G32" s="112">
        <v>11.35</v>
      </c>
      <c r="H32" s="112">
        <v>1.99</v>
      </c>
      <c r="I32" s="112">
        <v>2.63</v>
      </c>
      <c r="J32" s="112">
        <v>0.12</v>
      </c>
      <c r="K32" s="112">
        <v>153.76</v>
      </c>
      <c r="L32" s="112">
        <v>26.32</v>
      </c>
      <c r="M32" s="112">
        <v>98.72</v>
      </c>
      <c r="N32" s="112">
        <v>34.799999999999997</v>
      </c>
      <c r="O32" s="112">
        <v>0</v>
      </c>
      <c r="P32" s="112">
        <v>0.23</v>
      </c>
      <c r="Q32" s="112">
        <v>3.92</v>
      </c>
      <c r="R32" s="6"/>
      <c r="S32" s="6"/>
      <c r="T32" s="182"/>
      <c r="U32" s="6"/>
    </row>
    <row r="33" spans="1:21" customFormat="1">
      <c r="A33" s="196" t="s">
        <v>359</v>
      </c>
      <c r="B33" s="112">
        <v>9.23</v>
      </c>
      <c r="C33" s="112">
        <v>4.07</v>
      </c>
      <c r="D33" s="112">
        <v>13.98</v>
      </c>
      <c r="E33" s="112">
        <v>7.92</v>
      </c>
      <c r="F33" s="112">
        <v>18.27</v>
      </c>
      <c r="G33" s="112">
        <v>11.35</v>
      </c>
      <c r="H33" s="112">
        <v>1.99</v>
      </c>
      <c r="I33" s="112">
        <v>2.63</v>
      </c>
      <c r="J33" s="112">
        <v>0.12</v>
      </c>
      <c r="K33" s="112">
        <v>153.76</v>
      </c>
      <c r="L33" s="112">
        <v>26.32</v>
      </c>
      <c r="M33" s="112">
        <v>98.72</v>
      </c>
      <c r="N33" s="112">
        <v>34.799999999999997</v>
      </c>
      <c r="O33" s="112">
        <v>0</v>
      </c>
      <c r="P33" s="112">
        <v>0.23</v>
      </c>
      <c r="Q33" s="112">
        <v>3.92</v>
      </c>
      <c r="R33" s="6"/>
      <c r="S33" s="6"/>
      <c r="T33" s="182"/>
      <c r="U33" s="6"/>
    </row>
    <row r="34" spans="1:21" customFormat="1">
      <c r="A34" s="196" t="s">
        <v>360</v>
      </c>
      <c r="B34" s="112">
        <v>9.2799999999999994</v>
      </c>
      <c r="C34" s="112">
        <v>4.05</v>
      </c>
      <c r="D34" s="112">
        <v>14.01</v>
      </c>
      <c r="E34" s="112">
        <v>8.2100000000000009</v>
      </c>
      <c r="F34" s="112">
        <v>15.61</v>
      </c>
      <c r="G34" s="112">
        <v>10.65</v>
      </c>
      <c r="H34" s="112">
        <v>1.89</v>
      </c>
      <c r="I34" s="112">
        <v>2.4700000000000002</v>
      </c>
      <c r="J34" s="112">
        <v>0.09</v>
      </c>
      <c r="K34" s="112">
        <v>201.17</v>
      </c>
      <c r="L34" s="112">
        <v>26.84</v>
      </c>
      <c r="M34" s="112">
        <v>96.37</v>
      </c>
      <c r="N34" s="112">
        <v>52.5</v>
      </c>
      <c r="O34" s="112">
        <v>0</v>
      </c>
      <c r="P34" s="112">
        <v>0.24</v>
      </c>
      <c r="Q34" s="112">
        <v>3.94</v>
      </c>
      <c r="R34" s="6"/>
      <c r="S34" s="6"/>
      <c r="T34" s="182"/>
      <c r="U34" s="6"/>
    </row>
    <row r="35" spans="1:21" customFormat="1">
      <c r="A35" s="196" t="s">
        <v>361</v>
      </c>
      <c r="B35" s="112">
        <v>9.25</v>
      </c>
      <c r="C35" s="112">
        <v>4.05</v>
      </c>
      <c r="D35" s="112">
        <v>13.98</v>
      </c>
      <c r="E35" s="112">
        <v>8.23</v>
      </c>
      <c r="F35" s="112">
        <v>14.75</v>
      </c>
      <c r="G35" s="112">
        <v>10.65</v>
      </c>
      <c r="H35" s="112">
        <v>1.89</v>
      </c>
      <c r="I35" s="112">
        <v>2.59</v>
      </c>
      <c r="J35" s="112">
        <v>0.12</v>
      </c>
      <c r="K35" s="112">
        <v>268.60000000000002</v>
      </c>
      <c r="L35" s="112">
        <v>27.19</v>
      </c>
      <c r="M35" s="112">
        <v>94.13</v>
      </c>
      <c r="N35" s="112">
        <v>80.2</v>
      </c>
      <c r="O35" s="112">
        <v>0</v>
      </c>
      <c r="P35" s="112">
        <v>0.26</v>
      </c>
      <c r="Q35" s="112">
        <v>3.93</v>
      </c>
      <c r="R35" s="6"/>
      <c r="S35" s="6"/>
      <c r="T35" s="182"/>
      <c r="U35" s="6"/>
    </row>
    <row r="36" spans="1:21" customFormat="1">
      <c r="A36" s="196" t="s">
        <v>362</v>
      </c>
      <c r="B36" s="112">
        <v>9.2200000000000006</v>
      </c>
      <c r="C36" s="112">
        <v>4.09</v>
      </c>
      <c r="D36" s="112">
        <v>13.98</v>
      </c>
      <c r="E36" s="112">
        <v>8.15</v>
      </c>
      <c r="F36" s="112">
        <v>15.26</v>
      </c>
      <c r="G36" s="112">
        <v>10.82</v>
      </c>
      <c r="H36" s="112">
        <v>4.51</v>
      </c>
      <c r="I36" s="112">
        <v>2.71</v>
      </c>
      <c r="J36" s="112">
        <v>0.1</v>
      </c>
      <c r="K36" s="112">
        <v>329.89</v>
      </c>
      <c r="L36" s="112">
        <v>27.74</v>
      </c>
      <c r="M36" s="112">
        <v>92.17</v>
      </c>
      <c r="N36" s="112">
        <v>112.6</v>
      </c>
      <c r="O36" s="112">
        <v>0</v>
      </c>
      <c r="P36" s="112">
        <v>0.25</v>
      </c>
      <c r="Q36" s="112">
        <v>3.91</v>
      </c>
      <c r="R36" s="6"/>
      <c r="S36" s="6"/>
      <c r="T36" s="182"/>
      <c r="U36" s="6"/>
    </row>
    <row r="37" spans="1:21" customFormat="1">
      <c r="A37" s="196" t="s">
        <v>363</v>
      </c>
      <c r="B37" s="112">
        <v>9.25</v>
      </c>
      <c r="C37" s="112">
        <v>4.04</v>
      </c>
      <c r="D37" s="112">
        <v>13.97</v>
      </c>
      <c r="E37" s="112">
        <v>8.49</v>
      </c>
      <c r="F37" s="112">
        <v>15.34</v>
      </c>
      <c r="G37" s="112">
        <v>10.99</v>
      </c>
      <c r="H37" s="112">
        <v>5.72</v>
      </c>
      <c r="I37" s="112">
        <v>2.79</v>
      </c>
      <c r="J37" s="112">
        <v>0.11</v>
      </c>
      <c r="K37" s="112">
        <v>298.63</v>
      </c>
      <c r="L37" s="112">
        <v>28.51</v>
      </c>
      <c r="M37" s="112">
        <v>88.48</v>
      </c>
      <c r="N37" s="112">
        <v>138.30000000000001</v>
      </c>
      <c r="O37" s="112">
        <v>0</v>
      </c>
      <c r="P37" s="112">
        <v>0.26</v>
      </c>
      <c r="Q37" s="112">
        <v>3.9</v>
      </c>
      <c r="R37" s="6"/>
      <c r="S37" s="6"/>
      <c r="T37" s="182"/>
      <c r="U37" s="6"/>
    </row>
    <row r="38" spans="1:21" customFormat="1">
      <c r="A38" s="196" t="s">
        <v>364</v>
      </c>
      <c r="B38" s="112">
        <v>9.24</v>
      </c>
      <c r="C38" s="112">
        <v>4.0599999999999996</v>
      </c>
      <c r="D38" s="112">
        <v>13.98</v>
      </c>
      <c r="E38" s="112">
        <v>8.2899999999999991</v>
      </c>
      <c r="F38" s="112">
        <v>16.22</v>
      </c>
      <c r="G38" s="112">
        <v>10.99</v>
      </c>
      <c r="H38" s="112">
        <v>5.72</v>
      </c>
      <c r="I38" s="112">
        <v>2.66</v>
      </c>
      <c r="J38" s="112">
        <v>0.35</v>
      </c>
      <c r="K38" s="112">
        <v>276.52999999999997</v>
      </c>
      <c r="L38" s="112">
        <v>28.99</v>
      </c>
      <c r="M38" s="112">
        <v>85.23</v>
      </c>
      <c r="N38" s="112">
        <v>138.30000000000001</v>
      </c>
      <c r="O38" s="112">
        <v>0</v>
      </c>
      <c r="P38" s="112">
        <v>0.26</v>
      </c>
      <c r="Q38" s="112">
        <v>3.89</v>
      </c>
      <c r="R38" s="6"/>
      <c r="S38" s="6"/>
      <c r="T38" s="182"/>
      <c r="U38" s="6"/>
    </row>
    <row r="39" spans="1:21" customFormat="1">
      <c r="A39" s="196" t="s">
        <v>365</v>
      </c>
      <c r="B39" s="112">
        <v>9.26</v>
      </c>
      <c r="C39" s="112">
        <v>4.0599999999999996</v>
      </c>
      <c r="D39" s="112">
        <v>14</v>
      </c>
      <c r="E39" s="112">
        <v>8.75</v>
      </c>
      <c r="F39" s="112">
        <v>16.440000000000001</v>
      </c>
      <c r="G39" s="112">
        <v>10.99</v>
      </c>
      <c r="H39" s="112">
        <v>5.72</v>
      </c>
      <c r="I39" s="112">
        <v>2.81</v>
      </c>
      <c r="J39" s="112">
        <v>0.22</v>
      </c>
      <c r="K39" s="112">
        <v>256.92</v>
      </c>
      <c r="L39" s="112">
        <v>29.12</v>
      </c>
      <c r="M39" s="112">
        <v>84.41</v>
      </c>
      <c r="N39" s="112">
        <v>154.69999999999999</v>
      </c>
      <c r="O39" s="112">
        <v>0</v>
      </c>
      <c r="P39" s="112">
        <v>0.26</v>
      </c>
      <c r="Q39" s="112">
        <v>3.89</v>
      </c>
      <c r="R39" s="6"/>
      <c r="S39" s="6"/>
      <c r="T39" s="182"/>
      <c r="U39" s="6"/>
    </row>
    <row r="40" spans="1:21" customFormat="1">
      <c r="A40" s="196" t="s">
        <v>366</v>
      </c>
      <c r="B40" s="112">
        <v>9.27</v>
      </c>
      <c r="C40" s="112">
        <v>4.07</v>
      </c>
      <c r="D40" s="112">
        <v>14.01</v>
      </c>
      <c r="E40" s="112">
        <v>8.68</v>
      </c>
      <c r="F40" s="112">
        <v>18.38</v>
      </c>
      <c r="G40" s="112">
        <v>11.85</v>
      </c>
      <c r="H40" s="112">
        <v>5.04</v>
      </c>
      <c r="I40" s="112">
        <v>2.86</v>
      </c>
      <c r="J40" s="112">
        <v>0.39</v>
      </c>
      <c r="K40" s="112">
        <v>267.63</v>
      </c>
      <c r="L40" s="112">
        <v>29.51</v>
      </c>
      <c r="M40" s="112">
        <v>82.34</v>
      </c>
      <c r="N40" s="112">
        <v>186.7</v>
      </c>
      <c r="O40" s="112">
        <v>0</v>
      </c>
      <c r="P40" s="112">
        <v>0.26</v>
      </c>
      <c r="Q40" s="112">
        <v>3.92</v>
      </c>
      <c r="R40" s="6"/>
      <c r="S40" s="6"/>
      <c r="T40" s="182"/>
      <c r="U40" s="6"/>
    </row>
    <row r="41" spans="1:21" customFormat="1">
      <c r="A41" s="196" t="s">
        <v>367</v>
      </c>
      <c r="B41" s="112">
        <v>9.2799999999999994</v>
      </c>
      <c r="C41" s="112">
        <v>4.0599999999999996</v>
      </c>
      <c r="D41" s="112">
        <v>14.02</v>
      </c>
      <c r="E41" s="112">
        <v>9.0399999999999991</v>
      </c>
      <c r="F41" s="112">
        <v>14.54</v>
      </c>
      <c r="G41" s="112">
        <v>12.82</v>
      </c>
      <c r="H41" s="112">
        <v>4.03</v>
      </c>
      <c r="I41" s="112">
        <v>2.96</v>
      </c>
      <c r="J41" s="112">
        <v>0.57999999999999996</v>
      </c>
      <c r="K41" s="112">
        <v>264.74</v>
      </c>
      <c r="L41" s="112">
        <v>29.35</v>
      </c>
      <c r="M41" s="112">
        <v>82.85</v>
      </c>
      <c r="N41" s="112">
        <v>181.9</v>
      </c>
      <c r="O41" s="112">
        <v>0</v>
      </c>
      <c r="P41" s="112">
        <v>0.26</v>
      </c>
      <c r="Q41" s="112">
        <v>3.92</v>
      </c>
      <c r="R41" s="6"/>
      <c r="S41" s="6"/>
      <c r="T41" s="182"/>
      <c r="U41" s="6"/>
    </row>
    <row r="42" spans="1:21" customFormat="1">
      <c r="A42" s="196" t="s">
        <v>368</v>
      </c>
      <c r="B42" s="112">
        <v>9.2799999999999994</v>
      </c>
      <c r="C42" s="112">
        <v>4.07</v>
      </c>
      <c r="D42" s="112">
        <v>14.02</v>
      </c>
      <c r="E42" s="112">
        <v>8.8800000000000008</v>
      </c>
      <c r="F42" s="112">
        <v>17.43</v>
      </c>
      <c r="G42" s="112">
        <v>12.82</v>
      </c>
      <c r="H42" s="112">
        <v>4.03</v>
      </c>
      <c r="I42" s="112">
        <v>2.88</v>
      </c>
      <c r="J42" s="112">
        <v>0.64</v>
      </c>
      <c r="K42" s="112">
        <v>265.35000000000002</v>
      </c>
      <c r="L42" s="112">
        <v>29.61</v>
      </c>
      <c r="M42" s="112">
        <v>81.05</v>
      </c>
      <c r="N42" s="112">
        <v>215.3</v>
      </c>
      <c r="O42" s="112">
        <v>0</v>
      </c>
      <c r="P42" s="112">
        <v>0.26</v>
      </c>
      <c r="Q42" s="112">
        <v>3.89</v>
      </c>
      <c r="R42" s="6"/>
      <c r="S42" s="6"/>
      <c r="T42" s="182"/>
      <c r="U42" s="6"/>
    </row>
    <row r="43" spans="1:21" customFormat="1">
      <c r="A43" s="196" t="s">
        <v>369</v>
      </c>
      <c r="B43" s="112">
        <v>9.26</v>
      </c>
      <c r="C43" s="112">
        <v>4.08</v>
      </c>
      <c r="D43" s="112">
        <v>14.01</v>
      </c>
      <c r="E43" s="112">
        <v>9.83</v>
      </c>
      <c r="F43" s="112">
        <v>7.13</v>
      </c>
      <c r="G43" s="112">
        <v>12.82</v>
      </c>
      <c r="H43" s="112">
        <v>4.03</v>
      </c>
      <c r="I43" s="112">
        <v>3.06</v>
      </c>
      <c r="J43" s="112">
        <v>0.33</v>
      </c>
      <c r="K43" s="112">
        <v>240.17</v>
      </c>
      <c r="L43" s="112">
        <v>29.94</v>
      </c>
      <c r="M43" s="112">
        <v>80.67</v>
      </c>
      <c r="N43" s="112">
        <v>209.7</v>
      </c>
      <c r="O43" s="112">
        <v>0</v>
      </c>
      <c r="P43" s="112">
        <v>0.28000000000000003</v>
      </c>
      <c r="Q43" s="112">
        <v>3.88</v>
      </c>
      <c r="R43" s="6"/>
      <c r="S43" s="6"/>
      <c r="T43" s="182"/>
      <c r="U43" s="6"/>
    </row>
    <row r="44" spans="1:21" customFormat="1">
      <c r="A44" s="196" t="s">
        <v>370</v>
      </c>
      <c r="B44" s="112">
        <v>9.27</v>
      </c>
      <c r="C44" s="112">
        <v>4.07</v>
      </c>
      <c r="D44" s="112">
        <v>14.01</v>
      </c>
      <c r="E44" s="112">
        <v>9.26</v>
      </c>
      <c r="F44" s="112">
        <v>10.11</v>
      </c>
      <c r="G44" s="112">
        <v>12.61</v>
      </c>
      <c r="H44" s="112">
        <v>4.99</v>
      </c>
      <c r="I44" s="112">
        <v>2.98</v>
      </c>
      <c r="J44" s="112">
        <v>0.62</v>
      </c>
      <c r="K44" s="112">
        <v>262.7</v>
      </c>
      <c r="L44" s="112">
        <v>30.34</v>
      </c>
      <c r="M44" s="112">
        <v>77.87</v>
      </c>
      <c r="N44" s="112">
        <v>219.7</v>
      </c>
      <c r="O44" s="112">
        <v>0</v>
      </c>
      <c r="P44" s="112">
        <v>0.31</v>
      </c>
      <c r="Q44" s="112">
        <v>3.89</v>
      </c>
      <c r="R44" s="6"/>
      <c r="S44" s="6"/>
      <c r="T44" s="182"/>
      <c r="U44" s="6"/>
    </row>
    <row r="45" spans="1:21" customFormat="1">
      <c r="A45" s="196" t="s">
        <v>371</v>
      </c>
      <c r="B45" s="112">
        <v>9.2899999999999991</v>
      </c>
      <c r="C45" s="112">
        <v>4.0599999999999996</v>
      </c>
      <c r="D45" s="112">
        <v>14.02</v>
      </c>
      <c r="E45" s="112">
        <v>9.34</v>
      </c>
      <c r="F45" s="112">
        <v>9.58</v>
      </c>
      <c r="G45" s="112">
        <v>12.44</v>
      </c>
      <c r="H45" s="112">
        <v>5.44</v>
      </c>
      <c r="I45" s="112">
        <v>3.31</v>
      </c>
      <c r="J45" s="112">
        <v>0.66</v>
      </c>
      <c r="K45" s="112">
        <v>251.95</v>
      </c>
      <c r="L45" s="112">
        <v>30.72</v>
      </c>
      <c r="M45" s="112">
        <v>75.27</v>
      </c>
      <c r="N45" s="112">
        <v>237.3</v>
      </c>
      <c r="O45" s="112">
        <v>0</v>
      </c>
      <c r="P45" s="112">
        <v>0.33</v>
      </c>
      <c r="Q45" s="112">
        <v>3.89</v>
      </c>
      <c r="R45" s="6"/>
      <c r="S45" s="6"/>
      <c r="T45" s="182"/>
      <c r="U45" s="6"/>
    </row>
    <row r="46" spans="1:21" customFormat="1">
      <c r="A46" s="196" t="s">
        <v>372</v>
      </c>
      <c r="B46" s="112">
        <v>9.27</v>
      </c>
      <c r="C46" s="112">
        <v>4.08</v>
      </c>
      <c r="D46" s="112">
        <v>14.02</v>
      </c>
      <c r="E46" s="112">
        <v>8.94</v>
      </c>
      <c r="F46" s="112">
        <v>7.93</v>
      </c>
      <c r="G46" s="112">
        <v>12.44</v>
      </c>
      <c r="H46" s="112">
        <v>5.44</v>
      </c>
      <c r="I46" s="112">
        <v>3.18</v>
      </c>
      <c r="J46" s="112">
        <v>0.7</v>
      </c>
      <c r="K46" s="112">
        <v>245.88</v>
      </c>
      <c r="L46" s="112">
        <v>31.06</v>
      </c>
      <c r="M46" s="112">
        <v>74.12</v>
      </c>
      <c r="N46" s="112">
        <v>229</v>
      </c>
      <c r="O46" s="112">
        <v>0</v>
      </c>
      <c r="P46" s="112">
        <v>0.33</v>
      </c>
      <c r="Q46" s="112">
        <v>3.89</v>
      </c>
      <c r="R46" s="6"/>
      <c r="S46" s="6"/>
      <c r="T46" s="182"/>
      <c r="U46" s="6"/>
    </row>
    <row r="47" spans="1:21" customFormat="1">
      <c r="A47" s="196" t="s">
        <v>373</v>
      </c>
      <c r="B47" s="112">
        <v>9.25</v>
      </c>
      <c r="C47" s="112">
        <v>4.09</v>
      </c>
      <c r="D47" s="112">
        <v>14</v>
      </c>
      <c r="E47" s="112">
        <v>9.35</v>
      </c>
      <c r="F47" s="112">
        <v>9.14</v>
      </c>
      <c r="G47" s="112">
        <v>12.44</v>
      </c>
      <c r="H47" s="112">
        <v>5.44</v>
      </c>
      <c r="I47" s="112">
        <v>3.23</v>
      </c>
      <c r="J47" s="112">
        <v>0.64</v>
      </c>
      <c r="K47" s="112">
        <v>252.27</v>
      </c>
      <c r="L47" s="112">
        <v>31.58</v>
      </c>
      <c r="M47" s="112">
        <v>73.02</v>
      </c>
      <c r="N47" s="112">
        <v>248.9</v>
      </c>
      <c r="O47" s="112">
        <v>0</v>
      </c>
      <c r="P47" s="112">
        <v>0.33</v>
      </c>
      <c r="Q47" s="112">
        <v>3.92</v>
      </c>
      <c r="R47" s="6"/>
      <c r="S47" s="6"/>
      <c r="T47" s="182"/>
      <c r="U47" s="6"/>
    </row>
    <row r="48" spans="1:21" customFormat="1">
      <c r="A48" s="196" t="s">
        <v>374</v>
      </c>
      <c r="B48" s="112">
        <v>9.25</v>
      </c>
      <c r="C48" s="112">
        <v>4.07</v>
      </c>
      <c r="D48" s="112">
        <v>13.99</v>
      </c>
      <c r="E48" s="112">
        <v>9.44</v>
      </c>
      <c r="F48" s="112">
        <v>9.23</v>
      </c>
      <c r="G48" s="112">
        <v>12.95</v>
      </c>
      <c r="H48" s="112">
        <v>6.01</v>
      </c>
      <c r="I48" s="112">
        <v>3.3</v>
      </c>
      <c r="J48" s="112">
        <v>0.39</v>
      </c>
      <c r="K48" s="112">
        <v>231.94</v>
      </c>
      <c r="L48" s="112">
        <v>31.83</v>
      </c>
      <c r="M48" s="112">
        <v>72.08</v>
      </c>
      <c r="N48" s="112">
        <v>261</v>
      </c>
      <c r="O48" s="112">
        <v>0</v>
      </c>
      <c r="P48" s="112">
        <v>0.33</v>
      </c>
      <c r="Q48" s="112">
        <v>3.91</v>
      </c>
      <c r="R48" s="6"/>
      <c r="S48" s="6"/>
      <c r="T48" s="182"/>
      <c r="U48" s="6"/>
    </row>
    <row r="49" spans="1:21" customFormat="1">
      <c r="A49" s="196" t="s">
        <v>375</v>
      </c>
      <c r="B49" s="112">
        <v>9.25</v>
      </c>
      <c r="C49" s="112">
        <v>4.0599999999999996</v>
      </c>
      <c r="D49" s="112">
        <v>13.99</v>
      </c>
      <c r="E49" s="112">
        <v>8.15</v>
      </c>
      <c r="F49" s="112">
        <v>8.26</v>
      </c>
      <c r="G49" s="112">
        <v>13.45</v>
      </c>
      <c r="H49" s="112">
        <v>6.24</v>
      </c>
      <c r="I49" s="112">
        <v>3.23</v>
      </c>
      <c r="J49" s="112">
        <v>0.67</v>
      </c>
      <c r="K49" s="112">
        <v>247.87</v>
      </c>
      <c r="L49" s="112">
        <v>32.31</v>
      </c>
      <c r="M49" s="112">
        <v>70.64</v>
      </c>
      <c r="N49" s="112">
        <v>260.39999999999998</v>
      </c>
      <c r="O49" s="112">
        <v>0</v>
      </c>
      <c r="P49" s="112">
        <v>0.34</v>
      </c>
      <c r="Q49" s="112">
        <v>3.9</v>
      </c>
      <c r="R49" s="6"/>
      <c r="S49" s="6"/>
      <c r="T49" s="182"/>
      <c r="U49" s="6"/>
    </row>
    <row r="50" spans="1:21" customFormat="1">
      <c r="A50" s="196" t="s">
        <v>376</v>
      </c>
      <c r="B50" s="112">
        <v>9.26</v>
      </c>
      <c r="C50" s="112">
        <v>4.07</v>
      </c>
      <c r="D50" s="112">
        <v>14</v>
      </c>
      <c r="E50" s="112">
        <v>9.52</v>
      </c>
      <c r="F50" s="112">
        <v>7.89</v>
      </c>
      <c r="G50" s="112">
        <v>13.45</v>
      </c>
      <c r="H50" s="112">
        <v>6.24</v>
      </c>
      <c r="I50" s="112">
        <v>3.22</v>
      </c>
      <c r="J50" s="112">
        <v>0.71</v>
      </c>
      <c r="K50" s="112">
        <v>260.58</v>
      </c>
      <c r="L50" s="112">
        <v>32.57</v>
      </c>
      <c r="M50" s="112">
        <v>69.819999999999993</v>
      </c>
      <c r="N50" s="112">
        <v>263.10000000000002</v>
      </c>
      <c r="O50" s="112">
        <v>0</v>
      </c>
      <c r="P50" s="112">
        <v>0.33</v>
      </c>
      <c r="Q50" s="112">
        <v>3.93</v>
      </c>
      <c r="R50" s="6"/>
      <c r="S50" s="6"/>
      <c r="T50" s="182"/>
      <c r="U50" s="6"/>
    </row>
    <row r="51" spans="1:21" customFormat="1">
      <c r="A51" s="196" t="s">
        <v>377</v>
      </c>
      <c r="B51" s="112">
        <v>9.27</v>
      </c>
      <c r="C51" s="112">
        <v>4.0999999999999996</v>
      </c>
      <c r="D51" s="112">
        <v>14.02</v>
      </c>
      <c r="E51" s="112">
        <v>9.5500000000000007</v>
      </c>
      <c r="F51" s="112">
        <v>7.76</v>
      </c>
      <c r="G51" s="112">
        <v>13.45</v>
      </c>
      <c r="H51" s="112">
        <v>6.24</v>
      </c>
      <c r="I51" s="112">
        <v>3.27</v>
      </c>
      <c r="J51" s="112">
        <v>0.93</v>
      </c>
      <c r="K51" s="112">
        <v>271.19</v>
      </c>
      <c r="L51" s="112">
        <v>31.36</v>
      </c>
      <c r="M51" s="112">
        <v>74.23</v>
      </c>
      <c r="N51" s="112">
        <v>200</v>
      </c>
      <c r="O51" s="112">
        <v>0</v>
      </c>
      <c r="P51" s="112">
        <v>0.33</v>
      </c>
      <c r="Q51" s="112">
        <v>3.92</v>
      </c>
      <c r="R51" s="6"/>
      <c r="S51" s="6"/>
      <c r="T51" s="182"/>
      <c r="U51" s="6"/>
    </row>
    <row r="52" spans="1:21" customFormat="1">
      <c r="A52" s="196" t="s">
        <v>378</v>
      </c>
      <c r="B52" s="112">
        <v>9.2799999999999994</v>
      </c>
      <c r="C52" s="112">
        <v>4.05</v>
      </c>
      <c r="D52" s="112">
        <v>14.01</v>
      </c>
      <c r="E52" s="112">
        <v>9.84</v>
      </c>
      <c r="F52" s="112">
        <v>7</v>
      </c>
      <c r="G52" s="112">
        <v>14.71</v>
      </c>
      <c r="H52" s="112">
        <v>5.66</v>
      </c>
      <c r="I52" s="112">
        <v>3.38</v>
      </c>
      <c r="J52" s="112">
        <v>1.03</v>
      </c>
      <c r="K52" s="112">
        <v>252.95</v>
      </c>
      <c r="L52" s="112">
        <v>30.54</v>
      </c>
      <c r="M52" s="112">
        <v>74.23</v>
      </c>
      <c r="N52" s="112">
        <v>153.5</v>
      </c>
      <c r="O52" s="112">
        <v>0.2</v>
      </c>
      <c r="P52" s="112">
        <v>0.34</v>
      </c>
      <c r="Q52" s="112">
        <v>3.9</v>
      </c>
      <c r="R52" s="6"/>
      <c r="S52" s="6"/>
      <c r="T52" s="182"/>
      <c r="U52" s="6"/>
    </row>
    <row r="53" spans="1:21" customFormat="1">
      <c r="A53" s="196" t="s">
        <v>379</v>
      </c>
      <c r="B53" s="112">
        <v>9.27</v>
      </c>
      <c r="C53" s="112">
        <v>4.05</v>
      </c>
      <c r="D53" s="112">
        <v>14</v>
      </c>
      <c r="E53" s="112">
        <v>9.64</v>
      </c>
      <c r="F53" s="112">
        <v>6.3</v>
      </c>
      <c r="G53" s="112">
        <v>15.7</v>
      </c>
      <c r="H53" s="112">
        <v>5.42</v>
      </c>
      <c r="I53" s="112">
        <v>3.34</v>
      </c>
      <c r="J53" s="112">
        <v>0.7</v>
      </c>
      <c r="K53" s="112">
        <v>252.68</v>
      </c>
      <c r="L53" s="112">
        <v>29.18</v>
      </c>
      <c r="M53" s="112">
        <v>75.989999999999995</v>
      </c>
      <c r="N53" s="112">
        <v>153.30000000000001</v>
      </c>
      <c r="O53" s="112">
        <v>0</v>
      </c>
      <c r="P53" s="112">
        <v>0.34</v>
      </c>
      <c r="Q53" s="112">
        <v>3.91</v>
      </c>
      <c r="R53" s="6"/>
      <c r="S53" s="6"/>
      <c r="T53" s="182"/>
      <c r="U53" s="6"/>
    </row>
    <row r="54" spans="1:21" customFormat="1">
      <c r="A54" s="196" t="s">
        <v>380</v>
      </c>
      <c r="B54" s="112">
        <v>9.27</v>
      </c>
      <c r="C54" s="112">
        <v>4.0599999999999996</v>
      </c>
      <c r="D54" s="112">
        <v>14.01</v>
      </c>
      <c r="E54" s="112">
        <v>10.11</v>
      </c>
      <c r="F54" s="112">
        <v>8.82</v>
      </c>
      <c r="G54" s="112">
        <v>15.7</v>
      </c>
      <c r="H54" s="112">
        <v>5.42</v>
      </c>
      <c r="I54" s="112">
        <v>3.3</v>
      </c>
      <c r="J54" s="112">
        <v>0.59</v>
      </c>
      <c r="K54" s="112">
        <v>259.99</v>
      </c>
      <c r="L54" s="112">
        <v>30.52</v>
      </c>
      <c r="M54" s="112">
        <v>73.11</v>
      </c>
      <c r="N54" s="112">
        <v>211.5</v>
      </c>
      <c r="O54" s="112">
        <v>0</v>
      </c>
      <c r="P54" s="112">
        <v>0.33</v>
      </c>
      <c r="Q54" s="112">
        <v>3.91</v>
      </c>
      <c r="R54" s="6"/>
      <c r="S54" s="6"/>
      <c r="T54" s="182"/>
      <c r="U54" s="6"/>
    </row>
    <row r="55" spans="1:21" customFormat="1">
      <c r="A55" s="196" t="s">
        <v>381</v>
      </c>
      <c r="B55" s="112">
        <v>9.27</v>
      </c>
      <c r="C55" s="112">
        <v>4.04</v>
      </c>
      <c r="D55" s="112">
        <v>14</v>
      </c>
      <c r="E55" s="112">
        <v>10.07</v>
      </c>
      <c r="F55" s="112">
        <v>9.74</v>
      </c>
      <c r="G55" s="112">
        <v>15.7</v>
      </c>
      <c r="H55" s="112">
        <v>5.42</v>
      </c>
      <c r="I55" s="112">
        <v>3.33</v>
      </c>
      <c r="J55" s="112">
        <v>0.92</v>
      </c>
      <c r="K55" s="112">
        <v>271.83999999999997</v>
      </c>
      <c r="L55" s="112">
        <v>32.229999999999997</v>
      </c>
      <c r="M55" s="112">
        <v>67.64</v>
      </c>
      <c r="N55" s="112">
        <v>553.70000000000005</v>
      </c>
      <c r="O55" s="112">
        <v>0</v>
      </c>
      <c r="P55" s="112">
        <v>0.33</v>
      </c>
      <c r="Q55" s="112">
        <v>3.92</v>
      </c>
      <c r="R55" s="6"/>
      <c r="S55" s="6"/>
      <c r="T55" s="182"/>
      <c r="U55" s="6"/>
    </row>
    <row r="56" spans="1:21" customFormat="1">
      <c r="A56" s="196" t="s">
        <v>382</v>
      </c>
      <c r="B56" s="112">
        <v>9.2799999999999994</v>
      </c>
      <c r="C56" s="112">
        <v>4.04</v>
      </c>
      <c r="D56" s="112">
        <v>14.01</v>
      </c>
      <c r="E56" s="112">
        <v>10.24</v>
      </c>
      <c r="F56" s="112">
        <v>9.49</v>
      </c>
      <c r="G56" s="112">
        <v>15.45</v>
      </c>
      <c r="H56" s="112">
        <v>5.91</v>
      </c>
      <c r="I56" s="112">
        <v>3.2</v>
      </c>
      <c r="J56" s="112">
        <v>0.95</v>
      </c>
      <c r="K56" s="112">
        <v>263.04000000000002</v>
      </c>
      <c r="L56" s="112">
        <v>32.68</v>
      </c>
      <c r="M56" s="112">
        <v>64.78</v>
      </c>
      <c r="N56" s="112">
        <v>897.9</v>
      </c>
      <c r="O56" s="112">
        <v>0.2</v>
      </c>
      <c r="P56" s="112">
        <v>0.33</v>
      </c>
      <c r="Q56" s="112">
        <v>3.89</v>
      </c>
      <c r="R56" s="6"/>
      <c r="S56" s="6"/>
      <c r="T56" s="182"/>
      <c r="U56" s="6"/>
    </row>
    <row r="57" spans="1:21" customFormat="1">
      <c r="A57" s="196" t="s">
        <v>383</v>
      </c>
      <c r="B57" s="112">
        <v>9.2899999999999991</v>
      </c>
      <c r="C57" s="112">
        <v>4.09</v>
      </c>
      <c r="D57" s="112">
        <v>14.04</v>
      </c>
      <c r="E57" s="112">
        <v>10.49</v>
      </c>
      <c r="F57" s="112">
        <v>9.26</v>
      </c>
      <c r="G57" s="112">
        <v>15.11</v>
      </c>
      <c r="H57" s="112">
        <v>6.25</v>
      </c>
      <c r="I57" s="112">
        <v>3.2</v>
      </c>
      <c r="J57" s="112">
        <v>1.19</v>
      </c>
      <c r="K57" s="112">
        <v>280.82</v>
      </c>
      <c r="L57" s="112">
        <v>32.83</v>
      </c>
      <c r="M57" s="112">
        <v>61.27</v>
      </c>
      <c r="N57" s="112">
        <v>843.5</v>
      </c>
      <c r="O57" s="112">
        <v>0</v>
      </c>
      <c r="P57" s="112">
        <v>0.34</v>
      </c>
      <c r="Q57" s="112">
        <v>3.91</v>
      </c>
      <c r="R57" s="6"/>
      <c r="S57" s="6"/>
      <c r="T57" s="182"/>
      <c r="U57" s="6"/>
    </row>
    <row r="58" spans="1:21" customFormat="1">
      <c r="A58" s="196" t="s">
        <v>384</v>
      </c>
      <c r="B58" s="112">
        <v>9.3000000000000007</v>
      </c>
      <c r="C58" s="112">
        <v>4.0599999999999996</v>
      </c>
      <c r="D58" s="112">
        <v>14.03</v>
      </c>
      <c r="E58" s="112">
        <v>9.9</v>
      </c>
      <c r="F58" s="112">
        <v>8.4</v>
      </c>
      <c r="G58" s="112">
        <v>15.11</v>
      </c>
      <c r="H58" s="112">
        <v>6.25</v>
      </c>
      <c r="I58" s="112">
        <v>3.21</v>
      </c>
      <c r="J58" s="112">
        <v>1.18</v>
      </c>
      <c r="K58" s="112">
        <v>288.45</v>
      </c>
      <c r="L58" s="112">
        <v>33.340000000000003</v>
      </c>
      <c r="M58" s="112">
        <v>59.75</v>
      </c>
      <c r="N58" s="112">
        <v>940</v>
      </c>
      <c r="O58" s="112">
        <v>0</v>
      </c>
      <c r="P58" s="112">
        <v>0.33</v>
      </c>
      <c r="Q58" s="112">
        <v>3.9</v>
      </c>
      <c r="R58" s="6"/>
      <c r="S58" s="6"/>
      <c r="T58" s="182"/>
      <c r="U58" s="6"/>
    </row>
    <row r="59" spans="1:21" customFormat="1">
      <c r="A59" s="196" t="s">
        <v>385</v>
      </c>
      <c r="B59" s="112">
        <v>9.31</v>
      </c>
      <c r="C59" s="112">
        <v>4.07</v>
      </c>
      <c r="D59" s="112">
        <v>14.04</v>
      </c>
      <c r="E59" s="112">
        <v>9.7799999999999994</v>
      </c>
      <c r="F59" s="112">
        <v>9.64</v>
      </c>
      <c r="G59" s="112">
        <v>15.11</v>
      </c>
      <c r="H59" s="112">
        <v>6.25</v>
      </c>
      <c r="I59" s="112">
        <v>3.35</v>
      </c>
      <c r="J59" s="112">
        <v>1.2</v>
      </c>
      <c r="K59" s="112">
        <v>294.47000000000003</v>
      </c>
      <c r="L59" s="112">
        <v>33.880000000000003</v>
      </c>
      <c r="M59" s="112">
        <v>57.2</v>
      </c>
      <c r="N59" s="112">
        <v>779.1</v>
      </c>
      <c r="O59" s="112">
        <v>0</v>
      </c>
      <c r="P59" s="112">
        <v>0.35</v>
      </c>
      <c r="Q59" s="112">
        <v>3.89</v>
      </c>
      <c r="R59" s="6"/>
      <c r="S59" s="6"/>
      <c r="T59" s="182"/>
      <c r="U59" s="6"/>
    </row>
    <row r="60" spans="1:21" customFormat="1">
      <c r="A60" s="196" t="s">
        <v>386</v>
      </c>
      <c r="B60" s="112">
        <v>9.3000000000000007</v>
      </c>
      <c r="C60" s="112">
        <v>4.0599999999999996</v>
      </c>
      <c r="D60" s="112">
        <v>14.03</v>
      </c>
      <c r="E60" s="112">
        <v>9.94</v>
      </c>
      <c r="F60" s="112">
        <v>14.31</v>
      </c>
      <c r="G60" s="112">
        <v>12.7</v>
      </c>
      <c r="H60" s="112">
        <v>6.83</v>
      </c>
      <c r="I60" s="112">
        <v>3.31</v>
      </c>
      <c r="J60" s="112">
        <v>0.9</v>
      </c>
      <c r="K60" s="112">
        <v>336.44</v>
      </c>
      <c r="L60" s="112">
        <v>34.32</v>
      </c>
      <c r="M60" s="112">
        <v>54.18</v>
      </c>
      <c r="N60" s="112">
        <v>953.3</v>
      </c>
      <c r="O60" s="112">
        <v>0</v>
      </c>
      <c r="P60" s="112">
        <v>0.36</v>
      </c>
      <c r="Q60" s="112">
        <v>3.91</v>
      </c>
      <c r="R60" s="6"/>
      <c r="S60" s="6"/>
      <c r="T60" s="182"/>
      <c r="U60" s="6"/>
    </row>
    <row r="61" spans="1:21" customFormat="1">
      <c r="A61" s="196" t="s">
        <v>387</v>
      </c>
      <c r="B61" s="112">
        <v>9.31</v>
      </c>
      <c r="C61" s="112">
        <v>4.08</v>
      </c>
      <c r="D61" s="112">
        <v>14.05</v>
      </c>
      <c r="E61" s="112">
        <v>10.52</v>
      </c>
      <c r="F61" s="112">
        <v>11.84</v>
      </c>
      <c r="G61" s="112">
        <v>12.14</v>
      </c>
      <c r="H61" s="112">
        <v>6.88</v>
      </c>
      <c r="I61" s="112">
        <v>3.27</v>
      </c>
      <c r="J61" s="112">
        <v>0.93</v>
      </c>
      <c r="K61" s="112">
        <v>324.06</v>
      </c>
      <c r="L61" s="112">
        <v>33.96</v>
      </c>
      <c r="M61" s="112">
        <v>55.84</v>
      </c>
      <c r="N61" s="112">
        <v>608.70000000000005</v>
      </c>
      <c r="O61" s="112">
        <v>0</v>
      </c>
      <c r="P61" s="112">
        <v>0.35</v>
      </c>
      <c r="Q61" s="112">
        <v>3.91</v>
      </c>
      <c r="R61" s="6"/>
      <c r="S61" s="6"/>
      <c r="T61" s="182"/>
      <c r="U61" s="6"/>
    </row>
    <row r="62" spans="1:21" customFormat="1">
      <c r="A62" s="196" t="s">
        <v>388</v>
      </c>
      <c r="B62" s="112">
        <v>9.2899999999999991</v>
      </c>
      <c r="C62" s="112">
        <v>4.0999999999999996</v>
      </c>
      <c r="D62" s="112">
        <v>14.05</v>
      </c>
      <c r="E62" s="112">
        <v>10.029999999999999</v>
      </c>
      <c r="F62" s="112">
        <v>12.11</v>
      </c>
      <c r="G62" s="112">
        <v>12.14</v>
      </c>
      <c r="H62" s="112">
        <v>6.88</v>
      </c>
      <c r="I62" s="112">
        <v>3.29</v>
      </c>
      <c r="J62" s="112">
        <v>0.68</v>
      </c>
      <c r="K62" s="112">
        <v>277.52999999999997</v>
      </c>
      <c r="L62" s="112">
        <v>34.43</v>
      </c>
      <c r="M62" s="112">
        <v>57.02</v>
      </c>
      <c r="N62" s="112">
        <v>402.6</v>
      </c>
      <c r="O62" s="112">
        <v>0</v>
      </c>
      <c r="P62" s="112">
        <v>0.35</v>
      </c>
      <c r="Q62" s="112">
        <v>3.9</v>
      </c>
      <c r="R62" s="6"/>
      <c r="S62" s="6"/>
      <c r="T62" s="182"/>
      <c r="U62" s="6"/>
    </row>
    <row r="63" spans="1:21" customFormat="1">
      <c r="A63" s="196" t="s">
        <v>389</v>
      </c>
      <c r="B63" s="112">
        <v>9.2799999999999994</v>
      </c>
      <c r="C63" s="112">
        <v>4.1100000000000003</v>
      </c>
      <c r="D63" s="112">
        <v>14.04</v>
      </c>
      <c r="E63" s="112">
        <v>10.83</v>
      </c>
      <c r="F63" s="112">
        <v>14.85</v>
      </c>
      <c r="G63" s="112">
        <v>12.14</v>
      </c>
      <c r="H63" s="112">
        <v>6.88</v>
      </c>
      <c r="I63" s="112">
        <v>3.32</v>
      </c>
      <c r="J63" s="112">
        <v>0.45</v>
      </c>
      <c r="K63" s="112">
        <v>269.14999999999998</v>
      </c>
      <c r="L63" s="112">
        <v>34.31</v>
      </c>
      <c r="M63" s="112">
        <v>57.87</v>
      </c>
      <c r="N63" s="112">
        <v>299.5</v>
      </c>
      <c r="O63" s="112">
        <v>0</v>
      </c>
      <c r="P63" s="112">
        <v>0.35</v>
      </c>
      <c r="Q63" s="112">
        <v>3.88</v>
      </c>
      <c r="R63" s="6"/>
      <c r="S63" s="6"/>
      <c r="T63" s="182"/>
      <c r="U63" s="6"/>
    </row>
    <row r="64" spans="1:21" customFormat="1">
      <c r="A64" s="196" t="s">
        <v>390</v>
      </c>
      <c r="B64" s="112">
        <v>9.25</v>
      </c>
      <c r="C64" s="112">
        <v>4.12</v>
      </c>
      <c r="D64" s="112">
        <v>14.02</v>
      </c>
      <c r="E64" s="112">
        <v>10.43</v>
      </c>
      <c r="F64" s="112">
        <v>21.13</v>
      </c>
      <c r="G64" s="112">
        <v>13.76</v>
      </c>
      <c r="H64" s="112">
        <v>6.1</v>
      </c>
      <c r="I64" s="112">
        <v>3.36</v>
      </c>
      <c r="J64" s="112">
        <v>0.49</v>
      </c>
      <c r="K64" s="112">
        <v>272.57</v>
      </c>
      <c r="L64" s="112">
        <v>33.979999999999997</v>
      </c>
      <c r="M64" s="112">
        <v>58.02</v>
      </c>
      <c r="N64" s="112">
        <v>421.5</v>
      </c>
      <c r="O64" s="112">
        <v>0</v>
      </c>
      <c r="P64" s="112">
        <v>0.35</v>
      </c>
      <c r="Q64" s="112">
        <v>3.88</v>
      </c>
      <c r="R64" s="6"/>
      <c r="S64" s="6"/>
      <c r="T64" s="182"/>
      <c r="U64" s="6"/>
    </row>
    <row r="65" spans="1:21" customFormat="1">
      <c r="A65" s="196" t="s">
        <v>391</v>
      </c>
      <c r="B65" s="112">
        <v>9.23</v>
      </c>
      <c r="C65" s="112">
        <v>4.08</v>
      </c>
      <c r="D65" s="112">
        <v>13.99</v>
      </c>
      <c r="E65" s="112">
        <v>10.1</v>
      </c>
      <c r="F65" s="112">
        <v>17.96</v>
      </c>
      <c r="G65" s="112">
        <v>15.38</v>
      </c>
      <c r="H65" s="112">
        <v>4.93</v>
      </c>
      <c r="I65" s="112">
        <v>3.25</v>
      </c>
      <c r="J65" s="112">
        <v>0.35</v>
      </c>
      <c r="K65" s="112">
        <v>236.8</v>
      </c>
      <c r="L65" s="112">
        <v>34.79</v>
      </c>
      <c r="M65" s="112">
        <v>56.39</v>
      </c>
      <c r="N65" s="112">
        <v>491.7</v>
      </c>
      <c r="O65" s="112">
        <v>0</v>
      </c>
      <c r="P65" s="112">
        <v>0.33</v>
      </c>
      <c r="Q65" s="112">
        <v>3.88</v>
      </c>
      <c r="R65" s="6"/>
      <c r="S65" s="6"/>
      <c r="T65" s="182"/>
      <c r="U65" s="6"/>
    </row>
    <row r="66" spans="1:21" customFormat="1">
      <c r="A66" s="196" t="s">
        <v>392</v>
      </c>
      <c r="B66" s="112">
        <v>9.23</v>
      </c>
      <c r="C66" s="112">
        <v>4.08</v>
      </c>
      <c r="D66" s="112">
        <v>13.99</v>
      </c>
      <c r="E66" s="112">
        <v>10.1</v>
      </c>
      <c r="F66" s="112">
        <v>17.96</v>
      </c>
      <c r="G66" s="112">
        <v>15.38</v>
      </c>
      <c r="H66" s="112">
        <v>4.93</v>
      </c>
      <c r="I66" s="112">
        <v>3.25</v>
      </c>
      <c r="J66" s="112">
        <v>0.35</v>
      </c>
      <c r="K66" s="112">
        <v>236.8</v>
      </c>
      <c r="L66" s="112">
        <v>34.79</v>
      </c>
      <c r="M66" s="112">
        <v>56.39</v>
      </c>
      <c r="N66" s="112">
        <v>491.7</v>
      </c>
      <c r="O66" s="112">
        <v>0</v>
      </c>
      <c r="P66" s="112">
        <v>0.33</v>
      </c>
      <c r="Q66" s="112">
        <v>3.88</v>
      </c>
      <c r="R66" s="6"/>
      <c r="S66" s="6"/>
      <c r="T66" s="182"/>
      <c r="U66" s="6"/>
    </row>
    <row r="67" spans="1:21" customFormat="1">
      <c r="A67" s="196" t="s">
        <v>393</v>
      </c>
      <c r="B67" s="112">
        <v>9.2200000000000006</v>
      </c>
      <c r="C67" s="112">
        <v>4.07</v>
      </c>
      <c r="D67" s="112">
        <v>13.97</v>
      </c>
      <c r="E67" s="112">
        <v>9.2100000000000009</v>
      </c>
      <c r="F67" s="112">
        <v>19.21</v>
      </c>
      <c r="G67" s="112">
        <v>15.38</v>
      </c>
      <c r="H67" s="112">
        <v>4.93</v>
      </c>
      <c r="I67" s="112">
        <v>3.17</v>
      </c>
      <c r="J67" s="112">
        <v>0.41</v>
      </c>
      <c r="K67" s="112">
        <v>228.41</v>
      </c>
      <c r="L67" s="112">
        <v>34.11</v>
      </c>
      <c r="M67" s="112">
        <v>59.41</v>
      </c>
      <c r="N67" s="112">
        <v>432.3</v>
      </c>
      <c r="O67" s="112">
        <v>0</v>
      </c>
      <c r="P67" s="112">
        <v>0.34</v>
      </c>
      <c r="Q67" s="112">
        <v>3.88</v>
      </c>
      <c r="R67" s="6"/>
      <c r="S67" s="6"/>
      <c r="T67" s="182"/>
      <c r="U67" s="6"/>
    </row>
    <row r="68" spans="1:21" customFormat="1">
      <c r="A68" s="196" t="s">
        <v>394</v>
      </c>
      <c r="B68" s="112">
        <v>9.23</v>
      </c>
      <c r="C68" s="112">
        <v>4.07</v>
      </c>
      <c r="D68" s="112">
        <v>13.98</v>
      </c>
      <c r="E68" s="112">
        <v>9.07</v>
      </c>
      <c r="F68" s="112">
        <v>20.61</v>
      </c>
      <c r="G68" s="112">
        <v>13.65</v>
      </c>
      <c r="H68" s="112">
        <v>4.24</v>
      </c>
      <c r="I68" s="112">
        <v>3.2</v>
      </c>
      <c r="J68" s="112">
        <v>0.43</v>
      </c>
      <c r="K68" s="112">
        <v>190.1</v>
      </c>
      <c r="L68" s="112">
        <v>35.630000000000003</v>
      </c>
      <c r="M68" s="112">
        <v>53.87</v>
      </c>
      <c r="N68" s="112">
        <v>701.7</v>
      </c>
      <c r="O68" s="112">
        <v>0</v>
      </c>
      <c r="P68" s="112">
        <v>0.34</v>
      </c>
      <c r="Q68" s="112">
        <v>3.89</v>
      </c>
      <c r="R68" s="6"/>
      <c r="S68" s="6"/>
      <c r="T68" s="182"/>
      <c r="U68" s="6"/>
    </row>
    <row r="69" spans="1:21" customFormat="1">
      <c r="A69" s="196" t="s">
        <v>395</v>
      </c>
      <c r="B69" s="112">
        <v>9.24</v>
      </c>
      <c r="C69" s="112">
        <v>4.05</v>
      </c>
      <c r="D69" s="112">
        <v>13.97</v>
      </c>
      <c r="E69" s="112">
        <v>8.6199999999999992</v>
      </c>
      <c r="F69" s="112">
        <v>13.45</v>
      </c>
      <c r="G69" s="112">
        <v>12.44</v>
      </c>
      <c r="H69" s="112">
        <v>3.8</v>
      </c>
      <c r="I69" s="112">
        <v>3.03</v>
      </c>
      <c r="J69" s="112">
        <v>0.45</v>
      </c>
      <c r="K69" s="112">
        <v>200.92</v>
      </c>
      <c r="L69" s="112">
        <v>35.630000000000003</v>
      </c>
      <c r="M69" s="112">
        <v>54.29</v>
      </c>
      <c r="N69" s="112">
        <v>650.20000000000005</v>
      </c>
      <c r="O69" s="112">
        <v>0</v>
      </c>
      <c r="P69" s="112">
        <v>0.34</v>
      </c>
      <c r="Q69" s="112">
        <v>3.89</v>
      </c>
      <c r="R69" s="6"/>
      <c r="S69" s="6"/>
      <c r="T69" s="182"/>
      <c r="U69" s="6"/>
    </row>
    <row r="70" spans="1:21" customFormat="1">
      <c r="A70" s="196" t="s">
        <v>396</v>
      </c>
      <c r="B70" s="112">
        <v>9.23</v>
      </c>
      <c r="C70" s="112">
        <v>4.0599999999999996</v>
      </c>
      <c r="D70" s="112">
        <v>13.98</v>
      </c>
      <c r="E70" s="112">
        <v>8.7799999999999994</v>
      </c>
      <c r="F70" s="112">
        <v>17.899999999999999</v>
      </c>
      <c r="G70" s="112">
        <v>12.44</v>
      </c>
      <c r="H70" s="112">
        <v>3.8</v>
      </c>
      <c r="I70" s="112">
        <v>3.06</v>
      </c>
      <c r="J70" s="112">
        <v>0.3</v>
      </c>
      <c r="K70" s="112">
        <v>129.94</v>
      </c>
      <c r="L70" s="112">
        <v>35.99</v>
      </c>
      <c r="M70" s="112">
        <v>52.39</v>
      </c>
      <c r="N70" s="112">
        <v>632.29999999999995</v>
      </c>
      <c r="O70" s="112">
        <v>0</v>
      </c>
      <c r="P70" s="112">
        <v>0.33</v>
      </c>
      <c r="Q70" s="112">
        <v>3.88</v>
      </c>
      <c r="R70" s="6"/>
      <c r="S70" s="6"/>
      <c r="T70" s="182"/>
      <c r="U70" s="6"/>
    </row>
    <row r="71" spans="1:21" customFormat="1">
      <c r="A71" s="196" t="s">
        <v>397</v>
      </c>
      <c r="B71" s="112">
        <v>9.25</v>
      </c>
      <c r="C71" s="112">
        <v>4.0599999999999996</v>
      </c>
      <c r="D71" s="112">
        <v>13.99</v>
      </c>
      <c r="E71" s="112">
        <v>8.65</v>
      </c>
      <c r="F71" s="112">
        <v>16.61</v>
      </c>
      <c r="G71" s="112">
        <v>12.44</v>
      </c>
      <c r="H71" s="112">
        <v>3.8</v>
      </c>
      <c r="I71" s="112">
        <v>3.31</v>
      </c>
      <c r="J71" s="112">
        <v>0.43</v>
      </c>
      <c r="K71" s="112">
        <v>281.61</v>
      </c>
      <c r="L71" s="112">
        <v>35.83</v>
      </c>
      <c r="M71" s="112">
        <v>51.95</v>
      </c>
      <c r="N71" s="112">
        <v>514</v>
      </c>
      <c r="O71" s="112">
        <v>0</v>
      </c>
      <c r="P71" s="112">
        <v>0.34</v>
      </c>
      <c r="Q71" s="112">
        <v>3.88</v>
      </c>
      <c r="R71" s="6"/>
      <c r="S71" s="6"/>
      <c r="T71" s="182"/>
      <c r="U71" s="6"/>
    </row>
    <row r="72" spans="1:21" customFormat="1">
      <c r="A72" s="196" t="s">
        <v>398</v>
      </c>
      <c r="B72" s="112">
        <v>9.24</v>
      </c>
      <c r="C72" s="112">
        <v>4.0599999999999996</v>
      </c>
      <c r="D72" s="112">
        <v>13.98</v>
      </c>
      <c r="E72" s="112">
        <v>7.9</v>
      </c>
      <c r="F72" s="112">
        <v>28.51</v>
      </c>
      <c r="G72" s="112">
        <v>13.18</v>
      </c>
      <c r="H72" s="112">
        <v>4.12</v>
      </c>
      <c r="I72" s="112">
        <v>3.18</v>
      </c>
      <c r="J72" s="112">
        <v>0.25</v>
      </c>
      <c r="K72" s="112">
        <v>358.1</v>
      </c>
      <c r="L72" s="112">
        <v>35.76</v>
      </c>
      <c r="M72" s="112">
        <v>52.45</v>
      </c>
      <c r="N72" s="112">
        <v>440.6</v>
      </c>
      <c r="O72" s="112">
        <v>0</v>
      </c>
      <c r="P72" s="112">
        <v>0.38</v>
      </c>
      <c r="Q72" s="112">
        <v>3.89</v>
      </c>
      <c r="R72" s="6"/>
      <c r="S72" s="6"/>
      <c r="T72" s="182"/>
      <c r="U72" s="6"/>
    </row>
    <row r="73" spans="1:21" customFormat="1">
      <c r="A73" s="196" t="s">
        <v>399</v>
      </c>
      <c r="B73" s="112">
        <v>9.24</v>
      </c>
      <c r="C73" s="112">
        <v>4.0599999999999996</v>
      </c>
      <c r="D73" s="112">
        <v>13.98</v>
      </c>
      <c r="E73" s="112">
        <v>7.9</v>
      </c>
      <c r="F73" s="112">
        <v>28.51</v>
      </c>
      <c r="G73" s="112">
        <v>13.18</v>
      </c>
      <c r="H73" s="112">
        <v>4.12</v>
      </c>
      <c r="I73" s="112">
        <v>3.18</v>
      </c>
      <c r="J73" s="112">
        <v>0.25</v>
      </c>
      <c r="K73" s="112">
        <v>358.1</v>
      </c>
      <c r="L73" s="112">
        <v>35.76</v>
      </c>
      <c r="M73" s="112">
        <v>52.45</v>
      </c>
      <c r="N73" s="112">
        <v>440.6</v>
      </c>
      <c r="O73" s="112">
        <v>0</v>
      </c>
      <c r="P73" s="112">
        <v>0.38</v>
      </c>
      <c r="Q73" s="112">
        <v>3.89</v>
      </c>
      <c r="R73" s="6"/>
      <c r="S73" s="6"/>
      <c r="T73" s="182"/>
      <c r="U73" s="6"/>
    </row>
    <row r="74" spans="1:21" customFormat="1">
      <c r="A74" s="196" t="s">
        <v>400</v>
      </c>
      <c r="B74" s="112">
        <v>9.24</v>
      </c>
      <c r="C74" s="112">
        <v>4.0599999999999996</v>
      </c>
      <c r="D74" s="112">
        <v>13.98</v>
      </c>
      <c r="E74" s="112">
        <v>7.9</v>
      </c>
      <c r="F74" s="112">
        <v>28.51</v>
      </c>
      <c r="G74" s="112">
        <v>13.18</v>
      </c>
      <c r="H74" s="112">
        <v>4.12</v>
      </c>
      <c r="I74" s="112">
        <v>3.18</v>
      </c>
      <c r="J74" s="112">
        <v>0.25</v>
      </c>
      <c r="K74" s="112">
        <v>358.1</v>
      </c>
      <c r="L74" s="112">
        <v>35.76</v>
      </c>
      <c r="M74" s="112">
        <v>52.45</v>
      </c>
      <c r="N74" s="112">
        <v>440.6</v>
      </c>
      <c r="O74" s="112">
        <v>0</v>
      </c>
      <c r="P74" s="112">
        <v>0.38</v>
      </c>
      <c r="Q74" s="112">
        <v>3.89</v>
      </c>
      <c r="R74" s="6"/>
      <c r="S74" s="6"/>
      <c r="T74" s="182"/>
      <c r="U74" s="6"/>
    </row>
    <row r="75" spans="1:21" customFormat="1">
      <c r="A75" s="196" t="s">
        <v>401</v>
      </c>
      <c r="B75" s="112">
        <v>9.24</v>
      </c>
      <c r="C75" s="112">
        <v>4.08</v>
      </c>
      <c r="D75" s="112">
        <v>13.99</v>
      </c>
      <c r="E75" s="112">
        <v>8.4</v>
      </c>
      <c r="F75" s="112">
        <v>22.41</v>
      </c>
      <c r="G75" s="112">
        <v>13.53</v>
      </c>
      <c r="H75" s="112">
        <v>4.1900000000000004</v>
      </c>
      <c r="I75" s="112">
        <v>3.09</v>
      </c>
      <c r="J75" s="112">
        <v>0.31</v>
      </c>
      <c r="K75" s="112">
        <v>220.71</v>
      </c>
      <c r="L75" s="112">
        <v>34.89</v>
      </c>
      <c r="M75" s="112">
        <v>57</v>
      </c>
      <c r="N75" s="112">
        <v>176</v>
      </c>
      <c r="O75" s="112">
        <v>0</v>
      </c>
      <c r="P75" s="112">
        <v>0.32</v>
      </c>
      <c r="Q75" s="112">
        <v>3.87</v>
      </c>
      <c r="R75" s="6"/>
      <c r="S75" s="6"/>
      <c r="T75" s="182"/>
      <c r="U75" s="6"/>
    </row>
    <row r="76" spans="1:21" customFormat="1">
      <c r="A76" s="196" t="s">
        <v>402</v>
      </c>
      <c r="B76" s="112">
        <v>9.25</v>
      </c>
      <c r="C76" s="112">
        <v>4.05</v>
      </c>
      <c r="D76" s="112">
        <v>13.98</v>
      </c>
      <c r="E76" s="112">
        <v>7.79</v>
      </c>
      <c r="F76" s="112">
        <v>27.48</v>
      </c>
      <c r="G76" s="112">
        <v>13.76</v>
      </c>
      <c r="H76" s="112">
        <v>4.1399999999999997</v>
      </c>
      <c r="I76" s="112">
        <v>2.89</v>
      </c>
      <c r="J76" s="112">
        <v>0.28000000000000003</v>
      </c>
      <c r="K76" s="112">
        <v>233.55</v>
      </c>
      <c r="L76" s="112">
        <v>33.89</v>
      </c>
      <c r="M76" s="112">
        <v>61.49</v>
      </c>
      <c r="N76" s="112">
        <v>111</v>
      </c>
      <c r="O76" s="112">
        <v>0</v>
      </c>
      <c r="P76" s="112">
        <v>0.32</v>
      </c>
      <c r="Q76" s="112">
        <v>3.87</v>
      </c>
      <c r="R76" s="6"/>
      <c r="S76" s="6"/>
      <c r="T76" s="182"/>
      <c r="U76" s="6"/>
    </row>
    <row r="77" spans="1:21" customFormat="1">
      <c r="A77" s="196" t="s">
        <v>403</v>
      </c>
      <c r="B77" s="112">
        <v>9.25</v>
      </c>
      <c r="C77" s="112">
        <v>4.05</v>
      </c>
      <c r="D77" s="112">
        <v>13.98</v>
      </c>
      <c r="E77" s="112">
        <v>7.79</v>
      </c>
      <c r="F77" s="112">
        <v>27.48</v>
      </c>
      <c r="G77" s="112">
        <v>13.76</v>
      </c>
      <c r="H77" s="112">
        <v>4.1399999999999997</v>
      </c>
      <c r="I77" s="112">
        <v>2.89</v>
      </c>
      <c r="J77" s="112">
        <v>0.28000000000000003</v>
      </c>
      <c r="K77" s="112">
        <v>233.55</v>
      </c>
      <c r="L77" s="112">
        <v>33.89</v>
      </c>
      <c r="M77" s="112">
        <v>61.49</v>
      </c>
      <c r="N77" s="112">
        <v>111</v>
      </c>
      <c r="O77" s="112">
        <v>0</v>
      </c>
      <c r="P77" s="112">
        <v>0.32</v>
      </c>
      <c r="Q77" s="112">
        <v>3.87</v>
      </c>
      <c r="R77" s="6"/>
      <c r="S77" s="6"/>
      <c r="T77" s="182"/>
      <c r="U77" s="6"/>
    </row>
    <row r="78" spans="1:21" customFormat="1">
      <c r="A78" s="196" t="s">
        <v>404</v>
      </c>
      <c r="B78" s="112">
        <v>9.25</v>
      </c>
      <c r="C78" s="112">
        <v>4.05</v>
      </c>
      <c r="D78" s="112">
        <v>13.98</v>
      </c>
      <c r="E78" s="112">
        <v>7.79</v>
      </c>
      <c r="F78" s="112">
        <v>27.48</v>
      </c>
      <c r="G78" s="112">
        <v>13.76</v>
      </c>
      <c r="H78" s="112">
        <v>4.1399999999999997</v>
      </c>
      <c r="I78" s="112">
        <v>2.89</v>
      </c>
      <c r="J78" s="112">
        <v>0.28000000000000003</v>
      </c>
      <c r="K78" s="112">
        <v>233.55</v>
      </c>
      <c r="L78" s="112">
        <v>33.89</v>
      </c>
      <c r="M78" s="112">
        <v>61.49</v>
      </c>
      <c r="N78" s="112">
        <v>111</v>
      </c>
      <c r="O78" s="112">
        <v>0</v>
      </c>
      <c r="P78" s="112">
        <v>0.32</v>
      </c>
      <c r="Q78" s="112">
        <v>3.87</v>
      </c>
      <c r="R78" s="6"/>
      <c r="S78" s="6"/>
      <c r="T78" s="182"/>
      <c r="U78" s="6"/>
    </row>
    <row r="79" spans="1:21" customFormat="1">
      <c r="A79" s="196" t="s">
        <v>405</v>
      </c>
      <c r="B79" s="112">
        <v>9.25</v>
      </c>
      <c r="C79" s="112">
        <v>4.05</v>
      </c>
      <c r="D79" s="112">
        <v>13.98</v>
      </c>
      <c r="E79" s="112">
        <v>7.79</v>
      </c>
      <c r="F79" s="112">
        <v>27.48</v>
      </c>
      <c r="G79" s="112">
        <v>13.76</v>
      </c>
      <c r="H79" s="112">
        <v>4.1399999999999997</v>
      </c>
      <c r="I79" s="112">
        <v>2.89</v>
      </c>
      <c r="J79" s="112">
        <v>0.28000000000000003</v>
      </c>
      <c r="K79" s="112">
        <v>233.55</v>
      </c>
      <c r="L79" s="112">
        <v>33.89</v>
      </c>
      <c r="M79" s="112">
        <v>61.49</v>
      </c>
      <c r="N79" s="112">
        <v>111</v>
      </c>
      <c r="O79" s="112">
        <v>0</v>
      </c>
      <c r="P79" s="112">
        <v>0.32</v>
      </c>
      <c r="Q79" s="112">
        <v>3.87</v>
      </c>
      <c r="R79" s="6"/>
      <c r="S79" s="6"/>
      <c r="T79" s="182"/>
      <c r="U79" s="6"/>
    </row>
    <row r="80" spans="1:21" customFormat="1">
      <c r="A80" s="196" t="s">
        <v>406</v>
      </c>
      <c r="B80" s="112">
        <v>9.25</v>
      </c>
      <c r="C80" s="112">
        <v>4.05</v>
      </c>
      <c r="D80" s="112">
        <v>13.98</v>
      </c>
      <c r="E80" s="112">
        <v>7.79</v>
      </c>
      <c r="F80" s="112">
        <v>27.48</v>
      </c>
      <c r="G80" s="112">
        <v>13.76</v>
      </c>
      <c r="H80" s="112">
        <v>4.1399999999999997</v>
      </c>
      <c r="I80" s="112">
        <v>2.89</v>
      </c>
      <c r="J80" s="112">
        <v>0.28000000000000003</v>
      </c>
      <c r="K80" s="112">
        <v>233.55</v>
      </c>
      <c r="L80" s="112">
        <v>33.89</v>
      </c>
      <c r="M80" s="112">
        <v>61.49</v>
      </c>
      <c r="N80" s="112">
        <v>111</v>
      </c>
      <c r="O80" s="112">
        <v>0</v>
      </c>
      <c r="P80" s="112">
        <v>0.32</v>
      </c>
      <c r="Q80" s="112">
        <v>3.87</v>
      </c>
      <c r="R80" s="6"/>
      <c r="S80" s="6"/>
      <c r="T80" s="182"/>
      <c r="U80" s="6"/>
    </row>
    <row r="81" spans="1:26" customFormat="1">
      <c r="A81" s="196" t="s">
        <v>407</v>
      </c>
      <c r="B81" s="112">
        <v>9.27</v>
      </c>
      <c r="C81" s="112">
        <v>4.07</v>
      </c>
      <c r="D81" s="112">
        <v>14.01</v>
      </c>
      <c r="E81" s="112">
        <v>7.69</v>
      </c>
      <c r="F81" s="112">
        <v>21.19</v>
      </c>
      <c r="G81" s="112">
        <v>14.69</v>
      </c>
      <c r="H81" s="112">
        <v>4.41</v>
      </c>
      <c r="I81" s="112">
        <v>2.6</v>
      </c>
      <c r="J81" s="112">
        <v>0.22</v>
      </c>
      <c r="K81" s="112">
        <v>225.87</v>
      </c>
      <c r="L81" s="112">
        <v>33.71</v>
      </c>
      <c r="M81" s="112">
        <v>61.22</v>
      </c>
      <c r="N81" s="112">
        <v>88.7</v>
      </c>
      <c r="O81" s="112">
        <v>0</v>
      </c>
      <c r="P81" s="112">
        <v>0.31</v>
      </c>
      <c r="Q81" s="112">
        <v>3.87</v>
      </c>
      <c r="R81" s="6"/>
      <c r="S81" s="6"/>
      <c r="T81" s="182"/>
      <c r="U81" s="6"/>
    </row>
    <row r="82" spans="1:26" customFormat="1">
      <c r="A82" s="196" t="s">
        <v>408</v>
      </c>
      <c r="B82" s="112">
        <v>9.3000000000000007</v>
      </c>
      <c r="C82" s="112">
        <v>4.08</v>
      </c>
      <c r="D82" s="112">
        <v>14.04</v>
      </c>
      <c r="E82" s="112">
        <v>8.32</v>
      </c>
      <c r="F82" s="112">
        <v>20.81</v>
      </c>
      <c r="G82" s="112">
        <v>14.66</v>
      </c>
      <c r="H82" s="112">
        <v>6.06</v>
      </c>
      <c r="I82" s="112">
        <v>2.46</v>
      </c>
      <c r="J82" s="112">
        <v>0.16</v>
      </c>
      <c r="K82" s="112">
        <v>183.96</v>
      </c>
      <c r="L82" s="112">
        <v>32.33</v>
      </c>
      <c r="M82" s="112">
        <v>64.75</v>
      </c>
      <c r="N82" s="112">
        <v>11.3</v>
      </c>
      <c r="O82" s="112">
        <v>0</v>
      </c>
      <c r="P82" s="112">
        <v>0.32</v>
      </c>
      <c r="Q82" s="112">
        <v>3.85</v>
      </c>
      <c r="R82" s="6"/>
      <c r="S82" s="6"/>
      <c r="T82" s="182"/>
      <c r="U82" s="6"/>
    </row>
    <row r="83" spans="1:26" customFormat="1">
      <c r="A83" s="196" t="s">
        <v>409</v>
      </c>
      <c r="B83" s="112">
        <v>9.2899999999999991</v>
      </c>
      <c r="C83" s="112">
        <v>4.0999999999999996</v>
      </c>
      <c r="D83" s="112">
        <v>14.04</v>
      </c>
      <c r="E83" s="112">
        <v>8.64</v>
      </c>
      <c r="F83" s="112">
        <v>22.63</v>
      </c>
      <c r="G83" s="112">
        <v>14.66</v>
      </c>
      <c r="H83" s="112">
        <v>6.06</v>
      </c>
      <c r="I83" s="112">
        <v>2.76</v>
      </c>
      <c r="J83" s="112">
        <v>0.15</v>
      </c>
      <c r="K83" s="112">
        <v>193.74</v>
      </c>
      <c r="L83" s="112">
        <v>31.87</v>
      </c>
      <c r="M83" s="112">
        <v>66</v>
      </c>
      <c r="N83" s="112">
        <v>4</v>
      </c>
      <c r="O83" s="112">
        <v>0</v>
      </c>
      <c r="P83" s="112">
        <v>0.35</v>
      </c>
      <c r="Q83" s="112">
        <v>3.9</v>
      </c>
      <c r="R83" s="6"/>
      <c r="S83" s="6"/>
      <c r="T83" s="182"/>
      <c r="U83" s="6"/>
    </row>
    <row r="84" spans="1:26" customFormat="1">
      <c r="A84" s="196" t="s">
        <v>410</v>
      </c>
      <c r="B84" s="112">
        <v>9.25</v>
      </c>
      <c r="C84" s="112">
        <v>4.0999999999999996</v>
      </c>
      <c r="D84" s="112">
        <v>14.01</v>
      </c>
      <c r="E84" s="112">
        <v>8.49</v>
      </c>
      <c r="F84" s="112">
        <v>20.76</v>
      </c>
      <c r="G84" s="112">
        <v>12.42</v>
      </c>
      <c r="H84" s="112">
        <v>6.25</v>
      </c>
      <c r="I84" s="112">
        <v>2.9</v>
      </c>
      <c r="J84" s="112">
        <v>0.19</v>
      </c>
      <c r="K84" s="112">
        <v>159.75</v>
      </c>
      <c r="L84" s="112">
        <v>31.71</v>
      </c>
      <c r="M84" s="112">
        <v>67.849999999999994</v>
      </c>
      <c r="N84" s="112">
        <v>2.1</v>
      </c>
      <c r="O84" s="112">
        <v>0</v>
      </c>
      <c r="P84" s="112">
        <v>0.35</v>
      </c>
      <c r="Q84" s="112">
        <v>3.87</v>
      </c>
      <c r="R84" s="6"/>
      <c r="S84" s="6"/>
      <c r="T84" s="182"/>
      <c r="U84" s="6"/>
    </row>
    <row r="85" spans="1:26" customFormat="1">
      <c r="A85" s="196" t="s">
        <v>411</v>
      </c>
      <c r="B85" s="112">
        <v>9.25</v>
      </c>
      <c r="C85" s="112">
        <v>4.08</v>
      </c>
      <c r="D85" s="112">
        <v>14</v>
      </c>
      <c r="E85" s="112">
        <v>8.9600000000000009</v>
      </c>
      <c r="F85" s="112">
        <v>16.39</v>
      </c>
      <c r="G85" s="112">
        <v>10.27</v>
      </c>
      <c r="H85" s="112">
        <v>6.34</v>
      </c>
      <c r="I85" s="112">
        <v>3</v>
      </c>
      <c r="J85" s="112">
        <v>0.13</v>
      </c>
      <c r="K85" s="112">
        <v>165.22</v>
      </c>
      <c r="L85" s="112">
        <v>31.26</v>
      </c>
      <c r="M85" s="112">
        <v>70.900000000000006</v>
      </c>
      <c r="N85" s="112">
        <v>2</v>
      </c>
      <c r="O85" s="112">
        <v>0</v>
      </c>
      <c r="P85" s="112">
        <v>0.36</v>
      </c>
      <c r="Q85" s="112">
        <v>3.9</v>
      </c>
      <c r="R85" s="6"/>
      <c r="S85" s="6"/>
      <c r="T85" s="182"/>
      <c r="U85" s="6"/>
    </row>
    <row r="86" spans="1:26" customFormat="1">
      <c r="A86" s="196" t="s">
        <v>412</v>
      </c>
      <c r="B86" s="112">
        <v>9.25</v>
      </c>
      <c r="C86" s="112">
        <v>4.08</v>
      </c>
      <c r="D86" s="112">
        <v>14</v>
      </c>
      <c r="E86" s="112">
        <v>9</v>
      </c>
      <c r="F86" s="112">
        <v>16.97</v>
      </c>
      <c r="G86" s="112">
        <v>10.27</v>
      </c>
      <c r="H86" s="112">
        <v>6.34</v>
      </c>
      <c r="I86" s="112">
        <v>3.04</v>
      </c>
      <c r="J86" s="112">
        <v>0.13</v>
      </c>
      <c r="K86" s="112">
        <v>141.51</v>
      </c>
      <c r="L86" s="112">
        <v>31.34</v>
      </c>
      <c r="M86" s="112">
        <v>70.400000000000006</v>
      </c>
      <c r="N86" s="112">
        <v>1.9</v>
      </c>
      <c r="O86" s="112">
        <v>0</v>
      </c>
      <c r="P86" s="112">
        <v>0.36</v>
      </c>
      <c r="Q86" s="112">
        <v>3.87</v>
      </c>
      <c r="R86" s="6"/>
      <c r="S86" s="6"/>
      <c r="T86" s="182"/>
      <c r="U86" s="6"/>
    </row>
    <row r="87" spans="1:26" customFormat="1">
      <c r="A87" s="196" t="s">
        <v>413</v>
      </c>
      <c r="B87" s="112">
        <v>9.25</v>
      </c>
      <c r="C87" s="112">
        <v>4.07</v>
      </c>
      <c r="D87" s="112">
        <v>14</v>
      </c>
      <c r="E87" s="112">
        <v>8.9600000000000009</v>
      </c>
      <c r="F87" s="112">
        <v>15.09</v>
      </c>
      <c r="G87" s="112">
        <v>10.27</v>
      </c>
      <c r="H87" s="112">
        <v>6.34</v>
      </c>
      <c r="I87" s="112">
        <v>3.17</v>
      </c>
      <c r="J87" s="112">
        <v>0.12</v>
      </c>
      <c r="K87" s="112">
        <v>154.96</v>
      </c>
      <c r="L87" s="112">
        <v>31.08</v>
      </c>
      <c r="M87" s="112">
        <v>72.430000000000007</v>
      </c>
      <c r="N87" s="112">
        <v>2.1</v>
      </c>
      <c r="O87" s="112">
        <v>0</v>
      </c>
      <c r="P87" s="112">
        <v>0.37</v>
      </c>
      <c r="Q87" s="112">
        <v>3.88</v>
      </c>
      <c r="R87" s="6"/>
      <c r="S87" s="6"/>
      <c r="T87" s="182"/>
      <c r="U87" s="6"/>
    </row>
    <row r="88" spans="1:26" customFormat="1">
      <c r="A88" s="196" t="s">
        <v>414</v>
      </c>
      <c r="B88" s="112">
        <v>9.25</v>
      </c>
      <c r="C88" s="112">
        <v>4.07</v>
      </c>
      <c r="D88" s="112">
        <v>13.99</v>
      </c>
      <c r="E88" s="112">
        <v>8.94</v>
      </c>
      <c r="F88" s="112">
        <v>15.65</v>
      </c>
      <c r="G88" s="112">
        <v>12.58</v>
      </c>
      <c r="H88" s="112">
        <v>7.24</v>
      </c>
      <c r="I88" s="112">
        <v>3.22</v>
      </c>
      <c r="J88" s="112">
        <v>0.12</v>
      </c>
      <c r="K88" s="112">
        <v>191.99</v>
      </c>
      <c r="L88" s="112">
        <v>30.71</v>
      </c>
      <c r="M88" s="112">
        <v>74.400000000000006</v>
      </c>
      <c r="N88" s="112">
        <v>2.1</v>
      </c>
      <c r="O88" s="112">
        <v>0</v>
      </c>
      <c r="P88" s="112">
        <v>0.38</v>
      </c>
      <c r="Q88" s="112">
        <v>3.88</v>
      </c>
      <c r="R88" s="6"/>
      <c r="S88" s="6"/>
      <c r="T88" s="182"/>
      <c r="U88" s="6"/>
    </row>
    <row r="89" spans="1:26" customFormat="1">
      <c r="A89" s="196" t="s">
        <v>415</v>
      </c>
      <c r="B89" s="112">
        <v>9.24</v>
      </c>
      <c r="C89" s="112">
        <v>4.08</v>
      </c>
      <c r="D89" s="112">
        <v>13.99</v>
      </c>
      <c r="E89" s="112">
        <v>9.42</v>
      </c>
      <c r="F89" s="112">
        <v>11.33</v>
      </c>
      <c r="G89" s="112">
        <v>14.79</v>
      </c>
      <c r="H89" s="112">
        <v>8.15</v>
      </c>
      <c r="I89" s="112">
        <v>3.46</v>
      </c>
      <c r="J89" s="112">
        <v>0.12</v>
      </c>
      <c r="K89" s="112">
        <v>197.35</v>
      </c>
      <c r="L89" s="112">
        <v>30.41</v>
      </c>
      <c r="M89" s="112">
        <v>76.08</v>
      </c>
      <c r="N89" s="112">
        <v>1.9</v>
      </c>
      <c r="O89" s="112">
        <v>0</v>
      </c>
      <c r="P89" s="112">
        <v>0.39</v>
      </c>
      <c r="Q89" s="112">
        <v>3.88</v>
      </c>
      <c r="R89" s="6"/>
      <c r="S89" s="6"/>
      <c r="T89" s="182"/>
      <c r="U89" s="6"/>
    </row>
    <row r="90" spans="1:26" customFormat="1">
      <c r="A90" s="196" t="s">
        <v>416</v>
      </c>
      <c r="B90" s="112">
        <v>9.24</v>
      </c>
      <c r="C90" s="112">
        <v>4.1100000000000003</v>
      </c>
      <c r="D90" s="112">
        <v>14</v>
      </c>
      <c r="E90" s="112">
        <v>9.49</v>
      </c>
      <c r="F90" s="112">
        <v>11.2</v>
      </c>
      <c r="G90" s="112">
        <v>14.79</v>
      </c>
      <c r="H90" s="112">
        <v>8.15</v>
      </c>
      <c r="I90" s="112">
        <v>3.63</v>
      </c>
      <c r="J90" s="112">
        <v>0.12</v>
      </c>
      <c r="K90" s="112">
        <v>189.46</v>
      </c>
      <c r="L90" s="112">
        <v>30.4</v>
      </c>
      <c r="M90" s="112">
        <v>76.02</v>
      </c>
      <c r="N90" s="112">
        <v>1.9</v>
      </c>
      <c r="O90" s="112">
        <v>0</v>
      </c>
      <c r="P90" s="112">
        <v>0.39</v>
      </c>
      <c r="Q90" s="112">
        <v>3.86</v>
      </c>
      <c r="R90" s="6"/>
      <c r="S90" s="6"/>
      <c r="T90" s="182"/>
      <c r="U90" s="6"/>
    </row>
    <row r="91" spans="1:26" customFormat="1">
      <c r="A91" s="196" t="s">
        <v>417</v>
      </c>
      <c r="B91" s="112">
        <v>9.24</v>
      </c>
      <c r="C91" s="112">
        <v>4.09</v>
      </c>
      <c r="D91" s="112">
        <v>14</v>
      </c>
      <c r="E91" s="112">
        <v>9.4600000000000009</v>
      </c>
      <c r="F91" s="112">
        <v>11.2</v>
      </c>
      <c r="G91" s="112">
        <v>14.79</v>
      </c>
      <c r="H91" s="112">
        <v>8.15</v>
      </c>
      <c r="I91" s="112">
        <v>3.74</v>
      </c>
      <c r="J91" s="112">
        <v>0.15</v>
      </c>
      <c r="K91" s="112">
        <v>211.75</v>
      </c>
      <c r="L91" s="112">
        <v>30.14</v>
      </c>
      <c r="M91" s="112">
        <v>76.650000000000006</v>
      </c>
      <c r="N91" s="112">
        <v>1.9</v>
      </c>
      <c r="O91" s="112">
        <v>0</v>
      </c>
      <c r="P91" s="112">
        <v>0.41</v>
      </c>
      <c r="Q91" s="112">
        <v>3.9</v>
      </c>
      <c r="R91" s="6"/>
      <c r="S91" s="6"/>
      <c r="T91" s="182"/>
      <c r="U91" s="6"/>
    </row>
    <row r="92" spans="1:26" customFormat="1">
      <c r="A92" s="196" t="s">
        <v>418</v>
      </c>
      <c r="B92" s="112">
        <v>9.25</v>
      </c>
      <c r="C92" s="112">
        <v>4.0599999999999996</v>
      </c>
      <c r="D92" s="112">
        <v>13.99</v>
      </c>
      <c r="E92" s="112">
        <v>9.75</v>
      </c>
      <c r="F92" s="112">
        <v>10.55</v>
      </c>
      <c r="G92" s="112">
        <v>17.39</v>
      </c>
      <c r="H92" s="112">
        <v>7.36</v>
      </c>
      <c r="I92" s="112">
        <v>3.81</v>
      </c>
      <c r="J92" s="112">
        <v>0.12</v>
      </c>
      <c r="K92" s="112">
        <v>203.06</v>
      </c>
      <c r="L92" s="112">
        <v>30.04</v>
      </c>
      <c r="M92" s="112">
        <v>76.73</v>
      </c>
      <c r="N92" s="112">
        <v>1.8</v>
      </c>
      <c r="O92" s="112">
        <v>0</v>
      </c>
      <c r="P92" s="112">
        <v>0.41</v>
      </c>
      <c r="Q92" s="112">
        <v>3.89</v>
      </c>
      <c r="R92" s="6"/>
      <c r="S92" s="6"/>
      <c r="T92" s="182"/>
      <c r="U92" s="6"/>
    </row>
    <row r="93" spans="1:26" customFormat="1">
      <c r="A93" s="196" t="s">
        <v>419</v>
      </c>
      <c r="B93" s="112">
        <v>9.26</v>
      </c>
      <c r="C93" s="112">
        <v>4.07</v>
      </c>
      <c r="D93" s="112">
        <v>14</v>
      </c>
      <c r="E93" s="112">
        <v>9.9499999999999993</v>
      </c>
      <c r="F93" s="112">
        <v>9.42</v>
      </c>
      <c r="G93" s="112">
        <v>19.88</v>
      </c>
      <c r="H93" s="112">
        <v>6.99</v>
      </c>
      <c r="I93" s="112">
        <v>4.03</v>
      </c>
      <c r="J93" s="112">
        <v>0.11</v>
      </c>
      <c r="K93" s="112">
        <v>248.91</v>
      </c>
      <c r="L93" s="112">
        <v>30</v>
      </c>
      <c r="M93" s="112">
        <v>78.47</v>
      </c>
      <c r="N93" s="112">
        <v>1.7</v>
      </c>
      <c r="O93" s="112">
        <v>0</v>
      </c>
      <c r="P93" s="112">
        <v>0.41</v>
      </c>
      <c r="Q93" s="112">
        <v>3.91</v>
      </c>
      <c r="R93" s="6"/>
      <c r="S93" s="6"/>
      <c r="T93" s="182"/>
      <c r="U93" s="6"/>
    </row>
    <row r="94" spans="1:26" customFormat="1">
      <c r="A94" s="196" t="s">
        <v>420</v>
      </c>
      <c r="B94" s="112">
        <v>9.26</v>
      </c>
      <c r="C94" s="112">
        <v>4.08</v>
      </c>
      <c r="D94" s="112">
        <v>14</v>
      </c>
      <c r="E94" s="112">
        <v>9.9499999999999993</v>
      </c>
      <c r="F94" s="112">
        <v>12.63</v>
      </c>
      <c r="G94" s="112">
        <v>19.88</v>
      </c>
      <c r="H94" s="112">
        <v>6.99</v>
      </c>
      <c r="I94" s="112">
        <v>3.95</v>
      </c>
      <c r="J94" s="112">
        <v>0.14000000000000001</v>
      </c>
      <c r="K94" s="112">
        <v>246.81</v>
      </c>
      <c r="L94" s="112">
        <v>30.06</v>
      </c>
      <c r="M94" s="112">
        <v>78.86</v>
      </c>
      <c r="N94" s="112">
        <v>1.7</v>
      </c>
      <c r="O94" s="112">
        <v>0</v>
      </c>
      <c r="P94" s="112">
        <v>0.39</v>
      </c>
      <c r="Q94" s="112">
        <v>3.89</v>
      </c>
      <c r="R94" s="6"/>
      <c r="S94" s="6"/>
      <c r="T94" s="182"/>
      <c r="U94" s="6"/>
    </row>
    <row r="95" spans="1:26" customFormat="1">
      <c r="A95" s="196" t="s">
        <v>421</v>
      </c>
      <c r="B95" s="112">
        <v>9.2799999999999994</v>
      </c>
      <c r="C95" s="112">
        <v>4.03</v>
      </c>
      <c r="D95" s="112">
        <v>14</v>
      </c>
      <c r="E95" s="112">
        <v>9.7899999999999991</v>
      </c>
      <c r="F95" s="112">
        <v>14.29</v>
      </c>
      <c r="G95" s="112">
        <v>19.88</v>
      </c>
      <c r="H95" s="112">
        <v>6.99</v>
      </c>
      <c r="I95" s="112">
        <v>3.92</v>
      </c>
      <c r="J95" s="112">
        <v>0.17</v>
      </c>
      <c r="K95" s="112">
        <v>243.73</v>
      </c>
      <c r="L95" s="112">
        <v>29.79</v>
      </c>
      <c r="M95" s="112">
        <v>80.69</v>
      </c>
      <c r="N95" s="112">
        <v>2</v>
      </c>
      <c r="O95" s="112">
        <v>0</v>
      </c>
      <c r="P95" s="112">
        <v>0.38</v>
      </c>
      <c r="Q95" s="112">
        <v>3.89</v>
      </c>
      <c r="R95" s="6"/>
      <c r="S95" s="6"/>
      <c r="T95" s="182"/>
      <c r="U95" s="6"/>
    </row>
    <row r="96" spans="1:26" customFormat="1">
      <c r="A96" s="196" t="s">
        <v>422</v>
      </c>
      <c r="B96" s="112">
        <v>9.2799999999999994</v>
      </c>
      <c r="C96" s="112">
        <v>4.04</v>
      </c>
      <c r="D96" s="112">
        <v>14</v>
      </c>
      <c r="E96" s="112">
        <v>10.26</v>
      </c>
      <c r="F96" s="112">
        <v>9.85</v>
      </c>
      <c r="G96" s="112">
        <v>20.190000000000001</v>
      </c>
      <c r="H96" s="112">
        <v>7.24</v>
      </c>
      <c r="I96" s="112">
        <v>3.67</v>
      </c>
      <c r="J96" s="112">
        <v>0.1</v>
      </c>
      <c r="K96" s="112">
        <v>239.67</v>
      </c>
      <c r="L96" s="112">
        <v>29.55</v>
      </c>
      <c r="M96" s="112">
        <v>82.36</v>
      </c>
      <c r="N96" s="112">
        <v>1.9</v>
      </c>
      <c r="O96" s="112">
        <v>0</v>
      </c>
      <c r="P96" s="112">
        <v>0.39</v>
      </c>
      <c r="Q96" s="112">
        <v>3.89</v>
      </c>
      <c r="R96" s="6"/>
      <c r="S96" s="6"/>
      <c r="T96" s="182"/>
      <c r="U96" s="6"/>
      <c r="Z96" s="190"/>
    </row>
    <row r="97" spans="1:33" customFormat="1">
      <c r="A97" s="196" t="s">
        <v>423</v>
      </c>
      <c r="B97" s="112">
        <v>9.27</v>
      </c>
      <c r="C97" s="112">
        <v>4.0599999999999996</v>
      </c>
      <c r="D97" s="112">
        <v>14.01</v>
      </c>
      <c r="E97" s="112">
        <v>10.23</v>
      </c>
      <c r="F97" s="112">
        <v>9.11</v>
      </c>
      <c r="G97" s="112">
        <v>20.48</v>
      </c>
      <c r="H97" s="112">
        <v>7.36</v>
      </c>
      <c r="I97" s="112">
        <v>3.54</v>
      </c>
      <c r="J97" s="112">
        <v>0.12</v>
      </c>
      <c r="K97" s="112">
        <v>193.52</v>
      </c>
      <c r="L97" s="112">
        <v>29.43</v>
      </c>
      <c r="M97" s="112">
        <v>82.47</v>
      </c>
      <c r="N97" s="112">
        <v>1.9</v>
      </c>
      <c r="O97" s="112">
        <v>0</v>
      </c>
      <c r="P97" s="112">
        <v>0.38</v>
      </c>
      <c r="Q97" s="112">
        <v>3.91</v>
      </c>
      <c r="R97" s="6"/>
      <c r="S97" s="6"/>
      <c r="T97" s="182"/>
      <c r="U97" s="6"/>
    </row>
    <row r="98" spans="1:33" customFormat="1">
      <c r="A98" s="196" t="s">
        <v>424</v>
      </c>
      <c r="B98" s="112">
        <v>9.2799999999999994</v>
      </c>
      <c r="C98" s="112">
        <v>4.04</v>
      </c>
      <c r="D98" s="112">
        <v>14</v>
      </c>
      <c r="E98" s="112">
        <v>10.02</v>
      </c>
      <c r="F98" s="112">
        <v>8.8800000000000008</v>
      </c>
      <c r="G98" s="112">
        <v>20.48</v>
      </c>
      <c r="H98" s="112">
        <v>7.36</v>
      </c>
      <c r="I98" s="112">
        <v>3.68</v>
      </c>
      <c r="J98" s="112">
        <v>0.15</v>
      </c>
      <c r="K98" s="112">
        <v>242.52</v>
      </c>
      <c r="L98" s="112">
        <v>29.31</v>
      </c>
      <c r="M98" s="112">
        <v>82.58</v>
      </c>
      <c r="N98" s="112">
        <v>1.9</v>
      </c>
      <c r="O98" s="112">
        <v>0</v>
      </c>
      <c r="P98" s="112">
        <v>0.39</v>
      </c>
      <c r="Q98" s="112">
        <v>3.9</v>
      </c>
      <c r="R98" s="6"/>
      <c r="S98" s="6"/>
      <c r="T98" s="182"/>
      <c r="U98" s="6"/>
    </row>
    <row r="99" spans="1:33" customFormat="1">
      <c r="A99" s="196" t="s">
        <v>425</v>
      </c>
      <c r="B99" s="112">
        <v>9.26</v>
      </c>
      <c r="C99" s="112">
        <v>4.08</v>
      </c>
      <c r="D99" s="112">
        <v>14.01</v>
      </c>
      <c r="E99" s="112">
        <v>10.27</v>
      </c>
      <c r="F99" s="112">
        <v>10.24</v>
      </c>
      <c r="G99" s="112">
        <v>20.48</v>
      </c>
      <c r="H99" s="112">
        <v>7.36</v>
      </c>
      <c r="I99" s="112">
        <v>3.74</v>
      </c>
      <c r="J99" s="112">
        <v>0.14000000000000001</v>
      </c>
      <c r="K99" s="112">
        <v>226.79</v>
      </c>
      <c r="L99" s="112">
        <v>29.23</v>
      </c>
      <c r="M99" s="112">
        <v>82.99</v>
      </c>
      <c r="N99" s="112">
        <v>1.8</v>
      </c>
      <c r="O99" s="112">
        <v>0</v>
      </c>
      <c r="P99" s="112">
        <v>0.37</v>
      </c>
      <c r="Q99" s="112">
        <v>3.89</v>
      </c>
      <c r="R99" s="6"/>
      <c r="S99" s="6"/>
      <c r="T99" s="182"/>
      <c r="U99" s="6"/>
    </row>
    <row r="100" spans="1:33" customFormat="1">
      <c r="A100" s="196" t="s">
        <v>426</v>
      </c>
      <c r="B100" s="112">
        <v>9.2799999999999994</v>
      </c>
      <c r="C100" s="112">
        <v>4.04</v>
      </c>
      <c r="D100" s="112">
        <v>14</v>
      </c>
      <c r="E100" s="112">
        <v>10.64</v>
      </c>
      <c r="F100" s="112">
        <v>10.33</v>
      </c>
      <c r="G100" s="112">
        <v>19.36</v>
      </c>
      <c r="H100" s="112">
        <v>6.69</v>
      </c>
      <c r="I100" s="112">
        <v>3.66</v>
      </c>
      <c r="J100" s="112">
        <v>0.13</v>
      </c>
      <c r="K100" s="112">
        <v>183.98</v>
      </c>
      <c r="L100" s="112">
        <v>29.1</v>
      </c>
      <c r="M100" s="112">
        <v>83.54</v>
      </c>
      <c r="N100" s="112">
        <v>1.8</v>
      </c>
      <c r="O100" s="112">
        <v>0</v>
      </c>
      <c r="P100" s="112">
        <v>0.39</v>
      </c>
      <c r="Q100" s="112">
        <v>3.9</v>
      </c>
      <c r="R100" s="6"/>
      <c r="S100" s="6"/>
      <c r="T100" s="182"/>
      <c r="U100" s="6"/>
      <c r="AB100" s="191"/>
      <c r="AG100" s="190"/>
    </row>
    <row r="101" spans="1:33" customFormat="1">
      <c r="A101" s="196" t="s">
        <v>427</v>
      </c>
      <c r="B101" s="112">
        <v>9.25</v>
      </c>
      <c r="C101" s="112">
        <v>4.0599999999999996</v>
      </c>
      <c r="D101" s="112">
        <v>13.99</v>
      </c>
      <c r="E101" s="112">
        <v>9.8699999999999992</v>
      </c>
      <c r="F101" s="112">
        <v>15.41</v>
      </c>
      <c r="G101" s="112">
        <v>18.3</v>
      </c>
      <c r="H101" s="112">
        <v>6.37</v>
      </c>
      <c r="I101" s="112">
        <v>3.5</v>
      </c>
      <c r="J101" s="112">
        <v>0.15</v>
      </c>
      <c r="K101" s="112">
        <v>200.94</v>
      </c>
      <c r="L101" s="112">
        <v>28.93</v>
      </c>
      <c r="M101" s="112">
        <v>84.9</v>
      </c>
      <c r="N101" s="112">
        <v>1.7</v>
      </c>
      <c r="O101" s="112">
        <v>0</v>
      </c>
      <c r="P101" s="112">
        <v>0.39</v>
      </c>
      <c r="Q101" s="112">
        <v>3.88</v>
      </c>
      <c r="R101" s="6"/>
      <c r="S101" s="6"/>
      <c r="T101" s="182"/>
      <c r="U101" s="6"/>
    </row>
    <row r="102" spans="1:33" customFormat="1">
      <c r="A102" s="196" t="s">
        <v>428</v>
      </c>
      <c r="B102" s="112">
        <v>9.25</v>
      </c>
      <c r="C102" s="112">
        <v>4.04</v>
      </c>
      <c r="D102" s="112">
        <v>13.98</v>
      </c>
      <c r="E102" s="112">
        <v>9.49</v>
      </c>
      <c r="F102" s="112">
        <v>15.22</v>
      </c>
      <c r="G102" s="112">
        <v>18.3</v>
      </c>
      <c r="H102" s="112">
        <v>6.37</v>
      </c>
      <c r="I102" s="112">
        <v>3.76</v>
      </c>
      <c r="J102" s="112">
        <v>0.17</v>
      </c>
      <c r="K102" s="112">
        <v>206.59</v>
      </c>
      <c r="L102" s="112">
        <v>28.89</v>
      </c>
      <c r="M102" s="112">
        <v>84.98</v>
      </c>
      <c r="N102" s="112">
        <v>1.9</v>
      </c>
      <c r="O102" s="112">
        <v>0</v>
      </c>
      <c r="P102" s="112">
        <v>0.38</v>
      </c>
      <c r="Q102" s="112">
        <v>3.89</v>
      </c>
      <c r="R102" s="6"/>
      <c r="S102" s="6"/>
      <c r="T102" s="182"/>
      <c r="U102" s="6"/>
    </row>
    <row r="103" spans="1:33" customFormat="1">
      <c r="A103" s="196" t="s">
        <v>429</v>
      </c>
      <c r="B103" s="112">
        <v>9.2200000000000006</v>
      </c>
      <c r="C103" s="112">
        <v>4.09</v>
      </c>
      <c r="D103" s="112">
        <v>13.98</v>
      </c>
      <c r="E103" s="112">
        <v>8.5</v>
      </c>
      <c r="F103" s="112">
        <v>16.04</v>
      </c>
      <c r="G103" s="112">
        <v>18.3</v>
      </c>
      <c r="H103" s="112">
        <v>6.37</v>
      </c>
      <c r="I103" s="112">
        <v>4</v>
      </c>
      <c r="J103" s="112">
        <v>0.16</v>
      </c>
      <c r="K103" s="112">
        <v>207.29</v>
      </c>
      <c r="L103" s="112">
        <v>28.66</v>
      </c>
      <c r="M103" s="112">
        <v>85.79</v>
      </c>
      <c r="N103" s="112">
        <v>1.9</v>
      </c>
      <c r="O103" s="112">
        <v>0</v>
      </c>
      <c r="P103" s="112">
        <v>0.36</v>
      </c>
      <c r="Q103" s="112">
        <v>3.87</v>
      </c>
      <c r="R103" s="6"/>
      <c r="S103" s="6"/>
      <c r="T103" s="182"/>
      <c r="U103" s="6"/>
    </row>
    <row r="104" spans="1:33" customFormat="1">
      <c r="A104" s="196" t="s">
        <v>430</v>
      </c>
      <c r="B104" s="112">
        <v>9.23</v>
      </c>
      <c r="C104" s="112">
        <v>4.08</v>
      </c>
      <c r="D104" s="112">
        <v>13.98</v>
      </c>
      <c r="E104" s="112">
        <v>8.48</v>
      </c>
      <c r="F104" s="112">
        <v>17.829999999999998</v>
      </c>
      <c r="G104" s="112">
        <v>15.6</v>
      </c>
      <c r="H104" s="112">
        <v>7.35</v>
      </c>
      <c r="I104" s="112">
        <v>3.58</v>
      </c>
      <c r="J104" s="112">
        <v>0.16</v>
      </c>
      <c r="K104" s="112">
        <v>213.82</v>
      </c>
      <c r="L104" s="112">
        <v>28.58</v>
      </c>
      <c r="M104" s="112">
        <v>84.97</v>
      </c>
      <c r="N104" s="112">
        <v>2</v>
      </c>
      <c r="O104" s="112">
        <v>0</v>
      </c>
      <c r="P104" s="112">
        <v>0.34</v>
      </c>
      <c r="Q104" s="112">
        <v>3.89</v>
      </c>
      <c r="R104" s="6"/>
      <c r="S104" s="6"/>
      <c r="T104" s="182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3" t="s">
        <v>48</v>
      </c>
      <c r="B106" s="184">
        <f>MIN(B9:B104)</f>
        <v>9.2100000000000009</v>
      </c>
      <c r="C106" s="184">
        <f>MIN(C9:C104)</f>
        <v>4.03</v>
      </c>
      <c r="D106" s="184">
        <f t="shared" ref="D106:Q106" si="0">MIN(D9:D104)</f>
        <v>13.96</v>
      </c>
      <c r="E106" s="184">
        <f t="shared" si="0"/>
        <v>7.69</v>
      </c>
      <c r="F106" s="184">
        <f t="shared" si="0"/>
        <v>4.4800000000000004</v>
      </c>
      <c r="G106" s="184">
        <f t="shared" si="0"/>
        <v>10.27</v>
      </c>
      <c r="H106" s="184">
        <f t="shared" si="0"/>
        <v>1.89</v>
      </c>
      <c r="I106" s="184">
        <f t="shared" si="0"/>
        <v>2.46</v>
      </c>
      <c r="J106" s="184">
        <f t="shared" si="0"/>
        <v>7.0000000000000007E-2</v>
      </c>
      <c r="K106" s="184">
        <f t="shared" si="0"/>
        <v>94.49</v>
      </c>
      <c r="L106" s="184">
        <f t="shared" si="0"/>
        <v>26.03</v>
      </c>
      <c r="M106" s="184">
        <f t="shared" si="0"/>
        <v>51.95</v>
      </c>
      <c r="N106" s="184">
        <f t="shared" si="0"/>
        <v>1.7</v>
      </c>
      <c r="O106" s="184">
        <f t="shared" si="0"/>
        <v>0</v>
      </c>
      <c r="P106" s="184">
        <f t="shared" si="0"/>
        <v>0.23</v>
      </c>
      <c r="Q106" s="184">
        <f t="shared" si="0"/>
        <v>3.85</v>
      </c>
      <c r="R106" s="188"/>
      <c r="S106" s="188"/>
      <c r="T106" s="188"/>
      <c r="U106" s="188"/>
    </row>
    <row r="107" spans="1:33">
      <c r="A107" s="183" t="s">
        <v>49</v>
      </c>
      <c r="B107" s="185">
        <f>MAX(B9:B104)</f>
        <v>9.31</v>
      </c>
      <c r="C107" s="185">
        <f t="shared" ref="C107:Q107" si="1">MAX(C9:C104)</f>
        <v>4.12</v>
      </c>
      <c r="D107" s="185">
        <f t="shared" si="1"/>
        <v>14.05</v>
      </c>
      <c r="E107" s="185">
        <f t="shared" si="1"/>
        <v>11.21</v>
      </c>
      <c r="F107" s="185">
        <f t="shared" si="1"/>
        <v>28.51</v>
      </c>
      <c r="G107" s="185">
        <f t="shared" si="1"/>
        <v>20.48</v>
      </c>
      <c r="H107" s="185">
        <f t="shared" si="1"/>
        <v>8.15</v>
      </c>
      <c r="I107" s="185">
        <f t="shared" si="1"/>
        <v>4.32</v>
      </c>
      <c r="J107" s="185">
        <f t="shared" si="1"/>
        <v>1.2</v>
      </c>
      <c r="K107" s="185">
        <f t="shared" si="1"/>
        <v>358.1</v>
      </c>
      <c r="L107" s="185">
        <f t="shared" si="1"/>
        <v>35.99</v>
      </c>
      <c r="M107" s="185">
        <f t="shared" si="1"/>
        <v>100.25</v>
      </c>
      <c r="N107" s="185">
        <f t="shared" si="1"/>
        <v>953.3</v>
      </c>
      <c r="O107" s="185">
        <f t="shared" si="1"/>
        <v>0.2</v>
      </c>
      <c r="P107" s="185">
        <f t="shared" si="1"/>
        <v>0.43</v>
      </c>
      <c r="Q107" s="185">
        <f t="shared" si="1"/>
        <v>3.94</v>
      </c>
      <c r="R107" s="189"/>
      <c r="S107" s="189"/>
      <c r="T107" s="189"/>
      <c r="U107" s="189"/>
    </row>
    <row r="108" spans="1:33">
      <c r="A108" s="183" t="s">
        <v>50</v>
      </c>
      <c r="B108" s="184">
        <f>AVERAGE(B9:B104)</f>
        <v>9.2555208333333301</v>
      </c>
      <c r="C108" s="184">
        <f t="shared" ref="C108:Q108" si="2">AVERAGE(C9:C104)</f>
        <v>4.0684374999999999</v>
      </c>
      <c r="D108" s="184">
        <f t="shared" si="2"/>
        <v>13.997916666666669</v>
      </c>
      <c r="E108" s="184">
        <f t="shared" si="2"/>
        <v>9.2439583333333335</v>
      </c>
      <c r="F108" s="184">
        <f t="shared" si="2"/>
        <v>13.604479166666671</v>
      </c>
      <c r="G108" s="184">
        <f t="shared" si="2"/>
        <v>14.019166666666671</v>
      </c>
      <c r="H108" s="184">
        <f t="shared" si="2"/>
        <v>5.2487500000000002</v>
      </c>
      <c r="I108" s="184">
        <f t="shared" si="2"/>
        <v>3.3580208333333332</v>
      </c>
      <c r="J108" s="184">
        <f t="shared" si="2"/>
        <v>0.33</v>
      </c>
      <c r="K108" s="184">
        <f t="shared" si="2"/>
        <v>226.86395833333333</v>
      </c>
      <c r="L108" s="184">
        <f t="shared" si="2"/>
        <v>30.428541666666657</v>
      </c>
      <c r="M108" s="184">
        <f t="shared" si="2"/>
        <v>77.358124999999987</v>
      </c>
      <c r="N108" s="184">
        <f t="shared" si="2"/>
        <v>175.6291666666668</v>
      </c>
      <c r="O108" s="184">
        <f t="shared" si="2"/>
        <v>6.2500000000000012E-3</v>
      </c>
      <c r="P108" s="184">
        <f t="shared" si="2"/>
        <v>0.34656250000000005</v>
      </c>
      <c r="Q108" s="184">
        <f t="shared" si="2"/>
        <v>3.8954166666666636</v>
      </c>
      <c r="R108" s="188"/>
      <c r="S108" s="188"/>
      <c r="T108" s="188"/>
      <c r="U108" s="188"/>
    </row>
    <row r="109" spans="1:33">
      <c r="A109" s="183" t="s">
        <v>51</v>
      </c>
      <c r="B109" s="184">
        <f>STDEV(B9:B104)</f>
        <v>2.2378080989484291E-2</v>
      </c>
      <c r="C109" s="184">
        <f t="shared" ref="C109:Q109" si="3">STDEV(C9:C104)</f>
        <v>1.8141439912676843E-2</v>
      </c>
      <c r="D109" s="184">
        <f t="shared" si="3"/>
        <v>2.0412414523192833E-2</v>
      </c>
      <c r="E109" s="184">
        <f t="shared" si="3"/>
        <v>0.93418861970858602</v>
      </c>
      <c r="F109" s="184">
        <f t="shared" si="3"/>
        <v>6.3507469713647131</v>
      </c>
      <c r="G109" s="184">
        <f t="shared" si="3"/>
        <v>2.5226880678592263</v>
      </c>
      <c r="H109" s="184">
        <f t="shared" si="3"/>
        <v>1.6013502526240058</v>
      </c>
      <c r="I109" s="184">
        <f t="shared" si="3"/>
        <v>0.49014201978753025</v>
      </c>
      <c r="J109" s="184">
        <f t="shared" si="3"/>
        <v>0.28648505058820467</v>
      </c>
      <c r="K109" s="184">
        <f t="shared" si="3"/>
        <v>54.432743812006265</v>
      </c>
      <c r="L109" s="184">
        <f t="shared" si="3"/>
        <v>3.0019895084381409</v>
      </c>
      <c r="M109" s="184">
        <f t="shared" si="3"/>
        <v>15.220473076021609</v>
      </c>
      <c r="N109" s="184">
        <f t="shared" si="3"/>
        <v>247.00820694512467</v>
      </c>
      <c r="O109" s="184">
        <f t="shared" si="3"/>
        <v>3.4981197957278651E-2</v>
      </c>
      <c r="P109" s="184">
        <f t="shared" si="3"/>
        <v>5.2652347875874542E-2</v>
      </c>
      <c r="Q109" s="184">
        <f t="shared" si="3"/>
        <v>1.891346869946425E-2</v>
      </c>
      <c r="R109" s="188"/>
      <c r="S109" s="188"/>
      <c r="T109" s="188"/>
      <c r="U109" s="188"/>
    </row>
    <row r="110" spans="1:33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33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25/06/2024 00:15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94" t="s">
        <v>39</v>
      </c>
      <c r="C8" s="194" t="s">
        <v>39</v>
      </c>
      <c r="D8" s="194" t="s">
        <v>40</v>
      </c>
      <c r="E8" s="194" t="s">
        <v>39</v>
      </c>
      <c r="F8" s="194" t="s">
        <v>39</v>
      </c>
      <c r="G8" s="194" t="s">
        <v>39</v>
      </c>
      <c r="H8" s="194" t="s">
        <v>39</v>
      </c>
      <c r="I8" s="194" t="s">
        <v>39</v>
      </c>
      <c r="J8" s="194" t="s">
        <v>41</v>
      </c>
      <c r="K8" s="194" t="s">
        <v>42</v>
      </c>
      <c r="L8" s="195" t="s">
        <v>43</v>
      </c>
      <c r="M8" s="194" t="s">
        <v>44</v>
      </c>
      <c r="N8" s="194" t="s">
        <v>45</v>
      </c>
      <c r="O8" s="195" t="s">
        <v>46</v>
      </c>
      <c r="P8" s="194" t="s">
        <v>47</v>
      </c>
      <c r="Q8" s="194" t="s">
        <v>39</v>
      </c>
      <c r="R8" s="174"/>
      <c r="S8" s="175"/>
      <c r="T8" s="174"/>
      <c r="U8" s="174"/>
    </row>
    <row r="9" spans="1:21" customFormat="1">
      <c r="A9" s="196" t="s">
        <v>431</v>
      </c>
      <c r="B9" s="112">
        <v>9.27</v>
      </c>
      <c r="C9" s="112">
        <v>4.1100000000000003</v>
      </c>
      <c r="D9" s="112">
        <v>14.03</v>
      </c>
      <c r="E9" s="112">
        <v>8.51</v>
      </c>
      <c r="F9" s="112">
        <v>18.34</v>
      </c>
      <c r="G9" s="112">
        <v>13.03</v>
      </c>
      <c r="H9" s="112">
        <v>7.81</v>
      </c>
      <c r="I9" s="112">
        <v>3.42</v>
      </c>
      <c r="J9" s="112">
        <v>0.14000000000000001</v>
      </c>
      <c r="K9" s="112">
        <v>212.53</v>
      </c>
      <c r="L9" s="112">
        <v>28.45</v>
      </c>
      <c r="M9" s="112">
        <v>85.3</v>
      </c>
      <c r="N9" s="112">
        <v>1.8</v>
      </c>
      <c r="O9" s="112">
        <v>0</v>
      </c>
      <c r="P9" s="112">
        <v>0.32</v>
      </c>
      <c r="Q9" s="112">
        <v>3.95</v>
      </c>
      <c r="R9" s="6"/>
      <c r="S9" s="6"/>
      <c r="T9" s="182"/>
      <c r="U9" s="6"/>
    </row>
    <row r="10" spans="1:21" customFormat="1">
      <c r="A10" s="196" t="s">
        <v>432</v>
      </c>
      <c r="B10" s="112">
        <v>9.2899999999999991</v>
      </c>
      <c r="C10" s="112">
        <v>4.07</v>
      </c>
      <c r="D10" s="112">
        <v>14.03</v>
      </c>
      <c r="E10" s="112">
        <v>7.89</v>
      </c>
      <c r="F10" s="112">
        <v>19.07</v>
      </c>
      <c r="G10" s="112">
        <v>13.03</v>
      </c>
      <c r="H10" s="112">
        <v>7.81</v>
      </c>
      <c r="I10" s="112">
        <v>3.31</v>
      </c>
      <c r="J10" s="112">
        <v>0.11</v>
      </c>
      <c r="K10" s="112">
        <v>207.2</v>
      </c>
      <c r="L10" s="112">
        <v>28.34</v>
      </c>
      <c r="M10" s="112">
        <v>84.84</v>
      </c>
      <c r="N10" s="112">
        <v>2</v>
      </c>
      <c r="O10" s="112">
        <v>0</v>
      </c>
      <c r="P10" s="112">
        <v>0.31</v>
      </c>
      <c r="Q10" s="112">
        <v>3.92</v>
      </c>
      <c r="R10" s="6"/>
      <c r="S10" s="6"/>
      <c r="T10" s="182"/>
      <c r="U10" s="6"/>
    </row>
    <row r="11" spans="1:21" customFormat="1">
      <c r="A11" s="196" t="s">
        <v>433</v>
      </c>
      <c r="B11" s="112">
        <v>9.2899999999999991</v>
      </c>
      <c r="C11" s="112">
        <v>4.05</v>
      </c>
      <c r="D11" s="112">
        <v>14.02</v>
      </c>
      <c r="E11" s="112">
        <v>7.87</v>
      </c>
      <c r="F11" s="112">
        <v>19.82</v>
      </c>
      <c r="G11" s="112">
        <v>13.03</v>
      </c>
      <c r="H11" s="112">
        <v>7.81</v>
      </c>
      <c r="I11" s="112">
        <v>4.05</v>
      </c>
      <c r="J11" s="112">
        <v>0.14000000000000001</v>
      </c>
      <c r="K11" s="112">
        <v>181.81</v>
      </c>
      <c r="L11" s="112">
        <v>28.28</v>
      </c>
      <c r="M11" s="112">
        <v>84.28</v>
      </c>
      <c r="N11" s="112">
        <v>1.8</v>
      </c>
      <c r="O11" s="112">
        <v>0</v>
      </c>
      <c r="P11" s="112">
        <v>0.28999999999999998</v>
      </c>
      <c r="Q11" s="112">
        <v>3.93</v>
      </c>
      <c r="R11" s="6"/>
      <c r="S11" s="6"/>
      <c r="T11" s="182"/>
      <c r="U11" s="6"/>
    </row>
    <row r="12" spans="1:21" customFormat="1">
      <c r="A12" s="196" t="s">
        <v>434</v>
      </c>
      <c r="B12" s="112">
        <v>9.26</v>
      </c>
      <c r="C12" s="112">
        <v>4.0599999999999996</v>
      </c>
      <c r="D12" s="112">
        <v>14</v>
      </c>
      <c r="E12" s="112">
        <v>7.67</v>
      </c>
      <c r="F12" s="112">
        <v>21.63</v>
      </c>
      <c r="G12" s="112">
        <v>13.72</v>
      </c>
      <c r="H12" s="112">
        <v>7.58</v>
      </c>
      <c r="I12" s="112">
        <v>4.38</v>
      </c>
      <c r="J12" s="112">
        <v>0.12</v>
      </c>
      <c r="K12" s="112">
        <v>192.15</v>
      </c>
      <c r="L12" s="112">
        <v>28.12</v>
      </c>
      <c r="M12" s="112">
        <v>85.53</v>
      </c>
      <c r="N12" s="112">
        <v>1.9</v>
      </c>
      <c r="O12" s="112">
        <v>0</v>
      </c>
      <c r="P12" s="112">
        <v>0.28000000000000003</v>
      </c>
      <c r="Q12" s="112">
        <v>3.93</v>
      </c>
      <c r="R12" s="6"/>
      <c r="S12" s="6"/>
      <c r="T12" s="182"/>
      <c r="U12" s="6"/>
    </row>
    <row r="13" spans="1:21" customFormat="1">
      <c r="A13" s="196" t="s">
        <v>435</v>
      </c>
      <c r="B13" s="112">
        <v>9.26</v>
      </c>
      <c r="C13" s="112">
        <v>4.08</v>
      </c>
      <c r="D13" s="112">
        <v>14.01</v>
      </c>
      <c r="E13" s="112">
        <v>7.6</v>
      </c>
      <c r="F13" s="112">
        <v>20.27</v>
      </c>
      <c r="G13" s="112">
        <v>14.38</v>
      </c>
      <c r="H13" s="112">
        <v>7.47</v>
      </c>
      <c r="I13" s="112">
        <v>4.58</v>
      </c>
      <c r="J13" s="112">
        <v>0.14000000000000001</v>
      </c>
      <c r="K13" s="112">
        <v>199.09</v>
      </c>
      <c r="L13" s="112">
        <v>28.1</v>
      </c>
      <c r="M13" s="112">
        <v>85.75</v>
      </c>
      <c r="N13" s="112">
        <v>1.8</v>
      </c>
      <c r="O13" s="112">
        <v>0</v>
      </c>
      <c r="P13" s="112">
        <v>0.27</v>
      </c>
      <c r="Q13" s="112">
        <v>3.91</v>
      </c>
      <c r="R13" s="6"/>
      <c r="S13" s="6"/>
      <c r="T13" s="182"/>
      <c r="U13" s="6"/>
    </row>
    <row r="14" spans="1:21" customFormat="1">
      <c r="A14" s="196" t="s">
        <v>436</v>
      </c>
      <c r="B14" s="112">
        <v>9.25</v>
      </c>
      <c r="C14" s="112">
        <v>4.09</v>
      </c>
      <c r="D14" s="112">
        <v>14</v>
      </c>
      <c r="E14" s="112">
        <v>7.79</v>
      </c>
      <c r="F14" s="112">
        <v>19.989999999999998</v>
      </c>
      <c r="G14" s="112">
        <v>14.38</v>
      </c>
      <c r="H14" s="112">
        <v>7.47</v>
      </c>
      <c r="I14" s="112">
        <v>4.58</v>
      </c>
      <c r="J14" s="112">
        <v>0.1</v>
      </c>
      <c r="K14" s="112">
        <v>213.55</v>
      </c>
      <c r="L14" s="112">
        <v>27.96</v>
      </c>
      <c r="M14" s="112">
        <v>87.23</v>
      </c>
      <c r="N14" s="112">
        <v>1.8</v>
      </c>
      <c r="O14" s="112">
        <v>0</v>
      </c>
      <c r="P14" s="112">
        <v>0.26</v>
      </c>
      <c r="Q14" s="112">
        <v>3.92</v>
      </c>
      <c r="R14" s="6"/>
      <c r="S14" s="6"/>
      <c r="T14" s="182"/>
      <c r="U14" s="6"/>
    </row>
    <row r="15" spans="1:21" customFormat="1">
      <c r="A15" s="196" t="s">
        <v>437</v>
      </c>
      <c r="B15" s="112">
        <v>9.24</v>
      </c>
      <c r="C15" s="112">
        <v>4.0999999999999996</v>
      </c>
      <c r="D15" s="112">
        <v>14</v>
      </c>
      <c r="E15" s="112">
        <v>7.74</v>
      </c>
      <c r="F15" s="112">
        <v>18.899999999999999</v>
      </c>
      <c r="G15" s="112">
        <v>14.38</v>
      </c>
      <c r="H15" s="112">
        <v>7.47</v>
      </c>
      <c r="I15" s="112">
        <v>4.38</v>
      </c>
      <c r="J15" s="112">
        <v>0.15</v>
      </c>
      <c r="K15" s="112">
        <v>194.53</v>
      </c>
      <c r="L15" s="112">
        <v>28.06</v>
      </c>
      <c r="M15" s="112">
        <v>86.47</v>
      </c>
      <c r="N15" s="112">
        <v>1.8</v>
      </c>
      <c r="O15" s="112">
        <v>0</v>
      </c>
      <c r="P15" s="112">
        <v>0.25</v>
      </c>
      <c r="Q15" s="112">
        <v>3.92</v>
      </c>
      <c r="R15" s="6"/>
      <c r="S15" s="6"/>
      <c r="T15" s="182"/>
      <c r="U15" s="6"/>
    </row>
    <row r="16" spans="1:21" customFormat="1">
      <c r="A16" s="196" t="s">
        <v>438</v>
      </c>
      <c r="B16" s="112">
        <v>9.2799999999999994</v>
      </c>
      <c r="C16" s="112">
        <v>4.08</v>
      </c>
      <c r="D16" s="112">
        <v>14.03</v>
      </c>
      <c r="E16" s="112">
        <v>7.51</v>
      </c>
      <c r="F16" s="112">
        <v>18.190000000000001</v>
      </c>
      <c r="G16" s="112">
        <v>14.86</v>
      </c>
      <c r="H16" s="112">
        <v>6.97</v>
      </c>
      <c r="I16" s="112">
        <v>3.6</v>
      </c>
      <c r="J16" s="112">
        <v>0.16</v>
      </c>
      <c r="K16" s="112">
        <v>253.2</v>
      </c>
      <c r="L16" s="112">
        <v>27.82</v>
      </c>
      <c r="M16" s="112">
        <v>87.69</v>
      </c>
      <c r="N16" s="112">
        <v>2</v>
      </c>
      <c r="O16" s="112">
        <v>0</v>
      </c>
      <c r="P16" s="112">
        <v>0.25</v>
      </c>
      <c r="Q16" s="112">
        <v>3.92</v>
      </c>
      <c r="R16" s="6"/>
      <c r="S16" s="6"/>
      <c r="T16" s="182"/>
      <c r="U16" s="6"/>
    </row>
    <row r="17" spans="1:21" customFormat="1">
      <c r="A17" s="196" t="s">
        <v>439</v>
      </c>
      <c r="B17" s="112">
        <v>9.26</v>
      </c>
      <c r="C17" s="112">
        <v>4.08</v>
      </c>
      <c r="D17" s="112">
        <v>14.01</v>
      </c>
      <c r="E17" s="112">
        <v>6.83</v>
      </c>
      <c r="F17" s="112">
        <v>15.44</v>
      </c>
      <c r="G17" s="112">
        <v>15.32</v>
      </c>
      <c r="H17" s="112">
        <v>6.46</v>
      </c>
      <c r="I17" s="112">
        <v>3.03</v>
      </c>
      <c r="J17" s="112">
        <v>0.12</v>
      </c>
      <c r="K17" s="112">
        <v>237.28</v>
      </c>
      <c r="L17" s="112">
        <v>27.77</v>
      </c>
      <c r="M17" s="112">
        <v>87.48</v>
      </c>
      <c r="N17" s="112">
        <v>1.8</v>
      </c>
      <c r="O17" s="112">
        <v>0</v>
      </c>
      <c r="P17" s="112">
        <v>0.25</v>
      </c>
      <c r="Q17" s="112">
        <v>3.91</v>
      </c>
      <c r="R17" s="6"/>
      <c r="S17" s="6"/>
      <c r="T17" s="182"/>
      <c r="U17" s="6"/>
    </row>
    <row r="18" spans="1:21" customFormat="1">
      <c r="A18" s="196" t="s">
        <v>440</v>
      </c>
      <c r="B18" s="112">
        <v>9.27</v>
      </c>
      <c r="C18" s="112">
        <v>4.07</v>
      </c>
      <c r="D18" s="112">
        <v>14.01</v>
      </c>
      <c r="E18" s="112">
        <v>7.97</v>
      </c>
      <c r="F18" s="112">
        <v>15.43</v>
      </c>
      <c r="G18" s="112">
        <v>15.32</v>
      </c>
      <c r="H18" s="112">
        <v>6.46</v>
      </c>
      <c r="I18" s="112">
        <v>2.78</v>
      </c>
      <c r="J18" s="112">
        <v>0.16</v>
      </c>
      <c r="K18" s="112">
        <v>184.56</v>
      </c>
      <c r="L18" s="112">
        <v>27.64</v>
      </c>
      <c r="M18" s="112">
        <v>89.49</v>
      </c>
      <c r="N18" s="112">
        <v>1.9</v>
      </c>
      <c r="O18" s="112">
        <v>0</v>
      </c>
      <c r="P18" s="112">
        <v>0.25</v>
      </c>
      <c r="Q18" s="112">
        <v>3.92</v>
      </c>
      <c r="R18" s="6"/>
      <c r="S18" s="6"/>
      <c r="T18" s="182"/>
      <c r="U18" s="6"/>
    </row>
    <row r="19" spans="1:21" customFormat="1">
      <c r="A19" s="196" t="s">
        <v>441</v>
      </c>
      <c r="B19" s="112">
        <v>9.2899999999999991</v>
      </c>
      <c r="C19" s="112">
        <v>4.04</v>
      </c>
      <c r="D19" s="112">
        <v>14.01</v>
      </c>
      <c r="E19" s="112">
        <v>7.92</v>
      </c>
      <c r="F19" s="112">
        <v>14.38</v>
      </c>
      <c r="G19" s="112">
        <v>15.32</v>
      </c>
      <c r="H19" s="112">
        <v>6.46</v>
      </c>
      <c r="I19" s="112">
        <v>2.93</v>
      </c>
      <c r="J19" s="112">
        <v>0.1</v>
      </c>
      <c r="K19" s="112">
        <v>223.76</v>
      </c>
      <c r="L19" s="112">
        <v>27.48</v>
      </c>
      <c r="M19" s="112">
        <v>89.76</v>
      </c>
      <c r="N19" s="112">
        <v>1.9</v>
      </c>
      <c r="O19" s="112">
        <v>0</v>
      </c>
      <c r="P19" s="112">
        <v>0.26</v>
      </c>
      <c r="Q19" s="112">
        <v>3.9</v>
      </c>
      <c r="R19" s="6"/>
      <c r="S19" s="6"/>
      <c r="T19" s="182"/>
      <c r="U19" s="6"/>
    </row>
    <row r="20" spans="1:21" customFormat="1">
      <c r="A20" s="196" t="s">
        <v>442</v>
      </c>
      <c r="B20" s="112">
        <v>9.2899999999999991</v>
      </c>
      <c r="C20" s="112">
        <v>4.07</v>
      </c>
      <c r="D20" s="112">
        <v>14.02</v>
      </c>
      <c r="E20" s="112">
        <v>7.78</v>
      </c>
      <c r="F20" s="112">
        <v>16.079999999999998</v>
      </c>
      <c r="G20" s="112">
        <v>14.06</v>
      </c>
      <c r="H20" s="112">
        <v>5.35</v>
      </c>
      <c r="I20" s="112">
        <v>2.88</v>
      </c>
      <c r="J20" s="112">
        <v>0.15</v>
      </c>
      <c r="K20" s="112">
        <v>200.81</v>
      </c>
      <c r="L20" s="112">
        <v>27.35</v>
      </c>
      <c r="M20" s="112">
        <v>90.57</v>
      </c>
      <c r="N20" s="112">
        <v>1.9</v>
      </c>
      <c r="O20" s="112">
        <v>0</v>
      </c>
      <c r="P20" s="112">
        <v>0.26</v>
      </c>
      <c r="Q20" s="112">
        <v>3.91</v>
      </c>
      <c r="R20" s="6"/>
      <c r="S20" s="6"/>
      <c r="T20" s="182"/>
      <c r="U20" s="6"/>
    </row>
    <row r="21" spans="1:21" customFormat="1">
      <c r="A21" s="196" t="s">
        <v>443</v>
      </c>
      <c r="B21" s="112">
        <v>9.2899999999999991</v>
      </c>
      <c r="C21" s="112">
        <v>4.0999999999999996</v>
      </c>
      <c r="D21" s="112">
        <v>14.04</v>
      </c>
      <c r="E21" s="112">
        <v>8.2200000000000006</v>
      </c>
      <c r="F21" s="112">
        <v>14.46</v>
      </c>
      <c r="G21" s="112">
        <v>12.8</v>
      </c>
      <c r="H21" s="112">
        <v>4.84</v>
      </c>
      <c r="I21" s="112">
        <v>2.99</v>
      </c>
      <c r="J21" s="112">
        <v>0.16</v>
      </c>
      <c r="K21" s="112">
        <v>203.18</v>
      </c>
      <c r="L21" s="112">
        <v>27.5</v>
      </c>
      <c r="M21" s="112">
        <v>90.28</v>
      </c>
      <c r="N21" s="112">
        <v>1.7</v>
      </c>
      <c r="O21" s="112">
        <v>0</v>
      </c>
      <c r="P21" s="112">
        <v>0.27</v>
      </c>
      <c r="Q21" s="112">
        <v>3.92</v>
      </c>
      <c r="R21" s="6"/>
      <c r="S21" s="6"/>
      <c r="T21" s="182"/>
      <c r="U21" s="6"/>
    </row>
    <row r="22" spans="1:21" customFormat="1">
      <c r="A22" s="196" t="s">
        <v>444</v>
      </c>
      <c r="B22" s="112">
        <v>9.2899999999999991</v>
      </c>
      <c r="C22" s="112">
        <v>4.09</v>
      </c>
      <c r="D22" s="112">
        <v>14.04</v>
      </c>
      <c r="E22" s="112">
        <v>7.84</v>
      </c>
      <c r="F22" s="112">
        <v>12.03</v>
      </c>
      <c r="G22" s="112">
        <v>12.8</v>
      </c>
      <c r="H22" s="112">
        <v>4.84</v>
      </c>
      <c r="I22" s="112">
        <v>3.1</v>
      </c>
      <c r="J22" s="112">
        <v>0.18</v>
      </c>
      <c r="K22" s="112">
        <v>177.43</v>
      </c>
      <c r="L22" s="112">
        <v>27.4</v>
      </c>
      <c r="M22" s="112">
        <v>89.81</v>
      </c>
      <c r="N22" s="112">
        <v>1.8</v>
      </c>
      <c r="O22" s="112">
        <v>0</v>
      </c>
      <c r="P22" s="112">
        <v>0.28000000000000003</v>
      </c>
      <c r="Q22" s="112">
        <v>3.91</v>
      </c>
      <c r="R22" s="6"/>
      <c r="S22" s="6"/>
      <c r="T22" s="182"/>
      <c r="U22" s="6"/>
    </row>
    <row r="23" spans="1:21" customFormat="1">
      <c r="A23" s="196" t="s">
        <v>445</v>
      </c>
      <c r="B23" s="112">
        <v>9.3000000000000007</v>
      </c>
      <c r="C23" s="112">
        <v>4.05</v>
      </c>
      <c r="D23" s="112">
        <v>14.03</v>
      </c>
      <c r="E23" s="112">
        <v>9.19</v>
      </c>
      <c r="F23" s="112">
        <v>5.97</v>
      </c>
      <c r="G23" s="112">
        <v>12.8</v>
      </c>
      <c r="H23" s="112">
        <v>4.84</v>
      </c>
      <c r="I23" s="112">
        <v>3.59</v>
      </c>
      <c r="J23" s="112">
        <v>0.15</v>
      </c>
      <c r="K23" s="112">
        <v>190.72</v>
      </c>
      <c r="L23" s="112">
        <v>27.39</v>
      </c>
      <c r="M23" s="112">
        <v>91.16</v>
      </c>
      <c r="N23" s="112">
        <v>2</v>
      </c>
      <c r="O23" s="112">
        <v>0</v>
      </c>
      <c r="P23" s="112">
        <v>0.31</v>
      </c>
      <c r="Q23" s="112">
        <v>3.89</v>
      </c>
      <c r="R23" s="6"/>
      <c r="S23" s="6"/>
      <c r="T23" s="182"/>
      <c r="U23" s="6"/>
    </row>
    <row r="24" spans="1:21" customFormat="1">
      <c r="A24" s="196" t="s">
        <v>446</v>
      </c>
      <c r="B24" s="112">
        <v>9.33</v>
      </c>
      <c r="C24" s="112">
        <v>4.0599999999999996</v>
      </c>
      <c r="D24" s="112">
        <v>14.05</v>
      </c>
      <c r="E24" s="112">
        <v>8.6999999999999993</v>
      </c>
      <c r="F24" s="112">
        <v>6.73</v>
      </c>
      <c r="G24" s="112">
        <v>12.31</v>
      </c>
      <c r="H24" s="112">
        <v>4.5199999999999996</v>
      </c>
      <c r="I24" s="112">
        <v>3.52</v>
      </c>
      <c r="J24" s="112">
        <v>0.14000000000000001</v>
      </c>
      <c r="K24" s="112">
        <v>173.82</v>
      </c>
      <c r="L24" s="112">
        <v>27.3</v>
      </c>
      <c r="M24" s="112">
        <v>91.93</v>
      </c>
      <c r="N24" s="112">
        <v>1.8</v>
      </c>
      <c r="O24" s="112">
        <v>0</v>
      </c>
      <c r="P24" s="112">
        <v>0.34</v>
      </c>
      <c r="Q24" s="112">
        <v>3.88</v>
      </c>
      <c r="R24" s="6"/>
      <c r="S24" s="6"/>
      <c r="T24" s="182"/>
      <c r="U24" s="6"/>
    </row>
    <row r="25" spans="1:21" customFormat="1">
      <c r="A25" s="196" t="s">
        <v>447</v>
      </c>
      <c r="B25" s="112">
        <v>9.26</v>
      </c>
      <c r="C25" s="112">
        <v>4.0999999999999996</v>
      </c>
      <c r="D25" s="112">
        <v>14.02</v>
      </c>
      <c r="E25" s="112">
        <v>8.5</v>
      </c>
      <c r="F25" s="112">
        <v>7.35</v>
      </c>
      <c r="G25" s="112">
        <v>11.83</v>
      </c>
      <c r="H25" s="112">
        <v>4.38</v>
      </c>
      <c r="I25" s="112">
        <v>3.97</v>
      </c>
      <c r="J25" s="112">
        <v>0.12</v>
      </c>
      <c r="K25" s="112">
        <v>173.55</v>
      </c>
      <c r="L25" s="112">
        <v>27.29</v>
      </c>
      <c r="M25" s="112">
        <v>93.09</v>
      </c>
      <c r="N25" s="112">
        <v>1.9</v>
      </c>
      <c r="O25" s="112">
        <v>0</v>
      </c>
      <c r="P25" s="112">
        <v>0.34</v>
      </c>
      <c r="Q25" s="112">
        <v>3.87</v>
      </c>
      <c r="R25" s="6"/>
      <c r="S25" s="6"/>
      <c r="T25" s="182"/>
      <c r="U25" s="6"/>
    </row>
    <row r="26" spans="1:21" customFormat="1">
      <c r="A26" s="196" t="s">
        <v>448</v>
      </c>
      <c r="B26" s="112">
        <v>9.25</v>
      </c>
      <c r="C26" s="112">
        <v>4.0599999999999996</v>
      </c>
      <c r="D26" s="112">
        <v>13.99</v>
      </c>
      <c r="E26" s="112">
        <v>8.36</v>
      </c>
      <c r="F26" s="112">
        <v>6.47</v>
      </c>
      <c r="G26" s="112">
        <v>11.83</v>
      </c>
      <c r="H26" s="112">
        <v>4.38</v>
      </c>
      <c r="I26" s="112">
        <v>3.89</v>
      </c>
      <c r="J26" s="112">
        <v>0.13</v>
      </c>
      <c r="K26" s="112">
        <v>188.96</v>
      </c>
      <c r="L26" s="112">
        <v>27.39</v>
      </c>
      <c r="M26" s="112">
        <v>92.93</v>
      </c>
      <c r="N26" s="112">
        <v>1.9</v>
      </c>
      <c r="O26" s="112">
        <v>0</v>
      </c>
      <c r="P26" s="112">
        <v>0.35</v>
      </c>
      <c r="Q26" s="112">
        <v>3.88</v>
      </c>
      <c r="R26" s="6"/>
      <c r="S26" s="6"/>
      <c r="T26" s="182"/>
      <c r="U26" s="6"/>
    </row>
    <row r="27" spans="1:21" customFormat="1">
      <c r="A27" s="196" t="s">
        <v>449</v>
      </c>
      <c r="B27" s="112">
        <v>9.25</v>
      </c>
      <c r="C27" s="112">
        <v>4.05</v>
      </c>
      <c r="D27" s="112">
        <v>13.98</v>
      </c>
      <c r="E27" s="112">
        <v>8.3800000000000008</v>
      </c>
      <c r="F27" s="112">
        <v>6.52</v>
      </c>
      <c r="G27" s="112">
        <v>11.83</v>
      </c>
      <c r="H27" s="112">
        <v>4.38</v>
      </c>
      <c r="I27" s="112">
        <v>3.87</v>
      </c>
      <c r="J27" s="112">
        <v>0.09</v>
      </c>
      <c r="K27" s="112">
        <v>220.17</v>
      </c>
      <c r="L27" s="112">
        <v>27.24</v>
      </c>
      <c r="M27" s="112">
        <v>93.11</v>
      </c>
      <c r="N27" s="112">
        <v>2.1</v>
      </c>
      <c r="O27" s="112">
        <v>0</v>
      </c>
      <c r="P27" s="112">
        <v>0.36</v>
      </c>
      <c r="Q27" s="112">
        <v>3.89</v>
      </c>
      <c r="R27" s="6"/>
      <c r="S27" s="6"/>
      <c r="T27" s="182"/>
      <c r="U27" s="6"/>
    </row>
    <row r="28" spans="1:21" customFormat="1">
      <c r="A28" s="196" t="s">
        <v>450</v>
      </c>
      <c r="B28" s="112">
        <v>9.25</v>
      </c>
      <c r="C28" s="112">
        <v>4.0599999999999996</v>
      </c>
      <c r="D28" s="112">
        <v>13.99</v>
      </c>
      <c r="E28" s="112">
        <v>8.3800000000000008</v>
      </c>
      <c r="F28" s="112">
        <v>6.89</v>
      </c>
      <c r="G28" s="112">
        <v>12.44</v>
      </c>
      <c r="H28" s="112">
        <v>4.34</v>
      </c>
      <c r="I28" s="112">
        <v>3.88</v>
      </c>
      <c r="J28" s="112">
        <v>0.12</v>
      </c>
      <c r="K28" s="112">
        <v>197.72</v>
      </c>
      <c r="L28" s="112">
        <v>27.4</v>
      </c>
      <c r="M28" s="112">
        <v>91.38</v>
      </c>
      <c r="N28" s="112">
        <v>1.9</v>
      </c>
      <c r="O28" s="112">
        <v>0</v>
      </c>
      <c r="P28" s="112">
        <v>0.36</v>
      </c>
      <c r="Q28" s="112">
        <v>3.91</v>
      </c>
      <c r="R28" s="6"/>
      <c r="S28" s="6"/>
      <c r="T28" s="182"/>
      <c r="U28" s="6"/>
    </row>
    <row r="29" spans="1:21" customFormat="1">
      <c r="A29" s="196" t="s">
        <v>451</v>
      </c>
      <c r="B29" s="112">
        <v>9.24</v>
      </c>
      <c r="C29" s="112">
        <v>4.08</v>
      </c>
      <c r="D29" s="112">
        <v>13.99</v>
      </c>
      <c r="E29" s="112">
        <v>8.74</v>
      </c>
      <c r="F29" s="112">
        <v>6.93</v>
      </c>
      <c r="G29" s="112">
        <v>13.03</v>
      </c>
      <c r="H29" s="112">
        <v>4.33</v>
      </c>
      <c r="I29" s="112">
        <v>3.96</v>
      </c>
      <c r="J29" s="112">
        <v>0.14000000000000001</v>
      </c>
      <c r="K29" s="112">
        <v>207.8</v>
      </c>
      <c r="L29" s="112">
        <v>27.4</v>
      </c>
      <c r="M29" s="112">
        <v>91.97</v>
      </c>
      <c r="N29" s="112">
        <v>2.4</v>
      </c>
      <c r="O29" s="112">
        <v>0</v>
      </c>
      <c r="P29" s="112">
        <v>0.35</v>
      </c>
      <c r="Q29" s="112">
        <v>3.89</v>
      </c>
      <c r="R29" s="6"/>
      <c r="S29" s="6"/>
      <c r="T29" s="182"/>
      <c r="U29" s="6"/>
    </row>
    <row r="30" spans="1:21" customFormat="1">
      <c r="A30" s="196" t="s">
        <v>452</v>
      </c>
      <c r="B30" s="112">
        <v>9.26</v>
      </c>
      <c r="C30" s="112">
        <v>4.08</v>
      </c>
      <c r="D30" s="112">
        <v>14</v>
      </c>
      <c r="E30" s="112">
        <v>8.57</v>
      </c>
      <c r="F30" s="112">
        <v>6.54</v>
      </c>
      <c r="G30" s="112">
        <v>13.03</v>
      </c>
      <c r="H30" s="112">
        <v>4.33</v>
      </c>
      <c r="I30" s="112">
        <v>3.84</v>
      </c>
      <c r="J30" s="112">
        <v>0.13</v>
      </c>
      <c r="K30" s="112">
        <v>182.93</v>
      </c>
      <c r="L30" s="112">
        <v>27.5</v>
      </c>
      <c r="M30" s="112">
        <v>90.24</v>
      </c>
      <c r="N30" s="112">
        <v>3.9</v>
      </c>
      <c r="O30" s="112">
        <v>0</v>
      </c>
      <c r="P30" s="112">
        <v>0.36</v>
      </c>
      <c r="Q30" s="112">
        <v>3.88</v>
      </c>
      <c r="R30" s="6"/>
      <c r="S30" s="6"/>
      <c r="T30" s="182"/>
      <c r="U30" s="6"/>
    </row>
    <row r="31" spans="1:21" customFormat="1">
      <c r="A31" s="196" t="s">
        <v>453</v>
      </c>
      <c r="B31" s="112">
        <v>9.25</v>
      </c>
      <c r="C31" s="112">
        <v>4.07</v>
      </c>
      <c r="D31" s="112">
        <v>14</v>
      </c>
      <c r="E31" s="112">
        <v>8.8699999999999992</v>
      </c>
      <c r="F31" s="112">
        <v>6.94</v>
      </c>
      <c r="G31" s="112">
        <v>13.03</v>
      </c>
      <c r="H31" s="112">
        <v>4.33</v>
      </c>
      <c r="I31" s="112">
        <v>3.97</v>
      </c>
      <c r="J31" s="112">
        <v>7.0000000000000007E-2</v>
      </c>
      <c r="K31" s="112">
        <v>199.63</v>
      </c>
      <c r="L31" s="112">
        <v>27.54</v>
      </c>
      <c r="M31" s="112">
        <v>90.3</v>
      </c>
      <c r="N31" s="112">
        <v>6.9</v>
      </c>
      <c r="O31" s="112">
        <v>0</v>
      </c>
      <c r="P31" s="112">
        <v>0.36</v>
      </c>
      <c r="Q31" s="112">
        <v>3.89</v>
      </c>
      <c r="R31" s="6"/>
      <c r="S31" s="6"/>
      <c r="T31" s="182"/>
      <c r="U31" s="6"/>
    </row>
    <row r="32" spans="1:21" customFormat="1">
      <c r="A32" s="196" t="s">
        <v>454</v>
      </c>
      <c r="B32" s="112">
        <v>9.25</v>
      </c>
      <c r="C32" s="112">
        <v>4.08</v>
      </c>
      <c r="D32" s="112">
        <v>14</v>
      </c>
      <c r="E32" s="112">
        <v>9.59</v>
      </c>
      <c r="F32" s="112">
        <v>5.74</v>
      </c>
      <c r="G32" s="112">
        <v>13.2</v>
      </c>
      <c r="H32" s="112">
        <v>5.21</v>
      </c>
      <c r="I32" s="112">
        <v>4</v>
      </c>
      <c r="J32" s="112">
        <v>0.09</v>
      </c>
      <c r="K32" s="112">
        <v>235.37</v>
      </c>
      <c r="L32" s="112">
        <v>27.58</v>
      </c>
      <c r="M32" s="112">
        <v>90.31</v>
      </c>
      <c r="N32" s="112">
        <v>11.5</v>
      </c>
      <c r="O32" s="112">
        <v>0</v>
      </c>
      <c r="P32" s="112">
        <v>0.35</v>
      </c>
      <c r="Q32" s="112">
        <v>3.9</v>
      </c>
      <c r="R32" s="6"/>
      <c r="S32" s="6"/>
      <c r="T32" s="182"/>
      <c r="U32" s="6"/>
    </row>
    <row r="33" spans="1:21" customFormat="1">
      <c r="A33" s="196" t="s">
        <v>455</v>
      </c>
      <c r="B33" s="112">
        <v>9.25</v>
      </c>
      <c r="C33" s="112">
        <v>4.0599999999999996</v>
      </c>
      <c r="D33" s="112">
        <v>13.99</v>
      </c>
      <c r="E33" s="112">
        <v>9.07</v>
      </c>
      <c r="F33" s="112">
        <v>6.5</v>
      </c>
      <c r="G33" s="112">
        <v>13.36</v>
      </c>
      <c r="H33" s="112">
        <v>5.62</v>
      </c>
      <c r="I33" s="112">
        <v>4.03</v>
      </c>
      <c r="J33" s="112">
        <v>0.15</v>
      </c>
      <c r="K33" s="112">
        <v>168.74</v>
      </c>
      <c r="L33" s="112">
        <v>27.6</v>
      </c>
      <c r="M33" s="112">
        <v>89.51</v>
      </c>
      <c r="N33" s="112">
        <v>18.399999999999999</v>
      </c>
      <c r="O33" s="112">
        <v>0</v>
      </c>
      <c r="P33" s="112">
        <v>0.36</v>
      </c>
      <c r="Q33" s="112">
        <v>3.89</v>
      </c>
      <c r="R33" s="6"/>
      <c r="S33" s="6"/>
      <c r="T33" s="182"/>
      <c r="U33" s="6"/>
    </row>
    <row r="34" spans="1:21" customFormat="1">
      <c r="A34" s="196" t="s">
        <v>456</v>
      </c>
      <c r="B34" s="112">
        <v>9.27</v>
      </c>
      <c r="C34" s="112">
        <v>4.05</v>
      </c>
      <c r="D34" s="112">
        <v>14</v>
      </c>
      <c r="E34" s="112">
        <v>8.8800000000000008</v>
      </c>
      <c r="F34" s="112">
        <v>6.18</v>
      </c>
      <c r="G34" s="112">
        <v>13.36</v>
      </c>
      <c r="H34" s="112">
        <v>5.62</v>
      </c>
      <c r="I34" s="112">
        <v>3.96</v>
      </c>
      <c r="J34" s="112">
        <v>0.17</v>
      </c>
      <c r="K34" s="112">
        <v>173.1</v>
      </c>
      <c r="L34" s="112">
        <v>27.86</v>
      </c>
      <c r="M34" s="112">
        <v>91.17</v>
      </c>
      <c r="N34" s="112">
        <v>21.5</v>
      </c>
      <c r="O34" s="112">
        <v>0</v>
      </c>
      <c r="P34" s="112">
        <v>0.36</v>
      </c>
      <c r="Q34" s="112">
        <v>3.91</v>
      </c>
      <c r="R34" s="6"/>
      <c r="S34" s="6"/>
      <c r="T34" s="182"/>
      <c r="U34" s="6"/>
    </row>
    <row r="35" spans="1:21" customFormat="1">
      <c r="A35" s="196" t="s">
        <v>457</v>
      </c>
      <c r="B35" s="112">
        <v>9.2799999999999994</v>
      </c>
      <c r="C35" s="112">
        <v>4.07</v>
      </c>
      <c r="D35" s="112">
        <v>14.01</v>
      </c>
      <c r="E35" s="112">
        <v>9.16</v>
      </c>
      <c r="F35" s="112">
        <v>5.59</v>
      </c>
      <c r="G35" s="112">
        <v>13.36</v>
      </c>
      <c r="H35" s="112">
        <v>5.62</v>
      </c>
      <c r="I35" s="112">
        <v>3.85</v>
      </c>
      <c r="J35" s="112">
        <v>0.15</v>
      </c>
      <c r="K35" s="112">
        <v>165.01</v>
      </c>
      <c r="L35" s="112">
        <v>27.91</v>
      </c>
      <c r="M35" s="112">
        <v>89.08</v>
      </c>
      <c r="N35" s="112">
        <v>24.2</v>
      </c>
      <c r="O35" s="112">
        <v>0</v>
      </c>
      <c r="P35" s="112">
        <v>0.37</v>
      </c>
      <c r="Q35" s="112">
        <v>3.88</v>
      </c>
      <c r="R35" s="6"/>
      <c r="S35" s="6"/>
      <c r="T35" s="182"/>
      <c r="U35" s="6"/>
    </row>
    <row r="36" spans="1:21" customFormat="1">
      <c r="A36" s="196" t="s">
        <v>458</v>
      </c>
      <c r="B36" s="112">
        <v>9.27</v>
      </c>
      <c r="C36" s="112">
        <v>4.08</v>
      </c>
      <c r="D36" s="112">
        <v>14.02</v>
      </c>
      <c r="E36" s="112">
        <v>9.5399999999999991</v>
      </c>
      <c r="F36" s="112">
        <v>6.39</v>
      </c>
      <c r="G36" s="112">
        <v>14.06</v>
      </c>
      <c r="H36" s="112">
        <v>5.38</v>
      </c>
      <c r="I36" s="112">
        <v>3.95</v>
      </c>
      <c r="J36" s="112">
        <v>0.22</v>
      </c>
      <c r="K36" s="112">
        <v>161.16999999999999</v>
      </c>
      <c r="L36" s="112">
        <v>28.13</v>
      </c>
      <c r="M36" s="112">
        <v>88</v>
      </c>
      <c r="N36" s="112">
        <v>33.4</v>
      </c>
      <c r="O36" s="112">
        <v>0</v>
      </c>
      <c r="P36" s="112">
        <v>0.37</v>
      </c>
      <c r="Q36" s="112">
        <v>3.88</v>
      </c>
      <c r="R36" s="6"/>
      <c r="S36" s="6"/>
      <c r="T36" s="182"/>
      <c r="U36" s="6"/>
    </row>
    <row r="37" spans="1:21" customFormat="1">
      <c r="A37" s="196" t="s">
        <v>459</v>
      </c>
      <c r="B37" s="112">
        <v>9.27</v>
      </c>
      <c r="C37" s="112">
        <v>4.0999999999999996</v>
      </c>
      <c r="D37" s="112">
        <v>14.03</v>
      </c>
      <c r="E37" s="112">
        <v>9.51</v>
      </c>
      <c r="F37" s="112">
        <v>5.86</v>
      </c>
      <c r="G37" s="112">
        <v>14.73</v>
      </c>
      <c r="H37" s="112">
        <v>5.26</v>
      </c>
      <c r="I37" s="112">
        <v>3.92</v>
      </c>
      <c r="J37" s="112">
        <v>0.1</v>
      </c>
      <c r="K37" s="112">
        <v>182.43</v>
      </c>
      <c r="L37" s="112">
        <v>28.21</v>
      </c>
      <c r="M37" s="112">
        <v>88.16</v>
      </c>
      <c r="N37" s="112">
        <v>50.6</v>
      </c>
      <c r="O37" s="112">
        <v>0</v>
      </c>
      <c r="P37" s="112">
        <v>0.37</v>
      </c>
      <c r="Q37" s="112">
        <v>3.91</v>
      </c>
      <c r="R37" s="6"/>
      <c r="S37" s="6"/>
      <c r="T37" s="182"/>
      <c r="U37" s="6"/>
    </row>
    <row r="38" spans="1:21" customFormat="1">
      <c r="A38" s="196" t="s">
        <v>460</v>
      </c>
      <c r="B38" s="112">
        <v>9.27</v>
      </c>
      <c r="C38" s="112">
        <v>4.1100000000000003</v>
      </c>
      <c r="D38" s="112">
        <v>14.03</v>
      </c>
      <c r="E38" s="112">
        <v>9.92</v>
      </c>
      <c r="F38" s="112">
        <v>5.52</v>
      </c>
      <c r="G38" s="112">
        <v>14.73</v>
      </c>
      <c r="H38" s="112">
        <v>5.26</v>
      </c>
      <c r="I38" s="112">
        <v>3.87</v>
      </c>
      <c r="J38" s="112">
        <v>0.11</v>
      </c>
      <c r="K38" s="112">
        <v>174</v>
      </c>
      <c r="L38" s="112">
        <v>28.47</v>
      </c>
      <c r="M38" s="112">
        <v>86.81</v>
      </c>
      <c r="N38" s="112">
        <v>66.7</v>
      </c>
      <c r="O38" s="112">
        <v>0</v>
      </c>
      <c r="P38" s="112">
        <v>0.37</v>
      </c>
      <c r="Q38" s="112">
        <v>3.89</v>
      </c>
      <c r="R38" s="6"/>
      <c r="S38" s="6"/>
      <c r="T38" s="182"/>
      <c r="U38" s="6"/>
    </row>
    <row r="39" spans="1:21" customFormat="1">
      <c r="A39" s="196" t="s">
        <v>461</v>
      </c>
      <c r="B39" s="112">
        <v>9.27</v>
      </c>
      <c r="C39" s="112">
        <v>4.09</v>
      </c>
      <c r="D39" s="112">
        <v>14.02</v>
      </c>
      <c r="E39" s="112">
        <v>9.59</v>
      </c>
      <c r="F39" s="112">
        <v>5.93</v>
      </c>
      <c r="G39" s="112">
        <v>14.73</v>
      </c>
      <c r="H39" s="112">
        <v>5.26</v>
      </c>
      <c r="I39" s="112">
        <v>3.93</v>
      </c>
      <c r="J39" s="112">
        <v>0.19</v>
      </c>
      <c r="K39" s="112">
        <v>151.35</v>
      </c>
      <c r="L39" s="112">
        <v>28.86</v>
      </c>
      <c r="M39" s="112">
        <v>84.66</v>
      </c>
      <c r="N39" s="112">
        <v>88.1</v>
      </c>
      <c r="O39" s="112">
        <v>0</v>
      </c>
      <c r="P39" s="112">
        <v>0.37</v>
      </c>
      <c r="Q39" s="112">
        <v>3.93</v>
      </c>
      <c r="R39" s="6"/>
      <c r="S39" s="6"/>
      <c r="T39" s="182"/>
      <c r="U39" s="6"/>
    </row>
    <row r="40" spans="1:21" customFormat="1">
      <c r="A40" s="196" t="s">
        <v>462</v>
      </c>
      <c r="B40" s="112">
        <v>9.27</v>
      </c>
      <c r="C40" s="112">
        <v>4.0999999999999996</v>
      </c>
      <c r="D40" s="112">
        <v>14.03</v>
      </c>
      <c r="E40" s="112">
        <v>10.14</v>
      </c>
      <c r="F40" s="112">
        <v>6.07</v>
      </c>
      <c r="G40" s="112">
        <v>16.440000000000001</v>
      </c>
      <c r="H40" s="112">
        <v>6.04</v>
      </c>
      <c r="I40" s="112">
        <v>4.01</v>
      </c>
      <c r="J40" s="112">
        <v>0.09</v>
      </c>
      <c r="K40" s="112">
        <v>104.77</v>
      </c>
      <c r="L40" s="112">
        <v>29.19</v>
      </c>
      <c r="M40" s="112">
        <v>84.21</v>
      </c>
      <c r="N40" s="112">
        <v>104.5</v>
      </c>
      <c r="O40" s="112">
        <v>0</v>
      </c>
      <c r="P40" s="112">
        <v>0.38</v>
      </c>
      <c r="Q40" s="112">
        <v>3.91</v>
      </c>
      <c r="R40" s="6"/>
      <c r="S40" s="6"/>
      <c r="T40" s="182"/>
      <c r="U40" s="6"/>
    </row>
    <row r="41" spans="1:21" customFormat="1">
      <c r="A41" s="196" t="s">
        <v>463</v>
      </c>
      <c r="B41" s="112">
        <v>9.2799999999999994</v>
      </c>
      <c r="C41" s="112">
        <v>4.0999999999999996</v>
      </c>
      <c r="D41" s="112">
        <v>14.03</v>
      </c>
      <c r="E41" s="112">
        <v>10.36</v>
      </c>
      <c r="F41" s="112">
        <v>6.35</v>
      </c>
      <c r="G41" s="112">
        <v>18.07</v>
      </c>
      <c r="H41" s="112">
        <v>6.83</v>
      </c>
      <c r="I41" s="112">
        <v>4.0599999999999996</v>
      </c>
      <c r="J41" s="112">
        <v>0.09</v>
      </c>
      <c r="K41" s="112">
        <v>189.22</v>
      </c>
      <c r="L41" s="112">
        <v>29.49</v>
      </c>
      <c r="M41" s="112">
        <v>82.22</v>
      </c>
      <c r="N41" s="112">
        <v>155</v>
      </c>
      <c r="O41" s="112">
        <v>0</v>
      </c>
      <c r="P41" s="112">
        <v>0.38</v>
      </c>
      <c r="Q41" s="112">
        <v>3.91</v>
      </c>
      <c r="R41" s="6"/>
      <c r="S41" s="6"/>
      <c r="T41" s="182"/>
      <c r="U41" s="6"/>
    </row>
    <row r="42" spans="1:21" customFormat="1">
      <c r="A42" s="196" t="s">
        <v>464</v>
      </c>
      <c r="B42" s="112">
        <v>9.27</v>
      </c>
      <c r="C42" s="112">
        <v>4.07</v>
      </c>
      <c r="D42" s="112">
        <v>14.01</v>
      </c>
      <c r="E42" s="112">
        <v>10.38</v>
      </c>
      <c r="F42" s="112">
        <v>6.75</v>
      </c>
      <c r="G42" s="112">
        <v>18.07</v>
      </c>
      <c r="H42" s="112">
        <v>6.83</v>
      </c>
      <c r="I42" s="112">
        <v>4.12</v>
      </c>
      <c r="J42" s="112">
        <v>0.26</v>
      </c>
      <c r="K42" s="112">
        <v>284.68</v>
      </c>
      <c r="L42" s="112">
        <v>30.12</v>
      </c>
      <c r="M42" s="112">
        <v>78.150000000000006</v>
      </c>
      <c r="N42" s="112">
        <v>204.2</v>
      </c>
      <c r="O42" s="112">
        <v>0</v>
      </c>
      <c r="P42" s="112">
        <v>0.39</v>
      </c>
      <c r="Q42" s="112">
        <v>3.9</v>
      </c>
      <c r="R42" s="6"/>
      <c r="S42" s="6"/>
      <c r="T42" s="182"/>
      <c r="U42" s="6"/>
    </row>
    <row r="43" spans="1:21" customFormat="1">
      <c r="A43" s="196" t="s">
        <v>465</v>
      </c>
      <c r="B43" s="112">
        <v>9.25</v>
      </c>
      <c r="C43" s="112">
        <v>4.09</v>
      </c>
      <c r="D43" s="112">
        <v>14</v>
      </c>
      <c r="E43" s="112">
        <v>10.24</v>
      </c>
      <c r="F43" s="112">
        <v>9.15</v>
      </c>
      <c r="G43" s="112">
        <v>18.07</v>
      </c>
      <c r="H43" s="112">
        <v>6.83</v>
      </c>
      <c r="I43" s="112">
        <v>4.0999999999999996</v>
      </c>
      <c r="J43" s="112">
        <v>0.4</v>
      </c>
      <c r="K43" s="112">
        <v>248.1</v>
      </c>
      <c r="L43" s="112">
        <v>30.61</v>
      </c>
      <c r="M43" s="112">
        <v>73.67</v>
      </c>
      <c r="N43" s="112">
        <v>192.9</v>
      </c>
      <c r="O43" s="112">
        <v>0</v>
      </c>
      <c r="P43" s="112">
        <v>0.37</v>
      </c>
      <c r="Q43" s="112">
        <v>3.88</v>
      </c>
      <c r="R43" s="6"/>
      <c r="S43" s="6"/>
      <c r="T43" s="182"/>
      <c r="U43" s="6"/>
    </row>
    <row r="44" spans="1:21" customFormat="1">
      <c r="A44" s="196" t="s">
        <v>466</v>
      </c>
      <c r="B44" s="112">
        <v>9.25</v>
      </c>
      <c r="C44" s="112">
        <v>4.08</v>
      </c>
      <c r="D44" s="112">
        <v>14</v>
      </c>
      <c r="E44" s="112">
        <v>9.6</v>
      </c>
      <c r="F44" s="112">
        <v>16.28</v>
      </c>
      <c r="G44" s="112">
        <v>17.420000000000002</v>
      </c>
      <c r="H44" s="112">
        <v>5.92</v>
      </c>
      <c r="I44" s="112">
        <v>4.09</v>
      </c>
      <c r="J44" s="112">
        <v>0.34</v>
      </c>
      <c r="K44" s="112">
        <v>253.09</v>
      </c>
      <c r="L44" s="112">
        <v>30.6</v>
      </c>
      <c r="M44" s="112">
        <v>73.239999999999995</v>
      </c>
      <c r="N44" s="112">
        <v>195.6</v>
      </c>
      <c r="O44" s="112">
        <v>0</v>
      </c>
      <c r="P44" s="112">
        <v>0.37</v>
      </c>
      <c r="Q44" s="112">
        <v>3.89</v>
      </c>
      <c r="R44" s="6"/>
      <c r="S44" s="6"/>
      <c r="T44" s="182"/>
      <c r="U44" s="6"/>
    </row>
    <row r="45" spans="1:21" customFormat="1">
      <c r="A45" s="196" t="s">
        <v>467</v>
      </c>
      <c r="B45" s="112">
        <v>9.26</v>
      </c>
      <c r="C45" s="112">
        <v>4.0599999999999996</v>
      </c>
      <c r="D45" s="112">
        <v>14</v>
      </c>
      <c r="E45" s="112">
        <v>9.5500000000000007</v>
      </c>
      <c r="F45" s="112">
        <v>11.9</v>
      </c>
      <c r="G45" s="112">
        <v>16.8</v>
      </c>
      <c r="H45" s="112">
        <v>5.5</v>
      </c>
      <c r="I45" s="112">
        <v>4.03</v>
      </c>
      <c r="J45" s="112">
        <v>0.61</v>
      </c>
      <c r="K45" s="112">
        <v>264.75</v>
      </c>
      <c r="L45" s="112">
        <v>31.26</v>
      </c>
      <c r="M45" s="112">
        <v>69.64</v>
      </c>
      <c r="N45" s="112">
        <v>222.6</v>
      </c>
      <c r="O45" s="112">
        <v>0</v>
      </c>
      <c r="P45" s="112">
        <v>0.35</v>
      </c>
      <c r="Q45" s="112">
        <v>3.88</v>
      </c>
      <c r="R45" s="6"/>
      <c r="S45" s="6"/>
      <c r="T45" s="182"/>
      <c r="U45" s="6"/>
    </row>
    <row r="46" spans="1:21" customFormat="1">
      <c r="A46" s="196" t="s">
        <v>468</v>
      </c>
      <c r="B46" s="112">
        <v>9.2799999999999994</v>
      </c>
      <c r="C46" s="112">
        <v>4.09</v>
      </c>
      <c r="D46" s="112">
        <v>14.03</v>
      </c>
      <c r="E46" s="112">
        <v>10.08</v>
      </c>
      <c r="F46" s="112">
        <v>11.82</v>
      </c>
      <c r="G46" s="112">
        <v>16.8</v>
      </c>
      <c r="H46" s="112">
        <v>5.5</v>
      </c>
      <c r="I46" s="112">
        <v>3.76</v>
      </c>
      <c r="J46" s="112">
        <v>0.62</v>
      </c>
      <c r="K46" s="112">
        <v>263.20999999999998</v>
      </c>
      <c r="L46" s="112">
        <v>31.88</v>
      </c>
      <c r="M46" s="112">
        <v>68.13</v>
      </c>
      <c r="N46" s="112">
        <v>214</v>
      </c>
      <c r="O46" s="112">
        <v>0</v>
      </c>
      <c r="P46" s="112">
        <v>0.34</v>
      </c>
      <c r="Q46" s="112">
        <v>3.88</v>
      </c>
      <c r="R46" s="6"/>
      <c r="S46" s="6"/>
      <c r="T46" s="182"/>
      <c r="U46" s="6"/>
    </row>
    <row r="47" spans="1:21" customFormat="1">
      <c r="A47" s="196" t="s">
        <v>469</v>
      </c>
      <c r="B47" s="112">
        <v>9.3000000000000007</v>
      </c>
      <c r="C47" s="112">
        <v>4.08</v>
      </c>
      <c r="D47" s="112">
        <v>14.03</v>
      </c>
      <c r="E47" s="112">
        <v>10.5</v>
      </c>
      <c r="F47" s="112">
        <v>10.4</v>
      </c>
      <c r="G47" s="112">
        <v>16.8</v>
      </c>
      <c r="H47" s="112">
        <v>5.5</v>
      </c>
      <c r="I47" s="112">
        <v>3.88</v>
      </c>
      <c r="J47" s="112">
        <v>0.75</v>
      </c>
      <c r="K47" s="112">
        <v>259.94</v>
      </c>
      <c r="L47" s="112">
        <v>32.4</v>
      </c>
      <c r="M47" s="112">
        <v>65.56</v>
      </c>
      <c r="N47" s="112">
        <v>192.2</v>
      </c>
      <c r="O47" s="112">
        <v>0</v>
      </c>
      <c r="P47" s="112">
        <v>0.34</v>
      </c>
      <c r="Q47" s="112">
        <v>3.89</v>
      </c>
      <c r="R47" s="6"/>
      <c r="S47" s="6"/>
      <c r="T47" s="182"/>
      <c r="U47" s="6"/>
    </row>
    <row r="48" spans="1:21" customFormat="1">
      <c r="A48" s="196" t="s">
        <v>470</v>
      </c>
      <c r="B48" s="112">
        <v>9.32</v>
      </c>
      <c r="C48" s="112">
        <v>4.05</v>
      </c>
      <c r="D48" s="112">
        <v>14.04</v>
      </c>
      <c r="E48" s="112">
        <v>10.84</v>
      </c>
      <c r="F48" s="112">
        <v>16.510000000000002</v>
      </c>
      <c r="G48" s="112">
        <v>16.8</v>
      </c>
      <c r="H48" s="112">
        <v>5.77</v>
      </c>
      <c r="I48" s="112">
        <v>3.92</v>
      </c>
      <c r="J48" s="112">
        <v>0.43</v>
      </c>
      <c r="K48" s="112">
        <v>242.77</v>
      </c>
      <c r="L48" s="112">
        <v>32.909999999999997</v>
      </c>
      <c r="M48" s="112">
        <v>64.41</v>
      </c>
      <c r="N48" s="112">
        <v>197.3</v>
      </c>
      <c r="O48" s="112">
        <v>0</v>
      </c>
      <c r="P48" s="112">
        <v>0.34</v>
      </c>
      <c r="Q48" s="112">
        <v>3.91</v>
      </c>
      <c r="R48" s="6"/>
      <c r="S48" s="6"/>
      <c r="T48" s="182"/>
      <c r="U48" s="6"/>
    </row>
    <row r="49" spans="1:21" customFormat="1">
      <c r="A49" s="196" t="s">
        <v>471</v>
      </c>
      <c r="B49" s="112">
        <v>9.33</v>
      </c>
      <c r="C49" s="112">
        <v>4.0599999999999996</v>
      </c>
      <c r="D49" s="112">
        <v>14.05</v>
      </c>
      <c r="E49" s="112">
        <v>10.46</v>
      </c>
      <c r="F49" s="112">
        <v>15.53</v>
      </c>
      <c r="G49" s="112">
        <v>16.8</v>
      </c>
      <c r="H49" s="112">
        <v>5.9</v>
      </c>
      <c r="I49" s="112">
        <v>3.93</v>
      </c>
      <c r="J49" s="112">
        <v>0.43</v>
      </c>
      <c r="K49" s="112">
        <v>237.22</v>
      </c>
      <c r="L49" s="112">
        <v>33.75</v>
      </c>
      <c r="M49" s="112">
        <v>60.93</v>
      </c>
      <c r="N49" s="112">
        <v>183.6</v>
      </c>
      <c r="O49" s="112">
        <v>0</v>
      </c>
      <c r="P49" s="112">
        <v>0.32</v>
      </c>
      <c r="Q49" s="112">
        <v>3.9</v>
      </c>
      <c r="R49" s="6"/>
      <c r="S49" s="6"/>
      <c r="T49" s="182"/>
      <c r="U49" s="6"/>
    </row>
    <row r="50" spans="1:21" customFormat="1">
      <c r="A50" s="196" t="s">
        <v>472</v>
      </c>
      <c r="B50" s="112">
        <v>9.32</v>
      </c>
      <c r="C50" s="112">
        <v>4.09</v>
      </c>
      <c r="D50" s="112">
        <v>14.06</v>
      </c>
      <c r="E50" s="112">
        <v>11.46</v>
      </c>
      <c r="F50" s="112">
        <v>15.83</v>
      </c>
      <c r="G50" s="112">
        <v>16.8</v>
      </c>
      <c r="H50" s="112">
        <v>5.9</v>
      </c>
      <c r="I50" s="112">
        <v>3.79</v>
      </c>
      <c r="J50" s="112">
        <v>0.95</v>
      </c>
      <c r="K50" s="112">
        <v>281.41000000000003</v>
      </c>
      <c r="L50" s="112">
        <v>33.479999999999997</v>
      </c>
      <c r="M50" s="112">
        <v>58.7</v>
      </c>
      <c r="N50" s="112">
        <v>182.3</v>
      </c>
      <c r="O50" s="112">
        <v>0</v>
      </c>
      <c r="P50" s="112">
        <v>0.33</v>
      </c>
      <c r="Q50" s="112">
        <v>3.91</v>
      </c>
      <c r="R50" s="6"/>
      <c r="S50" s="6"/>
      <c r="T50" s="182"/>
      <c r="U50" s="6"/>
    </row>
    <row r="51" spans="1:21" customFormat="1">
      <c r="A51" s="196" t="s">
        <v>473</v>
      </c>
      <c r="B51" s="112">
        <v>9.33</v>
      </c>
      <c r="C51" s="112">
        <v>4.04</v>
      </c>
      <c r="D51" s="112">
        <v>14.04</v>
      </c>
      <c r="E51" s="112">
        <v>10.69</v>
      </c>
      <c r="F51" s="112">
        <v>16.41</v>
      </c>
      <c r="G51" s="112">
        <v>16.8</v>
      </c>
      <c r="H51" s="112">
        <v>5.9</v>
      </c>
      <c r="I51" s="112">
        <v>3.89</v>
      </c>
      <c r="J51" s="112">
        <v>0.79</v>
      </c>
      <c r="K51" s="112">
        <v>277.45999999999998</v>
      </c>
      <c r="L51" s="112">
        <v>34.22</v>
      </c>
      <c r="M51" s="112">
        <v>56.85</v>
      </c>
      <c r="N51" s="112">
        <v>172.3</v>
      </c>
      <c r="O51" s="112">
        <v>0</v>
      </c>
      <c r="P51" s="112">
        <v>0.33</v>
      </c>
      <c r="Q51" s="112">
        <v>3.87</v>
      </c>
      <c r="R51" s="6"/>
      <c r="S51" s="6"/>
      <c r="T51" s="182"/>
      <c r="U51" s="6"/>
    </row>
    <row r="52" spans="1:21" customFormat="1">
      <c r="A52" s="196" t="s">
        <v>474</v>
      </c>
      <c r="B52" s="112">
        <v>9.35</v>
      </c>
      <c r="C52" s="112">
        <v>4.0599999999999996</v>
      </c>
      <c r="D52" s="112">
        <v>14.07</v>
      </c>
      <c r="E52" s="112">
        <v>10.51</v>
      </c>
      <c r="F52" s="112">
        <v>21.01</v>
      </c>
      <c r="G52" s="112">
        <v>16.07</v>
      </c>
      <c r="H52" s="112">
        <v>5.94</v>
      </c>
      <c r="I52" s="112">
        <v>3.77</v>
      </c>
      <c r="J52" s="112">
        <v>0.6</v>
      </c>
      <c r="K52" s="112">
        <v>273.37</v>
      </c>
      <c r="L52" s="112">
        <v>34.64</v>
      </c>
      <c r="M52" s="112">
        <v>55.48</v>
      </c>
      <c r="N52" s="112">
        <v>183.4</v>
      </c>
      <c r="O52" s="112">
        <v>0</v>
      </c>
      <c r="P52" s="112">
        <v>0.33</v>
      </c>
      <c r="Q52" s="112">
        <v>3.87</v>
      </c>
      <c r="R52" s="6"/>
      <c r="S52" s="6"/>
      <c r="T52" s="182"/>
      <c r="U52" s="6"/>
    </row>
    <row r="53" spans="1:21" customFormat="1">
      <c r="A53" s="196" t="s">
        <v>475</v>
      </c>
      <c r="B53" s="112">
        <v>9.34</v>
      </c>
      <c r="C53" s="112">
        <v>4.08</v>
      </c>
      <c r="D53" s="112">
        <v>14.07</v>
      </c>
      <c r="E53" s="112">
        <v>10.33</v>
      </c>
      <c r="F53" s="112">
        <v>16.84</v>
      </c>
      <c r="G53" s="112">
        <v>15.37</v>
      </c>
      <c r="H53" s="112">
        <v>5.96</v>
      </c>
      <c r="I53" s="112">
        <v>3.75</v>
      </c>
      <c r="J53" s="112">
        <v>1.38</v>
      </c>
      <c r="K53" s="112">
        <v>306.94</v>
      </c>
      <c r="L53" s="112">
        <v>34.79</v>
      </c>
      <c r="M53" s="112">
        <v>53.35</v>
      </c>
      <c r="N53" s="112">
        <v>220.1</v>
      </c>
      <c r="O53" s="112">
        <v>0</v>
      </c>
      <c r="P53" s="112">
        <v>0.34</v>
      </c>
      <c r="Q53" s="112">
        <v>3.85</v>
      </c>
      <c r="R53" s="6"/>
      <c r="S53" s="6"/>
      <c r="T53" s="182"/>
      <c r="U53" s="6"/>
    </row>
    <row r="54" spans="1:21" customFormat="1">
      <c r="A54" s="196" t="s">
        <v>476</v>
      </c>
      <c r="B54" s="112">
        <v>9.33</v>
      </c>
      <c r="C54" s="112">
        <v>4.0999999999999996</v>
      </c>
      <c r="D54" s="112">
        <v>14.08</v>
      </c>
      <c r="E54" s="112">
        <v>9.89</v>
      </c>
      <c r="F54" s="112">
        <v>21</v>
      </c>
      <c r="G54" s="112">
        <v>15.37</v>
      </c>
      <c r="H54" s="112">
        <v>5.96</v>
      </c>
      <c r="I54" s="112">
        <v>3.66</v>
      </c>
      <c r="J54" s="112">
        <v>1.1200000000000001</v>
      </c>
      <c r="K54" s="112">
        <v>311.97000000000003</v>
      </c>
      <c r="L54" s="112">
        <v>34.619999999999997</v>
      </c>
      <c r="M54" s="112">
        <v>53.55</v>
      </c>
      <c r="N54" s="112">
        <v>231.1</v>
      </c>
      <c r="O54" s="112">
        <v>0</v>
      </c>
      <c r="P54" s="112">
        <v>0.36</v>
      </c>
      <c r="Q54" s="112">
        <v>3.86</v>
      </c>
      <c r="R54" s="6"/>
      <c r="S54" s="6"/>
      <c r="T54" s="182"/>
      <c r="U54" s="6"/>
    </row>
    <row r="55" spans="1:21" customFormat="1">
      <c r="A55" s="196" t="s">
        <v>477</v>
      </c>
      <c r="B55" s="112">
        <v>9.35</v>
      </c>
      <c r="C55" s="112">
        <v>4.08</v>
      </c>
      <c r="D55" s="112">
        <v>14.08</v>
      </c>
      <c r="E55" s="112">
        <v>10.06</v>
      </c>
      <c r="F55" s="112">
        <v>20.74</v>
      </c>
      <c r="G55" s="112">
        <v>15.37</v>
      </c>
      <c r="H55" s="112">
        <v>5.96</v>
      </c>
      <c r="I55" s="112">
        <v>3.84</v>
      </c>
      <c r="J55" s="112">
        <v>0.44</v>
      </c>
      <c r="K55" s="112">
        <v>301.20999999999998</v>
      </c>
      <c r="L55" s="112">
        <v>34.85</v>
      </c>
      <c r="M55" s="112">
        <v>53.18</v>
      </c>
      <c r="N55" s="112">
        <v>432.6</v>
      </c>
      <c r="O55" s="112">
        <v>0</v>
      </c>
      <c r="P55" s="112">
        <v>0.37</v>
      </c>
      <c r="Q55" s="112">
        <v>3.89</v>
      </c>
      <c r="R55" s="6"/>
      <c r="S55" s="6"/>
      <c r="T55" s="182"/>
      <c r="U55" s="6"/>
    </row>
    <row r="56" spans="1:21" customFormat="1">
      <c r="A56" s="196" t="s">
        <v>478</v>
      </c>
      <c r="B56" s="112">
        <v>9.35</v>
      </c>
      <c r="C56" s="112">
        <v>4.07</v>
      </c>
      <c r="D56" s="112">
        <v>14.07</v>
      </c>
      <c r="E56" s="112">
        <v>10.06</v>
      </c>
      <c r="F56" s="112">
        <v>21.28</v>
      </c>
      <c r="G56" s="112">
        <v>17.350000000000001</v>
      </c>
      <c r="H56" s="112">
        <v>7.65</v>
      </c>
      <c r="I56" s="112">
        <v>3.77</v>
      </c>
      <c r="J56" s="112">
        <v>0.69</v>
      </c>
      <c r="K56" s="112">
        <v>290.95</v>
      </c>
      <c r="L56" s="112">
        <v>35.11</v>
      </c>
      <c r="M56" s="112">
        <v>52.28</v>
      </c>
      <c r="N56" s="112">
        <v>735</v>
      </c>
      <c r="O56" s="112">
        <v>0</v>
      </c>
      <c r="P56" s="112">
        <v>0.37</v>
      </c>
      <c r="Q56" s="112">
        <v>3.87</v>
      </c>
      <c r="R56" s="6"/>
      <c r="S56" s="6"/>
      <c r="T56" s="182"/>
      <c r="U56" s="6"/>
    </row>
    <row r="57" spans="1:21" customFormat="1">
      <c r="A57" s="196" t="s">
        <v>479</v>
      </c>
      <c r="B57" s="112">
        <v>9.35</v>
      </c>
      <c r="C57" s="112">
        <v>4.05</v>
      </c>
      <c r="D57" s="112">
        <v>14.06</v>
      </c>
      <c r="E57" s="112">
        <v>9.57</v>
      </c>
      <c r="F57" s="112">
        <v>25.84</v>
      </c>
      <c r="G57" s="112">
        <v>19.239999999999998</v>
      </c>
      <c r="H57" s="112">
        <v>8.43</v>
      </c>
      <c r="I57" s="112">
        <v>3.81</v>
      </c>
      <c r="J57" s="112">
        <v>0.42</v>
      </c>
      <c r="K57" s="112">
        <v>278.02</v>
      </c>
      <c r="L57" s="112">
        <v>35.17</v>
      </c>
      <c r="M57" s="112">
        <v>52.54</v>
      </c>
      <c r="N57" s="112">
        <v>309.7</v>
      </c>
      <c r="O57" s="112">
        <v>0</v>
      </c>
      <c r="P57" s="112">
        <v>0.35</v>
      </c>
      <c r="Q57" s="112">
        <v>3.87</v>
      </c>
      <c r="R57" s="6"/>
      <c r="S57" s="6"/>
      <c r="T57" s="182"/>
      <c r="U57" s="6"/>
    </row>
    <row r="58" spans="1:21" customFormat="1">
      <c r="A58" s="196" t="s">
        <v>480</v>
      </c>
      <c r="B58" s="112">
        <v>9.33</v>
      </c>
      <c r="C58" s="112">
        <v>4.09</v>
      </c>
      <c r="D58" s="112">
        <v>14.07</v>
      </c>
      <c r="E58" s="112">
        <v>10.47</v>
      </c>
      <c r="F58" s="112">
        <v>27.47</v>
      </c>
      <c r="G58" s="112">
        <v>19.239999999999998</v>
      </c>
      <c r="H58" s="112">
        <v>8.43</v>
      </c>
      <c r="I58" s="112">
        <v>3.7</v>
      </c>
      <c r="J58" s="112">
        <v>0.56999999999999995</v>
      </c>
      <c r="K58" s="112">
        <v>11.79</v>
      </c>
      <c r="L58" s="112">
        <v>35.07</v>
      </c>
      <c r="M58" s="112">
        <v>51.58</v>
      </c>
      <c r="N58" s="112">
        <v>722.7</v>
      </c>
      <c r="O58" s="112">
        <v>0</v>
      </c>
      <c r="P58" s="112">
        <v>0.4</v>
      </c>
      <c r="Q58" s="112">
        <v>3.87</v>
      </c>
      <c r="R58" s="6"/>
      <c r="S58" s="6"/>
      <c r="T58" s="182"/>
      <c r="U58" s="6"/>
    </row>
    <row r="59" spans="1:21" customFormat="1">
      <c r="A59" s="196" t="s">
        <v>481</v>
      </c>
      <c r="B59" s="112">
        <v>9.32</v>
      </c>
      <c r="C59" s="112">
        <v>4.09</v>
      </c>
      <c r="D59" s="112">
        <v>14.07</v>
      </c>
      <c r="E59" s="112">
        <v>10.85</v>
      </c>
      <c r="F59" s="112">
        <v>22.44</v>
      </c>
      <c r="G59" s="112">
        <v>19.239999999999998</v>
      </c>
      <c r="H59" s="112">
        <v>8.43</v>
      </c>
      <c r="I59" s="112">
        <v>3.55</v>
      </c>
      <c r="J59" s="112">
        <v>0.87</v>
      </c>
      <c r="K59" s="112">
        <v>316.27</v>
      </c>
      <c r="L59" s="112">
        <v>36.11</v>
      </c>
      <c r="M59" s="112">
        <v>48.94</v>
      </c>
      <c r="N59" s="112">
        <v>823.2</v>
      </c>
      <c r="O59" s="112">
        <v>0</v>
      </c>
      <c r="P59" s="112">
        <v>0.39</v>
      </c>
      <c r="Q59" s="112">
        <v>3.87</v>
      </c>
      <c r="R59" s="6"/>
      <c r="S59" s="6"/>
      <c r="T59" s="182"/>
      <c r="U59" s="6"/>
    </row>
    <row r="60" spans="1:21" customFormat="1">
      <c r="A60" s="196" t="s">
        <v>482</v>
      </c>
      <c r="B60" s="112">
        <v>9.31</v>
      </c>
      <c r="C60" s="112">
        <v>4.09</v>
      </c>
      <c r="D60" s="112">
        <v>14.05</v>
      </c>
      <c r="E60" s="112">
        <v>10.039999999999999</v>
      </c>
      <c r="F60" s="112">
        <v>21.28</v>
      </c>
      <c r="G60" s="112">
        <v>20.72</v>
      </c>
      <c r="H60" s="112">
        <v>7.8</v>
      </c>
      <c r="I60" s="112">
        <v>3.9</v>
      </c>
      <c r="J60" s="112">
        <v>0.72</v>
      </c>
      <c r="K60" s="112">
        <v>266.45999999999998</v>
      </c>
      <c r="L60" s="112">
        <v>35.75</v>
      </c>
      <c r="M60" s="112">
        <v>50.59</v>
      </c>
      <c r="N60" s="112">
        <v>560.79999999999995</v>
      </c>
      <c r="O60" s="112">
        <v>0</v>
      </c>
      <c r="P60" s="112">
        <v>0.4</v>
      </c>
      <c r="Q60" s="112">
        <v>3.85</v>
      </c>
      <c r="R60" s="6"/>
      <c r="S60" s="6"/>
      <c r="T60" s="182"/>
      <c r="U60" s="6"/>
    </row>
    <row r="61" spans="1:21" customFormat="1">
      <c r="A61" s="196" t="s">
        <v>483</v>
      </c>
      <c r="B61" s="112">
        <v>9.31</v>
      </c>
      <c r="C61" s="112">
        <v>4.0999999999999996</v>
      </c>
      <c r="D61" s="112">
        <v>14.06</v>
      </c>
      <c r="E61" s="112">
        <v>10.07</v>
      </c>
      <c r="F61" s="112">
        <v>19.149999999999999</v>
      </c>
      <c r="G61" s="112">
        <v>22.14</v>
      </c>
      <c r="H61" s="112">
        <v>7.5</v>
      </c>
      <c r="I61" s="112">
        <v>4.07</v>
      </c>
      <c r="J61" s="112">
        <v>0.15</v>
      </c>
      <c r="K61" s="112">
        <v>243.23</v>
      </c>
      <c r="L61" s="112">
        <v>36.619999999999997</v>
      </c>
      <c r="M61" s="112">
        <v>48.43</v>
      </c>
      <c r="N61" s="112">
        <v>848.2</v>
      </c>
      <c r="O61" s="112">
        <v>0</v>
      </c>
      <c r="P61" s="112">
        <v>0.4</v>
      </c>
      <c r="Q61" s="112">
        <v>3.89</v>
      </c>
      <c r="R61" s="6"/>
      <c r="S61" s="6"/>
      <c r="T61" s="182"/>
      <c r="U61" s="6"/>
    </row>
    <row r="62" spans="1:21" customFormat="1">
      <c r="A62" s="196" t="s">
        <v>484</v>
      </c>
      <c r="B62" s="112">
        <v>9.31</v>
      </c>
      <c r="C62" s="112">
        <v>4.09</v>
      </c>
      <c r="D62" s="112">
        <v>14.06</v>
      </c>
      <c r="E62" s="112">
        <v>9.94</v>
      </c>
      <c r="F62" s="112">
        <v>19.66</v>
      </c>
      <c r="G62" s="112">
        <v>22.14</v>
      </c>
      <c r="H62" s="112">
        <v>7.5</v>
      </c>
      <c r="I62" s="112">
        <v>4</v>
      </c>
      <c r="J62" s="112">
        <v>0.27</v>
      </c>
      <c r="K62" s="112">
        <v>259.35000000000002</v>
      </c>
      <c r="L62" s="112">
        <v>37.119999999999997</v>
      </c>
      <c r="M62" s="112">
        <v>46.99</v>
      </c>
      <c r="N62" s="112">
        <v>400.4</v>
      </c>
      <c r="O62" s="112">
        <v>0</v>
      </c>
      <c r="P62" s="112">
        <v>0.4</v>
      </c>
      <c r="Q62" s="112">
        <v>3.9</v>
      </c>
      <c r="R62" s="6"/>
      <c r="S62" s="6"/>
      <c r="T62" s="182"/>
      <c r="U62" s="6"/>
    </row>
    <row r="63" spans="1:21" customFormat="1">
      <c r="A63" s="196" t="s">
        <v>485</v>
      </c>
      <c r="B63" s="112">
        <v>9.33</v>
      </c>
      <c r="C63" s="112">
        <v>4.09</v>
      </c>
      <c r="D63" s="112">
        <v>14.07</v>
      </c>
      <c r="E63" s="112">
        <v>10</v>
      </c>
      <c r="F63" s="112">
        <v>17.760000000000002</v>
      </c>
      <c r="G63" s="112">
        <v>22.14</v>
      </c>
      <c r="H63" s="112">
        <v>7.5</v>
      </c>
      <c r="I63" s="112">
        <v>3.97</v>
      </c>
      <c r="J63" s="112">
        <v>0.43</v>
      </c>
      <c r="K63" s="112">
        <v>273.56</v>
      </c>
      <c r="L63" s="112">
        <v>37.159999999999997</v>
      </c>
      <c r="M63" s="112">
        <v>46.73</v>
      </c>
      <c r="N63" s="112">
        <v>222.7</v>
      </c>
      <c r="O63" s="112">
        <v>0</v>
      </c>
      <c r="P63" s="112">
        <v>0.38</v>
      </c>
      <c r="Q63" s="112">
        <v>3.89</v>
      </c>
      <c r="R63" s="6"/>
      <c r="S63" s="6"/>
      <c r="T63" s="182"/>
      <c r="U63" s="6"/>
    </row>
    <row r="64" spans="1:21" customFormat="1">
      <c r="A64" s="196" t="s">
        <v>486</v>
      </c>
      <c r="B64" s="112">
        <v>9.33</v>
      </c>
      <c r="C64" s="112">
        <v>4.0999999999999996</v>
      </c>
      <c r="D64" s="112">
        <v>14.07</v>
      </c>
      <c r="E64" s="112">
        <v>10.63</v>
      </c>
      <c r="F64" s="112">
        <v>28.63</v>
      </c>
      <c r="G64" s="112">
        <v>22.85</v>
      </c>
      <c r="H64" s="112">
        <v>7.87</v>
      </c>
      <c r="I64" s="112">
        <v>3.94</v>
      </c>
      <c r="J64" s="112">
        <v>0.36</v>
      </c>
      <c r="K64" s="112">
        <v>331.49</v>
      </c>
      <c r="L64" s="112">
        <v>36.799999999999997</v>
      </c>
      <c r="M64" s="112">
        <v>46.35</v>
      </c>
      <c r="N64" s="112">
        <v>565</v>
      </c>
      <c r="O64" s="112">
        <v>0</v>
      </c>
      <c r="P64" s="112">
        <v>0.43</v>
      </c>
      <c r="Q64" s="112">
        <v>3.91</v>
      </c>
      <c r="R64" s="6"/>
      <c r="S64" s="6"/>
      <c r="T64" s="182"/>
      <c r="U64" s="6"/>
    </row>
    <row r="65" spans="1:21" customFormat="1">
      <c r="A65" s="196" t="s">
        <v>487</v>
      </c>
      <c r="B65" s="112">
        <v>9.32</v>
      </c>
      <c r="C65" s="112">
        <v>4.08</v>
      </c>
      <c r="D65" s="112">
        <v>14.06</v>
      </c>
      <c r="E65" s="112">
        <v>11.27</v>
      </c>
      <c r="F65" s="112">
        <v>19.72</v>
      </c>
      <c r="G65" s="112">
        <v>23.54</v>
      </c>
      <c r="H65" s="112">
        <v>8.24</v>
      </c>
      <c r="I65" s="112">
        <v>3.97</v>
      </c>
      <c r="J65" s="112">
        <v>0.35</v>
      </c>
      <c r="K65" s="112">
        <v>338.26</v>
      </c>
      <c r="L65" s="112">
        <v>37</v>
      </c>
      <c r="M65" s="112">
        <v>45.1</v>
      </c>
      <c r="N65" s="112">
        <v>775.7</v>
      </c>
      <c r="O65" s="112">
        <v>0</v>
      </c>
      <c r="P65" s="112">
        <v>0.34</v>
      </c>
      <c r="Q65" s="112">
        <v>3.88</v>
      </c>
      <c r="R65" s="6"/>
      <c r="S65" s="6"/>
      <c r="T65" s="182"/>
      <c r="U65" s="6"/>
    </row>
    <row r="66" spans="1:21" customFormat="1">
      <c r="A66" s="196" t="s">
        <v>488</v>
      </c>
      <c r="B66" s="112">
        <v>9.33</v>
      </c>
      <c r="C66" s="112">
        <v>4.08</v>
      </c>
      <c r="D66" s="112">
        <v>14.06</v>
      </c>
      <c r="E66" s="112">
        <v>11.18</v>
      </c>
      <c r="F66" s="112">
        <v>23.53</v>
      </c>
      <c r="G66" s="112">
        <v>23.54</v>
      </c>
      <c r="H66" s="112">
        <v>8.24</v>
      </c>
      <c r="I66" s="112">
        <v>4.18</v>
      </c>
      <c r="J66" s="112">
        <v>0.36</v>
      </c>
      <c r="K66" s="112">
        <v>68.430000000000007</v>
      </c>
      <c r="L66" s="112">
        <v>37.840000000000003</v>
      </c>
      <c r="M66" s="112">
        <v>43.02</v>
      </c>
      <c r="N66" s="112">
        <v>714.7</v>
      </c>
      <c r="O66" s="112">
        <v>0</v>
      </c>
      <c r="P66" s="112">
        <v>0.37</v>
      </c>
      <c r="Q66" s="112">
        <v>3.9</v>
      </c>
      <c r="R66" s="6"/>
      <c r="S66" s="6"/>
      <c r="T66" s="182"/>
      <c r="U66" s="6"/>
    </row>
    <row r="67" spans="1:21" customFormat="1">
      <c r="A67" s="196" t="s">
        <v>489</v>
      </c>
      <c r="B67" s="112">
        <v>9.34</v>
      </c>
      <c r="C67" s="112">
        <v>4.0599999999999996</v>
      </c>
      <c r="D67" s="112">
        <v>14.06</v>
      </c>
      <c r="E67" s="112">
        <v>10.93</v>
      </c>
      <c r="F67" s="112">
        <v>22.13</v>
      </c>
      <c r="G67" s="112">
        <v>23.54</v>
      </c>
      <c r="H67" s="112">
        <v>8.24</v>
      </c>
      <c r="I67" s="112">
        <v>4.24</v>
      </c>
      <c r="J67" s="112">
        <v>0.12</v>
      </c>
      <c r="K67" s="112">
        <v>120.45</v>
      </c>
      <c r="L67" s="112">
        <v>38.97</v>
      </c>
      <c r="M67" s="112">
        <v>41.99</v>
      </c>
      <c r="N67" s="112">
        <v>731.2</v>
      </c>
      <c r="O67" s="112">
        <v>0</v>
      </c>
      <c r="P67" s="112">
        <v>0.36</v>
      </c>
      <c r="Q67" s="112">
        <v>3.88</v>
      </c>
      <c r="R67" s="6"/>
      <c r="S67" s="6"/>
      <c r="T67" s="182"/>
      <c r="U67" s="6"/>
    </row>
    <row r="68" spans="1:21" customFormat="1">
      <c r="A68" s="196" t="s">
        <v>490</v>
      </c>
      <c r="B68" s="112">
        <v>9.34</v>
      </c>
      <c r="C68" s="112">
        <v>4.07</v>
      </c>
      <c r="D68" s="112">
        <v>14.06</v>
      </c>
      <c r="E68" s="112">
        <v>11.25</v>
      </c>
      <c r="F68" s="112">
        <v>21.57</v>
      </c>
      <c r="G68" s="112">
        <v>24.42</v>
      </c>
      <c r="H68" s="112">
        <v>8.61</v>
      </c>
      <c r="I68" s="112">
        <v>4.18</v>
      </c>
      <c r="J68" s="112">
        <v>0.3</v>
      </c>
      <c r="K68" s="112">
        <v>235.52</v>
      </c>
      <c r="L68" s="112">
        <v>38.58</v>
      </c>
      <c r="M68" s="112">
        <v>43.51</v>
      </c>
      <c r="N68" s="112">
        <v>637.4</v>
      </c>
      <c r="O68" s="112">
        <v>0</v>
      </c>
      <c r="P68" s="112">
        <v>0.36</v>
      </c>
      <c r="Q68" s="112">
        <v>3.88</v>
      </c>
      <c r="R68" s="6"/>
      <c r="S68" s="6"/>
      <c r="T68" s="182"/>
      <c r="U68" s="6"/>
    </row>
    <row r="69" spans="1:21" customFormat="1">
      <c r="A69" s="196" t="s">
        <v>491</v>
      </c>
      <c r="B69" s="112">
        <v>9.33</v>
      </c>
      <c r="C69" s="112">
        <v>4.0599999999999996</v>
      </c>
      <c r="D69" s="112">
        <v>14.05</v>
      </c>
      <c r="E69" s="112">
        <v>11.15</v>
      </c>
      <c r="F69" s="112">
        <v>17.399999999999999</v>
      </c>
      <c r="G69" s="112">
        <v>25.26</v>
      </c>
      <c r="H69" s="112">
        <v>8.7799999999999994</v>
      </c>
      <c r="I69" s="112">
        <v>4.2300000000000004</v>
      </c>
      <c r="J69" s="112">
        <v>0.28999999999999998</v>
      </c>
      <c r="K69" s="112">
        <v>275.79000000000002</v>
      </c>
      <c r="L69" s="112">
        <v>38.53</v>
      </c>
      <c r="M69" s="112">
        <v>43.16</v>
      </c>
      <c r="N69" s="112">
        <v>577.70000000000005</v>
      </c>
      <c r="O69" s="112">
        <v>0</v>
      </c>
      <c r="P69" s="112">
        <v>0.36</v>
      </c>
      <c r="Q69" s="112">
        <v>3.89</v>
      </c>
      <c r="R69" s="6"/>
      <c r="S69" s="6"/>
      <c r="T69" s="182"/>
      <c r="U69" s="6"/>
    </row>
    <row r="70" spans="1:21" customFormat="1">
      <c r="A70" s="196" t="s">
        <v>492</v>
      </c>
      <c r="B70" s="112">
        <v>9.32</v>
      </c>
      <c r="C70" s="112">
        <v>4.07</v>
      </c>
      <c r="D70" s="112">
        <v>14.05</v>
      </c>
      <c r="E70" s="112">
        <v>11.59</v>
      </c>
      <c r="F70" s="112">
        <v>22</v>
      </c>
      <c r="G70" s="112">
        <v>25.26</v>
      </c>
      <c r="H70" s="112">
        <v>8.7799999999999994</v>
      </c>
      <c r="I70" s="112">
        <v>4.21</v>
      </c>
      <c r="J70" s="112">
        <v>0.2</v>
      </c>
      <c r="K70" s="112">
        <v>237.2</v>
      </c>
      <c r="L70" s="112">
        <v>38.14</v>
      </c>
      <c r="M70" s="112">
        <v>43.11</v>
      </c>
      <c r="N70" s="112">
        <v>364.2</v>
      </c>
      <c r="O70" s="112">
        <v>0</v>
      </c>
      <c r="P70" s="112">
        <v>0.36</v>
      </c>
      <c r="Q70" s="112">
        <v>3.89</v>
      </c>
      <c r="R70" s="6"/>
      <c r="S70" s="6"/>
      <c r="T70" s="182"/>
      <c r="U70" s="6"/>
    </row>
    <row r="71" spans="1:21" customFormat="1">
      <c r="A71" s="196" t="s">
        <v>493</v>
      </c>
      <c r="B71" s="112">
        <v>9.33</v>
      </c>
      <c r="C71" s="112">
        <v>4.07</v>
      </c>
      <c r="D71" s="112">
        <v>14.06</v>
      </c>
      <c r="E71" s="112">
        <v>11.26</v>
      </c>
      <c r="F71" s="112">
        <v>25.56</v>
      </c>
      <c r="G71" s="112">
        <v>25.26</v>
      </c>
      <c r="H71" s="112">
        <v>8.7799999999999994</v>
      </c>
      <c r="I71" s="112">
        <v>4.2699999999999996</v>
      </c>
      <c r="J71" s="112">
        <v>0.33</v>
      </c>
      <c r="K71" s="112">
        <v>243.9</v>
      </c>
      <c r="L71" s="112">
        <v>36.19</v>
      </c>
      <c r="M71" s="112">
        <v>48.08</v>
      </c>
      <c r="N71" s="112">
        <v>95.7</v>
      </c>
      <c r="O71" s="112">
        <v>0</v>
      </c>
      <c r="P71" s="112">
        <v>0.37</v>
      </c>
      <c r="Q71" s="112">
        <v>3.9</v>
      </c>
      <c r="R71" s="6"/>
      <c r="S71" s="6"/>
      <c r="T71" s="182"/>
      <c r="U71" s="6"/>
    </row>
    <row r="72" spans="1:21" customFormat="1">
      <c r="A72" s="196" t="s">
        <v>494</v>
      </c>
      <c r="B72" s="112">
        <v>9.35</v>
      </c>
      <c r="C72" s="112">
        <v>4.05</v>
      </c>
      <c r="D72" s="112">
        <v>14.06</v>
      </c>
      <c r="E72" s="112">
        <v>11.13</v>
      </c>
      <c r="F72" s="112">
        <v>48.27</v>
      </c>
      <c r="G72" s="112">
        <v>24.81</v>
      </c>
      <c r="H72" s="112">
        <v>8.6999999999999993</v>
      </c>
      <c r="I72" s="112">
        <v>4.16</v>
      </c>
      <c r="J72" s="112">
        <v>0.5</v>
      </c>
      <c r="K72" s="112">
        <v>162.04</v>
      </c>
      <c r="L72" s="112">
        <v>36.22</v>
      </c>
      <c r="M72" s="112">
        <v>49.45</v>
      </c>
      <c r="N72" s="112">
        <v>151.19999999999999</v>
      </c>
      <c r="O72" s="112">
        <v>0</v>
      </c>
      <c r="P72" s="112">
        <v>0.36</v>
      </c>
      <c r="Q72" s="112">
        <v>3.88</v>
      </c>
      <c r="R72" s="6"/>
      <c r="S72" s="6"/>
      <c r="T72" s="182"/>
      <c r="U72" s="6"/>
    </row>
    <row r="73" spans="1:21" customFormat="1">
      <c r="A73" s="196" t="s">
        <v>495</v>
      </c>
      <c r="B73" s="112">
        <v>9.35</v>
      </c>
      <c r="C73" s="112">
        <v>4.07</v>
      </c>
      <c r="D73" s="112">
        <v>14.07</v>
      </c>
      <c r="E73" s="112">
        <v>11.57</v>
      </c>
      <c r="F73" s="112">
        <v>35.659999999999997</v>
      </c>
      <c r="G73" s="112">
        <v>24.38</v>
      </c>
      <c r="H73" s="112">
        <v>8.65</v>
      </c>
      <c r="I73" s="112">
        <v>4.12</v>
      </c>
      <c r="J73" s="112">
        <v>0.31</v>
      </c>
      <c r="K73" s="112">
        <v>173.54</v>
      </c>
      <c r="L73" s="112">
        <v>37.200000000000003</v>
      </c>
      <c r="M73" s="112">
        <v>46.44</v>
      </c>
      <c r="N73" s="112">
        <v>231.9</v>
      </c>
      <c r="O73" s="112">
        <v>0</v>
      </c>
      <c r="P73" s="112">
        <v>0.36</v>
      </c>
      <c r="Q73" s="112">
        <v>3.92</v>
      </c>
      <c r="R73" s="6"/>
      <c r="S73" s="6"/>
      <c r="T73" s="182"/>
      <c r="U73" s="6"/>
    </row>
    <row r="74" spans="1:21" customFormat="1">
      <c r="A74" s="196" t="s">
        <v>496</v>
      </c>
      <c r="B74" s="112">
        <v>9.32</v>
      </c>
      <c r="C74" s="112">
        <v>4.13</v>
      </c>
      <c r="D74" s="112">
        <v>14.08</v>
      </c>
      <c r="E74" s="112">
        <v>12</v>
      </c>
      <c r="F74" s="112">
        <v>38.799999999999997</v>
      </c>
      <c r="G74" s="112">
        <v>24.38</v>
      </c>
      <c r="H74" s="112">
        <v>8.65</v>
      </c>
      <c r="I74" s="112">
        <v>3.79</v>
      </c>
      <c r="J74" s="112">
        <v>0.34</v>
      </c>
      <c r="K74" s="112">
        <v>159.79</v>
      </c>
      <c r="L74" s="112">
        <v>37.14</v>
      </c>
      <c r="M74" s="112">
        <v>46.86</v>
      </c>
      <c r="N74" s="112">
        <v>173.9</v>
      </c>
      <c r="O74" s="112">
        <v>0</v>
      </c>
      <c r="P74" s="112">
        <v>0.36</v>
      </c>
      <c r="Q74" s="112">
        <v>3.93</v>
      </c>
      <c r="R74" s="6"/>
      <c r="S74" s="6"/>
      <c r="T74" s="182"/>
      <c r="U74" s="6"/>
    </row>
    <row r="75" spans="1:21" customFormat="1">
      <c r="A75" s="196" t="s">
        <v>497</v>
      </c>
      <c r="B75" s="112">
        <v>9.34</v>
      </c>
      <c r="C75" s="112">
        <v>4.1100000000000003</v>
      </c>
      <c r="D75" s="112">
        <v>14.09</v>
      </c>
      <c r="E75" s="112">
        <v>12.11</v>
      </c>
      <c r="F75" s="112">
        <v>46.46</v>
      </c>
      <c r="G75" s="112">
        <v>24.38</v>
      </c>
      <c r="H75" s="112">
        <v>8.65</v>
      </c>
      <c r="I75" s="112">
        <v>3.94</v>
      </c>
      <c r="J75" s="112">
        <v>0.3</v>
      </c>
      <c r="K75" s="112">
        <v>163.99</v>
      </c>
      <c r="L75" s="112">
        <v>37.42</v>
      </c>
      <c r="M75" s="112">
        <v>46.12</v>
      </c>
      <c r="N75" s="112">
        <v>160.19999999999999</v>
      </c>
      <c r="O75" s="112">
        <v>0</v>
      </c>
      <c r="P75" s="112">
        <v>0.36</v>
      </c>
      <c r="Q75" s="112">
        <v>3.92</v>
      </c>
      <c r="R75" s="6"/>
      <c r="S75" s="6"/>
      <c r="T75" s="182"/>
      <c r="U75" s="6"/>
    </row>
    <row r="76" spans="1:21" customFormat="1">
      <c r="A76" s="196" t="s">
        <v>498</v>
      </c>
      <c r="B76" s="112">
        <v>9.35</v>
      </c>
      <c r="C76" s="112">
        <v>4.09</v>
      </c>
      <c r="D76" s="112">
        <v>14.08</v>
      </c>
      <c r="E76" s="112">
        <v>11.88</v>
      </c>
      <c r="F76" s="112">
        <v>33.770000000000003</v>
      </c>
      <c r="G76" s="112">
        <v>24.23</v>
      </c>
      <c r="H76" s="112">
        <v>8.94</v>
      </c>
      <c r="I76" s="112">
        <v>3.92</v>
      </c>
      <c r="J76" s="112">
        <v>0.23</v>
      </c>
      <c r="K76" s="112">
        <v>158.99</v>
      </c>
      <c r="L76" s="112">
        <v>36.99</v>
      </c>
      <c r="M76" s="112">
        <v>48.67</v>
      </c>
      <c r="N76" s="112">
        <v>109.2</v>
      </c>
      <c r="O76" s="112">
        <v>0</v>
      </c>
      <c r="P76" s="112">
        <v>0.36</v>
      </c>
      <c r="Q76" s="112">
        <v>3.9</v>
      </c>
      <c r="R76" s="6"/>
      <c r="S76" s="6"/>
      <c r="T76" s="182"/>
      <c r="U76" s="6"/>
    </row>
    <row r="77" spans="1:21" customFormat="1">
      <c r="A77" s="196" t="s">
        <v>499</v>
      </c>
      <c r="B77" s="112">
        <v>9.35</v>
      </c>
      <c r="C77" s="112">
        <v>4.0599999999999996</v>
      </c>
      <c r="D77" s="112">
        <v>14.07</v>
      </c>
      <c r="E77" s="112">
        <v>12.35</v>
      </c>
      <c r="F77" s="112">
        <v>42.06</v>
      </c>
      <c r="G77" s="112">
        <v>24.09</v>
      </c>
      <c r="H77" s="112">
        <v>9.07</v>
      </c>
      <c r="I77" s="112">
        <v>3.72</v>
      </c>
      <c r="J77" s="112">
        <v>0.28999999999999998</v>
      </c>
      <c r="K77" s="112">
        <v>182.93</v>
      </c>
      <c r="L77" s="112">
        <v>36.35</v>
      </c>
      <c r="M77" s="112">
        <v>49.52</v>
      </c>
      <c r="N77" s="112">
        <v>97.3</v>
      </c>
      <c r="O77" s="112">
        <v>0</v>
      </c>
      <c r="P77" s="112">
        <v>0.35</v>
      </c>
      <c r="Q77" s="112">
        <v>3.88</v>
      </c>
      <c r="R77" s="6"/>
      <c r="S77" s="6"/>
      <c r="T77" s="182"/>
      <c r="U77" s="6"/>
    </row>
    <row r="78" spans="1:21" customFormat="1">
      <c r="A78" s="196" t="s">
        <v>500</v>
      </c>
      <c r="B78" s="112">
        <v>9.34</v>
      </c>
      <c r="C78" s="112">
        <v>4.07</v>
      </c>
      <c r="D78" s="112">
        <v>14.07</v>
      </c>
      <c r="E78" s="112">
        <v>12.42</v>
      </c>
      <c r="F78" s="112">
        <v>25.41</v>
      </c>
      <c r="G78" s="112">
        <v>24.09</v>
      </c>
      <c r="H78" s="112">
        <v>9.07</v>
      </c>
      <c r="I78" s="112">
        <v>3.97</v>
      </c>
      <c r="J78" s="112">
        <v>0.42</v>
      </c>
      <c r="K78" s="112">
        <v>261.25</v>
      </c>
      <c r="L78" s="112">
        <v>35.46</v>
      </c>
      <c r="M78" s="112">
        <v>50.47</v>
      </c>
      <c r="N78" s="112">
        <v>86.6</v>
      </c>
      <c r="O78" s="112">
        <v>0</v>
      </c>
      <c r="P78" s="112">
        <v>0.38</v>
      </c>
      <c r="Q78" s="112">
        <v>3.9</v>
      </c>
      <c r="R78" s="6"/>
      <c r="S78" s="6"/>
      <c r="T78" s="182"/>
      <c r="U78" s="6"/>
    </row>
    <row r="79" spans="1:21" customFormat="1">
      <c r="A79" s="196" t="s">
        <v>501</v>
      </c>
      <c r="B79" s="112">
        <v>9.34</v>
      </c>
      <c r="C79" s="112">
        <v>4.0599999999999996</v>
      </c>
      <c r="D79" s="112">
        <v>14.06</v>
      </c>
      <c r="E79" s="112">
        <v>13.24</v>
      </c>
      <c r="F79" s="112">
        <v>35.130000000000003</v>
      </c>
      <c r="G79" s="112">
        <v>24.09</v>
      </c>
      <c r="H79" s="112">
        <v>9.07</v>
      </c>
      <c r="I79" s="112">
        <v>3.71</v>
      </c>
      <c r="J79" s="112">
        <v>0.44</v>
      </c>
      <c r="K79" s="112">
        <v>253.1</v>
      </c>
      <c r="L79" s="112">
        <v>35.159999999999997</v>
      </c>
      <c r="M79" s="112">
        <v>50.97</v>
      </c>
      <c r="N79" s="112">
        <v>68.3</v>
      </c>
      <c r="O79" s="112">
        <v>0</v>
      </c>
      <c r="P79" s="112">
        <v>0.39</v>
      </c>
      <c r="Q79" s="112">
        <v>3.89</v>
      </c>
      <c r="R79" s="6"/>
      <c r="S79" s="6"/>
      <c r="T79" s="182"/>
      <c r="U79" s="6"/>
    </row>
    <row r="80" spans="1:21" customFormat="1">
      <c r="A80" s="196" t="s">
        <v>502</v>
      </c>
      <c r="B80" s="112">
        <v>9.33</v>
      </c>
      <c r="C80" s="112">
        <v>4.08</v>
      </c>
      <c r="D80" s="112">
        <v>14.07</v>
      </c>
      <c r="E80" s="112">
        <v>13.65</v>
      </c>
      <c r="F80" s="112">
        <v>51.18</v>
      </c>
      <c r="G80" s="112">
        <v>24.01</v>
      </c>
      <c r="H80" s="112">
        <v>9.25</v>
      </c>
      <c r="I80" s="112">
        <v>4.0999999999999996</v>
      </c>
      <c r="J80" s="112">
        <v>0.4</v>
      </c>
      <c r="K80" s="112">
        <v>263.05</v>
      </c>
      <c r="L80" s="112">
        <v>34.840000000000003</v>
      </c>
      <c r="M80" s="112">
        <v>51.75</v>
      </c>
      <c r="N80" s="112">
        <v>71.3</v>
      </c>
      <c r="O80" s="112">
        <v>0</v>
      </c>
      <c r="P80" s="112">
        <v>0.42</v>
      </c>
      <c r="Q80" s="112">
        <v>3.91</v>
      </c>
      <c r="R80" s="6"/>
      <c r="S80" s="6"/>
      <c r="T80" s="182"/>
      <c r="U80" s="6"/>
    </row>
    <row r="81" spans="1:26" customFormat="1">
      <c r="A81" s="196" t="s">
        <v>503</v>
      </c>
      <c r="B81" s="112">
        <v>9.33</v>
      </c>
      <c r="C81" s="112">
        <v>4.09</v>
      </c>
      <c r="D81" s="112">
        <v>14.07</v>
      </c>
      <c r="E81" s="112">
        <v>9.44</v>
      </c>
      <c r="F81" s="112">
        <v>54.27</v>
      </c>
      <c r="G81" s="112">
        <v>23.93</v>
      </c>
      <c r="H81" s="112">
        <v>9.33</v>
      </c>
      <c r="I81" s="112">
        <v>4.1100000000000003</v>
      </c>
      <c r="J81" s="112">
        <v>0.23</v>
      </c>
      <c r="K81" s="112">
        <v>182.43</v>
      </c>
      <c r="L81" s="112">
        <v>34.85</v>
      </c>
      <c r="M81" s="112">
        <v>53.95</v>
      </c>
      <c r="N81" s="112">
        <v>48.8</v>
      </c>
      <c r="O81" s="112">
        <v>0</v>
      </c>
      <c r="P81" s="112">
        <v>0.44</v>
      </c>
      <c r="Q81" s="112">
        <v>3.89</v>
      </c>
      <c r="R81" s="6"/>
      <c r="S81" s="6"/>
      <c r="T81" s="182"/>
      <c r="U81" s="6"/>
    </row>
    <row r="82" spans="1:26" customFormat="1">
      <c r="A82" s="196" t="s">
        <v>504</v>
      </c>
      <c r="B82" s="112">
        <v>9.31</v>
      </c>
      <c r="C82" s="112">
        <v>4.08</v>
      </c>
      <c r="D82" s="112">
        <v>14.05</v>
      </c>
      <c r="E82" s="112">
        <v>9.91</v>
      </c>
      <c r="F82" s="112">
        <v>50.8</v>
      </c>
      <c r="G82" s="112">
        <v>23.93</v>
      </c>
      <c r="H82" s="112">
        <v>9.33</v>
      </c>
      <c r="I82" s="112">
        <v>4.1500000000000004</v>
      </c>
      <c r="J82" s="112">
        <v>0.27</v>
      </c>
      <c r="K82" s="112">
        <v>168.08</v>
      </c>
      <c r="L82" s="112">
        <v>34.590000000000003</v>
      </c>
      <c r="M82" s="112">
        <v>57.55</v>
      </c>
      <c r="N82" s="112">
        <v>17.7</v>
      </c>
      <c r="O82" s="112">
        <v>0</v>
      </c>
      <c r="P82" s="112">
        <v>0.45</v>
      </c>
      <c r="Q82" s="112">
        <v>3.85</v>
      </c>
      <c r="R82" s="6"/>
      <c r="S82" s="6"/>
      <c r="T82" s="182"/>
      <c r="U82" s="6"/>
    </row>
    <row r="83" spans="1:26" customFormat="1">
      <c r="A83" s="196" t="s">
        <v>505</v>
      </c>
      <c r="B83" s="112">
        <v>9.2899999999999991</v>
      </c>
      <c r="C83" s="112">
        <v>4.08</v>
      </c>
      <c r="D83" s="112">
        <v>14.03</v>
      </c>
      <c r="E83" s="112">
        <v>9.42</v>
      </c>
      <c r="F83" s="112">
        <v>49.84</v>
      </c>
      <c r="G83" s="112">
        <v>23.93</v>
      </c>
      <c r="H83" s="112">
        <v>9.33</v>
      </c>
      <c r="I83" s="112">
        <v>4.26</v>
      </c>
      <c r="J83" s="112">
        <v>0.17</v>
      </c>
      <c r="K83" s="112">
        <v>186.05</v>
      </c>
      <c r="L83" s="112">
        <v>33.58</v>
      </c>
      <c r="M83" s="112">
        <v>60.84</v>
      </c>
      <c r="N83" s="112">
        <v>4.5999999999999996</v>
      </c>
      <c r="O83" s="112">
        <v>0</v>
      </c>
      <c r="P83" s="112">
        <v>0.48</v>
      </c>
      <c r="Q83" s="112">
        <v>3.87</v>
      </c>
      <c r="R83" s="6"/>
      <c r="S83" s="6"/>
      <c r="T83" s="182"/>
      <c r="U83" s="6"/>
    </row>
    <row r="84" spans="1:26" customFormat="1">
      <c r="A84" s="196" t="s">
        <v>506</v>
      </c>
      <c r="B84" s="112">
        <v>9.27</v>
      </c>
      <c r="C84" s="112">
        <v>4.0599999999999996</v>
      </c>
      <c r="D84" s="112">
        <v>14.01</v>
      </c>
      <c r="E84" s="112">
        <v>9.14</v>
      </c>
      <c r="F84" s="112">
        <v>43.18</v>
      </c>
      <c r="G84" s="112">
        <v>25.48</v>
      </c>
      <c r="H84" s="112">
        <v>10.02</v>
      </c>
      <c r="I84" s="112">
        <v>4.4000000000000004</v>
      </c>
      <c r="J84" s="112">
        <v>0.2</v>
      </c>
      <c r="K84" s="112">
        <v>166.27</v>
      </c>
      <c r="L84" s="112">
        <v>33.15</v>
      </c>
      <c r="M84" s="112">
        <v>65.67</v>
      </c>
      <c r="N84" s="112">
        <v>2.2999999999999998</v>
      </c>
      <c r="O84" s="112">
        <v>0</v>
      </c>
      <c r="P84" s="112">
        <v>0.51</v>
      </c>
      <c r="Q84" s="112">
        <v>3.88</v>
      </c>
      <c r="R84" s="6"/>
      <c r="S84" s="6"/>
      <c r="T84" s="182"/>
      <c r="U84" s="6"/>
    </row>
    <row r="85" spans="1:26" customFormat="1">
      <c r="A85" s="196" t="s">
        <v>507</v>
      </c>
      <c r="B85" s="112">
        <v>9.27</v>
      </c>
      <c r="C85" s="112">
        <v>4.08</v>
      </c>
      <c r="D85" s="112">
        <v>14.02</v>
      </c>
      <c r="E85" s="112">
        <v>9.49</v>
      </c>
      <c r="F85" s="112">
        <v>43.74</v>
      </c>
      <c r="G85" s="112">
        <v>26.96</v>
      </c>
      <c r="H85" s="112">
        <v>10.34</v>
      </c>
      <c r="I85" s="112">
        <v>4.93</v>
      </c>
      <c r="J85" s="112">
        <v>0.19</v>
      </c>
      <c r="K85" s="112">
        <v>166.58</v>
      </c>
      <c r="L85" s="112">
        <v>32.68</v>
      </c>
      <c r="M85" s="112">
        <v>67.05</v>
      </c>
      <c r="N85" s="112">
        <v>1.9</v>
      </c>
      <c r="O85" s="112">
        <v>0</v>
      </c>
      <c r="P85" s="112">
        <v>0.51</v>
      </c>
      <c r="Q85" s="112">
        <v>3.89</v>
      </c>
      <c r="R85" s="6"/>
      <c r="S85" s="6"/>
      <c r="T85" s="182"/>
      <c r="U85" s="6"/>
    </row>
    <row r="86" spans="1:26" customFormat="1">
      <c r="A86" s="196" t="s">
        <v>508</v>
      </c>
      <c r="B86" s="112">
        <v>9.27</v>
      </c>
      <c r="C86" s="112">
        <v>4.07</v>
      </c>
      <c r="D86" s="112">
        <v>14.01</v>
      </c>
      <c r="E86" s="112">
        <v>9</v>
      </c>
      <c r="F86" s="112">
        <v>42.38</v>
      </c>
      <c r="G86" s="112">
        <v>26.96</v>
      </c>
      <c r="H86" s="112">
        <v>10.34</v>
      </c>
      <c r="I86" s="112">
        <v>5.39</v>
      </c>
      <c r="J86" s="112">
        <v>0.22</v>
      </c>
      <c r="K86" s="112">
        <v>162.63</v>
      </c>
      <c r="L86" s="112">
        <v>32.74</v>
      </c>
      <c r="M86" s="112">
        <v>65.11</v>
      </c>
      <c r="N86" s="112">
        <v>1.8</v>
      </c>
      <c r="O86" s="112">
        <v>0</v>
      </c>
      <c r="P86" s="112">
        <v>0.47</v>
      </c>
      <c r="Q86" s="112">
        <v>3.87</v>
      </c>
      <c r="R86" s="6"/>
      <c r="S86" s="6"/>
      <c r="T86" s="182"/>
      <c r="U86" s="6"/>
    </row>
    <row r="87" spans="1:26" customFormat="1">
      <c r="A87" s="196" t="s">
        <v>509</v>
      </c>
      <c r="B87" s="112">
        <v>9.2899999999999991</v>
      </c>
      <c r="C87" s="112">
        <v>4.04</v>
      </c>
      <c r="D87" s="112">
        <v>14.01</v>
      </c>
      <c r="E87" s="112">
        <v>7.82</v>
      </c>
      <c r="F87" s="112">
        <v>38.5</v>
      </c>
      <c r="G87" s="112">
        <v>26.96</v>
      </c>
      <c r="H87" s="112">
        <v>10.34</v>
      </c>
      <c r="I87" s="112">
        <v>5.68</v>
      </c>
      <c r="J87" s="112">
        <v>0.19</v>
      </c>
      <c r="K87" s="112">
        <v>171.65</v>
      </c>
      <c r="L87" s="112">
        <v>32.25</v>
      </c>
      <c r="M87" s="112">
        <v>68.290000000000006</v>
      </c>
      <c r="N87" s="112">
        <v>2</v>
      </c>
      <c r="O87" s="112">
        <v>0</v>
      </c>
      <c r="P87" s="112">
        <v>0.5</v>
      </c>
      <c r="Q87" s="112">
        <v>3.87</v>
      </c>
      <c r="R87" s="6"/>
      <c r="S87" s="6"/>
      <c r="T87" s="182"/>
      <c r="U87" s="6"/>
    </row>
    <row r="88" spans="1:26" customFormat="1">
      <c r="A88" s="196" t="s">
        <v>510</v>
      </c>
      <c r="B88" s="112">
        <v>9.3000000000000007</v>
      </c>
      <c r="C88" s="112">
        <v>4.04</v>
      </c>
      <c r="D88" s="112">
        <v>14.02</v>
      </c>
      <c r="E88" s="112">
        <v>8.2200000000000006</v>
      </c>
      <c r="F88" s="112">
        <v>38.909999999999997</v>
      </c>
      <c r="G88" s="112">
        <v>28.48</v>
      </c>
      <c r="H88" s="112">
        <v>11.17</v>
      </c>
      <c r="I88" s="112">
        <v>5.46</v>
      </c>
      <c r="J88" s="112">
        <v>0.19</v>
      </c>
      <c r="K88" s="112">
        <v>172.67</v>
      </c>
      <c r="L88" s="112">
        <v>32.28</v>
      </c>
      <c r="M88" s="112">
        <v>66.77</v>
      </c>
      <c r="N88" s="112">
        <v>1.8</v>
      </c>
      <c r="O88" s="112">
        <v>0</v>
      </c>
      <c r="P88" s="112">
        <v>0.45</v>
      </c>
      <c r="Q88" s="112">
        <v>3.87</v>
      </c>
      <c r="R88" s="6"/>
      <c r="S88" s="6"/>
      <c r="T88" s="182"/>
      <c r="U88" s="6"/>
    </row>
    <row r="89" spans="1:26" customFormat="1">
      <c r="A89" s="196" t="s">
        <v>511</v>
      </c>
      <c r="B89" s="112">
        <v>9.31</v>
      </c>
      <c r="C89" s="112">
        <v>4.05</v>
      </c>
      <c r="D89" s="112">
        <v>14.03</v>
      </c>
      <c r="E89" s="112">
        <v>7.3</v>
      </c>
      <c r="F89" s="112">
        <v>37.08</v>
      </c>
      <c r="G89" s="112">
        <v>29.93</v>
      </c>
      <c r="H89" s="112">
        <v>12.01</v>
      </c>
      <c r="I89" s="112">
        <v>5.77</v>
      </c>
      <c r="J89" s="112">
        <v>0.2</v>
      </c>
      <c r="K89" s="112">
        <v>167.49</v>
      </c>
      <c r="L89" s="112">
        <v>31.93</v>
      </c>
      <c r="M89" s="112">
        <v>68.98</v>
      </c>
      <c r="N89" s="112">
        <v>1.9</v>
      </c>
      <c r="O89" s="112">
        <v>0</v>
      </c>
      <c r="P89" s="112">
        <v>0.41</v>
      </c>
      <c r="Q89" s="112">
        <v>3.89</v>
      </c>
      <c r="R89" s="6"/>
      <c r="S89" s="6"/>
      <c r="T89" s="182"/>
      <c r="U89" s="6"/>
    </row>
    <row r="90" spans="1:26" customFormat="1">
      <c r="A90" s="196" t="s">
        <v>512</v>
      </c>
      <c r="B90" s="112">
        <v>9.34</v>
      </c>
      <c r="C90" s="112">
        <v>4.08</v>
      </c>
      <c r="D90" s="112">
        <v>14.07</v>
      </c>
      <c r="E90" s="112">
        <v>7.49</v>
      </c>
      <c r="F90" s="112">
        <v>34.46</v>
      </c>
      <c r="G90" s="112">
        <v>29.93</v>
      </c>
      <c r="H90" s="112">
        <v>12.01</v>
      </c>
      <c r="I90" s="112">
        <v>5.17</v>
      </c>
      <c r="J90" s="112">
        <v>0.21</v>
      </c>
      <c r="K90" s="112">
        <v>171.98</v>
      </c>
      <c r="L90" s="112">
        <v>31.8</v>
      </c>
      <c r="M90" s="112">
        <v>69.430000000000007</v>
      </c>
      <c r="N90" s="112">
        <v>1.9</v>
      </c>
      <c r="O90" s="112">
        <v>0</v>
      </c>
      <c r="P90" s="112">
        <v>0.4</v>
      </c>
      <c r="Q90" s="112">
        <v>3.91</v>
      </c>
      <c r="R90" s="6"/>
      <c r="S90" s="6"/>
      <c r="T90" s="182"/>
      <c r="U90" s="6"/>
    </row>
    <row r="91" spans="1:26" customFormat="1">
      <c r="A91" s="196" t="s">
        <v>513</v>
      </c>
      <c r="B91" s="112">
        <v>9.36</v>
      </c>
      <c r="C91" s="112">
        <v>4.08</v>
      </c>
      <c r="D91" s="112">
        <v>14.09</v>
      </c>
      <c r="E91" s="112">
        <v>6.38</v>
      </c>
      <c r="F91" s="112">
        <v>33.25</v>
      </c>
      <c r="G91" s="112">
        <v>29.93</v>
      </c>
      <c r="H91" s="112">
        <v>12.01</v>
      </c>
      <c r="I91" s="112">
        <v>5.16</v>
      </c>
      <c r="J91" s="112">
        <v>0.18</v>
      </c>
      <c r="K91" s="112">
        <v>164.34</v>
      </c>
      <c r="L91" s="112">
        <v>31.63</v>
      </c>
      <c r="M91" s="112">
        <v>69.77</v>
      </c>
      <c r="N91" s="112">
        <v>1.7</v>
      </c>
      <c r="O91" s="112">
        <v>0</v>
      </c>
      <c r="P91" s="112">
        <v>0.39</v>
      </c>
      <c r="Q91" s="112">
        <v>3.89</v>
      </c>
      <c r="R91" s="6"/>
      <c r="S91" s="6"/>
      <c r="T91" s="182"/>
      <c r="U91" s="6"/>
    </row>
    <row r="92" spans="1:26" customFormat="1">
      <c r="A92" s="196" t="s">
        <v>514</v>
      </c>
      <c r="B92" s="112">
        <v>9.3699999999999992</v>
      </c>
      <c r="C92" s="112">
        <v>4.0599999999999996</v>
      </c>
      <c r="D92" s="112">
        <v>14.09</v>
      </c>
      <c r="E92" s="112">
        <v>6.19</v>
      </c>
      <c r="F92" s="112">
        <v>31.19</v>
      </c>
      <c r="G92" s="112">
        <v>28.61</v>
      </c>
      <c r="H92" s="112">
        <v>10.53</v>
      </c>
      <c r="I92" s="112">
        <v>4.8899999999999997</v>
      </c>
      <c r="J92" s="112">
        <v>0.15</v>
      </c>
      <c r="K92" s="112">
        <v>172.31</v>
      </c>
      <c r="L92" s="112">
        <v>31.52</v>
      </c>
      <c r="M92" s="112">
        <v>70.290000000000006</v>
      </c>
      <c r="N92" s="112">
        <v>1.8</v>
      </c>
      <c r="O92" s="112">
        <v>0</v>
      </c>
      <c r="P92" s="112">
        <v>0.41</v>
      </c>
      <c r="Q92" s="112">
        <v>3.9</v>
      </c>
      <c r="R92" s="6"/>
      <c r="S92" s="6"/>
      <c r="T92" s="182"/>
      <c r="U92" s="6"/>
    </row>
    <row r="93" spans="1:26" customFormat="1">
      <c r="A93" s="196" t="s">
        <v>515</v>
      </c>
      <c r="B93" s="112">
        <v>9.2899999999999991</v>
      </c>
      <c r="C93" s="112">
        <v>4.09</v>
      </c>
      <c r="D93" s="112">
        <v>14.04</v>
      </c>
      <c r="E93" s="112">
        <v>6.59</v>
      </c>
      <c r="F93" s="112">
        <v>31.52</v>
      </c>
      <c r="G93" s="112">
        <v>27.34</v>
      </c>
      <c r="H93" s="112">
        <v>9.85</v>
      </c>
      <c r="I93" s="112">
        <v>4.7699999999999996</v>
      </c>
      <c r="J93" s="112">
        <v>0.16</v>
      </c>
      <c r="K93" s="112">
        <v>182.78</v>
      </c>
      <c r="L93" s="112">
        <v>31.34</v>
      </c>
      <c r="M93" s="112">
        <v>69.75</v>
      </c>
      <c r="N93" s="112">
        <v>1.7</v>
      </c>
      <c r="O93" s="112">
        <v>0</v>
      </c>
      <c r="P93" s="112">
        <v>0.37</v>
      </c>
      <c r="Q93" s="112">
        <v>3.9</v>
      </c>
      <c r="R93" s="6"/>
      <c r="S93" s="6"/>
      <c r="T93" s="182"/>
      <c r="U93" s="6"/>
    </row>
    <row r="94" spans="1:26" customFormat="1">
      <c r="A94" s="196" t="s">
        <v>516</v>
      </c>
      <c r="B94" s="112">
        <v>9.25</v>
      </c>
      <c r="C94" s="112">
        <v>4.07</v>
      </c>
      <c r="D94" s="112">
        <v>14</v>
      </c>
      <c r="E94" s="112">
        <v>6.24</v>
      </c>
      <c r="F94" s="112">
        <v>31.29</v>
      </c>
      <c r="G94" s="112">
        <v>27.34</v>
      </c>
      <c r="H94" s="112">
        <v>9.85</v>
      </c>
      <c r="I94" s="112">
        <v>4.75</v>
      </c>
      <c r="J94" s="112">
        <v>0.12</v>
      </c>
      <c r="K94" s="112">
        <v>195.04</v>
      </c>
      <c r="L94" s="112">
        <v>31.35</v>
      </c>
      <c r="M94" s="112">
        <v>68.13</v>
      </c>
      <c r="N94" s="112">
        <v>1.8</v>
      </c>
      <c r="O94" s="112">
        <v>0</v>
      </c>
      <c r="P94" s="112">
        <v>0.35</v>
      </c>
      <c r="Q94" s="112">
        <v>3.89</v>
      </c>
      <c r="R94" s="6"/>
      <c r="S94" s="6"/>
      <c r="T94" s="182"/>
      <c r="U94" s="6"/>
    </row>
    <row r="95" spans="1:26" customFormat="1">
      <c r="A95" s="196" t="s">
        <v>517</v>
      </c>
      <c r="B95" s="112">
        <v>9.24</v>
      </c>
      <c r="C95" s="112">
        <v>4.09</v>
      </c>
      <c r="D95" s="112">
        <v>13.99</v>
      </c>
      <c r="E95" s="112">
        <v>6.25</v>
      </c>
      <c r="F95" s="112">
        <v>34.81</v>
      </c>
      <c r="G95" s="112">
        <v>27.34</v>
      </c>
      <c r="H95" s="112">
        <v>9.85</v>
      </c>
      <c r="I95" s="112">
        <v>4.32</v>
      </c>
      <c r="J95" s="112">
        <v>0.18</v>
      </c>
      <c r="K95" s="112">
        <v>224.71</v>
      </c>
      <c r="L95" s="112">
        <v>31.24</v>
      </c>
      <c r="M95" s="112">
        <v>68.34</v>
      </c>
      <c r="N95" s="112">
        <v>1.8</v>
      </c>
      <c r="O95" s="112">
        <v>0</v>
      </c>
      <c r="P95" s="112">
        <v>0.32</v>
      </c>
      <c r="Q95" s="112">
        <v>3.89</v>
      </c>
      <c r="R95" s="6"/>
      <c r="S95" s="6"/>
      <c r="T95" s="182"/>
      <c r="U95" s="6"/>
    </row>
    <row r="96" spans="1:26" customFormat="1">
      <c r="A96" s="196" t="s">
        <v>518</v>
      </c>
      <c r="B96" s="112">
        <v>9.23</v>
      </c>
      <c r="C96" s="112">
        <v>4.09</v>
      </c>
      <c r="D96" s="112">
        <v>13.99</v>
      </c>
      <c r="E96" s="112">
        <v>6.12</v>
      </c>
      <c r="F96" s="112">
        <v>35.840000000000003</v>
      </c>
      <c r="G96" s="112">
        <v>26.66</v>
      </c>
      <c r="H96" s="112">
        <v>9.65</v>
      </c>
      <c r="I96" s="112">
        <v>3.97</v>
      </c>
      <c r="J96" s="112">
        <v>0.14000000000000001</v>
      </c>
      <c r="K96" s="112">
        <v>216.38</v>
      </c>
      <c r="L96" s="112">
        <v>31.29</v>
      </c>
      <c r="M96" s="112">
        <v>67.97</v>
      </c>
      <c r="N96" s="112">
        <v>1.7</v>
      </c>
      <c r="O96" s="112">
        <v>0</v>
      </c>
      <c r="P96" s="112">
        <v>0.31</v>
      </c>
      <c r="Q96" s="112">
        <v>3.91</v>
      </c>
      <c r="R96" s="6"/>
      <c r="S96" s="6"/>
      <c r="T96" s="182"/>
      <c r="U96" s="6"/>
      <c r="Z96" s="190"/>
    </row>
    <row r="97" spans="1:33" customFormat="1">
      <c r="A97" s="196" t="s">
        <v>519</v>
      </c>
      <c r="B97" s="112">
        <v>9.23</v>
      </c>
      <c r="C97" s="112">
        <v>4.05</v>
      </c>
      <c r="D97" s="112">
        <v>13.97</v>
      </c>
      <c r="E97" s="112">
        <v>5.95</v>
      </c>
      <c r="F97" s="112">
        <v>35.35</v>
      </c>
      <c r="G97" s="112">
        <v>26.01</v>
      </c>
      <c r="H97" s="112">
        <v>9.56</v>
      </c>
      <c r="I97" s="112">
        <v>3.58</v>
      </c>
      <c r="J97" s="112">
        <v>0.17</v>
      </c>
      <c r="K97" s="112">
        <v>176.68</v>
      </c>
      <c r="L97" s="112">
        <v>31.28</v>
      </c>
      <c r="M97" s="112">
        <v>68.45</v>
      </c>
      <c r="N97" s="112">
        <v>1.7</v>
      </c>
      <c r="O97" s="112">
        <v>0</v>
      </c>
      <c r="P97" s="112">
        <v>0.3</v>
      </c>
      <c r="Q97" s="112">
        <v>3.9</v>
      </c>
      <c r="R97" s="6"/>
      <c r="S97" s="6"/>
      <c r="T97" s="182"/>
      <c r="U97" s="6"/>
    </row>
    <row r="98" spans="1:33" customFormat="1">
      <c r="A98" s="196" t="s">
        <v>520</v>
      </c>
      <c r="B98" s="112">
        <v>9.2200000000000006</v>
      </c>
      <c r="C98" s="112">
        <v>4.0599999999999996</v>
      </c>
      <c r="D98" s="112">
        <v>13.96</v>
      </c>
      <c r="E98" s="112">
        <v>6.04</v>
      </c>
      <c r="F98" s="112">
        <v>26.49</v>
      </c>
      <c r="G98" s="112">
        <v>26.01</v>
      </c>
      <c r="H98" s="112">
        <v>9.56</v>
      </c>
      <c r="I98" s="112">
        <v>3.53</v>
      </c>
      <c r="J98" s="112">
        <v>0.16</v>
      </c>
      <c r="K98" s="112">
        <v>182.21</v>
      </c>
      <c r="L98" s="112">
        <v>31.04</v>
      </c>
      <c r="M98" s="112">
        <v>70.19</v>
      </c>
      <c r="N98" s="112">
        <v>2.1</v>
      </c>
      <c r="O98" s="112">
        <v>0</v>
      </c>
      <c r="P98" s="112">
        <v>0.31</v>
      </c>
      <c r="Q98" s="112">
        <v>3.92</v>
      </c>
      <c r="R98" s="6"/>
      <c r="S98" s="6"/>
      <c r="T98" s="182"/>
      <c r="U98" s="6"/>
    </row>
    <row r="99" spans="1:33" customFormat="1">
      <c r="A99" s="196" t="s">
        <v>521</v>
      </c>
      <c r="B99" s="112">
        <v>9.2200000000000006</v>
      </c>
      <c r="C99" s="112">
        <v>4.07</v>
      </c>
      <c r="D99" s="112">
        <v>13.97</v>
      </c>
      <c r="E99" s="112">
        <v>7.15</v>
      </c>
      <c r="F99" s="112">
        <v>15.9</v>
      </c>
      <c r="G99" s="112">
        <v>26.01</v>
      </c>
      <c r="H99" s="112">
        <v>9.56</v>
      </c>
      <c r="I99" s="112">
        <v>3.54</v>
      </c>
      <c r="J99" s="112">
        <v>0.15</v>
      </c>
      <c r="K99" s="112">
        <v>172.73</v>
      </c>
      <c r="L99" s="112">
        <v>30.84</v>
      </c>
      <c r="M99" s="112">
        <v>72.02</v>
      </c>
      <c r="N99" s="112">
        <v>1.8</v>
      </c>
      <c r="O99" s="112">
        <v>0</v>
      </c>
      <c r="P99" s="112">
        <v>0.35</v>
      </c>
      <c r="Q99" s="112">
        <v>3.9</v>
      </c>
      <c r="R99" s="6"/>
      <c r="S99" s="6"/>
      <c r="T99" s="182"/>
      <c r="U99" s="6"/>
    </row>
    <row r="100" spans="1:33" customFormat="1">
      <c r="A100" s="196" t="s">
        <v>522</v>
      </c>
      <c r="B100" s="112">
        <v>9.2200000000000006</v>
      </c>
      <c r="C100" s="112">
        <v>4.08</v>
      </c>
      <c r="D100" s="112">
        <v>13.97</v>
      </c>
      <c r="E100" s="112">
        <v>7.27</v>
      </c>
      <c r="F100" s="112">
        <v>18.48</v>
      </c>
      <c r="G100" s="112">
        <v>25.51</v>
      </c>
      <c r="H100" s="112">
        <v>10.17</v>
      </c>
      <c r="I100" s="112">
        <v>3.8</v>
      </c>
      <c r="J100" s="112">
        <v>0.11</v>
      </c>
      <c r="K100" s="112">
        <v>207.03</v>
      </c>
      <c r="L100" s="112">
        <v>30.73</v>
      </c>
      <c r="M100" s="112">
        <v>71.900000000000006</v>
      </c>
      <c r="N100" s="112">
        <v>2</v>
      </c>
      <c r="O100" s="112">
        <v>0</v>
      </c>
      <c r="P100" s="112">
        <v>0.39</v>
      </c>
      <c r="Q100" s="112">
        <v>3.88</v>
      </c>
      <c r="R100" s="6"/>
      <c r="S100" s="6"/>
      <c r="T100" s="182"/>
      <c r="U100" s="6"/>
      <c r="AB100" s="191"/>
      <c r="AG100" s="190"/>
    </row>
    <row r="101" spans="1:33" customFormat="1">
      <c r="A101" s="196" t="s">
        <v>523</v>
      </c>
      <c r="B101" s="112">
        <v>9.2799999999999994</v>
      </c>
      <c r="C101" s="112">
        <v>4.09</v>
      </c>
      <c r="D101" s="112">
        <v>14.03</v>
      </c>
      <c r="E101" s="112">
        <v>7.25</v>
      </c>
      <c r="F101" s="112">
        <v>14.22</v>
      </c>
      <c r="G101" s="112">
        <v>25.03</v>
      </c>
      <c r="H101" s="112">
        <v>10.46</v>
      </c>
      <c r="I101" s="112">
        <v>4.43</v>
      </c>
      <c r="J101" s="112">
        <v>0.13</v>
      </c>
      <c r="K101" s="112">
        <v>251.28</v>
      </c>
      <c r="L101" s="112">
        <v>30.6</v>
      </c>
      <c r="M101" s="112">
        <v>72.58</v>
      </c>
      <c r="N101" s="112">
        <v>1.8</v>
      </c>
      <c r="O101" s="112">
        <v>0</v>
      </c>
      <c r="P101" s="112">
        <v>0.4</v>
      </c>
      <c r="Q101" s="112">
        <v>3.88</v>
      </c>
      <c r="R101" s="6"/>
      <c r="S101" s="6"/>
      <c r="T101" s="182"/>
      <c r="U101" s="6"/>
    </row>
    <row r="102" spans="1:33" customFormat="1">
      <c r="A102" s="196" t="s">
        <v>524</v>
      </c>
      <c r="B102" s="112">
        <v>9.35</v>
      </c>
      <c r="C102" s="112">
        <v>4.04</v>
      </c>
      <c r="D102" s="112">
        <v>14.06</v>
      </c>
      <c r="E102" s="112">
        <v>6.88</v>
      </c>
      <c r="F102" s="112">
        <v>13.07</v>
      </c>
      <c r="G102" s="112">
        <v>25.03</v>
      </c>
      <c r="H102" s="112">
        <v>10.46</v>
      </c>
      <c r="I102" s="112">
        <v>4.29</v>
      </c>
      <c r="J102" s="112">
        <v>0.13</v>
      </c>
      <c r="K102" s="112">
        <v>226.41</v>
      </c>
      <c r="L102" s="112">
        <v>30.58</v>
      </c>
      <c r="M102" s="112">
        <v>73.42</v>
      </c>
      <c r="N102" s="112">
        <v>2</v>
      </c>
      <c r="O102" s="112">
        <v>0</v>
      </c>
      <c r="P102" s="112">
        <v>0.41</v>
      </c>
      <c r="Q102" s="112">
        <v>3.88</v>
      </c>
      <c r="R102" s="6"/>
      <c r="S102" s="6"/>
      <c r="T102" s="182"/>
      <c r="U102" s="6"/>
    </row>
    <row r="103" spans="1:33" customFormat="1">
      <c r="A103" s="196" t="s">
        <v>525</v>
      </c>
      <c r="B103" s="112">
        <v>9.35</v>
      </c>
      <c r="C103" s="112">
        <v>4.07</v>
      </c>
      <c r="D103" s="112">
        <v>14.08</v>
      </c>
      <c r="E103" s="112">
        <v>6.88</v>
      </c>
      <c r="F103" s="112">
        <v>11.55</v>
      </c>
      <c r="G103" s="112">
        <v>25.03</v>
      </c>
      <c r="H103" s="112">
        <v>10.46</v>
      </c>
      <c r="I103" s="112">
        <v>4.45</v>
      </c>
      <c r="J103" s="112">
        <v>0.16</v>
      </c>
      <c r="K103" s="112">
        <v>180.74</v>
      </c>
      <c r="L103" s="112">
        <v>30.53</v>
      </c>
      <c r="M103" s="112">
        <v>76.72</v>
      </c>
      <c r="N103" s="112">
        <v>2.1</v>
      </c>
      <c r="O103" s="112">
        <v>0</v>
      </c>
      <c r="P103" s="112">
        <v>0.41</v>
      </c>
      <c r="Q103" s="112">
        <v>3.89</v>
      </c>
      <c r="R103" s="6"/>
      <c r="S103" s="6"/>
      <c r="T103" s="182"/>
      <c r="U103" s="6"/>
    </row>
    <row r="104" spans="1:33" customFormat="1">
      <c r="A104" s="196" t="s">
        <v>526</v>
      </c>
      <c r="B104" s="112">
        <v>9.34</v>
      </c>
      <c r="C104" s="112">
        <v>4.05</v>
      </c>
      <c r="D104" s="112">
        <v>14.06</v>
      </c>
      <c r="E104" s="112">
        <v>6.91</v>
      </c>
      <c r="F104" s="112">
        <v>13.57</v>
      </c>
      <c r="G104" s="112">
        <v>24.72</v>
      </c>
      <c r="H104" s="112">
        <v>10.75</v>
      </c>
      <c r="I104" s="112">
        <v>4.47</v>
      </c>
      <c r="J104" s="112">
        <v>0.15</v>
      </c>
      <c r="K104" s="112">
        <v>223.11</v>
      </c>
      <c r="L104" s="112">
        <v>30.41</v>
      </c>
      <c r="M104" s="112">
        <v>74.930000000000007</v>
      </c>
      <c r="N104" s="112">
        <v>2.1</v>
      </c>
      <c r="O104" s="112">
        <v>0</v>
      </c>
      <c r="P104" s="112">
        <v>0.4</v>
      </c>
      <c r="Q104" s="112">
        <v>3.9</v>
      </c>
      <c r="R104" s="6"/>
      <c r="S104" s="6"/>
      <c r="T104" s="182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3" t="s">
        <v>48</v>
      </c>
      <c r="B106" s="184">
        <f>MIN(B9:B104)</f>
        <v>9.2200000000000006</v>
      </c>
      <c r="C106" s="184">
        <f>MIN(C9:C104)</f>
        <v>4.04</v>
      </c>
      <c r="D106" s="184">
        <f t="shared" ref="D106:Q106" si="0">MIN(D9:D104)</f>
        <v>13.96</v>
      </c>
      <c r="E106" s="184">
        <f t="shared" si="0"/>
        <v>5.95</v>
      </c>
      <c r="F106" s="184">
        <f t="shared" si="0"/>
        <v>5.52</v>
      </c>
      <c r="G106" s="184">
        <f t="shared" si="0"/>
        <v>11.83</v>
      </c>
      <c r="H106" s="184">
        <f t="shared" si="0"/>
        <v>4.33</v>
      </c>
      <c r="I106" s="184">
        <f t="shared" si="0"/>
        <v>2.78</v>
      </c>
      <c r="J106" s="184">
        <f t="shared" si="0"/>
        <v>7.0000000000000007E-2</v>
      </c>
      <c r="K106" s="184">
        <f t="shared" si="0"/>
        <v>11.79</v>
      </c>
      <c r="L106" s="184">
        <f t="shared" si="0"/>
        <v>27.24</v>
      </c>
      <c r="M106" s="184">
        <f t="shared" si="0"/>
        <v>41.99</v>
      </c>
      <c r="N106" s="184">
        <f t="shared" si="0"/>
        <v>1.7</v>
      </c>
      <c r="O106" s="184">
        <f t="shared" si="0"/>
        <v>0</v>
      </c>
      <c r="P106" s="184">
        <f t="shared" si="0"/>
        <v>0.25</v>
      </c>
      <c r="Q106" s="184">
        <f t="shared" si="0"/>
        <v>3.85</v>
      </c>
      <c r="R106" s="188"/>
      <c r="S106" s="188"/>
      <c r="T106" s="188"/>
      <c r="U106" s="188"/>
    </row>
    <row r="107" spans="1:33">
      <c r="A107" s="183" t="s">
        <v>49</v>
      </c>
      <c r="B107" s="185">
        <f>MAX(B9:B104)</f>
        <v>9.3699999999999992</v>
      </c>
      <c r="C107" s="185">
        <f t="shared" ref="C107:Q107" si="1">MAX(C9:C104)</f>
        <v>4.13</v>
      </c>
      <c r="D107" s="185">
        <f t="shared" si="1"/>
        <v>14.09</v>
      </c>
      <c r="E107" s="185">
        <f t="shared" si="1"/>
        <v>13.65</v>
      </c>
      <c r="F107" s="185">
        <f t="shared" si="1"/>
        <v>54.27</v>
      </c>
      <c r="G107" s="185">
        <f t="shared" si="1"/>
        <v>29.93</v>
      </c>
      <c r="H107" s="185">
        <f t="shared" si="1"/>
        <v>12.01</v>
      </c>
      <c r="I107" s="185">
        <f t="shared" si="1"/>
        <v>5.77</v>
      </c>
      <c r="J107" s="185">
        <f t="shared" si="1"/>
        <v>1.38</v>
      </c>
      <c r="K107" s="185">
        <f t="shared" si="1"/>
        <v>338.26</v>
      </c>
      <c r="L107" s="185">
        <f t="shared" si="1"/>
        <v>38.97</v>
      </c>
      <c r="M107" s="185">
        <f t="shared" si="1"/>
        <v>93.11</v>
      </c>
      <c r="N107" s="185">
        <f t="shared" si="1"/>
        <v>848.2</v>
      </c>
      <c r="O107" s="185">
        <f t="shared" si="1"/>
        <v>0</v>
      </c>
      <c r="P107" s="185">
        <f t="shared" si="1"/>
        <v>0.51</v>
      </c>
      <c r="Q107" s="185">
        <f t="shared" si="1"/>
        <v>3.95</v>
      </c>
      <c r="R107" s="189"/>
      <c r="S107" s="189"/>
      <c r="T107" s="189"/>
      <c r="U107" s="189"/>
    </row>
    <row r="108" spans="1:33">
      <c r="A108" s="183" t="s">
        <v>50</v>
      </c>
      <c r="B108" s="184">
        <f>AVERAGE(B9:B104)</f>
        <v>9.2961458333333375</v>
      </c>
      <c r="C108" s="184">
        <f t="shared" ref="C108:Q108" si="2">AVERAGE(C9:C104)</f>
        <v>4.075104166666665</v>
      </c>
      <c r="D108" s="184">
        <f t="shared" si="2"/>
        <v>14.034062499999992</v>
      </c>
      <c r="E108" s="184">
        <f t="shared" si="2"/>
        <v>9.2408333333333328</v>
      </c>
      <c r="F108" s="184">
        <f t="shared" si="2"/>
        <v>21.526250000000005</v>
      </c>
      <c r="G108" s="184">
        <f t="shared" si="2"/>
        <v>19.784791666666667</v>
      </c>
      <c r="H108" s="184">
        <f t="shared" si="2"/>
        <v>7.623645833333331</v>
      </c>
      <c r="I108" s="184">
        <f t="shared" si="2"/>
        <v>4.0343750000000007</v>
      </c>
      <c r="J108" s="184">
        <f t="shared" si="2"/>
        <v>0.2845833333333333</v>
      </c>
      <c r="K108" s="184">
        <f t="shared" si="2"/>
        <v>210.29781250000011</v>
      </c>
      <c r="L108" s="184">
        <f t="shared" si="2"/>
        <v>31.888749999999998</v>
      </c>
      <c r="M108" s="184">
        <f t="shared" si="2"/>
        <v>69.169895833333342</v>
      </c>
      <c r="N108" s="184">
        <f t="shared" si="2"/>
        <v>145.76875000000001</v>
      </c>
      <c r="O108" s="184">
        <f t="shared" si="2"/>
        <v>0</v>
      </c>
      <c r="P108" s="184">
        <f t="shared" si="2"/>
        <v>0.36052083333333318</v>
      </c>
      <c r="Q108" s="184">
        <f t="shared" si="2"/>
        <v>3.8940624999999973</v>
      </c>
      <c r="R108" s="188"/>
      <c r="S108" s="188"/>
      <c r="T108" s="188"/>
      <c r="U108" s="188"/>
    </row>
    <row r="109" spans="1:33">
      <c r="A109" s="183" t="s">
        <v>51</v>
      </c>
      <c r="B109" s="184">
        <f>STDEV(B9:B104)</f>
        <v>3.9292956156399939E-2</v>
      </c>
      <c r="C109" s="184">
        <f t="shared" ref="C109:Q109" si="3">STDEV(C9:C104)</f>
        <v>1.858096318769446E-2</v>
      </c>
      <c r="D109" s="184">
        <f t="shared" si="3"/>
        <v>3.2300501055263157E-2</v>
      </c>
      <c r="E109" s="184">
        <f t="shared" si="3"/>
        <v>1.7613121105803986</v>
      </c>
      <c r="F109" s="184">
        <f t="shared" si="3"/>
        <v>12.8595365595466</v>
      </c>
      <c r="G109" s="184">
        <f t="shared" si="3"/>
        <v>5.565207326570965</v>
      </c>
      <c r="H109" s="184">
        <f t="shared" si="3"/>
        <v>2.079333455849278</v>
      </c>
      <c r="I109" s="184">
        <f t="shared" si="3"/>
        <v>0.53955110484257374</v>
      </c>
      <c r="J109" s="184">
        <f t="shared" si="3"/>
        <v>0.23700729132318044</v>
      </c>
      <c r="K109" s="184">
        <f t="shared" si="3"/>
        <v>54.331123099653396</v>
      </c>
      <c r="L109" s="184">
        <f t="shared" si="3"/>
        <v>3.6039803288206893</v>
      </c>
      <c r="M109" s="184">
        <f t="shared" si="3"/>
        <v>16.721545288373925</v>
      </c>
      <c r="N109" s="184">
        <f t="shared" si="3"/>
        <v>225.30440428918669</v>
      </c>
      <c r="O109" s="184">
        <f t="shared" si="3"/>
        <v>0</v>
      </c>
      <c r="P109" s="184">
        <f t="shared" si="3"/>
        <v>5.5028601016423297E-2</v>
      </c>
      <c r="Q109" s="184">
        <f t="shared" si="3"/>
        <v>1.9389531901735584E-2</v>
      </c>
      <c r="R109" s="188"/>
      <c r="S109" s="188"/>
      <c r="T109" s="188"/>
      <c r="U109" s="188"/>
    </row>
    <row r="110" spans="1:33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33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A7" sqref="A7:Q112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45469.010416666664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45469.010416666664</v>
      </c>
      <c r="B9" s="112">
        <v>9.32</v>
      </c>
      <c r="C9" s="112">
        <v>4.04</v>
      </c>
      <c r="D9" s="112">
        <v>14.03</v>
      </c>
      <c r="E9" s="112">
        <v>7.02</v>
      </c>
      <c r="F9" s="112">
        <v>12.61</v>
      </c>
      <c r="G9" s="112">
        <v>24.42</v>
      </c>
      <c r="H9" s="112">
        <v>10.88</v>
      </c>
      <c r="I9" s="112">
        <v>4.55</v>
      </c>
      <c r="J9" s="112">
        <v>0.24</v>
      </c>
      <c r="K9" s="112">
        <v>226.73</v>
      </c>
      <c r="L9" s="112">
        <v>30.44</v>
      </c>
      <c r="M9" s="112">
        <v>73.94</v>
      </c>
      <c r="N9" s="112">
        <v>1.9</v>
      </c>
      <c r="O9" s="112">
        <v>0</v>
      </c>
      <c r="P9" s="112">
        <v>0.39</v>
      </c>
      <c r="Q9" s="112">
        <v>3.89</v>
      </c>
    </row>
    <row r="10" spans="1:21" customFormat="1">
      <c r="A10" s="80">
        <v>45469.020833333336</v>
      </c>
      <c r="B10" s="112">
        <v>9.2799999999999994</v>
      </c>
      <c r="C10" s="112">
        <v>4.08</v>
      </c>
      <c r="D10" s="112">
        <v>14.03</v>
      </c>
      <c r="E10" s="112">
        <v>7.05</v>
      </c>
      <c r="F10" s="112">
        <v>12.44</v>
      </c>
      <c r="G10" s="112">
        <v>24.42</v>
      </c>
      <c r="H10" s="112">
        <v>10.88</v>
      </c>
      <c r="I10" s="112">
        <v>4.3099999999999996</v>
      </c>
      <c r="J10" s="112">
        <v>0.17</v>
      </c>
      <c r="K10" s="112">
        <v>214.12</v>
      </c>
      <c r="L10" s="112">
        <v>30.19</v>
      </c>
      <c r="M10" s="112">
        <v>74.84</v>
      </c>
      <c r="N10" s="112">
        <v>2</v>
      </c>
      <c r="O10" s="112">
        <v>0</v>
      </c>
      <c r="P10" s="112">
        <v>0.38</v>
      </c>
      <c r="Q10" s="112">
        <v>3.9</v>
      </c>
    </row>
    <row r="11" spans="1:21" customFormat="1">
      <c r="A11" s="80">
        <v>45469.03125</v>
      </c>
      <c r="B11" s="112">
        <v>9.27</v>
      </c>
      <c r="C11" s="112">
        <v>4.08</v>
      </c>
      <c r="D11" s="112">
        <v>14.01</v>
      </c>
      <c r="E11" s="112">
        <v>7.38</v>
      </c>
      <c r="F11" s="112">
        <v>10.67</v>
      </c>
      <c r="G11" s="112">
        <v>24.42</v>
      </c>
      <c r="H11" s="112">
        <v>10.88</v>
      </c>
      <c r="I11" s="112">
        <v>4.37</v>
      </c>
      <c r="J11" s="112">
        <v>0.21</v>
      </c>
      <c r="K11" s="112">
        <v>231.55</v>
      </c>
      <c r="L11" s="112">
        <v>30.11</v>
      </c>
      <c r="M11" s="112">
        <v>75.790000000000006</v>
      </c>
      <c r="N11" s="112">
        <v>1.9</v>
      </c>
      <c r="O11" s="112">
        <v>0</v>
      </c>
      <c r="P11" s="112">
        <v>0.38</v>
      </c>
      <c r="Q11" s="112">
        <v>3.89</v>
      </c>
    </row>
    <row r="12" spans="1:21" customFormat="1">
      <c r="A12" s="80">
        <v>45469.041666666664</v>
      </c>
      <c r="B12" s="112">
        <v>9.27</v>
      </c>
      <c r="C12" s="112">
        <v>4.09</v>
      </c>
      <c r="D12" s="112">
        <v>14.02</v>
      </c>
      <c r="E12" s="112">
        <v>7.44</v>
      </c>
      <c r="F12" s="112">
        <v>10.89</v>
      </c>
      <c r="G12" s="112">
        <v>23.1</v>
      </c>
      <c r="H12" s="112">
        <v>9.35</v>
      </c>
      <c r="I12" s="112">
        <v>4.2699999999999996</v>
      </c>
      <c r="J12" s="112">
        <v>0.21</v>
      </c>
      <c r="K12" s="112">
        <v>200.8</v>
      </c>
      <c r="L12" s="112">
        <v>29.96</v>
      </c>
      <c r="M12" s="112">
        <v>76.400000000000006</v>
      </c>
      <c r="N12" s="112">
        <v>2</v>
      </c>
      <c r="O12" s="112">
        <v>0</v>
      </c>
      <c r="P12" s="112">
        <v>0.38</v>
      </c>
      <c r="Q12" s="112">
        <v>3.89</v>
      </c>
    </row>
    <row r="13" spans="1:21" customFormat="1">
      <c r="A13" s="80">
        <v>45469.052083333336</v>
      </c>
      <c r="B13" s="112">
        <v>9.2799999999999994</v>
      </c>
      <c r="C13" s="112">
        <v>4.08</v>
      </c>
      <c r="D13" s="112">
        <v>14.02</v>
      </c>
      <c r="E13" s="112">
        <v>6.72</v>
      </c>
      <c r="F13" s="112">
        <v>10.14</v>
      </c>
      <c r="G13" s="112">
        <v>21.83</v>
      </c>
      <c r="H13" s="112">
        <v>8.64</v>
      </c>
      <c r="I13" s="112">
        <v>4.3499999999999996</v>
      </c>
      <c r="J13" s="112">
        <v>0.16</v>
      </c>
      <c r="K13" s="112">
        <v>200.07</v>
      </c>
      <c r="L13" s="112">
        <v>29.97</v>
      </c>
      <c r="M13" s="112">
        <v>76.25</v>
      </c>
      <c r="N13" s="112">
        <v>1.9</v>
      </c>
      <c r="O13" s="112">
        <v>0</v>
      </c>
      <c r="P13" s="112">
        <v>0.37</v>
      </c>
      <c r="Q13" s="112">
        <v>3.9</v>
      </c>
    </row>
    <row r="14" spans="1:21" customFormat="1">
      <c r="A14" s="80">
        <v>45469.0625</v>
      </c>
      <c r="B14" s="112">
        <v>9.3000000000000007</v>
      </c>
      <c r="C14" s="112">
        <v>4.0599999999999996</v>
      </c>
      <c r="D14" s="112">
        <v>14.03</v>
      </c>
      <c r="E14" s="112">
        <v>7.46</v>
      </c>
      <c r="F14" s="112">
        <v>10.75</v>
      </c>
      <c r="G14" s="112">
        <v>21.83</v>
      </c>
      <c r="H14" s="112">
        <v>8.64</v>
      </c>
      <c r="I14" s="112">
        <v>4.22</v>
      </c>
      <c r="J14" s="112">
        <v>0.11</v>
      </c>
      <c r="K14" s="112">
        <v>222.25</v>
      </c>
      <c r="L14" s="112">
        <v>29.7</v>
      </c>
      <c r="M14" s="112">
        <v>77.02</v>
      </c>
      <c r="N14" s="112">
        <v>2</v>
      </c>
      <c r="O14" s="112">
        <v>0</v>
      </c>
      <c r="P14" s="112">
        <v>0.37</v>
      </c>
      <c r="Q14" s="112">
        <v>3.91</v>
      </c>
    </row>
    <row r="15" spans="1:21" customFormat="1">
      <c r="A15" s="80">
        <v>45469.072916666664</v>
      </c>
      <c r="B15" s="112">
        <v>9.31</v>
      </c>
      <c r="C15" s="112">
        <v>4.08</v>
      </c>
      <c r="D15" s="112">
        <v>14.04</v>
      </c>
      <c r="E15" s="112">
        <v>7.64</v>
      </c>
      <c r="F15" s="112">
        <v>9.08</v>
      </c>
      <c r="G15" s="112">
        <v>21.83</v>
      </c>
      <c r="H15" s="112">
        <v>8.64</v>
      </c>
      <c r="I15" s="112">
        <v>4.25</v>
      </c>
      <c r="J15" s="112">
        <v>0.14000000000000001</v>
      </c>
      <c r="K15" s="112">
        <v>170.57</v>
      </c>
      <c r="L15" s="112">
        <v>29.76</v>
      </c>
      <c r="M15" s="112">
        <v>77.34</v>
      </c>
      <c r="N15" s="112">
        <v>1.9</v>
      </c>
      <c r="O15" s="112">
        <v>0</v>
      </c>
      <c r="P15" s="112">
        <v>0.37</v>
      </c>
      <c r="Q15" s="112">
        <v>3.91</v>
      </c>
    </row>
    <row r="16" spans="1:21" customFormat="1">
      <c r="A16" s="80">
        <v>45469.083333333336</v>
      </c>
      <c r="B16" s="112">
        <v>9.2899999999999991</v>
      </c>
      <c r="C16" s="112">
        <v>4.07</v>
      </c>
      <c r="D16" s="112">
        <v>14.03</v>
      </c>
      <c r="E16" s="112">
        <v>7.24</v>
      </c>
      <c r="F16" s="112">
        <v>10.25</v>
      </c>
      <c r="G16" s="112">
        <v>22.65</v>
      </c>
      <c r="H16" s="112">
        <v>8.6199999999999992</v>
      </c>
      <c r="I16" s="112">
        <v>4.16</v>
      </c>
      <c r="J16" s="112">
        <v>0.09</v>
      </c>
      <c r="K16" s="112">
        <v>188.24</v>
      </c>
      <c r="L16" s="112">
        <v>29.53</v>
      </c>
      <c r="M16" s="112">
        <v>78.09</v>
      </c>
      <c r="N16" s="112">
        <v>2</v>
      </c>
      <c r="O16" s="112">
        <v>0</v>
      </c>
      <c r="P16" s="112">
        <v>0.36</v>
      </c>
      <c r="Q16" s="112">
        <v>3.91</v>
      </c>
    </row>
    <row r="17" spans="1:17" customFormat="1">
      <c r="A17" s="80">
        <v>45469.09375</v>
      </c>
      <c r="B17" s="112">
        <v>9.27</v>
      </c>
      <c r="C17" s="112">
        <v>4.08</v>
      </c>
      <c r="D17" s="112">
        <v>14.02</v>
      </c>
      <c r="E17" s="112">
        <v>6.67</v>
      </c>
      <c r="F17" s="112">
        <v>8.82</v>
      </c>
      <c r="G17" s="112">
        <v>23.43</v>
      </c>
      <c r="H17" s="112">
        <v>8.6</v>
      </c>
      <c r="I17" s="112">
        <v>4.1900000000000004</v>
      </c>
      <c r="J17" s="112">
        <v>0.12</v>
      </c>
      <c r="K17" s="112">
        <v>193.93</v>
      </c>
      <c r="L17" s="112">
        <v>29.47</v>
      </c>
      <c r="M17" s="112">
        <v>78.290000000000006</v>
      </c>
      <c r="N17" s="112">
        <v>1.9</v>
      </c>
      <c r="O17" s="112">
        <v>0</v>
      </c>
      <c r="P17" s="112">
        <v>0.36</v>
      </c>
      <c r="Q17" s="112">
        <v>3.89</v>
      </c>
    </row>
    <row r="18" spans="1:17" customFormat="1">
      <c r="A18" s="80">
        <v>45469.104166666664</v>
      </c>
      <c r="B18" s="112">
        <v>9.2899999999999991</v>
      </c>
      <c r="C18" s="112">
        <v>4.05</v>
      </c>
      <c r="D18" s="112">
        <v>14.02</v>
      </c>
      <c r="E18" s="112">
        <v>7.24</v>
      </c>
      <c r="F18" s="112">
        <v>8.73</v>
      </c>
      <c r="G18" s="112">
        <v>23.43</v>
      </c>
      <c r="H18" s="112">
        <v>8.6</v>
      </c>
      <c r="I18" s="112">
        <v>3.91</v>
      </c>
      <c r="J18" s="112">
        <v>0.09</v>
      </c>
      <c r="K18" s="112">
        <v>180.31</v>
      </c>
      <c r="L18" s="112">
        <v>29.34</v>
      </c>
      <c r="M18" s="112">
        <v>79.22</v>
      </c>
      <c r="N18" s="112">
        <v>2</v>
      </c>
      <c r="O18" s="112">
        <v>0</v>
      </c>
      <c r="P18" s="112">
        <v>0.35</v>
      </c>
      <c r="Q18" s="112">
        <v>3.91</v>
      </c>
    </row>
    <row r="19" spans="1:17" customFormat="1">
      <c r="A19" s="80">
        <v>45469.114583333336</v>
      </c>
      <c r="B19" s="112">
        <v>9.2799999999999994</v>
      </c>
      <c r="C19" s="112">
        <v>4.03</v>
      </c>
      <c r="D19" s="112">
        <v>14</v>
      </c>
      <c r="E19" s="112">
        <v>7.42</v>
      </c>
      <c r="F19" s="112">
        <v>8.74</v>
      </c>
      <c r="G19" s="112">
        <v>23.43</v>
      </c>
      <c r="H19" s="112">
        <v>8.6</v>
      </c>
      <c r="I19" s="112">
        <v>4.03</v>
      </c>
      <c r="J19" s="112">
        <v>0.1</v>
      </c>
      <c r="K19" s="112">
        <v>201.65</v>
      </c>
      <c r="L19" s="112">
        <v>29.16</v>
      </c>
      <c r="M19" s="112">
        <v>79.87</v>
      </c>
      <c r="N19" s="112">
        <v>1.8</v>
      </c>
      <c r="O19" s="112">
        <v>0</v>
      </c>
      <c r="P19" s="112">
        <v>0.34</v>
      </c>
      <c r="Q19" s="112">
        <v>3.91</v>
      </c>
    </row>
    <row r="20" spans="1:17" customFormat="1">
      <c r="A20" s="80">
        <v>45469.125</v>
      </c>
      <c r="B20" s="112">
        <v>9.2799999999999994</v>
      </c>
      <c r="C20" s="112">
        <v>4.04</v>
      </c>
      <c r="D20" s="112">
        <v>14</v>
      </c>
      <c r="E20" s="112">
        <v>7.4</v>
      </c>
      <c r="F20" s="112">
        <v>8.6999999999999993</v>
      </c>
      <c r="G20" s="112">
        <v>20.02</v>
      </c>
      <c r="H20" s="112">
        <v>6.88</v>
      </c>
      <c r="I20" s="112">
        <v>3.86</v>
      </c>
      <c r="J20" s="112">
        <v>0.14000000000000001</v>
      </c>
      <c r="K20" s="112">
        <v>174.96</v>
      </c>
      <c r="L20" s="112">
        <v>29.02</v>
      </c>
      <c r="M20" s="112">
        <v>81.16</v>
      </c>
      <c r="N20" s="112">
        <v>1.9</v>
      </c>
      <c r="O20" s="112">
        <v>0</v>
      </c>
      <c r="P20" s="112">
        <v>0.34</v>
      </c>
      <c r="Q20" s="112">
        <v>3.91</v>
      </c>
    </row>
    <row r="21" spans="1:17" customFormat="1">
      <c r="A21" s="80">
        <v>45469.135416666664</v>
      </c>
      <c r="B21" s="112">
        <v>9.2899999999999991</v>
      </c>
      <c r="C21" s="112">
        <v>4.0599999999999996</v>
      </c>
      <c r="D21" s="112">
        <v>14.02</v>
      </c>
      <c r="E21" s="112">
        <v>8.25</v>
      </c>
      <c r="F21" s="112">
        <v>6.96</v>
      </c>
      <c r="G21" s="112">
        <v>16.77</v>
      </c>
      <c r="H21" s="112">
        <v>6.04</v>
      </c>
      <c r="I21" s="112">
        <v>3.76</v>
      </c>
      <c r="J21" s="112">
        <v>0.16</v>
      </c>
      <c r="K21" s="112">
        <v>174.14</v>
      </c>
      <c r="L21" s="112">
        <v>28.9</v>
      </c>
      <c r="M21" s="112">
        <v>81.45</v>
      </c>
      <c r="N21" s="112">
        <v>1.9</v>
      </c>
      <c r="O21" s="112">
        <v>0</v>
      </c>
      <c r="P21" s="112">
        <v>0.34</v>
      </c>
      <c r="Q21" s="112">
        <v>3.89</v>
      </c>
    </row>
    <row r="22" spans="1:17" customFormat="1">
      <c r="A22" s="80">
        <v>45469.145833333336</v>
      </c>
      <c r="B22" s="112">
        <v>9.26</v>
      </c>
      <c r="C22" s="112">
        <v>4.08</v>
      </c>
      <c r="D22" s="112">
        <v>14.01</v>
      </c>
      <c r="E22" s="112">
        <v>7.65</v>
      </c>
      <c r="F22" s="112">
        <v>7.34</v>
      </c>
      <c r="G22" s="112">
        <v>16.77</v>
      </c>
      <c r="H22" s="112">
        <v>6.04</v>
      </c>
      <c r="I22" s="112">
        <v>3.78</v>
      </c>
      <c r="J22" s="112">
        <v>0.09</v>
      </c>
      <c r="K22" s="112">
        <v>208.2</v>
      </c>
      <c r="L22" s="112">
        <v>28.53</v>
      </c>
      <c r="M22" s="112">
        <v>84.83</v>
      </c>
      <c r="N22" s="112">
        <v>2</v>
      </c>
      <c r="O22" s="112">
        <v>0</v>
      </c>
      <c r="P22" s="112">
        <v>0.33</v>
      </c>
      <c r="Q22" s="112">
        <v>3.88</v>
      </c>
    </row>
    <row r="23" spans="1:17" customFormat="1">
      <c r="A23" s="80">
        <v>45469.15625</v>
      </c>
      <c r="B23" s="112">
        <v>9.27</v>
      </c>
      <c r="C23" s="112">
        <v>4.07</v>
      </c>
      <c r="D23" s="112">
        <v>14.01</v>
      </c>
      <c r="E23" s="112">
        <v>6.7</v>
      </c>
      <c r="F23" s="112">
        <v>10.56</v>
      </c>
      <c r="G23" s="112">
        <v>16.77</v>
      </c>
      <c r="H23" s="112">
        <v>6.04</v>
      </c>
      <c r="I23" s="112">
        <v>3.97</v>
      </c>
      <c r="J23" s="112">
        <v>0.14000000000000001</v>
      </c>
      <c r="K23" s="112">
        <v>187.27</v>
      </c>
      <c r="L23" s="112">
        <v>28.53</v>
      </c>
      <c r="M23" s="112">
        <v>84.21</v>
      </c>
      <c r="N23" s="112">
        <v>1.7</v>
      </c>
      <c r="O23" s="112">
        <v>0</v>
      </c>
      <c r="P23" s="112">
        <v>0.32</v>
      </c>
      <c r="Q23" s="112">
        <v>3.88</v>
      </c>
    </row>
    <row r="24" spans="1:17" customFormat="1">
      <c r="A24" s="80">
        <v>45469.166666666664</v>
      </c>
      <c r="B24" s="112">
        <v>9.3000000000000007</v>
      </c>
      <c r="C24" s="112">
        <v>4.08</v>
      </c>
      <c r="D24" s="112">
        <v>14.03</v>
      </c>
      <c r="E24" s="112">
        <v>6.16</v>
      </c>
      <c r="F24" s="112">
        <v>13.03</v>
      </c>
      <c r="G24" s="112">
        <v>15.75</v>
      </c>
      <c r="H24" s="112">
        <v>4.99</v>
      </c>
      <c r="I24" s="112">
        <v>3.48</v>
      </c>
      <c r="J24" s="112">
        <v>0.16</v>
      </c>
      <c r="K24" s="112">
        <v>172.9</v>
      </c>
      <c r="L24" s="112">
        <v>28.51</v>
      </c>
      <c r="M24" s="112">
        <v>84.03</v>
      </c>
      <c r="N24" s="112">
        <v>1.7</v>
      </c>
      <c r="O24" s="112">
        <v>0</v>
      </c>
      <c r="P24" s="112">
        <v>0.28999999999999998</v>
      </c>
      <c r="Q24" s="112">
        <v>3.89</v>
      </c>
    </row>
    <row r="25" spans="1:17" customFormat="1">
      <c r="A25" s="80">
        <v>45469.177083333336</v>
      </c>
      <c r="B25" s="112">
        <v>9.2899999999999991</v>
      </c>
      <c r="C25" s="112">
        <v>4.0599999999999996</v>
      </c>
      <c r="D25" s="112">
        <v>14.02</v>
      </c>
      <c r="E25" s="112">
        <v>5.9</v>
      </c>
      <c r="F25" s="112">
        <v>12.36</v>
      </c>
      <c r="G25" s="112">
        <v>14.78</v>
      </c>
      <c r="H25" s="112">
        <v>4.49</v>
      </c>
      <c r="I25" s="112">
        <v>3.28</v>
      </c>
      <c r="J25" s="112">
        <v>0.16</v>
      </c>
      <c r="K25" s="112">
        <v>182.45</v>
      </c>
      <c r="L25" s="112">
        <v>28.5</v>
      </c>
      <c r="M25" s="112">
        <v>84.47</v>
      </c>
      <c r="N25" s="112">
        <v>1.8</v>
      </c>
      <c r="O25" s="112">
        <v>0</v>
      </c>
      <c r="P25" s="112">
        <v>0.28000000000000003</v>
      </c>
      <c r="Q25" s="112">
        <v>3.87</v>
      </c>
    </row>
    <row r="26" spans="1:17" customFormat="1">
      <c r="A26" s="80">
        <v>45469.1875</v>
      </c>
      <c r="B26" s="112">
        <v>9.27</v>
      </c>
      <c r="C26" s="112">
        <v>4.0599999999999996</v>
      </c>
      <c r="D26" s="112">
        <v>14.01</v>
      </c>
      <c r="E26" s="112">
        <v>5.46</v>
      </c>
      <c r="F26" s="112">
        <v>13.1</v>
      </c>
      <c r="G26" s="112">
        <v>14.78</v>
      </c>
      <c r="H26" s="112">
        <v>4.49</v>
      </c>
      <c r="I26" s="112">
        <v>3.04</v>
      </c>
      <c r="J26" s="112">
        <v>0.17</v>
      </c>
      <c r="K26" s="112">
        <v>188.04</v>
      </c>
      <c r="L26" s="112">
        <v>28.29</v>
      </c>
      <c r="M26" s="112">
        <v>85.24</v>
      </c>
      <c r="N26" s="112">
        <v>1.8</v>
      </c>
      <c r="O26" s="112">
        <v>0</v>
      </c>
      <c r="P26" s="112">
        <v>0.27</v>
      </c>
      <c r="Q26" s="112">
        <v>3.9</v>
      </c>
    </row>
    <row r="27" spans="1:17" customFormat="1">
      <c r="A27" s="80">
        <v>45469.197916666664</v>
      </c>
      <c r="B27" s="112">
        <v>9.24</v>
      </c>
      <c r="C27" s="112">
        <v>4.08</v>
      </c>
      <c r="D27" s="112">
        <v>13.99</v>
      </c>
      <c r="E27" s="112">
        <v>5.62</v>
      </c>
      <c r="F27" s="112">
        <v>12.64</v>
      </c>
      <c r="G27" s="112">
        <v>14.78</v>
      </c>
      <c r="H27" s="112">
        <v>4.49</v>
      </c>
      <c r="I27" s="112">
        <v>3.1</v>
      </c>
      <c r="J27" s="112">
        <v>0.11</v>
      </c>
      <c r="K27" s="112">
        <v>241.77</v>
      </c>
      <c r="L27" s="112">
        <v>28.25</v>
      </c>
      <c r="M27" s="112">
        <v>84.95</v>
      </c>
      <c r="N27" s="112">
        <v>1.9</v>
      </c>
      <c r="O27" s="112">
        <v>0</v>
      </c>
      <c r="P27" s="112">
        <v>0.25</v>
      </c>
      <c r="Q27" s="112">
        <v>3.88</v>
      </c>
    </row>
    <row r="28" spans="1:17" customFormat="1">
      <c r="A28" s="80">
        <v>45469.208333333336</v>
      </c>
      <c r="B28" s="112">
        <v>9.23</v>
      </c>
      <c r="C28" s="112">
        <v>4.12</v>
      </c>
      <c r="D28" s="112">
        <v>14</v>
      </c>
      <c r="E28" s="112">
        <v>5.0599999999999996</v>
      </c>
      <c r="F28" s="112">
        <v>13.22</v>
      </c>
      <c r="G28" s="112">
        <v>15.65</v>
      </c>
      <c r="H28" s="112">
        <v>4.67</v>
      </c>
      <c r="I28" s="112">
        <v>2.93</v>
      </c>
      <c r="J28" s="112">
        <v>0.15</v>
      </c>
      <c r="K28" s="112">
        <v>174.01</v>
      </c>
      <c r="L28" s="112">
        <v>28.18</v>
      </c>
      <c r="M28" s="112">
        <v>85.64</v>
      </c>
      <c r="N28" s="112">
        <v>1.8</v>
      </c>
      <c r="O28" s="112">
        <v>0</v>
      </c>
      <c r="P28" s="112">
        <v>0.24</v>
      </c>
      <c r="Q28" s="112">
        <v>3.89</v>
      </c>
    </row>
    <row r="29" spans="1:17" customFormat="1">
      <c r="A29" s="80">
        <v>45469.21875</v>
      </c>
      <c r="B29" s="112">
        <v>9.24</v>
      </c>
      <c r="C29" s="112">
        <v>4.08</v>
      </c>
      <c r="D29" s="112">
        <v>13.99</v>
      </c>
      <c r="E29" s="112">
        <v>4.8899999999999997</v>
      </c>
      <c r="F29" s="112">
        <v>13.82</v>
      </c>
      <c r="G29" s="112">
        <v>16.489999999999998</v>
      </c>
      <c r="H29" s="112">
        <v>4.75</v>
      </c>
      <c r="I29" s="112">
        <v>2.92</v>
      </c>
      <c r="J29" s="112">
        <v>0.12</v>
      </c>
      <c r="K29" s="112">
        <v>162.62</v>
      </c>
      <c r="L29" s="112">
        <v>28.42</v>
      </c>
      <c r="M29" s="112">
        <v>84.77</v>
      </c>
      <c r="N29" s="112">
        <v>2.8</v>
      </c>
      <c r="O29" s="112">
        <v>0</v>
      </c>
      <c r="P29" s="112">
        <v>0.22</v>
      </c>
      <c r="Q29" s="112">
        <v>3.89</v>
      </c>
    </row>
    <row r="30" spans="1:17" customFormat="1">
      <c r="A30" s="80">
        <v>45469.229166666664</v>
      </c>
      <c r="B30" s="112">
        <v>9.2200000000000006</v>
      </c>
      <c r="C30" s="112">
        <v>4.07</v>
      </c>
      <c r="D30" s="112">
        <v>13.97</v>
      </c>
      <c r="E30" s="112">
        <v>4.62</v>
      </c>
      <c r="F30" s="112">
        <v>12.76</v>
      </c>
      <c r="G30" s="112">
        <v>16.489999999999998</v>
      </c>
      <c r="H30" s="112">
        <v>4.75</v>
      </c>
      <c r="I30" s="112">
        <v>2.71</v>
      </c>
      <c r="J30" s="112">
        <v>0.12</v>
      </c>
      <c r="K30" s="112">
        <v>172.08</v>
      </c>
      <c r="L30" s="112">
        <v>28.23</v>
      </c>
      <c r="M30" s="112">
        <v>86.73</v>
      </c>
      <c r="N30" s="112">
        <v>8.4</v>
      </c>
      <c r="O30" s="112">
        <v>0</v>
      </c>
      <c r="P30" s="112">
        <v>0.22</v>
      </c>
      <c r="Q30" s="112">
        <v>3.91</v>
      </c>
    </row>
    <row r="31" spans="1:17" customFormat="1">
      <c r="A31" s="80">
        <v>45469.239583333336</v>
      </c>
      <c r="B31" s="112">
        <v>9.2200000000000006</v>
      </c>
      <c r="C31" s="112">
        <v>4.0599999999999996</v>
      </c>
      <c r="D31" s="112">
        <v>13.97</v>
      </c>
      <c r="E31" s="112">
        <v>4.99</v>
      </c>
      <c r="F31" s="112">
        <v>11</v>
      </c>
      <c r="G31" s="112">
        <v>16.489999999999998</v>
      </c>
      <c r="H31" s="112">
        <v>4.75</v>
      </c>
      <c r="I31" s="112">
        <v>2.75</v>
      </c>
      <c r="J31" s="112">
        <v>0.17</v>
      </c>
      <c r="K31" s="112">
        <v>189.08</v>
      </c>
      <c r="L31" s="112">
        <v>28.03</v>
      </c>
      <c r="M31" s="112">
        <v>88.19</v>
      </c>
      <c r="N31" s="112">
        <v>18.8</v>
      </c>
      <c r="O31" s="112">
        <v>0</v>
      </c>
      <c r="P31" s="112">
        <v>0.22</v>
      </c>
      <c r="Q31" s="112">
        <v>3.93</v>
      </c>
    </row>
    <row r="32" spans="1:17" customFormat="1">
      <c r="A32" s="80">
        <v>45469.25</v>
      </c>
      <c r="B32" s="112">
        <v>9.26</v>
      </c>
      <c r="C32" s="112">
        <v>4.09</v>
      </c>
      <c r="D32" s="112">
        <v>14.01</v>
      </c>
      <c r="E32" s="112">
        <v>4.6100000000000003</v>
      </c>
      <c r="F32" s="112">
        <v>11.15</v>
      </c>
      <c r="G32" s="112">
        <v>16.62</v>
      </c>
      <c r="H32" s="112">
        <v>5.98</v>
      </c>
      <c r="I32" s="112">
        <v>2.86</v>
      </c>
      <c r="J32" s="112">
        <v>0.11</v>
      </c>
      <c r="K32" s="112">
        <v>180.18</v>
      </c>
      <c r="L32" s="112">
        <v>28.18</v>
      </c>
      <c r="M32" s="112">
        <v>87.5</v>
      </c>
      <c r="N32" s="112">
        <v>29.5</v>
      </c>
      <c r="O32" s="112">
        <v>0</v>
      </c>
      <c r="P32" s="112">
        <v>0.2</v>
      </c>
      <c r="Q32" s="112">
        <v>3.89</v>
      </c>
    </row>
    <row r="33" spans="1:17" customFormat="1">
      <c r="A33" s="80">
        <v>45469.260416666664</v>
      </c>
      <c r="B33" s="112">
        <v>9.27</v>
      </c>
      <c r="C33" s="112">
        <v>4.07</v>
      </c>
      <c r="D33" s="112">
        <v>14.01</v>
      </c>
      <c r="E33" s="112">
        <v>4.5999999999999996</v>
      </c>
      <c r="F33" s="112">
        <v>11.25</v>
      </c>
      <c r="G33" s="112">
        <v>16.739999999999998</v>
      </c>
      <c r="H33" s="112">
        <v>6.56</v>
      </c>
      <c r="I33" s="112">
        <v>3.17</v>
      </c>
      <c r="J33" s="112">
        <v>0.18</v>
      </c>
      <c r="K33" s="112">
        <v>151.28</v>
      </c>
      <c r="L33" s="112">
        <v>28.63</v>
      </c>
      <c r="M33" s="112">
        <v>85.62</v>
      </c>
      <c r="N33" s="112">
        <v>43.2</v>
      </c>
      <c r="O33" s="112">
        <v>0</v>
      </c>
      <c r="P33" s="112">
        <v>0.22</v>
      </c>
      <c r="Q33" s="112">
        <v>3.9</v>
      </c>
    </row>
    <row r="34" spans="1:17" customFormat="1">
      <c r="A34" s="80">
        <v>45469.270833333336</v>
      </c>
      <c r="B34" s="112">
        <v>9.25</v>
      </c>
      <c r="C34" s="112">
        <v>4.07</v>
      </c>
      <c r="D34" s="112">
        <v>14</v>
      </c>
      <c r="E34" s="112">
        <v>4.6900000000000004</v>
      </c>
      <c r="F34" s="112">
        <v>10.94</v>
      </c>
      <c r="G34" s="112">
        <v>16.739999999999998</v>
      </c>
      <c r="H34" s="112">
        <v>6.56</v>
      </c>
      <c r="I34" s="112">
        <v>2.77</v>
      </c>
      <c r="J34" s="112">
        <v>0.24</v>
      </c>
      <c r="K34" s="112">
        <v>176.08</v>
      </c>
      <c r="L34" s="112">
        <v>29.03</v>
      </c>
      <c r="M34" s="112">
        <v>85.46</v>
      </c>
      <c r="N34" s="112">
        <v>63.7</v>
      </c>
      <c r="O34" s="112">
        <v>0</v>
      </c>
      <c r="P34" s="112">
        <v>0.22</v>
      </c>
      <c r="Q34" s="112">
        <v>3.91</v>
      </c>
    </row>
    <row r="35" spans="1:17" customFormat="1">
      <c r="A35" s="80">
        <v>45469.28125</v>
      </c>
      <c r="B35" s="112">
        <v>9.25</v>
      </c>
      <c r="C35" s="112">
        <v>4.05</v>
      </c>
      <c r="D35" s="112">
        <v>13.99</v>
      </c>
      <c r="E35" s="112">
        <v>4.76</v>
      </c>
      <c r="F35" s="112">
        <v>12.67</v>
      </c>
      <c r="G35" s="112">
        <v>16.739999999999998</v>
      </c>
      <c r="H35" s="112">
        <v>6.56</v>
      </c>
      <c r="I35" s="112">
        <v>3.2</v>
      </c>
      <c r="J35" s="112">
        <v>0.16</v>
      </c>
      <c r="K35" s="112">
        <v>183.14</v>
      </c>
      <c r="L35" s="112">
        <v>29.35</v>
      </c>
      <c r="M35" s="112">
        <v>83.9</v>
      </c>
      <c r="N35" s="112">
        <v>80</v>
      </c>
      <c r="O35" s="112">
        <v>0</v>
      </c>
      <c r="P35" s="112">
        <v>0.23</v>
      </c>
      <c r="Q35" s="112">
        <v>3.91</v>
      </c>
    </row>
    <row r="36" spans="1:17" customFormat="1">
      <c r="A36" s="80">
        <v>45469.291666666664</v>
      </c>
      <c r="B36" s="112">
        <v>9.25</v>
      </c>
      <c r="C36" s="112">
        <v>4.0599999999999996</v>
      </c>
      <c r="D36" s="112">
        <v>13.99</v>
      </c>
      <c r="E36" s="112">
        <v>4.8499999999999996</v>
      </c>
      <c r="F36" s="112">
        <v>14.73</v>
      </c>
      <c r="G36" s="112">
        <v>18.09</v>
      </c>
      <c r="H36" s="112">
        <v>5.86</v>
      </c>
      <c r="I36" s="112">
        <v>3.27</v>
      </c>
      <c r="J36" s="112">
        <v>0.19</v>
      </c>
      <c r="K36" s="112">
        <v>167.66</v>
      </c>
      <c r="L36" s="112">
        <v>29.88</v>
      </c>
      <c r="M36" s="112">
        <v>80.650000000000006</v>
      </c>
      <c r="N36" s="112">
        <v>98.3</v>
      </c>
      <c r="O36" s="112">
        <v>0</v>
      </c>
      <c r="P36" s="112">
        <v>0.25</v>
      </c>
      <c r="Q36" s="112">
        <v>3.89</v>
      </c>
    </row>
    <row r="37" spans="1:17" customFormat="1">
      <c r="A37" s="80">
        <v>45469.302083333336</v>
      </c>
      <c r="B37" s="112">
        <v>9.23</v>
      </c>
      <c r="C37" s="112">
        <v>4.08</v>
      </c>
      <c r="D37" s="112">
        <v>13.99</v>
      </c>
      <c r="E37" s="112">
        <v>5.33</v>
      </c>
      <c r="F37" s="112">
        <v>17.09</v>
      </c>
      <c r="G37" s="112">
        <v>19.39</v>
      </c>
      <c r="H37" s="112">
        <v>5.53</v>
      </c>
      <c r="I37" s="112">
        <v>3.47</v>
      </c>
      <c r="J37" s="112">
        <v>0.28000000000000003</v>
      </c>
      <c r="K37" s="112">
        <v>237.25</v>
      </c>
      <c r="L37" s="112">
        <v>30.19</v>
      </c>
      <c r="M37" s="112">
        <v>78.27</v>
      </c>
      <c r="N37" s="112">
        <v>119.8</v>
      </c>
      <c r="O37" s="112">
        <v>0</v>
      </c>
      <c r="P37" s="112">
        <v>0.25</v>
      </c>
      <c r="Q37" s="112">
        <v>3.89</v>
      </c>
    </row>
    <row r="38" spans="1:17" customFormat="1">
      <c r="A38" s="80">
        <v>45469.3125</v>
      </c>
      <c r="B38" s="112">
        <v>9.25</v>
      </c>
      <c r="C38" s="112">
        <v>4.0599999999999996</v>
      </c>
      <c r="D38" s="112">
        <v>13.99</v>
      </c>
      <c r="E38" s="112">
        <v>5.26</v>
      </c>
      <c r="F38" s="112">
        <v>19.73</v>
      </c>
      <c r="G38" s="112">
        <v>19.39</v>
      </c>
      <c r="H38" s="112">
        <v>5.53</v>
      </c>
      <c r="I38" s="112">
        <v>3.63</v>
      </c>
      <c r="J38" s="112">
        <v>0.27</v>
      </c>
      <c r="K38" s="112">
        <v>220.97</v>
      </c>
      <c r="L38" s="112">
        <v>30.72</v>
      </c>
      <c r="M38" s="112">
        <v>76.03</v>
      </c>
      <c r="N38" s="112">
        <v>139.9</v>
      </c>
      <c r="O38" s="112">
        <v>0</v>
      </c>
      <c r="P38" s="112">
        <v>0.24</v>
      </c>
      <c r="Q38" s="112">
        <v>3.88</v>
      </c>
    </row>
    <row r="39" spans="1:17" customFormat="1">
      <c r="A39" s="80">
        <v>45469.322916666664</v>
      </c>
      <c r="B39" s="112">
        <v>9.25</v>
      </c>
      <c r="C39" s="112">
        <v>4.0599999999999996</v>
      </c>
      <c r="D39" s="112">
        <v>13.99</v>
      </c>
      <c r="E39" s="112">
        <v>5.38</v>
      </c>
      <c r="F39" s="112">
        <v>21.72</v>
      </c>
      <c r="G39" s="112">
        <v>19.39</v>
      </c>
      <c r="H39" s="112">
        <v>5.53</v>
      </c>
      <c r="I39" s="112">
        <v>3.62</v>
      </c>
      <c r="J39" s="112">
        <v>0.32</v>
      </c>
      <c r="K39" s="112">
        <v>261.93</v>
      </c>
      <c r="L39" s="112">
        <v>31.29</v>
      </c>
      <c r="M39" s="112">
        <v>73.03</v>
      </c>
      <c r="N39" s="112">
        <v>155.9</v>
      </c>
      <c r="O39" s="112">
        <v>0</v>
      </c>
      <c r="P39" s="112">
        <v>0.24</v>
      </c>
      <c r="Q39" s="112">
        <v>3.9</v>
      </c>
    </row>
    <row r="40" spans="1:17" customFormat="1">
      <c r="A40" s="80">
        <v>45469.333333333336</v>
      </c>
      <c r="B40" s="112">
        <v>9.24</v>
      </c>
      <c r="C40" s="112">
        <v>4.07</v>
      </c>
      <c r="D40" s="112">
        <v>13.98</v>
      </c>
      <c r="E40" s="112">
        <v>4.9400000000000004</v>
      </c>
      <c r="F40" s="112">
        <v>13.91</v>
      </c>
      <c r="G40" s="112">
        <v>18.489999999999998</v>
      </c>
      <c r="H40" s="112">
        <v>6.72</v>
      </c>
      <c r="I40" s="112">
        <v>3.56</v>
      </c>
      <c r="J40" s="112">
        <v>0.26</v>
      </c>
      <c r="K40" s="112">
        <v>220.89</v>
      </c>
      <c r="L40" s="112">
        <v>31.78</v>
      </c>
      <c r="M40" s="112">
        <v>70.790000000000006</v>
      </c>
      <c r="N40" s="112">
        <v>164.2</v>
      </c>
      <c r="O40" s="112">
        <v>0</v>
      </c>
      <c r="P40" s="112">
        <v>0.23</v>
      </c>
      <c r="Q40" s="112">
        <v>3.9</v>
      </c>
    </row>
    <row r="41" spans="1:17" customFormat="1">
      <c r="A41" s="80">
        <v>45469.34375</v>
      </c>
      <c r="B41" s="112">
        <v>9.24</v>
      </c>
      <c r="C41" s="112">
        <v>4.09</v>
      </c>
      <c r="D41" s="112">
        <v>13.99</v>
      </c>
      <c r="E41" s="112">
        <v>5.49</v>
      </c>
      <c r="F41" s="112">
        <v>10.89</v>
      </c>
      <c r="G41" s="112">
        <v>17.64</v>
      </c>
      <c r="H41" s="112">
        <v>7.9</v>
      </c>
      <c r="I41" s="112">
        <v>3.44</v>
      </c>
      <c r="J41" s="112">
        <v>0.32</v>
      </c>
      <c r="K41" s="112">
        <v>248.55</v>
      </c>
      <c r="L41" s="112">
        <v>32.19</v>
      </c>
      <c r="M41" s="112">
        <v>69.08</v>
      </c>
      <c r="N41" s="112">
        <v>171.5</v>
      </c>
      <c r="O41" s="112">
        <v>0</v>
      </c>
      <c r="P41" s="112">
        <v>0.27</v>
      </c>
      <c r="Q41" s="112">
        <v>3.86</v>
      </c>
    </row>
    <row r="42" spans="1:17" customFormat="1">
      <c r="A42" s="80">
        <v>45469.354166666664</v>
      </c>
      <c r="B42" s="112">
        <v>9.25</v>
      </c>
      <c r="C42" s="112">
        <v>4.09</v>
      </c>
      <c r="D42" s="112">
        <v>14</v>
      </c>
      <c r="E42" s="112">
        <v>5.52</v>
      </c>
      <c r="F42" s="112">
        <v>9.4700000000000006</v>
      </c>
      <c r="G42" s="112">
        <v>17.64</v>
      </c>
      <c r="H42" s="112">
        <v>7.9</v>
      </c>
      <c r="I42" s="112">
        <v>3.61</v>
      </c>
      <c r="J42" s="112">
        <v>0.46</v>
      </c>
      <c r="K42" s="112">
        <v>263.49</v>
      </c>
      <c r="L42" s="112">
        <v>32.409999999999997</v>
      </c>
      <c r="M42" s="112">
        <v>66.92</v>
      </c>
      <c r="N42" s="112">
        <v>187.6</v>
      </c>
      <c r="O42" s="112">
        <v>0</v>
      </c>
      <c r="P42" s="112">
        <v>0.3</v>
      </c>
      <c r="Q42" s="112">
        <v>3.87</v>
      </c>
    </row>
    <row r="43" spans="1:17" customFormat="1">
      <c r="A43" s="80">
        <v>45469.364583333336</v>
      </c>
      <c r="B43" s="112">
        <v>9.25</v>
      </c>
      <c r="C43" s="112">
        <v>4.09</v>
      </c>
      <c r="D43" s="112">
        <v>14</v>
      </c>
      <c r="E43" s="112">
        <v>5.48</v>
      </c>
      <c r="F43" s="112">
        <v>11.18</v>
      </c>
      <c r="G43" s="112">
        <v>17.64</v>
      </c>
      <c r="H43" s="112">
        <v>7.9</v>
      </c>
      <c r="I43" s="112">
        <v>3.72</v>
      </c>
      <c r="J43" s="112">
        <v>0.59</v>
      </c>
      <c r="K43" s="112">
        <v>263.33999999999997</v>
      </c>
      <c r="L43" s="112">
        <v>32.67</v>
      </c>
      <c r="M43" s="112">
        <v>66.08</v>
      </c>
      <c r="N43" s="112">
        <v>205.6</v>
      </c>
      <c r="O43" s="112">
        <v>0</v>
      </c>
      <c r="P43" s="112">
        <v>0.31</v>
      </c>
      <c r="Q43" s="112">
        <v>3.9</v>
      </c>
    </row>
    <row r="44" spans="1:17" customFormat="1">
      <c r="A44" s="80">
        <v>45469.375</v>
      </c>
      <c r="B44" s="112">
        <v>9.25</v>
      </c>
      <c r="C44" s="112">
        <v>4.08</v>
      </c>
      <c r="D44" s="112">
        <v>14</v>
      </c>
      <c r="E44" s="112">
        <v>5.63</v>
      </c>
      <c r="F44" s="112">
        <v>11.45</v>
      </c>
      <c r="G44" s="112">
        <v>17.54</v>
      </c>
      <c r="H44" s="112">
        <v>7.86</v>
      </c>
      <c r="I44" s="112">
        <v>3.75</v>
      </c>
      <c r="J44" s="112">
        <v>0.67</v>
      </c>
      <c r="K44" s="112">
        <v>272.39999999999998</v>
      </c>
      <c r="L44" s="112">
        <v>33.07</v>
      </c>
      <c r="M44" s="112">
        <v>64.89</v>
      </c>
      <c r="N44" s="112">
        <v>212.6</v>
      </c>
      <c r="O44" s="112">
        <v>0</v>
      </c>
      <c r="P44" s="112">
        <v>0.31</v>
      </c>
      <c r="Q44" s="112">
        <v>3.87</v>
      </c>
    </row>
    <row r="45" spans="1:17" customFormat="1">
      <c r="A45" s="80">
        <v>45469.385416666664</v>
      </c>
      <c r="B45" s="112">
        <v>9.27</v>
      </c>
      <c r="C45" s="112">
        <v>4.07</v>
      </c>
      <c r="D45" s="112">
        <v>14.01</v>
      </c>
      <c r="E45" s="112">
        <v>5.84</v>
      </c>
      <c r="F45" s="112">
        <v>14.34</v>
      </c>
      <c r="G45" s="112">
        <v>17.45</v>
      </c>
      <c r="H45" s="112">
        <v>7.84</v>
      </c>
      <c r="I45" s="112">
        <v>3.7</v>
      </c>
      <c r="J45" s="112">
        <v>0.71</v>
      </c>
      <c r="K45" s="112">
        <v>290.64</v>
      </c>
      <c r="L45" s="112">
        <v>33.380000000000003</v>
      </c>
      <c r="M45" s="112">
        <v>62.83</v>
      </c>
      <c r="N45" s="112">
        <v>240.7</v>
      </c>
      <c r="O45" s="112">
        <v>0</v>
      </c>
      <c r="P45" s="112">
        <v>0.33</v>
      </c>
      <c r="Q45" s="112">
        <v>3.88</v>
      </c>
    </row>
    <row r="46" spans="1:17" customFormat="1">
      <c r="A46" s="80">
        <v>45469.395833333336</v>
      </c>
      <c r="B46" s="112">
        <v>9.27</v>
      </c>
      <c r="C46" s="112">
        <v>4.07</v>
      </c>
      <c r="D46" s="112">
        <v>14.01</v>
      </c>
      <c r="E46" s="112">
        <v>6.23</v>
      </c>
      <c r="F46" s="112">
        <v>16.16</v>
      </c>
      <c r="G46" s="112">
        <v>17.45</v>
      </c>
      <c r="H46" s="112">
        <v>7.84</v>
      </c>
      <c r="I46" s="112">
        <v>3.74</v>
      </c>
      <c r="J46" s="112">
        <v>0.42</v>
      </c>
      <c r="K46" s="112">
        <v>284.68</v>
      </c>
      <c r="L46" s="112">
        <v>33.43</v>
      </c>
      <c r="M46" s="112">
        <v>62.13</v>
      </c>
      <c r="N46" s="112">
        <v>213</v>
      </c>
      <c r="O46" s="112">
        <v>0</v>
      </c>
      <c r="P46" s="112">
        <v>0.33</v>
      </c>
      <c r="Q46" s="112">
        <v>3.89</v>
      </c>
    </row>
    <row r="47" spans="1:17" customFormat="1">
      <c r="A47" s="80">
        <v>45469.40625</v>
      </c>
      <c r="B47" s="112">
        <v>9.2899999999999991</v>
      </c>
      <c r="C47" s="112">
        <v>4.07</v>
      </c>
      <c r="D47" s="112">
        <v>14.03</v>
      </c>
      <c r="E47" s="112">
        <v>6.06</v>
      </c>
      <c r="F47" s="112">
        <v>17.79</v>
      </c>
      <c r="G47" s="112">
        <v>17.45</v>
      </c>
      <c r="H47" s="112">
        <v>7.84</v>
      </c>
      <c r="I47" s="112">
        <v>3.76</v>
      </c>
      <c r="J47" s="112">
        <v>0.31</v>
      </c>
      <c r="K47" s="112">
        <v>244.28</v>
      </c>
      <c r="L47" s="112">
        <v>33.340000000000003</v>
      </c>
      <c r="M47" s="112">
        <v>62.01</v>
      </c>
      <c r="N47" s="112">
        <v>254.3</v>
      </c>
      <c r="O47" s="112">
        <v>0</v>
      </c>
      <c r="P47" s="112">
        <v>0.35</v>
      </c>
      <c r="Q47" s="112">
        <v>3.88</v>
      </c>
    </row>
    <row r="48" spans="1:17" customFormat="1">
      <c r="A48" s="80">
        <v>45469.416666666664</v>
      </c>
      <c r="B48" s="112">
        <v>9.2899999999999991</v>
      </c>
      <c r="C48" s="112">
        <v>4.08</v>
      </c>
      <c r="D48" s="112">
        <v>14.03</v>
      </c>
      <c r="E48" s="112">
        <v>6.33</v>
      </c>
      <c r="F48" s="112">
        <v>16.37</v>
      </c>
      <c r="G48" s="112">
        <v>16.32</v>
      </c>
      <c r="H48" s="112">
        <v>8.14</v>
      </c>
      <c r="I48" s="112">
        <v>3.77</v>
      </c>
      <c r="J48" s="112">
        <v>0.47</v>
      </c>
      <c r="K48" s="112">
        <v>305.07</v>
      </c>
      <c r="L48" s="112">
        <v>34.03</v>
      </c>
      <c r="M48" s="112">
        <v>58.84</v>
      </c>
      <c r="N48" s="112">
        <v>282.89999999999998</v>
      </c>
      <c r="O48" s="112">
        <v>0</v>
      </c>
      <c r="P48" s="112">
        <v>0.36</v>
      </c>
      <c r="Q48" s="112">
        <v>3.9</v>
      </c>
    </row>
    <row r="49" spans="1:17" customFormat="1">
      <c r="A49" s="80">
        <v>45469.427083333336</v>
      </c>
      <c r="B49" s="112">
        <v>9.31</v>
      </c>
      <c r="C49" s="112">
        <v>4.09</v>
      </c>
      <c r="D49" s="112">
        <v>14.05</v>
      </c>
      <c r="E49" s="112">
        <v>7.77</v>
      </c>
      <c r="F49" s="112">
        <v>18.2</v>
      </c>
      <c r="G49" s="112">
        <v>15.25</v>
      </c>
      <c r="H49" s="112">
        <v>8.2799999999999994</v>
      </c>
      <c r="I49" s="112">
        <v>4.07</v>
      </c>
      <c r="J49" s="112">
        <v>0.59</v>
      </c>
      <c r="K49" s="112">
        <v>327.39999999999998</v>
      </c>
      <c r="L49" s="112">
        <v>34.130000000000003</v>
      </c>
      <c r="M49" s="112">
        <v>57.7</v>
      </c>
      <c r="N49" s="112">
        <v>329.8</v>
      </c>
      <c r="O49" s="112">
        <v>0</v>
      </c>
      <c r="P49" s="112">
        <v>0.39</v>
      </c>
      <c r="Q49" s="112">
        <v>3.9</v>
      </c>
    </row>
    <row r="50" spans="1:17" customFormat="1">
      <c r="A50" s="80">
        <v>45469.4375</v>
      </c>
      <c r="B50" s="112">
        <v>9.31</v>
      </c>
      <c r="C50" s="112">
        <v>4.1100000000000003</v>
      </c>
      <c r="D50" s="112">
        <v>14.07</v>
      </c>
      <c r="E50" s="112">
        <v>10.35</v>
      </c>
      <c r="F50" s="112">
        <v>15.83</v>
      </c>
      <c r="G50" s="112">
        <v>15.25</v>
      </c>
      <c r="H50" s="112">
        <v>8.2799999999999994</v>
      </c>
      <c r="I50" s="112">
        <v>4.4800000000000004</v>
      </c>
      <c r="J50" s="112">
        <v>0.43</v>
      </c>
      <c r="K50" s="112">
        <v>301.93</v>
      </c>
      <c r="L50" s="112">
        <v>34.72</v>
      </c>
      <c r="M50" s="112">
        <v>57.56</v>
      </c>
      <c r="N50" s="112">
        <v>339.8</v>
      </c>
      <c r="O50" s="112">
        <v>0</v>
      </c>
      <c r="P50" s="112">
        <v>0.41</v>
      </c>
      <c r="Q50" s="112">
        <v>3.9</v>
      </c>
    </row>
    <row r="51" spans="1:17" customFormat="1">
      <c r="A51" s="80">
        <v>45469.447916666664</v>
      </c>
      <c r="B51" s="112">
        <v>9.34</v>
      </c>
      <c r="C51" s="112">
        <v>4.08</v>
      </c>
      <c r="D51" s="112">
        <v>14.07</v>
      </c>
      <c r="E51" s="112">
        <v>11.16</v>
      </c>
      <c r="F51" s="112">
        <v>16.07</v>
      </c>
      <c r="G51" s="112">
        <v>15.25</v>
      </c>
      <c r="H51" s="112">
        <v>8.2799999999999994</v>
      </c>
      <c r="I51" s="112">
        <v>5.09</v>
      </c>
      <c r="J51" s="112">
        <v>0.54</v>
      </c>
      <c r="K51" s="112">
        <v>307.58999999999997</v>
      </c>
      <c r="L51" s="112">
        <v>35.340000000000003</v>
      </c>
      <c r="M51" s="112">
        <v>56.11</v>
      </c>
      <c r="N51" s="112">
        <v>294.60000000000002</v>
      </c>
      <c r="O51" s="112">
        <v>0</v>
      </c>
      <c r="P51" s="112">
        <v>0.44</v>
      </c>
      <c r="Q51" s="112">
        <v>3.9</v>
      </c>
    </row>
    <row r="52" spans="1:17" customFormat="1">
      <c r="A52" s="80">
        <v>45469.458333333336</v>
      </c>
      <c r="B52" s="112">
        <v>9.35</v>
      </c>
      <c r="C52" s="112">
        <v>4.08</v>
      </c>
      <c r="D52" s="112">
        <v>14.07</v>
      </c>
      <c r="E52" s="112">
        <v>11.57</v>
      </c>
      <c r="F52" s="112">
        <v>22.35</v>
      </c>
      <c r="G52" s="112">
        <v>21.41</v>
      </c>
      <c r="H52" s="112">
        <v>9.2200000000000006</v>
      </c>
      <c r="I52" s="112">
        <v>5.34</v>
      </c>
      <c r="J52" s="112">
        <v>0.42</v>
      </c>
      <c r="K52" s="112">
        <v>346.44</v>
      </c>
      <c r="L52" s="112">
        <v>35.08</v>
      </c>
      <c r="M52" s="112">
        <v>54.73</v>
      </c>
      <c r="N52" s="112">
        <v>317.60000000000002</v>
      </c>
      <c r="O52" s="112">
        <v>0</v>
      </c>
      <c r="P52" s="112">
        <v>0.46</v>
      </c>
      <c r="Q52" s="112">
        <v>3.89</v>
      </c>
    </row>
    <row r="53" spans="1:17" customFormat="1">
      <c r="A53" s="80">
        <v>45469.46875</v>
      </c>
      <c r="B53" s="112">
        <v>9.33</v>
      </c>
      <c r="C53" s="112">
        <v>4.08</v>
      </c>
      <c r="D53" s="112">
        <v>14.06</v>
      </c>
      <c r="E53" s="112">
        <v>12.43</v>
      </c>
      <c r="F53" s="112">
        <v>25.71</v>
      </c>
      <c r="G53" s="112">
        <v>27.31</v>
      </c>
      <c r="H53" s="112">
        <v>9.68</v>
      </c>
      <c r="I53" s="112">
        <v>5.95</v>
      </c>
      <c r="J53" s="112">
        <v>0.42</v>
      </c>
      <c r="K53" s="112">
        <v>59.48</v>
      </c>
      <c r="L53" s="112">
        <v>35.75</v>
      </c>
      <c r="M53" s="112">
        <v>52.18</v>
      </c>
      <c r="N53" s="112">
        <v>298.8</v>
      </c>
      <c r="O53" s="112">
        <v>0</v>
      </c>
      <c r="P53" s="112">
        <v>0.48</v>
      </c>
      <c r="Q53" s="112">
        <v>3.87</v>
      </c>
    </row>
    <row r="54" spans="1:17" customFormat="1">
      <c r="A54" s="80">
        <v>45469.479166666664</v>
      </c>
      <c r="B54" s="112">
        <v>9.33</v>
      </c>
      <c r="C54" s="112">
        <v>4.08</v>
      </c>
      <c r="D54" s="112">
        <v>14.06</v>
      </c>
      <c r="E54" s="112">
        <v>13.01</v>
      </c>
      <c r="F54" s="112">
        <v>18.64</v>
      </c>
      <c r="G54" s="112">
        <v>27.31</v>
      </c>
      <c r="H54" s="112">
        <v>9.68</v>
      </c>
      <c r="I54" s="112">
        <v>6.09</v>
      </c>
      <c r="J54" s="112">
        <v>0.05</v>
      </c>
      <c r="K54" s="112">
        <v>152.16999999999999</v>
      </c>
      <c r="L54" s="112">
        <v>36.76</v>
      </c>
      <c r="M54" s="112">
        <v>53.04</v>
      </c>
      <c r="N54" s="112">
        <v>294.7</v>
      </c>
      <c r="O54" s="112">
        <v>0</v>
      </c>
      <c r="P54" s="112">
        <v>0.48</v>
      </c>
      <c r="Q54" s="112">
        <v>3.87</v>
      </c>
    </row>
    <row r="55" spans="1:17" customFormat="1">
      <c r="A55" s="80">
        <v>45469.489583333336</v>
      </c>
      <c r="B55" s="112">
        <v>9.34</v>
      </c>
      <c r="C55" s="112">
        <v>4.05</v>
      </c>
      <c r="D55" s="112">
        <v>14.05</v>
      </c>
      <c r="E55" s="112">
        <v>12.03</v>
      </c>
      <c r="F55" s="112">
        <v>30.38</v>
      </c>
      <c r="G55" s="112">
        <v>27.31</v>
      </c>
      <c r="H55" s="112">
        <v>9.68</v>
      </c>
      <c r="I55" s="112">
        <v>6.28</v>
      </c>
      <c r="J55" s="112">
        <v>0.49</v>
      </c>
      <c r="K55" s="112">
        <v>320.87</v>
      </c>
      <c r="L55" s="112">
        <v>36.200000000000003</v>
      </c>
      <c r="M55" s="112">
        <v>51.75</v>
      </c>
      <c r="N55" s="112">
        <v>283.7</v>
      </c>
      <c r="O55" s="112">
        <v>0</v>
      </c>
      <c r="P55" s="112">
        <v>0.5</v>
      </c>
      <c r="Q55" s="112">
        <v>3.9</v>
      </c>
    </row>
    <row r="56" spans="1:17" customFormat="1">
      <c r="A56" s="80">
        <v>45469.5</v>
      </c>
      <c r="B56" s="112">
        <v>9.33</v>
      </c>
      <c r="C56" s="112">
        <v>4.07</v>
      </c>
      <c r="D56" s="112">
        <v>14.05</v>
      </c>
      <c r="E56" s="112">
        <v>12.56</v>
      </c>
      <c r="F56" s="112">
        <v>24.24</v>
      </c>
      <c r="G56" s="112">
        <v>28.73</v>
      </c>
      <c r="H56" s="112">
        <v>11.84</v>
      </c>
      <c r="I56" s="112">
        <v>6.5</v>
      </c>
      <c r="J56" s="112">
        <v>0.19</v>
      </c>
      <c r="K56" s="112">
        <v>27.92</v>
      </c>
      <c r="L56" s="112">
        <v>36.08</v>
      </c>
      <c r="M56" s="112">
        <v>51.21</v>
      </c>
      <c r="N56" s="112">
        <v>755.3</v>
      </c>
      <c r="O56" s="112">
        <v>0</v>
      </c>
      <c r="P56" s="112">
        <v>0.5</v>
      </c>
      <c r="Q56" s="112">
        <v>3.88</v>
      </c>
    </row>
    <row r="57" spans="1:17" customFormat="1">
      <c r="A57" s="80">
        <v>45469.510416666664</v>
      </c>
      <c r="B57" s="112">
        <v>9.3000000000000007</v>
      </c>
      <c r="C57" s="112">
        <v>4.09</v>
      </c>
      <c r="D57" s="112">
        <v>14.05</v>
      </c>
      <c r="E57" s="112">
        <v>11.94</v>
      </c>
      <c r="F57" s="112">
        <v>18.3</v>
      </c>
      <c r="G57" s="112">
        <v>30.09</v>
      </c>
      <c r="H57" s="112">
        <v>12.85</v>
      </c>
      <c r="I57" s="112">
        <v>6.66</v>
      </c>
      <c r="J57" s="112">
        <v>0.62</v>
      </c>
      <c r="K57" s="112">
        <v>277.74</v>
      </c>
      <c r="L57" s="112">
        <v>36.56</v>
      </c>
      <c r="M57" s="112">
        <v>49.73</v>
      </c>
      <c r="N57" s="112">
        <v>594.20000000000005</v>
      </c>
      <c r="O57" s="112">
        <v>0</v>
      </c>
      <c r="P57" s="112">
        <v>0.49</v>
      </c>
      <c r="Q57" s="112">
        <v>3.88</v>
      </c>
    </row>
    <row r="58" spans="1:17" customFormat="1">
      <c r="A58" s="80">
        <v>45469.520833333336</v>
      </c>
      <c r="B58" s="112">
        <v>9.32</v>
      </c>
      <c r="C58" s="112">
        <v>4.0999999999999996</v>
      </c>
      <c r="D58" s="112">
        <v>14.06</v>
      </c>
      <c r="E58" s="112">
        <v>11.52</v>
      </c>
      <c r="F58" s="112">
        <v>33.340000000000003</v>
      </c>
      <c r="G58" s="112">
        <v>30.09</v>
      </c>
      <c r="H58" s="112">
        <v>12.85</v>
      </c>
      <c r="I58" s="112">
        <v>6.41</v>
      </c>
      <c r="J58" s="112">
        <v>0.43</v>
      </c>
      <c r="K58" s="112">
        <v>312.08</v>
      </c>
      <c r="L58" s="112">
        <v>36.619999999999997</v>
      </c>
      <c r="M58" s="112">
        <v>49.21</v>
      </c>
      <c r="N58" s="112">
        <v>883.9</v>
      </c>
      <c r="O58" s="112">
        <v>0</v>
      </c>
      <c r="P58" s="112">
        <v>0.5</v>
      </c>
      <c r="Q58" s="112">
        <v>3.88</v>
      </c>
    </row>
    <row r="59" spans="1:17" customFormat="1">
      <c r="A59" s="80">
        <v>45469.53125</v>
      </c>
      <c r="B59" s="112">
        <v>9.32</v>
      </c>
      <c r="C59" s="112">
        <v>4.09</v>
      </c>
      <c r="D59" s="112">
        <v>14.06</v>
      </c>
      <c r="E59" s="112">
        <v>11.32</v>
      </c>
      <c r="F59" s="112">
        <v>16.29</v>
      </c>
      <c r="G59" s="112">
        <v>30.09</v>
      </c>
      <c r="H59" s="112">
        <v>12.85</v>
      </c>
      <c r="I59" s="112">
        <v>6.37</v>
      </c>
      <c r="J59" s="112">
        <v>0.24</v>
      </c>
      <c r="K59" s="112">
        <v>94.34</v>
      </c>
      <c r="L59" s="112">
        <v>37.369999999999997</v>
      </c>
      <c r="M59" s="112">
        <v>49.01</v>
      </c>
      <c r="N59" s="112">
        <v>451.1</v>
      </c>
      <c r="O59" s="112">
        <v>0</v>
      </c>
      <c r="P59" s="112">
        <v>0.49</v>
      </c>
      <c r="Q59" s="112">
        <v>3.88</v>
      </c>
    </row>
    <row r="60" spans="1:17" customFormat="1">
      <c r="A60" s="80">
        <v>45469.541666666664</v>
      </c>
      <c r="B60" s="112">
        <v>9.31</v>
      </c>
      <c r="C60" s="112">
        <v>4.08</v>
      </c>
      <c r="D60" s="112">
        <v>14.05</v>
      </c>
      <c r="E60" s="112">
        <v>12.41</v>
      </c>
      <c r="F60" s="112">
        <v>18.239999999999998</v>
      </c>
      <c r="G60" s="112">
        <v>35.130000000000003</v>
      </c>
      <c r="H60" s="112">
        <v>11.89</v>
      </c>
      <c r="I60" s="112">
        <v>6.08</v>
      </c>
      <c r="J60" s="112">
        <v>0.76</v>
      </c>
      <c r="K60" s="112">
        <v>78.22</v>
      </c>
      <c r="L60" s="112">
        <v>36.24</v>
      </c>
      <c r="M60" s="112">
        <v>54.4</v>
      </c>
      <c r="N60" s="112">
        <v>436.3</v>
      </c>
      <c r="O60" s="112">
        <v>0</v>
      </c>
      <c r="P60" s="112">
        <v>0.49</v>
      </c>
      <c r="Q60" s="112">
        <v>3.87</v>
      </c>
    </row>
    <row r="61" spans="1:17" customFormat="1">
      <c r="A61" s="80">
        <v>45469.552083333336</v>
      </c>
      <c r="B61" s="112">
        <v>9.33</v>
      </c>
      <c r="C61" s="112">
        <v>4.0599999999999996</v>
      </c>
      <c r="D61" s="112">
        <v>14.06</v>
      </c>
      <c r="E61" s="112">
        <v>13.53</v>
      </c>
      <c r="F61" s="112">
        <v>20.190000000000001</v>
      </c>
      <c r="G61" s="112">
        <v>39.96</v>
      </c>
      <c r="H61" s="112">
        <v>11.45</v>
      </c>
      <c r="I61" s="112">
        <v>6.38</v>
      </c>
      <c r="J61" s="112">
        <v>0.93</v>
      </c>
      <c r="K61" s="112">
        <v>70.81</v>
      </c>
      <c r="L61" s="112">
        <v>36.82</v>
      </c>
      <c r="M61" s="112">
        <v>51.81</v>
      </c>
      <c r="N61" s="112">
        <v>719.6</v>
      </c>
      <c r="O61" s="112">
        <v>0</v>
      </c>
      <c r="P61" s="112">
        <v>0.5</v>
      </c>
      <c r="Q61" s="112">
        <v>3.85</v>
      </c>
    </row>
    <row r="62" spans="1:17" customFormat="1">
      <c r="A62" s="80">
        <v>45469.5625</v>
      </c>
      <c r="B62" s="112">
        <v>9.2899999999999991</v>
      </c>
      <c r="C62" s="112">
        <v>4.07</v>
      </c>
      <c r="D62" s="112">
        <v>14.02</v>
      </c>
      <c r="E62" s="112">
        <v>13.56</v>
      </c>
      <c r="F62" s="112">
        <v>23.8</v>
      </c>
      <c r="G62" s="112">
        <v>39.96</v>
      </c>
      <c r="H62" s="112">
        <v>11.45</v>
      </c>
      <c r="I62" s="112">
        <v>6.19</v>
      </c>
      <c r="J62" s="112">
        <v>0.57999999999999996</v>
      </c>
      <c r="K62" s="112">
        <v>87.26</v>
      </c>
      <c r="L62" s="112">
        <v>37.770000000000003</v>
      </c>
      <c r="M62" s="112">
        <v>47.85</v>
      </c>
      <c r="N62" s="112">
        <v>539.20000000000005</v>
      </c>
      <c r="O62" s="112">
        <v>0</v>
      </c>
      <c r="P62" s="112">
        <v>0.49</v>
      </c>
      <c r="Q62" s="112">
        <v>3.85</v>
      </c>
    </row>
    <row r="63" spans="1:17" customFormat="1">
      <c r="A63" s="80">
        <v>45469.572916666664</v>
      </c>
      <c r="B63" s="112">
        <v>9.23</v>
      </c>
      <c r="C63" s="112">
        <v>4.08</v>
      </c>
      <c r="D63" s="112">
        <v>13.98</v>
      </c>
      <c r="E63" s="112">
        <v>13.2</v>
      </c>
      <c r="F63" s="112">
        <v>23.8</v>
      </c>
      <c r="G63" s="112">
        <v>39.96</v>
      </c>
      <c r="H63" s="112">
        <v>11.45</v>
      </c>
      <c r="I63" s="112">
        <v>6.05</v>
      </c>
      <c r="J63" s="112">
        <v>0.41</v>
      </c>
      <c r="K63" s="112">
        <v>74.94</v>
      </c>
      <c r="L63" s="112">
        <v>38.619999999999997</v>
      </c>
      <c r="M63" s="112">
        <v>47.73</v>
      </c>
      <c r="N63" s="112">
        <v>335.9</v>
      </c>
      <c r="O63" s="112">
        <v>0</v>
      </c>
      <c r="P63" s="112">
        <v>0.49</v>
      </c>
      <c r="Q63" s="112">
        <v>3.85</v>
      </c>
    </row>
    <row r="64" spans="1:17" customFormat="1">
      <c r="A64" s="80">
        <v>45469.583333333336</v>
      </c>
      <c r="B64" s="112">
        <v>9.2100000000000009</v>
      </c>
      <c r="C64" s="112">
        <v>4.0999999999999996</v>
      </c>
      <c r="D64" s="112">
        <v>13.98</v>
      </c>
      <c r="E64" s="112">
        <v>12.96</v>
      </c>
      <c r="F64" s="112">
        <v>34.86</v>
      </c>
      <c r="G64" s="112">
        <v>39.94</v>
      </c>
      <c r="H64" s="112">
        <v>12.95</v>
      </c>
      <c r="I64" s="112">
        <v>5.98</v>
      </c>
      <c r="J64" s="112">
        <v>0.42</v>
      </c>
      <c r="K64" s="112">
        <v>84.28</v>
      </c>
      <c r="L64" s="112">
        <v>37.53</v>
      </c>
      <c r="M64" s="112">
        <v>49.21</v>
      </c>
      <c r="N64" s="112">
        <v>347.3</v>
      </c>
      <c r="O64" s="112">
        <v>0</v>
      </c>
      <c r="P64" s="112">
        <v>0.49</v>
      </c>
      <c r="Q64" s="112">
        <v>3.87</v>
      </c>
    </row>
    <row r="65" spans="1:17" customFormat="1">
      <c r="A65" s="80">
        <v>45469.59375</v>
      </c>
      <c r="B65" s="112">
        <v>9.18</v>
      </c>
      <c r="C65" s="112">
        <v>4.0599999999999996</v>
      </c>
      <c r="D65" s="112">
        <v>13.94</v>
      </c>
      <c r="E65" s="112">
        <v>13.65</v>
      </c>
      <c r="F65" s="112">
        <v>37.07</v>
      </c>
      <c r="G65" s="112">
        <v>39.93</v>
      </c>
      <c r="H65" s="112">
        <v>14.46</v>
      </c>
      <c r="I65" s="112">
        <v>5.82</v>
      </c>
      <c r="J65" s="112">
        <v>0.37</v>
      </c>
      <c r="K65" s="112">
        <v>78.010000000000005</v>
      </c>
      <c r="L65" s="112">
        <v>37.729999999999997</v>
      </c>
      <c r="M65" s="112">
        <v>48.4</v>
      </c>
      <c r="N65" s="112">
        <v>488.4</v>
      </c>
      <c r="O65" s="112">
        <v>0</v>
      </c>
      <c r="P65" s="112">
        <v>0.48</v>
      </c>
      <c r="Q65" s="112">
        <v>3.86</v>
      </c>
    </row>
    <row r="66" spans="1:17" customFormat="1">
      <c r="A66" s="80">
        <v>45469.604166666664</v>
      </c>
      <c r="B66" s="112">
        <v>9.17</v>
      </c>
      <c r="C66" s="112">
        <v>4.07</v>
      </c>
      <c r="D66" s="112">
        <v>13.93</v>
      </c>
      <c r="E66" s="112">
        <v>12.79</v>
      </c>
      <c r="F66" s="112">
        <v>31.74</v>
      </c>
      <c r="G66" s="112">
        <v>39.93</v>
      </c>
      <c r="H66" s="112">
        <v>14.46</v>
      </c>
      <c r="I66" s="112">
        <v>5.65</v>
      </c>
      <c r="J66" s="112">
        <v>0.43</v>
      </c>
      <c r="K66" s="112">
        <v>96.06</v>
      </c>
      <c r="L66" s="112">
        <v>37.71</v>
      </c>
      <c r="M66" s="112">
        <v>48.2</v>
      </c>
      <c r="N66" s="112">
        <v>349.2</v>
      </c>
      <c r="O66" s="112">
        <v>0</v>
      </c>
      <c r="P66" s="112">
        <v>0.52</v>
      </c>
      <c r="Q66" s="112">
        <v>3.83</v>
      </c>
    </row>
    <row r="67" spans="1:17" customFormat="1">
      <c r="A67" s="80">
        <v>45469.614583333336</v>
      </c>
      <c r="B67" s="112">
        <v>9.2100000000000009</v>
      </c>
      <c r="C67" s="112">
        <v>4.0599999999999996</v>
      </c>
      <c r="D67" s="112">
        <v>13.95</v>
      </c>
      <c r="E67" s="112">
        <v>13.23</v>
      </c>
      <c r="F67" s="112">
        <v>36.479999999999997</v>
      </c>
      <c r="G67" s="112">
        <v>39.93</v>
      </c>
      <c r="H67" s="112">
        <v>14.46</v>
      </c>
      <c r="I67" s="112">
        <v>5.51</v>
      </c>
      <c r="J67" s="112">
        <v>0.43</v>
      </c>
      <c r="K67" s="112">
        <v>82.12</v>
      </c>
      <c r="L67" s="112">
        <v>37.03</v>
      </c>
      <c r="M67" s="112">
        <v>50.17</v>
      </c>
      <c r="N67" s="112">
        <v>174.9</v>
      </c>
      <c r="O67" s="112">
        <v>0</v>
      </c>
      <c r="P67" s="112">
        <v>0.51</v>
      </c>
      <c r="Q67" s="112">
        <v>3.83</v>
      </c>
    </row>
    <row r="68" spans="1:17" customFormat="1">
      <c r="A68" s="80">
        <v>45469.625</v>
      </c>
      <c r="B68" s="112">
        <v>9.2100000000000009</v>
      </c>
      <c r="C68" s="112">
        <v>4.09</v>
      </c>
      <c r="D68" s="112">
        <v>13.98</v>
      </c>
      <c r="E68" s="112">
        <v>13.93</v>
      </c>
      <c r="F68" s="112">
        <v>38.08</v>
      </c>
      <c r="G68" s="112">
        <v>42.36</v>
      </c>
      <c r="H68" s="112">
        <v>13.08</v>
      </c>
      <c r="I68" s="112">
        <v>5.68</v>
      </c>
      <c r="J68" s="112">
        <v>0.23</v>
      </c>
      <c r="K68" s="112">
        <v>113.67</v>
      </c>
      <c r="L68" s="112">
        <v>36.6</v>
      </c>
      <c r="M68" s="112">
        <v>52.13</v>
      </c>
      <c r="N68" s="112">
        <v>280.60000000000002</v>
      </c>
      <c r="O68" s="112">
        <v>0</v>
      </c>
      <c r="P68" s="112">
        <v>0.52</v>
      </c>
      <c r="Q68" s="112">
        <v>3.84</v>
      </c>
    </row>
    <row r="69" spans="1:17" customFormat="1">
      <c r="A69" s="80">
        <v>45469.635416666664</v>
      </c>
      <c r="B69" s="112">
        <v>9.19</v>
      </c>
      <c r="C69" s="112">
        <v>4.1100000000000003</v>
      </c>
      <c r="D69" s="112">
        <v>13.97</v>
      </c>
      <c r="E69" s="112">
        <v>17.079999999999998</v>
      </c>
      <c r="F69" s="112">
        <v>30.67</v>
      </c>
      <c r="G69" s="112">
        <v>44.7</v>
      </c>
      <c r="H69" s="112">
        <v>12.43</v>
      </c>
      <c r="I69" s="112">
        <v>5.31</v>
      </c>
      <c r="J69" s="112">
        <v>0.16</v>
      </c>
      <c r="K69" s="112">
        <v>-0.09</v>
      </c>
      <c r="L69" s="112">
        <v>36.93</v>
      </c>
      <c r="M69" s="112">
        <v>49.7</v>
      </c>
      <c r="N69" s="112">
        <v>244.1</v>
      </c>
      <c r="O69" s="112">
        <v>0</v>
      </c>
      <c r="P69" s="112">
        <v>0.51</v>
      </c>
      <c r="Q69" s="112">
        <v>3.81</v>
      </c>
    </row>
    <row r="70" spans="1:17" customFormat="1">
      <c r="A70" s="80">
        <v>45469.645833333336</v>
      </c>
      <c r="B70" s="112">
        <v>9.18</v>
      </c>
      <c r="C70" s="112">
        <v>4.0599999999999996</v>
      </c>
      <c r="D70" s="112">
        <v>13.93</v>
      </c>
      <c r="E70" s="112">
        <v>26.92</v>
      </c>
      <c r="F70" s="112">
        <v>103.64</v>
      </c>
      <c r="G70" s="112">
        <v>44.7</v>
      </c>
      <c r="H70" s="112">
        <v>12.43</v>
      </c>
      <c r="I70" s="112">
        <v>5.48</v>
      </c>
      <c r="J70" s="112">
        <v>0.37</v>
      </c>
      <c r="K70" s="112">
        <v>198.43</v>
      </c>
      <c r="L70" s="112">
        <v>36.049999999999997</v>
      </c>
      <c r="M70" s="112">
        <v>51.83</v>
      </c>
      <c r="N70" s="112">
        <v>223.3</v>
      </c>
      <c r="O70" s="112">
        <v>0</v>
      </c>
      <c r="P70" s="112">
        <v>0.44</v>
      </c>
      <c r="Q70" s="112">
        <v>2.85</v>
      </c>
    </row>
    <row r="71" spans="1:17" customFormat="1">
      <c r="A71" s="80">
        <v>45469.65625</v>
      </c>
      <c r="B71" s="112">
        <v>9.1999999999999993</v>
      </c>
      <c r="C71" s="112">
        <v>4.07</v>
      </c>
      <c r="D71" s="112">
        <v>13.96</v>
      </c>
      <c r="E71" s="112">
        <v>26.94</v>
      </c>
      <c r="F71" s="112">
        <v>70.33</v>
      </c>
      <c r="G71" s="112">
        <v>44.7</v>
      </c>
      <c r="H71" s="112">
        <v>12.43</v>
      </c>
      <c r="I71" s="112">
        <v>5.47</v>
      </c>
      <c r="J71" s="112">
        <v>1.21</v>
      </c>
      <c r="K71" s="112">
        <v>252.77</v>
      </c>
      <c r="L71" s="112">
        <v>33.96</v>
      </c>
      <c r="M71" s="112">
        <v>59</v>
      </c>
      <c r="N71" s="112">
        <v>167.5</v>
      </c>
      <c r="O71" s="112">
        <v>0</v>
      </c>
      <c r="P71" s="112">
        <v>0.46</v>
      </c>
      <c r="Q71" s="167" t="s">
        <v>14</v>
      </c>
    </row>
    <row r="72" spans="1:17" customFormat="1">
      <c r="A72" s="80">
        <v>45469.666666666664</v>
      </c>
      <c r="B72" s="112">
        <v>9.23</v>
      </c>
      <c r="C72" s="112">
        <v>4.12</v>
      </c>
      <c r="D72" s="112">
        <v>14</v>
      </c>
      <c r="E72" s="151" t="s">
        <v>12</v>
      </c>
      <c r="F72" s="151" t="s">
        <v>12</v>
      </c>
      <c r="G72" s="151" t="s">
        <v>12</v>
      </c>
      <c r="H72" s="151" t="s">
        <v>12</v>
      </c>
      <c r="I72" s="112">
        <v>4.8</v>
      </c>
      <c r="J72" s="112">
        <v>1.03</v>
      </c>
      <c r="K72" s="112">
        <v>247.01</v>
      </c>
      <c r="L72" s="112">
        <v>31.69</v>
      </c>
      <c r="M72" s="112">
        <v>67.069999999999993</v>
      </c>
      <c r="N72" s="112">
        <v>170.1</v>
      </c>
      <c r="O72" s="112">
        <v>0</v>
      </c>
      <c r="P72" s="112">
        <v>0.43</v>
      </c>
      <c r="Q72" s="112">
        <v>4.79</v>
      </c>
    </row>
    <row r="73" spans="1:17" customFormat="1">
      <c r="A73" s="80">
        <v>45469.677083333336</v>
      </c>
      <c r="B73" s="112">
        <v>9.24</v>
      </c>
      <c r="C73" s="112">
        <v>4.08</v>
      </c>
      <c r="D73" s="112">
        <v>13.99</v>
      </c>
      <c r="E73" s="151" t="s">
        <v>12</v>
      </c>
      <c r="F73" s="151" t="s">
        <v>12</v>
      </c>
      <c r="G73" s="151" t="s">
        <v>12</v>
      </c>
      <c r="H73" s="151" t="s">
        <v>12</v>
      </c>
      <c r="I73" s="112">
        <v>4.5999999999999996</v>
      </c>
      <c r="J73" s="112">
        <v>1.18</v>
      </c>
      <c r="K73" s="112">
        <v>257.64999999999998</v>
      </c>
      <c r="L73" s="112">
        <v>30.76</v>
      </c>
      <c r="M73" s="112">
        <v>71.66</v>
      </c>
      <c r="N73" s="112">
        <v>99.4</v>
      </c>
      <c r="O73" s="112">
        <v>0</v>
      </c>
      <c r="P73" s="112">
        <v>0.41</v>
      </c>
      <c r="Q73" s="112">
        <v>4.95</v>
      </c>
    </row>
    <row r="74" spans="1:17" customFormat="1">
      <c r="A74" s="80">
        <v>45469.6875</v>
      </c>
      <c r="B74" s="112">
        <v>9.26</v>
      </c>
      <c r="C74" s="112">
        <v>4.08</v>
      </c>
      <c r="D74" s="112">
        <v>14.01</v>
      </c>
      <c r="E74" s="112">
        <v>8.9</v>
      </c>
      <c r="F74" s="112">
        <v>34.89</v>
      </c>
      <c r="G74" s="151" t="s">
        <v>12</v>
      </c>
      <c r="H74" s="151" t="s">
        <v>12</v>
      </c>
      <c r="I74" s="112">
        <v>7.43</v>
      </c>
      <c r="J74" s="112">
        <v>2.19</v>
      </c>
      <c r="K74" s="112">
        <v>291.95999999999998</v>
      </c>
      <c r="L74" s="112">
        <v>30.53</v>
      </c>
      <c r="M74" s="112">
        <v>72.989999999999995</v>
      </c>
      <c r="N74" s="112">
        <v>105.2</v>
      </c>
      <c r="O74" s="112">
        <v>0</v>
      </c>
      <c r="P74" s="112">
        <v>0.43</v>
      </c>
      <c r="Q74" s="112">
        <v>4.97</v>
      </c>
    </row>
    <row r="75" spans="1:17" customFormat="1">
      <c r="A75" s="80">
        <v>45469.697916666664</v>
      </c>
      <c r="B75" s="112">
        <v>9.2799999999999994</v>
      </c>
      <c r="C75" s="167" t="s">
        <v>14</v>
      </c>
      <c r="D75" s="112">
        <v>14.06</v>
      </c>
      <c r="E75" s="112">
        <v>10.83</v>
      </c>
      <c r="F75" s="112">
        <v>23.91</v>
      </c>
      <c r="G75" s="151" t="s">
        <v>12</v>
      </c>
      <c r="H75" s="151" t="s">
        <v>12</v>
      </c>
      <c r="I75" s="112">
        <v>13.92</v>
      </c>
      <c r="J75" s="112">
        <v>2.67</v>
      </c>
      <c r="K75" s="112">
        <v>270</v>
      </c>
      <c r="L75" s="112">
        <v>28.82</v>
      </c>
      <c r="M75" s="112">
        <v>81.510000000000005</v>
      </c>
      <c r="N75" s="112">
        <v>59.1</v>
      </c>
      <c r="O75" s="112">
        <v>0</v>
      </c>
      <c r="P75" s="112">
        <v>0.45</v>
      </c>
      <c r="Q75" s="167" t="s">
        <v>14</v>
      </c>
    </row>
    <row r="76" spans="1:17" customFormat="1">
      <c r="A76" s="80">
        <v>45469.708333333336</v>
      </c>
      <c r="B76" s="112">
        <v>9.2899999999999991</v>
      </c>
      <c r="C76" s="112">
        <v>4.0599999999999996</v>
      </c>
      <c r="D76" s="112">
        <v>14.03</v>
      </c>
      <c r="E76" s="112">
        <v>10</v>
      </c>
      <c r="F76" s="112">
        <v>19.64</v>
      </c>
      <c r="G76" s="151" t="s">
        <v>12</v>
      </c>
      <c r="H76" s="151" t="s">
        <v>12</v>
      </c>
      <c r="I76" s="112">
        <v>16.329999999999998</v>
      </c>
      <c r="J76" s="112">
        <v>2.37</v>
      </c>
      <c r="K76" s="112">
        <v>309.26</v>
      </c>
      <c r="L76" s="112">
        <v>28.04</v>
      </c>
      <c r="M76" s="112">
        <v>79.459999999999994</v>
      </c>
      <c r="N76" s="112">
        <v>10.3</v>
      </c>
      <c r="O76" s="112">
        <v>0</v>
      </c>
      <c r="P76" s="112">
        <v>0.44</v>
      </c>
      <c r="Q76" s="112">
        <v>4.99</v>
      </c>
    </row>
    <row r="77" spans="1:17" customFormat="1">
      <c r="A77" s="80">
        <v>45469.71875</v>
      </c>
      <c r="B77" s="112">
        <v>9.26</v>
      </c>
      <c r="C77" s="112">
        <v>4.08</v>
      </c>
      <c r="D77" s="112">
        <v>14.01</v>
      </c>
      <c r="E77" s="112">
        <v>8.8800000000000008</v>
      </c>
      <c r="F77" s="112">
        <v>16.77</v>
      </c>
      <c r="G77" s="151" t="s">
        <v>12</v>
      </c>
      <c r="H77" s="151" t="s">
        <v>12</v>
      </c>
      <c r="I77" s="112">
        <v>14</v>
      </c>
      <c r="J77" s="112">
        <v>0.2</v>
      </c>
      <c r="K77" s="112">
        <v>323.33999999999997</v>
      </c>
      <c r="L77" s="112">
        <v>27.52</v>
      </c>
      <c r="M77" s="112">
        <v>87.87</v>
      </c>
      <c r="N77" s="112">
        <v>6.2</v>
      </c>
      <c r="O77" s="112">
        <v>2.4</v>
      </c>
      <c r="P77" s="112">
        <v>0.45</v>
      </c>
      <c r="Q77" s="112">
        <v>4.9800000000000004</v>
      </c>
    </row>
    <row r="78" spans="1:17" customFormat="1">
      <c r="A78" s="80">
        <v>45469.729166666664</v>
      </c>
      <c r="B78" s="112">
        <v>9.24</v>
      </c>
      <c r="C78" s="112">
        <v>4.08</v>
      </c>
      <c r="D78" s="112">
        <v>13.99</v>
      </c>
      <c r="E78" s="112">
        <v>6.97</v>
      </c>
      <c r="F78" s="112">
        <v>17.64</v>
      </c>
      <c r="G78" s="112">
        <v>10.75</v>
      </c>
      <c r="H78" s="112">
        <v>3.38</v>
      </c>
      <c r="I78" s="112">
        <v>11.94</v>
      </c>
      <c r="J78" s="112">
        <v>0.17</v>
      </c>
      <c r="K78" s="112">
        <v>85.05</v>
      </c>
      <c r="L78" s="112">
        <v>26.63</v>
      </c>
      <c r="M78" s="112">
        <v>98.16</v>
      </c>
      <c r="N78" s="112">
        <v>3.5</v>
      </c>
      <c r="O78" s="112">
        <v>4.4000000000000004</v>
      </c>
      <c r="P78" s="112">
        <v>0.44</v>
      </c>
      <c r="Q78" s="112">
        <v>4.99</v>
      </c>
    </row>
    <row r="79" spans="1:17" customFormat="1">
      <c r="A79" s="80">
        <v>45469.739583333336</v>
      </c>
      <c r="B79" s="112">
        <v>9.2799999999999994</v>
      </c>
      <c r="C79" s="112">
        <v>4.08</v>
      </c>
      <c r="D79" s="112">
        <v>14.02</v>
      </c>
      <c r="E79" s="112">
        <v>7.13</v>
      </c>
      <c r="F79" s="112">
        <v>20.53</v>
      </c>
      <c r="G79" s="112">
        <v>26.87</v>
      </c>
      <c r="H79" s="112">
        <v>6.37</v>
      </c>
      <c r="I79" s="112">
        <v>10.89</v>
      </c>
      <c r="J79" s="112">
        <v>0.2</v>
      </c>
      <c r="K79" s="112">
        <v>69.31</v>
      </c>
      <c r="L79" s="112">
        <v>26.15</v>
      </c>
      <c r="M79" s="112">
        <v>103.34</v>
      </c>
      <c r="N79" s="112">
        <v>3.5</v>
      </c>
      <c r="O79" s="112">
        <v>1.2</v>
      </c>
      <c r="P79" s="112">
        <v>0.44</v>
      </c>
      <c r="Q79" s="112">
        <v>4.99</v>
      </c>
    </row>
    <row r="80" spans="1:17" customFormat="1">
      <c r="A80" s="80">
        <v>45469.75</v>
      </c>
      <c r="B80" s="112">
        <v>9.31</v>
      </c>
      <c r="C80" s="112">
        <v>4.04</v>
      </c>
      <c r="D80" s="112">
        <v>14.03</v>
      </c>
      <c r="E80" s="112">
        <v>6.37</v>
      </c>
      <c r="F80" s="112">
        <v>10.47</v>
      </c>
      <c r="G80" s="112">
        <v>26.87</v>
      </c>
      <c r="H80" s="112">
        <v>6.37</v>
      </c>
      <c r="I80" s="112">
        <v>8.6199999999999992</v>
      </c>
      <c r="J80" s="112">
        <v>0.56999999999999995</v>
      </c>
      <c r="K80" s="112">
        <v>52.81</v>
      </c>
      <c r="L80" s="112">
        <v>26.09</v>
      </c>
      <c r="M80" s="112">
        <v>102.94</v>
      </c>
      <c r="N80" s="112">
        <v>3</v>
      </c>
      <c r="O80" s="112">
        <v>1</v>
      </c>
      <c r="P80" s="112">
        <v>0.53</v>
      </c>
      <c r="Q80" s="112">
        <v>5</v>
      </c>
    </row>
    <row r="81" spans="1:17" customFormat="1">
      <c r="A81" s="80">
        <v>45469.760416666664</v>
      </c>
      <c r="B81" s="112">
        <v>9.23</v>
      </c>
      <c r="C81" s="112">
        <v>4.0599999999999996</v>
      </c>
      <c r="D81" s="112">
        <v>13.98</v>
      </c>
      <c r="E81" s="112">
        <v>5.55</v>
      </c>
      <c r="F81" s="112">
        <v>10.19</v>
      </c>
      <c r="G81" s="112">
        <v>26.87</v>
      </c>
      <c r="H81" s="112">
        <v>6.37</v>
      </c>
      <c r="I81" s="112">
        <v>6.87</v>
      </c>
      <c r="J81" s="112">
        <v>0.27</v>
      </c>
      <c r="K81" s="112">
        <v>91.59</v>
      </c>
      <c r="L81" s="112">
        <v>26.31</v>
      </c>
      <c r="M81" s="112">
        <v>102.24</v>
      </c>
      <c r="N81" s="112">
        <v>2.4</v>
      </c>
      <c r="O81" s="112">
        <v>0.4</v>
      </c>
      <c r="P81" s="112">
        <v>0.52</v>
      </c>
      <c r="Q81" s="112">
        <v>5.01</v>
      </c>
    </row>
    <row r="82" spans="1:17" customFormat="1">
      <c r="A82" s="80">
        <v>45469.770833333336</v>
      </c>
      <c r="B82" s="112">
        <v>9.18</v>
      </c>
      <c r="C82" s="112">
        <v>4.07</v>
      </c>
      <c r="D82" s="112">
        <v>13.94</v>
      </c>
      <c r="E82" s="112">
        <v>6.28</v>
      </c>
      <c r="F82" s="112">
        <v>7.74</v>
      </c>
      <c r="G82" s="112">
        <v>27.25</v>
      </c>
      <c r="H82" s="112">
        <v>7.17</v>
      </c>
      <c r="I82" s="112">
        <v>7.14</v>
      </c>
      <c r="J82" s="112">
        <v>1.23</v>
      </c>
      <c r="K82" s="112">
        <v>57.22</v>
      </c>
      <c r="L82" s="112">
        <v>26.34</v>
      </c>
      <c r="M82" s="112">
        <v>101.82</v>
      </c>
      <c r="N82" s="112">
        <v>2.6</v>
      </c>
      <c r="O82" s="112">
        <v>0</v>
      </c>
      <c r="P82" s="112">
        <v>0.56000000000000005</v>
      </c>
      <c r="Q82" s="112">
        <v>5</v>
      </c>
    </row>
    <row r="83" spans="1:17" customFormat="1">
      <c r="A83" s="80">
        <v>45469.78125</v>
      </c>
      <c r="B83" s="112">
        <v>9.1999999999999993</v>
      </c>
      <c r="C83" s="112">
        <v>4.07</v>
      </c>
      <c r="D83" s="112">
        <v>13.96</v>
      </c>
      <c r="E83" s="112">
        <v>5.72</v>
      </c>
      <c r="F83" s="112">
        <v>4.95</v>
      </c>
      <c r="G83" s="112">
        <v>27.83</v>
      </c>
      <c r="H83" s="112">
        <v>7.88</v>
      </c>
      <c r="I83" s="112">
        <v>6.84</v>
      </c>
      <c r="J83" s="112">
        <v>0.45</v>
      </c>
      <c r="K83" s="112">
        <v>101.16</v>
      </c>
      <c r="L83" s="112">
        <v>26.62</v>
      </c>
      <c r="M83" s="112">
        <v>101.31</v>
      </c>
      <c r="N83" s="112">
        <v>2.1</v>
      </c>
      <c r="O83" s="112">
        <v>0</v>
      </c>
      <c r="P83" s="112">
        <v>0.56000000000000005</v>
      </c>
      <c r="Q83" s="112">
        <v>4.99</v>
      </c>
    </row>
    <row r="84" spans="1:17" customFormat="1">
      <c r="A84" s="80">
        <v>45469.791666666664</v>
      </c>
      <c r="B84" s="112">
        <v>9.1999999999999993</v>
      </c>
      <c r="C84" s="112">
        <v>4.09</v>
      </c>
      <c r="D84" s="112">
        <v>13.96</v>
      </c>
      <c r="E84" s="112">
        <v>5.95</v>
      </c>
      <c r="F84" s="112">
        <v>5.72</v>
      </c>
      <c r="G84" s="112">
        <v>27.83</v>
      </c>
      <c r="H84" s="112">
        <v>7.88</v>
      </c>
      <c r="I84" s="112">
        <v>6.83</v>
      </c>
      <c r="J84" s="112">
        <v>0.25</v>
      </c>
      <c r="K84" s="112">
        <v>71.739999999999995</v>
      </c>
      <c r="L84" s="112">
        <v>26.35</v>
      </c>
      <c r="M84" s="112">
        <v>99.85</v>
      </c>
      <c r="N84" s="112">
        <v>2.7</v>
      </c>
      <c r="O84" s="112">
        <v>0.2</v>
      </c>
      <c r="P84" s="112">
        <v>0.55000000000000004</v>
      </c>
      <c r="Q84" s="112">
        <v>5.01</v>
      </c>
    </row>
    <row r="85" spans="1:17" customFormat="1">
      <c r="A85" s="80">
        <v>45469.802083333336</v>
      </c>
      <c r="B85" s="112">
        <v>9.18</v>
      </c>
      <c r="C85" s="112">
        <v>4.0999999999999996</v>
      </c>
      <c r="D85" s="112">
        <v>13.96</v>
      </c>
      <c r="E85" s="112">
        <v>6.53</v>
      </c>
      <c r="F85" s="112">
        <v>5.52</v>
      </c>
      <c r="G85" s="112">
        <v>27.83</v>
      </c>
      <c r="H85" s="112">
        <v>7.88</v>
      </c>
      <c r="I85" s="112">
        <v>6.89</v>
      </c>
      <c r="J85" s="112">
        <v>0.53</v>
      </c>
      <c r="K85" s="112">
        <v>76.77</v>
      </c>
      <c r="L85" s="112">
        <v>26.29</v>
      </c>
      <c r="M85" s="112">
        <v>100.04</v>
      </c>
      <c r="N85" s="112">
        <v>2.2000000000000002</v>
      </c>
      <c r="O85" s="112">
        <v>0.4</v>
      </c>
      <c r="P85" s="112">
        <v>0.55000000000000004</v>
      </c>
      <c r="Q85" s="112">
        <v>5</v>
      </c>
    </row>
    <row r="86" spans="1:17" customFormat="1">
      <c r="A86" s="80">
        <v>45469.8125</v>
      </c>
      <c r="B86" s="112">
        <v>9.16</v>
      </c>
      <c r="C86" s="112">
        <v>4.09</v>
      </c>
      <c r="D86" s="112">
        <v>13.94</v>
      </c>
      <c r="E86" s="112">
        <v>6.59</v>
      </c>
      <c r="F86" s="112">
        <v>5.59</v>
      </c>
      <c r="G86" s="112">
        <v>25.35</v>
      </c>
      <c r="H86" s="112">
        <v>8.69</v>
      </c>
      <c r="I86" s="112">
        <v>6.65</v>
      </c>
      <c r="J86" s="112">
        <v>0.2</v>
      </c>
      <c r="K86" s="112">
        <v>163.36000000000001</v>
      </c>
      <c r="L86" s="112">
        <v>26.32</v>
      </c>
      <c r="M86" s="112">
        <v>100.36</v>
      </c>
      <c r="N86" s="112">
        <v>2</v>
      </c>
      <c r="O86" s="112">
        <v>0.2</v>
      </c>
      <c r="P86" s="112">
        <v>0.53</v>
      </c>
      <c r="Q86" s="112">
        <v>4.97</v>
      </c>
    </row>
    <row r="87" spans="1:17" customFormat="1">
      <c r="A87" s="80">
        <v>45469.822916666664</v>
      </c>
      <c r="B87" s="112">
        <v>9.16</v>
      </c>
      <c r="C87" s="112">
        <v>4.09</v>
      </c>
      <c r="D87" s="112">
        <v>13.93</v>
      </c>
      <c r="E87" s="112">
        <v>6.21</v>
      </c>
      <c r="F87" s="112">
        <v>4.8499999999999996</v>
      </c>
      <c r="G87" s="112">
        <v>21.64</v>
      </c>
      <c r="H87" s="112">
        <v>9.42</v>
      </c>
      <c r="I87" s="112">
        <v>6.71</v>
      </c>
      <c r="J87" s="112">
        <v>0.23</v>
      </c>
      <c r="K87" s="112">
        <v>136.88</v>
      </c>
      <c r="L87" s="112">
        <v>26.47</v>
      </c>
      <c r="M87" s="112">
        <v>100.37</v>
      </c>
      <c r="N87" s="112">
        <v>2</v>
      </c>
      <c r="O87" s="112">
        <v>0</v>
      </c>
      <c r="P87" s="112">
        <v>0.54</v>
      </c>
      <c r="Q87" s="112">
        <v>4.9800000000000004</v>
      </c>
    </row>
    <row r="88" spans="1:17" customFormat="1">
      <c r="A88" s="80">
        <v>45469.833333333336</v>
      </c>
      <c r="B88" s="112">
        <v>9.15</v>
      </c>
      <c r="C88" s="112">
        <v>4.0999999999999996</v>
      </c>
      <c r="D88" s="112">
        <v>13.93</v>
      </c>
      <c r="E88" s="112">
        <v>6.53</v>
      </c>
      <c r="F88" s="112">
        <v>6.67</v>
      </c>
      <c r="G88" s="112">
        <v>21.64</v>
      </c>
      <c r="H88" s="112">
        <v>9.42</v>
      </c>
      <c r="I88" s="112">
        <v>6.55</v>
      </c>
      <c r="J88" s="112">
        <v>0.16</v>
      </c>
      <c r="K88" s="112">
        <v>161.06</v>
      </c>
      <c r="L88" s="112">
        <v>26.15</v>
      </c>
      <c r="M88" s="112">
        <v>105.35</v>
      </c>
      <c r="N88" s="112">
        <v>2.2999999999999998</v>
      </c>
      <c r="O88" s="112">
        <v>0.4</v>
      </c>
      <c r="P88" s="112">
        <v>0.52</v>
      </c>
      <c r="Q88" s="112">
        <v>4.99</v>
      </c>
    </row>
    <row r="89" spans="1:17" customFormat="1">
      <c r="A89" s="80">
        <v>45469.84375</v>
      </c>
      <c r="B89" s="112">
        <v>9.17</v>
      </c>
      <c r="C89" s="112">
        <v>4.09</v>
      </c>
      <c r="D89" s="112">
        <v>13.94</v>
      </c>
      <c r="E89" s="112">
        <v>6.79</v>
      </c>
      <c r="F89" s="112">
        <v>6.47</v>
      </c>
      <c r="G89" s="112">
        <v>21.64</v>
      </c>
      <c r="H89" s="112">
        <v>9.42</v>
      </c>
      <c r="I89" s="112">
        <v>6.46</v>
      </c>
      <c r="J89" s="112">
        <v>0.26</v>
      </c>
      <c r="K89" s="112">
        <v>225.23</v>
      </c>
      <c r="L89" s="112">
        <v>25.96</v>
      </c>
      <c r="M89" s="112">
        <v>98.89</v>
      </c>
      <c r="N89" s="112">
        <v>2.4</v>
      </c>
      <c r="O89" s="112">
        <v>0.6</v>
      </c>
      <c r="P89" s="112">
        <v>0.52</v>
      </c>
      <c r="Q89" s="112">
        <v>5</v>
      </c>
    </row>
    <row r="90" spans="1:17" customFormat="1">
      <c r="A90" s="80">
        <v>45469.854166666664</v>
      </c>
      <c r="B90" s="112">
        <v>9.16</v>
      </c>
      <c r="C90" s="112">
        <v>4.07</v>
      </c>
      <c r="D90" s="112">
        <v>13.93</v>
      </c>
      <c r="E90" s="112">
        <v>6.68</v>
      </c>
      <c r="F90" s="112">
        <v>6.21</v>
      </c>
      <c r="G90" s="112">
        <v>19.760000000000002</v>
      </c>
      <c r="H90" s="112">
        <v>8</v>
      </c>
      <c r="I90" s="112">
        <v>6.2</v>
      </c>
      <c r="J90" s="112">
        <v>0</v>
      </c>
      <c r="K90" s="112">
        <v>84.39</v>
      </c>
      <c r="L90" s="112">
        <v>25.91</v>
      </c>
      <c r="M90" s="112">
        <v>99.15</v>
      </c>
      <c r="N90" s="112">
        <v>1.9</v>
      </c>
      <c r="O90" s="112">
        <v>0.4</v>
      </c>
      <c r="P90" s="112">
        <v>0.51</v>
      </c>
      <c r="Q90" s="112">
        <v>5</v>
      </c>
    </row>
    <row r="91" spans="1:17" customFormat="1">
      <c r="A91" s="80">
        <v>45469.864583333336</v>
      </c>
      <c r="B91" s="112">
        <v>9.16</v>
      </c>
      <c r="C91" s="112">
        <v>4.09</v>
      </c>
      <c r="D91" s="112">
        <v>13.93</v>
      </c>
      <c r="E91" s="112">
        <v>7</v>
      </c>
      <c r="F91" s="112">
        <v>5.36</v>
      </c>
      <c r="G91" s="112">
        <v>16.940000000000001</v>
      </c>
      <c r="H91" s="112">
        <v>6.75</v>
      </c>
      <c r="I91" s="112">
        <v>6.3</v>
      </c>
      <c r="J91" s="112">
        <v>0.23</v>
      </c>
      <c r="K91" s="112">
        <v>197.47</v>
      </c>
      <c r="L91" s="112">
        <v>25.98</v>
      </c>
      <c r="M91" s="112">
        <v>99.01</v>
      </c>
      <c r="N91" s="112">
        <v>2.2000000000000002</v>
      </c>
      <c r="O91" s="112">
        <v>0.2</v>
      </c>
      <c r="P91" s="112">
        <v>0.5</v>
      </c>
      <c r="Q91" s="112">
        <v>4.99</v>
      </c>
    </row>
    <row r="92" spans="1:17" customFormat="1">
      <c r="A92" s="80">
        <v>45469.875</v>
      </c>
      <c r="B92" s="112">
        <v>9.15</v>
      </c>
      <c r="C92" s="112">
        <v>4.09</v>
      </c>
      <c r="D92" s="112">
        <v>13.93</v>
      </c>
      <c r="E92" s="112">
        <v>6.85</v>
      </c>
      <c r="F92" s="112">
        <v>6.33</v>
      </c>
      <c r="G92" s="112">
        <v>16.940000000000001</v>
      </c>
      <c r="H92" s="112">
        <v>6.75</v>
      </c>
      <c r="I92" s="112">
        <v>6.16</v>
      </c>
      <c r="J92" s="112">
        <v>0.27</v>
      </c>
      <c r="K92" s="112">
        <v>246.15</v>
      </c>
      <c r="L92" s="112">
        <v>25.98</v>
      </c>
      <c r="M92" s="112">
        <v>99.4</v>
      </c>
      <c r="N92" s="112">
        <v>2</v>
      </c>
      <c r="O92" s="112">
        <v>0.2</v>
      </c>
      <c r="P92" s="112">
        <v>0.49</v>
      </c>
      <c r="Q92" s="112">
        <v>4.9800000000000004</v>
      </c>
    </row>
    <row r="93" spans="1:17" customFormat="1">
      <c r="A93" s="80">
        <v>45469.885416666664</v>
      </c>
      <c r="B93" s="112">
        <v>9.16</v>
      </c>
      <c r="C93" s="112">
        <v>4.0599999999999996</v>
      </c>
      <c r="D93" s="112">
        <v>13.92</v>
      </c>
      <c r="E93" s="112">
        <v>7.08</v>
      </c>
      <c r="F93" s="112">
        <v>5.98</v>
      </c>
      <c r="G93" s="112">
        <v>16.940000000000001</v>
      </c>
      <c r="H93" s="112">
        <v>6.75</v>
      </c>
      <c r="I93" s="112">
        <v>5.99</v>
      </c>
      <c r="J93" s="112">
        <v>0.33</v>
      </c>
      <c r="K93" s="112">
        <v>256.62</v>
      </c>
      <c r="L93" s="112">
        <v>26.09</v>
      </c>
      <c r="M93" s="112">
        <v>101.5</v>
      </c>
      <c r="N93" s="112">
        <v>2.1</v>
      </c>
      <c r="O93" s="112">
        <v>0</v>
      </c>
      <c r="P93" s="112">
        <v>0.49</v>
      </c>
      <c r="Q93" s="112">
        <v>4.9800000000000004</v>
      </c>
    </row>
    <row r="94" spans="1:17" customFormat="1">
      <c r="A94" s="80">
        <v>45469.895833333336</v>
      </c>
      <c r="B94" s="112">
        <v>9.15</v>
      </c>
      <c r="C94" s="112">
        <v>4.07</v>
      </c>
      <c r="D94" s="112">
        <v>13.91</v>
      </c>
      <c r="E94" s="112">
        <v>7.26</v>
      </c>
      <c r="F94" s="112">
        <v>5.85</v>
      </c>
      <c r="G94" s="112">
        <v>16.2</v>
      </c>
      <c r="H94" s="112">
        <v>6.92</v>
      </c>
      <c r="I94" s="112">
        <v>5.75</v>
      </c>
      <c r="J94" s="112">
        <v>0.24</v>
      </c>
      <c r="K94" s="112">
        <v>271.99</v>
      </c>
      <c r="L94" s="112">
        <v>26.17</v>
      </c>
      <c r="M94" s="112">
        <v>101.45</v>
      </c>
      <c r="N94" s="112">
        <v>2.1</v>
      </c>
      <c r="O94" s="112">
        <v>0</v>
      </c>
      <c r="P94" s="112">
        <v>0.49</v>
      </c>
      <c r="Q94" s="112">
        <v>4.99</v>
      </c>
    </row>
    <row r="95" spans="1:17" customFormat="1">
      <c r="A95" s="80">
        <v>45469.90625</v>
      </c>
      <c r="B95" s="112">
        <v>9.14</v>
      </c>
      <c r="C95" s="112">
        <v>4.0999999999999996</v>
      </c>
      <c r="D95" s="112">
        <v>13.92</v>
      </c>
      <c r="E95" s="112">
        <v>7.42</v>
      </c>
      <c r="F95" s="112">
        <v>5.79</v>
      </c>
      <c r="G95" s="112">
        <v>15.08</v>
      </c>
      <c r="H95" s="112">
        <v>7.08</v>
      </c>
      <c r="I95" s="112">
        <v>5.77</v>
      </c>
      <c r="J95" s="112">
        <v>0.2</v>
      </c>
      <c r="K95" s="112">
        <v>216.27</v>
      </c>
      <c r="L95" s="112">
        <v>26.34</v>
      </c>
      <c r="M95" s="112">
        <v>99.82</v>
      </c>
      <c r="N95" s="112">
        <v>2</v>
      </c>
      <c r="O95" s="112">
        <v>0</v>
      </c>
      <c r="P95" s="112">
        <v>0.48</v>
      </c>
      <c r="Q95" s="112">
        <v>5.01</v>
      </c>
    </row>
    <row r="96" spans="1:17" customFormat="1">
      <c r="A96" s="80">
        <v>45469.916666666664</v>
      </c>
      <c r="B96" s="112">
        <v>9.1300000000000008</v>
      </c>
      <c r="C96" s="112">
        <v>4.09</v>
      </c>
      <c r="D96" s="112">
        <v>13.91</v>
      </c>
      <c r="E96" s="112">
        <v>7.51</v>
      </c>
      <c r="F96" s="112">
        <v>6.05</v>
      </c>
      <c r="G96" s="112">
        <v>15.08</v>
      </c>
      <c r="H96" s="112">
        <v>7.08</v>
      </c>
      <c r="I96" s="112">
        <v>5.76</v>
      </c>
      <c r="J96" s="112">
        <v>0.2</v>
      </c>
      <c r="K96" s="112">
        <v>222.19</v>
      </c>
      <c r="L96" s="112">
        <v>26.41</v>
      </c>
      <c r="M96" s="112">
        <v>100.29</v>
      </c>
      <c r="N96" s="112">
        <v>2.1</v>
      </c>
      <c r="O96" s="112">
        <v>0</v>
      </c>
      <c r="P96" s="112">
        <v>0.48</v>
      </c>
      <c r="Q96" s="112">
        <v>5</v>
      </c>
    </row>
    <row r="97" spans="1:22" customFormat="1">
      <c r="A97" s="80">
        <v>45469.927083333336</v>
      </c>
      <c r="B97" s="112">
        <v>9.15</v>
      </c>
      <c r="C97" s="112">
        <v>4.07</v>
      </c>
      <c r="D97" s="112">
        <v>13.91</v>
      </c>
      <c r="E97" s="112">
        <v>7.66</v>
      </c>
      <c r="F97" s="112">
        <v>5.65</v>
      </c>
      <c r="G97" s="112">
        <v>15.08</v>
      </c>
      <c r="H97" s="112">
        <v>7.08</v>
      </c>
      <c r="I97" s="112">
        <v>5.51</v>
      </c>
      <c r="J97" s="112">
        <v>0.16</v>
      </c>
      <c r="K97" s="112">
        <v>180.88</v>
      </c>
      <c r="L97" s="112">
        <v>26.41</v>
      </c>
      <c r="M97" s="112">
        <v>100.01</v>
      </c>
      <c r="N97" s="112">
        <v>2.1</v>
      </c>
      <c r="O97" s="112">
        <v>0</v>
      </c>
      <c r="P97" s="112">
        <v>0.48</v>
      </c>
      <c r="Q97" s="112">
        <v>4.9800000000000004</v>
      </c>
    </row>
    <row r="98" spans="1:22" customFormat="1">
      <c r="A98" s="80">
        <v>45469.9375</v>
      </c>
      <c r="B98" s="112">
        <v>9.15</v>
      </c>
      <c r="C98" s="112">
        <v>4.07</v>
      </c>
      <c r="D98" s="112">
        <v>13.92</v>
      </c>
      <c r="E98" s="112">
        <v>7.72</v>
      </c>
      <c r="F98" s="112">
        <v>7.72</v>
      </c>
      <c r="G98" s="112">
        <v>14.09</v>
      </c>
      <c r="H98" s="112">
        <v>6.78</v>
      </c>
      <c r="I98" s="112">
        <v>5.43</v>
      </c>
      <c r="J98" s="112">
        <v>0.14000000000000001</v>
      </c>
      <c r="K98" s="112">
        <v>206.09</v>
      </c>
      <c r="L98" s="112">
        <v>26.57</v>
      </c>
      <c r="M98" s="112">
        <v>99.32</v>
      </c>
      <c r="N98" s="112">
        <v>2</v>
      </c>
      <c r="O98" s="112">
        <v>0</v>
      </c>
      <c r="P98" s="112">
        <v>0.46</v>
      </c>
      <c r="Q98" s="112">
        <v>4.9800000000000004</v>
      </c>
    </row>
    <row r="99" spans="1:22" customFormat="1">
      <c r="A99" s="80">
        <v>45469.947916666664</v>
      </c>
      <c r="B99" s="112">
        <v>9.18</v>
      </c>
      <c r="C99" s="112">
        <v>4.04</v>
      </c>
      <c r="D99" s="112">
        <v>13.93</v>
      </c>
      <c r="E99" s="112">
        <v>7.41</v>
      </c>
      <c r="F99" s="112">
        <v>11.65</v>
      </c>
      <c r="G99" s="112">
        <v>12.6</v>
      </c>
      <c r="H99" s="112">
        <v>5.95</v>
      </c>
      <c r="I99" s="112">
        <v>5.48</v>
      </c>
      <c r="J99" s="112">
        <v>0.18</v>
      </c>
      <c r="K99" s="112">
        <v>239.57</v>
      </c>
      <c r="L99" s="112">
        <v>26.47</v>
      </c>
      <c r="M99" s="112">
        <v>99.29</v>
      </c>
      <c r="N99" s="112">
        <v>2.2999999999999998</v>
      </c>
      <c r="O99" s="112">
        <v>0</v>
      </c>
      <c r="P99" s="112">
        <v>0.42</v>
      </c>
      <c r="Q99" s="112">
        <v>5.01</v>
      </c>
    </row>
    <row r="100" spans="1:22" customFormat="1">
      <c r="A100" s="80">
        <v>45469.958333333336</v>
      </c>
      <c r="B100" s="112">
        <v>9.18</v>
      </c>
      <c r="C100" s="112">
        <v>4.03</v>
      </c>
      <c r="D100" s="112">
        <v>13.92</v>
      </c>
      <c r="E100" s="112">
        <v>7.03</v>
      </c>
      <c r="F100" s="112">
        <v>12.87</v>
      </c>
      <c r="G100" s="112">
        <v>12.6</v>
      </c>
      <c r="H100" s="112">
        <v>5.95</v>
      </c>
      <c r="I100" s="112">
        <v>5.03</v>
      </c>
      <c r="J100" s="112">
        <v>0.1</v>
      </c>
      <c r="K100" s="112">
        <v>209.16</v>
      </c>
      <c r="L100" s="112">
        <v>26.62</v>
      </c>
      <c r="M100" s="112">
        <v>100.44</v>
      </c>
      <c r="N100" s="112">
        <v>2.2000000000000002</v>
      </c>
      <c r="O100" s="112">
        <v>0</v>
      </c>
      <c r="P100" s="112">
        <v>0.39</v>
      </c>
      <c r="Q100" s="112">
        <v>5.01</v>
      </c>
    </row>
    <row r="101" spans="1:22" customFormat="1">
      <c r="A101" s="80">
        <v>45469.96875</v>
      </c>
      <c r="B101" s="112">
        <v>9.18</v>
      </c>
      <c r="C101" s="112">
        <v>4.04</v>
      </c>
      <c r="D101" s="112">
        <v>13.92</v>
      </c>
      <c r="E101" s="112">
        <v>6.23</v>
      </c>
      <c r="F101" s="112">
        <v>14.06</v>
      </c>
      <c r="G101" s="112">
        <v>12.6</v>
      </c>
      <c r="H101" s="112">
        <v>5.95</v>
      </c>
      <c r="I101" s="112">
        <v>4.63</v>
      </c>
      <c r="J101" s="112">
        <v>0.17</v>
      </c>
      <c r="K101" s="112">
        <v>211.13</v>
      </c>
      <c r="L101" s="112">
        <v>26.57</v>
      </c>
      <c r="M101" s="112">
        <v>103.66</v>
      </c>
      <c r="N101" s="112">
        <v>2.4</v>
      </c>
      <c r="O101" s="112">
        <v>0</v>
      </c>
      <c r="P101" s="112">
        <v>0.38</v>
      </c>
      <c r="Q101" s="112">
        <v>5.03</v>
      </c>
    </row>
    <row r="102" spans="1:22" customFormat="1">
      <c r="A102" s="80">
        <v>45469.979166666664</v>
      </c>
      <c r="B102" s="112">
        <v>9.18</v>
      </c>
      <c r="C102" s="112">
        <v>4.05</v>
      </c>
      <c r="D102" s="112">
        <v>13.93</v>
      </c>
      <c r="E102" s="112">
        <v>6.41</v>
      </c>
      <c r="F102" s="112">
        <v>14.05</v>
      </c>
      <c r="G102" s="112">
        <v>11.42</v>
      </c>
      <c r="H102" s="112">
        <v>5.22</v>
      </c>
      <c r="I102" s="112">
        <v>4.5</v>
      </c>
      <c r="J102" s="112">
        <v>0.2</v>
      </c>
      <c r="K102" s="112">
        <v>90.59</v>
      </c>
      <c r="L102" s="112">
        <v>26.78</v>
      </c>
      <c r="M102" s="112">
        <v>97.19</v>
      </c>
      <c r="N102" s="112">
        <v>2.1</v>
      </c>
      <c r="O102" s="112">
        <v>0</v>
      </c>
      <c r="P102" s="112">
        <v>0.37</v>
      </c>
      <c r="Q102" s="112">
        <v>5.04</v>
      </c>
    </row>
    <row r="103" spans="1:22" customFormat="1">
      <c r="A103" s="80">
        <v>45469.989583333336</v>
      </c>
      <c r="B103" s="112">
        <v>9.2200000000000006</v>
      </c>
      <c r="C103" s="112">
        <v>4.0599999999999996</v>
      </c>
      <c r="D103" s="112">
        <v>13.96</v>
      </c>
      <c r="E103" s="112">
        <v>6.22</v>
      </c>
      <c r="F103" s="112">
        <v>12.5</v>
      </c>
      <c r="G103" s="112">
        <v>9.65</v>
      </c>
      <c r="H103" s="112">
        <v>4.58</v>
      </c>
      <c r="I103" s="112">
        <v>4.32</v>
      </c>
      <c r="J103" s="112">
        <v>0.23</v>
      </c>
      <c r="K103" s="112">
        <v>90.9</v>
      </c>
      <c r="L103" s="112">
        <v>26.85</v>
      </c>
      <c r="M103" s="112">
        <v>107.7</v>
      </c>
      <c r="N103" s="112">
        <v>2.2000000000000002</v>
      </c>
      <c r="O103" s="112">
        <v>0</v>
      </c>
      <c r="P103" s="112">
        <v>0.37</v>
      </c>
      <c r="Q103" s="112">
        <v>5.03</v>
      </c>
    </row>
    <row r="104" spans="1:22" customFormat="1">
      <c r="A104" s="80">
        <v>45470</v>
      </c>
      <c r="B104" s="112">
        <v>9.2200000000000006</v>
      </c>
      <c r="C104" s="112">
        <v>4.05</v>
      </c>
      <c r="D104" s="112">
        <v>13.96</v>
      </c>
      <c r="E104" s="112">
        <v>6.35</v>
      </c>
      <c r="F104" s="112">
        <v>11.56</v>
      </c>
      <c r="G104" s="112">
        <v>9.65</v>
      </c>
      <c r="H104" s="112">
        <v>4.58</v>
      </c>
      <c r="I104" s="112">
        <v>4.3099999999999996</v>
      </c>
      <c r="J104" s="112">
        <v>0.19</v>
      </c>
      <c r="K104" s="112">
        <v>118.39</v>
      </c>
      <c r="L104" s="112">
        <v>27.04</v>
      </c>
      <c r="M104" s="112">
        <v>113.81</v>
      </c>
      <c r="N104" s="112">
        <v>2.4</v>
      </c>
      <c r="O104" s="112">
        <v>0</v>
      </c>
      <c r="P104" s="112">
        <v>0.38</v>
      </c>
      <c r="Q104" s="112">
        <v>5.01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9.1300000000000008</v>
      </c>
      <c r="C106" s="184">
        <f>MIN(C9:C104)</f>
        <v>4.03</v>
      </c>
      <c r="D106" s="184">
        <f t="shared" ref="D106:Q106" si="0">MIN(D9:D104)</f>
        <v>13.91</v>
      </c>
      <c r="E106" s="184">
        <f t="shared" si="0"/>
        <v>4.5999999999999996</v>
      </c>
      <c r="F106" s="184">
        <f t="shared" si="0"/>
        <v>4.8499999999999996</v>
      </c>
      <c r="G106" s="184">
        <f t="shared" si="0"/>
        <v>9.65</v>
      </c>
      <c r="H106" s="184">
        <f t="shared" si="0"/>
        <v>3.38</v>
      </c>
      <c r="I106" s="184">
        <f t="shared" si="0"/>
        <v>2.71</v>
      </c>
      <c r="J106" s="184">
        <f t="shared" si="0"/>
        <v>0</v>
      </c>
      <c r="K106" s="184">
        <f t="shared" si="0"/>
        <v>-0.09</v>
      </c>
      <c r="L106" s="184">
        <f t="shared" si="0"/>
        <v>25.91</v>
      </c>
      <c r="M106" s="184">
        <f t="shared" si="0"/>
        <v>47.73</v>
      </c>
      <c r="N106" s="184">
        <f t="shared" si="0"/>
        <v>1.7</v>
      </c>
      <c r="O106" s="184">
        <f t="shared" si="0"/>
        <v>0</v>
      </c>
      <c r="P106" s="184">
        <f t="shared" si="0"/>
        <v>0.2</v>
      </c>
      <c r="Q106" s="184">
        <f t="shared" si="0"/>
        <v>2.85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9.35</v>
      </c>
      <c r="C107" s="185">
        <f t="shared" ref="C107:Q107" si="1">MAX(C9:C104)</f>
        <v>4.12</v>
      </c>
      <c r="D107" s="185">
        <f t="shared" si="1"/>
        <v>14.07</v>
      </c>
      <c r="E107" s="185">
        <f t="shared" si="1"/>
        <v>26.94</v>
      </c>
      <c r="F107" s="185">
        <f t="shared" si="1"/>
        <v>103.64</v>
      </c>
      <c r="G107" s="185">
        <f t="shared" si="1"/>
        <v>44.7</v>
      </c>
      <c r="H107" s="185">
        <f t="shared" si="1"/>
        <v>14.46</v>
      </c>
      <c r="I107" s="185">
        <f t="shared" si="1"/>
        <v>16.329999999999998</v>
      </c>
      <c r="J107" s="185">
        <f t="shared" si="1"/>
        <v>2.67</v>
      </c>
      <c r="K107" s="185">
        <f t="shared" si="1"/>
        <v>346.44</v>
      </c>
      <c r="L107" s="185">
        <f t="shared" si="1"/>
        <v>38.619999999999997</v>
      </c>
      <c r="M107" s="185">
        <f t="shared" si="1"/>
        <v>113.81</v>
      </c>
      <c r="N107" s="185">
        <f t="shared" si="1"/>
        <v>883.9</v>
      </c>
      <c r="O107" s="185">
        <f t="shared" si="1"/>
        <v>4.4000000000000004</v>
      </c>
      <c r="P107" s="185">
        <f t="shared" si="1"/>
        <v>0.56000000000000005</v>
      </c>
      <c r="Q107" s="185">
        <f t="shared" si="1"/>
        <v>5.04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9.2442708333333279</v>
      </c>
      <c r="C108" s="184">
        <f t="shared" ref="C108:Q108" si="2">AVERAGE(C9:C104)</f>
        <v>4.074105263157894</v>
      </c>
      <c r="D108" s="184">
        <f t="shared" si="2"/>
        <v>13.992395833333346</v>
      </c>
      <c r="E108" s="184">
        <f t="shared" si="2"/>
        <v>8.286170212765958</v>
      </c>
      <c r="F108" s="184">
        <f t="shared" si="2"/>
        <v>16.285957446808514</v>
      </c>
      <c r="G108" s="184">
        <f t="shared" si="2"/>
        <v>22.414888888888889</v>
      </c>
      <c r="H108" s="184">
        <f t="shared" si="2"/>
        <v>8.1651111111111092</v>
      </c>
      <c r="I108" s="184">
        <f t="shared" si="2"/>
        <v>5.3404166666666661</v>
      </c>
      <c r="J108" s="184">
        <f t="shared" si="2"/>
        <v>0.38552083333333337</v>
      </c>
      <c r="K108" s="184">
        <f t="shared" si="2"/>
        <v>187.57499999999996</v>
      </c>
      <c r="L108" s="184">
        <f t="shared" si="2"/>
        <v>30.514791666666667</v>
      </c>
      <c r="M108" s="184">
        <f t="shared" si="2"/>
        <v>77.986249999999984</v>
      </c>
      <c r="N108" s="184">
        <f t="shared" si="2"/>
        <v>129.09791666666669</v>
      </c>
      <c r="O108" s="184">
        <f t="shared" si="2"/>
        <v>0.12499999999999999</v>
      </c>
      <c r="P108" s="184">
        <f t="shared" si="2"/>
        <v>0.40218749999999998</v>
      </c>
      <c r="Q108" s="184">
        <f t="shared" si="2"/>
        <v>4.2495744680851084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5.6358715604255857E-2</v>
      </c>
      <c r="C109" s="184">
        <f t="shared" ref="C109:Q109" si="3">STDEV(C9:C104)</f>
        <v>1.818900397552051E-2</v>
      </c>
      <c r="D109" s="184">
        <f t="shared" si="3"/>
        <v>4.4691805245932435E-2</v>
      </c>
      <c r="E109" s="184">
        <f t="shared" si="3"/>
        <v>3.948289981392918</v>
      </c>
      <c r="F109" s="184">
        <f t="shared" si="3"/>
        <v>13.488172701922208</v>
      </c>
      <c r="G109" s="184">
        <f t="shared" si="3"/>
        <v>8.8347464236127387</v>
      </c>
      <c r="H109" s="184">
        <f t="shared" si="3"/>
        <v>2.6698353458654469</v>
      </c>
      <c r="I109" s="184">
        <f t="shared" si="3"/>
        <v>2.3515839753201395</v>
      </c>
      <c r="J109" s="184">
        <f t="shared" si="3"/>
        <v>0.44248787028671988</v>
      </c>
      <c r="K109" s="184">
        <f t="shared" si="3"/>
        <v>79.894848526376364</v>
      </c>
      <c r="L109" s="184">
        <f t="shared" si="3"/>
        <v>3.9044630277526435</v>
      </c>
      <c r="M109" s="184">
        <f t="shared" si="3"/>
        <v>18.876520433708446</v>
      </c>
      <c r="N109" s="184">
        <f t="shared" si="3"/>
        <v>188.59143418576991</v>
      </c>
      <c r="O109" s="184">
        <f t="shared" si="3"/>
        <v>0.53528152946788077</v>
      </c>
      <c r="P109" s="184">
        <f t="shared" si="3"/>
        <v>0.10177584373721089</v>
      </c>
      <c r="Q109" s="184">
        <f t="shared" si="3"/>
        <v>0.54542656660284361</v>
      </c>
      <c r="R109" s="188"/>
      <c r="S109" s="188"/>
      <c r="T109" s="188"/>
      <c r="U109" s="188"/>
    </row>
    <row r="110" spans="1:22">
      <c r="A110" s="183" t="s">
        <v>52</v>
      </c>
      <c r="B110" s="185">
        <v>96</v>
      </c>
      <c r="C110" s="185">
        <v>96</v>
      </c>
      <c r="D110" s="185">
        <v>96</v>
      </c>
      <c r="E110" s="185">
        <v>96</v>
      </c>
      <c r="F110" s="185">
        <v>96</v>
      </c>
      <c r="G110" s="185">
        <v>96</v>
      </c>
      <c r="H110" s="185">
        <v>96</v>
      </c>
      <c r="I110" s="185">
        <v>96</v>
      </c>
      <c r="J110" s="185">
        <v>96</v>
      </c>
      <c r="K110" s="185">
        <v>96</v>
      </c>
      <c r="L110" s="185">
        <v>96</v>
      </c>
      <c r="M110" s="185">
        <v>96</v>
      </c>
      <c r="N110" s="185">
        <v>96</v>
      </c>
      <c r="O110" s="185">
        <v>96</v>
      </c>
      <c r="P110" s="185">
        <v>96</v>
      </c>
      <c r="Q110" s="185"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17"/>
  <sheetViews>
    <sheetView workbookViewId="0">
      <pane xSplit="1" ySplit="8" topLeftCell="D99" activePane="bottomRight" state="frozen"/>
      <selection activeCell="A9" sqref="A9"/>
      <selection pane="topRight" activeCell="A9" sqref="A9"/>
      <selection pane="bottomLeft" activeCell="A9" sqref="A9"/>
      <selection pane="bottomRight" activeCell="A104" sqref="A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45470.010416666664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45470.010416666664</v>
      </c>
      <c r="B9" s="112">
        <v>9.25</v>
      </c>
      <c r="C9" s="112">
        <v>4.1100000000000003</v>
      </c>
      <c r="D9" s="112">
        <v>14.02</v>
      </c>
      <c r="E9" s="112">
        <v>6.25</v>
      </c>
      <c r="F9" s="112">
        <v>11.39</v>
      </c>
      <c r="G9" s="112">
        <v>9.65</v>
      </c>
      <c r="H9" s="112">
        <v>4.58</v>
      </c>
      <c r="I9" s="112">
        <v>4.4800000000000004</v>
      </c>
      <c r="J9" s="112">
        <v>0.16</v>
      </c>
      <c r="K9" s="112">
        <v>122.03</v>
      </c>
      <c r="L9" s="112">
        <v>26.86</v>
      </c>
      <c r="M9" s="112">
        <v>113</v>
      </c>
      <c r="N9" s="112">
        <v>2.7</v>
      </c>
      <c r="O9" s="112">
        <v>0</v>
      </c>
      <c r="P9" s="112">
        <v>0.38</v>
      </c>
      <c r="Q9" s="112">
        <v>5</v>
      </c>
    </row>
    <row r="10" spans="1:21" customFormat="1">
      <c r="A10" s="80">
        <v>45470.020833333336</v>
      </c>
      <c r="B10" s="112">
        <v>9.25</v>
      </c>
      <c r="C10" s="112">
        <v>4.09</v>
      </c>
      <c r="D10" s="112">
        <v>14</v>
      </c>
      <c r="E10" s="112">
        <v>6.23</v>
      </c>
      <c r="F10" s="112">
        <v>12.07</v>
      </c>
      <c r="G10" s="112">
        <v>9.92</v>
      </c>
      <c r="H10" s="112">
        <v>3.99</v>
      </c>
      <c r="I10" s="112">
        <v>4.4000000000000004</v>
      </c>
      <c r="J10" s="112">
        <v>0.26</v>
      </c>
      <c r="K10" s="112">
        <v>162.37</v>
      </c>
      <c r="L10" s="112">
        <v>26.62</v>
      </c>
      <c r="M10" s="112">
        <v>97.69</v>
      </c>
      <c r="N10" s="112">
        <v>2.5</v>
      </c>
      <c r="O10" s="112">
        <v>0</v>
      </c>
      <c r="P10" s="112">
        <v>0.37</v>
      </c>
      <c r="Q10" s="112">
        <v>4.99</v>
      </c>
    </row>
    <row r="11" spans="1:21" customFormat="1">
      <c r="A11" s="80">
        <v>45470.03125</v>
      </c>
      <c r="B11" s="112">
        <v>9.2799999999999994</v>
      </c>
      <c r="C11" s="112">
        <v>4.04</v>
      </c>
      <c r="D11" s="112">
        <v>14</v>
      </c>
      <c r="E11" s="112">
        <v>6.16</v>
      </c>
      <c r="F11" s="112">
        <v>14.17</v>
      </c>
      <c r="G11" s="112">
        <v>10.32</v>
      </c>
      <c r="H11" s="112">
        <v>3.47</v>
      </c>
      <c r="I11" s="112">
        <v>4.53</v>
      </c>
      <c r="J11" s="112">
        <v>0.1</v>
      </c>
      <c r="K11" s="112">
        <v>101.71</v>
      </c>
      <c r="L11" s="112">
        <v>26.49</v>
      </c>
      <c r="M11" s="112">
        <v>96.75</v>
      </c>
      <c r="N11" s="112">
        <v>2.1</v>
      </c>
      <c r="O11" s="112">
        <v>0.2</v>
      </c>
      <c r="P11" s="112">
        <v>0.35</v>
      </c>
      <c r="Q11" s="112">
        <v>5</v>
      </c>
    </row>
    <row r="12" spans="1:21" customFormat="1">
      <c r="A12" s="80">
        <v>45470.041666666664</v>
      </c>
      <c r="B12" s="112">
        <v>9.2799999999999994</v>
      </c>
      <c r="C12" s="112">
        <v>4.05</v>
      </c>
      <c r="D12" s="112">
        <v>14.01</v>
      </c>
      <c r="E12" s="112">
        <v>6.27</v>
      </c>
      <c r="F12" s="112">
        <v>14.06</v>
      </c>
      <c r="G12" s="112">
        <v>10.32</v>
      </c>
      <c r="H12" s="112">
        <v>3.47</v>
      </c>
      <c r="I12" s="112">
        <v>4.38</v>
      </c>
      <c r="J12" s="112">
        <v>0.21</v>
      </c>
      <c r="K12" s="112">
        <v>221.32</v>
      </c>
      <c r="L12" s="112">
        <v>26.3</v>
      </c>
      <c r="M12" s="112">
        <v>97.5</v>
      </c>
      <c r="N12" s="112">
        <v>2.4</v>
      </c>
      <c r="O12" s="112">
        <v>0</v>
      </c>
      <c r="P12" s="112">
        <v>0.35</v>
      </c>
      <c r="Q12" s="112">
        <v>5.01</v>
      </c>
    </row>
    <row r="13" spans="1:21" customFormat="1">
      <c r="A13" s="80">
        <v>45470.052083333336</v>
      </c>
      <c r="B13" s="112">
        <v>9.27</v>
      </c>
      <c r="C13" s="112">
        <v>4.0599999999999996</v>
      </c>
      <c r="D13" s="112">
        <v>14.01</v>
      </c>
      <c r="E13" s="112">
        <v>5.89</v>
      </c>
      <c r="F13" s="112">
        <v>14.16</v>
      </c>
      <c r="G13" s="112">
        <v>10.32</v>
      </c>
      <c r="H13" s="112">
        <v>3.47</v>
      </c>
      <c r="I13" s="112">
        <v>4.03</v>
      </c>
      <c r="J13" s="112">
        <v>0.16</v>
      </c>
      <c r="K13" s="112">
        <v>192.31</v>
      </c>
      <c r="L13" s="112">
        <v>26.32</v>
      </c>
      <c r="M13" s="112">
        <v>98.61</v>
      </c>
      <c r="N13" s="112">
        <v>2</v>
      </c>
      <c r="O13" s="112">
        <v>0</v>
      </c>
      <c r="P13" s="112">
        <v>0.35</v>
      </c>
      <c r="Q13" s="112">
        <v>5</v>
      </c>
    </row>
    <row r="14" spans="1:21" customFormat="1">
      <c r="A14" s="80">
        <v>45470.0625</v>
      </c>
      <c r="B14" s="112">
        <v>9.26</v>
      </c>
      <c r="C14" s="112">
        <v>4.0599999999999996</v>
      </c>
      <c r="D14" s="112">
        <v>13.99</v>
      </c>
      <c r="E14" s="112">
        <v>6.47</v>
      </c>
      <c r="F14" s="112">
        <v>13.18</v>
      </c>
      <c r="G14" s="112">
        <v>11.01</v>
      </c>
      <c r="H14" s="112">
        <v>3.09</v>
      </c>
      <c r="I14" s="112">
        <v>3.89</v>
      </c>
      <c r="J14" s="112">
        <v>0.09</v>
      </c>
      <c r="K14" s="112">
        <v>236.54</v>
      </c>
      <c r="L14" s="112">
        <v>26.35</v>
      </c>
      <c r="M14" s="112">
        <v>111.92</v>
      </c>
      <c r="N14" s="112">
        <v>2.2000000000000002</v>
      </c>
      <c r="O14" s="112">
        <v>0</v>
      </c>
      <c r="P14" s="112">
        <v>0.36</v>
      </c>
      <c r="Q14" s="112">
        <v>5</v>
      </c>
    </row>
    <row r="15" spans="1:21" customFormat="1">
      <c r="A15" s="80">
        <v>45470.072916666664</v>
      </c>
      <c r="B15" s="112">
        <v>9.26</v>
      </c>
      <c r="C15" s="112">
        <v>4.05</v>
      </c>
      <c r="D15" s="112">
        <v>13.99</v>
      </c>
      <c r="E15" s="112">
        <v>6.72</v>
      </c>
      <c r="F15" s="112">
        <v>10.78</v>
      </c>
      <c r="G15" s="112">
        <v>12.05</v>
      </c>
      <c r="H15" s="112">
        <v>2.75</v>
      </c>
      <c r="I15" s="112">
        <v>3.92</v>
      </c>
      <c r="J15" s="112">
        <v>7.0000000000000007E-2</v>
      </c>
      <c r="K15" s="112">
        <v>154.77000000000001</v>
      </c>
      <c r="L15" s="112">
        <v>26.49</v>
      </c>
      <c r="M15" s="112">
        <v>114.87</v>
      </c>
      <c r="N15" s="112">
        <v>2</v>
      </c>
      <c r="O15" s="112">
        <v>0</v>
      </c>
      <c r="P15" s="112">
        <v>0.37</v>
      </c>
      <c r="Q15" s="112">
        <v>5</v>
      </c>
    </row>
    <row r="16" spans="1:21" customFormat="1">
      <c r="A16" s="80">
        <v>45470.083333333336</v>
      </c>
      <c r="B16" s="112">
        <v>9.26</v>
      </c>
      <c r="C16" s="112">
        <v>4.04</v>
      </c>
      <c r="D16" s="112">
        <v>13.99</v>
      </c>
      <c r="E16" s="112">
        <v>6.62</v>
      </c>
      <c r="F16" s="112">
        <v>10.42</v>
      </c>
      <c r="G16" s="112">
        <v>12.05</v>
      </c>
      <c r="H16" s="112">
        <v>2.75</v>
      </c>
      <c r="I16" s="112">
        <v>3.92</v>
      </c>
      <c r="J16" s="112">
        <v>0.11</v>
      </c>
      <c r="K16" s="112">
        <v>232.95</v>
      </c>
      <c r="L16" s="112">
        <v>26.33</v>
      </c>
      <c r="M16" s="112">
        <v>98.44</v>
      </c>
      <c r="N16" s="112">
        <v>2.2999999999999998</v>
      </c>
      <c r="O16" s="112">
        <v>0</v>
      </c>
      <c r="P16" s="112">
        <v>0.37</v>
      </c>
      <c r="Q16" s="112">
        <v>4.99</v>
      </c>
    </row>
    <row r="17" spans="1:17" customFormat="1">
      <c r="A17" s="80">
        <v>45470.09375</v>
      </c>
      <c r="B17" s="112">
        <v>9.24</v>
      </c>
      <c r="C17" s="112">
        <v>4.0999999999999996</v>
      </c>
      <c r="D17" s="112">
        <v>14</v>
      </c>
      <c r="E17" s="112">
        <v>8.09</v>
      </c>
      <c r="F17" s="112">
        <v>10.65</v>
      </c>
      <c r="G17" s="112">
        <v>12.05</v>
      </c>
      <c r="H17" s="112">
        <v>2.75</v>
      </c>
      <c r="I17" s="112">
        <v>4.18</v>
      </c>
      <c r="J17" s="112">
        <v>0.08</v>
      </c>
      <c r="K17" s="112">
        <v>220.02</v>
      </c>
      <c r="L17" s="112">
        <v>26.43</v>
      </c>
      <c r="M17" s="112">
        <v>97.96</v>
      </c>
      <c r="N17" s="112">
        <v>2.1</v>
      </c>
      <c r="O17" s="112">
        <v>0</v>
      </c>
      <c r="P17" s="112">
        <v>0.36</v>
      </c>
      <c r="Q17" s="112">
        <v>4.99</v>
      </c>
    </row>
    <row r="18" spans="1:17" customFormat="1">
      <c r="A18" s="80">
        <v>45470.104166666664</v>
      </c>
      <c r="B18" s="112">
        <v>9.26</v>
      </c>
      <c r="C18" s="112">
        <v>4.09</v>
      </c>
      <c r="D18" s="112">
        <v>14.01</v>
      </c>
      <c r="E18" s="112">
        <v>8.42</v>
      </c>
      <c r="F18" s="112">
        <v>11.61</v>
      </c>
      <c r="G18" s="112">
        <v>10.66</v>
      </c>
      <c r="H18" s="112">
        <v>2.41</v>
      </c>
      <c r="I18" s="112">
        <v>3.91</v>
      </c>
      <c r="J18" s="112">
        <v>0.11</v>
      </c>
      <c r="K18" s="112">
        <v>341.28</v>
      </c>
      <c r="L18" s="112">
        <v>26.4</v>
      </c>
      <c r="M18" s="112">
        <v>98.36</v>
      </c>
      <c r="N18" s="112">
        <v>2.1</v>
      </c>
      <c r="O18" s="112">
        <v>0</v>
      </c>
      <c r="P18" s="112">
        <v>0.34</v>
      </c>
      <c r="Q18" s="112">
        <v>5</v>
      </c>
    </row>
    <row r="19" spans="1:17" customFormat="1">
      <c r="A19" s="80">
        <v>45470.114583333336</v>
      </c>
      <c r="B19" s="112">
        <v>9.2799999999999994</v>
      </c>
      <c r="C19" s="112">
        <v>4.07</v>
      </c>
      <c r="D19" s="112">
        <v>14.02</v>
      </c>
      <c r="E19" s="112">
        <v>8.2899999999999991</v>
      </c>
      <c r="F19" s="112">
        <v>8.75</v>
      </c>
      <c r="G19" s="112">
        <v>8.58</v>
      </c>
      <c r="H19" s="112">
        <v>2.12</v>
      </c>
      <c r="I19" s="112">
        <v>3.82</v>
      </c>
      <c r="J19" s="112">
        <v>0.25</v>
      </c>
      <c r="K19" s="112">
        <v>40.44</v>
      </c>
      <c r="L19" s="112">
        <v>26.46</v>
      </c>
      <c r="M19" s="112">
        <v>97.92</v>
      </c>
      <c r="N19" s="112">
        <v>2.2000000000000002</v>
      </c>
      <c r="O19" s="112">
        <v>0</v>
      </c>
      <c r="P19" s="112">
        <v>0.36</v>
      </c>
      <c r="Q19" s="112">
        <v>5.01</v>
      </c>
    </row>
    <row r="20" spans="1:17" customFormat="1">
      <c r="A20" s="80">
        <v>45470.125</v>
      </c>
      <c r="B20" s="112">
        <v>9.2799999999999994</v>
      </c>
      <c r="C20" s="112">
        <v>4.0599999999999996</v>
      </c>
      <c r="D20" s="112">
        <v>14.02</v>
      </c>
      <c r="E20" s="112">
        <v>9.0500000000000007</v>
      </c>
      <c r="F20" s="112">
        <v>5.97</v>
      </c>
      <c r="G20" s="112">
        <v>8.58</v>
      </c>
      <c r="H20" s="112">
        <v>2.12</v>
      </c>
      <c r="I20" s="112">
        <v>3.74</v>
      </c>
      <c r="J20" s="112">
        <v>0.12</v>
      </c>
      <c r="K20" s="112">
        <v>188.96</v>
      </c>
      <c r="L20" s="112">
        <v>26.5</v>
      </c>
      <c r="M20" s="112">
        <v>97.43</v>
      </c>
      <c r="N20" s="112">
        <v>2.1</v>
      </c>
      <c r="O20" s="112">
        <v>0</v>
      </c>
      <c r="P20" s="112">
        <v>0.38</v>
      </c>
      <c r="Q20" s="112">
        <v>5.01</v>
      </c>
    </row>
    <row r="21" spans="1:17" customFormat="1">
      <c r="A21" s="80">
        <v>45470.135416666664</v>
      </c>
      <c r="B21" s="112">
        <v>9.2799999999999994</v>
      </c>
      <c r="C21" s="112">
        <v>4.0599999999999996</v>
      </c>
      <c r="D21" s="112">
        <v>14.01</v>
      </c>
      <c r="E21" s="112">
        <v>9.83</v>
      </c>
      <c r="F21" s="112">
        <v>5.48</v>
      </c>
      <c r="G21" s="112">
        <v>8.58</v>
      </c>
      <c r="H21" s="112">
        <v>2.12</v>
      </c>
      <c r="I21" s="112">
        <v>4.3</v>
      </c>
      <c r="J21" s="112">
        <v>0.1</v>
      </c>
      <c r="K21" s="112">
        <v>171.77</v>
      </c>
      <c r="L21" s="112">
        <v>26.51</v>
      </c>
      <c r="M21" s="112">
        <v>96.78</v>
      </c>
      <c r="N21" s="112">
        <v>2.1</v>
      </c>
      <c r="O21" s="112">
        <v>0</v>
      </c>
      <c r="P21" s="112">
        <v>0.4</v>
      </c>
      <c r="Q21" s="112">
        <v>5</v>
      </c>
    </row>
    <row r="22" spans="1:17" customFormat="1">
      <c r="A22" s="80">
        <v>45470.145833333336</v>
      </c>
      <c r="B22" s="112">
        <v>9.2899999999999991</v>
      </c>
      <c r="C22" s="112">
        <v>4.07</v>
      </c>
      <c r="D22" s="112">
        <v>14.03</v>
      </c>
      <c r="E22" s="112">
        <v>9.64</v>
      </c>
      <c r="F22" s="112">
        <v>5.97</v>
      </c>
      <c r="G22" s="112">
        <v>10.09</v>
      </c>
      <c r="H22" s="112">
        <v>2.0299999999999998</v>
      </c>
      <c r="I22" s="112">
        <v>4.5</v>
      </c>
      <c r="J22" s="112">
        <v>0.16</v>
      </c>
      <c r="K22" s="112">
        <v>108.52</v>
      </c>
      <c r="L22" s="112">
        <v>26.44</v>
      </c>
      <c r="M22" s="112">
        <v>96.6</v>
      </c>
      <c r="N22" s="112">
        <v>2</v>
      </c>
      <c r="O22" s="112">
        <v>0</v>
      </c>
      <c r="P22" s="112">
        <v>0.41</v>
      </c>
      <c r="Q22" s="112">
        <v>5.01</v>
      </c>
    </row>
    <row r="23" spans="1:17" customFormat="1">
      <c r="A23" s="80">
        <v>45470.15625</v>
      </c>
      <c r="B23" s="112">
        <v>9.2899999999999991</v>
      </c>
      <c r="C23" s="112">
        <v>4.07</v>
      </c>
      <c r="D23" s="112">
        <v>14.02</v>
      </c>
      <c r="E23" s="112">
        <v>9.9499999999999993</v>
      </c>
      <c r="F23" s="112">
        <v>4.71</v>
      </c>
      <c r="G23" s="112">
        <v>12.36</v>
      </c>
      <c r="H23" s="112">
        <v>1.96</v>
      </c>
      <c r="I23" s="112">
        <v>4.3899999999999997</v>
      </c>
      <c r="J23" s="112">
        <v>0.27</v>
      </c>
      <c r="K23" s="112">
        <v>85.86</v>
      </c>
      <c r="L23" s="112">
        <v>26.55</v>
      </c>
      <c r="M23" s="112">
        <v>97.07</v>
      </c>
      <c r="N23" s="112">
        <v>2</v>
      </c>
      <c r="O23" s="112">
        <v>0</v>
      </c>
      <c r="P23" s="112">
        <v>0.41</v>
      </c>
      <c r="Q23" s="112">
        <v>5.01</v>
      </c>
    </row>
    <row r="24" spans="1:17" customFormat="1">
      <c r="A24" s="80">
        <v>45470.166666666664</v>
      </c>
      <c r="B24" s="112">
        <v>9.2799999999999994</v>
      </c>
      <c r="C24" s="112">
        <v>4.09</v>
      </c>
      <c r="D24" s="112">
        <v>14.03</v>
      </c>
      <c r="E24" s="112">
        <v>10.33</v>
      </c>
      <c r="F24" s="112">
        <v>4.32</v>
      </c>
      <c r="G24" s="112">
        <v>12.36</v>
      </c>
      <c r="H24" s="112">
        <v>1.96</v>
      </c>
      <c r="I24" s="112">
        <v>4.3099999999999996</v>
      </c>
      <c r="J24" s="112">
        <v>0.38</v>
      </c>
      <c r="K24" s="112">
        <v>76.31</v>
      </c>
      <c r="L24" s="112">
        <v>26.62</v>
      </c>
      <c r="M24" s="112">
        <v>97.05</v>
      </c>
      <c r="N24" s="112">
        <v>2.1</v>
      </c>
      <c r="O24" s="112">
        <v>0</v>
      </c>
      <c r="P24" s="112">
        <v>0.41</v>
      </c>
      <c r="Q24" s="112">
        <v>5</v>
      </c>
    </row>
    <row r="25" spans="1:17" customFormat="1">
      <c r="A25" s="80">
        <v>45470.177083333336</v>
      </c>
      <c r="B25" s="112">
        <v>9.2799999999999994</v>
      </c>
      <c r="C25" s="112">
        <v>4.0999999999999996</v>
      </c>
      <c r="D25" s="112">
        <v>14.03</v>
      </c>
      <c r="E25" s="112">
        <v>10.18</v>
      </c>
      <c r="F25" s="112">
        <v>4.24</v>
      </c>
      <c r="G25" s="112">
        <v>12.36</v>
      </c>
      <c r="H25" s="112">
        <v>1.96</v>
      </c>
      <c r="I25" s="112">
        <v>4.2699999999999996</v>
      </c>
      <c r="J25" s="112">
        <v>0.56000000000000005</v>
      </c>
      <c r="K25" s="112">
        <v>66.67</v>
      </c>
      <c r="L25" s="112">
        <v>26.45</v>
      </c>
      <c r="M25" s="112">
        <v>96.97</v>
      </c>
      <c r="N25" s="112">
        <v>2.2999999999999998</v>
      </c>
      <c r="O25" s="112">
        <v>0</v>
      </c>
      <c r="P25" s="112">
        <v>0.4</v>
      </c>
      <c r="Q25" s="112">
        <v>5</v>
      </c>
    </row>
    <row r="26" spans="1:17" customFormat="1">
      <c r="A26" s="80">
        <v>45470.1875</v>
      </c>
      <c r="B26" s="112">
        <v>9.2799999999999994</v>
      </c>
      <c r="C26" s="112">
        <v>4.0999999999999996</v>
      </c>
      <c r="D26" s="112">
        <v>14.03</v>
      </c>
      <c r="E26" s="112">
        <v>10.88</v>
      </c>
      <c r="F26" s="112">
        <v>4.09</v>
      </c>
      <c r="G26" s="112">
        <v>16.82</v>
      </c>
      <c r="H26" s="112">
        <v>2.44</v>
      </c>
      <c r="I26" s="112">
        <v>4.32</v>
      </c>
      <c r="J26" s="112">
        <v>0.43</v>
      </c>
      <c r="K26" s="112">
        <v>78.739999999999995</v>
      </c>
      <c r="L26" s="112">
        <v>26.4</v>
      </c>
      <c r="M26" s="112">
        <v>97.37</v>
      </c>
      <c r="N26" s="112">
        <v>2.2999999999999998</v>
      </c>
      <c r="O26" s="112">
        <v>0</v>
      </c>
      <c r="P26" s="112">
        <v>0.4</v>
      </c>
      <c r="Q26" s="112">
        <v>4.99</v>
      </c>
    </row>
    <row r="27" spans="1:17" customFormat="1">
      <c r="A27" s="80">
        <v>45470.197916666664</v>
      </c>
      <c r="B27" s="112">
        <v>9.2899999999999991</v>
      </c>
      <c r="C27" s="112">
        <v>4.07</v>
      </c>
      <c r="D27" s="112">
        <v>14.02</v>
      </c>
      <c r="E27" s="112">
        <v>10.59</v>
      </c>
      <c r="F27" s="112">
        <v>4.83</v>
      </c>
      <c r="G27" s="112">
        <v>23.51</v>
      </c>
      <c r="H27" s="112">
        <v>3.8</v>
      </c>
      <c r="I27" s="112">
        <v>4.24</v>
      </c>
      <c r="J27" s="112">
        <v>0.39</v>
      </c>
      <c r="K27" s="112">
        <v>72.760000000000005</v>
      </c>
      <c r="L27" s="112">
        <v>26.23</v>
      </c>
      <c r="M27" s="112">
        <v>100.97</v>
      </c>
      <c r="N27" s="112">
        <v>2.2999999999999998</v>
      </c>
      <c r="O27" s="112">
        <v>0</v>
      </c>
      <c r="P27" s="112">
        <v>0.4</v>
      </c>
      <c r="Q27" s="112">
        <v>5</v>
      </c>
    </row>
    <row r="28" spans="1:17" customFormat="1">
      <c r="A28" s="80">
        <v>45470.208333333336</v>
      </c>
      <c r="B28" s="112">
        <v>9.31</v>
      </c>
      <c r="C28" s="112">
        <v>4.05</v>
      </c>
      <c r="D28" s="112">
        <v>14.03</v>
      </c>
      <c r="E28" s="112">
        <v>10.89</v>
      </c>
      <c r="F28" s="112">
        <v>4.3</v>
      </c>
      <c r="G28" s="112">
        <v>23.51</v>
      </c>
      <c r="H28" s="112">
        <v>3.8</v>
      </c>
      <c r="I28" s="112">
        <v>4.29</v>
      </c>
      <c r="J28" s="112">
        <v>0.32</v>
      </c>
      <c r="K28" s="112">
        <v>86.51</v>
      </c>
      <c r="L28" s="112">
        <v>26.26</v>
      </c>
      <c r="M28" s="112">
        <v>102.61</v>
      </c>
      <c r="N28" s="112">
        <v>2.5</v>
      </c>
      <c r="O28" s="112">
        <v>0</v>
      </c>
      <c r="P28" s="112">
        <v>0.4</v>
      </c>
      <c r="Q28" s="112">
        <v>5.01</v>
      </c>
    </row>
    <row r="29" spans="1:17" customFormat="1">
      <c r="A29" s="80">
        <v>45470.21875</v>
      </c>
      <c r="B29" s="112">
        <v>9.31</v>
      </c>
      <c r="C29" s="112">
        <v>4.08</v>
      </c>
      <c r="D29" s="112">
        <v>14.04</v>
      </c>
      <c r="E29" s="112">
        <v>11.08</v>
      </c>
      <c r="F29" s="112">
        <v>4.3899999999999997</v>
      </c>
      <c r="G29" s="112">
        <v>23.51</v>
      </c>
      <c r="H29" s="112">
        <v>3.8</v>
      </c>
      <c r="I29" s="112">
        <v>4.22</v>
      </c>
      <c r="J29" s="112">
        <v>0.23</v>
      </c>
      <c r="K29" s="112">
        <v>92.03</v>
      </c>
      <c r="L29" s="112">
        <v>26.23</v>
      </c>
      <c r="M29" s="112">
        <v>113.88</v>
      </c>
      <c r="N29" s="112">
        <v>5.0999999999999996</v>
      </c>
      <c r="O29" s="112">
        <v>0</v>
      </c>
      <c r="P29" s="112">
        <v>0.4</v>
      </c>
      <c r="Q29" s="112">
        <v>5</v>
      </c>
    </row>
    <row r="30" spans="1:17" customFormat="1">
      <c r="A30" s="80">
        <v>45470.229166666664</v>
      </c>
      <c r="B30" s="112">
        <v>9.2899999999999991</v>
      </c>
      <c r="C30" s="112">
        <v>4.0999999999999996</v>
      </c>
      <c r="D30" s="112">
        <v>14.04</v>
      </c>
      <c r="E30" s="112">
        <v>10.88</v>
      </c>
      <c r="F30" s="112">
        <v>4.45</v>
      </c>
      <c r="G30" s="112">
        <v>23.03</v>
      </c>
      <c r="H30" s="112">
        <v>3.34</v>
      </c>
      <c r="I30" s="112">
        <v>4.26</v>
      </c>
      <c r="J30" s="112">
        <v>0.27</v>
      </c>
      <c r="K30" s="112">
        <v>96.03</v>
      </c>
      <c r="L30" s="112">
        <v>26.28</v>
      </c>
      <c r="M30" s="112">
        <v>113.19</v>
      </c>
      <c r="N30" s="112">
        <v>13.6</v>
      </c>
      <c r="O30" s="112">
        <v>0</v>
      </c>
      <c r="P30" s="112">
        <v>0.4</v>
      </c>
      <c r="Q30" s="112">
        <v>5</v>
      </c>
    </row>
    <row r="31" spans="1:17" customFormat="1">
      <c r="A31" s="80">
        <v>45470.239583333336</v>
      </c>
      <c r="B31" s="112">
        <v>9.2899999999999991</v>
      </c>
      <c r="C31" s="112">
        <v>4.08</v>
      </c>
      <c r="D31" s="112">
        <v>14.03</v>
      </c>
      <c r="E31" s="112">
        <v>11.08</v>
      </c>
      <c r="F31" s="112">
        <v>4.07</v>
      </c>
      <c r="G31" s="112">
        <v>22.31</v>
      </c>
      <c r="H31" s="112">
        <v>2.94</v>
      </c>
      <c r="I31" s="112">
        <v>4.13</v>
      </c>
      <c r="J31" s="112">
        <v>0.16</v>
      </c>
      <c r="K31" s="112">
        <v>89.14</v>
      </c>
      <c r="L31" s="112">
        <v>26.29</v>
      </c>
      <c r="M31" s="112">
        <v>115.48</v>
      </c>
      <c r="N31" s="112">
        <v>30.2</v>
      </c>
      <c r="O31" s="112">
        <v>0</v>
      </c>
      <c r="P31" s="112">
        <v>0.39</v>
      </c>
      <c r="Q31" s="112">
        <v>5</v>
      </c>
    </row>
    <row r="32" spans="1:17" customFormat="1">
      <c r="A32" s="80">
        <v>45470.25</v>
      </c>
      <c r="B32" s="112">
        <v>9.2899999999999991</v>
      </c>
      <c r="C32" s="112">
        <v>4.08</v>
      </c>
      <c r="D32" s="112">
        <v>14.03</v>
      </c>
      <c r="E32" s="112">
        <v>11.41</v>
      </c>
      <c r="F32" s="112">
        <v>3.96</v>
      </c>
      <c r="G32" s="112">
        <v>22.31</v>
      </c>
      <c r="H32" s="112">
        <v>2.94</v>
      </c>
      <c r="I32" s="112">
        <v>4.1100000000000003</v>
      </c>
      <c r="J32" s="112">
        <v>0.13</v>
      </c>
      <c r="K32" s="112">
        <v>100.06</v>
      </c>
      <c r="L32" s="112">
        <v>26.51</v>
      </c>
      <c r="M32" s="112">
        <v>116.02</v>
      </c>
      <c r="N32" s="112">
        <v>50.8</v>
      </c>
      <c r="O32" s="112">
        <v>0</v>
      </c>
      <c r="P32" s="112">
        <v>0.4</v>
      </c>
      <c r="Q32" s="112">
        <v>5</v>
      </c>
    </row>
    <row r="33" spans="1:17" customFormat="1">
      <c r="A33" s="80">
        <v>45470.260416666664</v>
      </c>
      <c r="B33" s="112">
        <v>9.2899999999999991</v>
      </c>
      <c r="C33" s="112">
        <v>4.08</v>
      </c>
      <c r="D33" s="112">
        <v>14.03</v>
      </c>
      <c r="E33" s="112">
        <v>11.04</v>
      </c>
      <c r="F33" s="112">
        <v>3.82</v>
      </c>
      <c r="G33" s="112">
        <v>22.31</v>
      </c>
      <c r="H33" s="112">
        <v>2.94</v>
      </c>
      <c r="I33" s="112">
        <v>4.1399999999999997</v>
      </c>
      <c r="J33" s="112">
        <v>0.1</v>
      </c>
      <c r="K33" s="112">
        <v>117.26</v>
      </c>
      <c r="L33" s="112">
        <v>26.82</v>
      </c>
      <c r="M33" s="112">
        <v>115.96</v>
      </c>
      <c r="N33" s="112">
        <v>66.2</v>
      </c>
      <c r="O33" s="112">
        <v>0</v>
      </c>
      <c r="P33" s="112">
        <v>0.41</v>
      </c>
      <c r="Q33" s="112">
        <v>4.99</v>
      </c>
    </row>
    <row r="34" spans="1:17" customFormat="1">
      <c r="A34" s="80">
        <v>45470.270833333336</v>
      </c>
      <c r="B34" s="112">
        <v>9.2899999999999991</v>
      </c>
      <c r="C34" s="112">
        <v>4.0599999999999996</v>
      </c>
      <c r="D34" s="112">
        <v>14.02</v>
      </c>
      <c r="E34" s="112">
        <v>11.04</v>
      </c>
      <c r="F34" s="112">
        <v>4.2</v>
      </c>
      <c r="G34" s="112">
        <v>22.53</v>
      </c>
      <c r="H34" s="112">
        <v>2.62</v>
      </c>
      <c r="I34" s="112">
        <v>4.22</v>
      </c>
      <c r="J34" s="112">
        <v>0.15</v>
      </c>
      <c r="K34" s="112">
        <v>107.72</v>
      </c>
      <c r="L34" s="112">
        <v>27.1</v>
      </c>
      <c r="M34" s="112">
        <v>113.66</v>
      </c>
      <c r="N34" s="112">
        <v>76.5</v>
      </c>
      <c r="O34" s="112">
        <v>0</v>
      </c>
      <c r="P34" s="112">
        <v>0.4</v>
      </c>
      <c r="Q34" s="112">
        <v>4.99</v>
      </c>
    </row>
    <row r="35" spans="1:17" customFormat="1">
      <c r="A35" s="80">
        <v>45470.28125</v>
      </c>
      <c r="B35" s="112">
        <v>9.2899999999999991</v>
      </c>
      <c r="C35" s="112">
        <v>4.08</v>
      </c>
      <c r="D35" s="112">
        <v>14.03</v>
      </c>
      <c r="E35" s="112">
        <v>11.44</v>
      </c>
      <c r="F35" s="112">
        <v>5.3</v>
      </c>
      <c r="G35" s="112">
        <v>22.86</v>
      </c>
      <c r="H35" s="112">
        <v>2.33</v>
      </c>
      <c r="I35" s="112">
        <v>4.29</v>
      </c>
      <c r="J35" s="112">
        <v>0.24</v>
      </c>
      <c r="K35" s="112">
        <v>139.86000000000001</v>
      </c>
      <c r="L35" s="112">
        <v>27.68</v>
      </c>
      <c r="M35" s="112">
        <v>109.56</v>
      </c>
      <c r="N35" s="112">
        <v>75</v>
      </c>
      <c r="O35" s="112">
        <v>0</v>
      </c>
      <c r="P35" s="112">
        <v>0.38</v>
      </c>
      <c r="Q35" s="112">
        <v>5</v>
      </c>
    </row>
    <row r="36" spans="1:17" customFormat="1">
      <c r="A36" s="80">
        <v>45470.291666666664</v>
      </c>
      <c r="B36" s="112">
        <v>9.3000000000000007</v>
      </c>
      <c r="C36" s="112">
        <v>4.07</v>
      </c>
      <c r="D36" s="112">
        <v>14.04</v>
      </c>
      <c r="E36" s="112">
        <v>11</v>
      </c>
      <c r="F36" s="112">
        <v>5.42</v>
      </c>
      <c r="G36" s="112">
        <v>22.86</v>
      </c>
      <c r="H36" s="112">
        <v>2.33</v>
      </c>
      <c r="I36" s="112">
        <v>4.25</v>
      </c>
      <c r="J36" s="112">
        <v>0.2</v>
      </c>
      <c r="K36" s="112">
        <v>108.25</v>
      </c>
      <c r="L36" s="112">
        <v>27.74</v>
      </c>
      <c r="M36" s="112">
        <v>98.28</v>
      </c>
      <c r="N36" s="112">
        <v>121.5</v>
      </c>
      <c r="O36" s="112">
        <v>0</v>
      </c>
      <c r="P36" s="112">
        <v>0.4</v>
      </c>
      <c r="Q36" s="112">
        <v>5</v>
      </c>
    </row>
    <row r="37" spans="1:17" customFormat="1">
      <c r="A37" s="80">
        <v>45470.302083333336</v>
      </c>
      <c r="B37" s="112">
        <v>9.3000000000000007</v>
      </c>
      <c r="C37" s="112">
        <v>4.09</v>
      </c>
      <c r="D37" s="112">
        <v>14.04</v>
      </c>
      <c r="E37" s="112">
        <v>11.2</v>
      </c>
      <c r="F37" s="112">
        <v>4.95</v>
      </c>
      <c r="G37" s="112">
        <v>22.86</v>
      </c>
      <c r="H37" s="112">
        <v>2.33</v>
      </c>
      <c r="I37" s="112">
        <v>3.96</v>
      </c>
      <c r="J37" s="112">
        <v>0.15</v>
      </c>
      <c r="K37" s="112">
        <v>101.59</v>
      </c>
      <c r="L37" s="112">
        <v>28.05</v>
      </c>
      <c r="M37" s="112">
        <v>98.94</v>
      </c>
      <c r="N37" s="112">
        <v>119</v>
      </c>
      <c r="O37" s="112">
        <v>0</v>
      </c>
      <c r="P37" s="112">
        <v>0.4</v>
      </c>
      <c r="Q37" s="112">
        <v>5</v>
      </c>
    </row>
    <row r="38" spans="1:17" customFormat="1">
      <c r="A38" s="80">
        <v>45470.3125</v>
      </c>
      <c r="B38" s="112">
        <v>9.2899999999999991</v>
      </c>
      <c r="C38" s="112">
        <v>4.0999999999999996</v>
      </c>
      <c r="D38" s="112">
        <v>14.04</v>
      </c>
      <c r="E38" s="112">
        <v>11.27</v>
      </c>
      <c r="F38" s="112">
        <v>5.31</v>
      </c>
      <c r="G38" s="112">
        <v>22.41</v>
      </c>
      <c r="H38" s="112">
        <v>3.65</v>
      </c>
      <c r="I38" s="112">
        <v>4.0199999999999996</v>
      </c>
      <c r="J38" s="112">
        <v>0.46</v>
      </c>
      <c r="K38" s="112">
        <v>76.23</v>
      </c>
      <c r="L38" s="112">
        <v>28.09</v>
      </c>
      <c r="M38" s="112">
        <v>107.17</v>
      </c>
      <c r="N38" s="112">
        <v>129.19999999999999</v>
      </c>
      <c r="O38" s="112">
        <v>0</v>
      </c>
      <c r="P38" s="112">
        <v>0.39</v>
      </c>
      <c r="Q38" s="112">
        <v>4.99</v>
      </c>
    </row>
    <row r="39" spans="1:17" customFormat="1">
      <c r="A39" s="80">
        <v>45470.322916666664</v>
      </c>
      <c r="B39" s="112">
        <v>9.2899999999999991</v>
      </c>
      <c r="C39" s="112">
        <v>4.0999999999999996</v>
      </c>
      <c r="D39" s="112">
        <v>14.04</v>
      </c>
      <c r="E39" s="112">
        <v>11.45</v>
      </c>
      <c r="F39" s="112">
        <v>5.47</v>
      </c>
      <c r="G39" s="112">
        <v>21.75</v>
      </c>
      <c r="H39" s="112">
        <v>4.83</v>
      </c>
      <c r="I39" s="112">
        <v>3.94</v>
      </c>
      <c r="J39" s="112">
        <v>0.37</v>
      </c>
      <c r="K39" s="112">
        <v>181.14</v>
      </c>
      <c r="L39" s="112">
        <v>29.02</v>
      </c>
      <c r="M39" s="112">
        <v>99.71</v>
      </c>
      <c r="N39" s="112">
        <v>167.8</v>
      </c>
      <c r="O39" s="112">
        <v>0</v>
      </c>
      <c r="P39" s="112">
        <v>0.39</v>
      </c>
      <c r="Q39" s="112">
        <v>4.9800000000000004</v>
      </c>
    </row>
    <row r="40" spans="1:17" customFormat="1">
      <c r="A40" s="80">
        <v>45470.333333333336</v>
      </c>
      <c r="B40" s="112">
        <v>9.3000000000000007</v>
      </c>
      <c r="C40" s="112">
        <v>4.08</v>
      </c>
      <c r="D40" s="112">
        <v>14.04</v>
      </c>
      <c r="E40" s="112">
        <v>11.7</v>
      </c>
      <c r="F40" s="112">
        <v>6.46</v>
      </c>
      <c r="G40" s="112">
        <v>21.75</v>
      </c>
      <c r="H40" s="112">
        <v>4.83</v>
      </c>
      <c r="I40" s="112">
        <v>4.08</v>
      </c>
      <c r="J40" s="112">
        <v>0.27</v>
      </c>
      <c r="K40" s="112">
        <v>76.930000000000007</v>
      </c>
      <c r="L40" s="112">
        <v>28.81</v>
      </c>
      <c r="M40" s="112">
        <v>102.93</v>
      </c>
      <c r="N40" s="112">
        <v>160.80000000000001</v>
      </c>
      <c r="O40" s="112">
        <v>0</v>
      </c>
      <c r="P40" s="112">
        <v>0.39</v>
      </c>
      <c r="Q40" s="112">
        <v>4.99</v>
      </c>
    </row>
    <row r="41" spans="1:17" customFormat="1">
      <c r="A41" s="80">
        <v>45470.34375</v>
      </c>
      <c r="B41" s="112">
        <v>9.2799999999999994</v>
      </c>
      <c r="C41" s="112">
        <v>4.0999999999999996</v>
      </c>
      <c r="D41" s="112">
        <v>14.04</v>
      </c>
      <c r="E41" s="112">
        <v>11.05</v>
      </c>
      <c r="F41" s="112">
        <v>8.43</v>
      </c>
      <c r="G41" s="112">
        <v>21.75</v>
      </c>
      <c r="H41" s="112">
        <v>4.83</v>
      </c>
      <c r="I41" s="112">
        <v>4.05</v>
      </c>
      <c r="J41" s="112">
        <v>0.4</v>
      </c>
      <c r="K41" s="112">
        <v>24.19</v>
      </c>
      <c r="L41" s="112">
        <v>28.78</v>
      </c>
      <c r="M41" s="112">
        <v>98.61</v>
      </c>
      <c r="N41" s="112">
        <v>139.5</v>
      </c>
      <c r="O41" s="112">
        <v>0</v>
      </c>
      <c r="P41" s="112">
        <v>0.42</v>
      </c>
      <c r="Q41" s="112">
        <v>4.99</v>
      </c>
    </row>
    <row r="42" spans="1:17" customFormat="1">
      <c r="A42" s="80">
        <v>45470.354166666664</v>
      </c>
      <c r="B42" s="112">
        <v>9.27</v>
      </c>
      <c r="C42" s="112">
        <v>4.07</v>
      </c>
      <c r="D42" s="112">
        <v>14.01</v>
      </c>
      <c r="E42" s="112">
        <v>11.37</v>
      </c>
      <c r="F42" s="112">
        <v>10.54</v>
      </c>
      <c r="G42" s="112">
        <v>21.59</v>
      </c>
      <c r="H42" s="112">
        <v>5.01</v>
      </c>
      <c r="I42" s="112">
        <v>4.25</v>
      </c>
      <c r="J42" s="112">
        <v>0.05</v>
      </c>
      <c r="K42" s="112">
        <v>98.8</v>
      </c>
      <c r="L42" s="112">
        <v>28.8</v>
      </c>
      <c r="M42" s="112">
        <v>94.57</v>
      </c>
      <c r="N42" s="112">
        <v>98.7</v>
      </c>
      <c r="O42" s="112">
        <v>0</v>
      </c>
      <c r="P42" s="112">
        <v>0.43</v>
      </c>
      <c r="Q42" s="112">
        <v>4.9800000000000004</v>
      </c>
    </row>
    <row r="43" spans="1:17" customFormat="1">
      <c r="A43" s="80">
        <v>45470.364583333336</v>
      </c>
      <c r="B43" s="112">
        <v>9.27</v>
      </c>
      <c r="C43" s="112">
        <v>4.0599999999999996</v>
      </c>
      <c r="D43" s="112">
        <v>14</v>
      </c>
      <c r="E43" s="112">
        <v>11.2</v>
      </c>
      <c r="F43" s="112">
        <v>9.43</v>
      </c>
      <c r="G43" s="112">
        <v>21.35</v>
      </c>
      <c r="H43" s="112">
        <v>5.18</v>
      </c>
      <c r="I43" s="112">
        <v>4.7</v>
      </c>
      <c r="J43" s="112">
        <v>0.23</v>
      </c>
      <c r="K43" s="112">
        <v>236.68</v>
      </c>
      <c r="L43" s="112">
        <v>28.35</v>
      </c>
      <c r="M43" s="112">
        <v>98.69</v>
      </c>
      <c r="N43" s="112">
        <v>55.4</v>
      </c>
      <c r="O43" s="112">
        <v>0</v>
      </c>
      <c r="P43" s="112">
        <v>0.42</v>
      </c>
      <c r="Q43" s="112">
        <v>4.99</v>
      </c>
    </row>
    <row r="44" spans="1:17" customFormat="1">
      <c r="A44" s="80">
        <v>45470.375</v>
      </c>
      <c r="B44" s="112">
        <v>9.27</v>
      </c>
      <c r="C44" s="112">
        <v>4.07</v>
      </c>
      <c r="D44" s="112">
        <v>14.01</v>
      </c>
      <c r="E44" s="112">
        <v>10.36</v>
      </c>
      <c r="F44" s="112">
        <v>9.0299999999999994</v>
      </c>
      <c r="G44" s="112">
        <v>21.35</v>
      </c>
      <c r="H44" s="112">
        <v>5.18</v>
      </c>
      <c r="I44" s="112">
        <v>4.97</v>
      </c>
      <c r="J44" s="112">
        <v>0.18</v>
      </c>
      <c r="K44" s="112">
        <v>204.57</v>
      </c>
      <c r="L44" s="112">
        <v>28.16</v>
      </c>
      <c r="M44" s="112">
        <v>96.09</v>
      </c>
      <c r="N44" s="112">
        <v>57.8</v>
      </c>
      <c r="O44" s="112">
        <v>0</v>
      </c>
      <c r="P44" s="112">
        <v>0.43</v>
      </c>
      <c r="Q44" s="112">
        <v>4.99</v>
      </c>
    </row>
    <row r="45" spans="1:17" customFormat="1">
      <c r="A45" s="80">
        <v>45470.385416666664</v>
      </c>
      <c r="B45" s="112">
        <v>9.2799999999999994</v>
      </c>
      <c r="C45" s="112">
        <v>4.05</v>
      </c>
      <c r="D45" s="112">
        <v>14.01</v>
      </c>
      <c r="E45" s="112">
        <v>9.82</v>
      </c>
      <c r="F45" s="112">
        <v>10.17</v>
      </c>
      <c r="G45" s="112">
        <v>21.35</v>
      </c>
      <c r="H45" s="112">
        <v>5.18</v>
      </c>
      <c r="I45" s="112">
        <v>4.97</v>
      </c>
      <c r="J45" s="112">
        <v>0.11</v>
      </c>
      <c r="K45" s="112">
        <v>186.99</v>
      </c>
      <c r="L45" s="112">
        <v>28.29</v>
      </c>
      <c r="M45" s="112">
        <v>92.08</v>
      </c>
      <c r="N45" s="112">
        <v>84.8</v>
      </c>
      <c r="O45" s="112">
        <v>0</v>
      </c>
      <c r="P45" s="112">
        <v>0.44</v>
      </c>
      <c r="Q45" s="112">
        <v>5.01</v>
      </c>
    </row>
    <row r="46" spans="1:17" customFormat="1">
      <c r="A46" s="80">
        <v>45470.395833333336</v>
      </c>
      <c r="B46" s="112">
        <v>9.2799999999999994</v>
      </c>
      <c r="C46" s="112">
        <v>4.05</v>
      </c>
      <c r="D46" s="112">
        <v>14.01</v>
      </c>
      <c r="E46" s="112">
        <v>10.59</v>
      </c>
      <c r="F46" s="112">
        <v>13.96</v>
      </c>
      <c r="G46" s="112">
        <v>20.61</v>
      </c>
      <c r="H46" s="112">
        <v>5.71</v>
      </c>
      <c r="I46" s="112">
        <v>5.0199999999999996</v>
      </c>
      <c r="J46" s="112">
        <v>0.1</v>
      </c>
      <c r="K46" s="112">
        <v>290.42</v>
      </c>
      <c r="L46" s="112">
        <v>28.55</v>
      </c>
      <c r="M46" s="112">
        <v>89.04</v>
      </c>
      <c r="N46" s="112">
        <v>123.4</v>
      </c>
      <c r="O46" s="112">
        <v>0</v>
      </c>
      <c r="P46" s="112">
        <v>0.46</v>
      </c>
      <c r="Q46" s="112">
        <v>5</v>
      </c>
    </row>
    <row r="47" spans="1:17" customFormat="1">
      <c r="A47" s="80">
        <v>45470.40625</v>
      </c>
      <c r="B47" s="112">
        <v>9.2799999999999994</v>
      </c>
      <c r="C47" s="112">
        <v>4.09</v>
      </c>
      <c r="D47" s="112">
        <v>14.03</v>
      </c>
      <c r="E47" s="112">
        <v>11.17</v>
      </c>
      <c r="F47" s="112">
        <v>12.35</v>
      </c>
      <c r="G47" s="112">
        <v>19.510000000000002</v>
      </c>
      <c r="H47" s="112">
        <v>6.18</v>
      </c>
      <c r="I47" s="112">
        <v>4.97</v>
      </c>
      <c r="J47" s="112">
        <v>0.38</v>
      </c>
      <c r="K47" s="112">
        <v>21.54</v>
      </c>
      <c r="L47" s="112">
        <v>28.91</v>
      </c>
      <c r="M47" s="112">
        <v>85.41</v>
      </c>
      <c r="N47" s="112">
        <v>112.1</v>
      </c>
      <c r="O47" s="112">
        <v>0</v>
      </c>
      <c r="P47" s="112">
        <v>0.56000000000000005</v>
      </c>
      <c r="Q47" s="112">
        <v>5.03</v>
      </c>
    </row>
    <row r="48" spans="1:17" customFormat="1">
      <c r="A48" s="80">
        <v>45470.416666666664</v>
      </c>
      <c r="B48" s="112">
        <v>9.2899999999999991</v>
      </c>
      <c r="C48" s="112">
        <v>4.08</v>
      </c>
      <c r="D48" s="112">
        <v>14.03</v>
      </c>
      <c r="E48" s="112">
        <v>10.74</v>
      </c>
      <c r="F48" s="112">
        <v>10.92</v>
      </c>
      <c r="G48" s="112">
        <v>19.510000000000002</v>
      </c>
      <c r="H48" s="112">
        <v>6.18</v>
      </c>
      <c r="I48" s="112">
        <v>5.12</v>
      </c>
      <c r="J48" s="112">
        <v>0.56999999999999995</v>
      </c>
      <c r="K48" s="112">
        <v>55.04</v>
      </c>
      <c r="L48" s="112">
        <v>28.94</v>
      </c>
      <c r="M48" s="112">
        <v>87.14</v>
      </c>
      <c r="N48" s="112">
        <v>148.5</v>
      </c>
      <c r="O48" s="112">
        <v>0.2</v>
      </c>
      <c r="P48" s="112">
        <v>0.56999999999999995</v>
      </c>
      <c r="Q48" s="112">
        <v>5.01</v>
      </c>
    </row>
    <row r="49" spans="1:17" customFormat="1">
      <c r="A49" s="80">
        <v>45470.427083333336</v>
      </c>
      <c r="B49" s="112">
        <v>9.2799999999999994</v>
      </c>
      <c r="C49" s="112">
        <v>4.0999999999999996</v>
      </c>
      <c r="D49" s="112">
        <v>14.04</v>
      </c>
      <c r="E49" s="112">
        <v>8.16</v>
      </c>
      <c r="F49" s="112">
        <v>14.08</v>
      </c>
      <c r="G49" s="112">
        <v>19.510000000000002</v>
      </c>
      <c r="H49" s="112">
        <v>6.18</v>
      </c>
      <c r="I49" s="112">
        <v>5.52</v>
      </c>
      <c r="J49" s="112">
        <v>0.66</v>
      </c>
      <c r="K49" s="112">
        <v>48.32</v>
      </c>
      <c r="L49" s="112">
        <v>29.52</v>
      </c>
      <c r="M49" s="112">
        <v>84.53</v>
      </c>
      <c r="N49" s="112">
        <v>274.39999999999998</v>
      </c>
      <c r="O49" s="112">
        <v>0</v>
      </c>
      <c r="P49" s="112">
        <v>0.56000000000000005</v>
      </c>
      <c r="Q49" s="112">
        <v>4.99</v>
      </c>
    </row>
    <row r="50" spans="1:17" customFormat="1">
      <c r="A50" s="80">
        <v>45470.4375</v>
      </c>
      <c r="B50" s="112">
        <v>9.3000000000000007</v>
      </c>
      <c r="C50" s="112">
        <v>4.09</v>
      </c>
      <c r="D50" s="112">
        <v>14.04</v>
      </c>
      <c r="E50" s="112">
        <v>10.039999999999999</v>
      </c>
      <c r="F50" s="112">
        <v>15.48</v>
      </c>
      <c r="G50" s="112">
        <v>24.3</v>
      </c>
      <c r="H50" s="112">
        <v>6.91</v>
      </c>
      <c r="I50" s="112">
        <v>5.46</v>
      </c>
      <c r="J50" s="112">
        <v>0.43</v>
      </c>
      <c r="K50" s="112">
        <v>53.24</v>
      </c>
      <c r="L50" s="112">
        <v>30.24</v>
      </c>
      <c r="M50" s="112">
        <v>81.489999999999995</v>
      </c>
      <c r="N50" s="112">
        <v>329.2</v>
      </c>
      <c r="O50" s="112">
        <v>0</v>
      </c>
      <c r="P50" s="112">
        <v>0.51</v>
      </c>
      <c r="Q50" s="112">
        <v>4.99</v>
      </c>
    </row>
    <row r="51" spans="1:17" customFormat="1">
      <c r="A51" s="80">
        <v>45470.447916666664</v>
      </c>
      <c r="B51" s="112">
        <v>9.3000000000000007</v>
      </c>
      <c r="C51" s="112">
        <v>4.0599999999999996</v>
      </c>
      <c r="D51" s="112">
        <v>14.03</v>
      </c>
      <c r="E51" s="112">
        <v>11.4</v>
      </c>
      <c r="F51" s="112">
        <v>16.36</v>
      </c>
      <c r="G51" s="112">
        <v>31.48</v>
      </c>
      <c r="H51" s="112">
        <v>8.9700000000000006</v>
      </c>
      <c r="I51" s="112">
        <v>5.39</v>
      </c>
      <c r="J51" s="112">
        <v>0.51</v>
      </c>
      <c r="K51" s="112">
        <v>51.36</v>
      </c>
      <c r="L51" s="112">
        <v>31.11</v>
      </c>
      <c r="M51" s="112">
        <v>79.37</v>
      </c>
      <c r="N51" s="112">
        <v>350.7</v>
      </c>
      <c r="O51" s="112">
        <v>0</v>
      </c>
      <c r="P51" s="112">
        <v>0.53</v>
      </c>
      <c r="Q51" s="112">
        <v>5.0199999999999996</v>
      </c>
    </row>
    <row r="52" spans="1:17" customFormat="1">
      <c r="A52" s="80">
        <v>45470.458333333336</v>
      </c>
      <c r="B52" s="112">
        <v>9.2899999999999991</v>
      </c>
      <c r="C52" s="112">
        <v>4.0599999999999996</v>
      </c>
      <c r="D52" s="112">
        <v>14.03</v>
      </c>
      <c r="E52" s="112">
        <v>12.27</v>
      </c>
      <c r="F52" s="112">
        <v>12.13</v>
      </c>
      <c r="G52" s="112">
        <v>31.48</v>
      </c>
      <c r="H52" s="112">
        <v>8.9700000000000006</v>
      </c>
      <c r="I52" s="112">
        <v>5.39</v>
      </c>
      <c r="J52" s="112">
        <v>0.42</v>
      </c>
      <c r="K52" s="112">
        <v>61.32</v>
      </c>
      <c r="L52" s="112">
        <v>31.98</v>
      </c>
      <c r="M52" s="112">
        <v>75.78</v>
      </c>
      <c r="N52" s="112">
        <v>358.4</v>
      </c>
      <c r="O52" s="112">
        <v>0</v>
      </c>
      <c r="P52" s="112">
        <v>0.53</v>
      </c>
      <c r="Q52" s="112">
        <v>5.01</v>
      </c>
    </row>
    <row r="53" spans="1:17" customFormat="1">
      <c r="A53" s="80">
        <v>45470.46875</v>
      </c>
      <c r="B53" s="112">
        <v>9.26</v>
      </c>
      <c r="C53" s="112">
        <v>4.09</v>
      </c>
      <c r="D53" s="112">
        <v>14.02</v>
      </c>
      <c r="E53" s="112">
        <v>12.62</v>
      </c>
      <c r="F53" s="112">
        <v>18.66</v>
      </c>
      <c r="G53" s="112">
        <v>31.48</v>
      </c>
      <c r="H53" s="112">
        <v>8.9700000000000006</v>
      </c>
      <c r="I53" s="112">
        <v>5.78</v>
      </c>
      <c r="J53" s="112">
        <v>0.87</v>
      </c>
      <c r="K53" s="112">
        <v>58.51</v>
      </c>
      <c r="L53" s="112">
        <v>32.08</v>
      </c>
      <c r="M53" s="112">
        <v>72.8</v>
      </c>
      <c r="N53" s="112">
        <v>357.1</v>
      </c>
      <c r="O53" s="112">
        <v>0</v>
      </c>
      <c r="P53" s="112">
        <v>0.54</v>
      </c>
      <c r="Q53" s="112">
        <v>4.9800000000000004</v>
      </c>
    </row>
    <row r="54" spans="1:17" customFormat="1">
      <c r="A54" s="80">
        <v>45470.479166666664</v>
      </c>
      <c r="B54" s="112">
        <v>9.26</v>
      </c>
      <c r="C54" s="112">
        <v>4.09</v>
      </c>
      <c r="D54" s="112">
        <v>14.02</v>
      </c>
      <c r="E54" s="112">
        <v>11.69</v>
      </c>
      <c r="F54" s="112">
        <v>26.01</v>
      </c>
      <c r="G54" s="112">
        <v>36.07</v>
      </c>
      <c r="H54" s="112">
        <v>8.6999999999999993</v>
      </c>
      <c r="I54" s="112">
        <v>5.9</v>
      </c>
      <c r="J54" s="112">
        <v>0.89</v>
      </c>
      <c r="K54" s="112">
        <v>33.020000000000003</v>
      </c>
      <c r="L54" s="112">
        <v>32.130000000000003</v>
      </c>
      <c r="M54" s="112">
        <v>71.69</v>
      </c>
      <c r="N54" s="112">
        <v>317.8</v>
      </c>
      <c r="O54" s="112">
        <v>0</v>
      </c>
      <c r="P54" s="112">
        <v>0.53</v>
      </c>
      <c r="Q54" s="112">
        <v>5</v>
      </c>
    </row>
    <row r="55" spans="1:17" customFormat="1">
      <c r="A55" s="80">
        <v>45470.489583333336</v>
      </c>
      <c r="B55" s="112">
        <v>9.26</v>
      </c>
      <c r="C55" s="112">
        <v>4.08</v>
      </c>
      <c r="D55" s="112">
        <v>14.01</v>
      </c>
      <c r="E55" s="112">
        <v>11.51</v>
      </c>
      <c r="F55" s="112">
        <v>17.77</v>
      </c>
      <c r="G55" s="112">
        <v>42.96</v>
      </c>
      <c r="H55" s="112">
        <v>8.4700000000000006</v>
      </c>
      <c r="I55" s="112">
        <v>5.79</v>
      </c>
      <c r="J55" s="112">
        <v>0.81</v>
      </c>
      <c r="K55" s="112">
        <v>64.08</v>
      </c>
      <c r="L55" s="112">
        <v>33.01</v>
      </c>
      <c r="M55" s="112">
        <v>69.66</v>
      </c>
      <c r="N55" s="112">
        <v>495.1</v>
      </c>
      <c r="O55" s="112">
        <v>0</v>
      </c>
      <c r="P55" s="112">
        <v>0.53</v>
      </c>
      <c r="Q55" s="112">
        <v>5</v>
      </c>
    </row>
    <row r="56" spans="1:17" customFormat="1">
      <c r="A56" s="80">
        <v>45470.5</v>
      </c>
      <c r="B56" s="112">
        <v>9.26</v>
      </c>
      <c r="C56" s="112">
        <v>4.12</v>
      </c>
      <c r="D56" s="112">
        <v>14.03</v>
      </c>
      <c r="E56" s="112">
        <v>13.22</v>
      </c>
      <c r="F56" s="112">
        <v>24.43</v>
      </c>
      <c r="G56" s="112">
        <v>42.96</v>
      </c>
      <c r="H56" s="112">
        <v>8.4700000000000006</v>
      </c>
      <c r="I56" s="112">
        <v>5.24</v>
      </c>
      <c r="J56" s="112">
        <v>0.81</v>
      </c>
      <c r="K56" s="112">
        <v>59.17</v>
      </c>
      <c r="L56" s="112">
        <v>33.270000000000003</v>
      </c>
      <c r="M56" s="112">
        <v>67.849999999999994</v>
      </c>
      <c r="N56" s="112">
        <v>818.2</v>
      </c>
      <c r="O56" s="112">
        <v>0</v>
      </c>
      <c r="P56" s="112">
        <v>0.52</v>
      </c>
      <c r="Q56" s="112">
        <v>5</v>
      </c>
    </row>
    <row r="57" spans="1:17" customFormat="1">
      <c r="A57" s="80">
        <v>45470.510416666664</v>
      </c>
      <c r="B57" s="112">
        <v>9.3000000000000007</v>
      </c>
      <c r="C57" s="112">
        <v>4.09</v>
      </c>
      <c r="D57" s="112">
        <v>14.04</v>
      </c>
      <c r="E57" s="112">
        <v>16.329999999999998</v>
      </c>
      <c r="F57" s="112">
        <v>29.86</v>
      </c>
      <c r="G57" s="112">
        <v>42.96</v>
      </c>
      <c r="H57" s="112">
        <v>8.4700000000000006</v>
      </c>
      <c r="I57" s="112">
        <v>5.49</v>
      </c>
      <c r="J57" s="112">
        <v>0.74</v>
      </c>
      <c r="K57" s="112">
        <v>48.89</v>
      </c>
      <c r="L57" s="112">
        <v>33.65</v>
      </c>
      <c r="M57" s="112">
        <v>66.959999999999994</v>
      </c>
      <c r="N57" s="112">
        <v>545.6</v>
      </c>
      <c r="O57" s="112">
        <v>0</v>
      </c>
      <c r="P57" s="112">
        <v>0.53</v>
      </c>
      <c r="Q57" s="112">
        <v>5</v>
      </c>
    </row>
    <row r="58" spans="1:17" customFormat="1">
      <c r="A58" s="80">
        <v>45470.520833333336</v>
      </c>
      <c r="B58" s="112">
        <v>9.2899999999999991</v>
      </c>
      <c r="C58" s="112">
        <v>4.07</v>
      </c>
      <c r="D58" s="112">
        <v>14.03</v>
      </c>
      <c r="E58" s="112">
        <v>19.43</v>
      </c>
      <c r="F58" s="112">
        <v>33.1</v>
      </c>
      <c r="G58" s="112">
        <v>45.8</v>
      </c>
      <c r="H58" s="112">
        <v>12.43</v>
      </c>
      <c r="I58" s="112">
        <v>5.22</v>
      </c>
      <c r="J58" s="112">
        <v>0.95</v>
      </c>
      <c r="K58" s="112">
        <v>39.67</v>
      </c>
      <c r="L58" s="112">
        <v>33.19</v>
      </c>
      <c r="M58" s="112">
        <v>68.56</v>
      </c>
      <c r="N58" s="112">
        <v>720.6</v>
      </c>
      <c r="O58" s="112">
        <v>0</v>
      </c>
      <c r="P58" s="112">
        <v>0.55000000000000004</v>
      </c>
      <c r="Q58" s="112">
        <v>5.01</v>
      </c>
    </row>
    <row r="59" spans="1:17" customFormat="1">
      <c r="A59" s="80">
        <v>45470.53125</v>
      </c>
      <c r="B59" s="112">
        <v>9.24</v>
      </c>
      <c r="C59" s="112">
        <v>4.08</v>
      </c>
      <c r="D59" s="112">
        <v>13.99</v>
      </c>
      <c r="E59" s="112">
        <v>13.55</v>
      </c>
      <c r="F59" s="112">
        <v>18.89</v>
      </c>
      <c r="G59" s="112">
        <v>50.06</v>
      </c>
      <c r="H59" s="112">
        <v>15.95</v>
      </c>
      <c r="I59" s="112">
        <v>5.09</v>
      </c>
      <c r="J59" s="112">
        <v>0.75</v>
      </c>
      <c r="K59" s="112">
        <v>61.83</v>
      </c>
      <c r="L59" s="112">
        <v>33.86</v>
      </c>
      <c r="M59" s="112">
        <v>67.8</v>
      </c>
      <c r="N59" s="112">
        <v>740.8</v>
      </c>
      <c r="O59" s="112">
        <v>0</v>
      </c>
      <c r="P59" s="112">
        <v>0.53</v>
      </c>
      <c r="Q59" s="112">
        <v>5.0199999999999996</v>
      </c>
    </row>
    <row r="60" spans="1:17" customFormat="1">
      <c r="A60" s="80">
        <v>45470.541666666664</v>
      </c>
      <c r="B60" s="112">
        <v>9.26</v>
      </c>
      <c r="C60" s="112">
        <v>4.0999999999999996</v>
      </c>
      <c r="D60" s="112">
        <v>14.02</v>
      </c>
      <c r="E60" s="112">
        <v>11.13</v>
      </c>
      <c r="F60" s="112">
        <v>17.64</v>
      </c>
      <c r="G60" s="112">
        <v>50.06</v>
      </c>
      <c r="H60" s="112">
        <v>15.95</v>
      </c>
      <c r="I60" s="112">
        <v>4.93</v>
      </c>
      <c r="J60" s="112">
        <v>0.79</v>
      </c>
      <c r="K60" s="112">
        <v>56.95</v>
      </c>
      <c r="L60" s="112">
        <v>34.25</v>
      </c>
      <c r="M60" s="112">
        <v>64.78</v>
      </c>
      <c r="N60" s="112">
        <v>763.5</v>
      </c>
      <c r="O60" s="112">
        <v>0</v>
      </c>
      <c r="P60" s="112">
        <v>0.53</v>
      </c>
      <c r="Q60" s="112">
        <v>5.0199999999999996</v>
      </c>
    </row>
    <row r="61" spans="1:17" customFormat="1">
      <c r="A61" s="80">
        <v>45470.552083333336</v>
      </c>
      <c r="B61" s="112">
        <v>9.3000000000000007</v>
      </c>
      <c r="C61" s="112">
        <v>4.08</v>
      </c>
      <c r="D61" s="112">
        <v>14.04</v>
      </c>
      <c r="E61" s="112">
        <v>9.52</v>
      </c>
      <c r="F61" s="112">
        <v>30.31</v>
      </c>
      <c r="G61" s="112">
        <v>50.06</v>
      </c>
      <c r="H61" s="112">
        <v>15.95</v>
      </c>
      <c r="I61" s="112">
        <v>4.92</v>
      </c>
      <c r="J61" s="112">
        <v>0.69</v>
      </c>
      <c r="K61" s="112">
        <v>55.36</v>
      </c>
      <c r="L61" s="112">
        <v>34.520000000000003</v>
      </c>
      <c r="M61" s="112">
        <v>63.17</v>
      </c>
      <c r="N61" s="112">
        <v>588.70000000000005</v>
      </c>
      <c r="O61" s="112">
        <v>0</v>
      </c>
      <c r="P61" s="112">
        <v>0.5</v>
      </c>
      <c r="Q61" s="112">
        <v>5</v>
      </c>
    </row>
    <row r="62" spans="1:17" customFormat="1">
      <c r="A62" s="80">
        <v>45470.5625</v>
      </c>
      <c r="B62" s="112">
        <v>9.31</v>
      </c>
      <c r="C62" s="112">
        <v>4.07</v>
      </c>
      <c r="D62" s="112">
        <v>14.04</v>
      </c>
      <c r="E62" s="112">
        <v>9.93</v>
      </c>
      <c r="F62" s="112">
        <v>40.159999999999997</v>
      </c>
      <c r="G62" s="112">
        <v>51.01</v>
      </c>
      <c r="H62" s="112">
        <v>16.91</v>
      </c>
      <c r="I62" s="112">
        <v>4.84</v>
      </c>
      <c r="J62" s="112">
        <v>0.9</v>
      </c>
      <c r="K62" s="112">
        <v>0.57999999999999996</v>
      </c>
      <c r="L62" s="112">
        <v>34.17</v>
      </c>
      <c r="M62" s="112">
        <v>62.79</v>
      </c>
      <c r="N62" s="112">
        <v>322.8</v>
      </c>
      <c r="O62" s="112">
        <v>0</v>
      </c>
      <c r="P62" s="112">
        <v>0.43</v>
      </c>
      <c r="Q62" s="112">
        <v>4.99</v>
      </c>
    </row>
    <row r="63" spans="1:17" customFormat="1">
      <c r="A63" s="80">
        <v>45470.572916666664</v>
      </c>
      <c r="B63" s="149" t="s">
        <v>4</v>
      </c>
      <c r="C63" s="149" t="s">
        <v>4</v>
      </c>
      <c r="D63" s="149" t="s">
        <v>4</v>
      </c>
      <c r="E63" s="149" t="s">
        <v>4</v>
      </c>
      <c r="F63" s="149" t="s">
        <v>4</v>
      </c>
      <c r="G63" s="149" t="s">
        <v>4</v>
      </c>
      <c r="H63" s="149" t="s">
        <v>4</v>
      </c>
      <c r="I63" s="149" t="s">
        <v>4</v>
      </c>
      <c r="J63" s="149" t="s">
        <v>4</v>
      </c>
      <c r="K63" s="149" t="s">
        <v>4</v>
      </c>
      <c r="L63" s="149" t="s">
        <v>4</v>
      </c>
      <c r="M63" s="149" t="s">
        <v>4</v>
      </c>
      <c r="N63" s="149" t="s">
        <v>4</v>
      </c>
      <c r="O63" s="149" t="s">
        <v>4</v>
      </c>
      <c r="P63" s="149" t="s">
        <v>4</v>
      </c>
      <c r="Q63" s="149" t="s">
        <v>4</v>
      </c>
    </row>
    <row r="64" spans="1:17" customFormat="1">
      <c r="A64" s="80">
        <v>45470.583333333336</v>
      </c>
      <c r="B64" s="149" t="s">
        <v>4</v>
      </c>
      <c r="C64" s="149" t="s">
        <v>4</v>
      </c>
      <c r="D64" s="149" t="s">
        <v>4</v>
      </c>
      <c r="E64" s="149" t="s">
        <v>4</v>
      </c>
      <c r="F64" s="149" t="s">
        <v>4</v>
      </c>
      <c r="G64" s="149" t="s">
        <v>4</v>
      </c>
      <c r="H64" s="149" t="s">
        <v>4</v>
      </c>
      <c r="I64" s="149" t="s">
        <v>4</v>
      </c>
      <c r="J64" s="149" t="s">
        <v>4</v>
      </c>
      <c r="K64" s="149" t="s">
        <v>4</v>
      </c>
      <c r="L64" s="149" t="s">
        <v>4</v>
      </c>
      <c r="M64" s="149" t="s">
        <v>4</v>
      </c>
      <c r="N64" s="149" t="s">
        <v>4</v>
      </c>
      <c r="O64" s="149" t="s">
        <v>4</v>
      </c>
      <c r="P64" s="149" t="s">
        <v>4</v>
      </c>
      <c r="Q64" s="149" t="s">
        <v>4</v>
      </c>
    </row>
    <row r="65" spans="1:17" customFormat="1">
      <c r="A65" s="80">
        <v>45470.59375</v>
      </c>
      <c r="B65" s="149" t="s">
        <v>4</v>
      </c>
      <c r="C65" s="149" t="s">
        <v>4</v>
      </c>
      <c r="D65" s="149" t="s">
        <v>4</v>
      </c>
      <c r="E65" s="149" t="s">
        <v>4</v>
      </c>
      <c r="F65" s="149" t="s">
        <v>4</v>
      </c>
      <c r="G65" s="149" t="s">
        <v>4</v>
      </c>
      <c r="H65" s="149" t="s">
        <v>4</v>
      </c>
      <c r="I65" s="149" t="s">
        <v>4</v>
      </c>
      <c r="J65" s="149" t="s">
        <v>4</v>
      </c>
      <c r="K65" s="149" t="s">
        <v>4</v>
      </c>
      <c r="L65" s="149" t="s">
        <v>4</v>
      </c>
      <c r="M65" s="149" t="s">
        <v>4</v>
      </c>
      <c r="N65" s="149" t="s">
        <v>4</v>
      </c>
      <c r="O65" s="149" t="s">
        <v>4</v>
      </c>
      <c r="P65" s="149" t="s">
        <v>4</v>
      </c>
      <c r="Q65" s="149" t="s">
        <v>4</v>
      </c>
    </row>
    <row r="66" spans="1:17" customFormat="1">
      <c r="A66" s="80">
        <v>45470.604166666664</v>
      </c>
      <c r="B66" s="149" t="s">
        <v>4</v>
      </c>
      <c r="C66" s="149" t="s">
        <v>4</v>
      </c>
      <c r="D66" s="149" t="s">
        <v>4</v>
      </c>
      <c r="E66" s="149" t="s">
        <v>4</v>
      </c>
      <c r="F66" s="149" t="s">
        <v>4</v>
      </c>
      <c r="G66" s="149" t="s">
        <v>4</v>
      </c>
      <c r="H66" s="149" t="s">
        <v>4</v>
      </c>
      <c r="I66" s="149" t="s">
        <v>4</v>
      </c>
      <c r="J66" s="149" t="s">
        <v>4</v>
      </c>
      <c r="K66" s="149" t="s">
        <v>4</v>
      </c>
      <c r="L66" s="149" t="s">
        <v>4</v>
      </c>
      <c r="M66" s="149" t="s">
        <v>4</v>
      </c>
      <c r="N66" s="149" t="s">
        <v>4</v>
      </c>
      <c r="O66" s="149" t="s">
        <v>4</v>
      </c>
      <c r="P66" s="149" t="s">
        <v>4</v>
      </c>
      <c r="Q66" s="149" t="s">
        <v>4</v>
      </c>
    </row>
    <row r="67" spans="1:17" customFormat="1">
      <c r="A67" s="80">
        <v>45470.614583333336</v>
      </c>
      <c r="B67" s="149" t="s">
        <v>4</v>
      </c>
      <c r="C67" s="149" t="s">
        <v>4</v>
      </c>
      <c r="D67" s="149" t="s">
        <v>4</v>
      </c>
      <c r="E67" s="149" t="s">
        <v>4</v>
      </c>
      <c r="F67" s="149" t="s">
        <v>4</v>
      </c>
      <c r="G67" s="149" t="s">
        <v>4</v>
      </c>
      <c r="H67" s="149" t="s">
        <v>4</v>
      </c>
      <c r="I67" s="149" t="s">
        <v>4</v>
      </c>
      <c r="J67" s="149" t="s">
        <v>4</v>
      </c>
      <c r="K67" s="149" t="s">
        <v>4</v>
      </c>
      <c r="L67" s="149" t="s">
        <v>4</v>
      </c>
      <c r="M67" s="149" t="s">
        <v>4</v>
      </c>
      <c r="N67" s="149" t="s">
        <v>4</v>
      </c>
      <c r="O67" s="149" t="s">
        <v>4</v>
      </c>
      <c r="P67" s="149" t="s">
        <v>4</v>
      </c>
      <c r="Q67" s="149" t="s">
        <v>4</v>
      </c>
    </row>
    <row r="68" spans="1:17" customFormat="1">
      <c r="A68" s="80">
        <v>45470.625</v>
      </c>
      <c r="B68" s="149" t="s">
        <v>4</v>
      </c>
      <c r="C68" s="149" t="s">
        <v>4</v>
      </c>
      <c r="D68" s="149" t="s">
        <v>4</v>
      </c>
      <c r="E68" s="149" t="s">
        <v>4</v>
      </c>
      <c r="F68" s="149" t="s">
        <v>4</v>
      </c>
      <c r="G68" s="149" t="s">
        <v>4</v>
      </c>
      <c r="H68" s="149" t="s">
        <v>4</v>
      </c>
      <c r="I68" s="149" t="s">
        <v>4</v>
      </c>
      <c r="J68" s="149" t="s">
        <v>4</v>
      </c>
      <c r="K68" s="149" t="s">
        <v>4</v>
      </c>
      <c r="L68" s="149" t="s">
        <v>4</v>
      </c>
      <c r="M68" s="149" t="s">
        <v>4</v>
      </c>
      <c r="N68" s="149" t="s">
        <v>4</v>
      </c>
      <c r="O68" s="149" t="s">
        <v>4</v>
      </c>
      <c r="P68" s="149" t="s">
        <v>4</v>
      </c>
      <c r="Q68" s="149" t="s">
        <v>4</v>
      </c>
    </row>
    <row r="69" spans="1:17" customFormat="1">
      <c r="A69" s="80">
        <v>45470.635416666664</v>
      </c>
      <c r="B69" s="170" t="s">
        <v>21</v>
      </c>
      <c r="C69" s="170" t="s">
        <v>21</v>
      </c>
      <c r="D69" s="170" t="s">
        <v>21</v>
      </c>
      <c r="E69" s="170" t="s">
        <v>21</v>
      </c>
      <c r="F69" s="170" t="s">
        <v>21</v>
      </c>
      <c r="G69" s="112">
        <v>52.43</v>
      </c>
      <c r="H69" s="112">
        <v>17.760000000000002</v>
      </c>
      <c r="I69" s="170" t="s">
        <v>21</v>
      </c>
      <c r="J69" s="112">
        <v>0.41</v>
      </c>
      <c r="K69" s="112">
        <v>136.88999999999999</v>
      </c>
      <c r="L69" s="112">
        <v>35.880000000000003</v>
      </c>
      <c r="M69" s="112">
        <v>58.45</v>
      </c>
      <c r="N69" s="112">
        <v>603.20000000000005</v>
      </c>
      <c r="O69" s="112">
        <v>0</v>
      </c>
      <c r="P69" s="170" t="s">
        <v>21</v>
      </c>
      <c r="Q69" s="170" t="s">
        <v>21</v>
      </c>
    </row>
    <row r="70" spans="1:17" customFormat="1">
      <c r="A70" s="80">
        <v>45470.645833333336</v>
      </c>
      <c r="B70" s="170" t="s">
        <v>21</v>
      </c>
      <c r="C70" s="170" t="s">
        <v>21</v>
      </c>
      <c r="D70" s="170" t="s">
        <v>21</v>
      </c>
      <c r="E70" s="112">
        <v>8.69</v>
      </c>
      <c r="F70" s="112">
        <v>12.7</v>
      </c>
      <c r="G70" s="112">
        <v>29.85</v>
      </c>
      <c r="H70" s="112">
        <v>10.16</v>
      </c>
      <c r="I70" s="170" t="s">
        <v>21</v>
      </c>
      <c r="J70" s="112">
        <v>0.59</v>
      </c>
      <c r="K70" s="112">
        <v>65.91</v>
      </c>
      <c r="L70" s="112">
        <v>36.25</v>
      </c>
      <c r="M70" s="112">
        <v>56</v>
      </c>
      <c r="N70" s="112">
        <v>569.9</v>
      </c>
      <c r="O70" s="112">
        <v>0</v>
      </c>
      <c r="P70" s="112">
        <v>0.4</v>
      </c>
      <c r="Q70" s="170" t="s">
        <v>21</v>
      </c>
    </row>
    <row r="71" spans="1:17" customFormat="1">
      <c r="A71" s="80">
        <v>45470.65625</v>
      </c>
      <c r="B71" s="112">
        <v>9.77</v>
      </c>
      <c r="C71" s="112">
        <v>4.0199999999999996</v>
      </c>
      <c r="D71" s="112">
        <v>14.38</v>
      </c>
      <c r="E71" s="172" t="s">
        <v>8</v>
      </c>
      <c r="F71" s="112">
        <v>8.44</v>
      </c>
      <c r="G71" s="112">
        <v>20.45</v>
      </c>
      <c r="H71" s="112">
        <v>8.58</v>
      </c>
      <c r="I71" s="112">
        <v>1.1599999999999999</v>
      </c>
      <c r="J71" s="112">
        <v>0.55000000000000004</v>
      </c>
      <c r="K71" s="112">
        <v>79.3</v>
      </c>
      <c r="L71" s="112">
        <v>36.42</v>
      </c>
      <c r="M71" s="112">
        <v>56.08</v>
      </c>
      <c r="N71" s="112">
        <v>529.4</v>
      </c>
      <c r="O71" s="112">
        <v>0</v>
      </c>
      <c r="P71" s="112">
        <v>0.35</v>
      </c>
      <c r="Q71" s="112">
        <v>5.04</v>
      </c>
    </row>
    <row r="72" spans="1:17" customFormat="1">
      <c r="A72" s="80">
        <v>45470.666666666664</v>
      </c>
      <c r="B72" s="112">
        <v>8.4</v>
      </c>
      <c r="C72" s="112">
        <v>4</v>
      </c>
      <c r="D72" s="112">
        <v>13.27</v>
      </c>
      <c r="E72" s="172" t="s">
        <v>8</v>
      </c>
      <c r="F72" s="112">
        <v>13.31</v>
      </c>
      <c r="G72" s="112">
        <v>20.45</v>
      </c>
      <c r="H72" s="112">
        <v>8.58</v>
      </c>
      <c r="I72" s="112">
        <v>4.55</v>
      </c>
      <c r="J72" s="112">
        <v>0.4</v>
      </c>
      <c r="K72" s="112">
        <v>77.349999999999994</v>
      </c>
      <c r="L72" s="112">
        <v>36.51</v>
      </c>
      <c r="M72" s="112">
        <v>55.23</v>
      </c>
      <c r="N72" s="112">
        <v>464.8</v>
      </c>
      <c r="O72" s="112">
        <v>0</v>
      </c>
      <c r="P72" s="112">
        <v>0.28000000000000003</v>
      </c>
      <c r="Q72" s="112">
        <v>4.78</v>
      </c>
    </row>
    <row r="73" spans="1:17" customFormat="1">
      <c r="A73" s="80">
        <v>45470.677083333336</v>
      </c>
      <c r="B73" s="112">
        <v>7.92</v>
      </c>
      <c r="C73" s="112">
        <v>3.94</v>
      </c>
      <c r="D73" s="112">
        <v>12.86</v>
      </c>
      <c r="E73" s="172" t="s">
        <v>8</v>
      </c>
      <c r="F73" s="112">
        <v>14.1</v>
      </c>
      <c r="G73" s="112">
        <v>20.45</v>
      </c>
      <c r="H73" s="112">
        <v>8.58</v>
      </c>
      <c r="I73" s="112">
        <v>4.51</v>
      </c>
      <c r="J73" s="112">
        <v>0.9</v>
      </c>
      <c r="K73" s="112">
        <v>67.38</v>
      </c>
      <c r="L73" s="112">
        <v>36.18</v>
      </c>
      <c r="M73" s="112">
        <v>55.3</v>
      </c>
      <c r="N73" s="112">
        <v>373.7</v>
      </c>
      <c r="O73" s="112">
        <v>0</v>
      </c>
      <c r="P73" s="112">
        <v>0.26</v>
      </c>
      <c r="Q73" s="112">
        <v>4.6900000000000004</v>
      </c>
    </row>
    <row r="74" spans="1:17" customFormat="1">
      <c r="A74" s="80">
        <v>45470.6875</v>
      </c>
      <c r="B74" s="112">
        <v>7.73</v>
      </c>
      <c r="C74" s="112">
        <v>3.95</v>
      </c>
      <c r="D74" s="112">
        <v>12.72</v>
      </c>
      <c r="E74" s="172" t="s">
        <v>8</v>
      </c>
      <c r="F74" s="112">
        <v>19.78</v>
      </c>
      <c r="G74" s="112">
        <v>21.43</v>
      </c>
      <c r="H74" s="112">
        <v>9.23</v>
      </c>
      <c r="I74" s="112">
        <v>4.4800000000000004</v>
      </c>
      <c r="J74" s="112">
        <v>0.69</v>
      </c>
      <c r="K74" s="112">
        <v>67.3</v>
      </c>
      <c r="L74" s="112">
        <v>35.83</v>
      </c>
      <c r="M74" s="112">
        <v>57.31</v>
      </c>
      <c r="N74" s="112">
        <v>199.1</v>
      </c>
      <c r="O74" s="112">
        <v>0</v>
      </c>
      <c r="P74" s="112">
        <v>0.24</v>
      </c>
      <c r="Q74" s="112">
        <v>4.68</v>
      </c>
    </row>
    <row r="75" spans="1:17" customFormat="1">
      <c r="A75" s="80">
        <v>45470.697916666664</v>
      </c>
      <c r="B75" s="149" t="s">
        <v>4</v>
      </c>
      <c r="C75" s="149" t="s">
        <v>4</v>
      </c>
      <c r="D75" s="149" t="s">
        <v>4</v>
      </c>
      <c r="E75" s="149" t="s">
        <v>4</v>
      </c>
      <c r="F75" s="149" t="s">
        <v>4</v>
      </c>
      <c r="G75" s="149" t="s">
        <v>4</v>
      </c>
      <c r="H75" s="149" t="s">
        <v>4</v>
      </c>
      <c r="I75" s="149" t="s">
        <v>4</v>
      </c>
      <c r="J75" s="149" t="s">
        <v>4</v>
      </c>
      <c r="K75" s="149" t="s">
        <v>4</v>
      </c>
      <c r="L75" s="149" t="s">
        <v>4</v>
      </c>
      <c r="M75" s="149" t="s">
        <v>4</v>
      </c>
      <c r="N75" s="149" t="s">
        <v>4</v>
      </c>
      <c r="O75" s="149" t="s">
        <v>4</v>
      </c>
      <c r="P75" s="149" t="s">
        <v>4</v>
      </c>
      <c r="Q75" s="149" t="s">
        <v>4</v>
      </c>
    </row>
    <row r="76" spans="1:17" customFormat="1">
      <c r="A76" s="80">
        <v>45470.708333333336</v>
      </c>
      <c r="B76" s="149" t="s">
        <v>4</v>
      </c>
      <c r="C76" s="149" t="s">
        <v>4</v>
      </c>
      <c r="D76" s="149" t="s">
        <v>4</v>
      </c>
      <c r="E76" s="149" t="s">
        <v>4</v>
      </c>
      <c r="F76" s="149" t="s">
        <v>4</v>
      </c>
      <c r="G76" s="149" t="s">
        <v>4</v>
      </c>
      <c r="H76" s="149" t="s">
        <v>4</v>
      </c>
      <c r="I76" s="149" t="s">
        <v>4</v>
      </c>
      <c r="J76" s="149" t="s">
        <v>4</v>
      </c>
      <c r="K76" s="149" t="s">
        <v>4</v>
      </c>
      <c r="L76" s="149" t="s">
        <v>4</v>
      </c>
      <c r="M76" s="149" t="s">
        <v>4</v>
      </c>
      <c r="N76" s="149" t="s">
        <v>4</v>
      </c>
      <c r="O76" s="149" t="s">
        <v>4</v>
      </c>
      <c r="P76" s="149" t="s">
        <v>4</v>
      </c>
      <c r="Q76" s="149" t="s">
        <v>4</v>
      </c>
    </row>
    <row r="77" spans="1:17" customFormat="1">
      <c r="A77" s="80">
        <v>45470.71875</v>
      </c>
      <c r="B77" s="149" t="s">
        <v>4</v>
      </c>
      <c r="C77" s="149" t="s">
        <v>4</v>
      </c>
      <c r="D77" s="149" t="s">
        <v>4</v>
      </c>
      <c r="E77" s="149" t="s">
        <v>4</v>
      </c>
      <c r="F77" s="149" t="s">
        <v>4</v>
      </c>
      <c r="G77" s="149" t="s">
        <v>4</v>
      </c>
      <c r="H77" s="149" t="s">
        <v>4</v>
      </c>
      <c r="I77" s="149" t="s">
        <v>4</v>
      </c>
      <c r="J77" s="149" t="s">
        <v>4</v>
      </c>
      <c r="K77" s="149" t="s">
        <v>4</v>
      </c>
      <c r="L77" s="149" t="s">
        <v>4</v>
      </c>
      <c r="M77" s="149" t="s">
        <v>4</v>
      </c>
      <c r="N77" s="149" t="s">
        <v>4</v>
      </c>
      <c r="O77" s="149" t="s">
        <v>4</v>
      </c>
      <c r="P77" s="149" t="s">
        <v>4</v>
      </c>
      <c r="Q77" s="149" t="s">
        <v>4</v>
      </c>
    </row>
    <row r="78" spans="1:17" customFormat="1">
      <c r="A78" s="80">
        <v>45470.729166666664</v>
      </c>
      <c r="B78" s="149" t="s">
        <v>4</v>
      </c>
      <c r="C78" s="149" t="s">
        <v>4</v>
      </c>
      <c r="D78" s="149" t="s">
        <v>4</v>
      </c>
      <c r="E78" s="149" t="s">
        <v>4</v>
      </c>
      <c r="F78" s="149" t="s">
        <v>4</v>
      </c>
      <c r="G78" s="149" t="s">
        <v>4</v>
      </c>
      <c r="H78" s="149" t="s">
        <v>4</v>
      </c>
      <c r="I78" s="149" t="s">
        <v>4</v>
      </c>
      <c r="J78" s="149" t="s">
        <v>4</v>
      </c>
      <c r="K78" s="149" t="s">
        <v>4</v>
      </c>
      <c r="L78" s="149" t="s">
        <v>4</v>
      </c>
      <c r="M78" s="149" t="s">
        <v>4</v>
      </c>
      <c r="N78" s="149" t="s">
        <v>4</v>
      </c>
      <c r="O78" s="149" t="s">
        <v>4</v>
      </c>
      <c r="P78" s="149" t="s">
        <v>4</v>
      </c>
      <c r="Q78" s="149" t="s">
        <v>4</v>
      </c>
    </row>
    <row r="79" spans="1:17" customFormat="1">
      <c r="A79" s="80">
        <v>45470.739583333336</v>
      </c>
      <c r="B79" s="149" t="s">
        <v>4</v>
      </c>
      <c r="C79" s="149" t="s">
        <v>4</v>
      </c>
      <c r="D79" s="149" t="s">
        <v>4</v>
      </c>
      <c r="E79" s="149" t="s">
        <v>4</v>
      </c>
      <c r="F79" s="149" t="s">
        <v>4</v>
      </c>
      <c r="G79" s="149" t="s">
        <v>4</v>
      </c>
      <c r="H79" s="149" t="s">
        <v>4</v>
      </c>
      <c r="I79" s="149" t="s">
        <v>4</v>
      </c>
      <c r="J79" s="149" t="s">
        <v>4</v>
      </c>
      <c r="K79" s="149" t="s">
        <v>4</v>
      </c>
      <c r="L79" s="149" t="s">
        <v>4</v>
      </c>
      <c r="M79" s="149" t="s">
        <v>4</v>
      </c>
      <c r="N79" s="149" t="s">
        <v>4</v>
      </c>
      <c r="O79" s="149" t="s">
        <v>4</v>
      </c>
      <c r="P79" s="149" t="s">
        <v>4</v>
      </c>
      <c r="Q79" s="149" t="s">
        <v>4</v>
      </c>
    </row>
    <row r="80" spans="1:17" customFormat="1">
      <c r="A80" s="80">
        <v>45470.75</v>
      </c>
      <c r="B80" s="149" t="s">
        <v>4</v>
      </c>
      <c r="C80" s="149" t="s">
        <v>4</v>
      </c>
      <c r="D80" s="149" t="s">
        <v>4</v>
      </c>
      <c r="E80" s="149" t="s">
        <v>4</v>
      </c>
      <c r="F80" s="149" t="s">
        <v>4</v>
      </c>
      <c r="G80" s="149" t="s">
        <v>4</v>
      </c>
      <c r="H80" s="149" t="s">
        <v>4</v>
      </c>
      <c r="I80" s="149" t="s">
        <v>4</v>
      </c>
      <c r="J80" s="149" t="s">
        <v>4</v>
      </c>
      <c r="K80" s="149" t="s">
        <v>4</v>
      </c>
      <c r="L80" s="149" t="s">
        <v>4</v>
      </c>
      <c r="M80" s="149" t="s">
        <v>4</v>
      </c>
      <c r="N80" s="149" t="s">
        <v>4</v>
      </c>
      <c r="O80" s="149" t="s">
        <v>4</v>
      </c>
      <c r="P80" s="149" t="s">
        <v>4</v>
      </c>
      <c r="Q80" s="149" t="s">
        <v>4</v>
      </c>
    </row>
    <row r="81" spans="1:17" customFormat="1">
      <c r="A81" s="80">
        <v>45470.760416666664</v>
      </c>
      <c r="B81" s="149" t="s">
        <v>4</v>
      </c>
      <c r="C81" s="149" t="s">
        <v>4</v>
      </c>
      <c r="D81" s="149" t="s">
        <v>4</v>
      </c>
      <c r="E81" s="149" t="s">
        <v>4</v>
      </c>
      <c r="F81" s="149" t="s">
        <v>4</v>
      </c>
      <c r="G81" s="149" t="s">
        <v>4</v>
      </c>
      <c r="H81" s="149" t="s">
        <v>4</v>
      </c>
      <c r="I81" s="149" t="s">
        <v>4</v>
      </c>
      <c r="J81" s="149" t="s">
        <v>4</v>
      </c>
      <c r="K81" s="149" t="s">
        <v>4</v>
      </c>
      <c r="L81" s="149" t="s">
        <v>4</v>
      </c>
      <c r="M81" s="149" t="s">
        <v>4</v>
      </c>
      <c r="N81" s="149" t="s">
        <v>4</v>
      </c>
      <c r="O81" s="149" t="s">
        <v>4</v>
      </c>
      <c r="P81" s="149" t="s">
        <v>4</v>
      </c>
      <c r="Q81" s="149" t="s">
        <v>4</v>
      </c>
    </row>
    <row r="82" spans="1:17" customFormat="1">
      <c r="A82" s="80">
        <v>45470.770833333336</v>
      </c>
      <c r="B82" s="149" t="s">
        <v>4</v>
      </c>
      <c r="C82" s="149" t="s">
        <v>4</v>
      </c>
      <c r="D82" s="149" t="s">
        <v>4</v>
      </c>
      <c r="E82" s="149" t="s">
        <v>4</v>
      </c>
      <c r="F82" s="149" t="s">
        <v>4</v>
      </c>
      <c r="G82" s="149" t="s">
        <v>4</v>
      </c>
      <c r="H82" s="149" t="s">
        <v>4</v>
      </c>
      <c r="I82" s="149" t="s">
        <v>4</v>
      </c>
      <c r="J82" s="149" t="s">
        <v>4</v>
      </c>
      <c r="K82" s="149" t="s">
        <v>4</v>
      </c>
      <c r="L82" s="149" t="s">
        <v>4</v>
      </c>
      <c r="M82" s="149" t="s">
        <v>4</v>
      </c>
      <c r="N82" s="149" t="s">
        <v>4</v>
      </c>
      <c r="O82" s="149" t="s">
        <v>4</v>
      </c>
      <c r="P82" s="149" t="s">
        <v>4</v>
      </c>
      <c r="Q82" s="149" t="s">
        <v>4</v>
      </c>
    </row>
    <row r="83" spans="1:17" customFormat="1">
      <c r="A83" s="80">
        <v>45470.78125</v>
      </c>
      <c r="B83" s="149" t="s">
        <v>4</v>
      </c>
      <c r="C83" s="149" t="s">
        <v>4</v>
      </c>
      <c r="D83" s="149" t="s">
        <v>4</v>
      </c>
      <c r="E83" s="149" t="s">
        <v>4</v>
      </c>
      <c r="F83" s="149" t="s">
        <v>4</v>
      </c>
      <c r="G83" s="149" t="s">
        <v>4</v>
      </c>
      <c r="H83" s="149" t="s">
        <v>4</v>
      </c>
      <c r="I83" s="149" t="s">
        <v>4</v>
      </c>
      <c r="J83" s="149" t="s">
        <v>4</v>
      </c>
      <c r="K83" s="149" t="s">
        <v>4</v>
      </c>
      <c r="L83" s="149" t="s">
        <v>4</v>
      </c>
      <c r="M83" s="149" t="s">
        <v>4</v>
      </c>
      <c r="N83" s="149" t="s">
        <v>4</v>
      </c>
      <c r="O83" s="149" t="s">
        <v>4</v>
      </c>
      <c r="P83" s="149" t="s">
        <v>4</v>
      </c>
      <c r="Q83" s="149" t="s">
        <v>4</v>
      </c>
    </row>
    <row r="84" spans="1:17" customFormat="1">
      <c r="A84" s="80">
        <v>45470.791666666664</v>
      </c>
      <c r="B84" s="149" t="s">
        <v>4</v>
      </c>
      <c r="C84" s="149" t="s">
        <v>4</v>
      </c>
      <c r="D84" s="149" t="s">
        <v>4</v>
      </c>
      <c r="E84" s="149" t="s">
        <v>4</v>
      </c>
      <c r="F84" s="149" t="s">
        <v>4</v>
      </c>
      <c r="G84" s="149" t="s">
        <v>4</v>
      </c>
      <c r="H84" s="149" t="s">
        <v>4</v>
      </c>
      <c r="I84" s="149" t="s">
        <v>4</v>
      </c>
      <c r="J84" s="149" t="s">
        <v>4</v>
      </c>
      <c r="K84" s="149" t="s">
        <v>4</v>
      </c>
      <c r="L84" s="149" t="s">
        <v>4</v>
      </c>
      <c r="M84" s="149" t="s">
        <v>4</v>
      </c>
      <c r="N84" s="149" t="s">
        <v>4</v>
      </c>
      <c r="O84" s="149" t="s">
        <v>4</v>
      </c>
      <c r="P84" s="149" t="s">
        <v>4</v>
      </c>
      <c r="Q84" s="149" t="s">
        <v>4</v>
      </c>
    </row>
    <row r="85" spans="1:17" customFormat="1">
      <c r="A85" s="80">
        <v>45470.802083333336</v>
      </c>
      <c r="B85" s="149" t="s">
        <v>4</v>
      </c>
      <c r="C85" s="149" t="s">
        <v>4</v>
      </c>
      <c r="D85" s="149" t="s">
        <v>4</v>
      </c>
      <c r="E85" s="149" t="s">
        <v>4</v>
      </c>
      <c r="F85" s="149" t="s">
        <v>4</v>
      </c>
      <c r="G85" s="149" t="s">
        <v>4</v>
      </c>
      <c r="H85" s="149" t="s">
        <v>4</v>
      </c>
      <c r="I85" s="149" t="s">
        <v>4</v>
      </c>
      <c r="J85" s="149" t="s">
        <v>4</v>
      </c>
      <c r="K85" s="149" t="s">
        <v>4</v>
      </c>
      <c r="L85" s="149" t="s">
        <v>4</v>
      </c>
      <c r="M85" s="149" t="s">
        <v>4</v>
      </c>
      <c r="N85" s="149" t="s">
        <v>4</v>
      </c>
      <c r="O85" s="149" t="s">
        <v>4</v>
      </c>
      <c r="P85" s="149" t="s">
        <v>4</v>
      </c>
      <c r="Q85" s="149" t="s">
        <v>4</v>
      </c>
    </row>
    <row r="86" spans="1:17" customFormat="1">
      <c r="A86" s="80">
        <v>45470.8125</v>
      </c>
      <c r="B86" s="149" t="s">
        <v>4</v>
      </c>
      <c r="C86" s="149" t="s">
        <v>4</v>
      </c>
      <c r="D86" s="149" t="s">
        <v>4</v>
      </c>
      <c r="E86" s="149" t="s">
        <v>4</v>
      </c>
      <c r="F86" s="149" t="s">
        <v>4</v>
      </c>
      <c r="G86" s="149" t="s">
        <v>4</v>
      </c>
      <c r="H86" s="149" t="s">
        <v>4</v>
      </c>
      <c r="I86" s="149" t="s">
        <v>4</v>
      </c>
      <c r="J86" s="149" t="s">
        <v>4</v>
      </c>
      <c r="K86" s="149" t="s">
        <v>4</v>
      </c>
      <c r="L86" s="149" t="s">
        <v>4</v>
      </c>
      <c r="M86" s="149" t="s">
        <v>4</v>
      </c>
      <c r="N86" s="149" t="s">
        <v>4</v>
      </c>
      <c r="O86" s="149" t="s">
        <v>4</v>
      </c>
      <c r="P86" s="149" t="s">
        <v>4</v>
      </c>
      <c r="Q86" s="149" t="s">
        <v>4</v>
      </c>
    </row>
    <row r="87" spans="1:17" customFormat="1">
      <c r="A87" s="80">
        <v>45470.822916666664</v>
      </c>
      <c r="B87" s="149" t="s">
        <v>4</v>
      </c>
      <c r="C87" s="149" t="s">
        <v>4</v>
      </c>
      <c r="D87" s="149" t="s">
        <v>4</v>
      </c>
      <c r="E87" s="149" t="s">
        <v>4</v>
      </c>
      <c r="F87" s="149" t="s">
        <v>4</v>
      </c>
      <c r="G87" s="149" t="s">
        <v>4</v>
      </c>
      <c r="H87" s="149" t="s">
        <v>4</v>
      </c>
      <c r="I87" s="149" t="s">
        <v>4</v>
      </c>
      <c r="J87" s="149" t="s">
        <v>4</v>
      </c>
      <c r="K87" s="149" t="s">
        <v>4</v>
      </c>
      <c r="L87" s="149" t="s">
        <v>4</v>
      </c>
      <c r="M87" s="149" t="s">
        <v>4</v>
      </c>
      <c r="N87" s="149" t="s">
        <v>4</v>
      </c>
      <c r="O87" s="149" t="s">
        <v>4</v>
      </c>
      <c r="P87" s="149" t="s">
        <v>4</v>
      </c>
      <c r="Q87" s="149" t="s">
        <v>4</v>
      </c>
    </row>
    <row r="88" spans="1:17" customFormat="1">
      <c r="A88" s="80">
        <v>45470.833333333336</v>
      </c>
      <c r="B88" s="149" t="s">
        <v>4</v>
      </c>
      <c r="C88" s="149" t="s">
        <v>4</v>
      </c>
      <c r="D88" s="149" t="s">
        <v>4</v>
      </c>
      <c r="E88" s="149" t="s">
        <v>4</v>
      </c>
      <c r="F88" s="149" t="s">
        <v>4</v>
      </c>
      <c r="G88" s="149" t="s">
        <v>4</v>
      </c>
      <c r="H88" s="149" t="s">
        <v>4</v>
      </c>
      <c r="I88" s="149" t="s">
        <v>4</v>
      </c>
      <c r="J88" s="149" t="s">
        <v>4</v>
      </c>
      <c r="K88" s="149" t="s">
        <v>4</v>
      </c>
      <c r="L88" s="149" t="s">
        <v>4</v>
      </c>
      <c r="M88" s="149" t="s">
        <v>4</v>
      </c>
      <c r="N88" s="149" t="s">
        <v>4</v>
      </c>
      <c r="O88" s="149" t="s">
        <v>4</v>
      </c>
      <c r="P88" s="149" t="s">
        <v>4</v>
      </c>
      <c r="Q88" s="149" t="s">
        <v>4</v>
      </c>
    </row>
    <row r="89" spans="1:17" customFormat="1">
      <c r="A89" s="80">
        <v>45470.84375</v>
      </c>
      <c r="B89" s="149" t="s">
        <v>4</v>
      </c>
      <c r="C89" s="149" t="s">
        <v>4</v>
      </c>
      <c r="D89" s="149" t="s">
        <v>4</v>
      </c>
      <c r="E89" s="149" t="s">
        <v>4</v>
      </c>
      <c r="F89" s="149" t="s">
        <v>4</v>
      </c>
      <c r="G89" s="149" t="s">
        <v>4</v>
      </c>
      <c r="H89" s="149" t="s">
        <v>4</v>
      </c>
      <c r="I89" s="149" t="s">
        <v>4</v>
      </c>
      <c r="J89" s="149" t="s">
        <v>4</v>
      </c>
      <c r="K89" s="149" t="s">
        <v>4</v>
      </c>
      <c r="L89" s="149" t="s">
        <v>4</v>
      </c>
      <c r="M89" s="149" t="s">
        <v>4</v>
      </c>
      <c r="N89" s="149" t="s">
        <v>4</v>
      </c>
      <c r="O89" s="149" t="s">
        <v>4</v>
      </c>
      <c r="P89" s="149" t="s">
        <v>4</v>
      </c>
      <c r="Q89" s="149" t="s">
        <v>4</v>
      </c>
    </row>
    <row r="90" spans="1:17" customFormat="1">
      <c r="A90" s="80">
        <v>45470.854166666664</v>
      </c>
      <c r="B90" s="149" t="s">
        <v>4</v>
      </c>
      <c r="C90" s="149" t="s">
        <v>4</v>
      </c>
      <c r="D90" s="149" t="s">
        <v>4</v>
      </c>
      <c r="E90" s="149" t="s">
        <v>4</v>
      </c>
      <c r="F90" s="149" t="s">
        <v>4</v>
      </c>
      <c r="G90" s="149" t="s">
        <v>4</v>
      </c>
      <c r="H90" s="149" t="s">
        <v>4</v>
      </c>
      <c r="I90" s="149" t="s">
        <v>4</v>
      </c>
      <c r="J90" s="149" t="s">
        <v>4</v>
      </c>
      <c r="K90" s="149" t="s">
        <v>4</v>
      </c>
      <c r="L90" s="149" t="s">
        <v>4</v>
      </c>
      <c r="M90" s="149" t="s">
        <v>4</v>
      </c>
      <c r="N90" s="149" t="s">
        <v>4</v>
      </c>
      <c r="O90" s="149" t="s">
        <v>4</v>
      </c>
      <c r="P90" s="149" t="s">
        <v>4</v>
      </c>
      <c r="Q90" s="149" t="s">
        <v>4</v>
      </c>
    </row>
    <row r="91" spans="1:17" customFormat="1">
      <c r="A91" s="80">
        <v>45470.864583333336</v>
      </c>
      <c r="B91" s="149" t="s">
        <v>4</v>
      </c>
      <c r="C91" s="149" t="s">
        <v>4</v>
      </c>
      <c r="D91" s="149" t="s">
        <v>4</v>
      </c>
      <c r="E91" s="149" t="s">
        <v>4</v>
      </c>
      <c r="F91" s="149" t="s">
        <v>4</v>
      </c>
      <c r="G91" s="149" t="s">
        <v>4</v>
      </c>
      <c r="H91" s="149" t="s">
        <v>4</v>
      </c>
      <c r="I91" s="149" t="s">
        <v>4</v>
      </c>
      <c r="J91" s="149" t="s">
        <v>4</v>
      </c>
      <c r="K91" s="149" t="s">
        <v>4</v>
      </c>
      <c r="L91" s="149" t="s">
        <v>4</v>
      </c>
      <c r="M91" s="149" t="s">
        <v>4</v>
      </c>
      <c r="N91" s="149" t="s">
        <v>4</v>
      </c>
      <c r="O91" s="149" t="s">
        <v>4</v>
      </c>
      <c r="P91" s="149" t="s">
        <v>4</v>
      </c>
      <c r="Q91" s="149" t="s">
        <v>4</v>
      </c>
    </row>
    <row r="92" spans="1:17" customFormat="1">
      <c r="A92" s="80">
        <v>45470.875</v>
      </c>
      <c r="B92" s="149" t="s">
        <v>4</v>
      </c>
      <c r="C92" s="149" t="s">
        <v>4</v>
      </c>
      <c r="D92" s="149" t="s">
        <v>4</v>
      </c>
      <c r="E92" s="149" t="s">
        <v>4</v>
      </c>
      <c r="F92" s="149" t="s">
        <v>4</v>
      </c>
      <c r="G92" s="149" t="s">
        <v>4</v>
      </c>
      <c r="H92" s="149" t="s">
        <v>4</v>
      </c>
      <c r="I92" s="149" t="s">
        <v>4</v>
      </c>
      <c r="J92" s="149" t="s">
        <v>4</v>
      </c>
      <c r="K92" s="149" t="s">
        <v>4</v>
      </c>
      <c r="L92" s="149" t="s">
        <v>4</v>
      </c>
      <c r="M92" s="149" t="s">
        <v>4</v>
      </c>
      <c r="N92" s="149" t="s">
        <v>4</v>
      </c>
      <c r="O92" s="149" t="s">
        <v>4</v>
      </c>
      <c r="P92" s="149" t="s">
        <v>4</v>
      </c>
      <c r="Q92" s="149" t="s">
        <v>4</v>
      </c>
    </row>
    <row r="93" spans="1:17" customFormat="1">
      <c r="A93" s="80">
        <v>45470.885416666664</v>
      </c>
      <c r="B93" s="149" t="s">
        <v>4</v>
      </c>
      <c r="C93" s="149" t="s">
        <v>4</v>
      </c>
      <c r="D93" s="149" t="s">
        <v>4</v>
      </c>
      <c r="E93" s="149" t="s">
        <v>4</v>
      </c>
      <c r="F93" s="149" t="s">
        <v>4</v>
      </c>
      <c r="G93" s="149" t="s">
        <v>4</v>
      </c>
      <c r="H93" s="149" t="s">
        <v>4</v>
      </c>
      <c r="I93" s="149" t="s">
        <v>4</v>
      </c>
      <c r="J93" s="149" t="s">
        <v>4</v>
      </c>
      <c r="K93" s="149" t="s">
        <v>4</v>
      </c>
      <c r="L93" s="149" t="s">
        <v>4</v>
      </c>
      <c r="M93" s="149" t="s">
        <v>4</v>
      </c>
      <c r="N93" s="149" t="s">
        <v>4</v>
      </c>
      <c r="O93" s="149" t="s">
        <v>4</v>
      </c>
      <c r="P93" s="149" t="s">
        <v>4</v>
      </c>
      <c r="Q93" s="149" t="s">
        <v>4</v>
      </c>
    </row>
    <row r="94" spans="1:17" customFormat="1">
      <c r="A94" s="80">
        <v>45470.895833333336</v>
      </c>
      <c r="B94" s="149" t="s">
        <v>4</v>
      </c>
      <c r="C94" s="149" t="s">
        <v>4</v>
      </c>
      <c r="D94" s="149" t="s">
        <v>4</v>
      </c>
      <c r="E94" s="149" t="s">
        <v>4</v>
      </c>
      <c r="F94" s="149" t="s">
        <v>4</v>
      </c>
      <c r="G94" s="149" t="s">
        <v>4</v>
      </c>
      <c r="H94" s="149" t="s">
        <v>4</v>
      </c>
      <c r="I94" s="149" t="s">
        <v>4</v>
      </c>
      <c r="J94" s="149" t="s">
        <v>4</v>
      </c>
      <c r="K94" s="149" t="s">
        <v>4</v>
      </c>
      <c r="L94" s="149" t="s">
        <v>4</v>
      </c>
      <c r="M94" s="149" t="s">
        <v>4</v>
      </c>
      <c r="N94" s="149" t="s">
        <v>4</v>
      </c>
      <c r="O94" s="149" t="s">
        <v>4</v>
      </c>
      <c r="P94" s="149" t="s">
        <v>4</v>
      </c>
      <c r="Q94" s="149" t="s">
        <v>4</v>
      </c>
    </row>
    <row r="95" spans="1:17" customFormat="1">
      <c r="A95" s="80">
        <v>45470.90625</v>
      </c>
      <c r="B95" s="149" t="s">
        <v>4</v>
      </c>
      <c r="C95" s="149" t="s">
        <v>4</v>
      </c>
      <c r="D95" s="149" t="s">
        <v>4</v>
      </c>
      <c r="E95" s="149" t="s">
        <v>4</v>
      </c>
      <c r="F95" s="149" t="s">
        <v>4</v>
      </c>
      <c r="G95" s="149" t="s">
        <v>4</v>
      </c>
      <c r="H95" s="149" t="s">
        <v>4</v>
      </c>
      <c r="I95" s="149" t="s">
        <v>4</v>
      </c>
      <c r="J95" s="149" t="s">
        <v>4</v>
      </c>
      <c r="K95" s="149" t="s">
        <v>4</v>
      </c>
      <c r="L95" s="149" t="s">
        <v>4</v>
      </c>
      <c r="M95" s="149" t="s">
        <v>4</v>
      </c>
      <c r="N95" s="149" t="s">
        <v>4</v>
      </c>
      <c r="O95" s="149" t="s">
        <v>4</v>
      </c>
      <c r="P95" s="149" t="s">
        <v>4</v>
      </c>
      <c r="Q95" s="149" t="s">
        <v>4</v>
      </c>
    </row>
    <row r="96" spans="1:17" customFormat="1">
      <c r="A96" s="80">
        <v>45470.916666666664</v>
      </c>
      <c r="B96" s="149" t="s">
        <v>4</v>
      </c>
      <c r="C96" s="149" t="s">
        <v>4</v>
      </c>
      <c r="D96" s="149" t="s">
        <v>4</v>
      </c>
      <c r="E96" s="149" t="s">
        <v>4</v>
      </c>
      <c r="F96" s="149" t="s">
        <v>4</v>
      </c>
      <c r="G96" s="149" t="s">
        <v>4</v>
      </c>
      <c r="H96" s="149" t="s">
        <v>4</v>
      </c>
      <c r="I96" s="149" t="s">
        <v>4</v>
      </c>
      <c r="J96" s="149" t="s">
        <v>4</v>
      </c>
      <c r="K96" s="149" t="s">
        <v>4</v>
      </c>
      <c r="L96" s="149" t="s">
        <v>4</v>
      </c>
      <c r="M96" s="149" t="s">
        <v>4</v>
      </c>
      <c r="N96" s="149" t="s">
        <v>4</v>
      </c>
      <c r="O96" s="149" t="s">
        <v>4</v>
      </c>
      <c r="P96" s="149" t="s">
        <v>4</v>
      </c>
      <c r="Q96" s="149" t="s">
        <v>4</v>
      </c>
    </row>
    <row r="97" spans="1:22" customFormat="1">
      <c r="A97" s="80">
        <v>45470.927083333336</v>
      </c>
      <c r="B97" s="149" t="s">
        <v>4</v>
      </c>
      <c r="C97" s="149" t="s">
        <v>4</v>
      </c>
      <c r="D97" s="149" t="s">
        <v>4</v>
      </c>
      <c r="E97" s="149" t="s">
        <v>4</v>
      </c>
      <c r="F97" s="149" t="s">
        <v>4</v>
      </c>
      <c r="G97" s="149" t="s">
        <v>4</v>
      </c>
      <c r="H97" s="149" t="s">
        <v>4</v>
      </c>
      <c r="I97" s="149" t="s">
        <v>4</v>
      </c>
      <c r="J97" s="149" t="s">
        <v>4</v>
      </c>
      <c r="K97" s="149" t="s">
        <v>4</v>
      </c>
      <c r="L97" s="149" t="s">
        <v>4</v>
      </c>
      <c r="M97" s="149" t="s">
        <v>4</v>
      </c>
      <c r="N97" s="149" t="s">
        <v>4</v>
      </c>
      <c r="O97" s="149" t="s">
        <v>4</v>
      </c>
      <c r="P97" s="149" t="s">
        <v>4</v>
      </c>
      <c r="Q97" s="149" t="s">
        <v>4</v>
      </c>
    </row>
    <row r="98" spans="1:22" customFormat="1">
      <c r="A98" s="80">
        <v>45470.9375</v>
      </c>
      <c r="B98" s="149" t="s">
        <v>4</v>
      </c>
      <c r="C98" s="149" t="s">
        <v>4</v>
      </c>
      <c r="D98" s="149" t="s">
        <v>4</v>
      </c>
      <c r="E98" s="149" t="s">
        <v>4</v>
      </c>
      <c r="F98" s="149" t="s">
        <v>4</v>
      </c>
      <c r="G98" s="149" t="s">
        <v>4</v>
      </c>
      <c r="H98" s="149" t="s">
        <v>4</v>
      </c>
      <c r="I98" s="149" t="s">
        <v>4</v>
      </c>
      <c r="J98" s="149" t="s">
        <v>4</v>
      </c>
      <c r="K98" s="149" t="s">
        <v>4</v>
      </c>
      <c r="L98" s="149" t="s">
        <v>4</v>
      </c>
      <c r="M98" s="149" t="s">
        <v>4</v>
      </c>
      <c r="N98" s="149" t="s">
        <v>4</v>
      </c>
      <c r="O98" s="149" t="s">
        <v>4</v>
      </c>
      <c r="P98" s="149" t="s">
        <v>4</v>
      </c>
      <c r="Q98" s="149" t="s">
        <v>4</v>
      </c>
    </row>
    <row r="99" spans="1:22" customFormat="1">
      <c r="A99" s="80">
        <v>45470.947916666664</v>
      </c>
      <c r="B99" s="149" t="s">
        <v>4</v>
      </c>
      <c r="C99" s="149" t="s">
        <v>4</v>
      </c>
      <c r="D99" s="149" t="s">
        <v>4</v>
      </c>
      <c r="E99" s="149" t="s">
        <v>4</v>
      </c>
      <c r="F99" s="149" t="s">
        <v>4</v>
      </c>
      <c r="G99" s="149" t="s">
        <v>4</v>
      </c>
      <c r="H99" s="149" t="s">
        <v>4</v>
      </c>
      <c r="I99" s="149" t="s">
        <v>4</v>
      </c>
      <c r="J99" s="149" t="s">
        <v>4</v>
      </c>
      <c r="K99" s="149" t="s">
        <v>4</v>
      </c>
      <c r="L99" s="149" t="s">
        <v>4</v>
      </c>
      <c r="M99" s="149" t="s">
        <v>4</v>
      </c>
      <c r="N99" s="149" t="s">
        <v>4</v>
      </c>
      <c r="O99" s="149" t="s">
        <v>4</v>
      </c>
      <c r="P99" s="149" t="s">
        <v>4</v>
      </c>
      <c r="Q99" s="149" t="s">
        <v>4</v>
      </c>
    </row>
    <row r="100" spans="1:22" customFormat="1">
      <c r="A100" s="80">
        <v>45470.958333333336</v>
      </c>
      <c r="B100" s="149" t="s">
        <v>4</v>
      </c>
      <c r="C100" s="149" t="s">
        <v>4</v>
      </c>
      <c r="D100" s="149" t="s">
        <v>4</v>
      </c>
      <c r="E100" s="149" t="s">
        <v>4</v>
      </c>
      <c r="F100" s="149" t="s">
        <v>4</v>
      </c>
      <c r="G100" s="149" t="s">
        <v>4</v>
      </c>
      <c r="H100" s="149" t="s">
        <v>4</v>
      </c>
      <c r="I100" s="149" t="s">
        <v>4</v>
      </c>
      <c r="J100" s="149" t="s">
        <v>4</v>
      </c>
      <c r="K100" s="149" t="s">
        <v>4</v>
      </c>
      <c r="L100" s="149" t="s">
        <v>4</v>
      </c>
      <c r="M100" s="149" t="s">
        <v>4</v>
      </c>
      <c r="N100" s="149" t="s">
        <v>4</v>
      </c>
      <c r="O100" s="149" t="s">
        <v>4</v>
      </c>
      <c r="P100" s="149" t="s">
        <v>4</v>
      </c>
      <c r="Q100" s="149" t="s">
        <v>4</v>
      </c>
    </row>
    <row r="101" spans="1:22" customFormat="1">
      <c r="A101" s="80">
        <v>45470.96875</v>
      </c>
      <c r="B101" s="149" t="s">
        <v>4</v>
      </c>
      <c r="C101" s="149" t="s">
        <v>4</v>
      </c>
      <c r="D101" s="149" t="s">
        <v>4</v>
      </c>
      <c r="E101" s="149" t="s">
        <v>4</v>
      </c>
      <c r="F101" s="149" t="s">
        <v>4</v>
      </c>
      <c r="G101" s="149" t="s">
        <v>4</v>
      </c>
      <c r="H101" s="149" t="s">
        <v>4</v>
      </c>
      <c r="I101" s="149" t="s">
        <v>4</v>
      </c>
      <c r="J101" s="149" t="s">
        <v>4</v>
      </c>
      <c r="K101" s="149" t="s">
        <v>4</v>
      </c>
      <c r="L101" s="149" t="s">
        <v>4</v>
      </c>
      <c r="M101" s="149" t="s">
        <v>4</v>
      </c>
      <c r="N101" s="149" t="s">
        <v>4</v>
      </c>
      <c r="O101" s="149" t="s">
        <v>4</v>
      </c>
      <c r="P101" s="149" t="s">
        <v>4</v>
      </c>
      <c r="Q101" s="149" t="s">
        <v>4</v>
      </c>
    </row>
    <row r="102" spans="1:22" customFormat="1">
      <c r="A102" s="80">
        <v>45470.979166666664</v>
      </c>
      <c r="B102" s="149" t="s">
        <v>4</v>
      </c>
      <c r="C102" s="149" t="s">
        <v>4</v>
      </c>
      <c r="D102" s="149" t="s">
        <v>4</v>
      </c>
      <c r="E102" s="149" t="s">
        <v>4</v>
      </c>
      <c r="F102" s="149" t="s">
        <v>4</v>
      </c>
      <c r="G102" s="149" t="s">
        <v>4</v>
      </c>
      <c r="H102" s="149" t="s">
        <v>4</v>
      </c>
      <c r="I102" s="149" t="s">
        <v>4</v>
      </c>
      <c r="J102" s="149" t="s">
        <v>4</v>
      </c>
      <c r="K102" s="149" t="s">
        <v>4</v>
      </c>
      <c r="L102" s="149" t="s">
        <v>4</v>
      </c>
      <c r="M102" s="149" t="s">
        <v>4</v>
      </c>
      <c r="N102" s="149" t="s">
        <v>4</v>
      </c>
      <c r="O102" s="149" t="s">
        <v>4</v>
      </c>
      <c r="P102" s="149" t="s">
        <v>4</v>
      </c>
      <c r="Q102" s="149" t="s">
        <v>4</v>
      </c>
    </row>
    <row r="103" spans="1:22" customFormat="1">
      <c r="A103" s="80">
        <v>45470.989583333336</v>
      </c>
      <c r="B103" s="149" t="s">
        <v>4</v>
      </c>
      <c r="C103" s="149" t="s">
        <v>4</v>
      </c>
      <c r="D103" s="149" t="s">
        <v>4</v>
      </c>
      <c r="E103" s="149" t="s">
        <v>4</v>
      </c>
      <c r="F103" s="149" t="s">
        <v>4</v>
      </c>
      <c r="G103" s="149" t="s">
        <v>4</v>
      </c>
      <c r="H103" s="149" t="s">
        <v>4</v>
      </c>
      <c r="I103" s="149" t="s">
        <v>4</v>
      </c>
      <c r="J103" s="149" t="s">
        <v>4</v>
      </c>
      <c r="K103" s="149" t="s">
        <v>4</v>
      </c>
      <c r="L103" s="149" t="s">
        <v>4</v>
      </c>
      <c r="M103" s="149" t="s">
        <v>4</v>
      </c>
      <c r="N103" s="149" t="s">
        <v>4</v>
      </c>
      <c r="O103" s="149" t="s">
        <v>4</v>
      </c>
      <c r="P103" s="149" t="s">
        <v>4</v>
      </c>
      <c r="Q103" s="149" t="s">
        <v>4</v>
      </c>
    </row>
    <row r="104" spans="1:22" customFormat="1">
      <c r="A104" s="80">
        <v>45471</v>
      </c>
      <c r="B104" s="149" t="s">
        <v>4</v>
      </c>
      <c r="C104" s="149" t="s">
        <v>4</v>
      </c>
      <c r="D104" s="149" t="s">
        <v>4</v>
      </c>
      <c r="E104" s="149" t="s">
        <v>4</v>
      </c>
      <c r="F104" s="149" t="s">
        <v>4</v>
      </c>
      <c r="G104" s="149" t="s">
        <v>4</v>
      </c>
      <c r="H104" s="149" t="s">
        <v>4</v>
      </c>
      <c r="I104" s="149" t="s">
        <v>4</v>
      </c>
      <c r="J104" s="149" t="s">
        <v>4</v>
      </c>
      <c r="K104" s="149" t="s">
        <v>4</v>
      </c>
      <c r="L104" s="149" t="s">
        <v>4</v>
      </c>
      <c r="M104" s="149" t="s">
        <v>4</v>
      </c>
      <c r="N104" s="149" t="s">
        <v>4</v>
      </c>
      <c r="O104" s="149" t="s">
        <v>4</v>
      </c>
      <c r="P104" s="149" t="s">
        <v>4</v>
      </c>
      <c r="Q104" s="149" t="s">
        <v>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3" t="s">
        <v>48</v>
      </c>
      <c r="B106" s="184">
        <f>MIN(B9:B104)</f>
        <v>7.73</v>
      </c>
      <c r="C106" s="184">
        <f>MIN(C9:C104)</f>
        <v>3.94</v>
      </c>
      <c r="D106" s="184">
        <f t="shared" ref="D106:Q106" si="0">MIN(D9:D104)</f>
        <v>12.72</v>
      </c>
      <c r="E106" s="184">
        <f t="shared" si="0"/>
        <v>5.89</v>
      </c>
      <c r="F106" s="184">
        <f t="shared" si="0"/>
        <v>3.82</v>
      </c>
      <c r="G106" s="184">
        <f t="shared" si="0"/>
        <v>8.58</v>
      </c>
      <c r="H106" s="184">
        <f t="shared" si="0"/>
        <v>1.96</v>
      </c>
      <c r="I106" s="184">
        <f t="shared" si="0"/>
        <v>1.1599999999999999</v>
      </c>
      <c r="J106" s="184">
        <f t="shared" si="0"/>
        <v>0.05</v>
      </c>
      <c r="K106" s="184">
        <f t="shared" si="0"/>
        <v>0.57999999999999996</v>
      </c>
      <c r="L106" s="184">
        <f t="shared" si="0"/>
        <v>26.23</v>
      </c>
      <c r="M106" s="184">
        <f t="shared" si="0"/>
        <v>55.23</v>
      </c>
      <c r="N106" s="184">
        <f t="shared" si="0"/>
        <v>2</v>
      </c>
      <c r="O106" s="184">
        <f t="shared" si="0"/>
        <v>0</v>
      </c>
      <c r="P106" s="184">
        <f t="shared" si="0"/>
        <v>0.24</v>
      </c>
      <c r="Q106" s="184">
        <f t="shared" si="0"/>
        <v>4.68</v>
      </c>
      <c r="R106" s="188"/>
      <c r="S106" s="188"/>
      <c r="T106" s="188"/>
      <c r="U106" s="188"/>
    </row>
    <row r="107" spans="1:22">
      <c r="A107" s="183" t="s">
        <v>49</v>
      </c>
      <c r="B107" s="185">
        <f>MAX(B9:B104)</f>
        <v>9.77</v>
      </c>
      <c r="C107" s="185">
        <f t="shared" ref="C107:Q107" si="1">MAX(C9:C104)</f>
        <v>4.12</v>
      </c>
      <c r="D107" s="185">
        <f t="shared" si="1"/>
        <v>14.38</v>
      </c>
      <c r="E107" s="185">
        <f t="shared" si="1"/>
        <v>19.43</v>
      </c>
      <c r="F107" s="185">
        <f t="shared" si="1"/>
        <v>40.159999999999997</v>
      </c>
      <c r="G107" s="185">
        <f t="shared" si="1"/>
        <v>52.43</v>
      </c>
      <c r="H107" s="185">
        <f t="shared" si="1"/>
        <v>17.760000000000002</v>
      </c>
      <c r="I107" s="185">
        <f t="shared" si="1"/>
        <v>5.9</v>
      </c>
      <c r="J107" s="185">
        <f t="shared" si="1"/>
        <v>0.95</v>
      </c>
      <c r="K107" s="185">
        <f t="shared" si="1"/>
        <v>341.28</v>
      </c>
      <c r="L107" s="185">
        <f t="shared" si="1"/>
        <v>36.51</v>
      </c>
      <c r="M107" s="185">
        <f t="shared" si="1"/>
        <v>116.02</v>
      </c>
      <c r="N107" s="185">
        <f t="shared" si="1"/>
        <v>818.2</v>
      </c>
      <c r="O107" s="185">
        <f t="shared" si="1"/>
        <v>0.2</v>
      </c>
      <c r="P107" s="185">
        <f t="shared" si="1"/>
        <v>0.56999999999999995</v>
      </c>
      <c r="Q107" s="185">
        <f t="shared" si="1"/>
        <v>5.04</v>
      </c>
      <c r="R107" s="189"/>
      <c r="S107" s="189"/>
      <c r="T107" s="189"/>
      <c r="U107" s="189"/>
    </row>
    <row r="108" spans="1:22">
      <c r="A108" s="183" t="s">
        <v>50</v>
      </c>
      <c r="B108" s="184">
        <f>AVERAGE(B9:B104)</f>
        <v>9.223275862068963</v>
      </c>
      <c r="C108" s="184">
        <f t="shared" ref="C108:Q108" si="2">AVERAGE(C9:C104)</f>
        <v>4.0705172413793109</v>
      </c>
      <c r="D108" s="184">
        <f t="shared" si="2"/>
        <v>13.972931034482752</v>
      </c>
      <c r="E108" s="184">
        <f t="shared" si="2"/>
        <v>10.311454545454543</v>
      </c>
      <c r="F108" s="184">
        <f t="shared" si="2"/>
        <v>11.881186440677965</v>
      </c>
      <c r="G108" s="184">
        <f t="shared" si="2"/>
        <v>23.297666666666672</v>
      </c>
      <c r="H108" s="184">
        <f t="shared" si="2"/>
        <v>5.8926666666666669</v>
      </c>
      <c r="I108" s="184">
        <f t="shared" si="2"/>
        <v>4.5025862068965523</v>
      </c>
      <c r="J108" s="184">
        <f t="shared" si="2"/>
        <v>0.38066666666666665</v>
      </c>
      <c r="K108" s="184">
        <f t="shared" si="2"/>
        <v>109.21233333333335</v>
      </c>
      <c r="L108" s="184">
        <f t="shared" si="2"/>
        <v>29.341000000000001</v>
      </c>
      <c r="M108" s="184">
        <f t="shared" si="2"/>
        <v>89.798000000000002</v>
      </c>
      <c r="N108" s="184">
        <f t="shared" si="2"/>
        <v>193.38666666666668</v>
      </c>
      <c r="O108" s="184">
        <f t="shared" si="2"/>
        <v>6.6666666666666671E-3</v>
      </c>
      <c r="P108" s="184">
        <f t="shared" si="2"/>
        <v>0.42203389830508503</v>
      </c>
      <c r="Q108" s="184">
        <f t="shared" si="2"/>
        <v>4.9858620689655178</v>
      </c>
      <c r="R108" s="188"/>
      <c r="S108" s="188"/>
      <c r="T108" s="188"/>
      <c r="U108" s="188"/>
    </row>
    <row r="109" spans="1:22">
      <c r="A109" s="183" t="s">
        <v>51</v>
      </c>
      <c r="B109" s="184">
        <f>STDEV(B9:B104)</f>
        <v>0.29900060394841221</v>
      </c>
      <c r="C109" s="184">
        <f t="shared" ref="C109:Q109" si="3">STDEV(C9:C104)</f>
        <v>3.2467117713270752E-2</v>
      </c>
      <c r="D109" s="184">
        <f t="shared" si="3"/>
        <v>0.2517309104995073</v>
      </c>
      <c r="E109" s="184">
        <f t="shared" si="3"/>
        <v>2.4276176541513905</v>
      </c>
      <c r="F109" s="184">
        <f t="shared" si="3"/>
        <v>7.9571052795698138</v>
      </c>
      <c r="G109" s="184">
        <f t="shared" si="3"/>
        <v>12.164073159070066</v>
      </c>
      <c r="H109" s="184">
        <f t="shared" si="3"/>
        <v>4.139042657945649</v>
      </c>
      <c r="I109" s="184">
        <f t="shared" si="3"/>
        <v>0.71670924478535813</v>
      </c>
      <c r="J109" s="184">
        <f t="shared" si="3"/>
        <v>0.26655915911994954</v>
      </c>
      <c r="K109" s="184">
        <f t="shared" si="3"/>
        <v>70.900277840450684</v>
      </c>
      <c r="L109" s="184">
        <f t="shared" si="3"/>
        <v>3.427907747507815</v>
      </c>
      <c r="M109" s="184">
        <f t="shared" si="3"/>
        <v>18.442890486350734</v>
      </c>
      <c r="N109" s="184">
        <f t="shared" si="3"/>
        <v>236.85432944856859</v>
      </c>
      <c r="O109" s="184">
        <f t="shared" si="3"/>
        <v>3.620406694387851E-2</v>
      </c>
      <c r="P109" s="184">
        <f t="shared" si="3"/>
        <v>7.6536663763573667E-2</v>
      </c>
      <c r="Q109" s="184">
        <f t="shared" si="3"/>
        <v>6.524002868647974E-2</v>
      </c>
      <c r="R109" s="188"/>
      <c r="S109" s="188"/>
      <c r="T109" s="188"/>
      <c r="U109" s="188"/>
    </row>
    <row r="110" spans="1:22">
      <c r="A110" s="183" t="s">
        <v>52</v>
      </c>
      <c r="B110" s="185">
        <v>96</v>
      </c>
      <c r="C110" s="185">
        <v>96</v>
      </c>
      <c r="D110" s="185">
        <v>96</v>
      </c>
      <c r="E110" s="185">
        <v>96</v>
      </c>
      <c r="F110" s="185">
        <v>96</v>
      </c>
      <c r="G110" s="185">
        <v>96</v>
      </c>
      <c r="H110" s="185">
        <v>96</v>
      </c>
      <c r="I110" s="185">
        <v>96</v>
      </c>
      <c r="J110" s="185">
        <v>96</v>
      </c>
      <c r="K110" s="185">
        <v>96</v>
      </c>
      <c r="L110" s="185">
        <v>96</v>
      </c>
      <c r="M110" s="185">
        <v>96</v>
      </c>
      <c r="N110" s="185">
        <v>96</v>
      </c>
      <c r="O110" s="185">
        <v>96</v>
      </c>
      <c r="P110" s="185">
        <v>96</v>
      </c>
      <c r="Q110" s="185">
        <v>96</v>
      </c>
      <c r="R110" s="189"/>
      <c r="S110" s="189"/>
      <c r="T110" s="189"/>
      <c r="U110" s="189"/>
      <c r="V110" s="185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28/06/2024 00:15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94" t="s">
        <v>39</v>
      </c>
      <c r="C8" s="194" t="s">
        <v>39</v>
      </c>
      <c r="D8" s="194" t="s">
        <v>40</v>
      </c>
      <c r="E8" s="194" t="s">
        <v>39</v>
      </c>
      <c r="F8" s="194" t="s">
        <v>39</v>
      </c>
      <c r="G8" s="194" t="s">
        <v>39</v>
      </c>
      <c r="H8" s="194" t="s">
        <v>39</v>
      </c>
      <c r="I8" s="194" t="s">
        <v>39</v>
      </c>
      <c r="J8" s="194" t="s">
        <v>41</v>
      </c>
      <c r="K8" s="194" t="s">
        <v>42</v>
      </c>
      <c r="L8" s="195" t="s">
        <v>43</v>
      </c>
      <c r="M8" s="194" t="s">
        <v>44</v>
      </c>
      <c r="N8" s="194" t="s">
        <v>45</v>
      </c>
      <c r="O8" s="195" t="s">
        <v>46</v>
      </c>
      <c r="P8" s="194" t="s">
        <v>47</v>
      </c>
      <c r="Q8" s="194" t="s">
        <v>39</v>
      </c>
      <c r="R8" s="174"/>
      <c r="S8" s="175"/>
      <c r="T8" s="174"/>
      <c r="U8" s="174"/>
    </row>
    <row r="9" spans="1:21" customFormat="1">
      <c r="A9" s="196" t="s">
        <v>527</v>
      </c>
      <c r="B9" s="112">
        <v>9.23</v>
      </c>
      <c r="C9" s="112">
        <v>4.0199999999999996</v>
      </c>
      <c r="D9" s="112">
        <v>13.95</v>
      </c>
      <c r="E9" s="112">
        <v>7.32</v>
      </c>
      <c r="F9" s="112">
        <v>6.49</v>
      </c>
      <c r="G9" s="112">
        <v>13.15</v>
      </c>
      <c r="H9" s="112">
        <v>4.51</v>
      </c>
      <c r="I9" s="112">
        <v>3.08</v>
      </c>
      <c r="J9" s="112">
        <v>0.55000000000000004</v>
      </c>
      <c r="K9" s="112">
        <v>255</v>
      </c>
      <c r="L9" s="112">
        <v>27.96</v>
      </c>
      <c r="M9" s="112">
        <v>85.55</v>
      </c>
      <c r="N9" s="112">
        <v>1.9</v>
      </c>
      <c r="O9" s="112">
        <v>0</v>
      </c>
      <c r="P9" s="112">
        <v>0.18</v>
      </c>
      <c r="Q9" s="112">
        <v>4.63</v>
      </c>
      <c r="R9" s="6"/>
      <c r="S9" s="6"/>
      <c r="T9" s="182"/>
      <c r="U9" s="6"/>
    </row>
    <row r="10" spans="1:21" customFormat="1">
      <c r="A10" s="196" t="s">
        <v>528</v>
      </c>
      <c r="B10" s="112">
        <v>9.2899999999999991</v>
      </c>
      <c r="C10" s="112">
        <v>4.04</v>
      </c>
      <c r="D10" s="112">
        <v>14.02</v>
      </c>
      <c r="E10" s="112">
        <v>7.11</v>
      </c>
      <c r="F10" s="112">
        <v>6.94</v>
      </c>
      <c r="G10" s="112">
        <v>12.3</v>
      </c>
      <c r="H10" s="112">
        <v>4.13</v>
      </c>
      <c r="I10" s="112">
        <v>3.11</v>
      </c>
      <c r="J10" s="112">
        <v>0.44</v>
      </c>
      <c r="K10" s="112">
        <v>238.89</v>
      </c>
      <c r="L10" s="112">
        <v>27.74</v>
      </c>
      <c r="M10" s="112">
        <v>88.02</v>
      </c>
      <c r="N10" s="112">
        <v>2.1</v>
      </c>
      <c r="O10" s="112">
        <v>0</v>
      </c>
      <c r="P10" s="112">
        <v>0.18</v>
      </c>
      <c r="Q10" s="112">
        <v>4.62</v>
      </c>
      <c r="R10" s="6"/>
      <c r="S10" s="6"/>
      <c r="T10" s="182"/>
      <c r="U10" s="6"/>
    </row>
    <row r="11" spans="1:21" customFormat="1">
      <c r="A11" s="196" t="s">
        <v>529</v>
      </c>
      <c r="B11" s="112">
        <v>9.2899999999999991</v>
      </c>
      <c r="C11" s="112">
        <v>4.07</v>
      </c>
      <c r="D11" s="112">
        <v>14.03</v>
      </c>
      <c r="E11" s="112">
        <v>6.76</v>
      </c>
      <c r="F11" s="112">
        <v>5.08</v>
      </c>
      <c r="G11" s="112">
        <v>11.04</v>
      </c>
      <c r="H11" s="112">
        <v>3.8</v>
      </c>
      <c r="I11" s="112">
        <v>3.13</v>
      </c>
      <c r="J11" s="112">
        <v>0.41</v>
      </c>
      <c r="K11" s="112">
        <v>252.2</v>
      </c>
      <c r="L11" s="112">
        <v>27.54</v>
      </c>
      <c r="M11" s="112">
        <v>91.17</v>
      </c>
      <c r="N11" s="112">
        <v>2.2999999999999998</v>
      </c>
      <c r="O11" s="112">
        <v>0</v>
      </c>
      <c r="P11" s="112">
        <v>0.18</v>
      </c>
      <c r="Q11" s="112">
        <v>4.62</v>
      </c>
      <c r="R11" s="6"/>
      <c r="S11" s="6"/>
      <c r="T11" s="182"/>
      <c r="U11" s="6"/>
    </row>
    <row r="12" spans="1:21" customFormat="1">
      <c r="A12" s="196" t="s">
        <v>530</v>
      </c>
      <c r="B12" s="112">
        <v>9.2799999999999994</v>
      </c>
      <c r="C12" s="112">
        <v>4.05</v>
      </c>
      <c r="D12" s="112">
        <v>14.01</v>
      </c>
      <c r="E12" s="112">
        <v>7.07</v>
      </c>
      <c r="F12" s="112">
        <v>6.59</v>
      </c>
      <c r="G12" s="112">
        <v>11.04</v>
      </c>
      <c r="H12" s="112">
        <v>3.8</v>
      </c>
      <c r="I12" s="112">
        <v>3.04</v>
      </c>
      <c r="J12" s="112">
        <v>0.54</v>
      </c>
      <c r="K12" s="112">
        <v>254.89</v>
      </c>
      <c r="L12" s="112">
        <v>27.27</v>
      </c>
      <c r="M12" s="112">
        <v>92.98</v>
      </c>
      <c r="N12" s="112">
        <v>2.2000000000000002</v>
      </c>
      <c r="O12" s="112">
        <v>0</v>
      </c>
      <c r="P12" s="112">
        <v>0.2</v>
      </c>
      <c r="Q12" s="112">
        <v>4.62</v>
      </c>
      <c r="R12" s="6"/>
      <c r="S12" s="6"/>
      <c r="T12" s="182"/>
      <c r="U12" s="6"/>
    </row>
    <row r="13" spans="1:21" customFormat="1">
      <c r="A13" s="196" t="s">
        <v>531</v>
      </c>
      <c r="B13" s="112">
        <v>9.2799999999999994</v>
      </c>
      <c r="C13" s="112">
        <v>4.08</v>
      </c>
      <c r="D13" s="112">
        <v>14.02</v>
      </c>
      <c r="E13" s="112">
        <v>6.35</v>
      </c>
      <c r="F13" s="112">
        <v>9.2899999999999991</v>
      </c>
      <c r="G13" s="112">
        <v>11.04</v>
      </c>
      <c r="H13" s="112">
        <v>3.8</v>
      </c>
      <c r="I13" s="112">
        <v>3.03</v>
      </c>
      <c r="J13" s="112">
        <v>0.53</v>
      </c>
      <c r="K13" s="112">
        <v>264.19</v>
      </c>
      <c r="L13" s="112">
        <v>27.21</v>
      </c>
      <c r="M13" s="112">
        <v>91.9</v>
      </c>
      <c r="N13" s="112">
        <v>2.1</v>
      </c>
      <c r="O13" s="112">
        <v>0</v>
      </c>
      <c r="P13" s="112">
        <v>0.19</v>
      </c>
      <c r="Q13" s="112">
        <v>4.63</v>
      </c>
      <c r="R13" s="6"/>
      <c r="S13" s="6"/>
      <c r="T13" s="182"/>
      <c r="U13" s="6"/>
    </row>
    <row r="14" spans="1:21" customFormat="1">
      <c r="A14" s="196" t="s">
        <v>532</v>
      </c>
      <c r="B14" s="112">
        <v>9.2899999999999991</v>
      </c>
      <c r="C14" s="112">
        <v>4.0599999999999996</v>
      </c>
      <c r="D14" s="112">
        <v>14.02</v>
      </c>
      <c r="E14" s="112">
        <v>5.36</v>
      </c>
      <c r="F14" s="112">
        <v>15.52</v>
      </c>
      <c r="G14" s="112">
        <v>10.57</v>
      </c>
      <c r="H14" s="112">
        <v>3.93</v>
      </c>
      <c r="I14" s="112">
        <v>2.94</v>
      </c>
      <c r="J14" s="112">
        <v>0.44</v>
      </c>
      <c r="K14" s="112">
        <v>265.8</v>
      </c>
      <c r="L14" s="112">
        <v>27.26</v>
      </c>
      <c r="M14" s="112">
        <v>104.99</v>
      </c>
      <c r="N14" s="112">
        <v>1.9</v>
      </c>
      <c r="O14" s="112">
        <v>0</v>
      </c>
      <c r="P14" s="112">
        <v>0.17</v>
      </c>
      <c r="Q14" s="112">
        <v>4.62</v>
      </c>
      <c r="R14" s="6"/>
      <c r="S14" s="6"/>
      <c r="T14" s="182"/>
      <c r="U14" s="6"/>
    </row>
    <row r="15" spans="1:21" customFormat="1">
      <c r="A15" s="196" t="s">
        <v>533</v>
      </c>
      <c r="B15" s="112">
        <v>9.2899999999999991</v>
      </c>
      <c r="C15" s="112">
        <v>4.04</v>
      </c>
      <c r="D15" s="112">
        <v>14.01</v>
      </c>
      <c r="E15" s="112">
        <v>4.6399999999999997</v>
      </c>
      <c r="F15" s="112">
        <v>15.76</v>
      </c>
      <c r="G15" s="112">
        <v>9.86</v>
      </c>
      <c r="H15" s="112">
        <v>4.0599999999999996</v>
      </c>
      <c r="I15" s="112">
        <v>2.82</v>
      </c>
      <c r="J15" s="112">
        <v>0.34</v>
      </c>
      <c r="K15" s="112">
        <v>240.79</v>
      </c>
      <c r="L15" s="112">
        <v>27.3</v>
      </c>
      <c r="M15" s="112">
        <v>106.6</v>
      </c>
      <c r="N15" s="112">
        <v>2.1</v>
      </c>
      <c r="O15" s="112">
        <v>0</v>
      </c>
      <c r="P15" s="112">
        <v>0.15</v>
      </c>
      <c r="Q15" s="112">
        <v>4.63</v>
      </c>
      <c r="R15" s="6"/>
      <c r="S15" s="6"/>
      <c r="T15" s="182"/>
      <c r="U15" s="6"/>
    </row>
    <row r="16" spans="1:21" customFormat="1">
      <c r="A16" s="196" t="s">
        <v>534</v>
      </c>
      <c r="B16" s="112">
        <v>9.3000000000000007</v>
      </c>
      <c r="C16" s="112">
        <v>4.07</v>
      </c>
      <c r="D16" s="112">
        <v>14.04</v>
      </c>
      <c r="E16" s="112">
        <v>4.16</v>
      </c>
      <c r="F16" s="112">
        <v>17.21</v>
      </c>
      <c r="G16" s="112">
        <v>9.86</v>
      </c>
      <c r="H16" s="112">
        <v>4.0599999999999996</v>
      </c>
      <c r="I16" s="112">
        <v>2.59</v>
      </c>
      <c r="J16" s="112">
        <v>0.27</v>
      </c>
      <c r="K16" s="112">
        <v>254.68</v>
      </c>
      <c r="L16" s="112">
        <v>27.37</v>
      </c>
      <c r="M16" s="112">
        <v>88.02</v>
      </c>
      <c r="N16" s="112">
        <v>2.1</v>
      </c>
      <c r="O16" s="112">
        <v>0</v>
      </c>
      <c r="P16" s="112">
        <v>0.14000000000000001</v>
      </c>
      <c r="Q16" s="112">
        <v>4.6399999999999997</v>
      </c>
      <c r="R16" s="6"/>
      <c r="S16" s="6"/>
      <c r="T16" s="182"/>
      <c r="U16" s="6"/>
    </row>
    <row r="17" spans="1:21" customFormat="1">
      <c r="A17" s="196" t="s">
        <v>535</v>
      </c>
      <c r="B17" s="112">
        <v>9.3000000000000007</v>
      </c>
      <c r="C17" s="112">
        <v>4.09</v>
      </c>
      <c r="D17" s="112">
        <v>14.04</v>
      </c>
      <c r="E17" s="112">
        <v>6.65</v>
      </c>
      <c r="F17" s="112">
        <v>15.51</v>
      </c>
      <c r="G17" s="112">
        <v>9.86</v>
      </c>
      <c r="H17" s="112">
        <v>4.0599999999999996</v>
      </c>
      <c r="I17" s="112">
        <v>2.5</v>
      </c>
      <c r="J17" s="112">
        <v>0.23</v>
      </c>
      <c r="K17" s="112">
        <v>257.02</v>
      </c>
      <c r="L17" s="112">
        <v>27.35</v>
      </c>
      <c r="M17" s="112">
        <v>87.35</v>
      </c>
      <c r="N17" s="112">
        <v>2.1</v>
      </c>
      <c r="O17" s="112">
        <v>0</v>
      </c>
      <c r="P17" s="112">
        <v>0.14000000000000001</v>
      </c>
      <c r="Q17" s="112">
        <v>4.6399999999999997</v>
      </c>
      <c r="R17" s="6"/>
      <c r="S17" s="6"/>
      <c r="T17" s="182"/>
      <c r="U17" s="6"/>
    </row>
    <row r="18" spans="1:21" customFormat="1">
      <c r="A18" s="196" t="s">
        <v>536</v>
      </c>
      <c r="B18" s="112">
        <v>9.32</v>
      </c>
      <c r="C18" s="112">
        <v>4.08</v>
      </c>
      <c r="D18" s="112">
        <v>14.05</v>
      </c>
      <c r="E18" s="112">
        <v>8.2100000000000009</v>
      </c>
      <c r="F18" s="112">
        <v>16.22</v>
      </c>
      <c r="G18" s="112">
        <v>8.7100000000000009</v>
      </c>
      <c r="H18" s="112">
        <v>3.74</v>
      </c>
      <c r="I18" s="112">
        <v>2.4900000000000002</v>
      </c>
      <c r="J18" s="112">
        <v>0.19</v>
      </c>
      <c r="K18" s="112">
        <v>225.47</v>
      </c>
      <c r="L18" s="112">
        <v>27.52</v>
      </c>
      <c r="M18" s="112">
        <v>87.15</v>
      </c>
      <c r="N18" s="112">
        <v>1.7</v>
      </c>
      <c r="O18" s="112">
        <v>0</v>
      </c>
      <c r="P18" s="112">
        <v>0.14000000000000001</v>
      </c>
      <c r="Q18" s="112">
        <v>4.63</v>
      </c>
      <c r="R18" s="6"/>
      <c r="S18" s="6"/>
      <c r="T18" s="182"/>
      <c r="U18" s="6"/>
    </row>
    <row r="19" spans="1:21" customFormat="1">
      <c r="A19" s="196" t="s">
        <v>537</v>
      </c>
      <c r="B19" s="112">
        <v>9.33</v>
      </c>
      <c r="C19" s="112">
        <v>4.0999999999999996</v>
      </c>
      <c r="D19" s="112">
        <v>14.07</v>
      </c>
      <c r="E19" s="112">
        <v>8.08</v>
      </c>
      <c r="F19" s="112">
        <v>15.97</v>
      </c>
      <c r="G19" s="112">
        <v>6.98</v>
      </c>
      <c r="H19" s="112">
        <v>3.45</v>
      </c>
      <c r="I19" s="112">
        <v>2.48</v>
      </c>
      <c r="J19" s="112">
        <v>0.21</v>
      </c>
      <c r="K19" s="112">
        <v>182.71</v>
      </c>
      <c r="L19" s="112">
        <v>27.46</v>
      </c>
      <c r="M19" s="112">
        <v>87.6</v>
      </c>
      <c r="N19" s="112">
        <v>2.2000000000000002</v>
      </c>
      <c r="O19" s="112">
        <v>0</v>
      </c>
      <c r="P19" s="112">
        <v>0.14000000000000001</v>
      </c>
      <c r="Q19" s="112">
        <v>4.6399999999999997</v>
      </c>
      <c r="R19" s="6"/>
      <c r="S19" s="6"/>
      <c r="T19" s="182"/>
      <c r="U19" s="6"/>
    </row>
    <row r="20" spans="1:21" customFormat="1">
      <c r="A20" s="196" t="s">
        <v>538</v>
      </c>
      <c r="B20" s="112">
        <v>9.34</v>
      </c>
      <c r="C20" s="112">
        <v>4.08</v>
      </c>
      <c r="D20" s="112">
        <v>14.07</v>
      </c>
      <c r="E20" s="112">
        <v>7.83</v>
      </c>
      <c r="F20" s="112">
        <v>16.190000000000001</v>
      </c>
      <c r="G20" s="112">
        <v>6.98</v>
      </c>
      <c r="H20" s="112">
        <v>3.45</v>
      </c>
      <c r="I20" s="112">
        <v>2.36</v>
      </c>
      <c r="J20" s="112">
        <v>0.09</v>
      </c>
      <c r="K20" s="112">
        <v>121.72</v>
      </c>
      <c r="L20" s="112">
        <v>27.46</v>
      </c>
      <c r="M20" s="112">
        <v>88.99</v>
      </c>
      <c r="N20" s="112">
        <v>1.9</v>
      </c>
      <c r="O20" s="112">
        <v>0</v>
      </c>
      <c r="P20" s="112">
        <v>0.14000000000000001</v>
      </c>
      <c r="Q20" s="112">
        <v>4.63</v>
      </c>
      <c r="R20" s="6"/>
      <c r="S20" s="6"/>
      <c r="T20" s="182"/>
      <c r="U20" s="6"/>
    </row>
    <row r="21" spans="1:21" customFormat="1">
      <c r="A21" s="196" t="s">
        <v>539</v>
      </c>
      <c r="B21" s="112">
        <v>9.33</v>
      </c>
      <c r="C21" s="112">
        <v>4.0999999999999996</v>
      </c>
      <c r="D21" s="112">
        <v>14.07</v>
      </c>
      <c r="E21" s="112">
        <v>7.74</v>
      </c>
      <c r="F21" s="112">
        <v>16.27</v>
      </c>
      <c r="G21" s="112">
        <v>6.98</v>
      </c>
      <c r="H21" s="112">
        <v>3.45</v>
      </c>
      <c r="I21" s="112">
        <v>2.39</v>
      </c>
      <c r="J21" s="112">
        <v>0.23</v>
      </c>
      <c r="K21" s="112">
        <v>201.47</v>
      </c>
      <c r="L21" s="112">
        <v>27.19</v>
      </c>
      <c r="M21" s="112">
        <v>90.29</v>
      </c>
      <c r="N21" s="112">
        <v>1.7</v>
      </c>
      <c r="O21" s="112">
        <v>0</v>
      </c>
      <c r="P21" s="112">
        <v>0.15</v>
      </c>
      <c r="Q21" s="112">
        <v>4.6399999999999997</v>
      </c>
      <c r="R21" s="6"/>
      <c r="S21" s="6"/>
      <c r="T21" s="182"/>
      <c r="U21" s="6"/>
    </row>
    <row r="22" spans="1:21" customFormat="1">
      <c r="A22" s="196" t="s">
        <v>540</v>
      </c>
      <c r="B22" s="112">
        <v>9.33</v>
      </c>
      <c r="C22" s="112">
        <v>4.07</v>
      </c>
      <c r="D22" s="112">
        <v>14.06</v>
      </c>
      <c r="E22" s="112">
        <v>8.51</v>
      </c>
      <c r="F22" s="112">
        <v>16.260000000000002</v>
      </c>
      <c r="G22" s="112">
        <v>7</v>
      </c>
      <c r="H22" s="112">
        <v>4.8600000000000003</v>
      </c>
      <c r="I22" s="112">
        <v>2.36</v>
      </c>
      <c r="J22" s="112">
        <v>0.14000000000000001</v>
      </c>
      <c r="K22" s="112">
        <v>193.88</v>
      </c>
      <c r="L22" s="112">
        <v>27.05</v>
      </c>
      <c r="M22" s="112">
        <v>91.06</v>
      </c>
      <c r="N22" s="112">
        <v>1.3</v>
      </c>
      <c r="O22" s="112">
        <v>0</v>
      </c>
      <c r="P22" s="112">
        <v>0.15</v>
      </c>
      <c r="Q22" s="112">
        <v>4.63</v>
      </c>
      <c r="R22" s="6"/>
      <c r="S22" s="6"/>
      <c r="T22" s="182"/>
      <c r="U22" s="6"/>
    </row>
    <row r="23" spans="1:21" customFormat="1">
      <c r="A23" s="196" t="s">
        <v>541</v>
      </c>
      <c r="B23" s="112">
        <v>9.33</v>
      </c>
      <c r="C23" s="112">
        <v>4.1100000000000003</v>
      </c>
      <c r="D23" s="112">
        <v>14.08</v>
      </c>
      <c r="E23" s="112">
        <v>7.29</v>
      </c>
      <c r="F23" s="112">
        <v>12.38</v>
      </c>
      <c r="G23" s="112">
        <v>7.02</v>
      </c>
      <c r="H23" s="112">
        <v>6.15</v>
      </c>
      <c r="I23" s="112">
        <v>2.33</v>
      </c>
      <c r="J23" s="112">
        <v>0.42</v>
      </c>
      <c r="K23" s="112">
        <v>69.540000000000006</v>
      </c>
      <c r="L23" s="112">
        <v>27.09</v>
      </c>
      <c r="M23" s="112">
        <v>91.18</v>
      </c>
      <c r="N23" s="112">
        <v>1.4</v>
      </c>
      <c r="O23" s="112">
        <v>0</v>
      </c>
      <c r="P23" s="112">
        <v>0.15</v>
      </c>
      <c r="Q23" s="112">
        <v>4.63</v>
      </c>
      <c r="R23" s="6"/>
      <c r="S23" s="6"/>
      <c r="T23" s="182"/>
      <c r="U23" s="6"/>
    </row>
    <row r="24" spans="1:21" customFormat="1">
      <c r="A24" s="196" t="s">
        <v>542</v>
      </c>
      <c r="B24" s="112">
        <v>9.36</v>
      </c>
      <c r="C24" s="112">
        <v>4.08</v>
      </c>
      <c r="D24" s="112">
        <v>14.09</v>
      </c>
      <c r="E24" s="112">
        <v>7.83</v>
      </c>
      <c r="F24" s="112">
        <v>11.15</v>
      </c>
      <c r="G24" s="112">
        <v>7.02</v>
      </c>
      <c r="H24" s="112">
        <v>6.15</v>
      </c>
      <c r="I24" s="112">
        <v>2.34</v>
      </c>
      <c r="J24" s="112">
        <v>0.24</v>
      </c>
      <c r="K24" s="112">
        <v>161</v>
      </c>
      <c r="L24" s="112">
        <v>27.31</v>
      </c>
      <c r="M24" s="112">
        <v>90.29</v>
      </c>
      <c r="N24" s="112">
        <v>1.8</v>
      </c>
      <c r="O24" s="112">
        <v>0</v>
      </c>
      <c r="P24" s="112">
        <v>0.15</v>
      </c>
      <c r="Q24" s="112">
        <v>4.6399999999999997</v>
      </c>
      <c r="R24" s="6"/>
      <c r="S24" s="6"/>
      <c r="T24" s="182"/>
      <c r="U24" s="6"/>
    </row>
    <row r="25" spans="1:21" customFormat="1">
      <c r="A25" s="196" t="s">
        <v>543</v>
      </c>
      <c r="B25" s="112">
        <v>9.3699999999999992</v>
      </c>
      <c r="C25" s="112">
        <v>4.0599999999999996</v>
      </c>
      <c r="D25" s="112">
        <v>14.08</v>
      </c>
      <c r="E25" s="112">
        <v>7.81</v>
      </c>
      <c r="F25" s="112">
        <v>13.93</v>
      </c>
      <c r="G25" s="112">
        <v>7.02</v>
      </c>
      <c r="H25" s="112">
        <v>6.15</v>
      </c>
      <c r="I25" s="112">
        <v>2.59</v>
      </c>
      <c r="J25" s="112">
        <v>0.01</v>
      </c>
      <c r="K25" s="112">
        <v>180.14</v>
      </c>
      <c r="L25" s="112">
        <v>27.16</v>
      </c>
      <c r="M25" s="112">
        <v>91.44</v>
      </c>
      <c r="N25" s="112">
        <v>2.2000000000000002</v>
      </c>
      <c r="O25" s="112">
        <v>0</v>
      </c>
      <c r="P25" s="112">
        <v>0.15</v>
      </c>
      <c r="Q25" s="112">
        <v>4.6399999999999997</v>
      </c>
      <c r="R25" s="6"/>
      <c r="S25" s="6"/>
      <c r="T25" s="182"/>
      <c r="U25" s="6"/>
    </row>
    <row r="26" spans="1:21" customFormat="1">
      <c r="A26" s="196" t="s">
        <v>544</v>
      </c>
      <c r="B26" s="112">
        <v>9.3800000000000008</v>
      </c>
      <c r="C26" s="112">
        <v>4.05</v>
      </c>
      <c r="D26" s="112">
        <v>14.09</v>
      </c>
      <c r="E26" s="112">
        <v>7.96</v>
      </c>
      <c r="F26" s="112">
        <v>15.09</v>
      </c>
      <c r="G26" s="112">
        <v>7.2</v>
      </c>
      <c r="H26" s="112">
        <v>5.71</v>
      </c>
      <c r="I26" s="112">
        <v>2.61</v>
      </c>
      <c r="J26" s="112">
        <v>0.23</v>
      </c>
      <c r="K26" s="112">
        <v>225.53</v>
      </c>
      <c r="L26" s="112">
        <v>26.62</v>
      </c>
      <c r="M26" s="112">
        <v>93.7</v>
      </c>
      <c r="N26" s="112">
        <v>3.2</v>
      </c>
      <c r="O26" s="112">
        <v>2.2000000000000002</v>
      </c>
      <c r="P26" s="112">
        <v>0.15</v>
      </c>
      <c r="Q26" s="112">
        <v>4.62</v>
      </c>
      <c r="R26" s="6"/>
      <c r="S26" s="6"/>
      <c r="T26" s="182"/>
      <c r="U26" s="6"/>
    </row>
    <row r="27" spans="1:21" customFormat="1">
      <c r="A27" s="196" t="s">
        <v>545</v>
      </c>
      <c r="B27" s="112">
        <v>9.39</v>
      </c>
      <c r="C27" s="112">
        <v>4.0599999999999996</v>
      </c>
      <c r="D27" s="112">
        <v>14.1</v>
      </c>
      <c r="E27" s="112">
        <v>8.1999999999999993</v>
      </c>
      <c r="F27" s="112">
        <v>12.12</v>
      </c>
      <c r="G27" s="112">
        <v>7.47</v>
      </c>
      <c r="H27" s="112">
        <v>4.47</v>
      </c>
      <c r="I27" s="112">
        <v>2.4500000000000002</v>
      </c>
      <c r="J27" s="112">
        <v>0.4</v>
      </c>
      <c r="K27" s="112">
        <v>250.79</v>
      </c>
      <c r="L27" s="112">
        <v>26.08</v>
      </c>
      <c r="M27" s="112">
        <v>96.55</v>
      </c>
      <c r="N27" s="112">
        <v>2.7</v>
      </c>
      <c r="O27" s="112">
        <v>0.2</v>
      </c>
      <c r="P27" s="112">
        <v>0.14000000000000001</v>
      </c>
      <c r="Q27" s="112">
        <v>4.63</v>
      </c>
      <c r="R27" s="6"/>
      <c r="S27" s="6"/>
      <c r="T27" s="182"/>
      <c r="U27" s="6"/>
    </row>
    <row r="28" spans="1:21" customFormat="1">
      <c r="A28" s="196" t="s">
        <v>546</v>
      </c>
      <c r="B28" s="112">
        <v>9.3800000000000008</v>
      </c>
      <c r="C28" s="112">
        <v>4.08</v>
      </c>
      <c r="D28" s="112">
        <v>14.11</v>
      </c>
      <c r="E28" s="112">
        <v>8.4499999999999993</v>
      </c>
      <c r="F28" s="112">
        <v>12.25</v>
      </c>
      <c r="G28" s="112">
        <v>7.47</v>
      </c>
      <c r="H28" s="112">
        <v>4.47</v>
      </c>
      <c r="I28" s="112">
        <v>2.57</v>
      </c>
      <c r="J28" s="112">
        <v>0.44</v>
      </c>
      <c r="K28" s="112">
        <v>252.95</v>
      </c>
      <c r="L28" s="112">
        <v>25.99</v>
      </c>
      <c r="M28" s="112">
        <v>96.95</v>
      </c>
      <c r="N28" s="112">
        <v>2.4</v>
      </c>
      <c r="O28" s="112">
        <v>0.2</v>
      </c>
      <c r="P28" s="112">
        <v>0.14000000000000001</v>
      </c>
      <c r="Q28" s="112">
        <v>4.6399999999999997</v>
      </c>
      <c r="R28" s="6"/>
      <c r="S28" s="6"/>
      <c r="T28" s="182"/>
      <c r="U28" s="6"/>
    </row>
    <row r="29" spans="1:21" customFormat="1">
      <c r="A29" s="196" t="s">
        <v>547</v>
      </c>
      <c r="B29" s="112">
        <v>9.39</v>
      </c>
      <c r="C29" s="112">
        <v>4.09</v>
      </c>
      <c r="D29" s="112">
        <v>14.11</v>
      </c>
      <c r="E29" s="112">
        <v>8.51</v>
      </c>
      <c r="F29" s="112">
        <v>11.52</v>
      </c>
      <c r="G29" s="112">
        <v>7.47</v>
      </c>
      <c r="H29" s="112">
        <v>4.47</v>
      </c>
      <c r="I29" s="112">
        <v>2.67</v>
      </c>
      <c r="J29" s="112">
        <v>0.39</v>
      </c>
      <c r="K29" s="112">
        <v>245.18</v>
      </c>
      <c r="L29" s="112">
        <v>25.98</v>
      </c>
      <c r="M29" s="112">
        <v>97.12</v>
      </c>
      <c r="N29" s="112">
        <v>3.4</v>
      </c>
      <c r="O29" s="112">
        <v>0.2</v>
      </c>
      <c r="P29" s="112">
        <v>0.14000000000000001</v>
      </c>
      <c r="Q29" s="112">
        <v>4.6399999999999997</v>
      </c>
      <c r="R29" s="6"/>
      <c r="S29" s="6"/>
      <c r="T29" s="182"/>
      <c r="U29" s="6"/>
    </row>
    <row r="30" spans="1:21" customFormat="1">
      <c r="A30" s="196" t="s">
        <v>548</v>
      </c>
      <c r="B30" s="112">
        <v>9.39</v>
      </c>
      <c r="C30" s="112">
        <v>4.07</v>
      </c>
      <c r="D30" s="112">
        <v>14.11</v>
      </c>
      <c r="E30" s="112">
        <v>8.64</v>
      </c>
      <c r="F30" s="112">
        <v>6.88</v>
      </c>
      <c r="G30" s="112">
        <v>6.75</v>
      </c>
      <c r="H30" s="112">
        <v>3.81</v>
      </c>
      <c r="I30" s="112">
        <v>2.76</v>
      </c>
      <c r="J30" s="112">
        <v>0.39</v>
      </c>
      <c r="K30" s="112">
        <v>242.04</v>
      </c>
      <c r="L30" s="112">
        <v>25.9</v>
      </c>
      <c r="M30" s="112">
        <v>97.2</v>
      </c>
      <c r="N30" s="112">
        <v>4.2</v>
      </c>
      <c r="O30" s="112">
        <v>0</v>
      </c>
      <c r="P30" s="112">
        <v>0.15</v>
      </c>
      <c r="Q30" s="112">
        <v>4.63</v>
      </c>
      <c r="R30" s="6"/>
      <c r="S30" s="6"/>
      <c r="T30" s="182"/>
      <c r="U30" s="6"/>
    </row>
    <row r="31" spans="1:21" customFormat="1">
      <c r="A31" s="196" t="s">
        <v>549</v>
      </c>
      <c r="B31" s="112">
        <v>9.3800000000000008</v>
      </c>
      <c r="C31" s="112">
        <v>4.09</v>
      </c>
      <c r="D31" s="112">
        <v>14.11</v>
      </c>
      <c r="E31" s="112">
        <v>9.5299999999999994</v>
      </c>
      <c r="F31" s="112">
        <v>4.8600000000000003</v>
      </c>
      <c r="G31" s="112">
        <v>5.69</v>
      </c>
      <c r="H31" s="112">
        <v>3.22</v>
      </c>
      <c r="I31" s="112">
        <v>2.81</v>
      </c>
      <c r="J31" s="112">
        <v>0.48</v>
      </c>
      <c r="K31" s="112">
        <v>261.83999999999997</v>
      </c>
      <c r="L31" s="112">
        <v>26.03</v>
      </c>
      <c r="M31" s="112">
        <v>97.4</v>
      </c>
      <c r="N31" s="112">
        <v>4.5999999999999996</v>
      </c>
      <c r="O31" s="112">
        <v>0</v>
      </c>
      <c r="P31" s="112">
        <v>0.16</v>
      </c>
      <c r="Q31" s="112">
        <v>4.6399999999999997</v>
      </c>
      <c r="R31" s="6"/>
      <c r="S31" s="6"/>
      <c r="T31" s="182"/>
      <c r="U31" s="6"/>
    </row>
    <row r="32" spans="1:21" customFormat="1">
      <c r="A32" s="196" t="s">
        <v>550</v>
      </c>
      <c r="B32" s="112">
        <v>9.4</v>
      </c>
      <c r="C32" s="112">
        <v>4.08</v>
      </c>
      <c r="D32" s="112">
        <v>14.12</v>
      </c>
      <c r="E32" s="112">
        <v>9.6999999999999993</v>
      </c>
      <c r="F32" s="112">
        <v>5.51</v>
      </c>
      <c r="G32" s="112">
        <v>5.69</v>
      </c>
      <c r="H32" s="112">
        <v>3.22</v>
      </c>
      <c r="I32" s="112">
        <v>3.01</v>
      </c>
      <c r="J32" s="112">
        <v>0.54</v>
      </c>
      <c r="K32" s="112">
        <v>255.99</v>
      </c>
      <c r="L32" s="112">
        <v>26.13</v>
      </c>
      <c r="M32" s="112">
        <v>97.42</v>
      </c>
      <c r="N32" s="112">
        <v>16.100000000000001</v>
      </c>
      <c r="O32" s="112">
        <v>0</v>
      </c>
      <c r="P32" s="112">
        <v>0.15</v>
      </c>
      <c r="Q32" s="112">
        <v>4.63</v>
      </c>
      <c r="R32" s="6"/>
      <c r="S32" s="6"/>
      <c r="T32" s="182"/>
      <c r="U32" s="6"/>
    </row>
    <row r="33" spans="1:21" customFormat="1">
      <c r="A33" s="196" t="s">
        <v>551</v>
      </c>
      <c r="B33" s="112">
        <v>9.39</v>
      </c>
      <c r="C33" s="112">
        <v>4.08</v>
      </c>
      <c r="D33" s="112">
        <v>14.11</v>
      </c>
      <c r="E33" s="112">
        <v>10.15</v>
      </c>
      <c r="F33" s="112">
        <v>4.13</v>
      </c>
      <c r="G33" s="112">
        <v>5.69</v>
      </c>
      <c r="H33" s="112">
        <v>3.22</v>
      </c>
      <c r="I33" s="112">
        <v>2.99</v>
      </c>
      <c r="J33" s="112">
        <v>0.64</v>
      </c>
      <c r="K33" s="112">
        <v>254.73</v>
      </c>
      <c r="L33" s="112">
        <v>26.2</v>
      </c>
      <c r="M33" s="112">
        <v>96.92</v>
      </c>
      <c r="N33" s="112">
        <v>40.5</v>
      </c>
      <c r="O33" s="112">
        <v>0.2</v>
      </c>
      <c r="P33" s="112">
        <v>0.16</v>
      </c>
      <c r="Q33" s="112">
        <v>4.6399999999999997</v>
      </c>
      <c r="R33" s="6"/>
      <c r="S33" s="6"/>
      <c r="T33" s="182"/>
      <c r="U33" s="6"/>
    </row>
    <row r="34" spans="1:21" customFormat="1">
      <c r="A34" s="196" t="s">
        <v>552</v>
      </c>
      <c r="B34" s="112">
        <v>9.4</v>
      </c>
      <c r="C34" s="112">
        <v>4.08</v>
      </c>
      <c r="D34" s="112">
        <v>14.12</v>
      </c>
      <c r="E34" s="112">
        <v>10.33</v>
      </c>
      <c r="F34" s="112">
        <v>5.33</v>
      </c>
      <c r="G34" s="112">
        <v>5.14</v>
      </c>
      <c r="H34" s="112">
        <v>3.25</v>
      </c>
      <c r="I34" s="112">
        <v>2.99</v>
      </c>
      <c r="J34" s="112">
        <v>0.62</v>
      </c>
      <c r="K34" s="112">
        <v>255.68</v>
      </c>
      <c r="L34" s="112">
        <v>26.37</v>
      </c>
      <c r="M34" s="112">
        <v>95.53</v>
      </c>
      <c r="N34" s="112">
        <v>51.8</v>
      </c>
      <c r="O34" s="112">
        <v>0</v>
      </c>
      <c r="P34" s="112">
        <v>0.16</v>
      </c>
      <c r="Q34" s="112">
        <v>4.63</v>
      </c>
      <c r="R34" s="6"/>
      <c r="S34" s="6"/>
      <c r="T34" s="182"/>
      <c r="U34" s="6"/>
    </row>
    <row r="35" spans="1:21" customFormat="1">
      <c r="A35" s="196" t="s">
        <v>553</v>
      </c>
      <c r="B35" s="112">
        <v>9.41</v>
      </c>
      <c r="C35" s="112">
        <v>4.08</v>
      </c>
      <c r="D35" s="112">
        <v>14.13</v>
      </c>
      <c r="E35" s="112">
        <v>10.67</v>
      </c>
      <c r="F35" s="112">
        <v>4.24</v>
      </c>
      <c r="G35" s="112">
        <v>4.32</v>
      </c>
      <c r="H35" s="112">
        <v>3.28</v>
      </c>
      <c r="I35" s="112">
        <v>3.05</v>
      </c>
      <c r="J35" s="112">
        <v>0.73</v>
      </c>
      <c r="K35" s="112">
        <v>264.45</v>
      </c>
      <c r="L35" s="112">
        <v>26.44</v>
      </c>
      <c r="M35" s="112">
        <v>94.11</v>
      </c>
      <c r="N35" s="112">
        <v>40.200000000000003</v>
      </c>
      <c r="O35" s="112">
        <v>0</v>
      </c>
      <c r="P35" s="112">
        <v>0.16</v>
      </c>
      <c r="Q35" s="112">
        <v>4.6399999999999997</v>
      </c>
      <c r="R35" s="6"/>
      <c r="S35" s="6"/>
      <c r="T35" s="182"/>
      <c r="U35" s="6"/>
    </row>
    <row r="36" spans="1:21" customFormat="1">
      <c r="A36" s="196" t="s">
        <v>554</v>
      </c>
      <c r="B36" s="112">
        <v>9.41</v>
      </c>
      <c r="C36" s="112">
        <v>4.0999999999999996</v>
      </c>
      <c r="D36" s="112">
        <v>14.13</v>
      </c>
      <c r="E36" s="112">
        <v>10.92</v>
      </c>
      <c r="F36" s="112">
        <v>4.0999999999999996</v>
      </c>
      <c r="G36" s="112">
        <v>4.32</v>
      </c>
      <c r="H36" s="112">
        <v>3.28</v>
      </c>
      <c r="I36" s="112">
        <v>3.03</v>
      </c>
      <c r="J36" s="112">
        <v>0.79</v>
      </c>
      <c r="K36" s="112">
        <v>262.63</v>
      </c>
      <c r="L36" s="112">
        <v>26.44</v>
      </c>
      <c r="M36" s="112">
        <v>93.17</v>
      </c>
      <c r="N36" s="112">
        <v>60.7</v>
      </c>
      <c r="O36" s="112">
        <v>0</v>
      </c>
      <c r="P36" s="112">
        <v>0.17</v>
      </c>
      <c r="Q36" s="112">
        <v>4.63</v>
      </c>
      <c r="R36" s="6"/>
      <c r="S36" s="6"/>
      <c r="T36" s="182"/>
      <c r="U36" s="6"/>
    </row>
    <row r="37" spans="1:21" customFormat="1">
      <c r="A37" s="196" t="s">
        <v>555</v>
      </c>
      <c r="B37" s="112">
        <v>9.39</v>
      </c>
      <c r="C37" s="112">
        <v>4.0999999999999996</v>
      </c>
      <c r="D37" s="112">
        <v>14.13</v>
      </c>
      <c r="E37" s="112">
        <v>10.87</v>
      </c>
      <c r="F37" s="112">
        <v>3.95</v>
      </c>
      <c r="G37" s="112">
        <v>4.32</v>
      </c>
      <c r="H37" s="112">
        <v>3.28</v>
      </c>
      <c r="I37" s="112">
        <v>2.88</v>
      </c>
      <c r="J37" s="112">
        <v>0.81</v>
      </c>
      <c r="K37" s="112">
        <v>263.51</v>
      </c>
      <c r="L37" s="112">
        <v>26.65</v>
      </c>
      <c r="M37" s="112">
        <v>91.11</v>
      </c>
      <c r="N37" s="112">
        <v>105.8</v>
      </c>
      <c r="O37" s="112">
        <v>0</v>
      </c>
      <c r="P37" s="112">
        <v>0.16</v>
      </c>
      <c r="Q37" s="112">
        <v>4.6399999999999997</v>
      </c>
      <c r="R37" s="6"/>
      <c r="S37" s="6"/>
      <c r="T37" s="182"/>
      <c r="U37" s="6"/>
    </row>
    <row r="38" spans="1:21" customFormat="1">
      <c r="A38" s="196" t="s">
        <v>556</v>
      </c>
      <c r="B38" s="112">
        <v>9.39</v>
      </c>
      <c r="C38" s="112">
        <v>4.09</v>
      </c>
      <c r="D38" s="112">
        <v>14.12</v>
      </c>
      <c r="E38" s="112">
        <v>10.76</v>
      </c>
      <c r="F38" s="112">
        <v>3.93</v>
      </c>
      <c r="G38" s="112">
        <v>4.12</v>
      </c>
      <c r="H38" s="112">
        <v>3.15</v>
      </c>
      <c r="I38" s="112">
        <v>2.98</v>
      </c>
      <c r="J38" s="112">
        <v>0.94</v>
      </c>
      <c r="K38" s="112">
        <v>265.20999999999998</v>
      </c>
      <c r="L38" s="112">
        <v>26.94</v>
      </c>
      <c r="M38" s="112">
        <v>90.07</v>
      </c>
      <c r="N38" s="112">
        <v>145.69999999999999</v>
      </c>
      <c r="O38" s="112">
        <v>0</v>
      </c>
      <c r="P38" s="112">
        <v>0.16</v>
      </c>
      <c r="Q38" s="112">
        <v>4.6399999999999997</v>
      </c>
      <c r="R38" s="6"/>
      <c r="S38" s="6"/>
      <c r="T38" s="182"/>
      <c r="U38" s="6"/>
    </row>
    <row r="39" spans="1:21" customFormat="1">
      <c r="A39" s="196" t="s">
        <v>557</v>
      </c>
      <c r="B39" s="112">
        <v>9.39</v>
      </c>
      <c r="C39" s="112">
        <v>4.0999999999999996</v>
      </c>
      <c r="D39" s="112">
        <v>14.12</v>
      </c>
      <c r="E39" s="112">
        <v>10.93</v>
      </c>
      <c r="F39" s="112">
        <v>3.71</v>
      </c>
      <c r="G39" s="112">
        <v>3.83</v>
      </c>
      <c r="H39" s="112">
        <v>3.04</v>
      </c>
      <c r="I39" s="112">
        <v>2.89</v>
      </c>
      <c r="J39" s="112">
        <v>0.84</v>
      </c>
      <c r="K39" s="112">
        <v>263.16000000000003</v>
      </c>
      <c r="L39" s="112">
        <v>27.28</v>
      </c>
      <c r="M39" s="112">
        <v>89.4</v>
      </c>
      <c r="N39" s="112">
        <v>152.30000000000001</v>
      </c>
      <c r="O39" s="112">
        <v>0</v>
      </c>
      <c r="P39" s="112">
        <v>0.16</v>
      </c>
      <c r="Q39" s="112">
        <v>4.63</v>
      </c>
      <c r="R39" s="6"/>
      <c r="S39" s="6"/>
      <c r="T39" s="182"/>
      <c r="U39" s="6"/>
    </row>
    <row r="40" spans="1:21" customFormat="1">
      <c r="A40" s="196" t="s">
        <v>558</v>
      </c>
      <c r="B40" s="112">
        <v>9.4</v>
      </c>
      <c r="C40" s="112">
        <v>4.07</v>
      </c>
      <c r="D40" s="112">
        <v>14.11</v>
      </c>
      <c r="E40" s="112">
        <v>10.95</v>
      </c>
      <c r="F40" s="112">
        <v>4.0999999999999996</v>
      </c>
      <c r="G40" s="112">
        <v>3.83</v>
      </c>
      <c r="H40" s="112">
        <v>3.04</v>
      </c>
      <c r="I40" s="112">
        <v>2.87</v>
      </c>
      <c r="J40" s="112">
        <v>0.99</v>
      </c>
      <c r="K40" s="112">
        <v>263.82</v>
      </c>
      <c r="L40" s="112">
        <v>27.44</v>
      </c>
      <c r="M40" s="112">
        <v>89.07</v>
      </c>
      <c r="N40" s="112">
        <v>166.7</v>
      </c>
      <c r="O40" s="112">
        <v>0</v>
      </c>
      <c r="P40" s="112">
        <v>0.15</v>
      </c>
      <c r="Q40" s="112">
        <v>4.6500000000000004</v>
      </c>
      <c r="R40" s="6"/>
      <c r="S40" s="6"/>
      <c r="T40" s="182"/>
      <c r="U40" s="6"/>
    </row>
    <row r="41" spans="1:21" customFormat="1">
      <c r="A41" s="196" t="s">
        <v>559</v>
      </c>
      <c r="B41" s="112">
        <v>9.3800000000000008</v>
      </c>
      <c r="C41" s="112">
        <v>4.09</v>
      </c>
      <c r="D41" s="112">
        <v>14.11</v>
      </c>
      <c r="E41" s="112">
        <v>10.95</v>
      </c>
      <c r="F41" s="112">
        <v>3</v>
      </c>
      <c r="G41" s="112">
        <v>3.83</v>
      </c>
      <c r="H41" s="112">
        <v>3.04</v>
      </c>
      <c r="I41" s="112">
        <v>2.91</v>
      </c>
      <c r="J41" s="112">
        <v>0.99</v>
      </c>
      <c r="K41" s="112">
        <v>254.35</v>
      </c>
      <c r="L41" s="112">
        <v>27.69</v>
      </c>
      <c r="M41" s="112">
        <v>87.31</v>
      </c>
      <c r="N41" s="112">
        <v>180.3</v>
      </c>
      <c r="O41" s="112">
        <v>0</v>
      </c>
      <c r="P41" s="112">
        <v>0.15</v>
      </c>
      <c r="Q41" s="112">
        <v>4.6399999999999997</v>
      </c>
      <c r="R41" s="6"/>
      <c r="S41" s="6"/>
      <c r="T41" s="182"/>
      <c r="U41" s="6"/>
    </row>
    <row r="42" spans="1:21" customFormat="1">
      <c r="A42" s="196" t="s">
        <v>560</v>
      </c>
      <c r="B42" s="112">
        <v>9.3800000000000008</v>
      </c>
      <c r="C42" s="112">
        <v>4.08</v>
      </c>
      <c r="D42" s="112">
        <v>14.1</v>
      </c>
      <c r="E42" s="112">
        <v>11.31</v>
      </c>
      <c r="F42" s="112">
        <v>3.2</v>
      </c>
      <c r="G42" s="112">
        <v>5.09</v>
      </c>
      <c r="H42" s="112">
        <v>3.29</v>
      </c>
      <c r="I42" s="112">
        <v>2.91</v>
      </c>
      <c r="J42" s="112">
        <v>0.81</v>
      </c>
      <c r="K42" s="112">
        <v>264.32</v>
      </c>
      <c r="L42" s="112">
        <v>27.74</v>
      </c>
      <c r="M42" s="112">
        <v>87.06</v>
      </c>
      <c r="N42" s="112">
        <v>117.6</v>
      </c>
      <c r="O42" s="112">
        <v>0</v>
      </c>
      <c r="P42" s="112">
        <v>0.16</v>
      </c>
      <c r="Q42" s="112">
        <v>4.63</v>
      </c>
      <c r="R42" s="6"/>
      <c r="S42" s="6"/>
      <c r="T42" s="182"/>
      <c r="U42" s="6"/>
    </row>
    <row r="43" spans="1:21" customFormat="1">
      <c r="A43" s="196" t="s">
        <v>561</v>
      </c>
      <c r="B43" s="112">
        <v>9.3800000000000008</v>
      </c>
      <c r="C43" s="112">
        <v>4.08</v>
      </c>
      <c r="D43" s="112">
        <v>14.1</v>
      </c>
      <c r="E43" s="112">
        <v>11.16</v>
      </c>
      <c r="F43" s="112">
        <v>3.92</v>
      </c>
      <c r="G43" s="112">
        <v>6.97</v>
      </c>
      <c r="H43" s="112">
        <v>3.52</v>
      </c>
      <c r="I43" s="112">
        <v>3.03</v>
      </c>
      <c r="J43" s="112">
        <v>0.87</v>
      </c>
      <c r="K43" s="112">
        <v>264.14</v>
      </c>
      <c r="L43" s="112">
        <v>27.82</v>
      </c>
      <c r="M43" s="112">
        <v>86.58</v>
      </c>
      <c r="N43" s="112">
        <v>140</v>
      </c>
      <c r="O43" s="112">
        <v>0</v>
      </c>
      <c r="P43" s="112">
        <v>0.16</v>
      </c>
      <c r="Q43" s="112">
        <v>4.6399999999999997</v>
      </c>
      <c r="R43" s="6"/>
      <c r="S43" s="6"/>
      <c r="T43" s="182"/>
      <c r="U43" s="6"/>
    </row>
    <row r="44" spans="1:21" customFormat="1">
      <c r="A44" s="196" t="s">
        <v>562</v>
      </c>
      <c r="B44" s="112">
        <v>9.36</v>
      </c>
      <c r="C44" s="112">
        <v>4.08</v>
      </c>
      <c r="D44" s="112">
        <v>14.09</v>
      </c>
      <c r="E44" s="112">
        <v>11.04</v>
      </c>
      <c r="F44" s="112">
        <v>4.5</v>
      </c>
      <c r="G44" s="112">
        <v>6.97</v>
      </c>
      <c r="H44" s="112">
        <v>3.52</v>
      </c>
      <c r="I44" s="112">
        <v>3.05</v>
      </c>
      <c r="J44" s="112">
        <v>1.18</v>
      </c>
      <c r="K44" s="112">
        <v>270.51</v>
      </c>
      <c r="L44" s="112">
        <v>27.81</v>
      </c>
      <c r="M44" s="112">
        <v>85.72</v>
      </c>
      <c r="N44" s="112">
        <v>112.7</v>
      </c>
      <c r="O44" s="112">
        <v>0</v>
      </c>
      <c r="P44" s="112">
        <v>0.15</v>
      </c>
      <c r="Q44" s="112">
        <v>4.6399999999999997</v>
      </c>
      <c r="R44" s="6"/>
      <c r="S44" s="6"/>
      <c r="T44" s="182"/>
      <c r="U44" s="6"/>
    </row>
    <row r="45" spans="1:21" customFormat="1">
      <c r="A45" s="196" t="s">
        <v>563</v>
      </c>
      <c r="B45" s="112">
        <v>9.36</v>
      </c>
      <c r="C45" s="112">
        <v>4.07</v>
      </c>
      <c r="D45" s="112">
        <v>14.09</v>
      </c>
      <c r="E45" s="112">
        <v>11.25</v>
      </c>
      <c r="F45" s="112">
        <v>3.43</v>
      </c>
      <c r="G45" s="112">
        <v>6.97</v>
      </c>
      <c r="H45" s="112">
        <v>3.52</v>
      </c>
      <c r="I45" s="112">
        <v>2.92</v>
      </c>
      <c r="J45" s="112">
        <v>1.1399999999999999</v>
      </c>
      <c r="K45" s="112">
        <v>268.04000000000002</v>
      </c>
      <c r="L45" s="112">
        <v>27.8</v>
      </c>
      <c r="M45" s="112">
        <v>85.24</v>
      </c>
      <c r="N45" s="112">
        <v>138.4</v>
      </c>
      <c r="O45" s="112">
        <v>0</v>
      </c>
      <c r="P45" s="112">
        <v>0.15</v>
      </c>
      <c r="Q45" s="112">
        <v>4.63</v>
      </c>
      <c r="R45" s="6"/>
      <c r="S45" s="6"/>
      <c r="T45" s="182"/>
      <c r="U45" s="6"/>
    </row>
    <row r="46" spans="1:21" customFormat="1">
      <c r="A46" s="196" t="s">
        <v>564</v>
      </c>
      <c r="B46" s="112">
        <v>9.3699999999999992</v>
      </c>
      <c r="C46" s="112">
        <v>4.09</v>
      </c>
      <c r="D46" s="112">
        <v>14.1</v>
      </c>
      <c r="E46" s="112">
        <v>10.99</v>
      </c>
      <c r="F46" s="112">
        <v>4.3099999999999996</v>
      </c>
      <c r="G46" s="112">
        <v>6.21</v>
      </c>
      <c r="H46" s="112">
        <v>3</v>
      </c>
      <c r="I46" s="112">
        <v>2.88</v>
      </c>
      <c r="J46" s="112">
        <v>1.07</v>
      </c>
      <c r="K46" s="112">
        <v>268.66000000000003</v>
      </c>
      <c r="L46" s="112">
        <v>28.34</v>
      </c>
      <c r="M46" s="112">
        <v>83.35</v>
      </c>
      <c r="N46" s="112">
        <v>247.7</v>
      </c>
      <c r="O46" s="112">
        <v>0</v>
      </c>
      <c r="P46" s="112">
        <v>0.16</v>
      </c>
      <c r="Q46" s="112">
        <v>4.6399999999999997</v>
      </c>
      <c r="R46" s="6"/>
      <c r="S46" s="6"/>
      <c r="T46" s="182"/>
      <c r="U46" s="6"/>
    </row>
    <row r="47" spans="1:21" customFormat="1">
      <c r="A47" s="196" t="s">
        <v>565</v>
      </c>
      <c r="B47" s="112">
        <v>9.39</v>
      </c>
      <c r="C47" s="112">
        <v>4.07</v>
      </c>
      <c r="D47" s="112">
        <v>14.1</v>
      </c>
      <c r="E47" s="112">
        <v>11.24</v>
      </c>
      <c r="F47" s="112">
        <v>4.16</v>
      </c>
      <c r="G47" s="112">
        <v>5.09</v>
      </c>
      <c r="H47" s="112">
        <v>2.5499999999999998</v>
      </c>
      <c r="I47" s="112">
        <v>2.79</v>
      </c>
      <c r="J47" s="112">
        <v>1.05</v>
      </c>
      <c r="K47" s="112">
        <v>264.27</v>
      </c>
      <c r="L47" s="112">
        <v>28.42</v>
      </c>
      <c r="M47" s="112">
        <v>82.66</v>
      </c>
      <c r="N47" s="112">
        <v>194.1</v>
      </c>
      <c r="O47" s="112">
        <v>0</v>
      </c>
      <c r="P47" s="112">
        <v>0.15</v>
      </c>
      <c r="Q47" s="112">
        <v>4.63</v>
      </c>
      <c r="R47" s="6"/>
      <c r="S47" s="6"/>
      <c r="T47" s="182"/>
      <c r="U47" s="6"/>
    </row>
    <row r="48" spans="1:21" customFormat="1">
      <c r="A48" s="196" t="s">
        <v>566</v>
      </c>
      <c r="B48" s="112">
        <v>9.39</v>
      </c>
      <c r="C48" s="112">
        <v>4.07</v>
      </c>
      <c r="D48" s="112">
        <v>14.1</v>
      </c>
      <c r="E48" s="112">
        <v>11.1</v>
      </c>
      <c r="F48" s="112">
        <v>4.5199999999999996</v>
      </c>
      <c r="G48" s="112">
        <v>5.09</v>
      </c>
      <c r="H48" s="112">
        <v>2.5499999999999998</v>
      </c>
      <c r="I48" s="112">
        <v>2.78</v>
      </c>
      <c r="J48" s="112">
        <v>1.2</v>
      </c>
      <c r="K48" s="112">
        <v>271.8</v>
      </c>
      <c r="L48" s="112">
        <v>28.68</v>
      </c>
      <c r="M48" s="112">
        <v>80.95</v>
      </c>
      <c r="N48" s="112">
        <v>244.3</v>
      </c>
      <c r="O48" s="112">
        <v>0</v>
      </c>
      <c r="P48" s="112">
        <v>0.15</v>
      </c>
      <c r="Q48" s="112">
        <v>4.62</v>
      </c>
      <c r="R48" s="6"/>
      <c r="S48" s="6"/>
      <c r="T48" s="182"/>
      <c r="U48" s="6"/>
    </row>
    <row r="49" spans="1:21" customFormat="1">
      <c r="A49" s="196" t="s">
        <v>567</v>
      </c>
      <c r="B49" s="112">
        <v>9.39</v>
      </c>
      <c r="C49" s="112">
        <v>4.0599999999999996</v>
      </c>
      <c r="D49" s="112">
        <v>14.1</v>
      </c>
      <c r="E49" s="112">
        <v>7.72</v>
      </c>
      <c r="F49" s="112">
        <v>3.5</v>
      </c>
      <c r="G49" s="112">
        <v>5.09</v>
      </c>
      <c r="H49" s="112">
        <v>2.5499999999999998</v>
      </c>
      <c r="I49" s="112">
        <v>2.98</v>
      </c>
      <c r="J49" s="112">
        <v>1.1200000000000001</v>
      </c>
      <c r="K49" s="112">
        <v>266.37</v>
      </c>
      <c r="L49" s="112">
        <v>29.23</v>
      </c>
      <c r="M49" s="112">
        <v>79.260000000000005</v>
      </c>
      <c r="N49" s="112">
        <v>320.3</v>
      </c>
      <c r="O49" s="112">
        <v>0</v>
      </c>
      <c r="P49" s="112">
        <v>0.17</v>
      </c>
      <c r="Q49" s="112">
        <v>4.63</v>
      </c>
      <c r="R49" s="6"/>
      <c r="S49" s="6"/>
      <c r="T49" s="182"/>
      <c r="U49" s="6"/>
    </row>
    <row r="50" spans="1:21" customFormat="1">
      <c r="A50" s="196" t="s">
        <v>568</v>
      </c>
      <c r="B50" s="112">
        <v>9.3699999999999992</v>
      </c>
      <c r="C50" s="112">
        <v>4.08</v>
      </c>
      <c r="D50" s="112">
        <v>14.09</v>
      </c>
      <c r="E50" s="112">
        <v>8.9700000000000006</v>
      </c>
      <c r="F50" s="112">
        <v>6.95</v>
      </c>
      <c r="G50" s="112">
        <v>6.01</v>
      </c>
      <c r="H50" s="112">
        <v>2.71</v>
      </c>
      <c r="I50" s="112">
        <v>2.85</v>
      </c>
      <c r="J50" s="112">
        <v>1.25</v>
      </c>
      <c r="K50" s="112">
        <v>286.25</v>
      </c>
      <c r="L50" s="112">
        <v>29.67</v>
      </c>
      <c r="M50" s="112">
        <v>77.650000000000006</v>
      </c>
      <c r="N50" s="112">
        <v>336.2</v>
      </c>
      <c r="O50" s="112">
        <v>0</v>
      </c>
      <c r="P50" s="112">
        <v>0.19</v>
      </c>
      <c r="Q50" s="112">
        <v>4.6399999999999997</v>
      </c>
      <c r="R50" s="6"/>
      <c r="S50" s="6"/>
      <c r="T50" s="182"/>
      <c r="U50" s="6"/>
    </row>
    <row r="51" spans="1:21" customFormat="1">
      <c r="A51" s="196" t="s">
        <v>569</v>
      </c>
      <c r="B51" s="112">
        <v>9.31</v>
      </c>
      <c r="C51" s="112">
        <v>4.0999999999999996</v>
      </c>
      <c r="D51" s="112">
        <v>14.06</v>
      </c>
      <c r="E51" s="112">
        <v>8.76</v>
      </c>
      <c r="F51" s="112">
        <v>8.89</v>
      </c>
      <c r="G51" s="112">
        <v>7.39</v>
      </c>
      <c r="H51" s="112">
        <v>3.17</v>
      </c>
      <c r="I51" s="112">
        <v>2.79</v>
      </c>
      <c r="J51" s="112">
        <v>1.18</v>
      </c>
      <c r="K51" s="112">
        <v>270.49</v>
      </c>
      <c r="L51" s="112">
        <v>29.58</v>
      </c>
      <c r="M51" s="112">
        <v>77.31</v>
      </c>
      <c r="N51" s="112">
        <v>215.9</v>
      </c>
      <c r="O51" s="112">
        <v>0</v>
      </c>
      <c r="P51" s="112">
        <v>0.19</v>
      </c>
      <c r="Q51" s="112">
        <v>4.63</v>
      </c>
      <c r="R51" s="6"/>
      <c r="S51" s="6"/>
      <c r="T51" s="182"/>
      <c r="U51" s="6"/>
    </row>
    <row r="52" spans="1:21" customFormat="1">
      <c r="A52" s="196" t="s">
        <v>570</v>
      </c>
      <c r="B52" s="112">
        <v>9.2799999999999994</v>
      </c>
      <c r="C52" s="112">
        <v>4.1100000000000003</v>
      </c>
      <c r="D52" s="112">
        <v>14.04</v>
      </c>
      <c r="E52" s="112">
        <v>8.5500000000000007</v>
      </c>
      <c r="F52" s="112">
        <v>9.0500000000000007</v>
      </c>
      <c r="G52" s="112">
        <v>7.39</v>
      </c>
      <c r="H52" s="112">
        <v>3.17</v>
      </c>
      <c r="I52" s="112">
        <v>2.97</v>
      </c>
      <c r="J52" s="112">
        <v>0.84</v>
      </c>
      <c r="K52" s="112">
        <v>269.23</v>
      </c>
      <c r="L52" s="112">
        <v>29.44</v>
      </c>
      <c r="M52" s="112">
        <v>79.3</v>
      </c>
      <c r="N52" s="112">
        <v>145.69999999999999</v>
      </c>
      <c r="O52" s="112">
        <v>0</v>
      </c>
      <c r="P52" s="112">
        <v>0.19</v>
      </c>
      <c r="Q52" s="112">
        <v>4.6399999999999997</v>
      </c>
      <c r="R52" s="6"/>
      <c r="S52" s="6"/>
      <c r="T52" s="182"/>
      <c r="U52" s="6"/>
    </row>
    <row r="53" spans="1:21" customFormat="1">
      <c r="A53" s="196" t="s">
        <v>571</v>
      </c>
      <c r="B53" s="112">
        <v>9.2899999999999991</v>
      </c>
      <c r="C53" s="112">
        <v>4.07</v>
      </c>
      <c r="D53" s="112">
        <v>14.03</v>
      </c>
      <c r="E53" s="112">
        <v>7.65</v>
      </c>
      <c r="F53" s="112">
        <v>9.58</v>
      </c>
      <c r="G53" s="112">
        <v>7.39</v>
      </c>
      <c r="H53" s="112">
        <v>3.17</v>
      </c>
      <c r="I53" s="112">
        <v>3</v>
      </c>
      <c r="J53" s="112">
        <v>0.91</v>
      </c>
      <c r="K53" s="112">
        <v>266.05</v>
      </c>
      <c r="L53" s="112">
        <v>29.21</v>
      </c>
      <c r="M53" s="112">
        <v>80.09</v>
      </c>
      <c r="N53" s="112">
        <v>129.30000000000001</v>
      </c>
      <c r="O53" s="112">
        <v>0</v>
      </c>
      <c r="P53" s="112">
        <v>0.19</v>
      </c>
      <c r="Q53" s="112">
        <v>4.6500000000000004</v>
      </c>
      <c r="R53" s="6"/>
      <c r="S53" s="6"/>
      <c r="T53" s="182"/>
      <c r="U53" s="6"/>
    </row>
    <row r="54" spans="1:21" customFormat="1">
      <c r="A54" s="196" t="s">
        <v>572</v>
      </c>
      <c r="B54" s="112">
        <v>9.32</v>
      </c>
      <c r="C54" s="112">
        <v>4.0599999999999996</v>
      </c>
      <c r="D54" s="112">
        <v>14.05</v>
      </c>
      <c r="E54" s="112">
        <v>8.2799999999999994</v>
      </c>
      <c r="F54" s="112">
        <v>10.41</v>
      </c>
      <c r="G54" s="112">
        <v>7.7</v>
      </c>
      <c r="H54" s="112">
        <v>2.86</v>
      </c>
      <c r="I54" s="112">
        <v>3.02</v>
      </c>
      <c r="J54" s="112">
        <v>1.05</v>
      </c>
      <c r="K54" s="112">
        <v>273.04000000000002</v>
      </c>
      <c r="L54" s="112">
        <v>29.17</v>
      </c>
      <c r="M54" s="112">
        <v>79.73</v>
      </c>
      <c r="N54" s="112">
        <v>193.5</v>
      </c>
      <c r="O54" s="112">
        <v>0</v>
      </c>
      <c r="P54" s="112">
        <v>0.24</v>
      </c>
      <c r="Q54" s="112">
        <v>4.66</v>
      </c>
      <c r="R54" s="6"/>
      <c r="S54" s="6"/>
      <c r="T54" s="182"/>
      <c r="U54" s="6"/>
    </row>
    <row r="55" spans="1:21" customFormat="1">
      <c r="A55" s="196" t="s">
        <v>573</v>
      </c>
      <c r="B55" s="112">
        <v>9.33</v>
      </c>
      <c r="C55" s="112">
        <v>4.08</v>
      </c>
      <c r="D55" s="112">
        <v>14.07</v>
      </c>
      <c r="E55" s="112">
        <v>8.66</v>
      </c>
      <c r="F55" s="112">
        <v>8.9600000000000009</v>
      </c>
      <c r="G55" s="112">
        <v>8.16</v>
      </c>
      <c r="H55" s="112">
        <v>2.58</v>
      </c>
      <c r="I55" s="112">
        <v>3.14</v>
      </c>
      <c r="J55" s="112">
        <v>1.1399999999999999</v>
      </c>
      <c r="K55" s="112">
        <v>271.61</v>
      </c>
      <c r="L55" s="112">
        <v>29.51</v>
      </c>
      <c r="M55" s="112">
        <v>78.569999999999993</v>
      </c>
      <c r="N55" s="112">
        <v>265.2</v>
      </c>
      <c r="O55" s="112">
        <v>0</v>
      </c>
      <c r="P55" s="112">
        <v>0.23</v>
      </c>
      <c r="Q55" s="112">
        <v>4.6100000000000003</v>
      </c>
      <c r="R55" s="6"/>
      <c r="S55" s="6"/>
      <c r="T55" s="182"/>
      <c r="U55" s="6"/>
    </row>
    <row r="56" spans="1:21" customFormat="1">
      <c r="A56" s="196" t="s">
        <v>574</v>
      </c>
      <c r="B56" s="112">
        <v>9.34</v>
      </c>
      <c r="C56" s="112">
        <v>4.08</v>
      </c>
      <c r="D56" s="112">
        <v>14.07</v>
      </c>
      <c r="E56" s="112">
        <v>10.050000000000001</v>
      </c>
      <c r="F56" s="112">
        <v>10.66</v>
      </c>
      <c r="G56" s="112">
        <v>8.16</v>
      </c>
      <c r="H56" s="112">
        <v>2.58</v>
      </c>
      <c r="I56" s="112">
        <v>3.65</v>
      </c>
      <c r="J56" s="112">
        <v>1.1100000000000001</v>
      </c>
      <c r="K56" s="112">
        <v>284.95</v>
      </c>
      <c r="L56" s="112">
        <v>29.8</v>
      </c>
      <c r="M56" s="112">
        <v>77.47</v>
      </c>
      <c r="N56" s="112">
        <v>296.2</v>
      </c>
      <c r="O56" s="112">
        <v>0</v>
      </c>
      <c r="P56" s="112">
        <v>0.24</v>
      </c>
      <c r="Q56" s="112">
        <v>4.63</v>
      </c>
      <c r="R56" s="6"/>
      <c r="S56" s="6"/>
      <c r="T56" s="182"/>
      <c r="U56" s="6"/>
    </row>
    <row r="57" spans="1:21" customFormat="1">
      <c r="A57" s="196" t="s">
        <v>575</v>
      </c>
      <c r="B57" s="112">
        <v>9.35</v>
      </c>
      <c r="C57" s="112">
        <v>4.1100000000000003</v>
      </c>
      <c r="D57" s="112">
        <v>14.09</v>
      </c>
      <c r="E57" s="112">
        <v>10.98</v>
      </c>
      <c r="F57" s="112">
        <v>9.19</v>
      </c>
      <c r="G57" s="112">
        <v>8.16</v>
      </c>
      <c r="H57" s="112">
        <v>2.58</v>
      </c>
      <c r="I57" s="112">
        <v>3.68</v>
      </c>
      <c r="J57" s="112">
        <v>1.39</v>
      </c>
      <c r="K57" s="112">
        <v>293.8</v>
      </c>
      <c r="L57" s="112">
        <v>29.92</v>
      </c>
      <c r="M57" s="112">
        <v>77.25</v>
      </c>
      <c r="N57" s="112">
        <v>235</v>
      </c>
      <c r="O57" s="112">
        <v>0</v>
      </c>
      <c r="P57" s="112">
        <v>0.27</v>
      </c>
      <c r="Q57" s="112">
        <v>4.6500000000000004</v>
      </c>
      <c r="R57" s="6"/>
      <c r="S57" s="6"/>
      <c r="T57" s="182"/>
      <c r="U57" s="6"/>
    </row>
    <row r="58" spans="1:21" customFormat="1">
      <c r="A58" s="196" t="s">
        <v>576</v>
      </c>
      <c r="B58" s="112">
        <v>9.36</v>
      </c>
      <c r="C58" s="112">
        <v>4.0599999999999996</v>
      </c>
      <c r="D58" s="112">
        <v>14.08</v>
      </c>
      <c r="E58" s="112">
        <v>8.67</v>
      </c>
      <c r="F58" s="112">
        <v>10.66</v>
      </c>
      <c r="G58" s="112">
        <v>9.42</v>
      </c>
      <c r="H58" s="112">
        <v>3.9</v>
      </c>
      <c r="I58" s="112">
        <v>3.92</v>
      </c>
      <c r="J58" s="112">
        <v>1.1000000000000001</v>
      </c>
      <c r="K58" s="112">
        <v>266.26</v>
      </c>
      <c r="L58" s="112">
        <v>29.74</v>
      </c>
      <c r="M58" s="112">
        <v>78.63</v>
      </c>
      <c r="N58" s="112">
        <v>342.9</v>
      </c>
      <c r="O58" s="112">
        <v>0</v>
      </c>
      <c r="P58" s="112">
        <v>0.26</v>
      </c>
      <c r="Q58" s="112">
        <v>4.6399999999999997</v>
      </c>
      <c r="R58" s="6"/>
      <c r="S58" s="6"/>
      <c r="T58" s="182"/>
      <c r="U58" s="6"/>
    </row>
    <row r="59" spans="1:21" customFormat="1">
      <c r="A59" s="196" t="s">
        <v>577</v>
      </c>
      <c r="B59" s="112">
        <v>9.3699999999999992</v>
      </c>
      <c r="C59" s="112">
        <v>4.07</v>
      </c>
      <c r="D59" s="112">
        <v>14.09</v>
      </c>
      <c r="E59" s="112">
        <v>8.39</v>
      </c>
      <c r="F59" s="112">
        <v>8.2200000000000006</v>
      </c>
      <c r="G59" s="112">
        <v>11.32</v>
      </c>
      <c r="H59" s="112">
        <v>5.07</v>
      </c>
      <c r="I59" s="112">
        <v>4.21</v>
      </c>
      <c r="J59" s="112">
        <v>1.2</v>
      </c>
      <c r="K59" s="112">
        <v>271.3</v>
      </c>
      <c r="L59" s="112">
        <v>30.39</v>
      </c>
      <c r="M59" s="112">
        <v>75.459999999999994</v>
      </c>
      <c r="N59" s="112">
        <v>447.2</v>
      </c>
      <c r="O59" s="112">
        <v>0</v>
      </c>
      <c r="P59" s="112">
        <v>0.28000000000000003</v>
      </c>
      <c r="Q59" s="112">
        <v>4.63</v>
      </c>
      <c r="R59" s="6"/>
      <c r="S59" s="6"/>
      <c r="T59" s="182"/>
      <c r="U59" s="6"/>
    </row>
    <row r="60" spans="1:21" customFormat="1">
      <c r="A60" s="196" t="s">
        <v>578</v>
      </c>
      <c r="B60" s="112">
        <v>9.3699999999999992</v>
      </c>
      <c r="C60" s="112">
        <v>4.07</v>
      </c>
      <c r="D60" s="112">
        <v>14.1</v>
      </c>
      <c r="E60" s="112">
        <v>8.61</v>
      </c>
      <c r="F60" s="112">
        <v>8.1300000000000008</v>
      </c>
      <c r="G60" s="112">
        <v>11.32</v>
      </c>
      <c r="H60" s="112">
        <v>5.07</v>
      </c>
      <c r="I60" s="112">
        <v>4.12</v>
      </c>
      <c r="J60" s="112">
        <v>1.1100000000000001</v>
      </c>
      <c r="K60" s="112">
        <v>266.42</v>
      </c>
      <c r="L60" s="112">
        <v>30.19</v>
      </c>
      <c r="M60" s="112">
        <v>75.430000000000007</v>
      </c>
      <c r="N60" s="112">
        <v>263</v>
      </c>
      <c r="O60" s="112">
        <v>0</v>
      </c>
      <c r="P60" s="112">
        <v>0.3</v>
      </c>
      <c r="Q60" s="112">
        <v>4.6399999999999997</v>
      </c>
      <c r="R60" s="6"/>
      <c r="S60" s="6"/>
      <c r="T60" s="182"/>
      <c r="U60" s="6"/>
    </row>
    <row r="61" spans="1:21" customFormat="1">
      <c r="A61" s="196" t="s">
        <v>579</v>
      </c>
      <c r="B61" s="112">
        <v>9.3699999999999992</v>
      </c>
      <c r="C61" s="112">
        <v>4.0599999999999996</v>
      </c>
      <c r="D61" s="112">
        <v>14.09</v>
      </c>
      <c r="E61" s="112">
        <v>9.18</v>
      </c>
      <c r="F61" s="112">
        <v>6.93</v>
      </c>
      <c r="G61" s="112">
        <v>11.32</v>
      </c>
      <c r="H61" s="112">
        <v>5.07</v>
      </c>
      <c r="I61" s="112">
        <v>4.45</v>
      </c>
      <c r="J61" s="112">
        <v>1.19</v>
      </c>
      <c r="K61" s="112">
        <v>268.70999999999998</v>
      </c>
      <c r="L61" s="112">
        <v>29.93</v>
      </c>
      <c r="M61" s="112">
        <v>75.959999999999994</v>
      </c>
      <c r="N61" s="112">
        <v>315.7</v>
      </c>
      <c r="O61" s="112">
        <v>0</v>
      </c>
      <c r="P61" s="112">
        <v>0.34</v>
      </c>
      <c r="Q61" s="112">
        <v>4.6399999999999997</v>
      </c>
      <c r="R61" s="6"/>
      <c r="S61" s="6"/>
      <c r="T61" s="182"/>
      <c r="U61" s="6"/>
    </row>
    <row r="62" spans="1:21" customFormat="1">
      <c r="A62" s="196" t="s">
        <v>580</v>
      </c>
      <c r="B62" s="112">
        <v>9.36</v>
      </c>
      <c r="C62" s="112">
        <v>4.08</v>
      </c>
      <c r="D62" s="112">
        <v>14.08</v>
      </c>
      <c r="E62" s="112">
        <v>8.15</v>
      </c>
      <c r="F62" s="112">
        <v>10.18</v>
      </c>
      <c r="G62" s="112">
        <v>15.28</v>
      </c>
      <c r="H62" s="112">
        <v>6.51</v>
      </c>
      <c r="I62" s="112">
        <v>4.8499999999999996</v>
      </c>
      <c r="J62" s="112">
        <v>1.18</v>
      </c>
      <c r="K62" s="112">
        <v>275.22000000000003</v>
      </c>
      <c r="L62" s="112">
        <v>30.52</v>
      </c>
      <c r="M62" s="112">
        <v>72.540000000000006</v>
      </c>
      <c r="N62" s="112">
        <v>387</v>
      </c>
      <c r="O62" s="112">
        <v>0</v>
      </c>
      <c r="P62" s="112">
        <v>0.4</v>
      </c>
      <c r="Q62" s="112">
        <v>4.63</v>
      </c>
      <c r="R62" s="6"/>
      <c r="S62" s="6"/>
      <c r="T62" s="182"/>
      <c r="U62" s="6"/>
    </row>
    <row r="63" spans="1:21" customFormat="1">
      <c r="A63" s="196" t="s">
        <v>581</v>
      </c>
      <c r="B63" s="112">
        <v>9.3800000000000008</v>
      </c>
      <c r="C63" s="112">
        <v>4.0599999999999996</v>
      </c>
      <c r="D63" s="112">
        <v>14.09</v>
      </c>
      <c r="E63" s="112">
        <v>7.98</v>
      </c>
      <c r="F63" s="112">
        <v>10.8</v>
      </c>
      <c r="G63" s="112">
        <v>21.22</v>
      </c>
      <c r="H63" s="112">
        <v>7.79</v>
      </c>
      <c r="I63" s="112">
        <v>5.26</v>
      </c>
      <c r="J63" s="112">
        <v>1.28</v>
      </c>
      <c r="K63" s="112">
        <v>283.10000000000002</v>
      </c>
      <c r="L63" s="112">
        <v>30.77</v>
      </c>
      <c r="M63" s="112">
        <v>70.92</v>
      </c>
      <c r="N63" s="112">
        <v>325.2</v>
      </c>
      <c r="O63" s="112">
        <v>0</v>
      </c>
      <c r="P63" s="112">
        <v>0.37</v>
      </c>
      <c r="Q63" s="112">
        <v>4.63</v>
      </c>
      <c r="R63" s="6"/>
      <c r="S63" s="6"/>
      <c r="T63" s="182"/>
      <c r="U63" s="6"/>
    </row>
    <row r="64" spans="1:21" customFormat="1">
      <c r="A64" s="196" t="s">
        <v>582</v>
      </c>
      <c r="B64" s="112">
        <v>9.3699999999999992</v>
      </c>
      <c r="C64" s="112">
        <v>4.08</v>
      </c>
      <c r="D64" s="112">
        <v>14.1</v>
      </c>
      <c r="E64" s="112">
        <v>7.41</v>
      </c>
      <c r="F64" s="112">
        <v>10.76</v>
      </c>
      <c r="G64" s="112">
        <v>21.22</v>
      </c>
      <c r="H64" s="112">
        <v>7.79</v>
      </c>
      <c r="I64" s="112">
        <v>5.83</v>
      </c>
      <c r="J64" s="112">
        <v>1.06</v>
      </c>
      <c r="K64" s="112">
        <v>270.64999999999998</v>
      </c>
      <c r="L64" s="112">
        <v>30.62</v>
      </c>
      <c r="M64" s="112">
        <v>72.33</v>
      </c>
      <c r="N64" s="112">
        <v>310.60000000000002</v>
      </c>
      <c r="O64" s="112">
        <v>0</v>
      </c>
      <c r="P64" s="112">
        <v>0.4</v>
      </c>
      <c r="Q64" s="112">
        <v>4.6399999999999997</v>
      </c>
      <c r="R64" s="6"/>
      <c r="S64" s="6"/>
      <c r="T64" s="182"/>
      <c r="U64" s="6"/>
    </row>
    <row r="65" spans="1:21" customFormat="1">
      <c r="A65" s="196" t="s">
        <v>583</v>
      </c>
      <c r="B65" s="112">
        <v>9.35</v>
      </c>
      <c r="C65" s="112">
        <v>4.08</v>
      </c>
      <c r="D65" s="112">
        <v>14.08</v>
      </c>
      <c r="E65" s="112">
        <v>8.5</v>
      </c>
      <c r="F65" s="112">
        <v>13.51</v>
      </c>
      <c r="G65" s="112">
        <v>21.22</v>
      </c>
      <c r="H65" s="112">
        <v>7.79</v>
      </c>
      <c r="I65" s="112">
        <v>5.82</v>
      </c>
      <c r="J65" s="112">
        <v>1.1000000000000001</v>
      </c>
      <c r="K65" s="112">
        <v>289.05</v>
      </c>
      <c r="L65" s="112">
        <v>31.03</v>
      </c>
      <c r="M65" s="112">
        <v>71.53</v>
      </c>
      <c r="N65" s="112">
        <v>407.8</v>
      </c>
      <c r="O65" s="112">
        <v>0</v>
      </c>
      <c r="P65" s="112">
        <v>0.48</v>
      </c>
      <c r="Q65" s="112">
        <v>4.6399999999999997</v>
      </c>
      <c r="R65" s="6"/>
      <c r="S65" s="6"/>
      <c r="T65" s="182"/>
      <c r="U65" s="6"/>
    </row>
    <row r="66" spans="1:21" customFormat="1">
      <c r="A66" s="196" t="s">
        <v>584</v>
      </c>
      <c r="B66" s="112">
        <v>9.35</v>
      </c>
      <c r="C66" s="112">
        <v>4.07</v>
      </c>
      <c r="D66" s="112">
        <v>14.07</v>
      </c>
      <c r="E66" s="112">
        <v>7.18</v>
      </c>
      <c r="F66" s="112">
        <v>13.26</v>
      </c>
      <c r="G66" s="112">
        <v>21.48</v>
      </c>
      <c r="H66" s="112">
        <v>7.44</v>
      </c>
      <c r="I66" s="112">
        <v>5.87</v>
      </c>
      <c r="J66" s="112">
        <v>1.1200000000000001</v>
      </c>
      <c r="K66" s="112">
        <v>258.75</v>
      </c>
      <c r="L66" s="112">
        <v>31.23</v>
      </c>
      <c r="M66" s="112">
        <v>70.59</v>
      </c>
      <c r="N66" s="112">
        <v>313.5</v>
      </c>
      <c r="O66" s="112">
        <v>0</v>
      </c>
      <c r="P66" s="112">
        <v>0.49</v>
      </c>
      <c r="Q66" s="112">
        <v>4.63</v>
      </c>
      <c r="R66" s="6"/>
      <c r="S66" s="6"/>
      <c r="T66" s="182"/>
      <c r="U66" s="6"/>
    </row>
    <row r="67" spans="1:21" customFormat="1">
      <c r="A67" s="196" t="s">
        <v>585</v>
      </c>
      <c r="B67" s="112">
        <v>9.34</v>
      </c>
      <c r="C67" s="112">
        <v>4.07</v>
      </c>
      <c r="D67" s="112">
        <v>14.06</v>
      </c>
      <c r="E67" s="112">
        <v>6.46</v>
      </c>
      <c r="F67" s="112">
        <v>12.72</v>
      </c>
      <c r="G67" s="112">
        <v>21.86</v>
      </c>
      <c r="H67" s="112">
        <v>7.13</v>
      </c>
      <c r="I67" s="112">
        <v>6.04</v>
      </c>
      <c r="J67" s="112">
        <v>1.22</v>
      </c>
      <c r="K67" s="112">
        <v>285.56</v>
      </c>
      <c r="L67" s="112">
        <v>31.77</v>
      </c>
      <c r="M67" s="112">
        <v>68.75</v>
      </c>
      <c r="N67" s="112">
        <v>563.70000000000005</v>
      </c>
      <c r="O67" s="112">
        <v>0</v>
      </c>
      <c r="P67" s="112">
        <v>0.48</v>
      </c>
      <c r="Q67" s="112">
        <v>4.6399999999999997</v>
      </c>
      <c r="R67" s="6"/>
      <c r="S67" s="6"/>
      <c r="T67" s="182"/>
      <c r="U67" s="6"/>
    </row>
    <row r="68" spans="1:21" customFormat="1">
      <c r="A68" s="196" t="s">
        <v>586</v>
      </c>
      <c r="B68" s="112">
        <v>9.35</v>
      </c>
      <c r="C68" s="112">
        <v>4.07</v>
      </c>
      <c r="D68" s="112">
        <v>14.07</v>
      </c>
      <c r="E68" s="112">
        <v>6.89</v>
      </c>
      <c r="F68" s="112">
        <v>7.07</v>
      </c>
      <c r="G68" s="112">
        <v>21.86</v>
      </c>
      <c r="H68" s="112">
        <v>7.13</v>
      </c>
      <c r="I68" s="112">
        <v>5.8</v>
      </c>
      <c r="J68" s="112">
        <v>1.23</v>
      </c>
      <c r="K68" s="112">
        <v>267.51</v>
      </c>
      <c r="L68" s="112">
        <v>31.87</v>
      </c>
      <c r="M68" s="112">
        <v>68.45</v>
      </c>
      <c r="N68" s="112">
        <v>414.4</v>
      </c>
      <c r="O68" s="112">
        <v>0</v>
      </c>
      <c r="P68" s="112">
        <v>0.49</v>
      </c>
      <c r="Q68" s="112">
        <v>4.6399999999999997</v>
      </c>
      <c r="R68" s="6"/>
      <c r="S68" s="6"/>
      <c r="T68" s="182"/>
      <c r="U68" s="6"/>
    </row>
    <row r="69" spans="1:21" customFormat="1">
      <c r="A69" s="196" t="s">
        <v>587</v>
      </c>
      <c r="B69" s="112">
        <v>9.36</v>
      </c>
      <c r="C69" s="112">
        <v>4.0599999999999996</v>
      </c>
      <c r="D69" s="112">
        <v>14.07</v>
      </c>
      <c r="E69" s="112">
        <v>7.29</v>
      </c>
      <c r="F69" s="112">
        <v>9.15</v>
      </c>
      <c r="G69" s="112">
        <v>21.86</v>
      </c>
      <c r="H69" s="112">
        <v>7.13</v>
      </c>
      <c r="I69" s="112">
        <v>5.77</v>
      </c>
      <c r="J69" s="112">
        <v>1.08</v>
      </c>
      <c r="K69" s="112">
        <v>269.08999999999997</v>
      </c>
      <c r="L69" s="112">
        <v>31.43</v>
      </c>
      <c r="M69" s="112">
        <v>70.86</v>
      </c>
      <c r="N69" s="112">
        <v>237.9</v>
      </c>
      <c r="O69" s="112">
        <v>0</v>
      </c>
      <c r="P69" s="112">
        <v>0.49</v>
      </c>
      <c r="Q69" s="112">
        <v>4.63</v>
      </c>
      <c r="R69" s="6"/>
      <c r="S69" s="6"/>
      <c r="T69" s="182"/>
      <c r="U69" s="6"/>
    </row>
    <row r="70" spans="1:21" customFormat="1">
      <c r="A70" s="196" t="s">
        <v>588</v>
      </c>
      <c r="B70" s="112">
        <v>9.36</v>
      </c>
      <c r="C70" s="112">
        <v>4.07</v>
      </c>
      <c r="D70" s="112">
        <v>14.08</v>
      </c>
      <c r="E70" s="112">
        <v>7.92</v>
      </c>
      <c r="F70" s="112">
        <v>8.57</v>
      </c>
      <c r="G70" s="112">
        <v>22.15</v>
      </c>
      <c r="H70" s="112">
        <v>7.4</v>
      </c>
      <c r="I70" s="112">
        <v>6.04</v>
      </c>
      <c r="J70" s="112">
        <v>1</v>
      </c>
      <c r="K70" s="112">
        <v>264</v>
      </c>
      <c r="L70" s="112">
        <v>31.32</v>
      </c>
      <c r="M70" s="112">
        <v>71.22</v>
      </c>
      <c r="N70" s="112">
        <v>204.8</v>
      </c>
      <c r="O70" s="112">
        <v>0</v>
      </c>
      <c r="P70" s="112">
        <v>0.5</v>
      </c>
      <c r="Q70" s="112">
        <v>4.6399999999999997</v>
      </c>
      <c r="R70" s="6"/>
      <c r="S70" s="6"/>
      <c r="T70" s="182"/>
      <c r="U70" s="6"/>
    </row>
    <row r="71" spans="1:21" customFormat="1">
      <c r="A71" s="196" t="s">
        <v>589</v>
      </c>
      <c r="B71" s="112">
        <v>9.36</v>
      </c>
      <c r="C71" s="112">
        <v>4.08</v>
      </c>
      <c r="D71" s="112">
        <v>14.09</v>
      </c>
      <c r="E71" s="112">
        <v>8.2899999999999991</v>
      </c>
      <c r="F71" s="112">
        <v>8.33</v>
      </c>
      <c r="G71" s="112">
        <v>22.58</v>
      </c>
      <c r="H71" s="112">
        <v>7.65</v>
      </c>
      <c r="I71" s="112">
        <v>6.28</v>
      </c>
      <c r="J71" s="112">
        <v>1.02</v>
      </c>
      <c r="K71" s="112">
        <v>272.97000000000003</v>
      </c>
      <c r="L71" s="112">
        <v>31.3</v>
      </c>
      <c r="M71" s="112">
        <v>71.14</v>
      </c>
      <c r="N71" s="112">
        <v>275.3</v>
      </c>
      <c r="O71" s="112">
        <v>0</v>
      </c>
      <c r="P71" s="112">
        <v>0.5</v>
      </c>
      <c r="Q71" s="112">
        <v>4.6399999999999997</v>
      </c>
      <c r="R71" s="6"/>
      <c r="S71" s="6"/>
      <c r="T71" s="182"/>
      <c r="U71" s="6"/>
    </row>
    <row r="72" spans="1:21" customFormat="1">
      <c r="A72" s="196" t="s">
        <v>590</v>
      </c>
      <c r="B72" s="112">
        <v>9.36</v>
      </c>
      <c r="C72" s="112">
        <v>4.07</v>
      </c>
      <c r="D72" s="112">
        <v>14.09</v>
      </c>
      <c r="E72" s="112">
        <v>8.8000000000000007</v>
      </c>
      <c r="F72" s="112">
        <v>7.97</v>
      </c>
      <c r="G72" s="112">
        <v>22.58</v>
      </c>
      <c r="H72" s="112">
        <v>7.65</v>
      </c>
      <c r="I72" s="112">
        <v>6.35</v>
      </c>
      <c r="J72" s="112">
        <v>1.1399999999999999</v>
      </c>
      <c r="K72" s="112">
        <v>266.57</v>
      </c>
      <c r="L72" s="112">
        <v>31.69</v>
      </c>
      <c r="M72" s="112">
        <v>69.41</v>
      </c>
      <c r="N72" s="112">
        <v>287.39999999999998</v>
      </c>
      <c r="O72" s="112">
        <v>0</v>
      </c>
      <c r="P72" s="112">
        <v>0.5</v>
      </c>
      <c r="Q72" s="112">
        <v>4.6500000000000004</v>
      </c>
      <c r="R72" s="6"/>
      <c r="S72" s="6"/>
      <c r="T72" s="182"/>
      <c r="U72" s="6"/>
    </row>
    <row r="73" spans="1:21" customFormat="1">
      <c r="A73" s="196" t="s">
        <v>591</v>
      </c>
      <c r="B73" s="112">
        <v>9.34</v>
      </c>
      <c r="C73" s="112">
        <v>4.07</v>
      </c>
      <c r="D73" s="112">
        <v>14.06</v>
      </c>
      <c r="E73" s="112">
        <v>8.25</v>
      </c>
      <c r="F73" s="112">
        <v>9.74</v>
      </c>
      <c r="G73" s="112">
        <v>22.58</v>
      </c>
      <c r="H73" s="112">
        <v>7.65</v>
      </c>
      <c r="I73" s="112">
        <v>6.25</v>
      </c>
      <c r="J73" s="112">
        <v>0.93</v>
      </c>
      <c r="K73" s="112">
        <v>264.55</v>
      </c>
      <c r="L73" s="112">
        <v>31.2</v>
      </c>
      <c r="M73" s="112">
        <v>72.37</v>
      </c>
      <c r="N73" s="112">
        <v>192.1</v>
      </c>
      <c r="O73" s="112">
        <v>0</v>
      </c>
      <c r="P73" s="112">
        <v>0.49</v>
      </c>
      <c r="Q73" s="112">
        <v>4.6399999999999997</v>
      </c>
      <c r="R73" s="6"/>
      <c r="S73" s="6"/>
      <c r="T73" s="182"/>
      <c r="U73" s="6"/>
    </row>
    <row r="74" spans="1:21" customFormat="1">
      <c r="A74" s="196" t="s">
        <v>592</v>
      </c>
      <c r="B74" s="112">
        <v>9.31</v>
      </c>
      <c r="C74" s="112">
        <v>4.09</v>
      </c>
      <c r="D74" s="112">
        <v>14.06</v>
      </c>
      <c r="E74" s="112">
        <v>7.94</v>
      </c>
      <c r="F74" s="112">
        <v>8.19</v>
      </c>
      <c r="G74" s="112">
        <v>22.93</v>
      </c>
      <c r="H74" s="112">
        <v>8.27</v>
      </c>
      <c r="I74" s="112">
        <v>6.32</v>
      </c>
      <c r="J74" s="112">
        <v>1.1100000000000001</v>
      </c>
      <c r="K74" s="112">
        <v>263.87</v>
      </c>
      <c r="L74" s="112">
        <v>30.71</v>
      </c>
      <c r="M74" s="112">
        <v>73.400000000000006</v>
      </c>
      <c r="N74" s="112">
        <v>100.1</v>
      </c>
      <c r="O74" s="112">
        <v>0</v>
      </c>
      <c r="P74" s="112">
        <v>0.49</v>
      </c>
      <c r="Q74" s="112">
        <v>4.6399999999999997</v>
      </c>
      <c r="R74" s="6"/>
      <c r="S74" s="6"/>
      <c r="T74" s="182"/>
      <c r="U74" s="6"/>
    </row>
    <row r="75" spans="1:21" customFormat="1">
      <c r="A75" s="196" t="s">
        <v>593</v>
      </c>
      <c r="B75" s="112">
        <v>9.31</v>
      </c>
      <c r="C75" s="112">
        <v>4.09</v>
      </c>
      <c r="D75" s="112">
        <v>14.05</v>
      </c>
      <c r="E75" s="112">
        <v>8.1300000000000008</v>
      </c>
      <c r="F75" s="112">
        <v>7.8</v>
      </c>
      <c r="G75" s="112">
        <v>23.46</v>
      </c>
      <c r="H75" s="112">
        <v>10.01</v>
      </c>
      <c r="I75" s="112">
        <v>5.97</v>
      </c>
      <c r="J75" s="112">
        <v>0.92</v>
      </c>
      <c r="K75" s="112">
        <v>253.3</v>
      </c>
      <c r="L75" s="112">
        <v>30.18</v>
      </c>
      <c r="M75" s="112">
        <v>77.02</v>
      </c>
      <c r="N75" s="112">
        <v>73.599999999999994</v>
      </c>
      <c r="O75" s="112">
        <v>0</v>
      </c>
      <c r="P75" s="112">
        <v>0.47</v>
      </c>
      <c r="Q75" s="112">
        <v>4.66</v>
      </c>
      <c r="R75" s="6"/>
      <c r="S75" s="6"/>
      <c r="T75" s="182"/>
      <c r="U75" s="6"/>
    </row>
    <row r="76" spans="1:21" customFormat="1">
      <c r="A76" s="196" t="s">
        <v>594</v>
      </c>
      <c r="B76" s="112">
        <v>9.2899999999999991</v>
      </c>
      <c r="C76" s="112">
        <v>4.09</v>
      </c>
      <c r="D76" s="112">
        <v>14.03</v>
      </c>
      <c r="E76" s="112">
        <v>7.91</v>
      </c>
      <c r="F76" s="112">
        <v>6.57</v>
      </c>
      <c r="G76" s="112">
        <v>23.46</v>
      </c>
      <c r="H76" s="112">
        <v>10.01</v>
      </c>
      <c r="I76" s="112">
        <v>5.97</v>
      </c>
      <c r="J76" s="112">
        <v>0.97</v>
      </c>
      <c r="K76" s="112">
        <v>251.78</v>
      </c>
      <c r="L76" s="112">
        <v>29.62</v>
      </c>
      <c r="M76" s="112">
        <v>78.77</v>
      </c>
      <c r="N76" s="112">
        <v>33.299999999999997</v>
      </c>
      <c r="O76" s="112">
        <v>0</v>
      </c>
      <c r="P76" s="112">
        <v>0.45</v>
      </c>
      <c r="Q76" s="112">
        <v>4.63</v>
      </c>
      <c r="R76" s="6"/>
      <c r="S76" s="6"/>
      <c r="T76" s="182"/>
      <c r="U76" s="6"/>
    </row>
    <row r="77" spans="1:21" customFormat="1">
      <c r="A77" s="196" t="s">
        <v>595</v>
      </c>
      <c r="B77" s="112">
        <v>9.3000000000000007</v>
      </c>
      <c r="C77" s="112">
        <v>4.09</v>
      </c>
      <c r="D77" s="112">
        <v>14.04</v>
      </c>
      <c r="E77" s="112">
        <v>7.58</v>
      </c>
      <c r="F77" s="112">
        <v>6.12</v>
      </c>
      <c r="G77" s="112">
        <v>23.46</v>
      </c>
      <c r="H77" s="112">
        <v>10.01</v>
      </c>
      <c r="I77" s="112">
        <v>5.88</v>
      </c>
      <c r="J77" s="112">
        <v>1.07</v>
      </c>
      <c r="K77" s="112">
        <v>257.86</v>
      </c>
      <c r="L77" s="112">
        <v>29.15</v>
      </c>
      <c r="M77" s="112">
        <v>80.209999999999994</v>
      </c>
      <c r="N77" s="112">
        <v>26.1</v>
      </c>
      <c r="O77" s="112">
        <v>0</v>
      </c>
      <c r="P77" s="112">
        <v>0.44</v>
      </c>
      <c r="Q77" s="112">
        <v>4.62</v>
      </c>
      <c r="R77" s="6"/>
      <c r="S77" s="6"/>
      <c r="T77" s="182"/>
      <c r="U77" s="6"/>
    </row>
    <row r="78" spans="1:21" customFormat="1">
      <c r="A78" s="196" t="s">
        <v>596</v>
      </c>
      <c r="B78" s="112">
        <v>9.2899999999999991</v>
      </c>
      <c r="C78" s="112">
        <v>4.08</v>
      </c>
      <c r="D78" s="112">
        <v>14.03</v>
      </c>
      <c r="E78" s="112">
        <v>7.8</v>
      </c>
      <c r="F78" s="112">
        <v>5.34</v>
      </c>
      <c r="G78" s="112">
        <v>20.190000000000001</v>
      </c>
      <c r="H78" s="112">
        <v>8.58</v>
      </c>
      <c r="I78" s="112">
        <v>5.67</v>
      </c>
      <c r="J78" s="112">
        <v>1.01</v>
      </c>
      <c r="K78" s="112">
        <v>254.8</v>
      </c>
      <c r="L78" s="112">
        <v>28.75</v>
      </c>
      <c r="M78" s="112">
        <v>81.02</v>
      </c>
      <c r="N78" s="112">
        <v>31.8</v>
      </c>
      <c r="O78" s="112">
        <v>0</v>
      </c>
      <c r="P78" s="112">
        <v>0.44</v>
      </c>
      <c r="Q78" s="112">
        <v>4.67</v>
      </c>
      <c r="R78" s="6"/>
      <c r="S78" s="6"/>
      <c r="T78" s="182"/>
      <c r="U78" s="6"/>
    </row>
    <row r="79" spans="1:21" customFormat="1">
      <c r="A79" s="196" t="s">
        <v>597</v>
      </c>
      <c r="B79" s="112">
        <v>9.2899999999999991</v>
      </c>
      <c r="C79" s="112">
        <v>4.0999999999999996</v>
      </c>
      <c r="D79" s="112">
        <v>14.04</v>
      </c>
      <c r="E79" s="112">
        <v>8.2799999999999994</v>
      </c>
      <c r="F79" s="112">
        <v>5.95</v>
      </c>
      <c r="G79" s="112">
        <v>15.29</v>
      </c>
      <c r="H79" s="112">
        <v>7.32</v>
      </c>
      <c r="I79" s="112">
        <v>5.5</v>
      </c>
      <c r="J79" s="112">
        <v>0.92</v>
      </c>
      <c r="K79" s="112">
        <v>257.39</v>
      </c>
      <c r="L79" s="112">
        <v>28.63</v>
      </c>
      <c r="M79" s="112">
        <v>81.42</v>
      </c>
      <c r="N79" s="112">
        <v>32.799999999999997</v>
      </c>
      <c r="O79" s="112">
        <v>0</v>
      </c>
      <c r="P79" s="112">
        <v>0.42</v>
      </c>
      <c r="Q79" s="112">
        <v>4.67</v>
      </c>
      <c r="R79" s="6"/>
      <c r="S79" s="6"/>
      <c r="T79" s="182"/>
      <c r="U79" s="6"/>
    </row>
    <row r="80" spans="1:21" customFormat="1">
      <c r="A80" s="196" t="s">
        <v>598</v>
      </c>
      <c r="B80" s="112">
        <v>9.3000000000000007</v>
      </c>
      <c r="C80" s="112">
        <v>4.09</v>
      </c>
      <c r="D80" s="112">
        <v>14.04</v>
      </c>
      <c r="E80" s="112">
        <v>8.5</v>
      </c>
      <c r="F80" s="112">
        <v>4.9400000000000004</v>
      </c>
      <c r="G80" s="112">
        <v>15.29</v>
      </c>
      <c r="H80" s="112">
        <v>7.32</v>
      </c>
      <c r="I80" s="112">
        <v>5.39</v>
      </c>
      <c r="J80" s="112">
        <v>0.84</v>
      </c>
      <c r="K80" s="112">
        <v>257.11</v>
      </c>
      <c r="L80" s="112">
        <v>28.42</v>
      </c>
      <c r="M80" s="112">
        <v>81.98</v>
      </c>
      <c r="N80" s="112">
        <v>18.399999999999999</v>
      </c>
      <c r="O80" s="112">
        <v>0</v>
      </c>
      <c r="P80" s="112">
        <v>0.41</v>
      </c>
      <c r="Q80" s="112">
        <v>4.63</v>
      </c>
      <c r="R80" s="6"/>
      <c r="S80" s="6"/>
      <c r="T80" s="182"/>
      <c r="U80" s="6"/>
    </row>
    <row r="81" spans="1:26" customFormat="1">
      <c r="A81" s="196" t="s">
        <v>599</v>
      </c>
      <c r="B81" s="112">
        <v>9.2799999999999994</v>
      </c>
      <c r="C81" s="112">
        <v>4.09</v>
      </c>
      <c r="D81" s="112">
        <v>14.03</v>
      </c>
      <c r="E81" s="112">
        <v>7.35</v>
      </c>
      <c r="F81" s="112">
        <v>4.91</v>
      </c>
      <c r="G81" s="112">
        <v>15.29</v>
      </c>
      <c r="H81" s="112">
        <v>7.32</v>
      </c>
      <c r="I81" s="112">
        <v>5.28</v>
      </c>
      <c r="J81" s="112">
        <v>1</v>
      </c>
      <c r="K81" s="112">
        <v>256.85000000000002</v>
      </c>
      <c r="L81" s="112">
        <v>28.14</v>
      </c>
      <c r="M81" s="112">
        <v>83.53</v>
      </c>
      <c r="N81" s="112">
        <v>9.9</v>
      </c>
      <c r="O81" s="112">
        <v>0</v>
      </c>
      <c r="P81" s="112">
        <v>0.42</v>
      </c>
      <c r="Q81" s="112">
        <v>4.6500000000000004</v>
      </c>
      <c r="R81" s="6"/>
      <c r="S81" s="6"/>
      <c r="T81" s="182"/>
      <c r="U81" s="6"/>
    </row>
    <row r="82" spans="1:26" customFormat="1">
      <c r="A82" s="196" t="s">
        <v>600</v>
      </c>
      <c r="B82" s="112">
        <v>9.2899999999999991</v>
      </c>
      <c r="C82" s="112">
        <v>4.05</v>
      </c>
      <c r="D82" s="112">
        <v>14.02</v>
      </c>
      <c r="E82" s="112">
        <v>8.85</v>
      </c>
      <c r="F82" s="112">
        <v>5.29</v>
      </c>
      <c r="G82" s="112">
        <v>13.44</v>
      </c>
      <c r="H82" s="112">
        <v>7.01</v>
      </c>
      <c r="I82" s="112">
        <v>5.16</v>
      </c>
      <c r="J82" s="112">
        <v>0.76</v>
      </c>
      <c r="K82" s="112">
        <v>253.47</v>
      </c>
      <c r="L82" s="112">
        <v>28</v>
      </c>
      <c r="M82" s="112">
        <v>84.35</v>
      </c>
      <c r="N82" s="112">
        <v>3.8</v>
      </c>
      <c r="O82" s="112">
        <v>0</v>
      </c>
      <c r="P82" s="112">
        <v>0.4</v>
      </c>
      <c r="Q82" s="112">
        <v>4.6500000000000004</v>
      </c>
      <c r="R82" s="6"/>
      <c r="S82" s="6"/>
      <c r="T82" s="182"/>
      <c r="U82" s="6"/>
    </row>
    <row r="83" spans="1:26" customFormat="1">
      <c r="A83" s="196" t="s">
        <v>601</v>
      </c>
      <c r="B83" s="112">
        <v>9.2799999999999994</v>
      </c>
      <c r="C83" s="112">
        <v>4.09</v>
      </c>
      <c r="D83" s="112">
        <v>14.03</v>
      </c>
      <c r="E83" s="112">
        <v>8.7899999999999991</v>
      </c>
      <c r="F83" s="112">
        <v>4.74</v>
      </c>
      <c r="G83" s="112">
        <v>10.67</v>
      </c>
      <c r="H83" s="112">
        <v>6.73</v>
      </c>
      <c r="I83" s="112">
        <v>5.09</v>
      </c>
      <c r="J83" s="112">
        <v>0.84</v>
      </c>
      <c r="K83" s="112">
        <v>257.25</v>
      </c>
      <c r="L83" s="112">
        <v>27.96</v>
      </c>
      <c r="M83" s="112">
        <v>84.5</v>
      </c>
      <c r="N83" s="112">
        <v>2.2000000000000002</v>
      </c>
      <c r="O83" s="112">
        <v>0</v>
      </c>
      <c r="P83" s="112">
        <v>0.39</v>
      </c>
      <c r="Q83" s="112">
        <v>4.6500000000000004</v>
      </c>
      <c r="R83" s="6"/>
      <c r="S83" s="6"/>
      <c r="T83" s="182"/>
      <c r="U83" s="6"/>
    </row>
    <row r="84" spans="1:26" customFormat="1">
      <c r="A84" s="196" t="s">
        <v>602</v>
      </c>
      <c r="B84" s="112">
        <v>9.2899999999999991</v>
      </c>
      <c r="C84" s="112">
        <v>4.0599999999999996</v>
      </c>
      <c r="D84" s="112">
        <v>14.02</v>
      </c>
      <c r="E84" s="112">
        <v>9.6999999999999993</v>
      </c>
      <c r="F84" s="112">
        <v>4.8899999999999997</v>
      </c>
      <c r="G84" s="112">
        <v>10.67</v>
      </c>
      <c r="H84" s="112">
        <v>6.73</v>
      </c>
      <c r="I84" s="112">
        <v>5.08</v>
      </c>
      <c r="J84" s="112">
        <v>0.62</v>
      </c>
      <c r="K84" s="112">
        <v>256.52999999999997</v>
      </c>
      <c r="L84" s="112">
        <v>27.91</v>
      </c>
      <c r="M84" s="112">
        <v>84.79</v>
      </c>
      <c r="N84" s="112">
        <v>2.1</v>
      </c>
      <c r="O84" s="112">
        <v>0</v>
      </c>
      <c r="P84" s="112">
        <v>0.38</v>
      </c>
      <c r="Q84" s="112">
        <v>4.6399999999999997</v>
      </c>
      <c r="R84" s="6"/>
      <c r="S84" s="6"/>
      <c r="T84" s="182"/>
      <c r="U84" s="6"/>
    </row>
    <row r="85" spans="1:26" customFormat="1">
      <c r="A85" s="196" t="s">
        <v>603</v>
      </c>
      <c r="B85" s="112">
        <v>9.3000000000000007</v>
      </c>
      <c r="C85" s="112">
        <v>4.03</v>
      </c>
      <c r="D85" s="112">
        <v>14.01</v>
      </c>
      <c r="E85" s="112">
        <v>9.11</v>
      </c>
      <c r="F85" s="112">
        <v>4.5999999999999996</v>
      </c>
      <c r="G85" s="112">
        <v>10.67</v>
      </c>
      <c r="H85" s="112">
        <v>6.73</v>
      </c>
      <c r="I85" s="112">
        <v>5.04</v>
      </c>
      <c r="J85" s="112">
        <v>0.6</v>
      </c>
      <c r="K85" s="112">
        <v>254.59</v>
      </c>
      <c r="L85" s="112">
        <v>27.95</v>
      </c>
      <c r="M85" s="112">
        <v>84.69</v>
      </c>
      <c r="N85" s="112">
        <v>2.1</v>
      </c>
      <c r="O85" s="112">
        <v>0</v>
      </c>
      <c r="P85" s="112">
        <v>0.38</v>
      </c>
      <c r="Q85" s="112">
        <v>4.63</v>
      </c>
      <c r="R85" s="6"/>
      <c r="S85" s="6"/>
      <c r="T85" s="182"/>
      <c r="U85" s="6"/>
    </row>
    <row r="86" spans="1:26" customFormat="1">
      <c r="A86" s="196" t="s">
        <v>604</v>
      </c>
      <c r="B86" s="112">
        <v>9.2799999999999994</v>
      </c>
      <c r="C86" s="112">
        <v>4.07</v>
      </c>
      <c r="D86" s="112">
        <v>14.01</v>
      </c>
      <c r="E86" s="112">
        <v>9.64</v>
      </c>
      <c r="F86" s="112">
        <v>5.51</v>
      </c>
      <c r="G86" s="112">
        <v>9.58</v>
      </c>
      <c r="H86" s="112">
        <v>6.4</v>
      </c>
      <c r="I86" s="112">
        <v>4.91</v>
      </c>
      <c r="J86" s="112">
        <v>0.52</v>
      </c>
      <c r="K86" s="112">
        <v>257.2</v>
      </c>
      <c r="L86" s="112">
        <v>27.88</v>
      </c>
      <c r="M86" s="112">
        <v>85.27</v>
      </c>
      <c r="N86" s="112">
        <v>2.1</v>
      </c>
      <c r="O86" s="112">
        <v>0</v>
      </c>
      <c r="P86" s="112">
        <v>0.37</v>
      </c>
      <c r="Q86" s="112">
        <v>4.63</v>
      </c>
      <c r="R86" s="6"/>
      <c r="S86" s="6"/>
      <c r="T86" s="182"/>
      <c r="U86" s="6"/>
    </row>
    <row r="87" spans="1:26" customFormat="1">
      <c r="A87" s="196" t="s">
        <v>605</v>
      </c>
      <c r="B87" s="112">
        <v>9.26</v>
      </c>
      <c r="C87" s="112">
        <v>4.08</v>
      </c>
      <c r="D87" s="112">
        <v>14.01</v>
      </c>
      <c r="E87" s="112">
        <v>9.3000000000000007</v>
      </c>
      <c r="F87" s="112">
        <v>3.95</v>
      </c>
      <c r="G87" s="112">
        <v>7.94</v>
      </c>
      <c r="H87" s="112">
        <v>6.1</v>
      </c>
      <c r="I87" s="112">
        <v>4.8899999999999997</v>
      </c>
      <c r="J87" s="112">
        <v>0.59</v>
      </c>
      <c r="K87" s="112">
        <v>258.49</v>
      </c>
      <c r="L87" s="112">
        <v>27.85</v>
      </c>
      <c r="M87" s="112">
        <v>85.32</v>
      </c>
      <c r="N87" s="112">
        <v>2</v>
      </c>
      <c r="O87" s="112">
        <v>0</v>
      </c>
      <c r="P87" s="112">
        <v>0.38</v>
      </c>
      <c r="Q87" s="112">
        <v>4.63</v>
      </c>
      <c r="R87" s="6"/>
      <c r="S87" s="6"/>
      <c r="T87" s="182"/>
      <c r="U87" s="6"/>
    </row>
    <row r="88" spans="1:26" customFormat="1">
      <c r="A88" s="196" t="s">
        <v>606</v>
      </c>
      <c r="B88" s="112">
        <v>9.27</v>
      </c>
      <c r="C88" s="112">
        <v>4.08</v>
      </c>
      <c r="D88" s="112">
        <v>14.02</v>
      </c>
      <c r="E88" s="112">
        <v>8.9499999999999993</v>
      </c>
      <c r="F88" s="112">
        <v>8.36</v>
      </c>
      <c r="G88" s="112">
        <v>7.94</v>
      </c>
      <c r="H88" s="112">
        <v>6.1</v>
      </c>
      <c r="I88" s="112">
        <v>4.78</v>
      </c>
      <c r="J88" s="112">
        <v>0.56000000000000005</v>
      </c>
      <c r="K88" s="112">
        <v>266.26</v>
      </c>
      <c r="L88" s="112">
        <v>27.83</v>
      </c>
      <c r="M88" s="112">
        <v>85.64</v>
      </c>
      <c r="N88" s="112">
        <v>2.1</v>
      </c>
      <c r="O88" s="112">
        <v>0</v>
      </c>
      <c r="P88" s="112">
        <v>0.39</v>
      </c>
      <c r="Q88" s="112">
        <v>4.63</v>
      </c>
      <c r="R88" s="6"/>
      <c r="S88" s="6"/>
      <c r="T88" s="182"/>
      <c r="U88" s="6"/>
    </row>
    <row r="89" spans="1:26" customFormat="1">
      <c r="A89" s="196" t="s">
        <v>607</v>
      </c>
      <c r="B89" s="112">
        <v>9.27</v>
      </c>
      <c r="C89" s="112">
        <v>4.0599999999999996</v>
      </c>
      <c r="D89" s="112">
        <v>14.01</v>
      </c>
      <c r="E89" s="112">
        <v>8.52</v>
      </c>
      <c r="F89" s="112">
        <v>10.67</v>
      </c>
      <c r="G89" s="112">
        <v>7.94</v>
      </c>
      <c r="H89" s="112">
        <v>6.1</v>
      </c>
      <c r="I89" s="112">
        <v>4.68</v>
      </c>
      <c r="J89" s="112">
        <v>0.63</v>
      </c>
      <c r="K89" s="112">
        <v>262.06</v>
      </c>
      <c r="L89" s="112">
        <v>27.85</v>
      </c>
      <c r="M89" s="112">
        <v>85.36</v>
      </c>
      <c r="N89" s="112">
        <v>2.1</v>
      </c>
      <c r="O89" s="112">
        <v>0</v>
      </c>
      <c r="P89" s="112">
        <v>0.37</v>
      </c>
      <c r="Q89" s="112">
        <v>4.6399999999999997</v>
      </c>
      <c r="R89" s="6"/>
      <c r="S89" s="6"/>
      <c r="T89" s="182"/>
      <c r="U89" s="6"/>
    </row>
    <row r="90" spans="1:26" customFormat="1">
      <c r="A90" s="196" t="s">
        <v>608</v>
      </c>
      <c r="B90" s="112">
        <v>9.27</v>
      </c>
      <c r="C90" s="112">
        <v>4.07</v>
      </c>
      <c r="D90" s="112">
        <v>14.01</v>
      </c>
      <c r="E90" s="112">
        <v>7.51</v>
      </c>
      <c r="F90" s="112">
        <v>13.97</v>
      </c>
      <c r="G90" s="112">
        <v>7.93</v>
      </c>
      <c r="H90" s="112">
        <v>5.23</v>
      </c>
      <c r="I90" s="112">
        <v>4.3499999999999996</v>
      </c>
      <c r="J90" s="112">
        <v>0.52</v>
      </c>
      <c r="K90" s="112">
        <v>256.64</v>
      </c>
      <c r="L90" s="112">
        <v>27.8</v>
      </c>
      <c r="M90" s="112">
        <v>86.04</v>
      </c>
      <c r="N90" s="112">
        <v>2.2999999999999998</v>
      </c>
      <c r="O90" s="112">
        <v>0</v>
      </c>
      <c r="P90" s="112">
        <v>0.35</v>
      </c>
      <c r="Q90" s="112">
        <v>4.6399999999999997</v>
      </c>
      <c r="R90" s="6"/>
      <c r="S90" s="6"/>
      <c r="T90" s="182"/>
      <c r="U90" s="6"/>
    </row>
    <row r="91" spans="1:26" customFormat="1">
      <c r="A91" s="196" t="s">
        <v>609</v>
      </c>
      <c r="B91" s="112">
        <v>9.27</v>
      </c>
      <c r="C91" s="112">
        <v>4.07</v>
      </c>
      <c r="D91" s="112">
        <v>14.01</v>
      </c>
      <c r="E91" s="112">
        <v>6.65</v>
      </c>
      <c r="F91" s="112">
        <v>14.46</v>
      </c>
      <c r="G91" s="112">
        <v>7.9</v>
      </c>
      <c r="H91" s="112">
        <v>4.47</v>
      </c>
      <c r="I91" s="112">
        <v>4.33</v>
      </c>
      <c r="J91" s="112">
        <v>0.43</v>
      </c>
      <c r="K91" s="112">
        <v>252.94</v>
      </c>
      <c r="L91" s="112">
        <v>27.57</v>
      </c>
      <c r="M91" s="112">
        <v>91.26</v>
      </c>
      <c r="N91" s="112">
        <v>1.8</v>
      </c>
      <c r="O91" s="112">
        <v>0</v>
      </c>
      <c r="P91" s="112">
        <v>0.32</v>
      </c>
      <c r="Q91" s="112">
        <v>4.63</v>
      </c>
      <c r="R91" s="6"/>
      <c r="S91" s="6"/>
      <c r="T91" s="182"/>
      <c r="U91" s="6"/>
    </row>
    <row r="92" spans="1:26" customFormat="1">
      <c r="A92" s="196" t="s">
        <v>610</v>
      </c>
      <c r="B92" s="112">
        <v>9.2799999999999994</v>
      </c>
      <c r="C92" s="112">
        <v>4.0599999999999996</v>
      </c>
      <c r="D92" s="112">
        <v>14.01</v>
      </c>
      <c r="E92" s="112">
        <v>6.46</v>
      </c>
      <c r="F92" s="112">
        <v>15.61</v>
      </c>
      <c r="G92" s="112">
        <v>7.9</v>
      </c>
      <c r="H92" s="112">
        <v>4.47</v>
      </c>
      <c r="I92" s="112">
        <v>3.9</v>
      </c>
      <c r="J92" s="112">
        <v>0.44</v>
      </c>
      <c r="K92" s="112">
        <v>252.95</v>
      </c>
      <c r="L92" s="112">
        <v>27.27</v>
      </c>
      <c r="M92" s="112">
        <v>92.38</v>
      </c>
      <c r="N92" s="112">
        <v>1.7</v>
      </c>
      <c r="O92" s="112">
        <v>0</v>
      </c>
      <c r="P92" s="112">
        <v>0.28999999999999998</v>
      </c>
      <c r="Q92" s="112">
        <v>4.63</v>
      </c>
      <c r="R92" s="6"/>
      <c r="S92" s="6"/>
      <c r="T92" s="182"/>
      <c r="U92" s="6"/>
    </row>
    <row r="93" spans="1:26" customFormat="1">
      <c r="A93" s="196" t="s">
        <v>611</v>
      </c>
      <c r="B93" s="112">
        <v>9.32</v>
      </c>
      <c r="C93" s="112">
        <v>4.04</v>
      </c>
      <c r="D93" s="112">
        <v>14.03</v>
      </c>
      <c r="E93" s="112">
        <v>6.31</v>
      </c>
      <c r="F93" s="112">
        <v>12.14</v>
      </c>
      <c r="G93" s="112">
        <v>7.9</v>
      </c>
      <c r="H93" s="112">
        <v>4.47</v>
      </c>
      <c r="I93" s="112">
        <v>3.76</v>
      </c>
      <c r="J93" s="112">
        <v>0.5</v>
      </c>
      <c r="K93" s="112">
        <v>260.74</v>
      </c>
      <c r="L93" s="112">
        <v>27.27</v>
      </c>
      <c r="M93" s="112">
        <v>91.96</v>
      </c>
      <c r="N93" s="112">
        <v>1.5</v>
      </c>
      <c r="O93" s="112">
        <v>0</v>
      </c>
      <c r="P93" s="112">
        <v>0.3</v>
      </c>
      <c r="Q93" s="112">
        <v>4.6399999999999997</v>
      </c>
      <c r="R93" s="6"/>
      <c r="S93" s="6"/>
      <c r="T93" s="182"/>
      <c r="U93" s="6"/>
    </row>
    <row r="94" spans="1:26" customFormat="1">
      <c r="A94" s="196" t="s">
        <v>612</v>
      </c>
      <c r="B94" s="112">
        <v>9.32</v>
      </c>
      <c r="C94" s="112">
        <v>4.0199999999999996</v>
      </c>
      <c r="D94" s="112">
        <v>14.02</v>
      </c>
      <c r="E94" s="112">
        <v>5.97</v>
      </c>
      <c r="F94" s="112">
        <v>13.41</v>
      </c>
      <c r="G94" s="112">
        <v>9.0500000000000007</v>
      </c>
      <c r="H94" s="112">
        <v>3.89</v>
      </c>
      <c r="I94" s="112">
        <v>3.62</v>
      </c>
      <c r="J94" s="112">
        <v>0.25</v>
      </c>
      <c r="K94" s="112">
        <v>241.01</v>
      </c>
      <c r="L94" s="112">
        <v>27.29</v>
      </c>
      <c r="M94" s="112">
        <v>91.56</v>
      </c>
      <c r="N94" s="112">
        <v>1.8</v>
      </c>
      <c r="O94" s="112">
        <v>0</v>
      </c>
      <c r="P94" s="112">
        <v>0.28999999999999998</v>
      </c>
      <c r="Q94" s="112">
        <v>4.6399999999999997</v>
      </c>
      <c r="R94" s="6"/>
      <c r="S94" s="6"/>
      <c r="T94" s="182"/>
      <c r="U94" s="6"/>
    </row>
    <row r="95" spans="1:26" customFormat="1">
      <c r="A95" s="196" t="s">
        <v>613</v>
      </c>
      <c r="B95" s="112">
        <v>9.31</v>
      </c>
      <c r="C95" s="112">
        <v>4.04</v>
      </c>
      <c r="D95" s="112">
        <v>14.03</v>
      </c>
      <c r="E95" s="112">
        <v>6.23</v>
      </c>
      <c r="F95" s="112">
        <v>12.42</v>
      </c>
      <c r="G95" s="112">
        <v>10.77</v>
      </c>
      <c r="H95" s="112">
        <v>3.38</v>
      </c>
      <c r="I95" s="112">
        <v>3.67</v>
      </c>
      <c r="J95" s="112">
        <v>0.39</v>
      </c>
      <c r="K95" s="112">
        <v>247.82</v>
      </c>
      <c r="L95" s="112">
        <v>27.3</v>
      </c>
      <c r="M95" s="112">
        <v>90.42</v>
      </c>
      <c r="N95" s="112">
        <v>2</v>
      </c>
      <c r="O95" s="112">
        <v>0</v>
      </c>
      <c r="P95" s="112">
        <v>0.3</v>
      </c>
      <c r="Q95" s="112">
        <v>4.6399999999999997</v>
      </c>
      <c r="R95" s="6"/>
      <c r="S95" s="6"/>
      <c r="T95" s="182"/>
      <c r="U95" s="6"/>
    </row>
    <row r="96" spans="1:26" customFormat="1">
      <c r="A96" s="196" t="s">
        <v>614</v>
      </c>
      <c r="B96" s="112">
        <v>9.31</v>
      </c>
      <c r="C96" s="112">
        <v>4.05</v>
      </c>
      <c r="D96" s="112">
        <v>14.03</v>
      </c>
      <c r="E96" s="112">
        <v>6.4</v>
      </c>
      <c r="F96" s="112">
        <v>11.46</v>
      </c>
      <c r="G96" s="112">
        <v>10.77</v>
      </c>
      <c r="H96" s="112">
        <v>3.38</v>
      </c>
      <c r="I96" s="112">
        <v>3.5</v>
      </c>
      <c r="J96" s="112">
        <v>0.45</v>
      </c>
      <c r="K96" s="112">
        <v>248.87</v>
      </c>
      <c r="L96" s="112">
        <v>27.25</v>
      </c>
      <c r="M96" s="112">
        <v>90.35</v>
      </c>
      <c r="N96" s="112">
        <v>2</v>
      </c>
      <c r="O96" s="112">
        <v>0</v>
      </c>
      <c r="P96" s="112">
        <v>0.3</v>
      </c>
      <c r="Q96" s="112">
        <v>4.6399999999999997</v>
      </c>
      <c r="R96" s="6"/>
      <c r="S96" s="6"/>
      <c r="T96" s="182"/>
      <c r="U96" s="6"/>
      <c r="Z96" s="190"/>
    </row>
    <row r="97" spans="1:33" customFormat="1">
      <c r="A97" s="196" t="s">
        <v>615</v>
      </c>
      <c r="B97" s="112">
        <v>9.2899999999999991</v>
      </c>
      <c r="C97" s="112">
        <v>4.07</v>
      </c>
      <c r="D97" s="112">
        <v>14.03</v>
      </c>
      <c r="E97" s="112">
        <v>7.05</v>
      </c>
      <c r="F97" s="112">
        <v>11.24</v>
      </c>
      <c r="G97" s="112">
        <v>10.77</v>
      </c>
      <c r="H97" s="112">
        <v>3.38</v>
      </c>
      <c r="I97" s="112">
        <v>3.62</v>
      </c>
      <c r="J97" s="112">
        <v>0.44</v>
      </c>
      <c r="K97" s="112">
        <v>255.27</v>
      </c>
      <c r="L97" s="112">
        <v>27.24</v>
      </c>
      <c r="M97" s="112">
        <v>89.97</v>
      </c>
      <c r="N97" s="112">
        <v>2.1</v>
      </c>
      <c r="O97" s="112">
        <v>0</v>
      </c>
      <c r="P97" s="112">
        <v>0.31</v>
      </c>
      <c r="Q97" s="112">
        <v>4.63</v>
      </c>
      <c r="R97" s="6"/>
      <c r="S97" s="6"/>
      <c r="T97" s="182"/>
      <c r="U97" s="6"/>
    </row>
    <row r="98" spans="1:33" customFormat="1">
      <c r="A98" s="196" t="s">
        <v>616</v>
      </c>
      <c r="B98" s="112">
        <v>9.2899999999999991</v>
      </c>
      <c r="C98" s="112">
        <v>4.09</v>
      </c>
      <c r="D98" s="112">
        <v>14.04</v>
      </c>
      <c r="E98" s="112">
        <v>6.38</v>
      </c>
      <c r="F98" s="112">
        <v>11.72</v>
      </c>
      <c r="G98" s="112">
        <v>9.67</v>
      </c>
      <c r="H98" s="112">
        <v>3.3</v>
      </c>
      <c r="I98" s="112">
        <v>3.69</v>
      </c>
      <c r="J98" s="112">
        <v>0.56999999999999995</v>
      </c>
      <c r="K98" s="112">
        <v>254.68</v>
      </c>
      <c r="L98" s="112">
        <v>27.24</v>
      </c>
      <c r="M98" s="112">
        <v>89.72</v>
      </c>
      <c r="N98" s="112">
        <v>1.7</v>
      </c>
      <c r="O98" s="112">
        <v>0</v>
      </c>
      <c r="P98" s="112">
        <v>0.3</v>
      </c>
      <c r="Q98" s="112">
        <v>4.6500000000000004</v>
      </c>
      <c r="R98" s="6"/>
      <c r="S98" s="6"/>
      <c r="T98" s="182"/>
      <c r="U98" s="6"/>
    </row>
    <row r="99" spans="1:33" customFormat="1">
      <c r="A99" s="196" t="s">
        <v>617</v>
      </c>
      <c r="B99" s="112">
        <v>9.31</v>
      </c>
      <c r="C99" s="112">
        <v>4.07</v>
      </c>
      <c r="D99" s="112">
        <v>14.04</v>
      </c>
      <c r="E99" s="112">
        <v>6.38</v>
      </c>
      <c r="F99" s="112">
        <v>12.32</v>
      </c>
      <c r="G99" s="112">
        <v>8.0299999999999994</v>
      </c>
      <c r="H99" s="112">
        <v>3.08</v>
      </c>
      <c r="I99" s="112">
        <v>3.65</v>
      </c>
      <c r="J99" s="112">
        <v>0.48</v>
      </c>
      <c r="K99" s="112">
        <v>263.05</v>
      </c>
      <c r="L99" s="112">
        <v>27.2</v>
      </c>
      <c r="M99" s="112">
        <v>89.83</v>
      </c>
      <c r="N99" s="112">
        <v>2.1</v>
      </c>
      <c r="O99" s="112">
        <v>0</v>
      </c>
      <c r="P99" s="112">
        <v>0.28999999999999998</v>
      </c>
      <c r="Q99" s="112">
        <v>4.66</v>
      </c>
      <c r="R99" s="6"/>
      <c r="S99" s="6"/>
      <c r="T99" s="182"/>
      <c r="U99" s="6"/>
    </row>
    <row r="100" spans="1:33" customFormat="1">
      <c r="A100" s="196" t="s">
        <v>618</v>
      </c>
      <c r="B100" s="112">
        <v>9.31</v>
      </c>
      <c r="C100" s="112">
        <v>4.07</v>
      </c>
      <c r="D100" s="112">
        <v>14.04</v>
      </c>
      <c r="E100" s="112">
        <v>6.61</v>
      </c>
      <c r="F100" s="112">
        <v>10.79</v>
      </c>
      <c r="G100" s="112">
        <v>8.0299999999999994</v>
      </c>
      <c r="H100" s="112">
        <v>3.08</v>
      </c>
      <c r="I100" s="112">
        <v>3.42</v>
      </c>
      <c r="J100" s="112">
        <v>0.5</v>
      </c>
      <c r="K100" s="112">
        <v>261.77</v>
      </c>
      <c r="L100" s="112">
        <v>27.25</v>
      </c>
      <c r="M100" s="112">
        <v>89.18</v>
      </c>
      <c r="N100" s="112">
        <v>2.1</v>
      </c>
      <c r="O100" s="112">
        <v>0</v>
      </c>
      <c r="P100" s="112">
        <v>0.28000000000000003</v>
      </c>
      <c r="Q100" s="112">
        <v>4.6500000000000004</v>
      </c>
      <c r="R100" s="6"/>
      <c r="S100" s="6"/>
      <c r="T100" s="182"/>
      <c r="U100" s="6"/>
      <c r="AB100" s="191"/>
      <c r="AG100" s="190"/>
    </row>
    <row r="101" spans="1:33" customFormat="1">
      <c r="A101" s="196" t="s">
        <v>619</v>
      </c>
      <c r="B101" s="112">
        <v>9.31</v>
      </c>
      <c r="C101" s="112">
        <v>4.08</v>
      </c>
      <c r="D101" s="112">
        <v>14.04</v>
      </c>
      <c r="E101" s="112">
        <v>6.95</v>
      </c>
      <c r="F101" s="112">
        <v>11.69</v>
      </c>
      <c r="G101" s="112">
        <v>8.0299999999999994</v>
      </c>
      <c r="H101" s="112">
        <v>3.08</v>
      </c>
      <c r="I101" s="112">
        <v>3.4</v>
      </c>
      <c r="J101" s="112">
        <v>0.63</v>
      </c>
      <c r="K101" s="112">
        <v>258.08999999999997</v>
      </c>
      <c r="L101" s="112">
        <v>27.19</v>
      </c>
      <c r="M101" s="112">
        <v>89.4</v>
      </c>
      <c r="N101" s="112">
        <v>2.1</v>
      </c>
      <c r="O101" s="112">
        <v>0</v>
      </c>
      <c r="P101" s="112">
        <v>0.28999999999999998</v>
      </c>
      <c r="Q101" s="112">
        <v>4.6500000000000004</v>
      </c>
      <c r="R101" s="6"/>
      <c r="S101" s="6"/>
      <c r="T101" s="182"/>
      <c r="U101" s="6"/>
    </row>
    <row r="102" spans="1:33" customFormat="1">
      <c r="A102" s="196" t="s">
        <v>620</v>
      </c>
      <c r="B102" s="112">
        <v>9.31</v>
      </c>
      <c r="C102" s="112">
        <v>4.0599999999999996</v>
      </c>
      <c r="D102" s="112">
        <v>14.04</v>
      </c>
      <c r="E102" s="112">
        <v>6.91</v>
      </c>
      <c r="F102" s="112">
        <v>10.4</v>
      </c>
      <c r="G102" s="112">
        <v>10.19</v>
      </c>
      <c r="H102" s="112">
        <v>2.62</v>
      </c>
      <c r="I102" s="112">
        <v>3.45</v>
      </c>
      <c r="J102" s="112">
        <v>0.67</v>
      </c>
      <c r="K102" s="112">
        <v>252.56</v>
      </c>
      <c r="L102" s="112">
        <v>27.06</v>
      </c>
      <c r="M102" s="112">
        <v>90.4</v>
      </c>
      <c r="N102" s="112">
        <v>1.8</v>
      </c>
      <c r="O102" s="112">
        <v>0</v>
      </c>
      <c r="P102" s="112">
        <v>0.28999999999999998</v>
      </c>
      <c r="Q102" s="112">
        <v>4.6399999999999997</v>
      </c>
      <c r="R102" s="6"/>
      <c r="S102" s="6"/>
      <c r="T102" s="182"/>
      <c r="U102" s="6"/>
    </row>
    <row r="103" spans="1:33" customFormat="1">
      <c r="A103" s="196" t="s">
        <v>621</v>
      </c>
      <c r="B103" s="112">
        <v>9.33</v>
      </c>
      <c r="C103" s="112">
        <v>4.07</v>
      </c>
      <c r="D103" s="112">
        <v>14.06</v>
      </c>
      <c r="E103" s="112">
        <v>6.08</v>
      </c>
      <c r="F103" s="112">
        <v>11.87</v>
      </c>
      <c r="G103" s="112">
        <v>13.43</v>
      </c>
      <c r="H103" s="112">
        <v>2.2000000000000002</v>
      </c>
      <c r="I103" s="112">
        <v>3.48</v>
      </c>
      <c r="J103" s="112">
        <v>0.49</v>
      </c>
      <c r="K103" s="112">
        <v>265.81</v>
      </c>
      <c r="L103" s="112">
        <v>26.88</v>
      </c>
      <c r="M103" s="112">
        <v>92.03</v>
      </c>
      <c r="N103" s="112">
        <v>1.5</v>
      </c>
      <c r="O103" s="112">
        <v>0</v>
      </c>
      <c r="P103" s="112">
        <v>0.28000000000000003</v>
      </c>
      <c r="Q103" s="112">
        <v>4.62</v>
      </c>
      <c r="R103" s="6"/>
      <c r="S103" s="6"/>
      <c r="T103" s="182"/>
      <c r="U103" s="6"/>
    </row>
    <row r="104" spans="1:33" customFormat="1">
      <c r="A104" s="196" t="s">
        <v>622</v>
      </c>
      <c r="B104" s="112">
        <v>9.33</v>
      </c>
      <c r="C104" s="112">
        <v>4.07</v>
      </c>
      <c r="D104" s="112">
        <v>14.06</v>
      </c>
      <c r="E104" s="112">
        <v>6.61</v>
      </c>
      <c r="F104" s="112">
        <v>10.86</v>
      </c>
      <c r="G104" s="112">
        <v>13.43</v>
      </c>
      <c r="H104" s="112">
        <v>2.2000000000000002</v>
      </c>
      <c r="I104" s="112">
        <v>3.44</v>
      </c>
      <c r="J104" s="112">
        <v>0.7</v>
      </c>
      <c r="K104" s="112">
        <v>267.5</v>
      </c>
      <c r="L104" s="112">
        <v>26.88</v>
      </c>
      <c r="M104" s="112">
        <v>91.68</v>
      </c>
      <c r="N104" s="112">
        <v>1.7</v>
      </c>
      <c r="O104" s="112">
        <v>0</v>
      </c>
      <c r="P104" s="112">
        <v>0.28000000000000003</v>
      </c>
      <c r="Q104" s="112">
        <v>4.6500000000000004</v>
      </c>
      <c r="R104" s="6"/>
      <c r="S104" s="6"/>
      <c r="T104" s="182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3" t="s">
        <v>48</v>
      </c>
      <c r="B106" s="184">
        <f>MIN(B9:B104)</f>
        <v>9.23</v>
      </c>
      <c r="C106" s="184">
        <f>MIN(C9:C104)</f>
        <v>4.0199999999999996</v>
      </c>
      <c r="D106" s="184">
        <f t="shared" ref="D106:Q106" si="0">MIN(D9:D104)</f>
        <v>13.95</v>
      </c>
      <c r="E106" s="184">
        <f t="shared" si="0"/>
        <v>4.16</v>
      </c>
      <c r="F106" s="184">
        <f t="shared" si="0"/>
        <v>3</v>
      </c>
      <c r="G106" s="184">
        <f t="shared" si="0"/>
        <v>3.83</v>
      </c>
      <c r="H106" s="184">
        <f t="shared" si="0"/>
        <v>2.2000000000000002</v>
      </c>
      <c r="I106" s="184">
        <f t="shared" si="0"/>
        <v>2.33</v>
      </c>
      <c r="J106" s="184">
        <f t="shared" si="0"/>
        <v>0.01</v>
      </c>
      <c r="K106" s="184">
        <f t="shared" si="0"/>
        <v>69.540000000000006</v>
      </c>
      <c r="L106" s="184">
        <f t="shared" si="0"/>
        <v>25.9</v>
      </c>
      <c r="M106" s="184">
        <f t="shared" si="0"/>
        <v>68.45</v>
      </c>
      <c r="N106" s="184">
        <f t="shared" si="0"/>
        <v>1.3</v>
      </c>
      <c r="O106" s="184">
        <f t="shared" si="0"/>
        <v>0</v>
      </c>
      <c r="P106" s="184">
        <f t="shared" si="0"/>
        <v>0.14000000000000001</v>
      </c>
      <c r="Q106" s="184">
        <f t="shared" si="0"/>
        <v>4.6100000000000003</v>
      </c>
      <c r="R106" s="188"/>
      <c r="S106" s="188"/>
      <c r="T106" s="188"/>
      <c r="U106" s="188"/>
    </row>
    <row r="107" spans="1:33">
      <c r="A107" s="183" t="s">
        <v>49</v>
      </c>
      <c r="B107" s="185">
        <f>MAX(B9:B104)</f>
        <v>9.41</v>
      </c>
      <c r="C107" s="185">
        <f t="shared" ref="C107:Q107" si="1">MAX(C9:C104)</f>
        <v>4.1100000000000003</v>
      </c>
      <c r="D107" s="185">
        <f t="shared" si="1"/>
        <v>14.13</v>
      </c>
      <c r="E107" s="185">
        <f t="shared" si="1"/>
        <v>11.31</v>
      </c>
      <c r="F107" s="185">
        <f t="shared" si="1"/>
        <v>17.21</v>
      </c>
      <c r="G107" s="185">
        <f t="shared" si="1"/>
        <v>23.46</v>
      </c>
      <c r="H107" s="185">
        <f t="shared" si="1"/>
        <v>10.01</v>
      </c>
      <c r="I107" s="185">
        <f t="shared" si="1"/>
        <v>6.35</v>
      </c>
      <c r="J107" s="185">
        <f t="shared" si="1"/>
        <v>1.39</v>
      </c>
      <c r="K107" s="185">
        <f t="shared" si="1"/>
        <v>293.8</v>
      </c>
      <c r="L107" s="185">
        <f t="shared" si="1"/>
        <v>31.87</v>
      </c>
      <c r="M107" s="185">
        <f t="shared" si="1"/>
        <v>106.6</v>
      </c>
      <c r="N107" s="185">
        <f t="shared" si="1"/>
        <v>563.70000000000005</v>
      </c>
      <c r="O107" s="185">
        <f t="shared" si="1"/>
        <v>2.2000000000000002</v>
      </c>
      <c r="P107" s="185">
        <f t="shared" si="1"/>
        <v>0.5</v>
      </c>
      <c r="Q107" s="185">
        <f t="shared" si="1"/>
        <v>4.67</v>
      </c>
      <c r="R107" s="189"/>
      <c r="S107" s="189"/>
      <c r="T107" s="189"/>
      <c r="U107" s="189"/>
    </row>
    <row r="108" spans="1:33">
      <c r="A108" s="183" t="s">
        <v>50</v>
      </c>
      <c r="B108" s="184">
        <f>AVERAGE(B9:B104)</f>
        <v>9.3339583333333263</v>
      </c>
      <c r="C108" s="184">
        <f t="shared" ref="C108:Q108" si="2">AVERAGE(C9:C104)</f>
        <v>4.0738541666666643</v>
      </c>
      <c r="D108" s="184">
        <f t="shared" si="2"/>
        <v>14.063124999999999</v>
      </c>
      <c r="E108" s="184">
        <f t="shared" si="2"/>
        <v>8.2996874999999992</v>
      </c>
      <c r="F108" s="184">
        <f t="shared" si="2"/>
        <v>9.0093750000000057</v>
      </c>
      <c r="G108" s="184">
        <f t="shared" si="2"/>
        <v>10.757291666666667</v>
      </c>
      <c r="H108" s="184">
        <f t="shared" si="2"/>
        <v>4.7912499999999998</v>
      </c>
      <c r="I108" s="184">
        <f t="shared" si="2"/>
        <v>3.8254166666666656</v>
      </c>
      <c r="J108" s="184">
        <f t="shared" si="2"/>
        <v>0.74156250000000012</v>
      </c>
      <c r="K108" s="184">
        <f t="shared" si="2"/>
        <v>253.67708333333329</v>
      </c>
      <c r="L108" s="184">
        <f t="shared" si="2"/>
        <v>28.250833333333333</v>
      </c>
      <c r="M108" s="184">
        <f t="shared" si="2"/>
        <v>85.25875000000002</v>
      </c>
      <c r="N108" s="184">
        <f t="shared" si="2"/>
        <v>104.23854166666665</v>
      </c>
      <c r="O108" s="184">
        <f t="shared" si="2"/>
        <v>3.1250000000000007E-2</v>
      </c>
      <c r="P108" s="184">
        <f t="shared" si="2"/>
        <v>0.27072916666666685</v>
      </c>
      <c r="Q108" s="184">
        <f t="shared" si="2"/>
        <v>4.6369791666666611</v>
      </c>
      <c r="R108" s="188"/>
      <c r="S108" s="188"/>
      <c r="T108" s="188"/>
      <c r="U108" s="188"/>
    </row>
    <row r="109" spans="1:33">
      <c r="A109" s="183" t="s">
        <v>51</v>
      </c>
      <c r="B109" s="184">
        <f>STDEV(B9:B104)</f>
        <v>4.295601585628759E-2</v>
      </c>
      <c r="C109" s="184">
        <f t="shared" ref="C109:Q109" si="3">STDEV(C9:C104)</f>
        <v>1.7968966913259787E-2</v>
      </c>
      <c r="D109" s="184">
        <f t="shared" si="3"/>
        <v>3.7369069675616221E-2</v>
      </c>
      <c r="E109" s="184">
        <f t="shared" si="3"/>
        <v>1.6103039615812329</v>
      </c>
      <c r="F109" s="184">
        <f t="shared" si="3"/>
        <v>3.9907835432999343</v>
      </c>
      <c r="G109" s="184">
        <f t="shared" si="3"/>
        <v>5.7568938041212734</v>
      </c>
      <c r="H109" s="184">
        <f t="shared" si="3"/>
        <v>1.9945083815844242</v>
      </c>
      <c r="I109" s="184">
        <f t="shared" si="3"/>
        <v>1.2357813779285942</v>
      </c>
      <c r="J109" s="184">
        <f t="shared" si="3"/>
        <v>0.34088222422043879</v>
      </c>
      <c r="K109" s="184">
        <f t="shared" si="3"/>
        <v>31.385187116709865</v>
      </c>
      <c r="L109" s="184">
        <f t="shared" si="3"/>
        <v>1.5716372064735697</v>
      </c>
      <c r="M109" s="184">
        <f t="shared" si="3"/>
        <v>8.3492547729216788</v>
      </c>
      <c r="N109" s="184">
        <f t="shared" si="3"/>
        <v>136.26190290434837</v>
      </c>
      <c r="O109" s="184">
        <f t="shared" si="3"/>
        <v>0.22725478398067941</v>
      </c>
      <c r="P109" s="184">
        <f t="shared" si="3"/>
        <v>0.12220125584389246</v>
      </c>
      <c r="Q109" s="184">
        <f t="shared" si="3"/>
        <v>1.0575024366443682E-2</v>
      </c>
      <c r="R109" s="188"/>
      <c r="S109" s="188"/>
      <c r="T109" s="188"/>
      <c r="U109" s="188"/>
    </row>
    <row r="110" spans="1:33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33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topLeftCell="A16" workbookViewId="0">
      <selection activeCell="A9" sqref="A9:Q104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29/06/2024 00:15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R2" s="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L3" s="167" t="s">
        <v>14</v>
      </c>
      <c r="M3" s="147"/>
      <c r="N3" s="180" t="s">
        <v>15</v>
      </c>
      <c r="O3" s="147"/>
      <c r="P3" s="173" t="s">
        <v>15</v>
      </c>
      <c r="Q3" s="147"/>
      <c r="R3" s="2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N4" s="2"/>
      <c r="O4" s="147"/>
      <c r="P4" s="147"/>
      <c r="Q4" s="147"/>
      <c r="R4" s="147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94" t="s">
        <v>39</v>
      </c>
      <c r="C8" s="194" t="s">
        <v>39</v>
      </c>
      <c r="D8" s="194" t="s">
        <v>40</v>
      </c>
      <c r="E8" s="194" t="s">
        <v>39</v>
      </c>
      <c r="F8" s="194" t="s">
        <v>39</v>
      </c>
      <c r="G8" s="194" t="s">
        <v>39</v>
      </c>
      <c r="H8" s="194" t="s">
        <v>39</v>
      </c>
      <c r="I8" s="194" t="s">
        <v>39</v>
      </c>
      <c r="J8" s="194" t="s">
        <v>41</v>
      </c>
      <c r="K8" s="194" t="s">
        <v>42</v>
      </c>
      <c r="L8" s="195" t="s">
        <v>43</v>
      </c>
      <c r="M8" s="194" t="s">
        <v>44</v>
      </c>
      <c r="N8" s="194" t="s">
        <v>45</v>
      </c>
      <c r="O8" s="195" t="s">
        <v>46</v>
      </c>
      <c r="P8" s="194" t="s">
        <v>47</v>
      </c>
      <c r="Q8" s="194" t="s">
        <v>39</v>
      </c>
      <c r="R8" s="174"/>
      <c r="S8" s="175"/>
      <c r="T8" s="174"/>
      <c r="U8" s="174"/>
    </row>
    <row r="9" spans="1:21">
      <c r="A9" s="196" t="s">
        <v>623</v>
      </c>
      <c r="B9" s="112">
        <v>9.25</v>
      </c>
      <c r="C9" s="112">
        <v>4.1100000000000003</v>
      </c>
      <c r="D9" s="112">
        <v>14.01</v>
      </c>
      <c r="E9" s="112">
        <v>6.85</v>
      </c>
      <c r="F9" s="112">
        <v>9.36</v>
      </c>
      <c r="G9" s="112">
        <v>13.43</v>
      </c>
      <c r="H9" s="112">
        <v>2.2000000000000002</v>
      </c>
      <c r="I9" s="112">
        <v>3.37</v>
      </c>
      <c r="J9" s="112">
        <v>0.8</v>
      </c>
      <c r="K9" s="112">
        <v>259.3</v>
      </c>
      <c r="L9" s="112">
        <v>26.92</v>
      </c>
      <c r="M9" s="112">
        <v>90.83</v>
      </c>
      <c r="N9" s="112">
        <v>1.7</v>
      </c>
      <c r="O9" s="112">
        <v>0</v>
      </c>
      <c r="P9" s="112">
        <v>0.28000000000000003</v>
      </c>
      <c r="Q9" s="112">
        <v>4.63</v>
      </c>
      <c r="R9" s="6"/>
      <c r="S9" s="6"/>
      <c r="T9" s="182"/>
      <c r="U9" s="6"/>
    </row>
    <row r="10" spans="1:21">
      <c r="A10" s="196" t="s">
        <v>624</v>
      </c>
      <c r="B10" s="112">
        <v>9.24</v>
      </c>
      <c r="C10" s="112">
        <v>4.08</v>
      </c>
      <c r="D10" s="112">
        <v>13.99</v>
      </c>
      <c r="E10" s="112">
        <v>6.84</v>
      </c>
      <c r="F10" s="112">
        <v>5.48</v>
      </c>
      <c r="G10" s="112">
        <v>11.93</v>
      </c>
      <c r="H10" s="112">
        <v>1.9</v>
      </c>
      <c r="I10" s="112">
        <v>3.43</v>
      </c>
      <c r="J10" s="112">
        <v>0.66</v>
      </c>
      <c r="K10" s="112">
        <v>261.17</v>
      </c>
      <c r="L10" s="112">
        <v>27.01</v>
      </c>
      <c r="M10" s="112">
        <v>90.03</v>
      </c>
      <c r="N10" s="112">
        <v>1.7</v>
      </c>
      <c r="O10" s="112">
        <v>0</v>
      </c>
      <c r="P10" s="112">
        <v>0.28999999999999998</v>
      </c>
      <c r="Q10" s="112">
        <v>4.63</v>
      </c>
      <c r="R10" s="6"/>
      <c r="S10" s="6"/>
      <c r="T10" s="182"/>
      <c r="U10" s="6"/>
    </row>
    <row r="11" spans="1:21">
      <c r="A11" s="196" t="s">
        <v>625</v>
      </c>
      <c r="B11" s="112">
        <v>9.24</v>
      </c>
      <c r="C11" s="112">
        <v>4.0599999999999996</v>
      </c>
      <c r="D11" s="112">
        <v>13.98</v>
      </c>
      <c r="E11" s="112">
        <v>7.33</v>
      </c>
      <c r="F11" s="112">
        <v>6.13</v>
      </c>
      <c r="G11" s="112">
        <v>9.67</v>
      </c>
      <c r="H11" s="112">
        <v>1.64</v>
      </c>
      <c r="I11" s="112">
        <v>3.49</v>
      </c>
      <c r="J11" s="112">
        <v>0.67</v>
      </c>
      <c r="K11" s="112">
        <v>265.27999999999997</v>
      </c>
      <c r="L11" s="112">
        <v>27.17</v>
      </c>
      <c r="M11" s="112">
        <v>88.93</v>
      </c>
      <c r="N11" s="112">
        <v>1.8</v>
      </c>
      <c r="O11" s="112">
        <v>0</v>
      </c>
      <c r="P11" s="112">
        <v>0.28999999999999998</v>
      </c>
      <c r="Q11" s="112">
        <v>4.6399999999999997</v>
      </c>
      <c r="R11" s="6"/>
      <c r="S11" s="6"/>
      <c r="T11" s="182"/>
      <c r="U11" s="6"/>
    </row>
    <row r="12" spans="1:21">
      <c r="A12" s="196" t="s">
        <v>626</v>
      </c>
      <c r="B12" s="112">
        <v>9.23</v>
      </c>
      <c r="C12" s="112">
        <v>4.0599999999999996</v>
      </c>
      <c r="D12" s="112">
        <v>13.98</v>
      </c>
      <c r="E12" s="112">
        <v>7.72</v>
      </c>
      <c r="F12" s="112">
        <v>5.22</v>
      </c>
      <c r="G12" s="112">
        <v>9.67</v>
      </c>
      <c r="H12" s="112">
        <v>1.64</v>
      </c>
      <c r="I12" s="112">
        <v>3.7</v>
      </c>
      <c r="J12" s="112">
        <v>0.77</v>
      </c>
      <c r="K12" s="112">
        <v>257.79000000000002</v>
      </c>
      <c r="L12" s="112">
        <v>27.25</v>
      </c>
      <c r="M12" s="112">
        <v>88.31</v>
      </c>
      <c r="N12" s="112">
        <v>2</v>
      </c>
      <c r="O12" s="112">
        <v>0</v>
      </c>
      <c r="P12" s="112">
        <v>0.28000000000000003</v>
      </c>
      <c r="Q12" s="112">
        <v>4.63</v>
      </c>
      <c r="R12" s="6"/>
      <c r="S12" s="6"/>
      <c r="T12" s="182"/>
      <c r="U12" s="6"/>
    </row>
    <row r="13" spans="1:21">
      <c r="A13" s="196" t="s">
        <v>627</v>
      </c>
      <c r="B13" s="112">
        <v>9.24</v>
      </c>
      <c r="C13" s="112">
        <v>4.05</v>
      </c>
      <c r="D13" s="112">
        <v>13.97</v>
      </c>
      <c r="E13" s="112">
        <v>7.53</v>
      </c>
      <c r="F13" s="112">
        <v>4.3499999999999996</v>
      </c>
      <c r="G13" s="112">
        <v>9.67</v>
      </c>
      <c r="H13" s="112">
        <v>1.64</v>
      </c>
      <c r="I13" s="112">
        <v>3.68</v>
      </c>
      <c r="J13" s="112">
        <v>0.83</v>
      </c>
      <c r="K13" s="112">
        <v>258.06</v>
      </c>
      <c r="L13" s="112">
        <v>27.19</v>
      </c>
      <c r="M13" s="112">
        <v>88.47</v>
      </c>
      <c r="N13" s="112">
        <v>2.1</v>
      </c>
      <c r="O13" s="112">
        <v>0</v>
      </c>
      <c r="P13" s="112">
        <v>0.28000000000000003</v>
      </c>
      <c r="Q13" s="112">
        <v>4.63</v>
      </c>
      <c r="R13" s="6"/>
      <c r="S13" s="6"/>
      <c r="T13" s="182"/>
      <c r="U13" s="6"/>
    </row>
    <row r="14" spans="1:21">
      <c r="A14" s="196" t="s">
        <v>628</v>
      </c>
      <c r="B14" s="112">
        <v>9.2200000000000006</v>
      </c>
      <c r="C14" s="112">
        <v>4.07</v>
      </c>
      <c r="D14" s="112">
        <v>13.97</v>
      </c>
      <c r="E14" s="112">
        <v>7.75</v>
      </c>
      <c r="F14" s="112">
        <v>4.2300000000000004</v>
      </c>
      <c r="G14" s="112">
        <v>10.14</v>
      </c>
      <c r="H14" s="112">
        <v>2.52</v>
      </c>
      <c r="I14" s="112">
        <v>3.68</v>
      </c>
      <c r="J14" s="112">
        <v>0.82</v>
      </c>
      <c r="K14" s="112">
        <v>270.83999999999997</v>
      </c>
      <c r="L14" s="112">
        <v>27.14</v>
      </c>
      <c r="M14" s="112">
        <v>87.9</v>
      </c>
      <c r="N14" s="112">
        <v>2</v>
      </c>
      <c r="O14" s="112">
        <v>0</v>
      </c>
      <c r="P14" s="112">
        <v>0.28999999999999998</v>
      </c>
      <c r="Q14" s="112">
        <v>4.6100000000000003</v>
      </c>
      <c r="R14" s="6"/>
      <c r="S14" s="6"/>
      <c r="T14" s="182"/>
      <c r="U14" s="6"/>
    </row>
    <row r="15" spans="1:21">
      <c r="A15" s="196" t="s">
        <v>629</v>
      </c>
      <c r="B15" s="112">
        <v>9.2100000000000009</v>
      </c>
      <c r="C15" s="112">
        <v>4.09</v>
      </c>
      <c r="D15" s="112">
        <v>13.97</v>
      </c>
      <c r="E15" s="112">
        <v>8.19</v>
      </c>
      <c r="F15" s="112">
        <v>4.5</v>
      </c>
      <c r="G15" s="112">
        <v>10.85</v>
      </c>
      <c r="H15" s="112">
        <v>3.31</v>
      </c>
      <c r="I15" s="112">
        <v>3.65</v>
      </c>
      <c r="J15" s="112">
        <v>0.61</v>
      </c>
      <c r="K15" s="112">
        <v>270.14999999999998</v>
      </c>
      <c r="L15" s="112">
        <v>27.32</v>
      </c>
      <c r="M15" s="112">
        <v>86.67</v>
      </c>
      <c r="N15" s="112">
        <v>1.9</v>
      </c>
      <c r="O15" s="112">
        <v>0</v>
      </c>
      <c r="P15" s="112">
        <v>0.27</v>
      </c>
      <c r="Q15" s="112">
        <v>4.63</v>
      </c>
      <c r="R15" s="6"/>
      <c r="S15" s="6"/>
      <c r="T15" s="182"/>
      <c r="U15" s="6"/>
    </row>
    <row r="16" spans="1:21">
      <c r="A16" s="196" t="s">
        <v>630</v>
      </c>
      <c r="B16" s="112">
        <v>9.2200000000000006</v>
      </c>
      <c r="C16" s="112">
        <v>4.08</v>
      </c>
      <c r="D16" s="112">
        <v>13.98</v>
      </c>
      <c r="E16" s="112">
        <v>8.5299999999999994</v>
      </c>
      <c r="F16" s="112">
        <v>4.5999999999999996</v>
      </c>
      <c r="G16" s="112">
        <v>10.85</v>
      </c>
      <c r="H16" s="112">
        <v>3.31</v>
      </c>
      <c r="I16" s="112">
        <v>3.4</v>
      </c>
      <c r="J16" s="112">
        <v>1.03</v>
      </c>
      <c r="K16" s="112">
        <v>270.13</v>
      </c>
      <c r="L16" s="112">
        <v>27.41</v>
      </c>
      <c r="M16" s="112">
        <v>85.47</v>
      </c>
      <c r="N16" s="112">
        <v>2.1</v>
      </c>
      <c r="O16" s="112">
        <v>0</v>
      </c>
      <c r="P16" s="112">
        <v>0.27</v>
      </c>
      <c r="Q16" s="112">
        <v>4.6399999999999997</v>
      </c>
      <c r="R16" s="6"/>
      <c r="S16" s="6"/>
      <c r="T16" s="182"/>
      <c r="U16" s="6"/>
    </row>
    <row r="17" spans="1:21">
      <c r="A17" s="196" t="s">
        <v>631</v>
      </c>
      <c r="B17" s="112">
        <v>9.2200000000000006</v>
      </c>
      <c r="C17" s="112">
        <v>4.08</v>
      </c>
      <c r="D17" s="112">
        <v>13.97</v>
      </c>
      <c r="E17" s="112">
        <v>9.06</v>
      </c>
      <c r="F17" s="112">
        <v>4.42</v>
      </c>
      <c r="G17" s="112">
        <v>10.85</v>
      </c>
      <c r="H17" s="112">
        <v>3.31</v>
      </c>
      <c r="I17" s="112">
        <v>3.55</v>
      </c>
      <c r="J17" s="112">
        <v>1.04</v>
      </c>
      <c r="K17" s="112">
        <v>261.20999999999998</v>
      </c>
      <c r="L17" s="112">
        <v>27.49</v>
      </c>
      <c r="M17" s="112">
        <v>84.41</v>
      </c>
      <c r="N17" s="112">
        <v>2.1</v>
      </c>
      <c r="O17" s="112">
        <v>0</v>
      </c>
      <c r="P17" s="112">
        <v>0.28000000000000003</v>
      </c>
      <c r="Q17" s="112">
        <v>4.6399999999999997</v>
      </c>
      <c r="R17" s="6"/>
      <c r="S17" s="6"/>
      <c r="T17" s="182"/>
      <c r="U17" s="6"/>
    </row>
    <row r="18" spans="1:21">
      <c r="A18" s="196" t="s">
        <v>632</v>
      </c>
      <c r="B18" s="112">
        <v>9.2200000000000006</v>
      </c>
      <c r="C18" s="112">
        <v>4.07</v>
      </c>
      <c r="D18" s="112">
        <v>13.97</v>
      </c>
      <c r="E18" s="112">
        <v>11.25</v>
      </c>
      <c r="F18" s="112">
        <v>4.63</v>
      </c>
      <c r="G18" s="112">
        <v>9.5500000000000007</v>
      </c>
      <c r="H18" s="112">
        <v>3.57</v>
      </c>
      <c r="I18" s="112">
        <v>3.6</v>
      </c>
      <c r="J18" s="112">
        <v>0.67</v>
      </c>
      <c r="K18" s="112">
        <v>273.87</v>
      </c>
      <c r="L18" s="112">
        <v>27.58</v>
      </c>
      <c r="M18" s="112">
        <v>83.78</v>
      </c>
      <c r="N18" s="112">
        <v>2.1</v>
      </c>
      <c r="O18" s="112">
        <v>0</v>
      </c>
      <c r="P18" s="112">
        <v>0.3</v>
      </c>
      <c r="Q18" s="112">
        <v>4.63</v>
      </c>
      <c r="R18" s="6"/>
      <c r="S18" s="6"/>
      <c r="T18" s="182"/>
      <c r="U18" s="6"/>
    </row>
    <row r="19" spans="1:21">
      <c r="A19" s="196" t="s">
        <v>633</v>
      </c>
      <c r="B19" s="112">
        <v>9.2100000000000009</v>
      </c>
      <c r="C19" s="112">
        <v>4.09</v>
      </c>
      <c r="D19" s="112">
        <v>13.97</v>
      </c>
      <c r="E19" s="112">
        <v>11.54</v>
      </c>
      <c r="F19" s="112">
        <v>4.08</v>
      </c>
      <c r="G19" s="112">
        <v>7.59</v>
      </c>
      <c r="H19" s="112">
        <v>3.8</v>
      </c>
      <c r="I19" s="112">
        <v>3.63</v>
      </c>
      <c r="J19" s="112">
        <v>0.82</v>
      </c>
      <c r="K19" s="112">
        <v>261.93</v>
      </c>
      <c r="L19" s="112">
        <v>27.68</v>
      </c>
      <c r="M19" s="112">
        <v>83.02</v>
      </c>
      <c r="N19" s="112">
        <v>2.1</v>
      </c>
      <c r="O19" s="112">
        <v>0</v>
      </c>
      <c r="P19" s="112">
        <v>0.32</v>
      </c>
      <c r="Q19" s="112">
        <v>4.62</v>
      </c>
      <c r="R19" s="6"/>
      <c r="S19" s="6"/>
      <c r="T19" s="182"/>
      <c r="U19" s="6"/>
    </row>
    <row r="20" spans="1:21">
      <c r="A20" s="196" t="s">
        <v>634</v>
      </c>
      <c r="B20" s="112">
        <v>9.2100000000000009</v>
      </c>
      <c r="C20" s="112">
        <v>4.09</v>
      </c>
      <c r="D20" s="112">
        <v>13.97</v>
      </c>
      <c r="E20" s="112">
        <v>12</v>
      </c>
      <c r="F20" s="112">
        <v>4.26</v>
      </c>
      <c r="G20" s="112">
        <v>7.59</v>
      </c>
      <c r="H20" s="112">
        <v>3.8</v>
      </c>
      <c r="I20" s="112">
        <v>3.49</v>
      </c>
      <c r="J20" s="112">
        <v>0.8</v>
      </c>
      <c r="K20" s="112">
        <v>289.39999999999998</v>
      </c>
      <c r="L20" s="112">
        <v>27.79</v>
      </c>
      <c r="M20" s="112">
        <v>82.08</v>
      </c>
      <c r="N20" s="112">
        <v>2.1</v>
      </c>
      <c r="O20" s="112">
        <v>0</v>
      </c>
      <c r="P20" s="112">
        <v>0.37</v>
      </c>
      <c r="Q20" s="112">
        <v>4.6399999999999997</v>
      </c>
      <c r="R20" s="6"/>
      <c r="S20" s="6"/>
      <c r="T20" s="182"/>
      <c r="U20" s="6"/>
    </row>
    <row r="21" spans="1:21">
      <c r="A21" s="196" t="s">
        <v>635</v>
      </c>
      <c r="B21" s="112">
        <v>9.2100000000000009</v>
      </c>
      <c r="C21" s="112">
        <v>4.0999999999999996</v>
      </c>
      <c r="D21" s="112">
        <v>13.98</v>
      </c>
      <c r="E21" s="112">
        <v>11.39</v>
      </c>
      <c r="F21" s="112">
        <v>3.66</v>
      </c>
      <c r="G21" s="112">
        <v>7.59</v>
      </c>
      <c r="H21" s="112">
        <v>3.8</v>
      </c>
      <c r="I21" s="112">
        <v>3.62</v>
      </c>
      <c r="J21" s="112">
        <v>0.6</v>
      </c>
      <c r="K21" s="112">
        <v>269.87</v>
      </c>
      <c r="L21" s="112">
        <v>27.91</v>
      </c>
      <c r="M21" s="112">
        <v>81.58</v>
      </c>
      <c r="N21" s="112">
        <v>2.2000000000000002</v>
      </c>
      <c r="O21" s="112">
        <v>0</v>
      </c>
      <c r="P21" s="112">
        <v>0.39</v>
      </c>
      <c r="Q21" s="112">
        <v>4.66</v>
      </c>
      <c r="R21" s="6"/>
      <c r="S21" s="6"/>
      <c r="T21" s="182"/>
      <c r="U21" s="6"/>
    </row>
    <row r="22" spans="1:21">
      <c r="A22" s="196" t="s">
        <v>636</v>
      </c>
      <c r="B22" s="112">
        <v>9.2200000000000006</v>
      </c>
      <c r="C22" s="112">
        <v>4.0999999999999996</v>
      </c>
      <c r="D22" s="112">
        <v>13.98</v>
      </c>
      <c r="E22" s="112">
        <v>11.38</v>
      </c>
      <c r="F22" s="112">
        <v>5.39</v>
      </c>
      <c r="G22" s="112">
        <v>9.17</v>
      </c>
      <c r="H22" s="112">
        <v>3.75</v>
      </c>
      <c r="I22" s="112">
        <v>3.92</v>
      </c>
      <c r="J22" s="112">
        <v>0.56999999999999995</v>
      </c>
      <c r="K22" s="112">
        <v>258.97000000000003</v>
      </c>
      <c r="L22" s="112">
        <v>27.78</v>
      </c>
      <c r="M22" s="112">
        <v>82.66</v>
      </c>
      <c r="N22" s="112">
        <v>2.8</v>
      </c>
      <c r="O22" s="112">
        <v>0.2</v>
      </c>
      <c r="P22" s="112">
        <v>0.39</v>
      </c>
      <c r="Q22" s="112">
        <v>4.6399999999999997</v>
      </c>
      <c r="R22" s="6"/>
      <c r="S22" s="6"/>
      <c r="T22" s="182"/>
      <c r="U22" s="6"/>
    </row>
    <row r="23" spans="1:21">
      <c r="A23" s="196" t="s">
        <v>637</v>
      </c>
      <c r="B23" s="112">
        <v>9.23</v>
      </c>
      <c r="C23" s="112">
        <v>4.0599999999999996</v>
      </c>
      <c r="D23" s="112">
        <v>13.97</v>
      </c>
      <c r="E23" s="112">
        <v>11.68</v>
      </c>
      <c r="F23" s="112">
        <v>4</v>
      </c>
      <c r="G23" s="112">
        <v>11.54</v>
      </c>
      <c r="H23" s="112">
        <v>3.7</v>
      </c>
      <c r="I23" s="112">
        <v>4.0199999999999996</v>
      </c>
      <c r="J23" s="112">
        <v>0.55000000000000004</v>
      </c>
      <c r="K23" s="112">
        <v>276.05</v>
      </c>
      <c r="L23" s="112">
        <v>27.03</v>
      </c>
      <c r="M23" s="112">
        <v>88.62</v>
      </c>
      <c r="N23" s="112">
        <v>3.3</v>
      </c>
      <c r="O23" s="112">
        <v>0.8</v>
      </c>
      <c r="P23" s="112">
        <v>0.38</v>
      </c>
      <c r="Q23" s="112">
        <v>4.63</v>
      </c>
      <c r="R23" s="6"/>
      <c r="S23" s="6"/>
      <c r="T23" s="182"/>
      <c r="U23" s="6"/>
    </row>
    <row r="24" spans="1:21">
      <c r="A24" s="196" t="s">
        <v>638</v>
      </c>
      <c r="B24" s="112">
        <v>9.23</v>
      </c>
      <c r="C24" s="112">
        <v>4.05</v>
      </c>
      <c r="D24" s="112">
        <v>13.97</v>
      </c>
      <c r="E24" s="112">
        <v>11.76</v>
      </c>
      <c r="F24" s="112">
        <v>3.53</v>
      </c>
      <c r="G24" s="112">
        <v>11.54</v>
      </c>
      <c r="H24" s="112">
        <v>3.7</v>
      </c>
      <c r="I24" s="112">
        <v>3.96</v>
      </c>
      <c r="J24" s="112">
        <v>0.75</v>
      </c>
      <c r="K24" s="112">
        <v>263.94</v>
      </c>
      <c r="L24" s="112">
        <v>26.46</v>
      </c>
      <c r="M24" s="112">
        <v>92.41</v>
      </c>
      <c r="N24" s="112">
        <v>2.6</v>
      </c>
      <c r="O24" s="112">
        <v>0.2</v>
      </c>
      <c r="P24" s="112">
        <v>0.37</v>
      </c>
      <c r="Q24" s="112">
        <v>4.6399999999999997</v>
      </c>
      <c r="R24" s="6"/>
      <c r="S24" s="6"/>
      <c r="T24" s="182"/>
      <c r="U24" s="6"/>
    </row>
    <row r="25" spans="1:21">
      <c r="A25" s="196" t="s">
        <v>639</v>
      </c>
      <c r="B25" s="112">
        <v>9.2200000000000006</v>
      </c>
      <c r="C25" s="112">
        <v>4.08</v>
      </c>
      <c r="D25" s="112">
        <v>13.97</v>
      </c>
      <c r="E25" s="112">
        <v>11.51</v>
      </c>
      <c r="F25" s="112">
        <v>4.16</v>
      </c>
      <c r="G25" s="112">
        <v>11.54</v>
      </c>
      <c r="H25" s="112">
        <v>3.7</v>
      </c>
      <c r="I25" s="112">
        <v>3.96</v>
      </c>
      <c r="J25" s="112">
        <v>0.42</v>
      </c>
      <c r="K25" s="112">
        <v>265.24</v>
      </c>
      <c r="L25" s="112">
        <v>26.32</v>
      </c>
      <c r="M25" s="112">
        <v>94.23</v>
      </c>
      <c r="N25" s="112">
        <v>2</v>
      </c>
      <c r="O25" s="112">
        <v>0</v>
      </c>
      <c r="P25" s="112">
        <v>0.36</v>
      </c>
      <c r="Q25" s="112">
        <v>4.62</v>
      </c>
      <c r="R25" s="6"/>
      <c r="S25" s="6"/>
      <c r="T25" s="182"/>
      <c r="U25" s="6"/>
    </row>
    <row r="26" spans="1:21">
      <c r="A26" s="196" t="s">
        <v>640</v>
      </c>
      <c r="B26" s="112">
        <v>9.2200000000000006</v>
      </c>
      <c r="C26" s="112">
        <v>4.0599999999999996</v>
      </c>
      <c r="D26" s="112">
        <v>13.97</v>
      </c>
      <c r="E26" s="112">
        <v>11.61</v>
      </c>
      <c r="F26" s="112">
        <v>4.05</v>
      </c>
      <c r="G26" s="112">
        <v>12.2</v>
      </c>
      <c r="H26" s="112">
        <v>4.25</v>
      </c>
      <c r="I26" s="112">
        <v>3.93</v>
      </c>
      <c r="J26" s="112">
        <v>0.16</v>
      </c>
      <c r="K26" s="112">
        <v>209.84</v>
      </c>
      <c r="L26" s="112">
        <v>26.33</v>
      </c>
      <c r="M26" s="112">
        <v>95.3</v>
      </c>
      <c r="N26" s="112">
        <v>2.1</v>
      </c>
      <c r="O26" s="112">
        <v>0</v>
      </c>
      <c r="P26" s="112">
        <v>0.37</v>
      </c>
      <c r="Q26" s="112">
        <v>4.63</v>
      </c>
      <c r="R26" s="6"/>
      <c r="S26" s="6"/>
      <c r="T26" s="182"/>
      <c r="U26" s="6"/>
    </row>
    <row r="27" spans="1:21">
      <c r="A27" s="196" t="s">
        <v>641</v>
      </c>
      <c r="B27" s="112">
        <v>9.23</v>
      </c>
      <c r="C27" s="112">
        <v>4.04</v>
      </c>
      <c r="D27" s="112">
        <v>13.97</v>
      </c>
      <c r="E27" s="112">
        <v>12.04</v>
      </c>
      <c r="F27" s="112">
        <v>3.01</v>
      </c>
      <c r="G27" s="112">
        <v>13.18</v>
      </c>
      <c r="H27" s="112">
        <v>5.8</v>
      </c>
      <c r="I27" s="112">
        <v>3.88</v>
      </c>
      <c r="J27" s="112">
        <v>0.31</v>
      </c>
      <c r="K27" s="112">
        <v>251.52</v>
      </c>
      <c r="L27" s="112">
        <v>26.22</v>
      </c>
      <c r="M27" s="112">
        <v>96.02</v>
      </c>
      <c r="N27" s="112">
        <v>2.2999999999999998</v>
      </c>
      <c r="O27" s="112">
        <v>0</v>
      </c>
      <c r="P27" s="112">
        <v>0.38</v>
      </c>
      <c r="Q27" s="112">
        <v>4.66</v>
      </c>
      <c r="R27" s="6"/>
      <c r="S27" s="6"/>
      <c r="T27" s="182"/>
      <c r="U27" s="6"/>
    </row>
    <row r="28" spans="1:21">
      <c r="A28" s="196" t="s">
        <v>642</v>
      </c>
      <c r="B28" s="112">
        <v>9.23</v>
      </c>
      <c r="C28" s="112">
        <v>4.0599999999999996</v>
      </c>
      <c r="D28" s="112">
        <v>13.97</v>
      </c>
      <c r="E28" s="112">
        <v>12.11</v>
      </c>
      <c r="F28" s="112">
        <v>2.85</v>
      </c>
      <c r="G28" s="112">
        <v>13.18</v>
      </c>
      <c r="H28" s="112">
        <v>5.8</v>
      </c>
      <c r="I28" s="112">
        <v>3.85</v>
      </c>
      <c r="J28" s="112">
        <v>0.59</v>
      </c>
      <c r="K28" s="112">
        <v>256.63</v>
      </c>
      <c r="L28" s="112">
        <v>26.25</v>
      </c>
      <c r="M28" s="112">
        <v>95.21</v>
      </c>
      <c r="N28" s="112">
        <v>2.5</v>
      </c>
      <c r="O28" s="112">
        <v>0</v>
      </c>
      <c r="P28" s="112">
        <v>0.38</v>
      </c>
      <c r="Q28" s="112">
        <v>4.6500000000000004</v>
      </c>
      <c r="R28" s="6"/>
      <c r="S28" s="6"/>
      <c r="T28" s="182"/>
      <c r="U28" s="6"/>
    </row>
    <row r="29" spans="1:21">
      <c r="A29" s="196" t="s">
        <v>643</v>
      </c>
      <c r="B29" s="112">
        <v>9.2100000000000009</v>
      </c>
      <c r="C29" s="112">
        <v>4.07</v>
      </c>
      <c r="D29" s="112">
        <v>13.97</v>
      </c>
      <c r="E29" s="112">
        <v>12.13</v>
      </c>
      <c r="F29" s="112">
        <v>3.58</v>
      </c>
      <c r="G29" s="112">
        <v>13.18</v>
      </c>
      <c r="H29" s="112">
        <v>5.8</v>
      </c>
      <c r="I29" s="112">
        <v>4.07</v>
      </c>
      <c r="J29" s="112">
        <v>0.47</v>
      </c>
      <c r="K29" s="112">
        <v>257.56</v>
      </c>
      <c r="L29" s="112">
        <v>26.28</v>
      </c>
      <c r="M29" s="112">
        <v>94</v>
      </c>
      <c r="N29" s="112">
        <v>3.1</v>
      </c>
      <c r="O29" s="112">
        <v>0</v>
      </c>
      <c r="P29" s="112">
        <v>0.39</v>
      </c>
      <c r="Q29" s="112">
        <v>4.6399999999999997</v>
      </c>
      <c r="R29" s="6"/>
      <c r="S29" s="6"/>
      <c r="T29" s="182"/>
      <c r="U29" s="6"/>
    </row>
    <row r="30" spans="1:21">
      <c r="A30" s="196" t="s">
        <v>644</v>
      </c>
      <c r="B30" s="112">
        <v>9.2100000000000009</v>
      </c>
      <c r="C30" s="112">
        <v>4.08</v>
      </c>
      <c r="D30" s="112">
        <v>13.97</v>
      </c>
      <c r="E30" s="112">
        <v>12.13</v>
      </c>
      <c r="F30" s="112">
        <v>4.6100000000000003</v>
      </c>
      <c r="G30" s="112">
        <v>11.77</v>
      </c>
      <c r="H30" s="112">
        <v>5.4</v>
      </c>
      <c r="I30" s="112">
        <v>4.0599999999999996</v>
      </c>
      <c r="J30" s="112">
        <v>0.74</v>
      </c>
      <c r="K30" s="112">
        <v>268.45</v>
      </c>
      <c r="L30" s="112">
        <v>26.33</v>
      </c>
      <c r="M30" s="112">
        <v>93.13</v>
      </c>
      <c r="N30" s="112">
        <v>3.9</v>
      </c>
      <c r="O30" s="112">
        <v>0</v>
      </c>
      <c r="P30" s="112">
        <v>0.4</v>
      </c>
      <c r="Q30" s="112">
        <v>4.62</v>
      </c>
      <c r="R30" s="6"/>
      <c r="S30" s="6"/>
      <c r="T30" s="182"/>
      <c r="U30" s="6"/>
    </row>
    <row r="31" spans="1:21">
      <c r="A31" s="196" t="s">
        <v>645</v>
      </c>
      <c r="B31" s="112">
        <v>9.2100000000000009</v>
      </c>
      <c r="C31" s="112">
        <v>4.08</v>
      </c>
      <c r="D31" s="112">
        <v>13.97</v>
      </c>
      <c r="E31" s="112">
        <v>11.21</v>
      </c>
      <c r="F31" s="112">
        <v>6.46</v>
      </c>
      <c r="G31" s="112">
        <v>9.65</v>
      </c>
      <c r="H31" s="112">
        <v>5.05</v>
      </c>
      <c r="I31" s="112">
        <v>4.05</v>
      </c>
      <c r="J31" s="112">
        <v>0.74</v>
      </c>
      <c r="K31" s="112">
        <v>263.19</v>
      </c>
      <c r="L31" s="112">
        <v>26.34</v>
      </c>
      <c r="M31" s="112">
        <v>92.73</v>
      </c>
      <c r="N31" s="112">
        <v>6.4</v>
      </c>
      <c r="O31" s="112">
        <v>0</v>
      </c>
      <c r="P31" s="112">
        <v>0.37</v>
      </c>
      <c r="Q31" s="112">
        <v>4.6500000000000004</v>
      </c>
      <c r="R31" s="6"/>
      <c r="S31" s="6"/>
      <c r="T31" s="182"/>
      <c r="U31" s="6"/>
    </row>
    <row r="32" spans="1:21">
      <c r="A32" s="196" t="s">
        <v>646</v>
      </c>
      <c r="B32" s="112">
        <v>9.19</v>
      </c>
      <c r="C32" s="112">
        <v>4.08</v>
      </c>
      <c r="D32" s="112">
        <v>13.95</v>
      </c>
      <c r="E32" s="112">
        <v>10.56</v>
      </c>
      <c r="F32" s="112">
        <v>6.91</v>
      </c>
      <c r="G32" s="112">
        <v>9.65</v>
      </c>
      <c r="H32" s="112">
        <v>5.05</v>
      </c>
      <c r="I32" s="112">
        <v>3.84</v>
      </c>
      <c r="J32" s="112">
        <v>0.72</v>
      </c>
      <c r="K32" s="112">
        <v>263.2</v>
      </c>
      <c r="L32" s="112">
        <v>26.44</v>
      </c>
      <c r="M32" s="112">
        <v>91.89</v>
      </c>
      <c r="N32" s="112">
        <v>8.4</v>
      </c>
      <c r="O32" s="112">
        <v>0</v>
      </c>
      <c r="P32" s="112">
        <v>0.35</v>
      </c>
      <c r="Q32" s="112">
        <v>4.63</v>
      </c>
      <c r="R32" s="6"/>
      <c r="S32" s="6"/>
      <c r="T32" s="182"/>
      <c r="U32" s="6"/>
    </row>
    <row r="33" spans="1:21">
      <c r="A33" s="196" t="s">
        <v>647</v>
      </c>
      <c r="B33" s="112">
        <v>9.19</v>
      </c>
      <c r="C33" s="112">
        <v>4.0999999999999996</v>
      </c>
      <c r="D33" s="112">
        <v>13.96</v>
      </c>
      <c r="E33" s="112">
        <v>9.18</v>
      </c>
      <c r="F33" s="112">
        <v>8.89</v>
      </c>
      <c r="G33" s="112">
        <v>9.65</v>
      </c>
      <c r="H33" s="112">
        <v>5.05</v>
      </c>
      <c r="I33" s="112">
        <v>3.71</v>
      </c>
      <c r="J33" s="112">
        <v>0.52</v>
      </c>
      <c r="K33" s="112">
        <v>270.58</v>
      </c>
      <c r="L33" s="112">
        <v>26.38</v>
      </c>
      <c r="M33" s="112">
        <v>92.74</v>
      </c>
      <c r="N33" s="112">
        <v>11.5</v>
      </c>
      <c r="O33" s="112">
        <v>0</v>
      </c>
      <c r="P33" s="112">
        <v>0.32</v>
      </c>
      <c r="Q33" s="112">
        <v>4.63</v>
      </c>
      <c r="R33" s="6"/>
      <c r="S33" s="6"/>
      <c r="T33" s="182"/>
      <c r="U33" s="6"/>
    </row>
    <row r="34" spans="1:21">
      <c r="A34" s="196" t="s">
        <v>648</v>
      </c>
      <c r="B34" s="112">
        <v>9.1999999999999993</v>
      </c>
      <c r="C34" s="112">
        <v>4.0599999999999996</v>
      </c>
      <c r="D34" s="112">
        <v>13.95</v>
      </c>
      <c r="E34" s="112">
        <v>9.1</v>
      </c>
      <c r="F34" s="112">
        <v>9.57</v>
      </c>
      <c r="G34" s="112">
        <v>8.58</v>
      </c>
      <c r="H34" s="112">
        <v>4.32</v>
      </c>
      <c r="I34" s="112">
        <v>3.58</v>
      </c>
      <c r="J34" s="112">
        <v>0.36</v>
      </c>
      <c r="K34" s="112">
        <v>258.51</v>
      </c>
      <c r="L34" s="112">
        <v>26.38</v>
      </c>
      <c r="M34" s="112">
        <v>93.47</v>
      </c>
      <c r="N34" s="112">
        <v>12.6</v>
      </c>
      <c r="O34" s="112">
        <v>0.2</v>
      </c>
      <c r="P34" s="112">
        <v>0.32</v>
      </c>
      <c r="Q34" s="112">
        <v>4.6399999999999997</v>
      </c>
      <c r="R34" s="6"/>
      <c r="S34" s="6"/>
      <c r="T34" s="182"/>
      <c r="U34" s="6"/>
    </row>
    <row r="35" spans="1:21">
      <c r="A35" s="196" t="s">
        <v>649</v>
      </c>
      <c r="B35" s="112">
        <v>9.2100000000000009</v>
      </c>
      <c r="C35" s="112">
        <v>4.07</v>
      </c>
      <c r="D35" s="112">
        <v>13.96</v>
      </c>
      <c r="E35" s="112">
        <v>9.1199999999999992</v>
      </c>
      <c r="F35" s="112">
        <v>8.64</v>
      </c>
      <c r="G35" s="112">
        <v>6.97</v>
      </c>
      <c r="H35" s="112">
        <v>3.67</v>
      </c>
      <c r="I35" s="112">
        <v>3.38</v>
      </c>
      <c r="J35" s="112">
        <v>0.38</v>
      </c>
      <c r="K35" s="112">
        <v>255.41</v>
      </c>
      <c r="L35" s="112">
        <v>26.33</v>
      </c>
      <c r="M35" s="112">
        <v>94.15</v>
      </c>
      <c r="N35" s="112">
        <v>17</v>
      </c>
      <c r="O35" s="112">
        <v>0</v>
      </c>
      <c r="P35" s="112">
        <v>0.32</v>
      </c>
      <c r="Q35" s="112">
        <v>4.6399999999999997</v>
      </c>
      <c r="R35" s="6"/>
      <c r="S35" s="6"/>
      <c r="T35" s="182"/>
      <c r="U35" s="6"/>
    </row>
    <row r="36" spans="1:21">
      <c r="A36" s="196" t="s">
        <v>650</v>
      </c>
      <c r="B36" s="112">
        <v>9.1999999999999993</v>
      </c>
      <c r="C36" s="112">
        <v>4.0599999999999996</v>
      </c>
      <c r="D36" s="112">
        <v>13.95</v>
      </c>
      <c r="E36" s="112">
        <v>9.0299999999999994</v>
      </c>
      <c r="F36" s="112">
        <v>7.36</v>
      </c>
      <c r="G36" s="112">
        <v>6.97</v>
      </c>
      <c r="H36" s="112">
        <v>3.67</v>
      </c>
      <c r="I36" s="112">
        <v>3.44</v>
      </c>
      <c r="J36" s="112">
        <v>0.35</v>
      </c>
      <c r="K36" s="112">
        <v>253.57</v>
      </c>
      <c r="L36" s="112">
        <v>26.44</v>
      </c>
      <c r="M36" s="112">
        <v>93.65</v>
      </c>
      <c r="N36" s="112">
        <v>28.5</v>
      </c>
      <c r="O36" s="112">
        <v>0</v>
      </c>
      <c r="P36" s="112">
        <v>0.32</v>
      </c>
      <c r="Q36" s="112">
        <v>4.6500000000000004</v>
      </c>
      <c r="R36" s="6"/>
      <c r="S36" s="6"/>
      <c r="T36" s="182"/>
      <c r="U36" s="6"/>
    </row>
    <row r="37" spans="1:21">
      <c r="A37" s="196" t="s">
        <v>651</v>
      </c>
      <c r="B37" s="112">
        <v>9.1999999999999993</v>
      </c>
      <c r="C37" s="112">
        <v>4.08</v>
      </c>
      <c r="D37" s="112">
        <v>13.96</v>
      </c>
      <c r="E37" s="112">
        <v>9.31</v>
      </c>
      <c r="F37" s="112">
        <v>7.54</v>
      </c>
      <c r="G37" s="112">
        <v>6.97</v>
      </c>
      <c r="H37" s="112">
        <v>3.67</v>
      </c>
      <c r="I37" s="112">
        <v>3.34</v>
      </c>
      <c r="J37" s="112">
        <v>0.28000000000000003</v>
      </c>
      <c r="K37" s="112">
        <v>252.63</v>
      </c>
      <c r="L37" s="112">
        <v>26.56</v>
      </c>
      <c r="M37" s="112">
        <v>93.1</v>
      </c>
      <c r="N37" s="112">
        <v>33.6</v>
      </c>
      <c r="O37" s="112">
        <v>0</v>
      </c>
      <c r="P37" s="112">
        <v>0.32</v>
      </c>
      <c r="Q37" s="112">
        <v>4.6500000000000004</v>
      </c>
      <c r="R37" s="6"/>
      <c r="S37" s="6"/>
      <c r="T37" s="182"/>
      <c r="U37" s="6"/>
    </row>
    <row r="38" spans="1:21">
      <c r="A38" s="196" t="s">
        <v>652</v>
      </c>
      <c r="B38" s="112">
        <v>9.19</v>
      </c>
      <c r="C38" s="112">
        <v>4.0999999999999996</v>
      </c>
      <c r="D38" s="112">
        <v>13.96</v>
      </c>
      <c r="E38" s="112">
        <v>8.94</v>
      </c>
      <c r="F38" s="112">
        <v>8.7899999999999991</v>
      </c>
      <c r="G38" s="112">
        <v>8.35</v>
      </c>
      <c r="H38" s="112">
        <v>3.16</v>
      </c>
      <c r="I38" s="112">
        <v>3.54</v>
      </c>
      <c r="J38" s="112">
        <v>0.44</v>
      </c>
      <c r="K38" s="112">
        <v>249.77</v>
      </c>
      <c r="L38" s="112">
        <v>26.65</v>
      </c>
      <c r="M38" s="112">
        <v>92.48</v>
      </c>
      <c r="N38" s="112">
        <v>42.4</v>
      </c>
      <c r="O38" s="112">
        <v>0</v>
      </c>
      <c r="P38" s="112">
        <v>0.32</v>
      </c>
      <c r="Q38" s="112">
        <v>4.6399999999999997</v>
      </c>
      <c r="R38" s="6"/>
      <c r="S38" s="6"/>
      <c r="T38" s="182"/>
      <c r="U38" s="6"/>
    </row>
    <row r="39" spans="1:21">
      <c r="A39" s="196" t="s">
        <v>653</v>
      </c>
      <c r="B39" s="112">
        <v>9.1999999999999993</v>
      </c>
      <c r="C39" s="112">
        <v>4.0999999999999996</v>
      </c>
      <c r="D39" s="112">
        <v>13.97</v>
      </c>
      <c r="E39" s="112">
        <v>9.2200000000000006</v>
      </c>
      <c r="F39" s="112">
        <v>8.74</v>
      </c>
      <c r="G39" s="112">
        <v>10.43</v>
      </c>
      <c r="H39" s="112">
        <v>2.71</v>
      </c>
      <c r="I39" s="112">
        <v>3.42</v>
      </c>
      <c r="J39" s="112">
        <v>0.42</v>
      </c>
      <c r="K39" s="112">
        <v>258.73</v>
      </c>
      <c r="L39" s="112">
        <v>26.77</v>
      </c>
      <c r="M39" s="112">
        <v>92.91</v>
      </c>
      <c r="N39" s="112">
        <v>51.3</v>
      </c>
      <c r="O39" s="112">
        <v>0</v>
      </c>
      <c r="P39" s="112">
        <v>0.32</v>
      </c>
      <c r="Q39" s="112">
        <v>4.63</v>
      </c>
      <c r="R39" s="6"/>
      <c r="S39" s="6"/>
      <c r="T39" s="182"/>
      <c r="U39" s="6"/>
    </row>
    <row r="40" spans="1:21">
      <c r="A40" s="196" t="s">
        <v>654</v>
      </c>
      <c r="B40" s="112">
        <v>9.1999999999999993</v>
      </c>
      <c r="C40" s="112">
        <v>4.09</v>
      </c>
      <c r="D40" s="112">
        <v>13.97</v>
      </c>
      <c r="E40" s="112">
        <v>9.1300000000000008</v>
      </c>
      <c r="F40" s="112">
        <v>8.9</v>
      </c>
      <c r="G40" s="112">
        <v>10.43</v>
      </c>
      <c r="H40" s="112">
        <v>2.71</v>
      </c>
      <c r="I40" s="112">
        <v>3.27</v>
      </c>
      <c r="J40" s="112">
        <v>0.35</v>
      </c>
      <c r="K40" s="112">
        <v>264</v>
      </c>
      <c r="L40" s="112">
        <v>26.88</v>
      </c>
      <c r="M40" s="112">
        <v>92.36</v>
      </c>
      <c r="N40" s="112">
        <v>58.4</v>
      </c>
      <c r="O40" s="112">
        <v>0</v>
      </c>
      <c r="P40" s="112">
        <v>0.32</v>
      </c>
      <c r="Q40" s="112">
        <v>4.6399999999999997</v>
      </c>
      <c r="R40" s="6"/>
      <c r="S40" s="6"/>
      <c r="T40" s="182"/>
      <c r="U40" s="6"/>
    </row>
    <row r="41" spans="1:21">
      <c r="A41" s="196" t="s">
        <v>655</v>
      </c>
      <c r="B41" s="112">
        <v>9.2100000000000009</v>
      </c>
      <c r="C41" s="112">
        <v>4.0599999999999996</v>
      </c>
      <c r="D41" s="112">
        <v>13.96</v>
      </c>
      <c r="E41" s="112">
        <v>9.4499999999999993</v>
      </c>
      <c r="F41" s="112">
        <v>7.35</v>
      </c>
      <c r="G41" s="112">
        <v>10.43</v>
      </c>
      <c r="H41" s="112">
        <v>2.71</v>
      </c>
      <c r="I41" s="112">
        <v>3.47</v>
      </c>
      <c r="J41" s="112">
        <v>0.45</v>
      </c>
      <c r="K41" s="112">
        <v>253.86</v>
      </c>
      <c r="L41" s="112">
        <v>27</v>
      </c>
      <c r="M41" s="112">
        <v>91.45</v>
      </c>
      <c r="N41" s="112">
        <v>59.5</v>
      </c>
      <c r="O41" s="112">
        <v>0</v>
      </c>
      <c r="P41" s="112">
        <v>0.32</v>
      </c>
      <c r="Q41" s="112">
        <v>4.6399999999999997</v>
      </c>
      <c r="R41" s="6"/>
      <c r="S41" s="6"/>
      <c r="T41" s="182"/>
      <c r="U41" s="6"/>
    </row>
    <row r="42" spans="1:21">
      <c r="A42" s="196" t="s">
        <v>656</v>
      </c>
      <c r="B42" s="112">
        <v>9.23</v>
      </c>
      <c r="C42" s="112">
        <v>4.04</v>
      </c>
      <c r="D42" s="112">
        <v>13.96</v>
      </c>
      <c r="E42" s="112">
        <v>8.67</v>
      </c>
      <c r="F42" s="112">
        <v>8.9600000000000009</v>
      </c>
      <c r="G42" s="112">
        <v>9.7200000000000006</v>
      </c>
      <c r="H42" s="112">
        <v>2.83</v>
      </c>
      <c r="I42" s="112">
        <v>3.5</v>
      </c>
      <c r="J42" s="112">
        <v>0.38</v>
      </c>
      <c r="K42" s="112">
        <v>259.37</v>
      </c>
      <c r="L42" s="112">
        <v>26.98</v>
      </c>
      <c r="M42" s="112">
        <v>91.83</v>
      </c>
      <c r="N42" s="112">
        <v>49.6</v>
      </c>
      <c r="O42" s="112">
        <v>0</v>
      </c>
      <c r="P42" s="112">
        <v>0.32</v>
      </c>
      <c r="Q42" s="112">
        <v>4.63</v>
      </c>
      <c r="R42" s="6"/>
      <c r="S42" s="6"/>
      <c r="T42" s="182"/>
      <c r="U42" s="6"/>
    </row>
    <row r="43" spans="1:21">
      <c r="A43" s="196" t="s">
        <v>657</v>
      </c>
      <c r="B43" s="112">
        <v>9.23</v>
      </c>
      <c r="C43" s="112">
        <v>4.04</v>
      </c>
      <c r="D43" s="112">
        <v>13.96</v>
      </c>
      <c r="E43" s="112">
        <v>9.26</v>
      </c>
      <c r="F43" s="112">
        <v>7.73</v>
      </c>
      <c r="G43" s="112">
        <v>8.65</v>
      </c>
      <c r="H43" s="112">
        <v>2.94</v>
      </c>
      <c r="I43" s="112">
        <v>3.51</v>
      </c>
      <c r="J43" s="112">
        <v>0.59</v>
      </c>
      <c r="K43" s="112">
        <v>252.23</v>
      </c>
      <c r="L43" s="112">
        <v>26.95</v>
      </c>
      <c r="M43" s="112">
        <v>91.17</v>
      </c>
      <c r="N43" s="112">
        <v>38.799999999999997</v>
      </c>
      <c r="O43" s="112">
        <v>0</v>
      </c>
      <c r="P43" s="112">
        <v>0.31</v>
      </c>
      <c r="Q43" s="112">
        <v>4.6399999999999997</v>
      </c>
      <c r="R43" s="6"/>
      <c r="S43" s="6"/>
      <c r="T43" s="182"/>
      <c r="U43" s="6"/>
    </row>
    <row r="44" spans="1:21">
      <c r="A44" s="196" t="s">
        <v>658</v>
      </c>
      <c r="B44" s="112">
        <v>9.23</v>
      </c>
      <c r="C44" s="112">
        <v>4.04</v>
      </c>
      <c r="D44" s="112">
        <v>13.96</v>
      </c>
      <c r="E44" s="112">
        <v>9.2200000000000006</v>
      </c>
      <c r="F44" s="112">
        <v>8.0299999999999994</v>
      </c>
      <c r="G44" s="112">
        <v>8.65</v>
      </c>
      <c r="H44" s="112">
        <v>2.94</v>
      </c>
      <c r="I44" s="112">
        <v>3.6</v>
      </c>
      <c r="J44" s="112">
        <v>0.49</v>
      </c>
      <c r="K44" s="112">
        <v>255.75</v>
      </c>
      <c r="L44" s="112">
        <v>26.85</v>
      </c>
      <c r="M44" s="112">
        <v>91.57</v>
      </c>
      <c r="N44" s="112">
        <v>47.6</v>
      </c>
      <c r="O44" s="112">
        <v>0</v>
      </c>
      <c r="P44" s="112">
        <v>0.31</v>
      </c>
      <c r="Q44" s="112">
        <v>4.6500000000000004</v>
      </c>
      <c r="R44" s="6"/>
      <c r="S44" s="6"/>
      <c r="T44" s="182"/>
      <c r="U44" s="6"/>
    </row>
    <row r="45" spans="1:21">
      <c r="A45" s="196" t="s">
        <v>659</v>
      </c>
      <c r="B45" s="112">
        <v>9.2200000000000006</v>
      </c>
      <c r="C45" s="112">
        <v>4.0599999999999996</v>
      </c>
      <c r="D45" s="112">
        <v>13.97</v>
      </c>
      <c r="E45" s="112">
        <v>9.0500000000000007</v>
      </c>
      <c r="F45" s="112">
        <v>7.89</v>
      </c>
      <c r="G45" s="112">
        <v>8.65</v>
      </c>
      <c r="H45" s="112">
        <v>2.94</v>
      </c>
      <c r="I45" s="112">
        <v>3.49</v>
      </c>
      <c r="J45" s="112">
        <v>0.66</v>
      </c>
      <c r="K45" s="112">
        <v>261.99</v>
      </c>
      <c r="L45" s="112">
        <v>26.96</v>
      </c>
      <c r="M45" s="112">
        <v>91.03</v>
      </c>
      <c r="N45" s="112">
        <v>57</v>
      </c>
      <c r="O45" s="112">
        <v>0</v>
      </c>
      <c r="P45" s="112">
        <v>0.32</v>
      </c>
      <c r="Q45" s="112">
        <v>4.6399999999999997</v>
      </c>
      <c r="R45" s="6"/>
      <c r="S45" s="6"/>
      <c r="T45" s="182"/>
      <c r="U45" s="6"/>
    </row>
    <row r="46" spans="1:21">
      <c r="A46" s="196" t="s">
        <v>660</v>
      </c>
      <c r="B46" s="112">
        <v>9.2200000000000006</v>
      </c>
      <c r="C46" s="112">
        <v>4.05</v>
      </c>
      <c r="D46" s="112">
        <v>13.96</v>
      </c>
      <c r="E46" s="112">
        <v>8.48</v>
      </c>
      <c r="F46" s="112">
        <v>8.36</v>
      </c>
      <c r="G46" s="112">
        <v>9.66</v>
      </c>
      <c r="H46" s="112">
        <v>3.67</v>
      </c>
      <c r="I46" s="112">
        <v>3.53</v>
      </c>
      <c r="J46" s="112">
        <v>0.79</v>
      </c>
      <c r="K46" s="112">
        <v>263.69</v>
      </c>
      <c r="L46" s="112">
        <v>26.99</v>
      </c>
      <c r="M46" s="112">
        <v>90.5</v>
      </c>
      <c r="N46" s="112">
        <v>66.400000000000006</v>
      </c>
      <c r="O46" s="112">
        <v>0</v>
      </c>
      <c r="P46" s="112">
        <v>0.32</v>
      </c>
      <c r="Q46" s="112">
        <v>4.66</v>
      </c>
      <c r="R46" s="6"/>
      <c r="S46" s="6"/>
      <c r="T46" s="182"/>
      <c r="U46" s="6"/>
    </row>
    <row r="47" spans="1:21">
      <c r="A47" s="196" t="s">
        <v>661</v>
      </c>
      <c r="B47" s="112">
        <v>9.2200000000000006</v>
      </c>
      <c r="C47" s="112">
        <v>4.08</v>
      </c>
      <c r="D47" s="112">
        <v>13.98</v>
      </c>
      <c r="E47" s="112">
        <v>9.27</v>
      </c>
      <c r="F47" s="112">
        <v>7.44</v>
      </c>
      <c r="G47" s="112">
        <v>11.17</v>
      </c>
      <c r="H47" s="112">
        <v>4.32</v>
      </c>
      <c r="I47" s="112">
        <v>3.48</v>
      </c>
      <c r="J47" s="112">
        <v>0.82</v>
      </c>
      <c r="K47" s="112">
        <v>266.45999999999998</v>
      </c>
      <c r="L47" s="112">
        <v>26.94</v>
      </c>
      <c r="M47" s="112">
        <v>90.75</v>
      </c>
      <c r="N47" s="112">
        <v>73.5</v>
      </c>
      <c r="O47" s="112">
        <v>0</v>
      </c>
      <c r="P47" s="112">
        <v>0.3</v>
      </c>
      <c r="Q47" s="112">
        <v>4.6500000000000004</v>
      </c>
      <c r="R47" s="6"/>
      <c r="S47" s="6"/>
      <c r="T47" s="182"/>
      <c r="U47" s="6"/>
    </row>
    <row r="48" spans="1:21">
      <c r="A48" s="196" t="s">
        <v>662</v>
      </c>
      <c r="B48" s="112">
        <v>9.2100000000000009</v>
      </c>
      <c r="C48" s="112">
        <v>4.1100000000000003</v>
      </c>
      <c r="D48" s="112">
        <v>13.98</v>
      </c>
      <c r="E48" s="112">
        <v>8.68</v>
      </c>
      <c r="F48" s="112">
        <v>5.84</v>
      </c>
      <c r="G48" s="112">
        <v>11.17</v>
      </c>
      <c r="H48" s="112">
        <v>4.32</v>
      </c>
      <c r="I48" s="112">
        <v>3.48</v>
      </c>
      <c r="J48" s="112">
        <v>0.77</v>
      </c>
      <c r="K48" s="112">
        <v>264.18</v>
      </c>
      <c r="L48" s="112">
        <v>26.94</v>
      </c>
      <c r="M48" s="112">
        <v>91.6</v>
      </c>
      <c r="N48" s="112">
        <v>103.7</v>
      </c>
      <c r="O48" s="112">
        <v>0</v>
      </c>
      <c r="P48" s="112">
        <v>0.31</v>
      </c>
      <c r="Q48" s="112">
        <v>4.63</v>
      </c>
      <c r="R48" s="6"/>
      <c r="S48" s="6"/>
      <c r="T48" s="182"/>
      <c r="U48" s="6"/>
    </row>
    <row r="49" spans="1:21">
      <c r="A49" s="196" t="s">
        <v>663</v>
      </c>
      <c r="B49" s="112">
        <v>9.2200000000000006</v>
      </c>
      <c r="C49" s="112">
        <v>4.0599999999999996</v>
      </c>
      <c r="D49" s="112">
        <v>13.96</v>
      </c>
      <c r="E49" s="112">
        <v>7.61</v>
      </c>
      <c r="F49" s="112">
        <v>5.31</v>
      </c>
      <c r="G49" s="112">
        <v>11.17</v>
      </c>
      <c r="H49" s="112">
        <v>4.32</v>
      </c>
      <c r="I49" s="112">
        <v>3.53</v>
      </c>
      <c r="J49" s="112">
        <v>0.68</v>
      </c>
      <c r="K49" s="112">
        <v>256.86</v>
      </c>
      <c r="L49" s="112">
        <v>27.02</v>
      </c>
      <c r="M49" s="112">
        <v>92.4</v>
      </c>
      <c r="N49" s="112">
        <v>120.3</v>
      </c>
      <c r="O49" s="112">
        <v>0.2</v>
      </c>
      <c r="P49" s="112">
        <v>0.3</v>
      </c>
      <c r="Q49" s="112">
        <v>4.63</v>
      </c>
      <c r="R49" s="6"/>
      <c r="S49" s="6"/>
      <c r="T49" s="182"/>
      <c r="U49" s="6"/>
    </row>
    <row r="50" spans="1:21">
      <c r="A50" s="196" t="s">
        <v>664</v>
      </c>
      <c r="B50" s="112">
        <v>9.23</v>
      </c>
      <c r="C50" s="112">
        <v>4.09</v>
      </c>
      <c r="D50" s="112">
        <v>13.99</v>
      </c>
      <c r="E50" s="112">
        <v>9.64</v>
      </c>
      <c r="F50" s="112">
        <v>5.39</v>
      </c>
      <c r="G50" s="112">
        <v>10.56</v>
      </c>
      <c r="H50" s="112">
        <v>4.5199999999999996</v>
      </c>
      <c r="I50" s="112">
        <v>3.73</v>
      </c>
      <c r="J50" s="112">
        <v>0.57999999999999996</v>
      </c>
      <c r="K50" s="112">
        <v>259.06</v>
      </c>
      <c r="L50" s="112">
        <v>27.11</v>
      </c>
      <c r="M50" s="112">
        <v>92.68</v>
      </c>
      <c r="N50" s="112">
        <v>117.7</v>
      </c>
      <c r="O50" s="112">
        <v>0</v>
      </c>
      <c r="P50" s="112">
        <v>0.3</v>
      </c>
      <c r="Q50" s="112">
        <v>4.63</v>
      </c>
      <c r="R50" s="6"/>
      <c r="S50" s="6"/>
      <c r="T50" s="182"/>
      <c r="U50" s="6"/>
    </row>
    <row r="51" spans="1:21">
      <c r="A51" s="196" t="s">
        <v>665</v>
      </c>
      <c r="B51" s="112">
        <v>9.25</v>
      </c>
      <c r="C51" s="112">
        <v>4.07</v>
      </c>
      <c r="D51" s="112">
        <v>13.99</v>
      </c>
      <c r="E51" s="112">
        <v>9.75</v>
      </c>
      <c r="F51" s="112">
        <v>6.04</v>
      </c>
      <c r="G51" s="112">
        <v>9.65</v>
      </c>
      <c r="H51" s="112">
        <v>5.08</v>
      </c>
      <c r="I51" s="112">
        <v>3.53</v>
      </c>
      <c r="J51" s="112">
        <v>0.61</v>
      </c>
      <c r="K51" s="112">
        <v>267.27</v>
      </c>
      <c r="L51" s="112">
        <v>27.18</v>
      </c>
      <c r="M51" s="112">
        <v>92.46</v>
      </c>
      <c r="N51" s="112">
        <v>94.1</v>
      </c>
      <c r="O51" s="112">
        <v>0</v>
      </c>
      <c r="P51" s="112">
        <v>0.3</v>
      </c>
      <c r="Q51" s="112">
        <v>4.6399999999999997</v>
      </c>
      <c r="R51" s="6"/>
      <c r="S51" s="6"/>
      <c r="T51" s="182"/>
      <c r="U51" s="6"/>
    </row>
    <row r="52" spans="1:21">
      <c r="A52" s="196" t="s">
        <v>666</v>
      </c>
      <c r="B52" s="112">
        <v>9.26</v>
      </c>
      <c r="C52" s="112">
        <v>4.0599999999999996</v>
      </c>
      <c r="D52" s="112">
        <v>13.99</v>
      </c>
      <c r="E52" s="112">
        <v>9.89</v>
      </c>
      <c r="F52" s="112">
        <v>5.04</v>
      </c>
      <c r="G52" s="112">
        <v>9.65</v>
      </c>
      <c r="H52" s="112">
        <v>5.08</v>
      </c>
      <c r="I52" s="112">
        <v>3.47</v>
      </c>
      <c r="J52" s="112">
        <v>0.68</v>
      </c>
      <c r="K52" s="112">
        <v>268.47000000000003</v>
      </c>
      <c r="L52" s="112">
        <v>27.34</v>
      </c>
      <c r="M52" s="112">
        <v>91.42</v>
      </c>
      <c r="N52" s="112">
        <v>113.3</v>
      </c>
      <c r="O52" s="112">
        <v>0</v>
      </c>
      <c r="P52" s="112">
        <v>0.3</v>
      </c>
      <c r="Q52" s="112">
        <v>4.63</v>
      </c>
      <c r="R52" s="6"/>
      <c r="S52" s="6"/>
      <c r="T52" s="182"/>
      <c r="U52" s="6"/>
    </row>
    <row r="53" spans="1:21">
      <c r="A53" s="196" t="s">
        <v>667</v>
      </c>
      <c r="B53" s="112">
        <v>9.26</v>
      </c>
      <c r="C53" s="112">
        <v>4.07</v>
      </c>
      <c r="D53" s="112">
        <v>14</v>
      </c>
      <c r="E53" s="112">
        <v>10.24</v>
      </c>
      <c r="F53" s="112">
        <v>4.58</v>
      </c>
      <c r="G53" s="112">
        <v>9.65</v>
      </c>
      <c r="H53" s="112">
        <v>5.08</v>
      </c>
      <c r="I53" s="112">
        <v>3.44</v>
      </c>
      <c r="J53" s="112">
        <v>0.85</v>
      </c>
      <c r="K53" s="112">
        <v>262.81</v>
      </c>
      <c r="L53" s="112">
        <v>27.43</v>
      </c>
      <c r="M53" s="112">
        <v>89.38</v>
      </c>
      <c r="N53" s="112">
        <v>100.1</v>
      </c>
      <c r="O53" s="112">
        <v>0</v>
      </c>
      <c r="P53" s="112">
        <v>0.28999999999999998</v>
      </c>
      <c r="Q53" s="112">
        <v>4.62</v>
      </c>
      <c r="R53" s="6"/>
      <c r="S53" s="6"/>
      <c r="T53" s="182"/>
      <c r="U53" s="6"/>
    </row>
    <row r="54" spans="1:21">
      <c r="A54" s="196" t="s">
        <v>668</v>
      </c>
      <c r="B54" s="112">
        <v>9.27</v>
      </c>
      <c r="C54" s="112">
        <v>4.0599999999999996</v>
      </c>
      <c r="D54" s="112">
        <v>14.01</v>
      </c>
      <c r="E54" s="112">
        <v>9.9600000000000009</v>
      </c>
      <c r="F54" s="112">
        <v>5.31</v>
      </c>
      <c r="G54" s="112">
        <v>10.15</v>
      </c>
      <c r="H54" s="112">
        <v>5.08</v>
      </c>
      <c r="I54" s="112">
        <v>3.5</v>
      </c>
      <c r="J54" s="112">
        <v>0.72</v>
      </c>
      <c r="K54" s="112">
        <v>263.29000000000002</v>
      </c>
      <c r="L54" s="112">
        <v>27.54</v>
      </c>
      <c r="M54" s="112">
        <v>89.07</v>
      </c>
      <c r="N54" s="112">
        <v>101.1</v>
      </c>
      <c r="O54" s="112">
        <v>0</v>
      </c>
      <c r="P54" s="112">
        <v>0.3</v>
      </c>
      <c r="Q54" s="112">
        <v>4.6100000000000003</v>
      </c>
      <c r="R54" s="6"/>
      <c r="S54" s="6"/>
      <c r="T54" s="182"/>
      <c r="U54" s="6"/>
    </row>
    <row r="55" spans="1:21">
      <c r="A55" s="196" t="s">
        <v>669</v>
      </c>
      <c r="B55" s="112">
        <v>9.2799999999999994</v>
      </c>
      <c r="C55" s="112">
        <v>4.05</v>
      </c>
      <c r="D55" s="112">
        <v>14.01</v>
      </c>
      <c r="E55" s="112">
        <v>10.210000000000001</v>
      </c>
      <c r="F55" s="112">
        <v>4.8899999999999997</v>
      </c>
      <c r="G55" s="112">
        <v>10.89</v>
      </c>
      <c r="H55" s="112">
        <v>5.09</v>
      </c>
      <c r="I55" s="112">
        <v>3.44</v>
      </c>
      <c r="J55" s="112">
        <v>1.01</v>
      </c>
      <c r="K55" s="112">
        <v>271.49</v>
      </c>
      <c r="L55" s="112">
        <v>27.63</v>
      </c>
      <c r="M55" s="112">
        <v>87.7</v>
      </c>
      <c r="N55" s="112">
        <v>124.9</v>
      </c>
      <c r="O55" s="112">
        <v>0</v>
      </c>
      <c r="P55" s="112">
        <v>0.28999999999999998</v>
      </c>
      <c r="Q55" s="112">
        <v>4.6399999999999997</v>
      </c>
      <c r="R55" s="6"/>
      <c r="S55" s="6"/>
      <c r="T55" s="182"/>
      <c r="U55" s="6"/>
    </row>
    <row r="56" spans="1:21">
      <c r="A56" s="196" t="s">
        <v>670</v>
      </c>
      <c r="B56" s="112">
        <v>9.27</v>
      </c>
      <c r="C56" s="112">
        <v>4.0599999999999996</v>
      </c>
      <c r="D56" s="112">
        <v>14.01</v>
      </c>
      <c r="E56" s="112">
        <v>10.48</v>
      </c>
      <c r="F56" s="112">
        <v>4.5</v>
      </c>
      <c r="G56" s="112">
        <v>10.89</v>
      </c>
      <c r="H56" s="112">
        <v>5.09</v>
      </c>
      <c r="I56" s="112">
        <v>3.57</v>
      </c>
      <c r="J56" s="112">
        <v>0.96</v>
      </c>
      <c r="K56" s="112">
        <v>276.44</v>
      </c>
      <c r="L56" s="112">
        <v>27.68</v>
      </c>
      <c r="M56" s="112">
        <v>86.66</v>
      </c>
      <c r="N56" s="112">
        <v>95.4</v>
      </c>
      <c r="O56" s="112">
        <v>0</v>
      </c>
      <c r="P56" s="112">
        <v>0.3</v>
      </c>
      <c r="Q56" s="112">
        <v>4.62</v>
      </c>
      <c r="R56" s="6"/>
      <c r="S56" s="6"/>
      <c r="T56" s="182"/>
      <c r="U56" s="6"/>
    </row>
    <row r="57" spans="1:21">
      <c r="A57" s="196" t="s">
        <v>671</v>
      </c>
      <c r="B57" s="112">
        <v>9.25</v>
      </c>
      <c r="C57" s="112">
        <v>4.07</v>
      </c>
      <c r="D57" s="112">
        <v>13.99</v>
      </c>
      <c r="E57" s="112">
        <v>10.53</v>
      </c>
      <c r="F57" s="112">
        <v>4.12</v>
      </c>
      <c r="G57" s="112">
        <v>10.89</v>
      </c>
      <c r="H57" s="112">
        <v>5.09</v>
      </c>
      <c r="I57" s="112">
        <v>3.47</v>
      </c>
      <c r="J57" s="112">
        <v>0.86</v>
      </c>
      <c r="K57" s="112">
        <v>273.83</v>
      </c>
      <c r="L57" s="112">
        <v>27.59</v>
      </c>
      <c r="M57" s="112">
        <v>87.43</v>
      </c>
      <c r="N57" s="112">
        <v>60.7</v>
      </c>
      <c r="O57" s="112">
        <v>0</v>
      </c>
      <c r="P57" s="112">
        <v>0.3</v>
      </c>
      <c r="Q57" s="112">
        <v>4.66</v>
      </c>
      <c r="R57" s="6"/>
      <c r="S57" s="6"/>
      <c r="T57" s="182"/>
      <c r="U57" s="6"/>
    </row>
    <row r="58" spans="1:21">
      <c r="A58" s="196" t="s">
        <v>672</v>
      </c>
      <c r="B58" s="112">
        <v>9.23</v>
      </c>
      <c r="C58" s="112">
        <v>4.07</v>
      </c>
      <c r="D58" s="112">
        <v>13.97</v>
      </c>
      <c r="E58" s="112">
        <v>11.08</v>
      </c>
      <c r="F58" s="112">
        <v>5.0999999999999996</v>
      </c>
      <c r="G58" s="112">
        <v>10.34</v>
      </c>
      <c r="H58" s="112">
        <v>4.5599999999999996</v>
      </c>
      <c r="I58" s="112">
        <v>3.45</v>
      </c>
      <c r="J58" s="112">
        <v>0.69</v>
      </c>
      <c r="K58" s="112">
        <v>259.61</v>
      </c>
      <c r="L58" s="112">
        <v>27.49</v>
      </c>
      <c r="M58" s="112">
        <v>87.96</v>
      </c>
      <c r="N58" s="112">
        <v>49.9</v>
      </c>
      <c r="O58" s="112">
        <v>0</v>
      </c>
      <c r="P58" s="112">
        <v>0.31</v>
      </c>
      <c r="Q58" s="112">
        <v>4.6500000000000004</v>
      </c>
      <c r="R58" s="6"/>
      <c r="S58" s="6"/>
      <c r="T58" s="182"/>
      <c r="U58" s="6"/>
    </row>
    <row r="59" spans="1:21">
      <c r="A59" s="196" t="s">
        <v>673</v>
      </c>
      <c r="B59" s="112">
        <v>9.2100000000000009</v>
      </c>
      <c r="C59" s="112">
        <v>4.1100000000000003</v>
      </c>
      <c r="D59" s="112">
        <v>13.98</v>
      </c>
      <c r="E59" s="112">
        <v>10.97</v>
      </c>
      <c r="F59" s="112">
        <v>4.7699999999999996</v>
      </c>
      <c r="G59" s="112">
        <v>9.51</v>
      </c>
      <c r="H59" s="112">
        <v>4.08</v>
      </c>
      <c r="I59" s="112">
        <v>3.44</v>
      </c>
      <c r="J59" s="112">
        <v>0.87</v>
      </c>
      <c r="K59" s="112">
        <v>275.77999999999997</v>
      </c>
      <c r="L59" s="112">
        <v>27.49</v>
      </c>
      <c r="M59" s="112">
        <v>88.43</v>
      </c>
      <c r="N59" s="112">
        <v>51</v>
      </c>
      <c r="O59" s="112">
        <v>0</v>
      </c>
      <c r="P59" s="112">
        <v>0.31</v>
      </c>
      <c r="Q59" s="112">
        <v>4.6399999999999997</v>
      </c>
      <c r="R59" s="6"/>
      <c r="S59" s="6"/>
      <c r="T59" s="182"/>
      <c r="U59" s="6"/>
    </row>
    <row r="60" spans="1:21">
      <c r="A60" s="196" t="s">
        <v>674</v>
      </c>
      <c r="B60" s="112">
        <v>9.2100000000000009</v>
      </c>
      <c r="C60" s="112">
        <v>4.12</v>
      </c>
      <c r="D60" s="112">
        <v>13.98</v>
      </c>
      <c r="E60" s="112">
        <v>11.41</v>
      </c>
      <c r="F60" s="112">
        <v>3.89</v>
      </c>
      <c r="G60" s="112">
        <v>9.51</v>
      </c>
      <c r="H60" s="112">
        <v>4.08</v>
      </c>
      <c r="I60" s="112">
        <v>3.62</v>
      </c>
      <c r="J60" s="112">
        <v>1.1200000000000001</v>
      </c>
      <c r="K60" s="112">
        <v>295.98</v>
      </c>
      <c r="L60" s="112">
        <v>27.17</v>
      </c>
      <c r="M60" s="112">
        <v>89.28</v>
      </c>
      <c r="N60" s="112">
        <v>51.7</v>
      </c>
      <c r="O60" s="112">
        <v>0</v>
      </c>
      <c r="P60" s="112">
        <v>0.36</v>
      </c>
      <c r="Q60" s="112">
        <v>4.63</v>
      </c>
      <c r="R60" s="6"/>
      <c r="S60" s="6"/>
      <c r="T60" s="182"/>
      <c r="U60" s="6"/>
    </row>
    <row r="61" spans="1:21">
      <c r="A61" s="196" t="s">
        <v>675</v>
      </c>
      <c r="B61" s="112">
        <v>9.2200000000000006</v>
      </c>
      <c r="C61" s="112">
        <v>4.05</v>
      </c>
      <c r="D61" s="112">
        <v>13.96</v>
      </c>
      <c r="E61" s="112">
        <v>11.17</v>
      </c>
      <c r="F61" s="112">
        <v>4.0199999999999996</v>
      </c>
      <c r="G61" s="112">
        <v>9.51</v>
      </c>
      <c r="H61" s="112">
        <v>4.08</v>
      </c>
      <c r="I61" s="112">
        <v>3.59</v>
      </c>
      <c r="J61" s="112">
        <v>0.59</v>
      </c>
      <c r="K61" s="112">
        <v>276.14</v>
      </c>
      <c r="L61" s="112">
        <v>27.06</v>
      </c>
      <c r="M61" s="112">
        <v>91.3</v>
      </c>
      <c r="N61" s="112">
        <v>82.2</v>
      </c>
      <c r="O61" s="112">
        <v>0</v>
      </c>
      <c r="P61" s="112">
        <v>0.4</v>
      </c>
      <c r="Q61" s="112">
        <v>4.6500000000000004</v>
      </c>
      <c r="R61" s="6"/>
      <c r="S61" s="6"/>
      <c r="T61" s="182"/>
      <c r="U61" s="6"/>
    </row>
    <row r="62" spans="1:21">
      <c r="A62" s="196" t="s">
        <v>676</v>
      </c>
      <c r="B62" s="112">
        <v>9.2100000000000009</v>
      </c>
      <c r="C62" s="112">
        <v>4.0599999999999996</v>
      </c>
      <c r="D62" s="112">
        <v>13.96</v>
      </c>
      <c r="E62" s="112">
        <v>11.1</v>
      </c>
      <c r="F62" s="112">
        <v>4.6100000000000003</v>
      </c>
      <c r="G62" s="112">
        <v>11.61</v>
      </c>
      <c r="H62" s="112">
        <v>4.2</v>
      </c>
      <c r="I62" s="112">
        <v>4.04</v>
      </c>
      <c r="J62" s="112">
        <v>0.54</v>
      </c>
      <c r="K62" s="112">
        <v>282.77</v>
      </c>
      <c r="L62" s="112">
        <v>27.26</v>
      </c>
      <c r="M62" s="112">
        <v>91.19</v>
      </c>
      <c r="N62" s="112">
        <v>87.3</v>
      </c>
      <c r="O62" s="112">
        <v>0</v>
      </c>
      <c r="P62" s="112">
        <v>0.43</v>
      </c>
      <c r="Q62" s="112">
        <v>4.6500000000000004</v>
      </c>
      <c r="R62" s="6"/>
      <c r="S62" s="6"/>
      <c r="T62" s="182"/>
      <c r="U62" s="6"/>
    </row>
    <row r="63" spans="1:21">
      <c r="A63" s="196" t="s">
        <v>677</v>
      </c>
      <c r="B63" s="112">
        <v>9.2100000000000009</v>
      </c>
      <c r="C63" s="112">
        <v>4.07</v>
      </c>
      <c r="D63" s="112">
        <v>13.96</v>
      </c>
      <c r="E63" s="112">
        <v>11.59</v>
      </c>
      <c r="F63" s="112">
        <v>4.37</v>
      </c>
      <c r="G63" s="112">
        <v>14.77</v>
      </c>
      <c r="H63" s="112">
        <v>4.3</v>
      </c>
      <c r="I63" s="112">
        <v>4.34</v>
      </c>
      <c r="J63" s="112">
        <v>0.64</v>
      </c>
      <c r="K63" s="112">
        <v>272.17</v>
      </c>
      <c r="L63" s="112">
        <v>27.24</v>
      </c>
      <c r="M63" s="112">
        <v>90.91</v>
      </c>
      <c r="N63" s="112">
        <v>74.900000000000006</v>
      </c>
      <c r="O63" s="112">
        <v>0</v>
      </c>
      <c r="P63" s="112">
        <v>0.43</v>
      </c>
      <c r="Q63" s="112">
        <v>4.62</v>
      </c>
      <c r="R63" s="6"/>
      <c r="S63" s="6"/>
      <c r="T63" s="182"/>
      <c r="U63" s="6"/>
    </row>
    <row r="64" spans="1:21">
      <c r="A64" s="196" t="s">
        <v>678</v>
      </c>
      <c r="B64" s="112">
        <v>9.2200000000000006</v>
      </c>
      <c r="C64" s="112">
        <v>4.0599999999999996</v>
      </c>
      <c r="D64" s="112">
        <v>13.97</v>
      </c>
      <c r="E64" s="112">
        <v>11.29</v>
      </c>
      <c r="F64" s="112">
        <v>4.4800000000000004</v>
      </c>
      <c r="G64" s="112">
        <v>14.77</v>
      </c>
      <c r="H64" s="112">
        <v>4.3</v>
      </c>
      <c r="I64" s="112">
        <v>4.51</v>
      </c>
      <c r="J64" s="112">
        <v>0.53</v>
      </c>
      <c r="K64" s="112">
        <v>274.25</v>
      </c>
      <c r="L64" s="112">
        <v>27.76</v>
      </c>
      <c r="M64" s="112">
        <v>89.17</v>
      </c>
      <c r="N64" s="112">
        <v>84.9</v>
      </c>
      <c r="O64" s="112">
        <v>0</v>
      </c>
      <c r="P64" s="112">
        <v>0.44</v>
      </c>
      <c r="Q64" s="112">
        <v>4.63</v>
      </c>
      <c r="R64" s="6"/>
      <c r="S64" s="6"/>
      <c r="T64" s="182"/>
      <c r="U64" s="6"/>
    </row>
    <row r="65" spans="1:21">
      <c r="A65" s="196" t="s">
        <v>679</v>
      </c>
      <c r="B65" s="112">
        <v>9.2200000000000006</v>
      </c>
      <c r="C65" s="112">
        <v>4.0599999999999996</v>
      </c>
      <c r="D65" s="112">
        <v>13.96</v>
      </c>
      <c r="E65" s="112">
        <v>11.64</v>
      </c>
      <c r="F65" s="112">
        <v>3.81</v>
      </c>
      <c r="G65" s="112">
        <v>14.77</v>
      </c>
      <c r="H65" s="112">
        <v>4.3</v>
      </c>
      <c r="I65" s="112">
        <v>4.5199999999999996</v>
      </c>
      <c r="J65" s="112">
        <v>0.71</v>
      </c>
      <c r="K65" s="112">
        <v>297.86</v>
      </c>
      <c r="L65" s="112">
        <v>28.09</v>
      </c>
      <c r="M65" s="112">
        <v>86.37</v>
      </c>
      <c r="N65" s="112">
        <v>82.7</v>
      </c>
      <c r="O65" s="112">
        <v>0</v>
      </c>
      <c r="P65" s="112">
        <v>0.45</v>
      </c>
      <c r="Q65" s="112">
        <v>4.62</v>
      </c>
      <c r="R65" s="6"/>
      <c r="S65" s="6"/>
      <c r="T65" s="182"/>
      <c r="U65" s="6"/>
    </row>
    <row r="66" spans="1:21">
      <c r="A66" s="196" t="s">
        <v>680</v>
      </c>
      <c r="B66" s="112">
        <v>9.2200000000000006</v>
      </c>
      <c r="C66" s="112">
        <v>4.0599999999999996</v>
      </c>
      <c r="D66" s="112">
        <v>13.96</v>
      </c>
      <c r="E66" s="112">
        <v>12.17</v>
      </c>
      <c r="F66" s="112">
        <v>3.97</v>
      </c>
      <c r="G66" s="112">
        <v>14.21</v>
      </c>
      <c r="H66" s="112">
        <v>5.84</v>
      </c>
      <c r="I66" s="112">
        <v>4.49</v>
      </c>
      <c r="J66" s="112">
        <v>0.94</v>
      </c>
      <c r="K66" s="112">
        <v>292.76</v>
      </c>
      <c r="L66" s="112">
        <v>28.16</v>
      </c>
      <c r="M66" s="112">
        <v>85.17</v>
      </c>
      <c r="N66" s="112">
        <v>64.7</v>
      </c>
      <c r="O66" s="112">
        <v>0</v>
      </c>
      <c r="P66" s="112">
        <v>0.48</v>
      </c>
      <c r="Q66" s="112">
        <v>4.6399999999999997</v>
      </c>
      <c r="R66" s="6"/>
      <c r="S66" s="6"/>
      <c r="T66" s="182"/>
      <c r="U66" s="6"/>
    </row>
    <row r="67" spans="1:21">
      <c r="A67" s="196" t="s">
        <v>681</v>
      </c>
      <c r="B67" s="112">
        <v>9.24</v>
      </c>
      <c r="C67" s="112">
        <v>4.0599999999999996</v>
      </c>
      <c r="D67" s="112">
        <v>13.98</v>
      </c>
      <c r="E67" s="112">
        <v>12.01</v>
      </c>
      <c r="F67" s="112">
        <v>4.58</v>
      </c>
      <c r="G67" s="112">
        <v>13.38</v>
      </c>
      <c r="H67" s="112">
        <v>7.24</v>
      </c>
      <c r="I67" s="112">
        <v>4.6399999999999997</v>
      </c>
      <c r="J67" s="112">
        <v>0.72</v>
      </c>
      <c r="K67" s="112">
        <v>281.27999999999997</v>
      </c>
      <c r="L67" s="112">
        <v>27.76</v>
      </c>
      <c r="M67" s="112">
        <v>86.12</v>
      </c>
      <c r="N67" s="112">
        <v>48.9</v>
      </c>
      <c r="O67" s="112">
        <v>0</v>
      </c>
      <c r="P67" s="112">
        <v>0.51</v>
      </c>
      <c r="Q67" s="112">
        <v>4.63</v>
      </c>
      <c r="R67" s="6"/>
      <c r="S67" s="6"/>
      <c r="T67" s="182"/>
      <c r="U67" s="6"/>
    </row>
    <row r="68" spans="1:21">
      <c r="A68" s="196" t="s">
        <v>682</v>
      </c>
      <c r="B68" s="112">
        <v>9.23</v>
      </c>
      <c r="C68" s="112">
        <v>4.07</v>
      </c>
      <c r="D68" s="112">
        <v>13.98</v>
      </c>
      <c r="E68" s="112">
        <v>11.98</v>
      </c>
      <c r="F68" s="112">
        <v>7.47</v>
      </c>
      <c r="G68" s="112">
        <v>13.38</v>
      </c>
      <c r="H68" s="112">
        <v>7.24</v>
      </c>
      <c r="I68" s="112">
        <v>4.91</v>
      </c>
      <c r="J68" s="112">
        <v>0.73</v>
      </c>
      <c r="K68" s="112">
        <v>289.52</v>
      </c>
      <c r="L68" s="112">
        <v>27.66</v>
      </c>
      <c r="M68" s="112">
        <v>87.69</v>
      </c>
      <c r="N68" s="112">
        <v>52.5</v>
      </c>
      <c r="O68" s="112">
        <v>0</v>
      </c>
      <c r="P68" s="112">
        <v>0.54</v>
      </c>
      <c r="Q68" s="112">
        <v>4.62</v>
      </c>
      <c r="R68" s="6"/>
      <c r="S68" s="6"/>
      <c r="T68" s="182"/>
      <c r="U68" s="6"/>
    </row>
    <row r="69" spans="1:21">
      <c r="A69" s="196" t="s">
        <v>683</v>
      </c>
      <c r="B69" s="112">
        <v>9.1999999999999993</v>
      </c>
      <c r="C69" s="112">
        <v>4.08</v>
      </c>
      <c r="D69" s="112">
        <v>13.96</v>
      </c>
      <c r="E69" s="112">
        <v>11.61</v>
      </c>
      <c r="F69" s="112">
        <v>11.12</v>
      </c>
      <c r="G69" s="112">
        <v>13.38</v>
      </c>
      <c r="H69" s="112">
        <v>7.24</v>
      </c>
      <c r="I69" s="112">
        <v>5.03</v>
      </c>
      <c r="J69" s="112">
        <v>0.56999999999999995</v>
      </c>
      <c r="K69" s="112">
        <v>268.89</v>
      </c>
      <c r="L69" s="112">
        <v>27.05</v>
      </c>
      <c r="M69" s="112">
        <v>91.01</v>
      </c>
      <c r="N69" s="112">
        <v>44.3</v>
      </c>
      <c r="O69" s="112">
        <v>0.2</v>
      </c>
      <c r="P69" s="112">
        <v>0.49</v>
      </c>
      <c r="Q69" s="112">
        <v>4.6399999999999997</v>
      </c>
      <c r="R69" s="6"/>
      <c r="S69" s="6"/>
      <c r="T69" s="182"/>
      <c r="U69" s="6"/>
    </row>
    <row r="70" spans="1:21">
      <c r="A70" s="196" t="s">
        <v>684</v>
      </c>
      <c r="B70" s="112">
        <v>9.1999999999999993</v>
      </c>
      <c r="C70" s="112">
        <v>4.08</v>
      </c>
      <c r="D70" s="112">
        <v>13.96</v>
      </c>
      <c r="E70" s="112">
        <v>10.34</v>
      </c>
      <c r="F70" s="112">
        <v>9.4600000000000009</v>
      </c>
      <c r="G70" s="112">
        <v>16.03</v>
      </c>
      <c r="H70" s="112">
        <v>8.15</v>
      </c>
      <c r="I70" s="112">
        <v>5.13</v>
      </c>
      <c r="J70" s="112">
        <v>0.6</v>
      </c>
      <c r="K70" s="112">
        <v>289.39</v>
      </c>
      <c r="L70" s="112">
        <v>27.26</v>
      </c>
      <c r="M70" s="112">
        <v>91.37</v>
      </c>
      <c r="N70" s="112">
        <v>69.099999999999994</v>
      </c>
      <c r="O70" s="112">
        <v>0</v>
      </c>
      <c r="P70" s="112">
        <v>0.56000000000000005</v>
      </c>
      <c r="Q70" s="112">
        <v>4.6399999999999997</v>
      </c>
      <c r="R70" s="6"/>
      <c r="S70" s="6"/>
      <c r="T70" s="182"/>
      <c r="U70" s="6"/>
    </row>
    <row r="71" spans="1:21">
      <c r="A71" s="196" t="s">
        <v>685</v>
      </c>
      <c r="B71" s="112">
        <v>9.2100000000000009</v>
      </c>
      <c r="C71" s="112">
        <v>4.09</v>
      </c>
      <c r="D71" s="112">
        <v>13.97</v>
      </c>
      <c r="E71" s="112">
        <v>10.85</v>
      </c>
      <c r="F71" s="112">
        <v>9.2899999999999991</v>
      </c>
      <c r="G71" s="112">
        <v>20.02</v>
      </c>
      <c r="H71" s="112">
        <v>8.9499999999999993</v>
      </c>
      <c r="I71" s="112">
        <v>4.9000000000000004</v>
      </c>
      <c r="J71" s="112">
        <v>1.02</v>
      </c>
      <c r="K71" s="112">
        <v>312.24</v>
      </c>
      <c r="L71" s="112">
        <v>27.45</v>
      </c>
      <c r="M71" s="112">
        <v>89.34</v>
      </c>
      <c r="N71" s="112">
        <v>55.8</v>
      </c>
      <c r="O71" s="112">
        <v>0</v>
      </c>
      <c r="P71" s="112">
        <v>0.51</v>
      </c>
      <c r="Q71" s="112">
        <v>4.63</v>
      </c>
      <c r="R71" s="6"/>
      <c r="S71" s="6"/>
      <c r="T71" s="182"/>
      <c r="U71" s="6"/>
    </row>
    <row r="72" spans="1:21">
      <c r="A72" s="196" t="s">
        <v>686</v>
      </c>
      <c r="B72" s="112">
        <v>9.2200000000000006</v>
      </c>
      <c r="C72" s="112">
        <v>4.07</v>
      </c>
      <c r="D72" s="112">
        <v>13.97</v>
      </c>
      <c r="E72" s="112">
        <v>11.01</v>
      </c>
      <c r="F72" s="112">
        <v>8.4700000000000006</v>
      </c>
      <c r="G72" s="112">
        <v>20.02</v>
      </c>
      <c r="H72" s="112">
        <v>8.9499999999999993</v>
      </c>
      <c r="I72" s="112">
        <v>5.41</v>
      </c>
      <c r="J72" s="112">
        <v>0.57999999999999996</v>
      </c>
      <c r="K72" s="112">
        <v>301.76</v>
      </c>
      <c r="L72" s="112">
        <v>27.35</v>
      </c>
      <c r="M72" s="112">
        <v>90.46</v>
      </c>
      <c r="N72" s="112">
        <v>25.8</v>
      </c>
      <c r="O72" s="112">
        <v>0</v>
      </c>
      <c r="P72" s="112">
        <v>0.54</v>
      </c>
      <c r="Q72" s="112">
        <v>4.6500000000000004</v>
      </c>
      <c r="R72" s="6"/>
      <c r="S72" s="6"/>
      <c r="T72" s="182"/>
      <c r="U72" s="6"/>
    </row>
    <row r="73" spans="1:21">
      <c r="A73" s="196" t="s">
        <v>687</v>
      </c>
      <c r="B73" s="112">
        <v>9.24</v>
      </c>
      <c r="C73" s="112">
        <v>4.0599999999999996</v>
      </c>
      <c r="D73" s="112">
        <v>13.98</v>
      </c>
      <c r="E73" s="112">
        <v>10.97</v>
      </c>
      <c r="F73" s="112">
        <v>6.39</v>
      </c>
      <c r="G73" s="112">
        <v>20.02</v>
      </c>
      <c r="H73" s="112">
        <v>8.9499999999999993</v>
      </c>
      <c r="I73" s="112">
        <v>5.33</v>
      </c>
      <c r="J73" s="112">
        <v>0.38</v>
      </c>
      <c r="K73" s="112">
        <v>315.37</v>
      </c>
      <c r="L73" s="112">
        <v>27.37</v>
      </c>
      <c r="M73" s="112">
        <v>90.15</v>
      </c>
      <c r="N73" s="112">
        <v>32.4</v>
      </c>
      <c r="O73" s="112">
        <v>0</v>
      </c>
      <c r="P73" s="112">
        <v>0.56000000000000005</v>
      </c>
      <c r="Q73" s="112">
        <v>4.6399999999999997</v>
      </c>
      <c r="R73" s="6"/>
      <c r="S73" s="6"/>
      <c r="T73" s="182"/>
      <c r="U73" s="6"/>
    </row>
    <row r="74" spans="1:21">
      <c r="A74" s="196" t="s">
        <v>688</v>
      </c>
      <c r="B74" s="112">
        <v>9.25</v>
      </c>
      <c r="C74" s="112">
        <v>4.0999999999999996</v>
      </c>
      <c r="D74" s="112">
        <v>14.01</v>
      </c>
      <c r="E74" s="112">
        <v>10.58</v>
      </c>
      <c r="F74" s="112">
        <v>10.07</v>
      </c>
      <c r="G74" s="112">
        <v>21.22</v>
      </c>
      <c r="H74" s="112">
        <v>8.74</v>
      </c>
      <c r="I74" s="112">
        <v>5.53</v>
      </c>
      <c r="J74" s="112">
        <v>0.54</v>
      </c>
      <c r="K74" s="112">
        <v>39.18</v>
      </c>
      <c r="L74" s="112">
        <v>27.43</v>
      </c>
      <c r="M74" s="112">
        <v>90.72</v>
      </c>
      <c r="N74" s="112">
        <v>24.6</v>
      </c>
      <c r="O74" s="112">
        <v>0</v>
      </c>
      <c r="P74" s="112">
        <v>0.55000000000000004</v>
      </c>
      <c r="Q74" s="112">
        <v>4.6399999999999997</v>
      </c>
      <c r="R74" s="6"/>
      <c r="S74" s="6"/>
      <c r="T74" s="182"/>
      <c r="U74" s="6"/>
    </row>
    <row r="75" spans="1:21">
      <c r="A75" s="196" t="s">
        <v>689</v>
      </c>
      <c r="B75" s="112">
        <v>9.24</v>
      </c>
      <c r="C75" s="112">
        <v>4.07</v>
      </c>
      <c r="D75" s="112">
        <v>13.99</v>
      </c>
      <c r="E75" s="112">
        <v>11.72</v>
      </c>
      <c r="F75" s="112">
        <v>7.18</v>
      </c>
      <c r="G75" s="112">
        <v>23.01</v>
      </c>
      <c r="H75" s="112">
        <v>8.1300000000000008</v>
      </c>
      <c r="I75" s="112">
        <v>5.73</v>
      </c>
      <c r="J75" s="112">
        <v>0.92</v>
      </c>
      <c r="K75" s="112">
        <v>51.32</v>
      </c>
      <c r="L75" s="112">
        <v>27.17</v>
      </c>
      <c r="M75" s="112">
        <v>91.79</v>
      </c>
      <c r="N75" s="112">
        <v>20.3</v>
      </c>
      <c r="O75" s="112">
        <v>0</v>
      </c>
      <c r="P75" s="112">
        <v>0.54</v>
      </c>
      <c r="Q75" s="112">
        <v>4.66</v>
      </c>
      <c r="R75" s="6"/>
      <c r="S75" s="6"/>
      <c r="T75" s="182"/>
      <c r="U75" s="6"/>
    </row>
    <row r="76" spans="1:21">
      <c r="A76" s="196" t="s">
        <v>690</v>
      </c>
      <c r="B76" s="112">
        <v>9.23</v>
      </c>
      <c r="C76" s="112">
        <v>4.07</v>
      </c>
      <c r="D76" s="112">
        <v>13.98</v>
      </c>
      <c r="E76" s="112">
        <v>11.85</v>
      </c>
      <c r="F76" s="112">
        <v>9.11</v>
      </c>
      <c r="G76" s="112">
        <v>23.01</v>
      </c>
      <c r="H76" s="112">
        <v>8.1300000000000008</v>
      </c>
      <c r="I76" s="112">
        <v>5.49</v>
      </c>
      <c r="J76" s="112">
        <v>0.83</v>
      </c>
      <c r="K76" s="112">
        <v>54.2</v>
      </c>
      <c r="L76" s="112">
        <v>27.03</v>
      </c>
      <c r="M76" s="112">
        <v>92.56</v>
      </c>
      <c r="N76" s="112">
        <v>14.7</v>
      </c>
      <c r="O76" s="112">
        <v>0</v>
      </c>
      <c r="P76" s="112">
        <v>0.57999999999999996</v>
      </c>
      <c r="Q76" s="112">
        <v>4.6399999999999997</v>
      </c>
      <c r="R76" s="6"/>
      <c r="S76" s="6"/>
      <c r="T76" s="182"/>
      <c r="U76" s="6"/>
    </row>
    <row r="77" spans="1:21">
      <c r="A77" s="196" t="s">
        <v>691</v>
      </c>
      <c r="B77" s="112">
        <v>9.23</v>
      </c>
      <c r="C77" s="112">
        <v>4.07</v>
      </c>
      <c r="D77" s="112">
        <v>13.98</v>
      </c>
      <c r="E77" s="112">
        <v>11.89</v>
      </c>
      <c r="F77" s="112">
        <v>7.66</v>
      </c>
      <c r="G77" s="112">
        <v>23.01</v>
      </c>
      <c r="H77" s="112">
        <v>8.1300000000000008</v>
      </c>
      <c r="I77" s="112">
        <v>5.43</v>
      </c>
      <c r="J77" s="112">
        <v>1.57</v>
      </c>
      <c r="K77" s="112">
        <v>48.59</v>
      </c>
      <c r="L77" s="112">
        <v>26.62</v>
      </c>
      <c r="M77" s="112">
        <v>93.59</v>
      </c>
      <c r="N77" s="112">
        <v>6.2</v>
      </c>
      <c r="O77" s="112">
        <v>0</v>
      </c>
      <c r="P77" s="112">
        <v>0.56999999999999995</v>
      </c>
      <c r="Q77" s="112">
        <v>4.6100000000000003</v>
      </c>
      <c r="R77" s="6"/>
      <c r="S77" s="6"/>
      <c r="T77" s="182"/>
      <c r="U77" s="6"/>
    </row>
    <row r="78" spans="1:21">
      <c r="A78" s="196" t="s">
        <v>692</v>
      </c>
      <c r="B78" s="112">
        <v>9.27</v>
      </c>
      <c r="C78" s="112">
        <v>4.05</v>
      </c>
      <c r="D78" s="112">
        <v>14</v>
      </c>
      <c r="E78" s="112">
        <v>11.05</v>
      </c>
      <c r="F78" s="112">
        <v>7.98</v>
      </c>
      <c r="G78" s="112">
        <v>28.1</v>
      </c>
      <c r="H78" s="112">
        <v>8.43</v>
      </c>
      <c r="I78" s="112">
        <v>5.42</v>
      </c>
      <c r="J78" s="112">
        <v>2.23</v>
      </c>
      <c r="K78" s="112">
        <v>56.31</v>
      </c>
      <c r="L78" s="112">
        <v>25.64</v>
      </c>
      <c r="M78" s="112">
        <v>92.94</v>
      </c>
      <c r="N78" s="112">
        <v>7.6</v>
      </c>
      <c r="O78" s="112">
        <v>0.2</v>
      </c>
      <c r="P78" s="112">
        <v>0.51</v>
      </c>
      <c r="Q78" s="112">
        <v>4.62</v>
      </c>
      <c r="R78" s="6"/>
      <c r="S78" s="6"/>
      <c r="T78" s="182"/>
      <c r="U78" s="6"/>
    </row>
    <row r="79" spans="1:21">
      <c r="A79" s="196" t="s">
        <v>693</v>
      </c>
      <c r="B79" s="112">
        <v>9.25</v>
      </c>
      <c r="C79" s="112">
        <v>4.07</v>
      </c>
      <c r="D79" s="112">
        <v>13.99</v>
      </c>
      <c r="E79" s="112">
        <v>9.9700000000000006</v>
      </c>
      <c r="F79" s="112">
        <v>6.62</v>
      </c>
      <c r="G79" s="112">
        <v>35.72</v>
      </c>
      <c r="H79" s="112">
        <v>8.6999999999999993</v>
      </c>
      <c r="I79" s="112">
        <v>5.42</v>
      </c>
      <c r="J79" s="112">
        <v>1.66</v>
      </c>
      <c r="K79" s="112">
        <v>51.92</v>
      </c>
      <c r="L79" s="112">
        <v>25.12</v>
      </c>
      <c r="M79" s="112">
        <v>94.9</v>
      </c>
      <c r="N79" s="112">
        <v>4.5999999999999996</v>
      </c>
      <c r="O79" s="112">
        <v>0.6</v>
      </c>
      <c r="P79" s="112">
        <v>0.52</v>
      </c>
      <c r="Q79" s="112">
        <v>4.62</v>
      </c>
      <c r="R79" s="6"/>
      <c r="S79" s="6"/>
      <c r="T79" s="182"/>
      <c r="U79" s="6"/>
    </row>
    <row r="80" spans="1:21">
      <c r="A80" s="196" t="s">
        <v>694</v>
      </c>
      <c r="B80" s="112">
        <v>9.24</v>
      </c>
      <c r="C80" s="112">
        <v>4.09</v>
      </c>
      <c r="D80" s="112">
        <v>14</v>
      </c>
      <c r="E80" s="112">
        <v>9.23</v>
      </c>
      <c r="F80" s="112">
        <v>6.62</v>
      </c>
      <c r="G80" s="112">
        <v>35.72</v>
      </c>
      <c r="H80" s="112">
        <v>8.6999999999999993</v>
      </c>
      <c r="I80" s="112">
        <v>5.35</v>
      </c>
      <c r="J80" s="112">
        <v>0.79</v>
      </c>
      <c r="K80" s="112">
        <v>48.14</v>
      </c>
      <c r="L80" s="112">
        <v>25.11</v>
      </c>
      <c r="M80" s="112">
        <v>96.78</v>
      </c>
      <c r="N80" s="112">
        <v>6.9</v>
      </c>
      <c r="O80" s="112">
        <v>0</v>
      </c>
      <c r="P80" s="112">
        <v>0.55000000000000004</v>
      </c>
      <c r="Q80" s="112">
        <v>4.63</v>
      </c>
      <c r="R80" s="6"/>
      <c r="S80" s="6"/>
      <c r="T80" s="182"/>
      <c r="U80" s="6"/>
    </row>
    <row r="81" spans="1:21">
      <c r="A81" s="196" t="s">
        <v>695</v>
      </c>
      <c r="B81" s="112">
        <v>9.24</v>
      </c>
      <c r="C81" s="112">
        <v>4.0999999999999996</v>
      </c>
      <c r="D81" s="112">
        <v>14</v>
      </c>
      <c r="E81" s="112">
        <v>8.5399999999999991</v>
      </c>
      <c r="F81" s="112">
        <v>7.73</v>
      </c>
      <c r="G81" s="112">
        <v>35.72</v>
      </c>
      <c r="H81" s="112">
        <v>8.6999999999999993</v>
      </c>
      <c r="I81" s="112">
        <v>5.25</v>
      </c>
      <c r="J81" s="112">
        <v>0.74</v>
      </c>
      <c r="K81" s="112">
        <v>38.35</v>
      </c>
      <c r="L81" s="112">
        <v>25.13</v>
      </c>
      <c r="M81" s="112">
        <v>97.9</v>
      </c>
      <c r="N81" s="112">
        <v>4.5999999999999996</v>
      </c>
      <c r="O81" s="112">
        <v>0.2</v>
      </c>
      <c r="P81" s="112">
        <v>0.57999999999999996</v>
      </c>
      <c r="Q81" s="112">
        <v>4.6399999999999997</v>
      </c>
      <c r="R81" s="6"/>
      <c r="S81" s="6"/>
      <c r="T81" s="182"/>
      <c r="U81" s="6"/>
    </row>
    <row r="82" spans="1:21">
      <c r="A82" s="196" t="s">
        <v>696</v>
      </c>
      <c r="B82" s="112">
        <v>9.24</v>
      </c>
      <c r="C82" s="112">
        <v>4.07</v>
      </c>
      <c r="D82" s="112">
        <v>13.99</v>
      </c>
      <c r="E82" s="112">
        <v>9.94</v>
      </c>
      <c r="F82" s="112">
        <v>7.02</v>
      </c>
      <c r="G82" s="112">
        <v>31.23</v>
      </c>
      <c r="H82" s="112">
        <v>8.41</v>
      </c>
      <c r="I82" s="112">
        <v>5.21</v>
      </c>
      <c r="J82" s="112">
        <v>0.49</v>
      </c>
      <c r="K82" s="112">
        <v>70.790000000000006</v>
      </c>
      <c r="L82" s="112">
        <v>25.32</v>
      </c>
      <c r="M82" s="112">
        <v>98.27</v>
      </c>
      <c r="N82" s="112">
        <v>3</v>
      </c>
      <c r="O82" s="112">
        <v>0.4</v>
      </c>
      <c r="P82" s="112">
        <v>0.55000000000000004</v>
      </c>
      <c r="Q82" s="112">
        <v>4.6399999999999997</v>
      </c>
      <c r="R82" s="6"/>
      <c r="S82" s="6"/>
      <c r="T82" s="182"/>
      <c r="U82" s="6"/>
    </row>
    <row r="83" spans="1:21">
      <c r="A83" s="196" t="s">
        <v>697</v>
      </c>
      <c r="B83" s="112">
        <v>9.23</v>
      </c>
      <c r="C83" s="112">
        <v>4.0999999999999996</v>
      </c>
      <c r="D83" s="112">
        <v>13.99</v>
      </c>
      <c r="E83" s="112">
        <v>10.5</v>
      </c>
      <c r="F83" s="112">
        <v>7.41</v>
      </c>
      <c r="G83" s="112">
        <v>24.49</v>
      </c>
      <c r="H83" s="112">
        <v>8.15</v>
      </c>
      <c r="I83" s="112">
        <v>5.09</v>
      </c>
      <c r="J83" s="112">
        <v>0.18</v>
      </c>
      <c r="K83" s="112">
        <v>227.65</v>
      </c>
      <c r="L83" s="112">
        <v>25.28</v>
      </c>
      <c r="M83" s="112">
        <v>98.69</v>
      </c>
      <c r="N83" s="112">
        <v>2.5</v>
      </c>
      <c r="O83" s="112">
        <v>0</v>
      </c>
      <c r="P83" s="112">
        <v>0.5</v>
      </c>
      <c r="Q83" s="112">
        <v>4.6500000000000004</v>
      </c>
      <c r="R83" s="6"/>
      <c r="S83" s="6"/>
      <c r="T83" s="182"/>
      <c r="U83" s="6"/>
    </row>
    <row r="84" spans="1:21">
      <c r="A84" s="196" t="s">
        <v>698</v>
      </c>
      <c r="B84" s="112">
        <v>9.23</v>
      </c>
      <c r="C84" s="112">
        <v>4.12</v>
      </c>
      <c r="D84" s="112">
        <v>14</v>
      </c>
      <c r="E84" s="112">
        <v>9.7200000000000006</v>
      </c>
      <c r="F84" s="112">
        <v>8.51</v>
      </c>
      <c r="G84" s="112">
        <v>24.49</v>
      </c>
      <c r="H84" s="112">
        <v>8.15</v>
      </c>
      <c r="I84" s="112">
        <v>5.05</v>
      </c>
      <c r="J84" s="112">
        <v>0.2</v>
      </c>
      <c r="K84" s="112">
        <v>168.1</v>
      </c>
      <c r="L84" s="112">
        <v>25.36</v>
      </c>
      <c r="M84" s="112">
        <v>99.23</v>
      </c>
      <c r="N84" s="112">
        <v>1.9</v>
      </c>
      <c r="O84" s="112">
        <v>0</v>
      </c>
      <c r="P84" s="112">
        <v>0.47</v>
      </c>
      <c r="Q84" s="112">
        <v>4.66</v>
      </c>
      <c r="R84" s="6"/>
      <c r="S84" s="6"/>
      <c r="T84" s="182"/>
      <c r="U84" s="6"/>
    </row>
    <row r="85" spans="1:21">
      <c r="A85" s="196" t="s">
        <v>699</v>
      </c>
      <c r="B85" s="112">
        <v>9.23</v>
      </c>
      <c r="C85" s="112">
        <v>4.1100000000000003</v>
      </c>
      <c r="D85" s="112">
        <v>14</v>
      </c>
      <c r="E85" s="112">
        <v>9.77</v>
      </c>
      <c r="F85" s="112">
        <v>7.54</v>
      </c>
      <c r="G85" s="112">
        <v>24.49</v>
      </c>
      <c r="H85" s="112">
        <v>8.15</v>
      </c>
      <c r="I85" s="112">
        <v>4.71</v>
      </c>
      <c r="J85" s="112">
        <v>0.19</v>
      </c>
      <c r="K85" s="112">
        <v>237.58</v>
      </c>
      <c r="L85" s="112">
        <v>25.34</v>
      </c>
      <c r="M85" s="112">
        <v>99.15</v>
      </c>
      <c r="N85" s="112">
        <v>2.2999999999999998</v>
      </c>
      <c r="O85" s="112">
        <v>0</v>
      </c>
      <c r="P85" s="112">
        <v>0.48</v>
      </c>
      <c r="Q85" s="112">
        <v>4.6500000000000004</v>
      </c>
      <c r="R85" s="6"/>
      <c r="S85" s="6"/>
      <c r="T85" s="182"/>
      <c r="U85" s="6"/>
    </row>
    <row r="86" spans="1:21">
      <c r="A86" s="196" t="s">
        <v>700</v>
      </c>
      <c r="B86" s="112">
        <v>9.23</v>
      </c>
      <c r="C86" s="112">
        <v>4.08</v>
      </c>
      <c r="D86" s="112">
        <v>13.99</v>
      </c>
      <c r="E86" s="112">
        <v>10.119999999999999</v>
      </c>
      <c r="F86" s="112">
        <v>4.9400000000000004</v>
      </c>
      <c r="G86" s="112">
        <v>21.88</v>
      </c>
      <c r="H86" s="112">
        <v>7.08</v>
      </c>
      <c r="I86" s="112">
        <v>4.79</v>
      </c>
      <c r="J86" s="112">
        <v>0.2</v>
      </c>
      <c r="K86" s="112">
        <v>234.06</v>
      </c>
      <c r="L86" s="112">
        <v>25.31</v>
      </c>
      <c r="M86" s="112">
        <v>99.72</v>
      </c>
      <c r="N86" s="112">
        <v>2.1</v>
      </c>
      <c r="O86" s="112">
        <v>0</v>
      </c>
      <c r="P86" s="112">
        <v>0.5</v>
      </c>
      <c r="Q86" s="112">
        <v>4.63</v>
      </c>
      <c r="R86" s="6"/>
      <c r="S86" s="6"/>
      <c r="T86" s="182"/>
      <c r="U86" s="6"/>
    </row>
    <row r="87" spans="1:21">
      <c r="A87" s="196" t="s">
        <v>701</v>
      </c>
      <c r="B87" s="112">
        <v>9.23</v>
      </c>
      <c r="C87" s="112">
        <v>4.0599999999999996</v>
      </c>
      <c r="D87" s="112">
        <v>13.97</v>
      </c>
      <c r="E87" s="112">
        <v>9.94</v>
      </c>
      <c r="F87" s="112">
        <v>4.4000000000000004</v>
      </c>
      <c r="G87" s="112">
        <v>17.98</v>
      </c>
      <c r="H87" s="112">
        <v>6.13</v>
      </c>
      <c r="I87" s="112">
        <v>4.92</v>
      </c>
      <c r="J87" s="112">
        <v>0.13</v>
      </c>
      <c r="K87" s="112">
        <v>210.86</v>
      </c>
      <c r="L87" s="112">
        <v>25.26</v>
      </c>
      <c r="M87" s="112">
        <v>99.56</v>
      </c>
      <c r="N87" s="112">
        <v>2.2000000000000002</v>
      </c>
      <c r="O87" s="112">
        <v>0</v>
      </c>
      <c r="P87" s="112">
        <v>0.49</v>
      </c>
      <c r="Q87" s="112">
        <v>4.63</v>
      </c>
      <c r="R87" s="6"/>
      <c r="S87" s="6"/>
      <c r="T87" s="182"/>
      <c r="U87" s="6"/>
    </row>
    <row r="88" spans="1:21">
      <c r="A88" s="196" t="s">
        <v>702</v>
      </c>
      <c r="B88" s="112">
        <v>9.24</v>
      </c>
      <c r="C88" s="112">
        <v>4.0599999999999996</v>
      </c>
      <c r="D88" s="112">
        <v>13.98</v>
      </c>
      <c r="E88" s="112">
        <v>9.7200000000000006</v>
      </c>
      <c r="F88" s="112">
        <v>4.3099999999999996</v>
      </c>
      <c r="G88" s="112">
        <v>17.98</v>
      </c>
      <c r="H88" s="112">
        <v>6.13</v>
      </c>
      <c r="I88" s="112">
        <v>5.07</v>
      </c>
      <c r="J88" s="112">
        <v>0.18</v>
      </c>
      <c r="K88" s="112">
        <v>188.19</v>
      </c>
      <c r="L88" s="112">
        <v>25.36</v>
      </c>
      <c r="M88" s="112">
        <v>99.53</v>
      </c>
      <c r="N88" s="112">
        <v>2.1</v>
      </c>
      <c r="O88" s="112">
        <v>0</v>
      </c>
      <c r="P88" s="112">
        <v>0.49</v>
      </c>
      <c r="Q88" s="112">
        <v>4.63</v>
      </c>
      <c r="R88" s="6"/>
      <c r="S88" s="6"/>
      <c r="T88" s="182"/>
      <c r="U88" s="6"/>
    </row>
    <row r="89" spans="1:21">
      <c r="A89" s="196" t="s">
        <v>703</v>
      </c>
      <c r="B89" s="112">
        <v>9.23</v>
      </c>
      <c r="C89" s="112">
        <v>4.07</v>
      </c>
      <c r="D89" s="112">
        <v>13.98</v>
      </c>
      <c r="E89" s="112">
        <v>10.17</v>
      </c>
      <c r="F89" s="112">
        <v>3.99</v>
      </c>
      <c r="G89" s="112">
        <v>17.98</v>
      </c>
      <c r="H89" s="112">
        <v>6.13</v>
      </c>
      <c r="I89" s="112">
        <v>5.01</v>
      </c>
      <c r="J89" s="112">
        <v>0.12</v>
      </c>
      <c r="K89" s="112">
        <v>244.81</v>
      </c>
      <c r="L89" s="112">
        <v>25.36</v>
      </c>
      <c r="M89" s="112">
        <v>99.51</v>
      </c>
      <c r="N89" s="112">
        <v>2.1</v>
      </c>
      <c r="O89" s="112">
        <v>0</v>
      </c>
      <c r="P89" s="112">
        <v>0.49</v>
      </c>
      <c r="Q89" s="112">
        <v>4.63</v>
      </c>
      <c r="R89" s="6"/>
      <c r="S89" s="6"/>
      <c r="T89" s="182"/>
      <c r="U89" s="6"/>
    </row>
    <row r="90" spans="1:21">
      <c r="A90" s="196" t="s">
        <v>704</v>
      </c>
      <c r="B90" s="112">
        <v>9.23</v>
      </c>
      <c r="C90" s="112">
        <v>4.0599999999999996</v>
      </c>
      <c r="D90" s="112">
        <v>13.97</v>
      </c>
      <c r="E90" s="112">
        <v>10.29</v>
      </c>
      <c r="F90" s="112">
        <v>3.71</v>
      </c>
      <c r="G90" s="112">
        <v>16.309999999999999</v>
      </c>
      <c r="H90" s="112">
        <v>5.28</v>
      </c>
      <c r="I90" s="112">
        <v>5.01</v>
      </c>
      <c r="J90" s="112">
        <v>0.22</v>
      </c>
      <c r="K90" s="112">
        <v>254.7</v>
      </c>
      <c r="L90" s="112">
        <v>25.42</v>
      </c>
      <c r="M90" s="112">
        <v>99.74</v>
      </c>
      <c r="N90" s="112">
        <v>2</v>
      </c>
      <c r="O90" s="112">
        <v>0</v>
      </c>
      <c r="P90" s="112">
        <v>0.49</v>
      </c>
      <c r="Q90" s="112">
        <v>4.6399999999999997</v>
      </c>
      <c r="R90" s="6"/>
      <c r="S90" s="6"/>
      <c r="T90" s="182"/>
      <c r="U90" s="6"/>
    </row>
    <row r="91" spans="1:21">
      <c r="A91" s="196" t="s">
        <v>705</v>
      </c>
      <c r="B91" s="112">
        <v>9.24</v>
      </c>
      <c r="C91" s="112">
        <v>4.04</v>
      </c>
      <c r="D91" s="112">
        <v>13.97</v>
      </c>
      <c r="E91" s="112">
        <v>10.41</v>
      </c>
      <c r="F91" s="112">
        <v>3.72</v>
      </c>
      <c r="G91" s="112">
        <v>13.81</v>
      </c>
      <c r="H91" s="112">
        <v>4.5199999999999996</v>
      </c>
      <c r="I91" s="112">
        <v>5.0199999999999996</v>
      </c>
      <c r="J91" s="112">
        <v>0.13</v>
      </c>
      <c r="K91" s="112">
        <v>263.91000000000003</v>
      </c>
      <c r="L91" s="112">
        <v>25.43</v>
      </c>
      <c r="M91" s="112">
        <v>99.88</v>
      </c>
      <c r="N91" s="112">
        <v>2.2000000000000002</v>
      </c>
      <c r="O91" s="112">
        <v>0</v>
      </c>
      <c r="P91" s="112">
        <v>0.49</v>
      </c>
      <c r="Q91" s="112">
        <v>4.6500000000000004</v>
      </c>
      <c r="R91" s="6"/>
      <c r="S91" s="6"/>
      <c r="T91" s="182"/>
      <c r="U91" s="6"/>
    </row>
    <row r="92" spans="1:21">
      <c r="A92" s="196" t="s">
        <v>706</v>
      </c>
      <c r="B92" s="112">
        <v>9.24</v>
      </c>
      <c r="C92" s="112">
        <v>4.0599999999999996</v>
      </c>
      <c r="D92" s="112">
        <v>13.98</v>
      </c>
      <c r="E92" s="112">
        <v>10.81</v>
      </c>
      <c r="F92" s="112">
        <v>3.3</v>
      </c>
      <c r="G92" s="112">
        <v>13.81</v>
      </c>
      <c r="H92" s="112">
        <v>4.5199999999999996</v>
      </c>
      <c r="I92" s="112">
        <v>5.15</v>
      </c>
      <c r="J92" s="112">
        <v>0.16</v>
      </c>
      <c r="K92" s="112">
        <v>244.85</v>
      </c>
      <c r="L92" s="112">
        <v>25.5</v>
      </c>
      <c r="M92" s="112">
        <v>99.87</v>
      </c>
      <c r="N92" s="112">
        <v>2.1</v>
      </c>
      <c r="O92" s="112">
        <v>0</v>
      </c>
      <c r="P92" s="112">
        <v>0.48</v>
      </c>
      <c r="Q92" s="112">
        <v>4.6399999999999997</v>
      </c>
      <c r="R92" s="6"/>
      <c r="S92" s="6"/>
      <c r="T92" s="182"/>
      <c r="U92" s="6"/>
    </row>
    <row r="93" spans="1:21">
      <c r="A93" s="196" t="s">
        <v>707</v>
      </c>
      <c r="B93" s="112">
        <v>9.24</v>
      </c>
      <c r="C93" s="112">
        <v>4.03</v>
      </c>
      <c r="D93" s="112">
        <v>13.97</v>
      </c>
      <c r="E93" s="112">
        <v>10.88</v>
      </c>
      <c r="F93" s="112">
        <v>3.57</v>
      </c>
      <c r="G93" s="112">
        <v>13.81</v>
      </c>
      <c r="H93" s="112">
        <v>4.5199999999999996</v>
      </c>
      <c r="I93" s="112">
        <v>5.14</v>
      </c>
      <c r="J93" s="112">
        <v>0.14000000000000001</v>
      </c>
      <c r="K93" s="112">
        <v>252.09</v>
      </c>
      <c r="L93" s="112">
        <v>25.54</v>
      </c>
      <c r="M93" s="112">
        <v>99.69</v>
      </c>
      <c r="N93" s="112">
        <v>2.1</v>
      </c>
      <c r="O93" s="112">
        <v>0</v>
      </c>
      <c r="P93" s="112">
        <v>0.48</v>
      </c>
      <c r="Q93" s="112">
        <v>4.6399999999999997</v>
      </c>
      <c r="R93" s="6"/>
      <c r="S93" s="6"/>
      <c r="T93" s="182"/>
      <c r="U93" s="6"/>
    </row>
    <row r="94" spans="1:21">
      <c r="A94" s="196" t="s">
        <v>708</v>
      </c>
      <c r="B94" s="112">
        <v>9.24</v>
      </c>
      <c r="C94" s="112">
        <v>4.0599999999999996</v>
      </c>
      <c r="D94" s="112">
        <v>13.98</v>
      </c>
      <c r="E94" s="112">
        <v>10.95</v>
      </c>
      <c r="F94" s="112">
        <v>3.77</v>
      </c>
      <c r="G94" s="112">
        <v>13.06</v>
      </c>
      <c r="H94" s="112">
        <v>6.27</v>
      </c>
      <c r="I94" s="112">
        <v>5.0999999999999996</v>
      </c>
      <c r="J94" s="112">
        <v>0.09</v>
      </c>
      <c r="K94" s="112">
        <v>222.45</v>
      </c>
      <c r="L94" s="112">
        <v>25.6</v>
      </c>
      <c r="M94" s="112">
        <v>99.67</v>
      </c>
      <c r="N94" s="112">
        <v>2.1</v>
      </c>
      <c r="O94" s="112">
        <v>0</v>
      </c>
      <c r="P94" s="112">
        <v>0.47</v>
      </c>
      <c r="Q94" s="112">
        <v>4.63</v>
      </c>
      <c r="R94" s="6"/>
      <c r="S94" s="6"/>
      <c r="T94" s="182"/>
      <c r="U94" s="6"/>
    </row>
    <row r="95" spans="1:21">
      <c r="A95" s="196" t="s">
        <v>709</v>
      </c>
      <c r="B95" s="112">
        <v>9.2200000000000006</v>
      </c>
      <c r="C95" s="112">
        <v>4.07</v>
      </c>
      <c r="D95" s="112">
        <v>13.97</v>
      </c>
      <c r="E95" s="112">
        <v>10.78</v>
      </c>
      <c r="F95" s="112">
        <v>3.63</v>
      </c>
      <c r="G95" s="112">
        <v>11.92</v>
      </c>
      <c r="H95" s="112">
        <v>7.82</v>
      </c>
      <c r="I95" s="112">
        <v>5.03</v>
      </c>
      <c r="J95" s="112">
        <v>0.1</v>
      </c>
      <c r="K95" s="112">
        <v>149.96</v>
      </c>
      <c r="L95" s="112">
        <v>25.67</v>
      </c>
      <c r="M95" s="112">
        <v>99.64</v>
      </c>
      <c r="N95" s="112">
        <v>2.1</v>
      </c>
      <c r="O95" s="112">
        <v>0</v>
      </c>
      <c r="P95" s="112">
        <v>0.46</v>
      </c>
      <c r="Q95" s="112">
        <v>4.6399999999999997</v>
      </c>
      <c r="R95" s="6"/>
      <c r="S95" s="6"/>
      <c r="T95" s="182"/>
      <c r="U95" s="6"/>
    </row>
    <row r="96" spans="1:21">
      <c r="A96" s="196" t="s">
        <v>710</v>
      </c>
      <c r="B96" s="112">
        <v>9.23</v>
      </c>
      <c r="C96" s="112">
        <v>4.08</v>
      </c>
      <c r="D96" s="112">
        <v>13.98</v>
      </c>
      <c r="E96" s="112">
        <v>11.43</v>
      </c>
      <c r="F96" s="112">
        <v>3.41</v>
      </c>
      <c r="G96" s="112">
        <v>11.92</v>
      </c>
      <c r="H96" s="112">
        <v>7.82</v>
      </c>
      <c r="I96" s="112">
        <v>4.9800000000000004</v>
      </c>
      <c r="J96" s="112">
        <v>0.12</v>
      </c>
      <c r="K96" s="112">
        <v>162.94</v>
      </c>
      <c r="L96" s="112">
        <v>25.74</v>
      </c>
      <c r="M96" s="112">
        <v>99.57</v>
      </c>
      <c r="N96" s="112">
        <v>2.1</v>
      </c>
      <c r="O96" s="112">
        <v>0</v>
      </c>
      <c r="P96" s="112">
        <v>0.46</v>
      </c>
      <c r="Q96" s="112">
        <v>4.6399999999999997</v>
      </c>
      <c r="R96" s="6"/>
      <c r="S96" s="6"/>
      <c r="T96" s="182"/>
      <c r="U96" s="6"/>
    </row>
    <row r="97" spans="1:21">
      <c r="A97" s="196" t="s">
        <v>711</v>
      </c>
      <c r="B97" s="112">
        <v>9.24</v>
      </c>
      <c r="C97" s="112">
        <v>4.05</v>
      </c>
      <c r="D97" s="112">
        <v>13.98</v>
      </c>
      <c r="E97" s="112">
        <v>10.95</v>
      </c>
      <c r="F97" s="112">
        <v>3.45</v>
      </c>
      <c r="G97" s="112">
        <v>11.92</v>
      </c>
      <c r="H97" s="112">
        <v>7.82</v>
      </c>
      <c r="I97" s="112">
        <v>4.97</v>
      </c>
      <c r="J97" s="112">
        <v>0.09</v>
      </c>
      <c r="K97" s="112">
        <v>183.53</v>
      </c>
      <c r="L97" s="112">
        <v>25.68</v>
      </c>
      <c r="M97" s="112">
        <v>99.62</v>
      </c>
      <c r="N97" s="112">
        <v>2.1</v>
      </c>
      <c r="O97" s="112">
        <v>0</v>
      </c>
      <c r="P97" s="112">
        <v>0.46</v>
      </c>
      <c r="Q97" s="112">
        <v>4.63</v>
      </c>
      <c r="R97" s="6"/>
      <c r="S97" s="6"/>
      <c r="T97" s="182"/>
      <c r="U97" s="6"/>
    </row>
    <row r="98" spans="1:21">
      <c r="A98" s="196" t="s">
        <v>712</v>
      </c>
      <c r="B98" s="112">
        <v>9.2200000000000006</v>
      </c>
      <c r="C98" s="112">
        <v>4.07</v>
      </c>
      <c r="D98" s="112">
        <v>13.97</v>
      </c>
      <c r="E98" s="112">
        <v>11.45</v>
      </c>
      <c r="F98" s="112">
        <v>3.66</v>
      </c>
      <c r="G98" s="112">
        <v>13.5</v>
      </c>
      <c r="H98" s="112">
        <v>7.43</v>
      </c>
      <c r="I98" s="112">
        <v>4.9800000000000004</v>
      </c>
      <c r="J98" s="112">
        <v>7.0000000000000007E-2</v>
      </c>
      <c r="K98" s="112">
        <v>186.79</v>
      </c>
      <c r="L98" s="112">
        <v>25.68</v>
      </c>
      <c r="M98" s="112">
        <v>99.75</v>
      </c>
      <c r="N98" s="112">
        <v>2.1</v>
      </c>
      <c r="O98" s="112">
        <v>0</v>
      </c>
      <c r="P98" s="112">
        <v>0.45</v>
      </c>
      <c r="Q98" s="112">
        <v>4.6399999999999997</v>
      </c>
      <c r="R98" s="6"/>
      <c r="S98" s="6"/>
      <c r="T98" s="182"/>
      <c r="U98" s="6"/>
    </row>
    <row r="99" spans="1:21">
      <c r="A99" s="196" t="s">
        <v>713</v>
      </c>
      <c r="B99" s="112">
        <v>9.1999999999999993</v>
      </c>
      <c r="C99" s="112">
        <v>4.0599999999999996</v>
      </c>
      <c r="D99" s="112">
        <v>13.95</v>
      </c>
      <c r="E99" s="112">
        <v>11.88</v>
      </c>
      <c r="F99" s="112">
        <v>3.64</v>
      </c>
      <c r="G99" s="112">
        <v>15.87</v>
      </c>
      <c r="H99" s="112">
        <v>6.34</v>
      </c>
      <c r="I99" s="112">
        <v>5.07</v>
      </c>
      <c r="J99" s="112">
        <v>0.11</v>
      </c>
      <c r="K99" s="112">
        <v>181.83</v>
      </c>
      <c r="L99" s="112">
        <v>25.74</v>
      </c>
      <c r="M99" s="112">
        <v>99.94</v>
      </c>
      <c r="N99" s="112">
        <v>2.1</v>
      </c>
      <c r="O99" s="112">
        <v>0</v>
      </c>
      <c r="P99" s="112">
        <v>0.45</v>
      </c>
      <c r="Q99" s="112">
        <v>4.6399999999999997</v>
      </c>
      <c r="R99" s="6"/>
      <c r="S99" s="6"/>
      <c r="T99" s="182"/>
      <c r="U99" s="6"/>
    </row>
    <row r="100" spans="1:21">
      <c r="A100" s="196" t="s">
        <v>714</v>
      </c>
      <c r="B100" s="112">
        <v>9.2200000000000006</v>
      </c>
      <c r="C100" s="112">
        <v>4.07</v>
      </c>
      <c r="D100" s="112">
        <v>13.97</v>
      </c>
      <c r="E100" s="112">
        <v>11.84</v>
      </c>
      <c r="F100" s="112">
        <v>3.59</v>
      </c>
      <c r="G100" s="112">
        <v>15.87</v>
      </c>
      <c r="H100" s="112">
        <v>6.34</v>
      </c>
      <c r="I100" s="112">
        <v>5.04</v>
      </c>
      <c r="J100" s="112">
        <v>0.09</v>
      </c>
      <c r="K100" s="112">
        <v>215.98</v>
      </c>
      <c r="L100" s="112">
        <v>25.69</v>
      </c>
      <c r="M100" s="112">
        <v>99.98</v>
      </c>
      <c r="N100" s="112">
        <v>2.1</v>
      </c>
      <c r="O100" s="112">
        <v>0</v>
      </c>
      <c r="P100" s="112">
        <v>0.45</v>
      </c>
      <c r="Q100" s="112">
        <v>4.6399999999999997</v>
      </c>
      <c r="R100" s="6"/>
      <c r="S100" s="6"/>
      <c r="T100" s="182"/>
      <c r="U100" s="6"/>
    </row>
    <row r="101" spans="1:21">
      <c r="A101" s="196" t="s">
        <v>715</v>
      </c>
      <c r="B101" s="112">
        <v>9.2200000000000006</v>
      </c>
      <c r="C101" s="112">
        <v>4.07</v>
      </c>
      <c r="D101" s="112">
        <v>13.97</v>
      </c>
      <c r="E101" s="112">
        <v>12.36</v>
      </c>
      <c r="F101" s="112">
        <v>3.57</v>
      </c>
      <c r="G101" s="112">
        <v>15.87</v>
      </c>
      <c r="H101" s="112">
        <v>6.34</v>
      </c>
      <c r="I101" s="112">
        <v>5.0599999999999996</v>
      </c>
      <c r="J101" s="112">
        <v>0.15</v>
      </c>
      <c r="K101" s="112">
        <v>224.94</v>
      </c>
      <c r="L101" s="112">
        <v>25.65</v>
      </c>
      <c r="M101" s="112">
        <v>100.14</v>
      </c>
      <c r="N101" s="112">
        <v>2.2000000000000002</v>
      </c>
      <c r="O101" s="112">
        <v>0</v>
      </c>
      <c r="P101" s="112">
        <v>0.44</v>
      </c>
      <c r="Q101" s="112">
        <v>4.63</v>
      </c>
      <c r="R101" s="6"/>
      <c r="S101" s="6"/>
      <c r="T101" s="182"/>
      <c r="U101" s="6"/>
    </row>
    <row r="102" spans="1:21">
      <c r="A102" s="196" t="s">
        <v>716</v>
      </c>
      <c r="B102" s="112">
        <v>9.2100000000000009</v>
      </c>
      <c r="C102" s="112">
        <v>4.0999999999999996</v>
      </c>
      <c r="D102" s="112">
        <v>13.98</v>
      </c>
      <c r="E102" s="112">
        <v>12.06</v>
      </c>
      <c r="F102" s="112">
        <v>3.45</v>
      </c>
      <c r="G102" s="112">
        <v>14.69</v>
      </c>
      <c r="H102" s="112">
        <v>5.62</v>
      </c>
      <c r="I102" s="112">
        <v>5.0199999999999996</v>
      </c>
      <c r="J102" s="112">
        <v>0.1</v>
      </c>
      <c r="K102" s="112">
        <v>227.86</v>
      </c>
      <c r="L102" s="112">
        <v>25.7</v>
      </c>
      <c r="M102" s="112">
        <v>100.38</v>
      </c>
      <c r="N102" s="112">
        <v>2.1</v>
      </c>
      <c r="O102" s="112">
        <v>0</v>
      </c>
      <c r="P102" s="112">
        <v>0.44</v>
      </c>
      <c r="Q102" s="112">
        <v>4.6100000000000003</v>
      </c>
      <c r="R102" s="6"/>
      <c r="S102" s="6"/>
      <c r="T102" s="182"/>
      <c r="U102" s="6"/>
    </row>
    <row r="103" spans="1:21">
      <c r="A103" s="196" t="s">
        <v>717</v>
      </c>
      <c r="B103" s="112">
        <v>9.2200000000000006</v>
      </c>
      <c r="C103" s="112">
        <v>4.09</v>
      </c>
      <c r="D103" s="112">
        <v>13.98</v>
      </c>
      <c r="E103" s="112">
        <v>12.23</v>
      </c>
      <c r="F103" s="112">
        <v>2.74</v>
      </c>
      <c r="G103" s="112">
        <v>12.92</v>
      </c>
      <c r="H103" s="112">
        <v>4.99</v>
      </c>
      <c r="I103" s="112">
        <v>4.9800000000000004</v>
      </c>
      <c r="J103" s="112">
        <v>0.1</v>
      </c>
      <c r="K103" s="112">
        <v>224.68</v>
      </c>
      <c r="L103" s="112">
        <v>25.7</v>
      </c>
      <c r="M103" s="112">
        <v>100.66</v>
      </c>
      <c r="N103" s="112">
        <v>2.2000000000000002</v>
      </c>
      <c r="O103" s="112">
        <v>0</v>
      </c>
      <c r="P103" s="112">
        <v>0.44</v>
      </c>
      <c r="Q103" s="112">
        <v>4.63</v>
      </c>
      <c r="R103" s="6"/>
      <c r="S103" s="6"/>
      <c r="T103" s="182"/>
      <c r="U103" s="6"/>
    </row>
    <row r="104" spans="1:21">
      <c r="A104" s="196" t="s">
        <v>718</v>
      </c>
      <c r="B104" s="112">
        <v>9.2100000000000009</v>
      </c>
      <c r="C104" s="112">
        <v>4.09</v>
      </c>
      <c r="D104" s="112">
        <v>13.98</v>
      </c>
      <c r="E104" s="112">
        <v>12.07</v>
      </c>
      <c r="F104" s="112">
        <v>3.05</v>
      </c>
      <c r="G104" s="112">
        <v>12.92</v>
      </c>
      <c r="H104" s="112">
        <v>4.99</v>
      </c>
      <c r="I104" s="112">
        <v>4.87</v>
      </c>
      <c r="J104" s="112">
        <v>0.08</v>
      </c>
      <c r="K104" s="112">
        <v>206.28</v>
      </c>
      <c r="L104" s="112">
        <v>25.7</v>
      </c>
      <c r="M104" s="112">
        <v>100.75</v>
      </c>
      <c r="N104" s="112">
        <v>2.1</v>
      </c>
      <c r="O104" s="112">
        <v>0</v>
      </c>
      <c r="P104" s="112">
        <v>0.43</v>
      </c>
      <c r="Q104" s="112">
        <v>4.66</v>
      </c>
      <c r="R104" s="6"/>
      <c r="S104" s="6"/>
      <c r="T104" s="182"/>
      <c r="U104" s="6"/>
    </row>
    <row r="105" spans="1:21">
      <c r="A105" s="32"/>
      <c r="B105" s="2"/>
      <c r="C105" s="2"/>
      <c r="D105" s="2"/>
      <c r="E105" s="2"/>
      <c r="F105" s="2"/>
      <c r="G105" s="32"/>
      <c r="H105" s="32"/>
      <c r="I105" s="32"/>
      <c r="J105" s="2"/>
      <c r="K105" s="2"/>
      <c r="L105" s="32"/>
      <c r="M105" s="32"/>
      <c r="N105" s="32"/>
      <c r="O105" s="32"/>
      <c r="P105" s="32"/>
      <c r="Q105" s="2"/>
      <c r="R105" s="11"/>
      <c r="S105" s="11"/>
      <c r="T105" s="11"/>
      <c r="U105" s="11"/>
    </row>
    <row r="106" spans="1:21">
      <c r="A106" s="183" t="s">
        <v>48</v>
      </c>
      <c r="B106" s="184">
        <f>MIN(B9:B104)</f>
        <v>9.19</v>
      </c>
      <c r="C106" s="184">
        <f>MIN(C9:C104)</f>
        <v>4.03</v>
      </c>
      <c r="D106" s="184">
        <f t="shared" ref="D106:Q106" si="0">MIN(D9:D104)</f>
        <v>13.95</v>
      </c>
      <c r="E106" s="184">
        <f t="shared" si="0"/>
        <v>6.84</v>
      </c>
      <c r="F106" s="184">
        <f t="shared" si="0"/>
        <v>2.74</v>
      </c>
      <c r="G106" s="184">
        <f t="shared" si="0"/>
        <v>6.97</v>
      </c>
      <c r="H106" s="184">
        <f t="shared" si="0"/>
        <v>1.64</v>
      </c>
      <c r="I106" s="184">
        <f t="shared" si="0"/>
        <v>3.27</v>
      </c>
      <c r="J106" s="184">
        <f t="shared" si="0"/>
        <v>7.0000000000000007E-2</v>
      </c>
      <c r="K106" s="184">
        <f t="shared" si="0"/>
        <v>38.35</v>
      </c>
      <c r="L106" s="184">
        <f t="shared" si="0"/>
        <v>25.11</v>
      </c>
      <c r="M106" s="184">
        <f t="shared" si="0"/>
        <v>81.58</v>
      </c>
      <c r="N106" s="184">
        <f t="shared" si="0"/>
        <v>1.7</v>
      </c>
      <c r="O106" s="184">
        <f t="shared" si="0"/>
        <v>0</v>
      </c>
      <c r="P106" s="184">
        <f t="shared" si="0"/>
        <v>0.27</v>
      </c>
      <c r="Q106" s="184">
        <f t="shared" si="0"/>
        <v>4.6100000000000003</v>
      </c>
      <c r="R106" s="188"/>
      <c r="S106" s="188"/>
      <c r="T106" s="188"/>
      <c r="U106" s="188"/>
    </row>
    <row r="107" spans="1:21">
      <c r="A107" s="183" t="s">
        <v>49</v>
      </c>
      <c r="B107" s="185">
        <f>MAX(B9:B104)</f>
        <v>9.2799999999999994</v>
      </c>
      <c r="C107" s="185">
        <f t="shared" ref="C107:Q107" si="1">MAX(C9:C104)</f>
        <v>4.12</v>
      </c>
      <c r="D107" s="185">
        <f t="shared" si="1"/>
        <v>14.01</v>
      </c>
      <c r="E107" s="185">
        <f t="shared" si="1"/>
        <v>12.36</v>
      </c>
      <c r="F107" s="185">
        <f t="shared" si="1"/>
        <v>11.12</v>
      </c>
      <c r="G107" s="185">
        <f t="shared" si="1"/>
        <v>35.72</v>
      </c>
      <c r="H107" s="185">
        <f t="shared" si="1"/>
        <v>8.9499999999999993</v>
      </c>
      <c r="I107" s="185">
        <f t="shared" si="1"/>
        <v>5.73</v>
      </c>
      <c r="J107" s="185">
        <f t="shared" si="1"/>
        <v>2.23</v>
      </c>
      <c r="K107" s="185">
        <f t="shared" si="1"/>
        <v>315.37</v>
      </c>
      <c r="L107" s="185">
        <f t="shared" si="1"/>
        <v>28.16</v>
      </c>
      <c r="M107" s="185">
        <f t="shared" si="1"/>
        <v>100.75</v>
      </c>
      <c r="N107" s="185">
        <f t="shared" si="1"/>
        <v>124.9</v>
      </c>
      <c r="O107" s="185">
        <f t="shared" si="1"/>
        <v>0.8</v>
      </c>
      <c r="P107" s="185">
        <f t="shared" si="1"/>
        <v>0.57999999999999996</v>
      </c>
      <c r="Q107" s="185">
        <f t="shared" si="1"/>
        <v>4.66</v>
      </c>
      <c r="R107" s="189"/>
      <c r="S107" s="189"/>
      <c r="T107" s="189"/>
      <c r="U107" s="189"/>
    </row>
    <row r="108" spans="1:21">
      <c r="A108" s="183" t="s">
        <v>50</v>
      </c>
      <c r="B108" s="184">
        <f>AVERAGE(B9:B104)</f>
        <v>9.2255208333333414</v>
      </c>
      <c r="C108" s="184">
        <f t="shared" ref="C108:Q108" si="2">AVERAGE(C9:C104)</f>
        <v>4.0727083333333338</v>
      </c>
      <c r="D108" s="184">
        <f t="shared" si="2"/>
        <v>13.975833333333343</v>
      </c>
      <c r="E108" s="184">
        <f t="shared" si="2"/>
        <v>10.352187500000001</v>
      </c>
      <c r="F108" s="184">
        <f t="shared" si="2"/>
        <v>5.7065625000000013</v>
      </c>
      <c r="G108" s="184">
        <f t="shared" si="2"/>
        <v>13.910312499999998</v>
      </c>
      <c r="H108" s="184">
        <f t="shared" si="2"/>
        <v>5.2246874999999982</v>
      </c>
      <c r="I108" s="184">
        <f t="shared" si="2"/>
        <v>4.2446875000000004</v>
      </c>
      <c r="J108" s="184">
        <f t="shared" si="2"/>
        <v>0.57385416666666678</v>
      </c>
      <c r="K108" s="184">
        <f t="shared" si="2"/>
        <v>235.44218750000002</v>
      </c>
      <c r="L108" s="184">
        <f t="shared" si="2"/>
        <v>26.646458333333324</v>
      </c>
      <c r="M108" s="184">
        <f t="shared" si="2"/>
        <v>92.621666666666627</v>
      </c>
      <c r="N108" s="184">
        <f t="shared" si="2"/>
        <v>29.602083333333315</v>
      </c>
      <c r="O108" s="184">
        <f t="shared" si="2"/>
        <v>3.3333333333333333E-2</v>
      </c>
      <c r="P108" s="184">
        <f t="shared" si="2"/>
        <v>0.3997916666666666</v>
      </c>
      <c r="Q108" s="184">
        <f t="shared" si="2"/>
        <v>4.63645833333333</v>
      </c>
      <c r="R108" s="188"/>
      <c r="S108" s="188"/>
      <c r="T108" s="188"/>
      <c r="U108" s="188"/>
    </row>
    <row r="109" spans="1:21">
      <c r="A109" s="183" t="s">
        <v>51</v>
      </c>
      <c r="B109" s="184">
        <f>STDEV(B9:B104)</f>
        <v>1.8230673496619602E-2</v>
      </c>
      <c r="C109" s="184">
        <f t="shared" ref="C109:Q109" si="3">STDEV(C9:C104)</f>
        <v>1.9220557342631995E-2</v>
      </c>
      <c r="D109" s="184">
        <f t="shared" si="3"/>
        <v>1.4412470233988657E-2</v>
      </c>
      <c r="E109" s="184">
        <f t="shared" si="3"/>
        <v>1.3830851883227884</v>
      </c>
      <c r="F109" s="184">
        <f t="shared" si="3"/>
        <v>2.0886559909865938</v>
      </c>
      <c r="G109" s="184">
        <f t="shared" si="3"/>
        <v>6.2729238466225947</v>
      </c>
      <c r="H109" s="184">
        <f t="shared" si="3"/>
        <v>2.0094895676187159</v>
      </c>
      <c r="I109" s="184">
        <f t="shared" si="3"/>
        <v>0.75646679145812667</v>
      </c>
      <c r="J109" s="184">
        <f t="shared" si="3"/>
        <v>0.36356529795511655</v>
      </c>
      <c r="K109" s="184">
        <f t="shared" si="3"/>
        <v>66.827111850822689</v>
      </c>
      <c r="L109" s="184">
        <f t="shared" si="3"/>
        <v>0.84818565391633072</v>
      </c>
      <c r="M109" s="184">
        <f t="shared" si="3"/>
        <v>5.0117587346204253</v>
      </c>
      <c r="N109" s="184">
        <f t="shared" si="3"/>
        <v>35.972088534150672</v>
      </c>
      <c r="O109" s="184">
        <f t="shared" si="3"/>
        <v>0.11846977555181849</v>
      </c>
      <c r="P109" s="184">
        <f t="shared" si="3"/>
        <v>9.3594637348252477E-2</v>
      </c>
      <c r="Q109" s="184">
        <f t="shared" si="3"/>
        <v>1.1874711446171022E-2</v>
      </c>
      <c r="R109" s="188"/>
      <c r="S109" s="188"/>
      <c r="T109" s="188"/>
      <c r="U109" s="188"/>
    </row>
    <row r="110" spans="1:21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</row>
    <row r="111" spans="1:21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1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2"/>
      <c r="M113" s="2"/>
      <c r="N113" s="187"/>
      <c r="O113" s="187"/>
      <c r="P113" s="187"/>
      <c r="Q113" s="187"/>
      <c r="R113" s="187"/>
      <c r="S113" s="187"/>
      <c r="T113" s="187"/>
      <c r="U113" s="187"/>
    </row>
    <row r="114" spans="1:21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53" t="s">
        <v>55</v>
      </c>
      <c r="B115" s="198" t="s">
        <v>56</v>
      </c>
      <c r="C115" s="198"/>
      <c r="D115" s="198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32"/>
      <c r="B116" s="2"/>
      <c r="C116" s="2"/>
      <c r="D116" s="163"/>
      <c r="E116" s="163"/>
      <c r="F116" s="163"/>
      <c r="G116" s="163"/>
      <c r="H116" s="163"/>
      <c r="I116" s="16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ySplit="1" topLeftCell="A2" activePane="bottomLeft" state="frozen"/>
      <selection activeCell="A9" sqref="A9"/>
      <selection pane="bottomLeft" activeCell="A9" sqref="A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30/06/2024 00:15</v>
      </c>
      <c r="C2" s="197" t="s">
        <v>3</v>
      </c>
      <c r="D2" s="197"/>
      <c r="E2" s="197"/>
      <c r="F2" s="197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7" t="s">
        <v>11</v>
      </c>
      <c r="D3" s="197"/>
      <c r="E3" s="197"/>
      <c r="F3" s="197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7" t="s">
        <v>18</v>
      </c>
      <c r="D4" s="197"/>
      <c r="E4" s="197"/>
      <c r="F4" s="197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94" t="s">
        <v>39</v>
      </c>
      <c r="C8" s="194" t="s">
        <v>39</v>
      </c>
      <c r="D8" s="194" t="s">
        <v>40</v>
      </c>
      <c r="E8" s="194" t="s">
        <v>39</v>
      </c>
      <c r="F8" s="194" t="s">
        <v>39</v>
      </c>
      <c r="G8" s="194" t="s">
        <v>39</v>
      </c>
      <c r="H8" s="194" t="s">
        <v>39</v>
      </c>
      <c r="I8" s="194" t="s">
        <v>39</v>
      </c>
      <c r="J8" s="194" t="s">
        <v>41</v>
      </c>
      <c r="K8" s="194" t="s">
        <v>42</v>
      </c>
      <c r="L8" s="195" t="s">
        <v>43</v>
      </c>
      <c r="M8" s="194" t="s">
        <v>44</v>
      </c>
      <c r="N8" s="194" t="s">
        <v>45</v>
      </c>
      <c r="O8" s="195" t="s">
        <v>46</v>
      </c>
      <c r="P8" s="194" t="s">
        <v>47</v>
      </c>
      <c r="Q8" s="194" t="s">
        <v>39</v>
      </c>
      <c r="R8" s="174"/>
      <c r="S8" s="175"/>
      <c r="T8" s="174"/>
      <c r="U8" s="174"/>
    </row>
    <row r="9" spans="1:21" customFormat="1">
      <c r="A9" s="196" t="s">
        <v>719</v>
      </c>
      <c r="B9" s="112">
        <v>9.1999999999999993</v>
      </c>
      <c r="C9" s="112">
        <v>4.01</v>
      </c>
      <c r="D9" s="112">
        <v>13.92</v>
      </c>
      <c r="E9" s="112">
        <v>12.51</v>
      </c>
      <c r="F9" s="112">
        <v>3.28</v>
      </c>
      <c r="G9" s="112">
        <v>12.92</v>
      </c>
      <c r="H9" s="112">
        <v>4.99</v>
      </c>
      <c r="I9" s="112">
        <v>4.87</v>
      </c>
      <c r="J9" s="112">
        <v>0.1</v>
      </c>
      <c r="K9" s="112">
        <v>183.92</v>
      </c>
      <c r="L9" s="112">
        <v>25.74</v>
      </c>
      <c r="M9" s="112">
        <v>100.78</v>
      </c>
      <c r="N9" s="112">
        <v>2.1</v>
      </c>
      <c r="O9" s="112">
        <v>0</v>
      </c>
      <c r="P9" s="112">
        <v>0.46</v>
      </c>
      <c r="Q9" s="112">
        <v>4.66</v>
      </c>
      <c r="R9" s="6"/>
      <c r="S9" s="6"/>
      <c r="T9" s="182"/>
      <c r="U9" s="6"/>
    </row>
    <row r="10" spans="1:21" customFormat="1">
      <c r="A10" s="196" t="s">
        <v>720</v>
      </c>
      <c r="B10" s="112">
        <v>9.1999999999999993</v>
      </c>
      <c r="C10" s="112">
        <v>4.0599999999999996</v>
      </c>
      <c r="D10" s="112">
        <v>13.96</v>
      </c>
      <c r="E10" s="112">
        <v>11.4</v>
      </c>
      <c r="F10" s="112">
        <v>5.43</v>
      </c>
      <c r="G10" s="112">
        <v>12.63</v>
      </c>
      <c r="H10" s="112">
        <v>4.3899999999999997</v>
      </c>
      <c r="I10" s="112">
        <v>4.82</v>
      </c>
      <c r="J10" s="112">
        <v>0.06</v>
      </c>
      <c r="K10" s="112">
        <v>151.19</v>
      </c>
      <c r="L10" s="112">
        <v>25.71</v>
      </c>
      <c r="M10" s="112">
        <v>100.65</v>
      </c>
      <c r="N10" s="112">
        <v>2.1</v>
      </c>
      <c r="O10" s="112">
        <v>0</v>
      </c>
      <c r="P10" s="112">
        <v>0.43</v>
      </c>
      <c r="Q10" s="112">
        <v>4.63</v>
      </c>
      <c r="R10" s="6"/>
      <c r="S10" s="6"/>
      <c r="T10" s="182"/>
      <c r="U10" s="6"/>
    </row>
    <row r="11" spans="1:21" customFormat="1">
      <c r="A11" s="196" t="s">
        <v>721</v>
      </c>
      <c r="B11" s="112">
        <v>9.2100000000000009</v>
      </c>
      <c r="C11" s="112">
        <v>4.05</v>
      </c>
      <c r="D11" s="112">
        <v>13.96</v>
      </c>
      <c r="E11" s="112">
        <v>10.96</v>
      </c>
      <c r="F11" s="112">
        <v>5.81</v>
      </c>
      <c r="G11" s="112">
        <v>12.2</v>
      </c>
      <c r="H11" s="112">
        <v>3.86</v>
      </c>
      <c r="I11" s="112">
        <v>4.75</v>
      </c>
      <c r="J11" s="112">
        <v>0.13</v>
      </c>
      <c r="K11" s="112">
        <v>185.45</v>
      </c>
      <c r="L11" s="112">
        <v>25.82</v>
      </c>
      <c r="M11" s="112">
        <v>100.57</v>
      </c>
      <c r="N11" s="112">
        <v>2.2000000000000002</v>
      </c>
      <c r="O11" s="112">
        <v>0</v>
      </c>
      <c r="P11" s="112">
        <v>0.41</v>
      </c>
      <c r="Q11" s="112">
        <v>4.6399999999999997</v>
      </c>
      <c r="R11" s="6"/>
      <c r="S11" s="6"/>
      <c r="T11" s="182"/>
      <c r="U11" s="6"/>
    </row>
    <row r="12" spans="1:21" customFormat="1">
      <c r="A12" s="196" t="s">
        <v>722</v>
      </c>
      <c r="B12" s="112">
        <v>9.2100000000000009</v>
      </c>
      <c r="C12" s="112">
        <v>4.0599999999999996</v>
      </c>
      <c r="D12" s="112">
        <v>13.96</v>
      </c>
      <c r="E12" s="112">
        <v>9.75</v>
      </c>
      <c r="F12" s="112">
        <v>6.17</v>
      </c>
      <c r="G12" s="112">
        <v>12.2</v>
      </c>
      <c r="H12" s="112">
        <v>3.86</v>
      </c>
      <c r="I12" s="112">
        <v>4.3499999999999996</v>
      </c>
      <c r="J12" s="112">
        <v>0.14000000000000001</v>
      </c>
      <c r="K12" s="112">
        <v>243.48</v>
      </c>
      <c r="L12" s="112">
        <v>25.71</v>
      </c>
      <c r="M12" s="112">
        <v>100.39</v>
      </c>
      <c r="N12" s="112">
        <v>2.1</v>
      </c>
      <c r="O12" s="112">
        <v>0</v>
      </c>
      <c r="P12" s="112">
        <v>0.39</v>
      </c>
      <c r="Q12" s="112">
        <v>4.6500000000000004</v>
      </c>
      <c r="R12" s="6"/>
      <c r="S12" s="6"/>
      <c r="T12" s="182"/>
      <c r="U12" s="6"/>
    </row>
    <row r="13" spans="1:21" customFormat="1">
      <c r="A13" s="196" t="s">
        <v>723</v>
      </c>
      <c r="B13" s="112">
        <v>9.23</v>
      </c>
      <c r="C13" s="112">
        <v>4.03</v>
      </c>
      <c r="D13" s="112">
        <v>13.96</v>
      </c>
      <c r="E13" s="112">
        <v>9.19</v>
      </c>
      <c r="F13" s="112">
        <v>7.47</v>
      </c>
      <c r="G13" s="112">
        <v>12.2</v>
      </c>
      <c r="H13" s="112">
        <v>3.86</v>
      </c>
      <c r="I13" s="112">
        <v>4.2300000000000004</v>
      </c>
      <c r="J13" s="112">
        <v>0.09</v>
      </c>
      <c r="K13" s="112">
        <v>234.86</v>
      </c>
      <c r="L13" s="112">
        <v>25.78</v>
      </c>
      <c r="M13" s="112">
        <v>100.5</v>
      </c>
      <c r="N13" s="112">
        <v>2.1</v>
      </c>
      <c r="O13" s="112">
        <v>0</v>
      </c>
      <c r="P13" s="112">
        <v>0.37</v>
      </c>
      <c r="Q13" s="112">
        <v>4.67</v>
      </c>
      <c r="R13" s="6"/>
      <c r="S13" s="6"/>
      <c r="T13" s="182"/>
      <c r="U13" s="6"/>
    </row>
    <row r="14" spans="1:21" customFormat="1">
      <c r="A14" s="196" t="s">
        <v>724</v>
      </c>
      <c r="B14" s="112">
        <v>9.25</v>
      </c>
      <c r="C14" s="112">
        <v>4.04</v>
      </c>
      <c r="D14" s="112">
        <v>13.98</v>
      </c>
      <c r="E14" s="112">
        <v>8.3699999999999992</v>
      </c>
      <c r="F14" s="112">
        <v>8.31</v>
      </c>
      <c r="G14" s="112">
        <v>11.61</v>
      </c>
      <c r="H14" s="112">
        <v>4.04</v>
      </c>
      <c r="I14" s="112">
        <v>4.3099999999999996</v>
      </c>
      <c r="J14" s="112">
        <v>0.14000000000000001</v>
      </c>
      <c r="K14" s="112">
        <v>226.11</v>
      </c>
      <c r="L14" s="112">
        <v>25.88</v>
      </c>
      <c r="M14" s="112">
        <v>100.54</v>
      </c>
      <c r="N14" s="112">
        <v>2.2000000000000002</v>
      </c>
      <c r="O14" s="112">
        <v>0</v>
      </c>
      <c r="P14" s="112">
        <v>0.35</v>
      </c>
      <c r="Q14" s="112">
        <v>4.6500000000000004</v>
      </c>
      <c r="R14" s="6"/>
      <c r="S14" s="6"/>
      <c r="T14" s="182"/>
      <c r="U14" s="6"/>
    </row>
    <row r="15" spans="1:21" customFormat="1">
      <c r="A15" s="196" t="s">
        <v>725</v>
      </c>
      <c r="B15" s="112">
        <v>9.2799999999999994</v>
      </c>
      <c r="C15" s="112">
        <v>4.07</v>
      </c>
      <c r="D15" s="112">
        <v>14.02</v>
      </c>
      <c r="E15" s="112">
        <v>9.24</v>
      </c>
      <c r="F15" s="112">
        <v>7.14</v>
      </c>
      <c r="G15" s="112">
        <v>10.73</v>
      </c>
      <c r="H15" s="112">
        <v>4.2</v>
      </c>
      <c r="I15" s="112">
        <v>4.1500000000000004</v>
      </c>
      <c r="J15" s="112">
        <v>0.12</v>
      </c>
      <c r="K15" s="112">
        <v>220.1</v>
      </c>
      <c r="L15" s="112">
        <v>25.94</v>
      </c>
      <c r="M15" s="112">
        <v>100.49</v>
      </c>
      <c r="N15" s="112">
        <v>2.1</v>
      </c>
      <c r="O15" s="112">
        <v>0</v>
      </c>
      <c r="P15" s="112">
        <v>0.35</v>
      </c>
      <c r="Q15" s="112">
        <v>4.6500000000000004</v>
      </c>
      <c r="R15" s="6"/>
      <c r="S15" s="6"/>
      <c r="T15" s="182"/>
      <c r="U15" s="6"/>
    </row>
    <row r="16" spans="1:21" customFormat="1">
      <c r="A16" s="196" t="s">
        <v>726</v>
      </c>
      <c r="B16" s="112">
        <v>9.2899999999999991</v>
      </c>
      <c r="C16" s="112">
        <v>4.05</v>
      </c>
      <c r="D16" s="112">
        <v>14.02</v>
      </c>
      <c r="E16" s="112">
        <v>8.75</v>
      </c>
      <c r="F16" s="112">
        <v>6.94</v>
      </c>
      <c r="G16" s="112">
        <v>10.73</v>
      </c>
      <c r="H16" s="112">
        <v>4.2</v>
      </c>
      <c r="I16" s="112">
        <v>3.92</v>
      </c>
      <c r="J16" s="112">
        <v>0.09</v>
      </c>
      <c r="K16" s="112">
        <v>228.1</v>
      </c>
      <c r="L16" s="112">
        <v>25.97</v>
      </c>
      <c r="M16" s="112">
        <v>100.56</v>
      </c>
      <c r="N16" s="112">
        <v>2.2000000000000002</v>
      </c>
      <c r="O16" s="112">
        <v>0</v>
      </c>
      <c r="P16" s="112">
        <v>0.35</v>
      </c>
      <c r="Q16" s="112">
        <v>4.62</v>
      </c>
      <c r="R16" s="6"/>
      <c r="S16" s="6"/>
      <c r="T16" s="182"/>
      <c r="U16" s="6"/>
    </row>
    <row r="17" spans="1:21" customFormat="1">
      <c r="A17" s="196" t="s">
        <v>727</v>
      </c>
      <c r="B17" s="112">
        <v>9.2799999999999994</v>
      </c>
      <c r="C17" s="112">
        <v>4.0599999999999996</v>
      </c>
      <c r="D17" s="112">
        <v>14.01</v>
      </c>
      <c r="E17" s="112">
        <v>7.33</v>
      </c>
      <c r="F17" s="112">
        <v>6.89</v>
      </c>
      <c r="G17" s="112">
        <v>10.73</v>
      </c>
      <c r="H17" s="112">
        <v>4.2</v>
      </c>
      <c r="I17" s="112">
        <v>3.95</v>
      </c>
      <c r="J17" s="112">
        <v>0.17</v>
      </c>
      <c r="K17" s="112">
        <v>241.54</v>
      </c>
      <c r="L17" s="112">
        <v>25.96</v>
      </c>
      <c r="M17" s="112">
        <v>100.45</v>
      </c>
      <c r="N17" s="112">
        <v>2.4</v>
      </c>
      <c r="O17" s="112">
        <v>0.2</v>
      </c>
      <c r="P17" s="112">
        <v>0.37</v>
      </c>
      <c r="Q17" s="112">
        <v>4.6399999999999997</v>
      </c>
      <c r="R17" s="6"/>
      <c r="S17" s="6"/>
      <c r="T17" s="182"/>
      <c r="U17" s="6"/>
    </row>
    <row r="18" spans="1:21" customFormat="1">
      <c r="A18" s="196" t="s">
        <v>728</v>
      </c>
      <c r="B18" s="112">
        <v>9.2899999999999991</v>
      </c>
      <c r="C18" s="112">
        <v>4.0599999999999996</v>
      </c>
      <c r="D18" s="112">
        <v>14.02</v>
      </c>
      <c r="E18" s="112">
        <v>8.75</v>
      </c>
      <c r="F18" s="112">
        <v>7.63</v>
      </c>
      <c r="G18" s="112">
        <v>10.42</v>
      </c>
      <c r="H18" s="112">
        <v>5.15</v>
      </c>
      <c r="I18" s="112">
        <v>4.04</v>
      </c>
      <c r="J18" s="112">
        <v>0.12</v>
      </c>
      <c r="K18" s="112">
        <v>238.49</v>
      </c>
      <c r="L18" s="112">
        <v>26.01</v>
      </c>
      <c r="M18" s="112">
        <v>100.48</v>
      </c>
      <c r="N18" s="112">
        <v>2.2000000000000002</v>
      </c>
      <c r="O18" s="112">
        <v>0</v>
      </c>
      <c r="P18" s="112">
        <v>0.35</v>
      </c>
      <c r="Q18" s="112">
        <v>4.63</v>
      </c>
      <c r="R18" s="6"/>
      <c r="S18" s="6"/>
      <c r="T18" s="182"/>
      <c r="U18" s="6"/>
    </row>
    <row r="19" spans="1:21" customFormat="1">
      <c r="A19" s="196" t="s">
        <v>729</v>
      </c>
      <c r="B19" s="112">
        <v>9.27</v>
      </c>
      <c r="C19" s="112">
        <v>4.07</v>
      </c>
      <c r="D19" s="112">
        <v>14.01</v>
      </c>
      <c r="E19" s="112">
        <v>8.75</v>
      </c>
      <c r="F19" s="112">
        <v>8.44</v>
      </c>
      <c r="G19" s="112">
        <v>9.9600000000000009</v>
      </c>
      <c r="H19" s="112">
        <v>6</v>
      </c>
      <c r="I19" s="112">
        <v>3.96</v>
      </c>
      <c r="J19" s="112">
        <v>0.23</v>
      </c>
      <c r="K19" s="112">
        <v>258.07</v>
      </c>
      <c r="L19" s="112">
        <v>25.96</v>
      </c>
      <c r="M19" s="112">
        <v>100.42</v>
      </c>
      <c r="N19" s="112">
        <v>2.4</v>
      </c>
      <c r="O19" s="112">
        <v>0</v>
      </c>
      <c r="P19" s="112">
        <v>0.35</v>
      </c>
      <c r="Q19" s="112">
        <v>4.6399999999999997</v>
      </c>
      <c r="R19" s="6"/>
      <c r="S19" s="6"/>
      <c r="T19" s="182"/>
      <c r="U19" s="6"/>
    </row>
    <row r="20" spans="1:21" customFormat="1">
      <c r="A20" s="196" t="s">
        <v>730</v>
      </c>
      <c r="B20" s="112">
        <v>9.24</v>
      </c>
      <c r="C20" s="112">
        <v>4.04</v>
      </c>
      <c r="D20" s="112">
        <v>13.97</v>
      </c>
      <c r="E20" s="112">
        <v>9.5299999999999994</v>
      </c>
      <c r="F20" s="112">
        <v>7.12</v>
      </c>
      <c r="G20" s="112">
        <v>9.9600000000000009</v>
      </c>
      <c r="H20" s="112">
        <v>6</v>
      </c>
      <c r="I20" s="112">
        <v>3.69</v>
      </c>
      <c r="J20" s="112">
        <v>0.54</v>
      </c>
      <c r="K20" s="112">
        <v>266.19</v>
      </c>
      <c r="L20" s="112">
        <v>25.98</v>
      </c>
      <c r="M20" s="112">
        <v>100.07</v>
      </c>
      <c r="N20" s="112">
        <v>2.4</v>
      </c>
      <c r="O20" s="112">
        <v>0</v>
      </c>
      <c r="P20" s="112">
        <v>0.35</v>
      </c>
      <c r="Q20" s="112">
        <v>4.63</v>
      </c>
      <c r="R20" s="6"/>
      <c r="S20" s="6"/>
      <c r="T20" s="182"/>
      <c r="U20" s="6"/>
    </row>
    <row r="21" spans="1:21" customFormat="1">
      <c r="A21" s="196" t="s">
        <v>731</v>
      </c>
      <c r="B21" s="112">
        <v>9.23</v>
      </c>
      <c r="C21" s="112">
        <v>4.05</v>
      </c>
      <c r="D21" s="112">
        <v>13.97</v>
      </c>
      <c r="E21" s="112">
        <v>9.14</v>
      </c>
      <c r="F21" s="112">
        <v>7.48</v>
      </c>
      <c r="G21" s="112">
        <v>9.9600000000000009</v>
      </c>
      <c r="H21" s="112">
        <v>6</v>
      </c>
      <c r="I21" s="112">
        <v>3.62</v>
      </c>
      <c r="J21" s="112">
        <v>0.56999999999999995</v>
      </c>
      <c r="K21" s="112">
        <v>259.52</v>
      </c>
      <c r="L21" s="112">
        <v>25.88</v>
      </c>
      <c r="M21" s="112">
        <v>98.86</v>
      </c>
      <c r="N21" s="112">
        <v>2.6</v>
      </c>
      <c r="O21" s="112">
        <v>0</v>
      </c>
      <c r="P21" s="112">
        <v>0.35</v>
      </c>
      <c r="Q21" s="112">
        <v>4.6399999999999997</v>
      </c>
      <c r="R21" s="6"/>
      <c r="S21" s="6"/>
      <c r="T21" s="182"/>
      <c r="U21" s="6"/>
    </row>
    <row r="22" spans="1:21" customFormat="1">
      <c r="A22" s="196" t="s">
        <v>732</v>
      </c>
      <c r="B22" s="112">
        <v>9.24</v>
      </c>
      <c r="C22" s="112">
        <v>4.0599999999999996</v>
      </c>
      <c r="D22" s="112">
        <v>13.98</v>
      </c>
      <c r="E22" s="112">
        <v>9.15</v>
      </c>
      <c r="F22" s="112">
        <v>7.86</v>
      </c>
      <c r="G22" s="112">
        <v>11.01</v>
      </c>
      <c r="H22" s="112">
        <v>6.4</v>
      </c>
      <c r="I22" s="112">
        <v>4.07</v>
      </c>
      <c r="J22" s="112">
        <v>0.65</v>
      </c>
      <c r="K22" s="112">
        <v>259.67</v>
      </c>
      <c r="L22" s="112">
        <v>25.8</v>
      </c>
      <c r="M22" s="112">
        <v>98.11</v>
      </c>
      <c r="N22" s="112">
        <v>2.5</v>
      </c>
      <c r="O22" s="112">
        <v>0</v>
      </c>
      <c r="P22" s="112">
        <v>0.35</v>
      </c>
      <c r="Q22" s="112">
        <v>4.6399999999999997</v>
      </c>
      <c r="R22" s="6"/>
      <c r="S22" s="6"/>
      <c r="T22" s="182"/>
      <c r="U22" s="6"/>
    </row>
    <row r="23" spans="1:21" customFormat="1">
      <c r="A23" s="196" t="s">
        <v>733</v>
      </c>
      <c r="B23" s="112">
        <v>9.27</v>
      </c>
      <c r="C23" s="112">
        <v>4.05</v>
      </c>
      <c r="D23" s="112">
        <v>14</v>
      </c>
      <c r="E23" s="112">
        <v>9.42</v>
      </c>
      <c r="F23" s="112">
        <v>8.6300000000000008</v>
      </c>
      <c r="G23" s="112">
        <v>12.58</v>
      </c>
      <c r="H23" s="112">
        <v>6.75</v>
      </c>
      <c r="I23" s="112">
        <v>3.85</v>
      </c>
      <c r="J23" s="112">
        <v>0.48</v>
      </c>
      <c r="K23" s="112">
        <v>255.78</v>
      </c>
      <c r="L23" s="112">
        <v>25.74</v>
      </c>
      <c r="M23" s="112">
        <v>97.98</v>
      </c>
      <c r="N23" s="112">
        <v>2.4</v>
      </c>
      <c r="O23" s="112">
        <v>0.2</v>
      </c>
      <c r="P23" s="112">
        <v>0.34</v>
      </c>
      <c r="Q23" s="112">
        <v>4.6500000000000004</v>
      </c>
      <c r="R23" s="6"/>
      <c r="S23" s="6"/>
      <c r="T23" s="182"/>
      <c r="U23" s="6"/>
    </row>
    <row r="24" spans="1:21" customFormat="1">
      <c r="A24" s="196" t="s">
        <v>734</v>
      </c>
      <c r="B24" s="112">
        <v>9.26</v>
      </c>
      <c r="C24" s="112">
        <v>4.04</v>
      </c>
      <c r="D24" s="112">
        <v>13.99</v>
      </c>
      <c r="E24" s="112">
        <v>8.98</v>
      </c>
      <c r="F24" s="112">
        <v>7.68</v>
      </c>
      <c r="G24" s="112">
        <v>12.58</v>
      </c>
      <c r="H24" s="112">
        <v>6.75</v>
      </c>
      <c r="I24" s="112">
        <v>3.71</v>
      </c>
      <c r="J24" s="112">
        <v>0.54</v>
      </c>
      <c r="K24" s="112">
        <v>255.92</v>
      </c>
      <c r="L24" s="112">
        <v>25.73</v>
      </c>
      <c r="M24" s="112">
        <v>97.65</v>
      </c>
      <c r="N24" s="112">
        <v>2.4</v>
      </c>
      <c r="O24" s="112">
        <v>0</v>
      </c>
      <c r="P24" s="112">
        <v>0.33</v>
      </c>
      <c r="Q24" s="112">
        <v>4.6500000000000004</v>
      </c>
      <c r="R24" s="6"/>
      <c r="S24" s="6"/>
      <c r="T24" s="182"/>
      <c r="U24" s="6"/>
    </row>
    <row r="25" spans="1:21" customFormat="1">
      <c r="A25" s="196" t="s">
        <v>735</v>
      </c>
      <c r="B25" s="112">
        <v>9.26</v>
      </c>
      <c r="C25" s="112">
        <v>4.09</v>
      </c>
      <c r="D25" s="112">
        <v>14.01</v>
      </c>
      <c r="E25" s="112">
        <v>9.09</v>
      </c>
      <c r="F25" s="112">
        <v>7.27</v>
      </c>
      <c r="G25" s="112">
        <v>12.58</v>
      </c>
      <c r="H25" s="112">
        <v>6.75</v>
      </c>
      <c r="I25" s="112">
        <v>3.76</v>
      </c>
      <c r="J25" s="112">
        <v>0.57999999999999996</v>
      </c>
      <c r="K25" s="112">
        <v>258.88</v>
      </c>
      <c r="L25" s="112">
        <v>25.7</v>
      </c>
      <c r="M25" s="112">
        <v>96.65</v>
      </c>
      <c r="N25" s="112">
        <v>2.6</v>
      </c>
      <c r="O25" s="112">
        <v>0</v>
      </c>
      <c r="P25" s="112">
        <v>0.33</v>
      </c>
      <c r="Q25" s="112">
        <v>4.6500000000000004</v>
      </c>
      <c r="R25" s="6"/>
      <c r="S25" s="6"/>
      <c r="T25" s="182"/>
      <c r="U25" s="6"/>
    </row>
    <row r="26" spans="1:21" customFormat="1">
      <c r="A26" s="196" t="s">
        <v>736</v>
      </c>
      <c r="B26" s="112">
        <v>9.3000000000000007</v>
      </c>
      <c r="C26" s="112">
        <v>4.09</v>
      </c>
      <c r="D26" s="112">
        <v>14.04</v>
      </c>
      <c r="E26" s="112">
        <v>8.9700000000000006</v>
      </c>
      <c r="F26" s="112">
        <v>8.23</v>
      </c>
      <c r="G26" s="112">
        <v>11.87</v>
      </c>
      <c r="H26" s="112">
        <v>6.68</v>
      </c>
      <c r="I26" s="112">
        <v>3.75</v>
      </c>
      <c r="J26" s="112">
        <v>0.7</v>
      </c>
      <c r="K26" s="112">
        <v>257.08</v>
      </c>
      <c r="L26" s="112">
        <v>25.66</v>
      </c>
      <c r="M26" s="112">
        <v>95.31</v>
      </c>
      <c r="N26" s="112">
        <v>3</v>
      </c>
      <c r="O26" s="112">
        <v>0</v>
      </c>
      <c r="P26" s="112">
        <v>0.32</v>
      </c>
      <c r="Q26" s="112">
        <v>4.6399999999999997</v>
      </c>
      <c r="R26" s="6"/>
      <c r="S26" s="6"/>
      <c r="T26" s="182"/>
      <c r="U26" s="6"/>
    </row>
    <row r="27" spans="1:21" customFormat="1">
      <c r="A27" s="196" t="s">
        <v>737</v>
      </c>
      <c r="B27" s="112">
        <v>9.31</v>
      </c>
      <c r="C27" s="112">
        <v>4.08</v>
      </c>
      <c r="D27" s="112">
        <v>14.05</v>
      </c>
      <c r="E27" s="112">
        <v>9.16</v>
      </c>
      <c r="F27" s="112">
        <v>6.93</v>
      </c>
      <c r="G27" s="112">
        <v>10.8</v>
      </c>
      <c r="H27" s="112">
        <v>6.47</v>
      </c>
      <c r="I27" s="112">
        <v>3.76</v>
      </c>
      <c r="J27" s="112">
        <v>0.67</v>
      </c>
      <c r="K27" s="112">
        <v>268.63</v>
      </c>
      <c r="L27" s="112">
        <v>25.68</v>
      </c>
      <c r="M27" s="112">
        <v>94.49</v>
      </c>
      <c r="N27" s="112">
        <v>2.9</v>
      </c>
      <c r="O27" s="112">
        <v>0</v>
      </c>
      <c r="P27" s="112">
        <v>0.32</v>
      </c>
      <c r="Q27" s="112">
        <v>4.6399999999999997</v>
      </c>
      <c r="R27" s="6"/>
      <c r="S27" s="6"/>
      <c r="T27" s="182"/>
      <c r="U27" s="6"/>
    </row>
    <row r="28" spans="1:21" customFormat="1">
      <c r="A28" s="196" t="s">
        <v>738</v>
      </c>
      <c r="B28" s="112">
        <v>9.3000000000000007</v>
      </c>
      <c r="C28" s="112">
        <v>4.1100000000000003</v>
      </c>
      <c r="D28" s="112">
        <v>14.05</v>
      </c>
      <c r="E28" s="112">
        <v>9.34</v>
      </c>
      <c r="F28" s="112">
        <v>4.68</v>
      </c>
      <c r="G28" s="112">
        <v>10.8</v>
      </c>
      <c r="H28" s="112">
        <v>6.47</v>
      </c>
      <c r="I28" s="112">
        <v>3.56</v>
      </c>
      <c r="J28" s="112">
        <v>0.83</v>
      </c>
      <c r="K28" s="112">
        <v>264.85000000000002</v>
      </c>
      <c r="L28" s="112">
        <v>25.65</v>
      </c>
      <c r="M28" s="112">
        <v>93.79</v>
      </c>
      <c r="N28" s="112">
        <v>3.1</v>
      </c>
      <c r="O28" s="112">
        <v>0</v>
      </c>
      <c r="P28" s="112">
        <v>0.32</v>
      </c>
      <c r="Q28" s="112">
        <v>4.6500000000000004</v>
      </c>
      <c r="R28" s="6"/>
      <c r="S28" s="6"/>
      <c r="T28" s="182"/>
      <c r="U28" s="6"/>
    </row>
    <row r="29" spans="1:21" customFormat="1">
      <c r="A29" s="196" t="s">
        <v>739</v>
      </c>
      <c r="B29" s="112">
        <v>9.2799999999999994</v>
      </c>
      <c r="C29" s="112">
        <v>4.0999999999999996</v>
      </c>
      <c r="D29" s="112">
        <v>14.04</v>
      </c>
      <c r="E29" s="112">
        <v>9.11</v>
      </c>
      <c r="F29" s="112">
        <v>3.98</v>
      </c>
      <c r="G29" s="112">
        <v>10.8</v>
      </c>
      <c r="H29" s="112">
        <v>6.47</v>
      </c>
      <c r="I29" s="112">
        <v>3.75</v>
      </c>
      <c r="J29" s="112">
        <v>1.0900000000000001</v>
      </c>
      <c r="K29" s="112">
        <v>273.23</v>
      </c>
      <c r="L29" s="112">
        <v>25.7</v>
      </c>
      <c r="M29" s="112">
        <v>91.95</v>
      </c>
      <c r="N29" s="112">
        <v>3.9</v>
      </c>
      <c r="O29" s="112">
        <v>0</v>
      </c>
      <c r="P29" s="112">
        <v>0.32</v>
      </c>
      <c r="Q29" s="112">
        <v>4.6399999999999997</v>
      </c>
      <c r="R29" s="6"/>
      <c r="S29" s="6"/>
      <c r="T29" s="182"/>
      <c r="U29" s="6"/>
    </row>
    <row r="30" spans="1:21" customFormat="1">
      <c r="A30" s="196" t="s">
        <v>740</v>
      </c>
      <c r="B30" s="112">
        <v>9.3000000000000007</v>
      </c>
      <c r="C30" s="112">
        <v>4.07</v>
      </c>
      <c r="D30" s="112">
        <v>14.03</v>
      </c>
      <c r="E30" s="112">
        <v>9.35</v>
      </c>
      <c r="F30" s="112">
        <v>3.71</v>
      </c>
      <c r="G30" s="112">
        <v>9.75</v>
      </c>
      <c r="H30" s="112">
        <v>5.53</v>
      </c>
      <c r="I30" s="112">
        <v>3.75</v>
      </c>
      <c r="J30" s="112">
        <v>1.07</v>
      </c>
      <c r="K30" s="112">
        <v>270.61</v>
      </c>
      <c r="L30" s="112">
        <v>25.72</v>
      </c>
      <c r="M30" s="112">
        <v>90.97</v>
      </c>
      <c r="N30" s="112">
        <v>8.1</v>
      </c>
      <c r="O30" s="112">
        <v>0</v>
      </c>
      <c r="P30" s="112">
        <v>0.31</v>
      </c>
      <c r="Q30" s="112">
        <v>4.63</v>
      </c>
      <c r="R30" s="6"/>
      <c r="S30" s="6"/>
      <c r="T30" s="182"/>
      <c r="U30" s="6"/>
    </row>
    <row r="31" spans="1:21" customFormat="1">
      <c r="A31" s="196" t="s">
        <v>741</v>
      </c>
      <c r="B31" s="112">
        <v>9.24</v>
      </c>
      <c r="C31" s="112">
        <v>4.07</v>
      </c>
      <c r="D31" s="112">
        <v>13.98</v>
      </c>
      <c r="E31" s="112">
        <v>9.74</v>
      </c>
      <c r="F31" s="112">
        <v>3.98</v>
      </c>
      <c r="G31" s="112">
        <v>8.17</v>
      </c>
      <c r="H31" s="112">
        <v>4.7</v>
      </c>
      <c r="I31" s="112">
        <v>3.69</v>
      </c>
      <c r="J31" s="112">
        <v>0.76</v>
      </c>
      <c r="K31" s="112">
        <v>265.85000000000002</v>
      </c>
      <c r="L31" s="112">
        <v>25.71</v>
      </c>
      <c r="M31" s="112">
        <v>90.87</v>
      </c>
      <c r="N31" s="112">
        <v>16.8</v>
      </c>
      <c r="O31" s="112">
        <v>0</v>
      </c>
      <c r="P31" s="112">
        <v>0.3</v>
      </c>
      <c r="Q31" s="112">
        <v>4.63</v>
      </c>
      <c r="R31" s="6"/>
      <c r="S31" s="6"/>
      <c r="T31" s="182"/>
      <c r="U31" s="6"/>
    </row>
    <row r="32" spans="1:21" customFormat="1">
      <c r="A32" s="196" t="s">
        <v>742</v>
      </c>
      <c r="B32" s="112">
        <v>9.2100000000000009</v>
      </c>
      <c r="C32" s="112">
        <v>4.07</v>
      </c>
      <c r="D32" s="112">
        <v>13.96</v>
      </c>
      <c r="E32" s="112">
        <v>9.4600000000000009</v>
      </c>
      <c r="F32" s="112">
        <v>3.75</v>
      </c>
      <c r="G32" s="112">
        <v>8.17</v>
      </c>
      <c r="H32" s="112">
        <v>4.7</v>
      </c>
      <c r="I32" s="112">
        <v>3.58</v>
      </c>
      <c r="J32" s="112">
        <v>0.79</v>
      </c>
      <c r="K32" s="112">
        <v>270.11</v>
      </c>
      <c r="L32" s="112">
        <v>25.78</v>
      </c>
      <c r="M32" s="112">
        <v>90.53</v>
      </c>
      <c r="N32" s="112">
        <v>30.7</v>
      </c>
      <c r="O32" s="112">
        <v>0</v>
      </c>
      <c r="P32" s="112">
        <v>0.3</v>
      </c>
      <c r="Q32" s="112">
        <v>4.62</v>
      </c>
      <c r="R32" s="6"/>
      <c r="S32" s="6"/>
      <c r="T32" s="182"/>
      <c r="U32" s="6"/>
    </row>
    <row r="33" spans="1:21" customFormat="1">
      <c r="A33" s="196" t="s">
        <v>743</v>
      </c>
      <c r="B33" s="112">
        <v>9.1999999999999993</v>
      </c>
      <c r="C33" s="112">
        <v>4.0999999999999996</v>
      </c>
      <c r="D33" s="112">
        <v>13.96</v>
      </c>
      <c r="E33" s="112">
        <v>9.83</v>
      </c>
      <c r="F33" s="112">
        <v>3.74</v>
      </c>
      <c r="G33" s="112">
        <v>8.17</v>
      </c>
      <c r="H33" s="112">
        <v>4.7</v>
      </c>
      <c r="I33" s="112">
        <v>3.51</v>
      </c>
      <c r="J33" s="112">
        <v>0.64</v>
      </c>
      <c r="K33" s="112">
        <v>263.36</v>
      </c>
      <c r="L33" s="112">
        <v>25.92</v>
      </c>
      <c r="M33" s="112">
        <v>90.74</v>
      </c>
      <c r="N33" s="112">
        <v>34.6</v>
      </c>
      <c r="O33" s="112">
        <v>0</v>
      </c>
      <c r="P33" s="112">
        <v>0.28999999999999998</v>
      </c>
      <c r="Q33" s="112">
        <v>4.63</v>
      </c>
      <c r="R33" s="6"/>
      <c r="S33" s="6"/>
      <c r="T33" s="182"/>
      <c r="U33" s="6"/>
    </row>
    <row r="34" spans="1:21" customFormat="1">
      <c r="A34" s="196" t="s">
        <v>744</v>
      </c>
      <c r="B34" s="112">
        <v>9.2200000000000006</v>
      </c>
      <c r="C34" s="112">
        <v>4.05</v>
      </c>
      <c r="D34" s="112">
        <v>13.96</v>
      </c>
      <c r="E34" s="112">
        <v>9.94</v>
      </c>
      <c r="F34" s="112">
        <v>3.64</v>
      </c>
      <c r="G34" s="112">
        <v>8.16</v>
      </c>
      <c r="H34" s="112">
        <v>4.2300000000000004</v>
      </c>
      <c r="I34" s="112">
        <v>3.48</v>
      </c>
      <c r="J34" s="112">
        <v>0.64</v>
      </c>
      <c r="K34" s="112">
        <v>266.24</v>
      </c>
      <c r="L34" s="112">
        <v>25.87</v>
      </c>
      <c r="M34" s="112">
        <v>91.44</v>
      </c>
      <c r="N34" s="112">
        <v>41.8</v>
      </c>
      <c r="O34" s="112">
        <v>0</v>
      </c>
      <c r="P34" s="112">
        <v>0.28999999999999998</v>
      </c>
      <c r="Q34" s="112">
        <v>4.6399999999999997</v>
      </c>
      <c r="R34" s="6"/>
      <c r="S34" s="6"/>
      <c r="T34" s="182"/>
      <c r="U34" s="6"/>
    </row>
    <row r="35" spans="1:21" customFormat="1">
      <c r="A35" s="196" t="s">
        <v>745</v>
      </c>
      <c r="B35" s="112">
        <v>9.2100000000000009</v>
      </c>
      <c r="C35" s="112">
        <v>4.0599999999999996</v>
      </c>
      <c r="D35" s="112">
        <v>13.95</v>
      </c>
      <c r="E35" s="112">
        <v>10.11</v>
      </c>
      <c r="F35" s="112">
        <v>3.75</v>
      </c>
      <c r="G35" s="112">
        <v>8.1300000000000008</v>
      </c>
      <c r="H35" s="112">
        <v>3.81</v>
      </c>
      <c r="I35" s="112">
        <v>3.39</v>
      </c>
      <c r="J35" s="112">
        <v>0.63</v>
      </c>
      <c r="K35" s="112">
        <v>267.63</v>
      </c>
      <c r="L35" s="112">
        <v>25.95</v>
      </c>
      <c r="M35" s="112">
        <v>91.43</v>
      </c>
      <c r="N35" s="112">
        <v>38.5</v>
      </c>
      <c r="O35" s="112">
        <v>0</v>
      </c>
      <c r="P35" s="112">
        <v>0.28999999999999998</v>
      </c>
      <c r="Q35" s="112">
        <v>4.6399999999999997</v>
      </c>
      <c r="R35" s="6"/>
      <c r="S35" s="6"/>
      <c r="T35" s="182"/>
      <c r="U35" s="6"/>
    </row>
    <row r="36" spans="1:21" customFormat="1">
      <c r="A36" s="196" t="s">
        <v>746</v>
      </c>
      <c r="B36" s="112">
        <v>9.2100000000000009</v>
      </c>
      <c r="C36" s="112">
        <v>4.07</v>
      </c>
      <c r="D36" s="112">
        <v>13.96</v>
      </c>
      <c r="E36" s="112">
        <v>10.68</v>
      </c>
      <c r="F36" s="112">
        <v>3.61</v>
      </c>
      <c r="G36" s="112">
        <v>8.1300000000000008</v>
      </c>
      <c r="H36" s="112">
        <v>3.81</v>
      </c>
      <c r="I36" s="112">
        <v>3.38</v>
      </c>
      <c r="J36" s="112">
        <v>0.63</v>
      </c>
      <c r="K36" s="112">
        <v>259.17</v>
      </c>
      <c r="L36" s="112">
        <v>25.94</v>
      </c>
      <c r="M36" s="112">
        <v>91.73</v>
      </c>
      <c r="N36" s="112">
        <v>34.700000000000003</v>
      </c>
      <c r="O36" s="112">
        <v>0</v>
      </c>
      <c r="P36" s="112">
        <v>0.28999999999999998</v>
      </c>
      <c r="Q36" s="112">
        <v>4.63</v>
      </c>
      <c r="R36" s="6"/>
      <c r="S36" s="6"/>
      <c r="T36" s="182"/>
      <c r="U36" s="6"/>
    </row>
    <row r="37" spans="1:21" customFormat="1">
      <c r="A37" s="196" t="s">
        <v>747</v>
      </c>
      <c r="B37" s="112">
        <v>9.19</v>
      </c>
      <c r="C37" s="112">
        <v>4.1100000000000003</v>
      </c>
      <c r="D37" s="112">
        <v>13.96</v>
      </c>
      <c r="E37" s="112">
        <v>10.119999999999999</v>
      </c>
      <c r="F37" s="112">
        <v>3.67</v>
      </c>
      <c r="G37" s="112">
        <v>8.1300000000000008</v>
      </c>
      <c r="H37" s="112">
        <v>3.81</v>
      </c>
      <c r="I37" s="112">
        <v>3.38</v>
      </c>
      <c r="J37" s="112">
        <v>0.68</v>
      </c>
      <c r="K37" s="112">
        <v>276.83</v>
      </c>
      <c r="L37" s="112">
        <v>25.97</v>
      </c>
      <c r="M37" s="112">
        <v>91.12</v>
      </c>
      <c r="N37" s="112">
        <v>34.1</v>
      </c>
      <c r="O37" s="112">
        <v>0</v>
      </c>
      <c r="P37" s="112">
        <v>0.28000000000000003</v>
      </c>
      <c r="Q37" s="112">
        <v>4.62</v>
      </c>
      <c r="R37" s="6"/>
      <c r="S37" s="6"/>
      <c r="T37" s="182"/>
      <c r="U37" s="6"/>
    </row>
    <row r="38" spans="1:21" customFormat="1">
      <c r="A38" s="196" t="s">
        <v>748</v>
      </c>
      <c r="B38" s="112">
        <v>9.19</v>
      </c>
      <c r="C38" s="112">
        <v>4.09</v>
      </c>
      <c r="D38" s="112">
        <v>13.96</v>
      </c>
      <c r="E38" s="112">
        <v>10.34</v>
      </c>
      <c r="F38" s="112">
        <v>4.0599999999999996</v>
      </c>
      <c r="G38" s="112">
        <v>8.7100000000000009</v>
      </c>
      <c r="H38" s="112">
        <v>4.45</v>
      </c>
      <c r="I38" s="112">
        <v>3.36</v>
      </c>
      <c r="J38" s="112">
        <v>0.65</v>
      </c>
      <c r="K38" s="112">
        <v>267.94</v>
      </c>
      <c r="L38" s="112">
        <v>25.96</v>
      </c>
      <c r="M38" s="112">
        <v>91.34</v>
      </c>
      <c r="N38" s="112">
        <v>42.3</v>
      </c>
      <c r="O38" s="112">
        <v>0</v>
      </c>
      <c r="P38" s="112">
        <v>0.28999999999999998</v>
      </c>
      <c r="Q38" s="112">
        <v>4.62</v>
      </c>
      <c r="R38" s="6"/>
      <c r="S38" s="6"/>
      <c r="T38" s="182"/>
      <c r="U38" s="6"/>
    </row>
    <row r="39" spans="1:21" customFormat="1">
      <c r="A39" s="196" t="s">
        <v>749</v>
      </c>
      <c r="B39" s="112">
        <v>9.1999999999999993</v>
      </c>
      <c r="C39" s="112">
        <v>4.05</v>
      </c>
      <c r="D39" s="112">
        <v>13.94</v>
      </c>
      <c r="E39" s="112">
        <v>10.28</v>
      </c>
      <c r="F39" s="112">
        <v>3.63</v>
      </c>
      <c r="G39" s="112">
        <v>9.58</v>
      </c>
      <c r="H39" s="112">
        <v>5.03</v>
      </c>
      <c r="I39" s="112">
        <v>3.33</v>
      </c>
      <c r="J39" s="112">
        <v>0.59</v>
      </c>
      <c r="K39" s="112">
        <v>266.74</v>
      </c>
      <c r="L39" s="112">
        <v>26.14</v>
      </c>
      <c r="M39" s="112">
        <v>91</v>
      </c>
      <c r="N39" s="112">
        <v>46</v>
      </c>
      <c r="O39" s="112">
        <v>0</v>
      </c>
      <c r="P39" s="112">
        <v>0.28000000000000003</v>
      </c>
      <c r="Q39" s="112">
        <v>4.62</v>
      </c>
      <c r="R39" s="6"/>
      <c r="S39" s="6"/>
      <c r="T39" s="182"/>
      <c r="U39" s="6"/>
    </row>
    <row r="40" spans="1:21" customFormat="1">
      <c r="A40" s="196" t="s">
        <v>750</v>
      </c>
      <c r="B40" s="112">
        <v>9.18</v>
      </c>
      <c r="C40" s="112">
        <v>4.08</v>
      </c>
      <c r="D40" s="112">
        <v>13.94</v>
      </c>
      <c r="E40" s="112">
        <v>10.98</v>
      </c>
      <c r="F40" s="112">
        <v>3.62</v>
      </c>
      <c r="G40" s="112">
        <v>9.58</v>
      </c>
      <c r="H40" s="112">
        <v>5.03</v>
      </c>
      <c r="I40" s="112">
        <v>3.28</v>
      </c>
      <c r="J40" s="112">
        <v>0.68</v>
      </c>
      <c r="K40" s="112">
        <v>268.58</v>
      </c>
      <c r="L40" s="112">
        <v>26.13</v>
      </c>
      <c r="M40" s="112">
        <v>90.97</v>
      </c>
      <c r="N40" s="112">
        <v>57.6</v>
      </c>
      <c r="O40" s="112">
        <v>0</v>
      </c>
      <c r="P40" s="112">
        <v>0.28000000000000003</v>
      </c>
      <c r="Q40" s="112">
        <v>4.63</v>
      </c>
      <c r="R40" s="6"/>
      <c r="S40" s="6"/>
      <c r="T40" s="182"/>
      <c r="U40" s="6"/>
    </row>
    <row r="41" spans="1:21" customFormat="1">
      <c r="A41" s="196" t="s">
        <v>751</v>
      </c>
      <c r="B41" s="112">
        <v>9.19</v>
      </c>
      <c r="C41" s="112">
        <v>4.05</v>
      </c>
      <c r="D41" s="112">
        <v>13.93</v>
      </c>
      <c r="E41" s="112">
        <v>10.56</v>
      </c>
      <c r="F41" s="112">
        <v>3.72</v>
      </c>
      <c r="G41" s="112">
        <v>9.58</v>
      </c>
      <c r="H41" s="112">
        <v>5.03</v>
      </c>
      <c r="I41" s="112">
        <v>3.31</v>
      </c>
      <c r="J41" s="112">
        <v>0.67</v>
      </c>
      <c r="K41" s="112">
        <v>278.49</v>
      </c>
      <c r="L41" s="112">
        <v>26.13</v>
      </c>
      <c r="M41" s="112">
        <v>90.56</v>
      </c>
      <c r="N41" s="112">
        <v>42.4</v>
      </c>
      <c r="O41" s="112">
        <v>0</v>
      </c>
      <c r="P41" s="112">
        <v>0.28000000000000003</v>
      </c>
      <c r="Q41" s="112">
        <v>4.63</v>
      </c>
      <c r="R41" s="6"/>
      <c r="S41" s="6"/>
      <c r="T41" s="182"/>
      <c r="U41" s="6"/>
    </row>
    <row r="42" spans="1:21" customFormat="1">
      <c r="A42" s="196" t="s">
        <v>752</v>
      </c>
      <c r="B42" s="112">
        <v>9.18</v>
      </c>
      <c r="C42" s="112">
        <v>4.08</v>
      </c>
      <c r="D42" s="112">
        <v>13.94</v>
      </c>
      <c r="E42" s="112">
        <v>10.75</v>
      </c>
      <c r="F42" s="112">
        <v>3.86</v>
      </c>
      <c r="G42" s="112">
        <v>9.15</v>
      </c>
      <c r="H42" s="112">
        <v>4.43</v>
      </c>
      <c r="I42" s="112">
        <v>3.3</v>
      </c>
      <c r="J42" s="112">
        <v>0.55000000000000004</v>
      </c>
      <c r="K42" s="112">
        <v>267.05</v>
      </c>
      <c r="L42" s="112">
        <v>26.05</v>
      </c>
      <c r="M42" s="112">
        <v>91.85</v>
      </c>
      <c r="N42" s="112">
        <v>45.3</v>
      </c>
      <c r="O42" s="112">
        <v>0</v>
      </c>
      <c r="P42" s="112">
        <v>0.28999999999999998</v>
      </c>
      <c r="Q42" s="112">
        <v>4.62</v>
      </c>
      <c r="R42" s="6"/>
      <c r="S42" s="6"/>
      <c r="T42" s="182"/>
      <c r="U42" s="6"/>
    </row>
    <row r="43" spans="1:21" customFormat="1">
      <c r="A43" s="196" t="s">
        <v>753</v>
      </c>
      <c r="B43" s="112">
        <v>9.1999999999999993</v>
      </c>
      <c r="C43" s="112">
        <v>4.05</v>
      </c>
      <c r="D43" s="112">
        <v>13.94</v>
      </c>
      <c r="E43" s="112">
        <v>11.21</v>
      </c>
      <c r="F43" s="112">
        <v>3.35</v>
      </c>
      <c r="G43" s="112">
        <v>8.5</v>
      </c>
      <c r="H43" s="112">
        <v>3.89</v>
      </c>
      <c r="I43" s="112">
        <v>3.28</v>
      </c>
      <c r="J43" s="112">
        <v>0.38</v>
      </c>
      <c r="K43" s="112">
        <v>261.36</v>
      </c>
      <c r="L43" s="112">
        <v>26.12</v>
      </c>
      <c r="M43" s="112">
        <v>92.49</v>
      </c>
      <c r="N43" s="112">
        <v>56.5</v>
      </c>
      <c r="O43" s="112">
        <v>0</v>
      </c>
      <c r="P43" s="112">
        <v>0.28000000000000003</v>
      </c>
      <c r="Q43" s="112">
        <v>4.62</v>
      </c>
      <c r="R43" s="6"/>
      <c r="S43" s="6"/>
      <c r="T43" s="182"/>
      <c r="U43" s="6"/>
    </row>
    <row r="44" spans="1:21" customFormat="1">
      <c r="A44" s="196" t="s">
        <v>754</v>
      </c>
      <c r="B44" s="112">
        <v>9.19</v>
      </c>
      <c r="C44" s="112">
        <v>4.0599999999999996</v>
      </c>
      <c r="D44" s="112">
        <v>13.94</v>
      </c>
      <c r="E44" s="112">
        <v>11.41</v>
      </c>
      <c r="F44" s="112">
        <v>3.56</v>
      </c>
      <c r="G44" s="112">
        <v>8.5</v>
      </c>
      <c r="H44" s="112">
        <v>3.89</v>
      </c>
      <c r="I44" s="112">
        <v>3.27</v>
      </c>
      <c r="J44" s="112">
        <v>0.53</v>
      </c>
      <c r="K44" s="112">
        <v>266.56</v>
      </c>
      <c r="L44" s="112">
        <v>26.36</v>
      </c>
      <c r="M44" s="112">
        <v>94.67</v>
      </c>
      <c r="N44" s="112">
        <v>73.5</v>
      </c>
      <c r="O44" s="112">
        <v>0</v>
      </c>
      <c r="P44" s="112">
        <v>0.3</v>
      </c>
      <c r="Q44" s="112">
        <v>4.6100000000000003</v>
      </c>
      <c r="R44" s="6"/>
      <c r="S44" s="6"/>
      <c r="T44" s="182"/>
      <c r="U44" s="6"/>
    </row>
    <row r="45" spans="1:21" customFormat="1">
      <c r="A45" s="196" t="s">
        <v>755</v>
      </c>
      <c r="B45" s="112">
        <v>9.19</v>
      </c>
      <c r="C45" s="112">
        <v>4.0999999999999996</v>
      </c>
      <c r="D45" s="112">
        <v>13.96</v>
      </c>
      <c r="E45" s="112">
        <v>11.29</v>
      </c>
      <c r="F45" s="112">
        <v>3.63</v>
      </c>
      <c r="G45" s="112">
        <v>8.5</v>
      </c>
      <c r="H45" s="112">
        <v>3.89</v>
      </c>
      <c r="I45" s="112">
        <v>3.36</v>
      </c>
      <c r="J45" s="112">
        <v>0.52</v>
      </c>
      <c r="K45" s="112">
        <v>259.69</v>
      </c>
      <c r="L45" s="112">
        <v>26.73</v>
      </c>
      <c r="M45" s="112">
        <v>91.46</v>
      </c>
      <c r="N45" s="112">
        <v>137.19999999999999</v>
      </c>
      <c r="O45" s="112">
        <v>0</v>
      </c>
      <c r="P45" s="112">
        <v>0.3</v>
      </c>
      <c r="Q45" s="112">
        <v>4.6399999999999997</v>
      </c>
      <c r="R45" s="6"/>
      <c r="S45" s="6"/>
      <c r="T45" s="182"/>
      <c r="U45" s="6"/>
    </row>
    <row r="46" spans="1:21" customFormat="1">
      <c r="A46" s="196" t="s">
        <v>756</v>
      </c>
      <c r="B46" s="112">
        <v>9.19</v>
      </c>
      <c r="C46" s="112">
        <v>4.07</v>
      </c>
      <c r="D46" s="112">
        <v>13.95</v>
      </c>
      <c r="E46" s="112">
        <v>11.66</v>
      </c>
      <c r="F46" s="112">
        <v>4.32</v>
      </c>
      <c r="G46" s="112">
        <v>10.78</v>
      </c>
      <c r="H46" s="112">
        <v>4.5199999999999996</v>
      </c>
      <c r="I46" s="112">
        <v>3.51</v>
      </c>
      <c r="J46" s="112">
        <v>0.42</v>
      </c>
      <c r="K46" s="112">
        <v>262.52999999999997</v>
      </c>
      <c r="L46" s="112">
        <v>27.34</v>
      </c>
      <c r="M46" s="112">
        <v>95.01</v>
      </c>
      <c r="N46" s="112">
        <v>199.2</v>
      </c>
      <c r="O46" s="112">
        <v>0</v>
      </c>
      <c r="P46" s="112">
        <v>0.31</v>
      </c>
      <c r="Q46" s="112">
        <v>4.6500000000000004</v>
      </c>
      <c r="R46" s="6"/>
      <c r="S46" s="6"/>
      <c r="T46" s="182"/>
      <c r="U46" s="6"/>
    </row>
    <row r="47" spans="1:21" customFormat="1">
      <c r="A47" s="196" t="s">
        <v>757</v>
      </c>
      <c r="B47" s="112">
        <v>9.19</v>
      </c>
      <c r="C47" s="112">
        <v>4.07</v>
      </c>
      <c r="D47" s="112">
        <v>13.94</v>
      </c>
      <c r="E47" s="112">
        <v>11.26</v>
      </c>
      <c r="F47" s="112">
        <v>3.68</v>
      </c>
      <c r="G47" s="112">
        <v>14.2</v>
      </c>
      <c r="H47" s="112">
        <v>5.08</v>
      </c>
      <c r="I47" s="112">
        <v>3.65</v>
      </c>
      <c r="J47" s="112">
        <v>0.65</v>
      </c>
      <c r="K47" s="112">
        <v>278.89999999999998</v>
      </c>
      <c r="L47" s="112">
        <v>27.96</v>
      </c>
      <c r="M47" s="112">
        <v>92.87</v>
      </c>
      <c r="N47" s="112">
        <v>215.5</v>
      </c>
      <c r="O47" s="112">
        <v>0</v>
      </c>
      <c r="P47" s="112">
        <v>0.37</v>
      </c>
      <c r="Q47" s="112">
        <v>4.62</v>
      </c>
      <c r="R47" s="6"/>
      <c r="S47" s="6"/>
      <c r="T47" s="182"/>
      <c r="U47" s="6"/>
    </row>
    <row r="48" spans="1:21" customFormat="1">
      <c r="A48" s="196" t="s">
        <v>758</v>
      </c>
      <c r="B48" s="112">
        <v>9.26</v>
      </c>
      <c r="C48" s="112">
        <v>4.0599999999999996</v>
      </c>
      <c r="D48" s="112">
        <v>14</v>
      </c>
      <c r="E48" s="112">
        <v>11.71</v>
      </c>
      <c r="F48" s="112">
        <v>4.41</v>
      </c>
      <c r="G48" s="112">
        <v>14.2</v>
      </c>
      <c r="H48" s="112">
        <v>5.08</v>
      </c>
      <c r="I48" s="112">
        <v>3.82</v>
      </c>
      <c r="J48" s="112">
        <v>1</v>
      </c>
      <c r="K48" s="112">
        <v>286.82</v>
      </c>
      <c r="L48" s="112">
        <v>28.15</v>
      </c>
      <c r="M48" s="112">
        <v>95.84</v>
      </c>
      <c r="N48" s="112">
        <v>249</v>
      </c>
      <c r="O48" s="112">
        <v>0</v>
      </c>
      <c r="P48" s="112">
        <v>0.41</v>
      </c>
      <c r="Q48" s="112">
        <v>4.6100000000000003</v>
      </c>
      <c r="R48" s="6"/>
      <c r="S48" s="6"/>
      <c r="T48" s="182"/>
      <c r="U48" s="6"/>
    </row>
    <row r="49" spans="1:21" customFormat="1">
      <c r="A49" s="196" t="s">
        <v>759</v>
      </c>
      <c r="B49" s="112">
        <v>9.2799999999999994</v>
      </c>
      <c r="C49" s="112">
        <v>4.09</v>
      </c>
      <c r="D49" s="112">
        <v>14.03</v>
      </c>
      <c r="E49" s="112">
        <v>8.83</v>
      </c>
      <c r="F49" s="112">
        <v>6.75</v>
      </c>
      <c r="G49" s="112">
        <v>14.2</v>
      </c>
      <c r="H49" s="112">
        <v>5.08</v>
      </c>
      <c r="I49" s="112">
        <v>4.08</v>
      </c>
      <c r="J49" s="112">
        <v>1.19</v>
      </c>
      <c r="K49" s="112">
        <v>308.92</v>
      </c>
      <c r="L49" s="112">
        <v>28.61</v>
      </c>
      <c r="M49" s="112">
        <v>87.9</v>
      </c>
      <c r="N49" s="112">
        <v>274.8</v>
      </c>
      <c r="O49" s="112">
        <v>0</v>
      </c>
      <c r="P49" s="112">
        <v>0.4</v>
      </c>
      <c r="Q49" s="112">
        <v>4.6100000000000003</v>
      </c>
      <c r="R49" s="6"/>
      <c r="S49" s="6"/>
      <c r="T49" s="182"/>
      <c r="U49" s="6"/>
    </row>
    <row r="50" spans="1:21" customFormat="1">
      <c r="A50" s="196" t="s">
        <v>760</v>
      </c>
      <c r="B50" s="112">
        <v>9.26</v>
      </c>
      <c r="C50" s="112">
        <v>4.08</v>
      </c>
      <c r="D50" s="112">
        <v>14.01</v>
      </c>
      <c r="E50" s="112">
        <v>9.9700000000000006</v>
      </c>
      <c r="F50" s="112">
        <v>8.5399999999999991</v>
      </c>
      <c r="G50" s="112">
        <v>15.72</v>
      </c>
      <c r="H50" s="112">
        <v>5.38</v>
      </c>
      <c r="I50" s="112">
        <v>4.26</v>
      </c>
      <c r="J50" s="112">
        <v>1.05</v>
      </c>
      <c r="K50" s="112">
        <v>274.14</v>
      </c>
      <c r="L50" s="112">
        <v>28.9</v>
      </c>
      <c r="M50" s="112">
        <v>90.56</v>
      </c>
      <c r="N50" s="112">
        <v>335.8</v>
      </c>
      <c r="O50" s="112">
        <v>0</v>
      </c>
      <c r="P50" s="112">
        <v>0.37</v>
      </c>
      <c r="Q50" s="112">
        <v>4.63</v>
      </c>
      <c r="R50" s="6"/>
      <c r="S50" s="6"/>
      <c r="T50" s="182"/>
      <c r="U50" s="6"/>
    </row>
    <row r="51" spans="1:21" customFormat="1">
      <c r="A51" s="196" t="s">
        <v>761</v>
      </c>
      <c r="B51" s="112">
        <v>9.26</v>
      </c>
      <c r="C51" s="112">
        <v>4.05</v>
      </c>
      <c r="D51" s="112">
        <v>13.99</v>
      </c>
      <c r="E51" s="112">
        <v>9.92</v>
      </c>
      <c r="F51" s="112">
        <v>8.74</v>
      </c>
      <c r="G51" s="112">
        <v>18</v>
      </c>
      <c r="H51" s="112">
        <v>6.24</v>
      </c>
      <c r="I51" s="112">
        <v>4.21</v>
      </c>
      <c r="J51" s="112">
        <v>0.84</v>
      </c>
      <c r="K51" s="112">
        <v>266.05</v>
      </c>
      <c r="L51" s="112">
        <v>29.16</v>
      </c>
      <c r="M51" s="112">
        <v>93.02</v>
      </c>
      <c r="N51" s="112">
        <v>325.39999999999998</v>
      </c>
      <c r="O51" s="112">
        <v>0</v>
      </c>
      <c r="P51" s="112">
        <v>0.41</v>
      </c>
      <c r="Q51" s="112">
        <v>4.6399999999999997</v>
      </c>
      <c r="R51" s="6"/>
      <c r="S51" s="6"/>
      <c r="T51" s="182"/>
      <c r="U51" s="6"/>
    </row>
    <row r="52" spans="1:21" customFormat="1">
      <c r="A52" s="196" t="s">
        <v>762</v>
      </c>
      <c r="B52" s="112">
        <v>9.27</v>
      </c>
      <c r="C52" s="112">
        <v>4.0599999999999996</v>
      </c>
      <c r="D52" s="112">
        <v>14.01</v>
      </c>
      <c r="E52" s="112">
        <v>10.050000000000001</v>
      </c>
      <c r="F52" s="112">
        <v>6.5</v>
      </c>
      <c r="G52" s="112">
        <v>18</v>
      </c>
      <c r="H52" s="112">
        <v>6.24</v>
      </c>
      <c r="I52" s="112">
        <v>4.1100000000000003</v>
      </c>
      <c r="J52" s="112">
        <v>1.0900000000000001</v>
      </c>
      <c r="K52" s="112">
        <v>264.49</v>
      </c>
      <c r="L52" s="112">
        <v>28.9</v>
      </c>
      <c r="M52" s="112">
        <v>94.55</v>
      </c>
      <c r="N52" s="112">
        <v>371.1</v>
      </c>
      <c r="O52" s="112">
        <v>0</v>
      </c>
      <c r="P52" s="112">
        <v>0.44</v>
      </c>
      <c r="Q52" s="112">
        <v>4.62</v>
      </c>
      <c r="R52" s="6"/>
      <c r="S52" s="6"/>
      <c r="T52" s="182"/>
      <c r="U52" s="6"/>
    </row>
    <row r="53" spans="1:21" customFormat="1">
      <c r="A53" s="196" t="s">
        <v>763</v>
      </c>
      <c r="B53" s="112">
        <v>9.23</v>
      </c>
      <c r="C53" s="112">
        <v>4.08</v>
      </c>
      <c r="D53" s="112">
        <v>13.98</v>
      </c>
      <c r="E53" s="112">
        <v>8.94</v>
      </c>
      <c r="F53" s="112">
        <v>6.75</v>
      </c>
      <c r="G53" s="112">
        <v>18</v>
      </c>
      <c r="H53" s="112">
        <v>6.24</v>
      </c>
      <c r="I53" s="112">
        <v>4.8899999999999997</v>
      </c>
      <c r="J53" s="112">
        <v>1.1399999999999999</v>
      </c>
      <c r="K53" s="112">
        <v>280.89</v>
      </c>
      <c r="L53" s="112">
        <v>29.36</v>
      </c>
      <c r="M53" s="112">
        <v>91.71</v>
      </c>
      <c r="N53" s="112">
        <v>400.1</v>
      </c>
      <c r="O53" s="112">
        <v>0</v>
      </c>
      <c r="P53" s="112">
        <v>0.45</v>
      </c>
      <c r="Q53" s="112">
        <v>4.63</v>
      </c>
      <c r="R53" s="6"/>
      <c r="S53" s="6"/>
      <c r="T53" s="182"/>
      <c r="U53" s="6"/>
    </row>
    <row r="54" spans="1:21" customFormat="1">
      <c r="A54" s="196" t="s">
        <v>764</v>
      </c>
      <c r="B54" s="112">
        <v>9.2100000000000009</v>
      </c>
      <c r="C54" s="112">
        <v>4.08</v>
      </c>
      <c r="D54" s="112">
        <v>13.96</v>
      </c>
      <c r="E54" s="112">
        <v>9.32</v>
      </c>
      <c r="F54" s="112">
        <v>7.93</v>
      </c>
      <c r="G54" s="112">
        <v>18.059999999999999</v>
      </c>
      <c r="H54" s="112">
        <v>5.8</v>
      </c>
      <c r="I54" s="112">
        <v>5.23</v>
      </c>
      <c r="J54" s="112">
        <v>1.05</v>
      </c>
      <c r="K54" s="112">
        <v>279.41000000000003</v>
      </c>
      <c r="L54" s="112">
        <v>29.42</v>
      </c>
      <c r="M54" s="112">
        <v>84.25</v>
      </c>
      <c r="N54" s="112">
        <v>399.8</v>
      </c>
      <c r="O54" s="112">
        <v>0</v>
      </c>
      <c r="P54" s="112">
        <v>0.47</v>
      </c>
      <c r="Q54" s="112">
        <v>4.63</v>
      </c>
      <c r="R54" s="6"/>
      <c r="S54" s="6"/>
      <c r="T54" s="182"/>
      <c r="U54" s="6"/>
    </row>
    <row r="55" spans="1:21" customFormat="1">
      <c r="A55" s="196" t="s">
        <v>765</v>
      </c>
      <c r="B55" s="112">
        <v>9.1999999999999993</v>
      </c>
      <c r="C55" s="112">
        <v>4.0599999999999996</v>
      </c>
      <c r="D55" s="112">
        <v>13.95</v>
      </c>
      <c r="E55" s="112">
        <v>9.89</v>
      </c>
      <c r="F55" s="112">
        <v>7.11</v>
      </c>
      <c r="G55" s="112">
        <v>18.14</v>
      </c>
      <c r="H55" s="112">
        <v>5.41</v>
      </c>
      <c r="I55" s="112">
        <v>5.29</v>
      </c>
      <c r="J55" s="112">
        <v>1.18</v>
      </c>
      <c r="K55" s="112">
        <v>281.88</v>
      </c>
      <c r="L55" s="112">
        <v>29.56</v>
      </c>
      <c r="M55" s="112">
        <v>92.67</v>
      </c>
      <c r="N55" s="112">
        <v>423.4</v>
      </c>
      <c r="O55" s="112">
        <v>0</v>
      </c>
      <c r="P55" s="112">
        <v>0.48</v>
      </c>
      <c r="Q55" s="112">
        <v>4.62</v>
      </c>
      <c r="R55" s="6"/>
      <c r="S55" s="6"/>
      <c r="T55" s="182"/>
      <c r="U55" s="6"/>
    </row>
    <row r="56" spans="1:21" customFormat="1">
      <c r="A56" s="196" t="s">
        <v>766</v>
      </c>
      <c r="B56" s="112">
        <v>9.19</v>
      </c>
      <c r="C56" s="112">
        <v>4.08</v>
      </c>
      <c r="D56" s="112">
        <v>13.95</v>
      </c>
      <c r="E56" s="112">
        <v>9.2799999999999994</v>
      </c>
      <c r="F56" s="112">
        <v>6.91</v>
      </c>
      <c r="G56" s="112">
        <v>18.14</v>
      </c>
      <c r="H56" s="112">
        <v>5.41</v>
      </c>
      <c r="I56" s="112">
        <v>5.45</v>
      </c>
      <c r="J56" s="112">
        <v>1.25</v>
      </c>
      <c r="K56" s="112">
        <v>293.14</v>
      </c>
      <c r="L56" s="112">
        <v>30.01</v>
      </c>
      <c r="M56" s="112">
        <v>82.01</v>
      </c>
      <c r="N56" s="112">
        <v>477.1</v>
      </c>
      <c r="O56" s="112">
        <v>0</v>
      </c>
      <c r="P56" s="112">
        <v>0.5</v>
      </c>
      <c r="Q56" s="112">
        <v>4.63</v>
      </c>
      <c r="R56" s="6"/>
      <c r="S56" s="6"/>
      <c r="T56" s="182"/>
      <c r="U56" s="6"/>
    </row>
    <row r="57" spans="1:21" customFormat="1">
      <c r="A57" s="196" t="s">
        <v>767</v>
      </c>
      <c r="B57" s="112">
        <v>9.19</v>
      </c>
      <c r="C57" s="112">
        <v>4.07</v>
      </c>
      <c r="D57" s="112">
        <v>13.95</v>
      </c>
      <c r="E57" s="112">
        <v>9.5299999999999994</v>
      </c>
      <c r="F57" s="112">
        <v>6.21</v>
      </c>
      <c r="G57" s="112">
        <v>18.14</v>
      </c>
      <c r="H57" s="112">
        <v>5.41</v>
      </c>
      <c r="I57" s="112">
        <v>5.54</v>
      </c>
      <c r="J57" s="112">
        <v>1.32</v>
      </c>
      <c r="K57" s="112">
        <v>281.32</v>
      </c>
      <c r="L57" s="112">
        <v>29.67</v>
      </c>
      <c r="M57" s="112">
        <v>74.33</v>
      </c>
      <c r="N57" s="112">
        <v>380.3</v>
      </c>
      <c r="O57" s="112">
        <v>0</v>
      </c>
      <c r="P57" s="112">
        <v>0.5</v>
      </c>
      <c r="Q57" s="112">
        <v>4.6500000000000004</v>
      </c>
      <c r="R57" s="6"/>
      <c r="S57" s="6"/>
      <c r="T57" s="182"/>
      <c r="U57" s="6"/>
    </row>
    <row r="58" spans="1:21" customFormat="1">
      <c r="A58" s="196" t="s">
        <v>768</v>
      </c>
      <c r="B58" s="112">
        <v>9.1999999999999993</v>
      </c>
      <c r="C58" s="112">
        <v>4.0599999999999996</v>
      </c>
      <c r="D58" s="112">
        <v>13.95</v>
      </c>
      <c r="E58" s="112">
        <v>9.34</v>
      </c>
      <c r="F58" s="112">
        <v>7.01</v>
      </c>
      <c r="G58" s="112">
        <v>19.32</v>
      </c>
      <c r="H58" s="112">
        <v>6.98</v>
      </c>
      <c r="I58" s="112">
        <v>5.91</v>
      </c>
      <c r="J58" s="112">
        <v>1.34</v>
      </c>
      <c r="K58" s="112">
        <v>288</v>
      </c>
      <c r="L58" s="112">
        <v>29.59</v>
      </c>
      <c r="M58" s="112">
        <v>74.41</v>
      </c>
      <c r="N58" s="112">
        <v>296.7</v>
      </c>
      <c r="O58" s="112">
        <v>0</v>
      </c>
      <c r="P58" s="112">
        <v>0.49</v>
      </c>
      <c r="Q58" s="112">
        <v>4.66</v>
      </c>
      <c r="R58" s="6"/>
      <c r="S58" s="6"/>
      <c r="T58" s="182"/>
      <c r="U58" s="6"/>
    </row>
    <row r="59" spans="1:21" customFormat="1">
      <c r="A59" s="196" t="s">
        <v>769</v>
      </c>
      <c r="B59" s="112">
        <v>9.19</v>
      </c>
      <c r="C59" s="112">
        <v>4.07</v>
      </c>
      <c r="D59" s="112">
        <v>13.95</v>
      </c>
      <c r="E59" s="112">
        <v>8.18</v>
      </c>
      <c r="F59" s="112">
        <v>7.7</v>
      </c>
      <c r="G59" s="112">
        <v>21.09</v>
      </c>
      <c r="H59" s="112">
        <v>8.36</v>
      </c>
      <c r="I59" s="112">
        <v>6.05</v>
      </c>
      <c r="J59" s="112">
        <v>1.19</v>
      </c>
      <c r="K59" s="112">
        <v>285.64999999999998</v>
      </c>
      <c r="L59" s="112">
        <v>29.68</v>
      </c>
      <c r="M59" s="112">
        <v>77.95</v>
      </c>
      <c r="N59" s="112">
        <v>344.3</v>
      </c>
      <c r="O59" s="112">
        <v>0</v>
      </c>
      <c r="P59" s="112">
        <v>0.48</v>
      </c>
      <c r="Q59" s="112">
        <v>4.6399999999999997</v>
      </c>
      <c r="R59" s="6"/>
      <c r="S59" s="6"/>
      <c r="T59" s="182"/>
      <c r="U59" s="6"/>
    </row>
    <row r="60" spans="1:21" customFormat="1">
      <c r="A60" s="196" t="s">
        <v>770</v>
      </c>
      <c r="B60" s="112">
        <v>9.1999999999999993</v>
      </c>
      <c r="C60" s="112">
        <v>4.0599999999999996</v>
      </c>
      <c r="D60" s="112">
        <v>13.95</v>
      </c>
      <c r="E60" s="112">
        <v>7.44</v>
      </c>
      <c r="F60" s="112">
        <v>8.86</v>
      </c>
      <c r="G60" s="112">
        <v>21.09</v>
      </c>
      <c r="H60" s="112">
        <v>8.36</v>
      </c>
      <c r="I60" s="112">
        <v>5.79</v>
      </c>
      <c r="J60" s="112">
        <v>0.89</v>
      </c>
      <c r="K60" s="112">
        <v>257.55</v>
      </c>
      <c r="L60" s="112">
        <v>30.25</v>
      </c>
      <c r="M60" s="112">
        <v>78.7</v>
      </c>
      <c r="N60" s="112">
        <v>447.6</v>
      </c>
      <c r="O60" s="112">
        <v>0</v>
      </c>
      <c r="P60" s="112">
        <v>0.47</v>
      </c>
      <c r="Q60" s="112">
        <v>4.6399999999999997</v>
      </c>
      <c r="R60" s="6"/>
      <c r="S60" s="6"/>
      <c r="T60" s="182"/>
      <c r="U60" s="6"/>
    </row>
    <row r="61" spans="1:21" customFormat="1">
      <c r="A61" s="196" t="s">
        <v>771</v>
      </c>
      <c r="B61" s="112">
        <v>9.19</v>
      </c>
      <c r="C61" s="112">
        <v>4.05</v>
      </c>
      <c r="D61" s="112">
        <v>13.94</v>
      </c>
      <c r="E61" s="112">
        <v>7.97</v>
      </c>
      <c r="F61" s="112">
        <v>8.98</v>
      </c>
      <c r="G61" s="112">
        <v>21.09</v>
      </c>
      <c r="H61" s="112">
        <v>8.36</v>
      </c>
      <c r="I61" s="112">
        <v>5.61</v>
      </c>
      <c r="J61" s="112">
        <v>1.24</v>
      </c>
      <c r="K61" s="112">
        <v>265.52</v>
      </c>
      <c r="L61" s="112">
        <v>30.17</v>
      </c>
      <c r="M61" s="112">
        <v>77.73</v>
      </c>
      <c r="N61" s="112">
        <v>381</v>
      </c>
      <c r="O61" s="112">
        <v>0</v>
      </c>
      <c r="P61" s="112">
        <v>0.46</v>
      </c>
      <c r="Q61" s="112">
        <v>4.63</v>
      </c>
      <c r="R61" s="6"/>
      <c r="S61" s="6"/>
      <c r="T61" s="182"/>
      <c r="U61" s="6"/>
    </row>
    <row r="62" spans="1:21" customFormat="1">
      <c r="A62" s="196" t="s">
        <v>772</v>
      </c>
      <c r="B62" s="112">
        <v>9.19</v>
      </c>
      <c r="C62" s="112">
        <v>4.08</v>
      </c>
      <c r="D62" s="112">
        <v>13.95</v>
      </c>
      <c r="E62" s="112">
        <v>8.73</v>
      </c>
      <c r="F62" s="112">
        <v>11.67</v>
      </c>
      <c r="G62" s="112">
        <v>20.81</v>
      </c>
      <c r="H62" s="112">
        <v>7.45</v>
      </c>
      <c r="I62" s="112">
        <v>5.43</v>
      </c>
      <c r="J62" s="112">
        <v>0.79</v>
      </c>
      <c r="K62" s="112">
        <v>258.63</v>
      </c>
      <c r="L62" s="112">
        <v>30.48</v>
      </c>
      <c r="M62" s="112">
        <v>76.31</v>
      </c>
      <c r="N62" s="112">
        <v>327.3</v>
      </c>
      <c r="O62" s="112">
        <v>0</v>
      </c>
      <c r="P62" s="112">
        <v>0.45</v>
      </c>
      <c r="Q62" s="112">
        <v>4.63</v>
      </c>
      <c r="R62" s="6"/>
      <c r="S62" s="6"/>
      <c r="T62" s="182"/>
      <c r="U62" s="6"/>
    </row>
    <row r="63" spans="1:21" customFormat="1">
      <c r="A63" s="196" t="s">
        <v>773</v>
      </c>
      <c r="B63" s="112">
        <v>9.1999999999999993</v>
      </c>
      <c r="C63" s="112">
        <v>4.08</v>
      </c>
      <c r="D63" s="112">
        <v>13.96</v>
      </c>
      <c r="E63" s="112">
        <v>8.84</v>
      </c>
      <c r="F63" s="112">
        <v>11.27</v>
      </c>
      <c r="G63" s="112">
        <v>20.39</v>
      </c>
      <c r="H63" s="112">
        <v>6.64</v>
      </c>
      <c r="I63" s="112">
        <v>5.44</v>
      </c>
      <c r="J63" s="112">
        <v>1.05</v>
      </c>
      <c r="K63" s="112">
        <v>271.70999999999998</v>
      </c>
      <c r="L63" s="112">
        <v>30.51</v>
      </c>
      <c r="M63" s="112">
        <v>75.11</v>
      </c>
      <c r="N63" s="112">
        <v>340.9</v>
      </c>
      <c r="O63" s="112">
        <v>0</v>
      </c>
      <c r="P63" s="112">
        <v>0.44</v>
      </c>
      <c r="Q63" s="112">
        <v>4.63</v>
      </c>
      <c r="R63" s="6"/>
      <c r="S63" s="6"/>
      <c r="T63" s="182"/>
      <c r="U63" s="6"/>
    </row>
    <row r="64" spans="1:21" customFormat="1">
      <c r="A64" s="196" t="s">
        <v>774</v>
      </c>
      <c r="B64" s="112">
        <v>9.18</v>
      </c>
      <c r="C64" s="112">
        <v>4.08</v>
      </c>
      <c r="D64" s="112">
        <v>13.95</v>
      </c>
      <c r="E64" s="112">
        <v>8.5399999999999991</v>
      </c>
      <c r="F64" s="112">
        <v>10.34</v>
      </c>
      <c r="G64" s="112">
        <v>20.39</v>
      </c>
      <c r="H64" s="112">
        <v>6.64</v>
      </c>
      <c r="I64" s="112">
        <v>5.17</v>
      </c>
      <c r="J64" s="112">
        <v>1.1200000000000001</v>
      </c>
      <c r="K64" s="112">
        <v>288.85000000000002</v>
      </c>
      <c r="L64" s="112">
        <v>30.59</v>
      </c>
      <c r="M64" s="112">
        <v>74.75</v>
      </c>
      <c r="N64" s="112">
        <v>280.39999999999998</v>
      </c>
      <c r="O64" s="112">
        <v>0</v>
      </c>
      <c r="P64" s="112">
        <v>0.45</v>
      </c>
      <c r="Q64" s="112">
        <v>4.63</v>
      </c>
      <c r="R64" s="6"/>
      <c r="S64" s="6"/>
      <c r="T64" s="182"/>
      <c r="U64" s="6"/>
    </row>
    <row r="65" spans="1:21" customFormat="1">
      <c r="A65" s="196" t="s">
        <v>775</v>
      </c>
      <c r="B65" s="112">
        <v>9.19</v>
      </c>
      <c r="C65" s="112">
        <v>4.0599999999999996</v>
      </c>
      <c r="D65" s="112">
        <v>13.94</v>
      </c>
      <c r="E65" s="112">
        <v>8.2100000000000009</v>
      </c>
      <c r="F65" s="112">
        <v>10.36</v>
      </c>
      <c r="G65" s="112">
        <v>20.39</v>
      </c>
      <c r="H65" s="112">
        <v>6.64</v>
      </c>
      <c r="I65" s="112">
        <v>5.18</v>
      </c>
      <c r="J65" s="112">
        <v>1.06</v>
      </c>
      <c r="K65" s="112">
        <v>277.95</v>
      </c>
      <c r="L65" s="112">
        <v>30.62</v>
      </c>
      <c r="M65" s="112">
        <v>75.02</v>
      </c>
      <c r="N65" s="112">
        <v>282.5</v>
      </c>
      <c r="O65" s="112">
        <v>0</v>
      </c>
      <c r="P65" s="112">
        <v>0.41</v>
      </c>
      <c r="Q65" s="112">
        <v>4.63</v>
      </c>
      <c r="R65" s="6"/>
      <c r="S65" s="6"/>
      <c r="T65" s="182"/>
      <c r="U65" s="6"/>
    </row>
    <row r="66" spans="1:21" customFormat="1">
      <c r="A66" s="196" t="s">
        <v>776</v>
      </c>
      <c r="B66" s="112">
        <v>9.18</v>
      </c>
      <c r="C66" s="112">
        <v>4.08</v>
      </c>
      <c r="D66" s="112">
        <v>13.94</v>
      </c>
      <c r="E66" s="112">
        <v>7.42</v>
      </c>
      <c r="F66" s="112">
        <v>8.77</v>
      </c>
      <c r="G66" s="112">
        <v>20.239999999999998</v>
      </c>
      <c r="H66" s="112">
        <v>8.48</v>
      </c>
      <c r="I66" s="112">
        <v>5.18</v>
      </c>
      <c r="J66" s="112">
        <v>1.03</v>
      </c>
      <c r="K66" s="112">
        <v>268.68</v>
      </c>
      <c r="L66" s="112">
        <v>30.69</v>
      </c>
      <c r="M66" s="112">
        <v>74.06</v>
      </c>
      <c r="N66" s="112">
        <v>262.8</v>
      </c>
      <c r="O66" s="112">
        <v>0</v>
      </c>
      <c r="P66" s="112">
        <v>0.41</v>
      </c>
      <c r="Q66" s="112">
        <v>4.62</v>
      </c>
      <c r="R66" s="6"/>
      <c r="S66" s="6"/>
      <c r="T66" s="182"/>
      <c r="U66" s="6"/>
    </row>
    <row r="67" spans="1:21" customFormat="1">
      <c r="A67" s="196" t="s">
        <v>777</v>
      </c>
      <c r="B67" s="112">
        <v>9.18</v>
      </c>
      <c r="C67" s="112">
        <v>4.0599999999999996</v>
      </c>
      <c r="D67" s="112">
        <v>13.93</v>
      </c>
      <c r="E67" s="112">
        <v>7.62</v>
      </c>
      <c r="F67" s="112">
        <v>8.76</v>
      </c>
      <c r="G67" s="112">
        <v>20.03</v>
      </c>
      <c r="H67" s="112">
        <v>10.119999999999999</v>
      </c>
      <c r="I67" s="112">
        <v>5.15</v>
      </c>
      <c r="J67" s="112">
        <v>0.94</v>
      </c>
      <c r="K67" s="112">
        <v>275.19</v>
      </c>
      <c r="L67" s="112">
        <v>30.52</v>
      </c>
      <c r="M67" s="112">
        <v>74.930000000000007</v>
      </c>
      <c r="N67" s="112">
        <v>219.6</v>
      </c>
      <c r="O67" s="112">
        <v>0</v>
      </c>
      <c r="P67" s="112">
        <v>0.4</v>
      </c>
      <c r="Q67" s="112">
        <v>4.62</v>
      </c>
      <c r="R67" s="6"/>
      <c r="S67" s="6"/>
      <c r="T67" s="182"/>
      <c r="U67" s="6"/>
    </row>
    <row r="68" spans="1:21" customFormat="1">
      <c r="A68" s="196" t="s">
        <v>778</v>
      </c>
      <c r="B68" s="112">
        <v>9.19</v>
      </c>
      <c r="C68" s="112">
        <v>4.0599999999999996</v>
      </c>
      <c r="D68" s="112">
        <v>13.94</v>
      </c>
      <c r="E68" s="112">
        <v>8.06</v>
      </c>
      <c r="F68" s="112">
        <v>9.75</v>
      </c>
      <c r="G68" s="112">
        <v>20.03</v>
      </c>
      <c r="H68" s="112">
        <v>10.119999999999999</v>
      </c>
      <c r="I68" s="112">
        <v>5.0599999999999996</v>
      </c>
      <c r="J68" s="112">
        <v>0.69</v>
      </c>
      <c r="K68" s="112">
        <v>272.57</v>
      </c>
      <c r="L68" s="112">
        <v>30.77</v>
      </c>
      <c r="M68" s="112">
        <v>74.290000000000006</v>
      </c>
      <c r="N68" s="112">
        <v>307.8</v>
      </c>
      <c r="O68" s="112">
        <v>0</v>
      </c>
      <c r="P68" s="112">
        <v>0.39</v>
      </c>
      <c r="Q68" s="112">
        <v>4.6399999999999997</v>
      </c>
      <c r="R68" s="6"/>
      <c r="S68" s="6"/>
      <c r="T68" s="182"/>
      <c r="U68" s="6"/>
    </row>
    <row r="69" spans="1:21" customFormat="1">
      <c r="A69" s="196" t="s">
        <v>779</v>
      </c>
      <c r="B69" s="112">
        <v>9.19</v>
      </c>
      <c r="C69" s="112">
        <v>4.07</v>
      </c>
      <c r="D69" s="112">
        <v>13.95</v>
      </c>
      <c r="E69" s="112">
        <v>7.98</v>
      </c>
      <c r="F69" s="112">
        <v>7.64</v>
      </c>
      <c r="G69" s="112">
        <v>20.03</v>
      </c>
      <c r="H69" s="112">
        <v>10.119999999999999</v>
      </c>
      <c r="I69" s="112">
        <v>5</v>
      </c>
      <c r="J69" s="112">
        <v>0.68</v>
      </c>
      <c r="K69" s="112">
        <v>258.45999999999998</v>
      </c>
      <c r="L69" s="112">
        <v>32.18</v>
      </c>
      <c r="M69" s="112">
        <v>70.88</v>
      </c>
      <c r="N69" s="112">
        <v>480</v>
      </c>
      <c r="O69" s="112">
        <v>0</v>
      </c>
      <c r="P69" s="112">
        <v>0.38</v>
      </c>
      <c r="Q69" s="112">
        <v>4.63</v>
      </c>
      <c r="R69" s="6"/>
      <c r="S69" s="6"/>
      <c r="T69" s="182"/>
      <c r="U69" s="6"/>
    </row>
    <row r="70" spans="1:21" customFormat="1">
      <c r="A70" s="196" t="s">
        <v>780</v>
      </c>
      <c r="B70" s="112">
        <v>9.19</v>
      </c>
      <c r="C70" s="112">
        <v>4.05</v>
      </c>
      <c r="D70" s="112">
        <v>13.94</v>
      </c>
      <c r="E70" s="112">
        <v>8.44</v>
      </c>
      <c r="F70" s="112">
        <v>9.1</v>
      </c>
      <c r="G70" s="112">
        <v>19.98</v>
      </c>
      <c r="H70" s="112">
        <v>9.98</v>
      </c>
      <c r="I70" s="112">
        <v>4.83</v>
      </c>
      <c r="J70" s="112">
        <v>0.74</v>
      </c>
      <c r="K70" s="112">
        <v>268.95999999999998</v>
      </c>
      <c r="L70" s="112">
        <v>31.57</v>
      </c>
      <c r="M70" s="112">
        <v>71.790000000000006</v>
      </c>
      <c r="N70" s="112">
        <v>247.7</v>
      </c>
      <c r="O70" s="112">
        <v>0</v>
      </c>
      <c r="P70" s="112">
        <v>0.4</v>
      </c>
      <c r="Q70" s="112">
        <v>4.63</v>
      </c>
      <c r="R70" s="6"/>
      <c r="S70" s="6"/>
      <c r="T70" s="182"/>
      <c r="U70" s="6"/>
    </row>
    <row r="71" spans="1:21" customFormat="1">
      <c r="A71" s="196" t="s">
        <v>781</v>
      </c>
      <c r="B71" s="112">
        <v>9.19</v>
      </c>
      <c r="C71" s="112">
        <v>4.08</v>
      </c>
      <c r="D71" s="112">
        <v>13.95</v>
      </c>
      <c r="E71" s="112">
        <v>8.89</v>
      </c>
      <c r="F71" s="112">
        <v>9.3000000000000007</v>
      </c>
      <c r="G71" s="112">
        <v>19.899999999999999</v>
      </c>
      <c r="H71" s="112">
        <v>9.86</v>
      </c>
      <c r="I71" s="112">
        <v>4.8600000000000003</v>
      </c>
      <c r="J71" s="112">
        <v>0.86</v>
      </c>
      <c r="K71" s="112">
        <v>277.08</v>
      </c>
      <c r="L71" s="112">
        <v>31.6</v>
      </c>
      <c r="M71" s="112">
        <v>71.180000000000007</v>
      </c>
      <c r="N71" s="112">
        <v>228.5</v>
      </c>
      <c r="O71" s="112">
        <v>0</v>
      </c>
      <c r="P71" s="112">
        <v>0.41</v>
      </c>
      <c r="Q71" s="112">
        <v>4.63</v>
      </c>
      <c r="R71" s="6"/>
      <c r="S71" s="6"/>
      <c r="T71" s="182"/>
      <c r="U71" s="6"/>
    </row>
    <row r="72" spans="1:21" customFormat="1">
      <c r="A72" s="196" t="s">
        <v>782</v>
      </c>
      <c r="B72" s="112">
        <v>9.2100000000000009</v>
      </c>
      <c r="C72" s="112">
        <v>4.0599999999999996</v>
      </c>
      <c r="D72" s="112">
        <v>13.96</v>
      </c>
      <c r="E72" s="112">
        <v>9.19</v>
      </c>
      <c r="F72" s="112">
        <v>8.7200000000000006</v>
      </c>
      <c r="G72" s="112">
        <v>19.899999999999999</v>
      </c>
      <c r="H72" s="112">
        <v>9.86</v>
      </c>
      <c r="I72" s="112">
        <v>4.79</v>
      </c>
      <c r="J72" s="112">
        <v>0.77</v>
      </c>
      <c r="K72" s="112">
        <v>265.7</v>
      </c>
      <c r="L72" s="112">
        <v>31.37</v>
      </c>
      <c r="M72" s="112">
        <v>71.08</v>
      </c>
      <c r="N72" s="112">
        <v>174.8</v>
      </c>
      <c r="O72" s="112">
        <v>0</v>
      </c>
      <c r="P72" s="112">
        <v>0.41</v>
      </c>
      <c r="Q72" s="112">
        <v>4.6500000000000004</v>
      </c>
      <c r="R72" s="6"/>
      <c r="S72" s="6"/>
      <c r="T72" s="182"/>
      <c r="U72" s="6"/>
    </row>
    <row r="73" spans="1:21" customFormat="1">
      <c r="A73" s="196" t="s">
        <v>783</v>
      </c>
      <c r="B73" s="112">
        <v>9.2100000000000009</v>
      </c>
      <c r="C73" s="112">
        <v>4.07</v>
      </c>
      <c r="D73" s="112">
        <v>13.96</v>
      </c>
      <c r="E73" s="112">
        <v>9.5399999999999991</v>
      </c>
      <c r="F73" s="112">
        <v>10.08</v>
      </c>
      <c r="G73" s="112">
        <v>19.899999999999999</v>
      </c>
      <c r="H73" s="112">
        <v>9.86</v>
      </c>
      <c r="I73" s="112">
        <v>4.79</v>
      </c>
      <c r="J73" s="112">
        <v>0.65</v>
      </c>
      <c r="K73" s="112">
        <v>270.95999999999998</v>
      </c>
      <c r="L73" s="112">
        <v>31.51</v>
      </c>
      <c r="M73" s="112">
        <v>70.44</v>
      </c>
      <c r="N73" s="112">
        <v>160.6</v>
      </c>
      <c r="O73" s="112">
        <v>0</v>
      </c>
      <c r="P73" s="112">
        <v>0.41</v>
      </c>
      <c r="Q73" s="112">
        <v>4.6399999999999997</v>
      </c>
      <c r="R73" s="6"/>
      <c r="S73" s="6"/>
      <c r="T73" s="182"/>
      <c r="U73" s="6"/>
    </row>
    <row r="74" spans="1:21" customFormat="1">
      <c r="A74" s="196" t="s">
        <v>784</v>
      </c>
      <c r="B74" s="112">
        <v>9.1999999999999993</v>
      </c>
      <c r="C74" s="112">
        <v>4.07</v>
      </c>
      <c r="D74" s="112">
        <v>13.96</v>
      </c>
      <c r="E74" s="112">
        <v>10.14</v>
      </c>
      <c r="F74" s="112">
        <v>8.66</v>
      </c>
      <c r="G74" s="112">
        <v>20.2</v>
      </c>
      <c r="H74" s="112">
        <v>9.56</v>
      </c>
      <c r="I74" s="112">
        <v>4.9400000000000004</v>
      </c>
      <c r="J74" s="112">
        <v>0.86</v>
      </c>
      <c r="K74" s="112">
        <v>274.77999999999997</v>
      </c>
      <c r="L74" s="112">
        <v>31.55</v>
      </c>
      <c r="M74" s="112">
        <v>71.17</v>
      </c>
      <c r="N74" s="112">
        <v>175.3</v>
      </c>
      <c r="O74" s="112">
        <v>0</v>
      </c>
      <c r="P74" s="112">
        <v>0.39</v>
      </c>
      <c r="Q74" s="112">
        <v>4.6500000000000004</v>
      </c>
      <c r="R74" s="6"/>
      <c r="S74" s="6"/>
      <c r="T74" s="182"/>
      <c r="U74" s="6"/>
    </row>
    <row r="75" spans="1:21" customFormat="1">
      <c r="A75" s="196" t="s">
        <v>785</v>
      </c>
      <c r="B75" s="112">
        <v>9.2100000000000009</v>
      </c>
      <c r="C75" s="112">
        <v>4.07</v>
      </c>
      <c r="D75" s="112">
        <v>13.97</v>
      </c>
      <c r="E75" s="112">
        <v>10.78</v>
      </c>
      <c r="F75" s="112">
        <v>8.43</v>
      </c>
      <c r="G75" s="112">
        <v>20.64</v>
      </c>
      <c r="H75" s="112">
        <v>8.7100000000000009</v>
      </c>
      <c r="I75" s="112">
        <v>4.75</v>
      </c>
      <c r="J75" s="112">
        <v>0.79</v>
      </c>
      <c r="K75" s="112">
        <v>264.99</v>
      </c>
      <c r="L75" s="112">
        <v>31.41</v>
      </c>
      <c r="M75" s="112">
        <v>70.44</v>
      </c>
      <c r="N75" s="112">
        <v>89.4</v>
      </c>
      <c r="O75" s="112">
        <v>0</v>
      </c>
      <c r="P75" s="112">
        <v>0.41</v>
      </c>
      <c r="Q75" s="112">
        <v>4.6399999999999997</v>
      </c>
      <c r="R75" s="6"/>
      <c r="S75" s="6"/>
      <c r="T75" s="182"/>
      <c r="U75" s="6"/>
    </row>
    <row r="76" spans="1:21" customFormat="1">
      <c r="A76" s="196" t="s">
        <v>786</v>
      </c>
      <c r="B76" s="112">
        <v>9.2200000000000006</v>
      </c>
      <c r="C76" s="112">
        <v>4.0599999999999996</v>
      </c>
      <c r="D76" s="112">
        <v>13.97</v>
      </c>
      <c r="E76" s="112">
        <v>10.46</v>
      </c>
      <c r="F76" s="112">
        <v>6.61</v>
      </c>
      <c r="G76" s="112">
        <v>20.64</v>
      </c>
      <c r="H76" s="112">
        <v>8.7100000000000009</v>
      </c>
      <c r="I76" s="112">
        <v>4.7300000000000004</v>
      </c>
      <c r="J76" s="112">
        <v>1.84</v>
      </c>
      <c r="K76" s="112">
        <v>272.31</v>
      </c>
      <c r="L76" s="112">
        <v>29.53</v>
      </c>
      <c r="M76" s="112">
        <v>77.02</v>
      </c>
      <c r="N76" s="112">
        <v>25.9</v>
      </c>
      <c r="O76" s="112">
        <v>0</v>
      </c>
      <c r="P76" s="112">
        <v>0.4</v>
      </c>
      <c r="Q76" s="112">
        <v>4.6500000000000004</v>
      </c>
      <c r="R76" s="6"/>
      <c r="S76" s="6"/>
      <c r="T76" s="182"/>
      <c r="U76" s="6"/>
    </row>
    <row r="77" spans="1:21" customFormat="1">
      <c r="A77" s="196" t="s">
        <v>787</v>
      </c>
      <c r="B77" s="112">
        <v>9.2100000000000009</v>
      </c>
      <c r="C77" s="112">
        <v>4.0599999999999996</v>
      </c>
      <c r="D77" s="112">
        <v>13.95</v>
      </c>
      <c r="E77" s="112">
        <v>10.39</v>
      </c>
      <c r="F77" s="112">
        <v>4.67</v>
      </c>
      <c r="G77" s="112">
        <v>20.64</v>
      </c>
      <c r="H77" s="112">
        <v>8.7100000000000009</v>
      </c>
      <c r="I77" s="112">
        <v>4.76</v>
      </c>
      <c r="J77" s="112">
        <v>1.88</v>
      </c>
      <c r="K77" s="112">
        <v>283.69</v>
      </c>
      <c r="L77" s="112">
        <v>28.05</v>
      </c>
      <c r="M77" s="112">
        <v>78.88</v>
      </c>
      <c r="N77" s="112">
        <v>27.1</v>
      </c>
      <c r="O77" s="112">
        <v>0</v>
      </c>
      <c r="P77" s="112">
        <v>0.42</v>
      </c>
      <c r="Q77" s="112">
        <v>4.63</v>
      </c>
      <c r="R77" s="6"/>
      <c r="S77" s="6"/>
      <c r="T77" s="182"/>
      <c r="U77" s="6"/>
    </row>
    <row r="78" spans="1:21" customFormat="1">
      <c r="A78" s="196" t="s">
        <v>788</v>
      </c>
      <c r="B78" s="112">
        <v>9.2100000000000009</v>
      </c>
      <c r="C78" s="112">
        <v>4.05</v>
      </c>
      <c r="D78" s="112">
        <v>13.95</v>
      </c>
      <c r="E78" s="112">
        <v>10.119999999999999</v>
      </c>
      <c r="F78" s="112">
        <v>4.07</v>
      </c>
      <c r="G78" s="112">
        <v>21.71</v>
      </c>
      <c r="H78" s="112">
        <v>8.99</v>
      </c>
      <c r="I78" s="112">
        <v>4.8600000000000003</v>
      </c>
      <c r="J78" s="112">
        <v>1.56</v>
      </c>
      <c r="K78" s="112">
        <v>295.85000000000002</v>
      </c>
      <c r="L78" s="112">
        <v>27.44</v>
      </c>
      <c r="M78" s="112">
        <v>82.3</v>
      </c>
      <c r="N78" s="112">
        <v>16.8</v>
      </c>
      <c r="O78" s="112">
        <v>0</v>
      </c>
      <c r="P78" s="112">
        <v>0.43</v>
      </c>
      <c r="Q78" s="112">
        <v>4.6500000000000004</v>
      </c>
      <c r="R78" s="6"/>
      <c r="S78" s="6"/>
      <c r="T78" s="182"/>
      <c r="U78" s="6"/>
    </row>
    <row r="79" spans="1:21" customFormat="1">
      <c r="A79" s="196" t="s">
        <v>789</v>
      </c>
      <c r="B79" s="112">
        <v>9.1999999999999993</v>
      </c>
      <c r="C79" s="112">
        <v>4.09</v>
      </c>
      <c r="D79" s="112">
        <v>13.97</v>
      </c>
      <c r="E79" s="112">
        <v>10.09</v>
      </c>
      <c r="F79" s="112">
        <v>3.58</v>
      </c>
      <c r="G79" s="112">
        <v>23.31</v>
      </c>
      <c r="H79" s="112">
        <v>9.23</v>
      </c>
      <c r="I79" s="112">
        <v>5</v>
      </c>
      <c r="J79" s="112">
        <v>1.25</v>
      </c>
      <c r="K79" s="112">
        <v>294.05</v>
      </c>
      <c r="L79" s="112">
        <v>26.65</v>
      </c>
      <c r="M79" s="112">
        <v>88</v>
      </c>
      <c r="N79" s="112">
        <v>15.3</v>
      </c>
      <c r="O79" s="112">
        <v>0.6</v>
      </c>
      <c r="P79" s="112">
        <v>0.43</v>
      </c>
      <c r="Q79" s="112">
        <v>4.6399999999999997</v>
      </c>
      <c r="R79" s="6"/>
      <c r="S79" s="6"/>
      <c r="T79" s="182"/>
      <c r="U79" s="6"/>
    </row>
    <row r="80" spans="1:21" customFormat="1">
      <c r="A80" s="196" t="s">
        <v>790</v>
      </c>
      <c r="B80" s="112">
        <v>9.1999999999999993</v>
      </c>
      <c r="C80" s="112">
        <v>4.08</v>
      </c>
      <c r="D80" s="112">
        <v>13.96</v>
      </c>
      <c r="E80" s="112">
        <v>10.59</v>
      </c>
      <c r="F80" s="112">
        <v>3.49</v>
      </c>
      <c r="G80" s="112">
        <v>23.31</v>
      </c>
      <c r="H80" s="112">
        <v>9.23</v>
      </c>
      <c r="I80" s="112">
        <v>4.99</v>
      </c>
      <c r="J80" s="112">
        <v>0.57999999999999996</v>
      </c>
      <c r="K80" s="112">
        <v>260.83</v>
      </c>
      <c r="L80" s="112">
        <v>25.3</v>
      </c>
      <c r="M80" s="112">
        <v>95.83</v>
      </c>
      <c r="N80" s="112">
        <v>11.7</v>
      </c>
      <c r="O80" s="112">
        <v>0.6</v>
      </c>
      <c r="P80" s="112">
        <v>0.45</v>
      </c>
      <c r="Q80" s="112">
        <v>4.6399999999999997</v>
      </c>
      <c r="R80" s="6"/>
      <c r="S80" s="6"/>
      <c r="T80" s="182"/>
      <c r="U80" s="6"/>
    </row>
    <row r="81" spans="1:26" customFormat="1">
      <c r="A81" s="196" t="s">
        <v>791</v>
      </c>
      <c r="B81" s="112">
        <v>9.2100000000000009</v>
      </c>
      <c r="C81" s="112">
        <v>4.09</v>
      </c>
      <c r="D81" s="112">
        <v>13.97</v>
      </c>
      <c r="E81" s="112">
        <v>6.97</v>
      </c>
      <c r="F81" s="112">
        <v>3.54</v>
      </c>
      <c r="G81" s="112">
        <v>23.31</v>
      </c>
      <c r="H81" s="112">
        <v>9.23</v>
      </c>
      <c r="I81" s="112">
        <v>5.01</v>
      </c>
      <c r="J81" s="112">
        <v>0.31</v>
      </c>
      <c r="K81" s="112">
        <v>258.91000000000003</v>
      </c>
      <c r="L81" s="112">
        <v>25.14</v>
      </c>
      <c r="M81" s="112">
        <v>96.7</v>
      </c>
      <c r="N81" s="112">
        <v>8.4</v>
      </c>
      <c r="O81" s="112">
        <v>0</v>
      </c>
      <c r="P81" s="112">
        <v>0.45</v>
      </c>
      <c r="Q81" s="112">
        <v>4.63</v>
      </c>
      <c r="R81" s="6"/>
      <c r="S81" s="6"/>
      <c r="T81" s="182"/>
      <c r="U81" s="6"/>
    </row>
    <row r="82" spans="1:26" customFormat="1">
      <c r="A82" s="196" t="s">
        <v>792</v>
      </c>
      <c r="B82" s="112">
        <v>9.1999999999999993</v>
      </c>
      <c r="C82" s="112">
        <v>4.0999999999999996</v>
      </c>
      <c r="D82" s="112">
        <v>13.97</v>
      </c>
      <c r="E82" s="112">
        <v>8.19</v>
      </c>
      <c r="F82" s="112">
        <v>3.26</v>
      </c>
      <c r="G82" s="112">
        <v>21.46</v>
      </c>
      <c r="H82" s="112">
        <v>8.5500000000000007</v>
      </c>
      <c r="I82" s="112">
        <v>4.97</v>
      </c>
      <c r="J82" s="112">
        <v>0.38</v>
      </c>
      <c r="K82" s="112">
        <v>246.8</v>
      </c>
      <c r="L82" s="112">
        <v>25.3</v>
      </c>
      <c r="M82" s="112">
        <v>95.08</v>
      </c>
      <c r="N82" s="112">
        <v>4.2</v>
      </c>
      <c r="O82" s="112">
        <v>0</v>
      </c>
      <c r="P82" s="112">
        <v>0.44</v>
      </c>
      <c r="Q82" s="112">
        <v>4.6500000000000004</v>
      </c>
      <c r="R82" s="6"/>
      <c r="S82" s="6"/>
      <c r="T82" s="182"/>
      <c r="U82" s="6"/>
    </row>
    <row r="83" spans="1:26" customFormat="1">
      <c r="A83" s="196" t="s">
        <v>793</v>
      </c>
      <c r="B83" s="112">
        <v>9.2200000000000006</v>
      </c>
      <c r="C83" s="112">
        <v>4.08</v>
      </c>
      <c r="D83" s="112">
        <v>13.98</v>
      </c>
      <c r="E83" s="112">
        <v>8.7200000000000006</v>
      </c>
      <c r="F83" s="112">
        <v>2.98</v>
      </c>
      <c r="G83" s="112">
        <v>18.7</v>
      </c>
      <c r="H83" s="112">
        <v>7.95</v>
      </c>
      <c r="I83" s="112">
        <v>4.87</v>
      </c>
      <c r="J83" s="112">
        <v>0.22</v>
      </c>
      <c r="K83" s="112">
        <v>215.42</v>
      </c>
      <c r="L83" s="112">
        <v>25.44</v>
      </c>
      <c r="M83" s="112">
        <v>95.31</v>
      </c>
      <c r="N83" s="112">
        <v>2.7</v>
      </c>
      <c r="O83" s="112">
        <v>0</v>
      </c>
      <c r="P83" s="112">
        <v>0.44</v>
      </c>
      <c r="Q83" s="112">
        <v>4.6399999999999997</v>
      </c>
      <c r="R83" s="6"/>
      <c r="S83" s="6"/>
      <c r="T83" s="182"/>
      <c r="U83" s="6"/>
    </row>
    <row r="84" spans="1:26" customFormat="1">
      <c r="A84" s="196" t="s">
        <v>794</v>
      </c>
      <c r="B84" s="112">
        <v>9.2200000000000006</v>
      </c>
      <c r="C84" s="112">
        <v>4.0599999999999996</v>
      </c>
      <c r="D84" s="112">
        <v>13.96</v>
      </c>
      <c r="E84" s="112">
        <v>8.7899999999999991</v>
      </c>
      <c r="F84" s="112">
        <v>3.27</v>
      </c>
      <c r="G84" s="112">
        <v>18.7</v>
      </c>
      <c r="H84" s="112">
        <v>7.95</v>
      </c>
      <c r="I84" s="112">
        <v>4.82</v>
      </c>
      <c r="J84" s="112">
        <v>0.18</v>
      </c>
      <c r="K84" s="112">
        <v>190.43</v>
      </c>
      <c r="L84" s="112">
        <v>25.46</v>
      </c>
      <c r="M84" s="112">
        <v>96.78</v>
      </c>
      <c r="N84" s="112">
        <v>2.2000000000000002</v>
      </c>
      <c r="O84" s="112">
        <v>0</v>
      </c>
      <c r="P84" s="112">
        <v>0.44</v>
      </c>
      <c r="Q84" s="112">
        <v>4.63</v>
      </c>
      <c r="R84" s="6"/>
      <c r="S84" s="6"/>
      <c r="T84" s="182"/>
      <c r="U84" s="6"/>
    </row>
    <row r="85" spans="1:26" customFormat="1">
      <c r="A85" s="196" t="s">
        <v>795</v>
      </c>
      <c r="B85" s="112">
        <v>9.2200000000000006</v>
      </c>
      <c r="C85" s="112">
        <v>4.0599999999999996</v>
      </c>
      <c r="D85" s="112">
        <v>13.97</v>
      </c>
      <c r="E85" s="112">
        <v>9.41</v>
      </c>
      <c r="F85" s="112">
        <v>3.11</v>
      </c>
      <c r="G85" s="112">
        <v>18.7</v>
      </c>
      <c r="H85" s="112">
        <v>7.95</v>
      </c>
      <c r="I85" s="112">
        <v>4.8099999999999996</v>
      </c>
      <c r="J85" s="112">
        <v>0.13</v>
      </c>
      <c r="K85" s="112">
        <v>205.98</v>
      </c>
      <c r="L85" s="112">
        <v>25.41</v>
      </c>
      <c r="M85" s="112">
        <v>96.45</v>
      </c>
      <c r="N85" s="112">
        <v>2.4</v>
      </c>
      <c r="O85" s="112">
        <v>0</v>
      </c>
      <c r="P85" s="112">
        <v>0.48</v>
      </c>
      <c r="Q85" s="112">
        <v>4.63</v>
      </c>
      <c r="R85" s="6"/>
      <c r="S85" s="6"/>
      <c r="T85" s="182"/>
      <c r="U85" s="6"/>
    </row>
    <row r="86" spans="1:26" customFormat="1">
      <c r="A86" s="196" t="s">
        <v>796</v>
      </c>
      <c r="B86" s="112">
        <v>9.23</v>
      </c>
      <c r="C86" s="112">
        <v>4.08</v>
      </c>
      <c r="D86" s="112">
        <v>13.98</v>
      </c>
      <c r="E86" s="112">
        <v>8.4600000000000009</v>
      </c>
      <c r="F86" s="112">
        <v>6.31</v>
      </c>
      <c r="G86" s="112">
        <v>18.329999999999998</v>
      </c>
      <c r="H86" s="112">
        <v>7.59</v>
      </c>
      <c r="I86" s="112">
        <v>4.83</v>
      </c>
      <c r="J86" s="112">
        <v>0.15</v>
      </c>
      <c r="K86" s="112">
        <v>199.87</v>
      </c>
      <c r="L86" s="112">
        <v>25.41</v>
      </c>
      <c r="M86" s="112">
        <v>97.74</v>
      </c>
      <c r="N86" s="112">
        <v>2.2999999999999998</v>
      </c>
      <c r="O86" s="112">
        <v>0</v>
      </c>
      <c r="P86" s="112">
        <v>0.46</v>
      </c>
      <c r="Q86" s="112">
        <v>4.62</v>
      </c>
      <c r="R86" s="6"/>
      <c r="S86" s="6"/>
      <c r="T86" s="182"/>
      <c r="U86" s="6"/>
    </row>
    <row r="87" spans="1:26" customFormat="1">
      <c r="A87" s="196" t="s">
        <v>797</v>
      </c>
      <c r="B87" s="112">
        <v>9.2200000000000006</v>
      </c>
      <c r="C87" s="112">
        <v>4.05</v>
      </c>
      <c r="D87" s="112">
        <v>13.96</v>
      </c>
      <c r="E87" s="112">
        <v>7.55</v>
      </c>
      <c r="F87" s="112">
        <v>7.85</v>
      </c>
      <c r="G87" s="112">
        <v>17.78</v>
      </c>
      <c r="H87" s="112">
        <v>7.27</v>
      </c>
      <c r="I87" s="112">
        <v>4.8099999999999996</v>
      </c>
      <c r="J87" s="112">
        <v>0.11</v>
      </c>
      <c r="K87" s="112">
        <v>271.79000000000002</v>
      </c>
      <c r="L87" s="112">
        <v>25.42</v>
      </c>
      <c r="M87" s="112">
        <v>97.46</v>
      </c>
      <c r="N87" s="112">
        <v>2.4</v>
      </c>
      <c r="O87" s="112">
        <v>0</v>
      </c>
      <c r="P87" s="112">
        <v>0.43</v>
      </c>
      <c r="Q87" s="112">
        <v>4.63</v>
      </c>
      <c r="R87" s="6"/>
      <c r="S87" s="6"/>
      <c r="T87" s="182"/>
      <c r="U87" s="6"/>
    </row>
    <row r="88" spans="1:26" customFormat="1">
      <c r="A88" s="196" t="s">
        <v>798</v>
      </c>
      <c r="B88" s="112">
        <v>9.2100000000000009</v>
      </c>
      <c r="C88" s="112">
        <v>4.0599999999999996</v>
      </c>
      <c r="D88" s="112">
        <v>13.96</v>
      </c>
      <c r="E88" s="112">
        <v>6.81</v>
      </c>
      <c r="F88" s="112">
        <v>9.75</v>
      </c>
      <c r="G88" s="112">
        <v>17.78</v>
      </c>
      <c r="H88" s="112">
        <v>7.27</v>
      </c>
      <c r="I88" s="112">
        <v>4.59</v>
      </c>
      <c r="J88" s="112">
        <v>0.18</v>
      </c>
      <c r="K88" s="112">
        <v>228.71</v>
      </c>
      <c r="L88" s="112">
        <v>25.44</v>
      </c>
      <c r="M88" s="112">
        <v>98.39</v>
      </c>
      <c r="N88" s="112">
        <v>2.2000000000000002</v>
      </c>
      <c r="O88" s="112">
        <v>0</v>
      </c>
      <c r="P88" s="112">
        <v>0.41</v>
      </c>
      <c r="Q88" s="112">
        <v>4.62</v>
      </c>
      <c r="R88" s="6"/>
      <c r="S88" s="6"/>
      <c r="T88" s="182"/>
      <c r="U88" s="6"/>
    </row>
    <row r="89" spans="1:26" customFormat="1">
      <c r="A89" s="196" t="s">
        <v>799</v>
      </c>
      <c r="B89" s="112">
        <v>9.2200000000000006</v>
      </c>
      <c r="C89" s="112">
        <v>4.07</v>
      </c>
      <c r="D89" s="112">
        <v>13.97</v>
      </c>
      <c r="E89" s="112">
        <v>6.3</v>
      </c>
      <c r="F89" s="112">
        <v>10.92</v>
      </c>
      <c r="G89" s="112">
        <v>17.78</v>
      </c>
      <c r="H89" s="112">
        <v>7.27</v>
      </c>
      <c r="I89" s="112">
        <v>4.34</v>
      </c>
      <c r="J89" s="112">
        <v>0.19</v>
      </c>
      <c r="K89" s="112">
        <v>198.8</v>
      </c>
      <c r="L89" s="112">
        <v>25.46</v>
      </c>
      <c r="M89" s="112">
        <v>97.79</v>
      </c>
      <c r="N89" s="112">
        <v>2.2000000000000002</v>
      </c>
      <c r="O89" s="112">
        <v>0</v>
      </c>
      <c r="P89" s="112">
        <v>0.38</v>
      </c>
      <c r="Q89" s="112">
        <v>4.62</v>
      </c>
      <c r="R89" s="6"/>
      <c r="S89" s="6"/>
      <c r="T89" s="182"/>
      <c r="U89" s="6"/>
    </row>
    <row r="90" spans="1:26" customFormat="1">
      <c r="A90" s="196" t="s">
        <v>800</v>
      </c>
      <c r="B90" s="112">
        <v>9.26</v>
      </c>
      <c r="C90" s="112">
        <v>4.0599999999999996</v>
      </c>
      <c r="D90" s="112">
        <v>13.99</v>
      </c>
      <c r="E90" s="112">
        <v>5.75</v>
      </c>
      <c r="F90" s="112">
        <v>12.4</v>
      </c>
      <c r="G90" s="112">
        <v>15.77</v>
      </c>
      <c r="H90" s="112">
        <v>6.32</v>
      </c>
      <c r="I90" s="112">
        <v>4.24</v>
      </c>
      <c r="J90" s="112">
        <v>0.13</v>
      </c>
      <c r="K90" s="112">
        <v>195.98</v>
      </c>
      <c r="L90" s="112">
        <v>25.64</v>
      </c>
      <c r="M90" s="112">
        <v>96.59</v>
      </c>
      <c r="N90" s="112">
        <v>2.1</v>
      </c>
      <c r="O90" s="112">
        <v>0</v>
      </c>
      <c r="P90" s="112">
        <v>0.37</v>
      </c>
      <c r="Q90" s="112">
        <v>4.6500000000000004</v>
      </c>
      <c r="R90" s="6"/>
      <c r="S90" s="6"/>
      <c r="T90" s="182"/>
      <c r="U90" s="6"/>
    </row>
    <row r="91" spans="1:26" customFormat="1">
      <c r="A91" s="196" t="s">
        <v>801</v>
      </c>
      <c r="B91" s="112">
        <v>9.2799999999999994</v>
      </c>
      <c r="C91" s="112">
        <v>4.0599999999999996</v>
      </c>
      <c r="D91" s="112">
        <v>14.01</v>
      </c>
      <c r="E91" s="112">
        <v>5.89</v>
      </c>
      <c r="F91" s="112">
        <v>11.01</v>
      </c>
      <c r="G91" s="112">
        <v>12.75</v>
      </c>
      <c r="H91" s="112">
        <v>5.48</v>
      </c>
      <c r="I91" s="112">
        <v>4.04</v>
      </c>
      <c r="J91" s="112">
        <v>0.13</v>
      </c>
      <c r="K91" s="112">
        <v>232.45</v>
      </c>
      <c r="L91" s="112">
        <v>25.54</v>
      </c>
      <c r="M91" s="112">
        <v>97.28</v>
      </c>
      <c r="N91" s="112">
        <v>2.1</v>
      </c>
      <c r="O91" s="112">
        <v>0</v>
      </c>
      <c r="P91" s="112">
        <v>0.36</v>
      </c>
      <c r="Q91" s="112">
        <v>4.6500000000000004</v>
      </c>
      <c r="R91" s="6"/>
      <c r="S91" s="6"/>
      <c r="T91" s="182"/>
      <c r="U91" s="6"/>
    </row>
    <row r="92" spans="1:26" customFormat="1">
      <c r="A92" s="196" t="s">
        <v>802</v>
      </c>
      <c r="B92" s="112">
        <v>9.26</v>
      </c>
      <c r="C92" s="112">
        <v>4.0599999999999996</v>
      </c>
      <c r="D92" s="112">
        <v>14</v>
      </c>
      <c r="E92" s="112">
        <v>6.17</v>
      </c>
      <c r="F92" s="112">
        <v>9.0299999999999994</v>
      </c>
      <c r="G92" s="112">
        <v>12.75</v>
      </c>
      <c r="H92" s="112">
        <v>5.48</v>
      </c>
      <c r="I92" s="112">
        <v>3.95</v>
      </c>
      <c r="J92" s="112">
        <v>0.11</v>
      </c>
      <c r="K92" s="112">
        <v>242.8</v>
      </c>
      <c r="L92" s="112">
        <v>25.6</v>
      </c>
      <c r="M92" s="112">
        <v>98.03</v>
      </c>
      <c r="N92" s="112">
        <v>2.1</v>
      </c>
      <c r="O92" s="112">
        <v>0</v>
      </c>
      <c r="P92" s="112">
        <v>0.38</v>
      </c>
      <c r="Q92" s="112">
        <v>4.6500000000000004</v>
      </c>
      <c r="R92" s="6"/>
      <c r="S92" s="6"/>
      <c r="T92" s="182"/>
      <c r="U92" s="6"/>
    </row>
    <row r="93" spans="1:26" customFormat="1">
      <c r="A93" s="196" t="s">
        <v>803</v>
      </c>
      <c r="B93" s="112">
        <v>9.24</v>
      </c>
      <c r="C93" s="112">
        <v>4.0999999999999996</v>
      </c>
      <c r="D93" s="112">
        <v>14</v>
      </c>
      <c r="E93" s="112">
        <v>6.29</v>
      </c>
      <c r="F93" s="112">
        <v>8.8699999999999992</v>
      </c>
      <c r="G93" s="112">
        <v>12.75</v>
      </c>
      <c r="H93" s="112">
        <v>5.48</v>
      </c>
      <c r="I93" s="112">
        <v>4.1399999999999997</v>
      </c>
      <c r="J93" s="112">
        <v>0.09</v>
      </c>
      <c r="K93" s="112">
        <v>237.56</v>
      </c>
      <c r="L93" s="112">
        <v>25.62</v>
      </c>
      <c r="M93" s="112">
        <v>98.3</v>
      </c>
      <c r="N93" s="112">
        <v>2.2000000000000002</v>
      </c>
      <c r="O93" s="112">
        <v>0</v>
      </c>
      <c r="P93" s="112">
        <v>0.39</v>
      </c>
      <c r="Q93" s="112">
        <v>4.63</v>
      </c>
      <c r="R93" s="6"/>
      <c r="S93" s="6"/>
      <c r="T93" s="182"/>
      <c r="U93" s="6"/>
    </row>
    <row r="94" spans="1:26" customFormat="1">
      <c r="A94" s="196" t="s">
        <v>804</v>
      </c>
      <c r="B94" s="112">
        <v>9.26</v>
      </c>
      <c r="C94" s="112">
        <v>4.0599999999999996</v>
      </c>
      <c r="D94" s="112">
        <v>14</v>
      </c>
      <c r="E94" s="112">
        <v>6.15</v>
      </c>
      <c r="F94" s="112">
        <v>11.17</v>
      </c>
      <c r="G94" s="112">
        <v>13.69</v>
      </c>
      <c r="H94" s="112">
        <v>6.13</v>
      </c>
      <c r="I94" s="112">
        <v>4.17</v>
      </c>
      <c r="J94" s="112">
        <v>0.13</v>
      </c>
      <c r="K94" s="112">
        <v>206.12</v>
      </c>
      <c r="L94" s="112">
        <v>25.62</v>
      </c>
      <c r="M94" s="112">
        <v>98.81</v>
      </c>
      <c r="N94" s="112">
        <v>2.2000000000000002</v>
      </c>
      <c r="O94" s="112">
        <v>0.2</v>
      </c>
      <c r="P94" s="112">
        <v>0.37</v>
      </c>
      <c r="Q94" s="112">
        <v>4.6399999999999997</v>
      </c>
      <c r="R94" s="6"/>
      <c r="S94" s="6"/>
      <c r="T94" s="182"/>
      <c r="U94" s="6"/>
    </row>
    <row r="95" spans="1:26" customFormat="1">
      <c r="A95" s="196" t="s">
        <v>805</v>
      </c>
      <c r="B95" s="112">
        <v>9.27</v>
      </c>
      <c r="C95" s="112">
        <v>4.0599999999999996</v>
      </c>
      <c r="D95" s="112">
        <v>14</v>
      </c>
      <c r="E95" s="112">
        <v>6.47</v>
      </c>
      <c r="F95" s="112">
        <v>10.55</v>
      </c>
      <c r="G95" s="112">
        <v>15.1</v>
      </c>
      <c r="H95" s="112">
        <v>6.71</v>
      </c>
      <c r="I95" s="112">
        <v>3.98</v>
      </c>
      <c r="J95" s="112">
        <v>0.13</v>
      </c>
      <c r="K95" s="112">
        <v>220.62</v>
      </c>
      <c r="L95" s="112">
        <v>25.61</v>
      </c>
      <c r="M95" s="112">
        <v>97.68</v>
      </c>
      <c r="N95" s="112">
        <v>2.1</v>
      </c>
      <c r="O95" s="112">
        <v>0</v>
      </c>
      <c r="P95" s="112">
        <v>0.37</v>
      </c>
      <c r="Q95" s="112">
        <v>4.6399999999999997</v>
      </c>
      <c r="R95" s="6"/>
      <c r="S95" s="6"/>
      <c r="T95" s="182"/>
      <c r="U95" s="6"/>
    </row>
    <row r="96" spans="1:26" customFormat="1">
      <c r="A96" s="196" t="s">
        <v>806</v>
      </c>
      <c r="B96" s="112">
        <v>9.24</v>
      </c>
      <c r="C96" s="112">
        <v>4.05</v>
      </c>
      <c r="D96" s="112">
        <v>13.98</v>
      </c>
      <c r="E96" s="112">
        <v>6.51</v>
      </c>
      <c r="F96" s="112">
        <v>9.5500000000000007</v>
      </c>
      <c r="G96" s="112">
        <v>15.1</v>
      </c>
      <c r="H96" s="112">
        <v>6.71</v>
      </c>
      <c r="I96" s="112">
        <v>3.77</v>
      </c>
      <c r="J96" s="112">
        <v>0.12</v>
      </c>
      <c r="K96" s="112">
        <v>250.74</v>
      </c>
      <c r="L96" s="112">
        <v>25.57</v>
      </c>
      <c r="M96" s="112">
        <v>97.92</v>
      </c>
      <c r="N96" s="112">
        <v>2.1</v>
      </c>
      <c r="O96" s="112">
        <v>0</v>
      </c>
      <c r="P96" s="112">
        <v>0.36</v>
      </c>
      <c r="Q96" s="112">
        <v>4.63</v>
      </c>
      <c r="R96" s="6"/>
      <c r="S96" s="6"/>
      <c r="T96" s="182"/>
      <c r="U96" s="6"/>
      <c r="Z96" s="190"/>
    </row>
    <row r="97" spans="1:33" customFormat="1">
      <c r="A97" s="196" t="s">
        <v>807</v>
      </c>
      <c r="B97" s="112">
        <v>9.2200000000000006</v>
      </c>
      <c r="C97" s="112">
        <v>4.08</v>
      </c>
      <c r="D97" s="112">
        <v>13.98</v>
      </c>
      <c r="E97" s="112">
        <v>6.14</v>
      </c>
      <c r="F97" s="112">
        <v>9.64</v>
      </c>
      <c r="G97" s="112">
        <v>15.1</v>
      </c>
      <c r="H97" s="112">
        <v>6.71</v>
      </c>
      <c r="I97" s="112">
        <v>3.78</v>
      </c>
      <c r="J97" s="112">
        <v>0.12</v>
      </c>
      <c r="K97" s="112">
        <v>228.39</v>
      </c>
      <c r="L97" s="112">
        <v>25.45</v>
      </c>
      <c r="M97" s="112">
        <v>98.42</v>
      </c>
      <c r="N97" s="112">
        <v>2.2999999999999998</v>
      </c>
      <c r="O97" s="112">
        <v>0.2</v>
      </c>
      <c r="P97" s="112">
        <v>0.35</v>
      </c>
      <c r="Q97" s="112">
        <v>4.62</v>
      </c>
      <c r="R97" s="6"/>
      <c r="S97" s="6"/>
      <c r="T97" s="182"/>
      <c r="U97" s="6"/>
    </row>
    <row r="98" spans="1:33" customFormat="1">
      <c r="A98" s="196" t="s">
        <v>808</v>
      </c>
      <c r="B98" s="112">
        <v>9.2200000000000006</v>
      </c>
      <c r="C98" s="112">
        <v>4.0599999999999996</v>
      </c>
      <c r="D98" s="112">
        <v>13.97</v>
      </c>
      <c r="E98" s="112">
        <v>5.75</v>
      </c>
      <c r="F98" s="112">
        <v>11.36</v>
      </c>
      <c r="G98" s="112">
        <v>13.69</v>
      </c>
      <c r="H98" s="112">
        <v>6.31</v>
      </c>
      <c r="I98" s="112">
        <v>3.74</v>
      </c>
      <c r="J98" s="112">
        <v>0.11</v>
      </c>
      <c r="K98" s="112">
        <v>218.34</v>
      </c>
      <c r="L98" s="112">
        <v>25.39</v>
      </c>
      <c r="M98" s="112">
        <v>97.78</v>
      </c>
      <c r="N98" s="112">
        <v>2.1</v>
      </c>
      <c r="O98" s="112">
        <v>0</v>
      </c>
      <c r="P98" s="112">
        <v>0.34</v>
      </c>
      <c r="Q98" s="112">
        <v>4.63</v>
      </c>
      <c r="R98" s="6"/>
      <c r="S98" s="6"/>
      <c r="T98" s="182"/>
      <c r="U98" s="6"/>
    </row>
    <row r="99" spans="1:33" customFormat="1">
      <c r="A99" s="196" t="s">
        <v>809</v>
      </c>
      <c r="B99" s="112">
        <v>9.2100000000000009</v>
      </c>
      <c r="C99" s="112">
        <v>4.0999999999999996</v>
      </c>
      <c r="D99" s="112">
        <v>13.97</v>
      </c>
      <c r="E99" s="112">
        <v>6.1</v>
      </c>
      <c r="F99" s="112">
        <v>11.32</v>
      </c>
      <c r="G99" s="112">
        <v>11.57</v>
      </c>
      <c r="H99" s="112">
        <v>5.26</v>
      </c>
      <c r="I99" s="112">
        <v>3.56</v>
      </c>
      <c r="J99" s="112">
        <v>0.09</v>
      </c>
      <c r="K99" s="112">
        <v>242.61</v>
      </c>
      <c r="L99" s="112">
        <v>25.42</v>
      </c>
      <c r="M99" s="112">
        <v>99.1</v>
      </c>
      <c r="N99" s="112">
        <v>2</v>
      </c>
      <c r="O99" s="112">
        <v>0</v>
      </c>
      <c r="P99" s="112">
        <v>0.33</v>
      </c>
      <c r="Q99" s="112">
        <v>4.66</v>
      </c>
      <c r="R99" s="6"/>
      <c r="S99" s="6"/>
      <c r="T99" s="182"/>
      <c r="U99" s="6"/>
    </row>
    <row r="100" spans="1:33" customFormat="1">
      <c r="A100" s="196" t="s">
        <v>810</v>
      </c>
      <c r="B100" s="112">
        <v>9.23</v>
      </c>
      <c r="C100" s="112">
        <v>4.09</v>
      </c>
      <c r="D100" s="112">
        <v>13.99</v>
      </c>
      <c r="E100" s="112">
        <v>6.58</v>
      </c>
      <c r="F100" s="112">
        <v>10.199999999999999</v>
      </c>
      <c r="G100" s="112">
        <v>11.57</v>
      </c>
      <c r="H100" s="112">
        <v>5.26</v>
      </c>
      <c r="I100" s="112">
        <v>3.32</v>
      </c>
      <c r="J100" s="112">
        <v>0.11</v>
      </c>
      <c r="K100" s="112">
        <v>257.88</v>
      </c>
      <c r="L100" s="112">
        <v>25.49</v>
      </c>
      <c r="M100" s="112">
        <v>99.75</v>
      </c>
      <c r="N100" s="112">
        <v>2.1</v>
      </c>
      <c r="O100" s="112">
        <v>0.2</v>
      </c>
      <c r="P100" s="112">
        <v>0.32</v>
      </c>
      <c r="Q100" s="112">
        <v>4.6500000000000004</v>
      </c>
      <c r="R100" s="6"/>
      <c r="S100" s="6"/>
      <c r="T100" s="182"/>
      <c r="U100" s="6"/>
      <c r="AB100" s="191"/>
      <c r="AG100" s="190"/>
    </row>
    <row r="101" spans="1:33" customFormat="1">
      <c r="A101" s="196" t="s">
        <v>811</v>
      </c>
      <c r="B101" s="112">
        <v>9.24</v>
      </c>
      <c r="C101" s="112">
        <v>4.07</v>
      </c>
      <c r="D101" s="112">
        <v>13.98</v>
      </c>
      <c r="E101" s="112">
        <v>7.03</v>
      </c>
      <c r="F101" s="112">
        <v>8.64</v>
      </c>
      <c r="G101" s="112">
        <v>11.57</v>
      </c>
      <c r="H101" s="112">
        <v>5.26</v>
      </c>
      <c r="I101" s="112">
        <v>3.48</v>
      </c>
      <c r="J101" s="112">
        <v>0.12</v>
      </c>
      <c r="K101" s="112">
        <v>235.65</v>
      </c>
      <c r="L101" s="112">
        <v>25.51</v>
      </c>
      <c r="M101" s="112">
        <v>99.58</v>
      </c>
      <c r="N101" s="112">
        <v>2.1</v>
      </c>
      <c r="O101" s="112">
        <v>0</v>
      </c>
      <c r="P101" s="112">
        <v>0.35</v>
      </c>
      <c r="Q101" s="112">
        <v>4.6399999999999997</v>
      </c>
      <c r="R101" s="6"/>
      <c r="S101" s="6"/>
      <c r="T101" s="182"/>
      <c r="U101" s="6"/>
    </row>
    <row r="102" spans="1:33" customFormat="1">
      <c r="A102" s="196" t="s">
        <v>812</v>
      </c>
      <c r="B102" s="112">
        <v>9.24</v>
      </c>
      <c r="C102" s="112">
        <v>4.04</v>
      </c>
      <c r="D102" s="112">
        <v>13.97</v>
      </c>
      <c r="E102" s="112">
        <v>6.24</v>
      </c>
      <c r="F102" s="112">
        <v>9.81</v>
      </c>
      <c r="G102" s="112">
        <v>10.25</v>
      </c>
      <c r="H102" s="112">
        <v>4.92</v>
      </c>
      <c r="I102" s="112">
        <v>3.3</v>
      </c>
      <c r="J102" s="112">
        <v>0.19</v>
      </c>
      <c r="K102" s="112">
        <v>265.23</v>
      </c>
      <c r="L102" s="112">
        <v>25.53</v>
      </c>
      <c r="M102" s="112">
        <v>100.62</v>
      </c>
      <c r="N102" s="112">
        <v>2.1</v>
      </c>
      <c r="O102" s="112">
        <v>0</v>
      </c>
      <c r="P102" s="112">
        <v>0.34</v>
      </c>
      <c r="Q102" s="112">
        <v>4.63</v>
      </c>
      <c r="R102" s="6"/>
      <c r="S102" s="6"/>
      <c r="T102" s="182"/>
      <c r="U102" s="6"/>
    </row>
    <row r="103" spans="1:33" customFormat="1">
      <c r="A103" s="196" t="s">
        <v>813</v>
      </c>
      <c r="B103" s="112">
        <v>9.24</v>
      </c>
      <c r="C103" s="112">
        <v>4.07</v>
      </c>
      <c r="D103" s="112">
        <v>13.99</v>
      </c>
      <c r="E103" s="112">
        <v>6.72</v>
      </c>
      <c r="F103" s="112">
        <v>7.31</v>
      </c>
      <c r="G103" s="112">
        <v>8.26</v>
      </c>
      <c r="H103" s="112">
        <v>4.6100000000000003</v>
      </c>
      <c r="I103" s="112">
        <v>3.44</v>
      </c>
      <c r="J103" s="112">
        <v>0.15</v>
      </c>
      <c r="K103" s="112">
        <v>257.05</v>
      </c>
      <c r="L103" s="112">
        <v>25.53</v>
      </c>
      <c r="M103" s="112">
        <v>100.97</v>
      </c>
      <c r="N103" s="112">
        <v>2.1</v>
      </c>
      <c r="O103" s="112">
        <v>0</v>
      </c>
      <c r="P103" s="112">
        <v>0.34</v>
      </c>
      <c r="Q103" s="112">
        <v>4.6399999999999997</v>
      </c>
      <c r="R103" s="6"/>
      <c r="S103" s="6"/>
      <c r="T103" s="182"/>
      <c r="U103" s="6"/>
    </row>
    <row r="104" spans="1:33" customFormat="1">
      <c r="A104" s="196" t="s">
        <v>814</v>
      </c>
      <c r="B104" s="112">
        <v>9.24</v>
      </c>
      <c r="C104" s="112">
        <v>4.07</v>
      </c>
      <c r="D104" s="112">
        <v>13.99</v>
      </c>
      <c r="E104" s="112">
        <v>7.09</v>
      </c>
      <c r="F104" s="112">
        <v>6.67</v>
      </c>
      <c r="G104" s="112">
        <v>8.26</v>
      </c>
      <c r="H104" s="112">
        <v>4.6100000000000003</v>
      </c>
      <c r="I104" s="112">
        <v>3.19</v>
      </c>
      <c r="J104" s="112">
        <v>0.16</v>
      </c>
      <c r="K104" s="112">
        <v>270.47000000000003</v>
      </c>
      <c r="L104" s="112">
        <v>25.61</v>
      </c>
      <c r="M104" s="112">
        <v>102.37</v>
      </c>
      <c r="N104" s="112">
        <v>2</v>
      </c>
      <c r="O104" s="112">
        <v>0</v>
      </c>
      <c r="P104" s="112">
        <v>0.34</v>
      </c>
      <c r="Q104" s="112">
        <v>4.63</v>
      </c>
      <c r="R104" s="6"/>
      <c r="S104" s="6"/>
      <c r="T104" s="182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3" t="s">
        <v>48</v>
      </c>
      <c r="B106" s="184">
        <f>MIN(B9:B104)</f>
        <v>9.18</v>
      </c>
      <c r="C106" s="184">
        <f>MIN(C9:C104)</f>
        <v>4.01</v>
      </c>
      <c r="D106" s="184">
        <f t="shared" ref="D106:Q106" si="0">MIN(D9:D104)</f>
        <v>13.92</v>
      </c>
      <c r="E106" s="184">
        <f t="shared" si="0"/>
        <v>5.75</v>
      </c>
      <c r="F106" s="184">
        <f t="shared" si="0"/>
        <v>2.98</v>
      </c>
      <c r="G106" s="184">
        <f t="shared" si="0"/>
        <v>8.1300000000000008</v>
      </c>
      <c r="H106" s="184">
        <f t="shared" si="0"/>
        <v>3.81</v>
      </c>
      <c r="I106" s="184">
        <f t="shared" si="0"/>
        <v>3.19</v>
      </c>
      <c r="J106" s="184">
        <f t="shared" si="0"/>
        <v>0.06</v>
      </c>
      <c r="K106" s="184">
        <f t="shared" si="0"/>
        <v>151.19</v>
      </c>
      <c r="L106" s="184">
        <f t="shared" si="0"/>
        <v>25.14</v>
      </c>
      <c r="M106" s="184">
        <f t="shared" si="0"/>
        <v>70.44</v>
      </c>
      <c r="N106" s="184">
        <f t="shared" si="0"/>
        <v>2</v>
      </c>
      <c r="O106" s="184">
        <f t="shared" si="0"/>
        <v>0</v>
      </c>
      <c r="P106" s="184">
        <f t="shared" si="0"/>
        <v>0.28000000000000003</v>
      </c>
      <c r="Q106" s="184">
        <f t="shared" si="0"/>
        <v>4.6100000000000003</v>
      </c>
      <c r="R106" s="188"/>
      <c r="S106" s="188"/>
      <c r="T106" s="188"/>
      <c r="U106" s="188"/>
    </row>
    <row r="107" spans="1:33">
      <c r="A107" s="183" t="s">
        <v>49</v>
      </c>
      <c r="B107" s="185">
        <f>MAX(B9:B104)</f>
        <v>9.31</v>
      </c>
      <c r="C107" s="185">
        <f t="shared" ref="C107:Q107" si="1">MAX(C9:C104)</f>
        <v>4.1100000000000003</v>
      </c>
      <c r="D107" s="185">
        <f t="shared" si="1"/>
        <v>14.05</v>
      </c>
      <c r="E107" s="185">
        <f t="shared" si="1"/>
        <v>12.51</v>
      </c>
      <c r="F107" s="185">
        <f t="shared" si="1"/>
        <v>12.4</v>
      </c>
      <c r="G107" s="185">
        <f t="shared" si="1"/>
        <v>23.31</v>
      </c>
      <c r="H107" s="185">
        <f t="shared" si="1"/>
        <v>10.119999999999999</v>
      </c>
      <c r="I107" s="185">
        <f t="shared" si="1"/>
        <v>6.05</v>
      </c>
      <c r="J107" s="185">
        <f t="shared" si="1"/>
        <v>1.88</v>
      </c>
      <c r="K107" s="185">
        <f t="shared" si="1"/>
        <v>308.92</v>
      </c>
      <c r="L107" s="185">
        <f t="shared" si="1"/>
        <v>32.18</v>
      </c>
      <c r="M107" s="185">
        <f t="shared" si="1"/>
        <v>102.37</v>
      </c>
      <c r="N107" s="185">
        <f t="shared" si="1"/>
        <v>480</v>
      </c>
      <c r="O107" s="185">
        <f t="shared" si="1"/>
        <v>0.6</v>
      </c>
      <c r="P107" s="185">
        <f t="shared" si="1"/>
        <v>0.5</v>
      </c>
      <c r="Q107" s="185">
        <f t="shared" si="1"/>
        <v>4.67</v>
      </c>
      <c r="R107" s="189"/>
      <c r="S107" s="189"/>
      <c r="T107" s="189"/>
      <c r="U107" s="189"/>
    </row>
    <row r="108" spans="1:33">
      <c r="A108" s="183" t="s">
        <v>50</v>
      </c>
      <c r="B108" s="184">
        <f>AVERAGE(B9:B104)</f>
        <v>9.2245833333333405</v>
      </c>
      <c r="C108" s="184">
        <f t="shared" ref="C108:Q108" si="2">AVERAGE(C9:C104)</f>
        <v>4.0678125000000014</v>
      </c>
      <c r="D108" s="184">
        <f t="shared" si="2"/>
        <v>13.972708333333349</v>
      </c>
      <c r="E108" s="184">
        <f t="shared" si="2"/>
        <v>8.9202083333333331</v>
      </c>
      <c r="F108" s="184">
        <f t="shared" si="2"/>
        <v>6.9462499999999983</v>
      </c>
      <c r="G108" s="184">
        <f t="shared" si="2"/>
        <v>14.682395833333329</v>
      </c>
      <c r="H108" s="184">
        <f t="shared" si="2"/>
        <v>6.3287500000000021</v>
      </c>
      <c r="I108" s="184">
        <f t="shared" si="2"/>
        <v>4.2810416666666677</v>
      </c>
      <c r="J108" s="184">
        <f t="shared" si="2"/>
        <v>0.60593750000000013</v>
      </c>
      <c r="K108" s="184">
        <f t="shared" si="2"/>
        <v>255.64916666666659</v>
      </c>
      <c r="L108" s="184">
        <f t="shared" si="2"/>
        <v>27.178750000000004</v>
      </c>
      <c r="M108" s="184">
        <f t="shared" si="2"/>
        <v>90.789062500000014</v>
      </c>
      <c r="N108" s="184">
        <f t="shared" si="2"/>
        <v>104.66875000000006</v>
      </c>
      <c r="O108" s="184">
        <f t="shared" si="2"/>
        <v>2.2916666666666669E-2</v>
      </c>
      <c r="P108" s="184">
        <f t="shared" si="2"/>
        <v>0.37812500000000004</v>
      </c>
      <c r="Q108" s="184">
        <f t="shared" si="2"/>
        <v>4.6353124999999968</v>
      </c>
      <c r="R108" s="188"/>
      <c r="S108" s="188"/>
      <c r="T108" s="188"/>
      <c r="U108" s="188"/>
    </row>
    <row r="109" spans="1:33">
      <c r="A109" s="183" t="s">
        <v>51</v>
      </c>
      <c r="B109" s="184">
        <f>STDEV(B9:B104)</f>
        <v>3.4148797209816853E-2</v>
      </c>
      <c r="C109" s="184">
        <f t="shared" ref="C109:Q109" si="3">STDEV(C9:C104)</f>
        <v>1.766370796144939E-2</v>
      </c>
      <c r="D109" s="184">
        <f t="shared" si="3"/>
        <v>2.8671613200320176E-2</v>
      </c>
      <c r="E109" s="184">
        <f t="shared" si="3"/>
        <v>1.5932918450518769</v>
      </c>
      <c r="F109" s="184">
        <f t="shared" si="3"/>
        <v>2.6139191184684294</v>
      </c>
      <c r="G109" s="184">
        <f t="shared" si="3"/>
        <v>4.7293261442312078</v>
      </c>
      <c r="H109" s="184">
        <f t="shared" si="3"/>
        <v>1.8425070163402717</v>
      </c>
      <c r="I109" s="184">
        <f t="shared" si="3"/>
        <v>0.74054528866328539</v>
      </c>
      <c r="J109" s="184">
        <f t="shared" si="3"/>
        <v>0.43542738381841245</v>
      </c>
      <c r="K109" s="184">
        <f t="shared" si="3"/>
        <v>28.017513119539636</v>
      </c>
      <c r="L109" s="184">
        <f t="shared" si="3"/>
        <v>2.1369241298749895</v>
      </c>
      <c r="M109" s="184">
        <f t="shared" si="3"/>
        <v>9.7171503379740116</v>
      </c>
      <c r="N109" s="184">
        <f t="shared" si="3"/>
        <v>146.30829261132843</v>
      </c>
      <c r="O109" s="184">
        <f t="shared" si="3"/>
        <v>9.5673971235283359E-2</v>
      </c>
      <c r="P109" s="184">
        <f t="shared" si="3"/>
        <v>6.0616351797705859E-2</v>
      </c>
      <c r="Q109" s="184">
        <f t="shared" si="3"/>
        <v>1.213547431467373E-2</v>
      </c>
      <c r="R109" s="188"/>
      <c r="S109" s="188"/>
      <c r="T109" s="188"/>
      <c r="U109" s="188"/>
    </row>
    <row r="110" spans="1:33">
      <c r="A110" s="183" t="s">
        <v>52</v>
      </c>
      <c r="B110" s="185">
        <f t="shared" ref="B110:Q110" si="4">COUNT(B9:B104)</f>
        <v>96</v>
      </c>
      <c r="C110" s="185">
        <f t="shared" si="4"/>
        <v>96</v>
      </c>
      <c r="D110" s="185">
        <f t="shared" si="4"/>
        <v>96</v>
      </c>
      <c r="E110" s="185">
        <f t="shared" si="4"/>
        <v>96</v>
      </c>
      <c r="F110" s="185">
        <f t="shared" si="4"/>
        <v>96</v>
      </c>
      <c r="G110" s="185">
        <f t="shared" si="4"/>
        <v>96</v>
      </c>
      <c r="H110" s="185">
        <f t="shared" si="4"/>
        <v>96</v>
      </c>
      <c r="I110" s="185">
        <f t="shared" si="4"/>
        <v>96</v>
      </c>
      <c r="J110" s="185">
        <f t="shared" si="4"/>
        <v>96</v>
      </c>
      <c r="K110" s="185">
        <f t="shared" si="4"/>
        <v>96</v>
      </c>
      <c r="L110" s="185">
        <f t="shared" si="4"/>
        <v>96</v>
      </c>
      <c r="M110" s="185">
        <f t="shared" si="4"/>
        <v>96</v>
      </c>
      <c r="N110" s="185">
        <f t="shared" si="4"/>
        <v>96</v>
      </c>
      <c r="O110" s="185">
        <f t="shared" si="4"/>
        <v>96</v>
      </c>
      <c r="P110" s="185">
        <f t="shared" si="4"/>
        <v>96</v>
      </c>
      <c r="Q110" s="185">
        <f t="shared" si="4"/>
        <v>96</v>
      </c>
      <c r="R110" s="189"/>
      <c r="S110" s="189"/>
      <c r="T110" s="189"/>
      <c r="U110" s="189"/>
      <c r="V110" s="185"/>
    </row>
    <row r="111" spans="1:33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7"/>
      <c r="O113" s="187"/>
      <c r="P113" s="187"/>
      <c r="Q113" s="187"/>
      <c r="R113" s="187"/>
      <c r="S113" s="187"/>
      <c r="T113" s="187"/>
      <c r="U113" s="187"/>
    </row>
    <row r="115" spans="1:21">
      <c r="A115" s="153" t="s">
        <v>55</v>
      </c>
      <c r="B115" s="198" t="s">
        <v>56</v>
      </c>
      <c r="C115" s="198"/>
      <c r="D115" s="198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6" t="s">
        <v>57</v>
      </c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54"/>
  <sheetViews>
    <sheetView zoomScale="80" zoomScaleNormal="80" workbookViewId="0">
      <pane xSplit="1" ySplit="8" topLeftCell="B27" activePane="bottomRight" state="frozen"/>
      <selection pane="topRight"/>
      <selection pane="bottomLeft"/>
      <selection pane="bottomRight" activeCell="B42" sqref="B42:Q42"/>
    </sheetView>
  </sheetViews>
  <sheetFormatPr defaultColWidth="8.85546875" defaultRowHeight="15"/>
  <cols>
    <col min="1" max="1" width="15.85546875" style="143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4" t="s">
        <v>0</v>
      </c>
      <c r="B1" s="145" t="s">
        <v>58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s="2" customFormat="1">
      <c r="A2" s="144" t="s">
        <v>2</v>
      </c>
      <c r="B2" s="148">
        <f>$A$9</f>
        <v>45444.010416666664</v>
      </c>
      <c r="C2"/>
      <c r="D2" s="48" t="s">
        <v>3</v>
      </c>
      <c r="E2" s="48"/>
      <c r="F2" s="48"/>
      <c r="G2" s="149" t="s">
        <v>4</v>
      </c>
      <c r="H2" s="150"/>
      <c r="I2" s="150"/>
      <c r="J2" s="150"/>
      <c r="K2" s="147"/>
      <c r="L2" s="48" t="s">
        <v>5</v>
      </c>
      <c r="M2" s="147"/>
      <c r="N2" s="165" t="s">
        <v>6</v>
      </c>
      <c r="P2" s="166" t="s">
        <v>7</v>
      </c>
      <c r="Q2" s="147"/>
      <c r="R2" s="172" t="s">
        <v>8</v>
      </c>
      <c r="S2"/>
      <c r="T2"/>
      <c r="U2"/>
    </row>
    <row r="3" spans="1:21" s="2" customFormat="1">
      <c r="A3" s="144" t="s">
        <v>9</v>
      </c>
      <c r="B3" s="147" t="s">
        <v>10</v>
      </c>
      <c r="C3"/>
      <c r="D3" s="48" t="s">
        <v>11</v>
      </c>
      <c r="E3" s="48"/>
      <c r="F3" s="48"/>
      <c r="G3" s="151" t="s">
        <v>12</v>
      </c>
      <c r="H3" s="150"/>
      <c r="I3" s="144"/>
      <c r="J3" s="150"/>
      <c r="K3"/>
      <c r="L3" s="48" t="s">
        <v>13</v>
      </c>
      <c r="M3" s="147"/>
      <c r="N3" s="167" t="s">
        <v>14</v>
      </c>
      <c r="O3" s="147"/>
      <c r="P3" s="168" t="s">
        <v>15</v>
      </c>
      <c r="Q3" s="147"/>
      <c r="R3" s="173" t="s">
        <v>15</v>
      </c>
      <c r="S3"/>
      <c r="T3"/>
      <c r="U3"/>
    </row>
    <row r="4" spans="1:21" s="2" customFormat="1">
      <c r="A4" s="144" t="s">
        <v>16</v>
      </c>
      <c r="B4" s="147" t="s">
        <v>59</v>
      </c>
      <c r="C4"/>
      <c r="D4" s="48" t="s">
        <v>18</v>
      </c>
      <c r="E4" s="48"/>
      <c r="F4" s="48"/>
      <c r="G4" s="152" t="s">
        <v>19</v>
      </c>
      <c r="H4" s="150"/>
      <c r="I4" s="144"/>
      <c r="J4" s="150"/>
      <c r="K4" s="169"/>
      <c r="L4" s="48" t="s">
        <v>20</v>
      </c>
      <c r="M4" s="147"/>
      <c r="N4" s="170" t="s">
        <v>21</v>
      </c>
      <c r="O4" s="147"/>
      <c r="P4" s="147"/>
      <c r="Q4" s="147"/>
      <c r="R4" s="147"/>
      <c r="S4"/>
      <c r="T4"/>
      <c r="U4"/>
    </row>
    <row r="5" spans="1:21" s="2" customFormat="1">
      <c r="A5" s="144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s="2" customFormat="1">
      <c r="A6" s="14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 s="2" customFormat="1">
      <c r="A7" s="154" t="s">
        <v>22</v>
      </c>
      <c r="B7" s="155" t="s">
        <v>23</v>
      </c>
      <c r="C7" s="155" t="s">
        <v>24</v>
      </c>
      <c r="D7" s="155" t="s">
        <v>25</v>
      </c>
      <c r="E7" s="155" t="s">
        <v>26</v>
      </c>
      <c r="F7" s="155" t="s">
        <v>27</v>
      </c>
      <c r="G7" s="155" t="s">
        <v>28</v>
      </c>
      <c r="H7" s="155" t="s">
        <v>29</v>
      </c>
      <c r="I7" s="155" t="s">
        <v>30</v>
      </c>
      <c r="J7" s="155" t="s">
        <v>31</v>
      </c>
      <c r="K7" s="155" t="s">
        <v>32</v>
      </c>
      <c r="L7" s="155" t="s">
        <v>33</v>
      </c>
      <c r="M7" s="155" t="s">
        <v>34</v>
      </c>
      <c r="N7" s="155" t="s">
        <v>35</v>
      </c>
      <c r="O7" s="155" t="s">
        <v>36</v>
      </c>
      <c r="P7" s="155" t="s">
        <v>37</v>
      </c>
      <c r="Q7" s="155" t="s">
        <v>38</v>
      </c>
      <c r="R7" s="174"/>
      <c r="S7" s="175"/>
      <c r="T7" s="174"/>
      <c r="U7" s="174"/>
    </row>
    <row r="8" spans="1:21" s="2" customFormat="1">
      <c r="A8" s="154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71" t="s">
        <v>43</v>
      </c>
      <c r="M8" s="156" t="s">
        <v>44</v>
      </c>
      <c r="N8" s="156" t="s">
        <v>45</v>
      </c>
      <c r="O8" s="171" t="s">
        <v>46</v>
      </c>
      <c r="P8" s="156" t="s">
        <v>47</v>
      </c>
      <c r="Q8" s="114" t="s">
        <v>39</v>
      </c>
      <c r="R8" s="174"/>
      <c r="S8" s="175"/>
      <c r="T8" s="174"/>
      <c r="U8" s="174"/>
    </row>
    <row r="9" spans="1:21">
      <c r="A9" s="157">
        <f>'01'!$B$2</f>
        <v>45444.010416666664</v>
      </c>
      <c r="B9" s="95">
        <f>'01'!B108</f>
        <v>7.3336458333333345</v>
      </c>
      <c r="C9" s="95">
        <f>'01'!C108</f>
        <v>6.097708333333336</v>
      </c>
      <c r="D9" s="95">
        <f>'01'!D108</f>
        <v>14.075833333333334</v>
      </c>
      <c r="E9" s="95">
        <f>'01'!E108</f>
        <v>24.056458333333335</v>
      </c>
      <c r="F9" s="95">
        <f>'01'!F108</f>
        <v>21.200312500000003</v>
      </c>
      <c r="G9" s="95">
        <f>'01'!G108</f>
        <v>95.023749999999936</v>
      </c>
      <c r="H9" s="95">
        <f>'01'!H108</f>
        <v>31.659479166666657</v>
      </c>
      <c r="I9" s="95">
        <f>'01'!I108</f>
        <v>8.504583333333338</v>
      </c>
      <c r="J9" s="95">
        <f>'01'!J108</f>
        <v>0.63416666666666655</v>
      </c>
      <c r="K9" s="95">
        <f>'01'!K108</f>
        <v>202.17447916666671</v>
      </c>
      <c r="L9" s="95">
        <f>'01'!L108</f>
        <v>38.313229166666659</v>
      </c>
      <c r="M9" s="95">
        <f>'01'!M108</f>
        <v>29.516458333333336</v>
      </c>
      <c r="N9" s="95">
        <f>'01'!N108</f>
        <v>141.70937499999999</v>
      </c>
      <c r="O9" s="95">
        <f>'01'!O108</f>
        <v>0</v>
      </c>
      <c r="P9" s="95">
        <f>'01'!P108</f>
        <v>0.71260416666666637</v>
      </c>
      <c r="Q9" s="95">
        <f>'01'!Q108</f>
        <v>4.9293750000000038</v>
      </c>
      <c r="R9" s="160"/>
      <c r="S9" s="160"/>
      <c r="T9" s="160"/>
      <c r="U9" s="160"/>
    </row>
    <row r="10" spans="1:21">
      <c r="A10" s="157">
        <f>'02'!$B$2</f>
        <v>45445.010416666664</v>
      </c>
      <c r="B10" s="95">
        <f>'02'!B108</f>
        <v>7.0727083333333338</v>
      </c>
      <c r="C10" s="95">
        <f>'02'!C108</f>
        <v>6.0689583333333355</v>
      </c>
      <c r="D10" s="95">
        <f>'02'!D108</f>
        <v>13.851666666666661</v>
      </c>
      <c r="E10" s="95">
        <f>'02'!E108</f>
        <v>12.264687499999996</v>
      </c>
      <c r="F10" s="95">
        <f>'02'!F108</f>
        <v>23.517812500000002</v>
      </c>
      <c r="G10" s="95">
        <f>'02'!G108</f>
        <v>57.915833333333303</v>
      </c>
      <c r="H10" s="95">
        <f>'02'!H108</f>
        <v>21.997708333333335</v>
      </c>
      <c r="I10" s="95">
        <f>'02'!I108</f>
        <v>4.9908333333333328</v>
      </c>
      <c r="J10" s="95">
        <f>'02'!J108</f>
        <v>0.66937500000000016</v>
      </c>
      <c r="K10" s="95">
        <f>'02'!K108</f>
        <v>183.58437500000002</v>
      </c>
      <c r="L10" s="95">
        <f>'02'!L108</f>
        <v>35.595520833333339</v>
      </c>
      <c r="M10" s="95">
        <f>'02'!M108</f>
        <v>46.826041666666661</v>
      </c>
      <c r="N10" s="95">
        <f>'02'!N108</f>
        <v>121.03750000000001</v>
      </c>
      <c r="O10" s="95">
        <f>'02'!O108</f>
        <v>0</v>
      </c>
      <c r="P10" s="95">
        <f>'02'!P108</f>
        <v>0.41489583333333341</v>
      </c>
      <c r="Q10" s="95">
        <f>'02'!Q108</f>
        <v>5.0003125000000015</v>
      </c>
      <c r="R10" s="160"/>
      <c r="S10" s="160"/>
      <c r="T10" s="160"/>
      <c r="U10" s="160"/>
    </row>
    <row r="11" spans="1:21">
      <c r="A11" s="157">
        <f>'03'!$B$2</f>
        <v>45446.010416666664</v>
      </c>
      <c r="B11" s="95">
        <f>'03'!B108</f>
        <v>7.2065625000000031</v>
      </c>
      <c r="C11" s="95">
        <f>'03'!C108</f>
        <v>6.0704166666666675</v>
      </c>
      <c r="D11" s="95">
        <f>'03'!D108</f>
        <v>13.959791666666677</v>
      </c>
      <c r="E11" s="95">
        <f>'03'!E108</f>
        <v>13.330000000000005</v>
      </c>
      <c r="F11" s="95">
        <f>'03'!F108</f>
        <v>19.750312500000007</v>
      </c>
      <c r="G11" s="95">
        <f>'03'!G108</f>
        <v>39.49531249999999</v>
      </c>
      <c r="H11" s="95">
        <f>'03'!H108</f>
        <v>14.023333333333341</v>
      </c>
      <c r="I11" s="95">
        <f>'03'!I108</f>
        <v>4.595416666666666</v>
      </c>
      <c r="J11" s="95">
        <f>'03'!J108</f>
        <v>0.86427083333333288</v>
      </c>
      <c r="K11" s="95">
        <f>'03'!K108</f>
        <v>245.02968750000002</v>
      </c>
      <c r="L11" s="95">
        <f>'03'!L108</f>
        <v>34.212604166666658</v>
      </c>
      <c r="M11" s="95">
        <f>'03'!M108</f>
        <v>47.987916666666671</v>
      </c>
      <c r="N11" s="95">
        <f>'03'!N108</f>
        <v>144.64687499999999</v>
      </c>
      <c r="O11" s="95">
        <f>'03'!O108</f>
        <v>0</v>
      </c>
      <c r="P11" s="95">
        <f>'03'!P108</f>
        <v>0.42927083333333332</v>
      </c>
      <c r="Q11" s="95">
        <f>'03'!Q108</f>
        <v>4.9997916666666677</v>
      </c>
      <c r="R11" s="160"/>
      <c r="S11" s="160"/>
      <c r="T11" s="160"/>
      <c r="U11" s="160"/>
    </row>
    <row r="12" spans="1:21">
      <c r="A12" s="157">
        <f>'04'!$B$2</f>
        <v>45447.010416666664</v>
      </c>
      <c r="B12" s="95">
        <f>'04'!B108</f>
        <v>7.2915625000000004</v>
      </c>
      <c r="C12" s="95">
        <f>'04'!C108</f>
        <v>6.0801041666666658</v>
      </c>
      <c r="D12" s="95">
        <f>'04'!D108</f>
        <v>14.032604166666657</v>
      </c>
      <c r="E12" s="95">
        <f>'04'!E108</f>
        <v>11.682395833333329</v>
      </c>
      <c r="F12" s="95">
        <f>'04'!F108</f>
        <v>23.162187499999998</v>
      </c>
      <c r="G12" s="95">
        <f>'04'!G108</f>
        <v>42.255208333333336</v>
      </c>
      <c r="H12" s="95">
        <f>'04'!H108</f>
        <v>15.814479166666665</v>
      </c>
      <c r="I12" s="95">
        <f>'04'!I108</f>
        <v>4.6403125000000012</v>
      </c>
      <c r="J12" s="95">
        <f>'04'!J108</f>
        <v>0.84364583333333332</v>
      </c>
      <c r="K12" s="95">
        <f>'04'!K108</f>
        <v>235.67041666666668</v>
      </c>
      <c r="L12" s="95">
        <f>'04'!L108</f>
        <v>34.571666666666665</v>
      </c>
      <c r="M12" s="95">
        <f>'04'!M108</f>
        <v>46.658333333333331</v>
      </c>
      <c r="N12" s="95">
        <f>'04'!N108</f>
        <v>125.75520833333339</v>
      </c>
      <c r="O12" s="95">
        <f>'04'!O108</f>
        <v>0</v>
      </c>
      <c r="P12" s="95">
        <f>'04'!P108</f>
        <v>0.50770833333333332</v>
      </c>
      <c r="Q12" s="95">
        <f>'04'!Q108</f>
        <v>4.7332291666666686</v>
      </c>
      <c r="R12" s="160"/>
      <c r="S12" s="160"/>
      <c r="T12" s="160"/>
      <c r="U12" s="160"/>
    </row>
    <row r="13" spans="1:21">
      <c r="A13" s="157">
        <f>'05'!$B$2</f>
        <v>45448.010416666664</v>
      </c>
      <c r="B13" s="95">
        <f>'05'!B108</f>
        <v>6.5458695652173944</v>
      </c>
      <c r="C13" s="95">
        <f>'05'!C108</f>
        <v>6.0402173913043473</v>
      </c>
      <c r="D13" s="95">
        <f>'05'!D108</f>
        <v>13.414565217391303</v>
      </c>
      <c r="E13" s="95">
        <f>'05'!E108</f>
        <v>20.388913043478261</v>
      </c>
      <c r="F13" s="95">
        <f>'05'!F108</f>
        <v>30.171521739130434</v>
      </c>
      <c r="G13" s="95">
        <f>'05'!G108</f>
        <v>46.149024390243909</v>
      </c>
      <c r="H13" s="95">
        <f>'05'!H108</f>
        <v>15.011463414634147</v>
      </c>
      <c r="I13" s="95">
        <f>'05'!I108</f>
        <v>4.3286956521739146</v>
      </c>
      <c r="J13" s="95">
        <f>'05'!J108</f>
        <v>0.65347826086956529</v>
      </c>
      <c r="K13" s="95">
        <f>'05'!K108</f>
        <v>135.95630434782612</v>
      </c>
      <c r="L13" s="95">
        <f>'05'!L108</f>
        <v>34.052391304347836</v>
      </c>
      <c r="M13" s="95">
        <f>'05'!M108</f>
        <v>42.999347826086954</v>
      </c>
      <c r="N13" s="95">
        <f>'05'!N108</f>
        <v>72.96521739130435</v>
      </c>
      <c r="O13" s="95">
        <f>'05'!O108</f>
        <v>4.3478260869565218E-3</v>
      </c>
      <c r="P13" s="95">
        <f>'05'!P108</f>
        <v>0.45347826086956528</v>
      </c>
      <c r="Q13" s="95">
        <f>'05'!Q108</f>
        <v>5.475348837209304</v>
      </c>
      <c r="R13" s="160"/>
      <c r="S13" s="160"/>
      <c r="T13" s="160"/>
      <c r="U13" s="160"/>
    </row>
    <row r="14" spans="1:21">
      <c r="A14" s="157">
        <f>'06'!$B$2</f>
        <v>45449.010416666664</v>
      </c>
      <c r="B14" s="95">
        <f>'06'!B108</f>
        <v>7.1805208333333281</v>
      </c>
      <c r="C14" s="95">
        <f>'06'!C108</f>
        <v>6.0737500000000013</v>
      </c>
      <c r="D14" s="95">
        <f>'06'!D108</f>
        <v>13.940208333333358</v>
      </c>
      <c r="E14" s="95">
        <f>'06'!E108</f>
        <v>12.466562499999993</v>
      </c>
      <c r="F14" s="95">
        <f>'06'!F108</f>
        <v>24.599479166666654</v>
      </c>
      <c r="G14" s="95">
        <f>'06'!G108</f>
        <v>37.573333333333316</v>
      </c>
      <c r="H14" s="95">
        <f>'06'!H108</f>
        <v>15.764895833333346</v>
      </c>
      <c r="I14" s="95">
        <f>'06'!I108</f>
        <v>5.1598958333333345</v>
      </c>
      <c r="J14" s="95">
        <f>'06'!J108</f>
        <v>0.62197916666666675</v>
      </c>
      <c r="K14" s="95">
        <f>'06'!K108</f>
        <v>233.82375000000005</v>
      </c>
      <c r="L14" s="95">
        <f>'06'!L108</f>
        <v>34.316875000000003</v>
      </c>
      <c r="M14" s="95">
        <f>'06'!M108</f>
        <v>48.521979166666654</v>
      </c>
      <c r="N14" s="95">
        <f>'06'!N108</f>
        <v>146.76770833333327</v>
      </c>
      <c r="O14" s="95">
        <f>'06'!O108</f>
        <v>0</v>
      </c>
      <c r="P14" s="95">
        <f>'06'!P108</f>
        <v>0.58083333333333342</v>
      </c>
      <c r="Q14" s="95">
        <f>'06'!Q108</f>
        <v>4.8061458333333347</v>
      </c>
      <c r="R14" s="160"/>
      <c r="S14" s="160"/>
      <c r="T14" s="160"/>
      <c r="U14" s="160"/>
    </row>
    <row r="15" spans="1:21">
      <c r="A15" s="157">
        <f>'07'!$B$2</f>
        <v>45450.010416666664</v>
      </c>
      <c r="B15" s="95">
        <f>'07'!B108</f>
        <v>7.191041666666667</v>
      </c>
      <c r="C15" s="95">
        <f>'07'!C108</f>
        <v>6.073854166666667</v>
      </c>
      <c r="D15" s="95">
        <f>'07'!D108</f>
        <v>13.949270833333344</v>
      </c>
      <c r="E15" s="95">
        <f>'07'!E108</f>
        <v>12.192395833333329</v>
      </c>
      <c r="F15" s="95">
        <f>'07'!F108</f>
        <v>19.946249999999999</v>
      </c>
      <c r="G15" s="95">
        <f>'07'!G108</f>
        <v>35.320208333333333</v>
      </c>
      <c r="H15" s="95">
        <f>'07'!H108</f>
        <v>15.59770833333333</v>
      </c>
      <c r="I15" s="95">
        <f>'07'!I108</f>
        <v>4.890833333333334</v>
      </c>
      <c r="J15" s="95">
        <f>'07'!J108</f>
        <v>0.71937500000000021</v>
      </c>
      <c r="K15" s="95">
        <f>'07'!K108</f>
        <v>251.88437500000006</v>
      </c>
      <c r="L15" s="95">
        <f>'07'!L108</f>
        <v>33.638124999999995</v>
      </c>
      <c r="M15" s="95">
        <f>'07'!M108</f>
        <v>50.989375000000031</v>
      </c>
      <c r="N15" s="95">
        <f>'07'!N108</f>
        <v>147.99895833333335</v>
      </c>
      <c r="O15" s="95">
        <f>'07'!O108</f>
        <v>0</v>
      </c>
      <c r="P15" s="95">
        <f>'07'!P108</f>
        <v>0.72385416666666635</v>
      </c>
      <c r="Q15" s="95">
        <f>'07'!Q108</f>
        <v>4.8063541666666669</v>
      </c>
      <c r="R15" s="160"/>
      <c r="S15" s="160"/>
      <c r="T15" s="160"/>
      <c r="U15" s="160"/>
    </row>
    <row r="16" spans="1:21">
      <c r="A16" s="157">
        <f>'08'!$B$2</f>
        <v>45451.010416666664</v>
      </c>
      <c r="B16" s="95">
        <f>'08'!B108</f>
        <v>7.1952272727272684</v>
      </c>
      <c r="C16" s="95">
        <f>'08'!C108</f>
        <v>5.1152272727272745</v>
      </c>
      <c r="D16" s="95">
        <f>'08'!D108</f>
        <v>13.186249999999985</v>
      </c>
      <c r="E16" s="95">
        <f>'08'!E108</f>
        <v>12.602808988764043</v>
      </c>
      <c r="F16" s="95">
        <f>'08'!F108</f>
        <v>26.735000000000003</v>
      </c>
      <c r="G16" s="95">
        <f>'08'!G108</f>
        <v>33.073076923076918</v>
      </c>
      <c r="H16" s="95">
        <f>'08'!H108</f>
        <v>12.593846153846151</v>
      </c>
      <c r="I16" s="95">
        <f>'08'!I108</f>
        <v>8.5135632183908072</v>
      </c>
      <c r="J16" s="95">
        <f>'08'!J108</f>
        <v>0.80855555555555569</v>
      </c>
      <c r="K16" s="95">
        <f>'08'!K108</f>
        <v>238.64644444444448</v>
      </c>
      <c r="L16" s="95">
        <f>'08'!L108</f>
        <v>32.99967032967033</v>
      </c>
      <c r="M16" s="95">
        <f>'08'!M108</f>
        <v>53.792527472527482</v>
      </c>
      <c r="N16" s="95">
        <f>'08'!N108</f>
        <v>137.12417582417578</v>
      </c>
      <c r="O16" s="95">
        <f>'08'!O108</f>
        <v>0</v>
      </c>
      <c r="P16" s="95">
        <f>'08'!P108</f>
        <v>0.28911111111111132</v>
      </c>
      <c r="Q16" s="95">
        <f>'08'!Q108</f>
        <v>5.0173033707865189</v>
      </c>
      <c r="R16" s="160"/>
      <c r="S16" s="160"/>
      <c r="T16" s="160"/>
      <c r="U16" s="160"/>
    </row>
    <row r="17" spans="1:21">
      <c r="A17" s="157">
        <f>'09'!$B$2</f>
        <v>45452.010416666664</v>
      </c>
      <c r="B17" s="95">
        <f>'09'!B108</f>
        <v>9.1050000000000022</v>
      </c>
      <c r="C17" s="95">
        <f>'09'!C108</f>
        <v>4.0680882352941179</v>
      </c>
      <c r="D17" s="95">
        <f>'09'!D108</f>
        <v>13.876323529411762</v>
      </c>
      <c r="E17" s="95">
        <f>'09'!E108</f>
        <v>12.843382352941175</v>
      </c>
      <c r="F17" s="95">
        <f>'09'!F108</f>
        <v>28.48220588235294</v>
      </c>
      <c r="G17" s="95">
        <f>'09'!G108</f>
        <v>28.470000000000006</v>
      </c>
      <c r="H17" s="95">
        <f>'09'!H108</f>
        <v>12.986323529411761</v>
      </c>
      <c r="I17" s="95">
        <f>'09'!I108</f>
        <v>6.1876470588235302</v>
      </c>
      <c r="J17" s="95">
        <f>'09'!J108</f>
        <v>0.70102941176470568</v>
      </c>
      <c r="K17" s="95">
        <f>'09'!K108</f>
        <v>257.81294117647064</v>
      </c>
      <c r="L17" s="95">
        <f>'09'!L108</f>
        <v>32.213088235294137</v>
      </c>
      <c r="M17" s="95">
        <f>'09'!M108</f>
        <v>60.598088235294121</v>
      </c>
      <c r="N17" s="95">
        <f>'09'!N108</f>
        <v>175.81176470588238</v>
      </c>
      <c r="O17" s="95">
        <f>'09'!O108</f>
        <v>0.31764705882352945</v>
      </c>
      <c r="P17" s="95">
        <f>'09'!P108</f>
        <v>0.18852941176470597</v>
      </c>
      <c r="Q17" s="95">
        <f>'09'!Q108</f>
        <v>4.6523529411764697</v>
      </c>
      <c r="R17" s="160"/>
      <c r="S17" s="160"/>
      <c r="T17" s="160"/>
      <c r="U17" s="160"/>
    </row>
    <row r="18" spans="1:21">
      <c r="A18" s="157">
        <f>'10'!$B$2</f>
        <v>45453.010416666664</v>
      </c>
      <c r="B18" s="95">
        <f>'10'!B108</f>
        <v>8.5368750000000002</v>
      </c>
      <c r="C18" s="95">
        <f>'10'!C108</f>
        <v>4.0293749999999999</v>
      </c>
      <c r="D18" s="95">
        <f>'10'!D108</f>
        <v>13.401458333333329</v>
      </c>
      <c r="E18" s="95">
        <f>'10'!E108</f>
        <v>10.818571428571429</v>
      </c>
      <c r="F18" s="95">
        <f>'10'!F108</f>
        <v>36.365102040816325</v>
      </c>
      <c r="G18" s="95">
        <f>'10'!G108</f>
        <v>44.450612244897968</v>
      </c>
      <c r="H18" s="95">
        <f>'10'!H108</f>
        <v>16.012857142857147</v>
      </c>
      <c r="I18" s="95">
        <f>'10'!I108</f>
        <v>4.673877551020408</v>
      </c>
      <c r="J18" s="95">
        <f>'10'!J108</f>
        <v>0.33857142857142863</v>
      </c>
      <c r="K18" s="95">
        <f>'10'!K108</f>
        <v>201.41265306122449</v>
      </c>
      <c r="L18" s="95">
        <f>'10'!L108</f>
        <v>36.559183673469391</v>
      </c>
      <c r="M18" s="95">
        <f>'10'!M108</f>
        <v>43.64469387755102</v>
      </c>
      <c r="N18" s="95">
        <f>'10'!N108</f>
        <v>236.6632653061225</v>
      </c>
      <c r="O18" s="95">
        <f>'10'!O108</f>
        <v>0</v>
      </c>
      <c r="P18" s="95">
        <f>'10'!P108</f>
        <v>0.45020408163265313</v>
      </c>
      <c r="Q18" s="95">
        <f>'10'!Q108</f>
        <v>4.0702127659574474</v>
      </c>
      <c r="R18" s="160"/>
      <c r="S18" s="160"/>
      <c r="T18" s="160"/>
      <c r="U18" s="160"/>
    </row>
    <row r="19" spans="1:21">
      <c r="A19" s="157">
        <f>'11'!$B$2</f>
        <v>45454.010416666664</v>
      </c>
      <c r="B19" s="95">
        <f>'11'!B108</f>
        <v>9.4112499999999972</v>
      </c>
      <c r="C19" s="95">
        <f>'11'!C108</f>
        <v>4.0916666666666677</v>
      </c>
      <c r="D19" s="95">
        <f>'11'!D108</f>
        <v>14.134791666666688</v>
      </c>
      <c r="E19" s="95">
        <f>'11'!E108</f>
        <v>14.523333333333341</v>
      </c>
      <c r="F19" s="95">
        <f>'11'!F108</f>
        <v>20.794166666666666</v>
      </c>
      <c r="G19" s="95">
        <f>'11'!G108</f>
        <v>65.838229166666622</v>
      </c>
      <c r="H19" s="95">
        <f>'11'!H108</f>
        <v>22.840104166666688</v>
      </c>
      <c r="I19" s="95">
        <f>'11'!I108</f>
        <v>6.0755208333333357</v>
      </c>
      <c r="J19" s="95">
        <f>'11'!J108</f>
        <v>0.64166666666666661</v>
      </c>
      <c r="K19" s="95">
        <f>'11'!K108</f>
        <v>219.66125000000002</v>
      </c>
      <c r="L19" s="95">
        <f>'11'!L108</f>
        <v>33.528020833333336</v>
      </c>
      <c r="M19" s="95">
        <f>'11'!M108</f>
        <v>53.588645833333324</v>
      </c>
      <c r="N19" s="95">
        <f>'11'!N108</f>
        <v>125.25312500000001</v>
      </c>
      <c r="O19" s="95">
        <f>'11'!O108</f>
        <v>0</v>
      </c>
      <c r="P19" s="95">
        <f>'11'!P108</f>
        <v>0.52291666666666681</v>
      </c>
      <c r="Q19" s="95">
        <f>'11'!Q108</f>
        <v>4.0123958333333336</v>
      </c>
      <c r="R19" s="160"/>
      <c r="S19" s="160"/>
      <c r="T19" s="160"/>
      <c r="U19" s="160"/>
    </row>
    <row r="20" spans="1:21">
      <c r="A20" s="157">
        <f>'12'!$B$2</f>
        <v>45455.010416666664</v>
      </c>
      <c r="B20" s="95">
        <f>'12'!B108</f>
        <v>9.1735416666666687</v>
      </c>
      <c r="C20" s="95">
        <f>'12'!C108</f>
        <v>4.076249999999999</v>
      </c>
      <c r="D20" s="95">
        <f>'12'!D108</f>
        <v>13.936041666666668</v>
      </c>
      <c r="E20" s="95">
        <f>'12'!E108</f>
        <v>13.649583333333332</v>
      </c>
      <c r="F20" s="95">
        <f>'12'!F108</f>
        <v>22.461979166666662</v>
      </c>
      <c r="G20" s="95">
        <f>'12'!G108</f>
        <v>46.634583333333332</v>
      </c>
      <c r="H20" s="95">
        <f>'12'!H108</f>
        <v>16.728229166666662</v>
      </c>
      <c r="I20" s="95">
        <f>'12'!I108</f>
        <v>4.5585416666666676</v>
      </c>
      <c r="J20" s="95">
        <f>'12'!J108</f>
        <v>1.0501041666666668</v>
      </c>
      <c r="K20" s="95">
        <f>'12'!K108</f>
        <v>270.43822916666664</v>
      </c>
      <c r="L20" s="95">
        <f>'12'!L108</f>
        <v>33.670312500000001</v>
      </c>
      <c r="M20" s="95">
        <f>'12'!M108</f>
        <v>49.306979166666657</v>
      </c>
      <c r="N20" s="95">
        <f>'12'!N108</f>
        <v>144.10937499999997</v>
      </c>
      <c r="O20" s="95">
        <f>'12'!O108</f>
        <v>0</v>
      </c>
      <c r="P20" s="95">
        <f>'12'!P108</f>
        <v>0.42208333333333342</v>
      </c>
      <c r="Q20" s="95">
        <f>'12'!Q108</f>
        <v>4.599687499999999</v>
      </c>
      <c r="R20" s="160"/>
      <c r="S20" s="160"/>
      <c r="T20" s="160"/>
      <c r="U20" s="160"/>
    </row>
    <row r="21" spans="1:21" s="142" customFormat="1">
      <c r="A21" s="157">
        <f>'13'!$B$2</f>
        <v>45456.010416666664</v>
      </c>
      <c r="B21" s="158">
        <f>'13'!B108</f>
        <v>9.3845263157894632</v>
      </c>
      <c r="C21" s="158">
        <f>'13'!C108</f>
        <v>4.0837894736842095</v>
      </c>
      <c r="D21" s="158">
        <f>'13'!D108</f>
        <v>14.109473684210528</v>
      </c>
      <c r="E21" s="158">
        <f>'13'!E108</f>
        <v>10.986382978723405</v>
      </c>
      <c r="F21" s="158">
        <f>'13'!F108</f>
        <v>35.173297872340427</v>
      </c>
      <c r="G21" s="158">
        <f>'13'!G108</f>
        <v>42.457816091954001</v>
      </c>
      <c r="H21" s="158">
        <f>'13'!H108</f>
        <v>14.961235955056171</v>
      </c>
      <c r="I21" s="158">
        <f>'13'!I108</f>
        <v>21.554421052631582</v>
      </c>
      <c r="J21" s="158">
        <f>'13'!J108</f>
        <v>0.85244680851063837</v>
      </c>
      <c r="K21" s="158">
        <f>'13'!K108</f>
        <v>255.41212765957445</v>
      </c>
      <c r="L21" s="158">
        <f>'13'!L108</f>
        <v>34.452127659574479</v>
      </c>
      <c r="M21" s="158">
        <f>'13'!M108</f>
        <v>51.517978723404248</v>
      </c>
      <c r="N21" s="158">
        <f>'13'!N108</f>
        <v>135.68723404255317</v>
      </c>
      <c r="O21" s="158">
        <f>'13'!O108</f>
        <v>0</v>
      </c>
      <c r="P21" s="158">
        <f>'13'!P108</f>
        <v>0.49673684210526303</v>
      </c>
      <c r="Q21" s="158">
        <f>'13'!Q108</f>
        <v>4.2950000000000008</v>
      </c>
      <c r="R21" s="176"/>
      <c r="S21" s="176"/>
      <c r="T21" s="176"/>
      <c r="U21" s="176"/>
    </row>
    <row r="22" spans="1:21" s="142" customFormat="1">
      <c r="A22" s="157">
        <f>'14'!$B$2</f>
        <v>45457.010416666664</v>
      </c>
      <c r="B22" s="159">
        <f>'14'!B108</f>
        <v>9.1734375000000004</v>
      </c>
      <c r="C22" s="159">
        <f>'14'!C108</f>
        <v>4.0692708333333316</v>
      </c>
      <c r="D22" s="159">
        <f>'14'!D108</f>
        <v>13.932291666666671</v>
      </c>
      <c r="E22" s="159">
        <f>'14'!E108</f>
        <v>13.9515625</v>
      </c>
      <c r="F22" s="159">
        <f>'14'!F108</f>
        <v>27.644791666666666</v>
      </c>
      <c r="G22" s="159">
        <f>'14'!G108</f>
        <v>44.161354166666662</v>
      </c>
      <c r="H22" s="159">
        <f>'14'!H108</f>
        <v>14.956666666666676</v>
      </c>
      <c r="I22" s="159">
        <f>'14'!I108</f>
        <v>6.3931250000000013</v>
      </c>
      <c r="J22" s="159">
        <f>'14'!J108</f>
        <v>0.77302083333333338</v>
      </c>
      <c r="K22" s="159">
        <f>'14'!K108</f>
        <v>244.98510416666667</v>
      </c>
      <c r="L22" s="159">
        <f>'14'!L108</f>
        <v>34.070000000000014</v>
      </c>
      <c r="M22" s="159">
        <f>'14'!M108</f>
        <v>48.108854166666667</v>
      </c>
      <c r="N22" s="159">
        <f>'14'!N108</f>
        <v>109.10729166666671</v>
      </c>
      <c r="O22" s="159">
        <f>'14'!O108</f>
        <v>0</v>
      </c>
      <c r="P22" s="159">
        <f>'14'!P108</f>
        <v>0.39270833333333321</v>
      </c>
      <c r="Q22" s="159">
        <f>'14'!Q108</f>
        <v>3.9904166666666714</v>
      </c>
      <c r="R22" s="177"/>
      <c r="S22" s="177"/>
      <c r="T22" s="177"/>
      <c r="U22" s="177"/>
    </row>
    <row r="23" spans="1:21">
      <c r="A23" s="157">
        <f>'15'!$B$2</f>
        <v>45458.010416666664</v>
      </c>
      <c r="B23" s="95">
        <f>'15'!B108</f>
        <v>9.3140625000000004</v>
      </c>
      <c r="C23" s="95">
        <f>'15'!C108</f>
        <v>4.0791666666666666</v>
      </c>
      <c r="D23" s="95">
        <f>'15'!D108</f>
        <v>14.050104166666655</v>
      </c>
      <c r="E23" s="95">
        <f>'15'!E108</f>
        <v>13.257916666666674</v>
      </c>
      <c r="F23" s="95">
        <f>'15'!F108</f>
        <v>19.172916666666666</v>
      </c>
      <c r="G23" s="95">
        <f>'15'!G108</f>
        <v>42.066562500000003</v>
      </c>
      <c r="H23" s="95">
        <f>'15'!H108</f>
        <v>13.604479166666671</v>
      </c>
      <c r="I23" s="95">
        <f>'15'!I108</f>
        <v>5.8511458333333337</v>
      </c>
      <c r="J23" s="95">
        <f>'15'!J108</f>
        <v>0.8262499999999996</v>
      </c>
      <c r="K23" s="95">
        <f>'15'!K108</f>
        <v>258.36833333333328</v>
      </c>
      <c r="L23" s="95">
        <f>'15'!L108</f>
        <v>33.554479166666674</v>
      </c>
      <c r="M23" s="95">
        <f>'15'!M108</f>
        <v>49.521875000000016</v>
      </c>
      <c r="N23" s="95">
        <f>'15'!N108</f>
        <v>159.4739583333334</v>
      </c>
      <c r="O23" s="95">
        <f>'15'!O108</f>
        <v>0</v>
      </c>
      <c r="P23" s="95">
        <f>'15'!P108</f>
        <v>0.49177083333333349</v>
      </c>
      <c r="Q23" s="95">
        <f>'15'!Q108</f>
        <v>3.9599999999999995</v>
      </c>
      <c r="R23" s="160"/>
      <c r="S23" s="160"/>
      <c r="T23" s="160"/>
      <c r="U23" s="160"/>
    </row>
    <row r="24" spans="1:21">
      <c r="A24" s="157">
        <f>'16'!$B$2</f>
        <v>45459.010416666664</v>
      </c>
      <c r="B24" s="95">
        <f>'16'!B108</f>
        <v>9.1496874999999935</v>
      </c>
      <c r="C24" s="95">
        <f>'16'!C108</f>
        <v>4.0743750000000007</v>
      </c>
      <c r="D24" s="95">
        <f>'16'!D108</f>
        <v>13.915937500000013</v>
      </c>
      <c r="E24" s="95">
        <f>'16'!E108</f>
        <v>24.474791666666675</v>
      </c>
      <c r="F24" s="95">
        <f>'16'!F108</f>
        <v>25.093437499999993</v>
      </c>
      <c r="G24" s="95">
        <f>'16'!G108</f>
        <v>64.17093749999998</v>
      </c>
      <c r="H24" s="95">
        <f>'16'!H108</f>
        <v>22.635729166666664</v>
      </c>
      <c r="I24" s="95">
        <f>'16'!I108</f>
        <v>5.658125000000001</v>
      </c>
      <c r="J24" s="95">
        <f>'16'!J108</f>
        <v>0.51020833333333337</v>
      </c>
      <c r="K24" s="95">
        <f>'16'!K108</f>
        <v>136.74427083333327</v>
      </c>
      <c r="L24" s="95">
        <f>'16'!L108</f>
        <v>33.313437499999978</v>
      </c>
      <c r="M24" s="95">
        <f>'16'!M108</f>
        <v>54.500520833333333</v>
      </c>
      <c r="N24" s="95">
        <f>'16'!N108</f>
        <v>126.56145833333333</v>
      </c>
      <c r="O24" s="95">
        <f>'16'!O108</f>
        <v>0</v>
      </c>
      <c r="P24" s="95">
        <f>'16'!P108</f>
        <v>0.53500000000000014</v>
      </c>
      <c r="Q24" s="95">
        <f>'16'!Q108</f>
        <v>3.958124999999999</v>
      </c>
      <c r="R24" s="160"/>
      <c r="S24" s="160"/>
      <c r="T24" s="160"/>
      <c r="U24" s="160"/>
    </row>
    <row r="25" spans="1:21">
      <c r="A25" s="157">
        <f>'17'!$B$2</f>
        <v>45460.010416666664</v>
      </c>
      <c r="B25" s="95">
        <f>'17'!B108</f>
        <v>9.1952083333333352</v>
      </c>
      <c r="C25" s="95">
        <f>'17'!C108</f>
        <v>4.0723958333333323</v>
      </c>
      <c r="D25" s="95">
        <f>'17'!D108</f>
        <v>13.951041666666677</v>
      </c>
      <c r="E25" s="95">
        <f>'17'!E108</f>
        <v>11.366979166666669</v>
      </c>
      <c r="F25" s="95">
        <f>'17'!F108</f>
        <v>24.303645833333331</v>
      </c>
      <c r="G25" s="95">
        <f>'17'!G108</f>
        <v>28.124479166666671</v>
      </c>
      <c r="H25" s="95">
        <f>'17'!H108</f>
        <v>12.504270833333335</v>
      </c>
      <c r="I25" s="95">
        <f>'17'!I108</f>
        <v>4.4162499999999989</v>
      </c>
      <c r="J25" s="95">
        <f>'17'!J108</f>
        <v>0.74312500000000048</v>
      </c>
      <c r="K25" s="95">
        <f>'17'!K108</f>
        <v>260.22718749999996</v>
      </c>
      <c r="L25" s="95">
        <f>'17'!L108</f>
        <v>33.049270833333317</v>
      </c>
      <c r="M25" s="95">
        <f>'17'!M108</f>
        <v>53.597395833333337</v>
      </c>
      <c r="N25" s="95">
        <f>'17'!N108</f>
        <v>98.64791666666666</v>
      </c>
      <c r="O25" s="95">
        <f>'17'!O108</f>
        <v>0</v>
      </c>
      <c r="P25" s="95">
        <f>'17'!P108</f>
        <v>0.39333333333333315</v>
      </c>
      <c r="Q25" s="95">
        <f>'17'!Q108</f>
        <v>3.9530208333333312</v>
      </c>
      <c r="R25" s="160"/>
      <c r="S25" s="160"/>
      <c r="T25" s="160"/>
      <c r="U25" s="160"/>
    </row>
    <row r="26" spans="1:21">
      <c r="A26" s="157">
        <f>'18'!$B$2</f>
        <v>45461.010416666664</v>
      </c>
      <c r="B26" s="95">
        <f>'18'!B108</f>
        <v>9.0756250000000005</v>
      </c>
      <c r="C26" s="95">
        <f>'18'!C108</f>
        <v>4.0646874999999989</v>
      </c>
      <c r="D26" s="95">
        <f>'18'!D108</f>
        <v>13.851979166666657</v>
      </c>
      <c r="E26" s="95">
        <f>'18'!E108</f>
        <v>12.823020833333333</v>
      </c>
      <c r="F26" s="95">
        <f>'18'!F108</f>
        <v>14.395937500000004</v>
      </c>
      <c r="G26" s="95">
        <f>'18'!G108</f>
        <v>33.991249999999994</v>
      </c>
      <c r="H26" s="95">
        <f>'18'!H108</f>
        <v>11.417708333333332</v>
      </c>
      <c r="I26" s="95">
        <f>'18'!I108</f>
        <v>4.924166666666669</v>
      </c>
      <c r="J26" s="95">
        <f>'18'!J108</f>
        <v>1.0607291666666669</v>
      </c>
      <c r="K26" s="95">
        <f>'18'!K108</f>
        <v>250.99895833333326</v>
      </c>
      <c r="L26" s="95">
        <f>'18'!L108</f>
        <v>32.022291666666653</v>
      </c>
      <c r="M26" s="95">
        <f>'18'!M108</f>
        <v>61.655624999999993</v>
      </c>
      <c r="N26" s="95">
        <f>'18'!N108</f>
        <v>152.56041666666667</v>
      </c>
      <c r="O26" s="95">
        <f>'18'!O108</f>
        <v>0.32708333333333328</v>
      </c>
      <c r="P26" s="95">
        <f>'18'!P108</f>
        <v>0.44187499999999985</v>
      </c>
      <c r="Q26" s="95">
        <f>'18'!Q108</f>
        <v>3.9426041666666669</v>
      </c>
      <c r="R26" s="160"/>
      <c r="S26" s="160"/>
      <c r="T26" s="160"/>
      <c r="U26" s="160"/>
    </row>
    <row r="27" spans="1:21">
      <c r="A27" s="157">
        <f>'19'!$B$2</f>
        <v>45462.010416666664</v>
      </c>
      <c r="B27" s="95">
        <f>'19'!B108</f>
        <v>9.4029166666666644</v>
      </c>
      <c r="C27" s="95">
        <f>'19'!C108</f>
        <v>4.0846875000000002</v>
      </c>
      <c r="D27" s="95">
        <f>'19'!D108</f>
        <v>14.124895833333321</v>
      </c>
      <c r="E27" s="95">
        <f>'19'!E108</f>
        <v>10.452291666666669</v>
      </c>
      <c r="F27" s="95">
        <f>'19'!F108</f>
        <v>15.055416666666671</v>
      </c>
      <c r="G27" s="95">
        <f>'19'!G108</f>
        <v>24.470000000000002</v>
      </c>
      <c r="H27" s="95">
        <f>'19'!H108</f>
        <v>9.7719791666666698</v>
      </c>
      <c r="I27" s="95">
        <f>'19'!I108</f>
        <v>5.0269791666666661</v>
      </c>
      <c r="J27" s="95">
        <f>'19'!J108</f>
        <v>0.80562500000000004</v>
      </c>
      <c r="K27" s="95">
        <f>'19'!K108</f>
        <v>266.03187500000001</v>
      </c>
      <c r="L27" s="95">
        <f>'19'!L108</f>
        <v>29.822083333333335</v>
      </c>
      <c r="M27" s="95">
        <f>'19'!M108</f>
        <v>74.393750000000011</v>
      </c>
      <c r="N27" s="95">
        <f>'19'!N108</f>
        <v>147.55208333333334</v>
      </c>
      <c r="O27" s="95">
        <f>'19'!O108</f>
        <v>0</v>
      </c>
      <c r="P27" s="95">
        <f>'19'!P108</f>
        <v>0.45218749999999996</v>
      </c>
      <c r="Q27" s="95">
        <f>'19'!Q108</f>
        <v>3.9407291666666673</v>
      </c>
      <c r="R27" s="160"/>
      <c r="S27" s="160"/>
      <c r="T27" s="160"/>
      <c r="U27" s="160"/>
    </row>
    <row r="28" spans="1:21">
      <c r="A28" s="157">
        <f>'20'!$B$2</f>
        <v>45463.010416666664</v>
      </c>
      <c r="B28" s="95">
        <f>'20'!B108</f>
        <v>9.0459374999999955</v>
      </c>
      <c r="C28" s="95">
        <f>'20'!C108</f>
        <v>4.0587500000000007</v>
      </c>
      <c r="D28" s="95">
        <f>'20'!D108</f>
        <v>13.824791666666648</v>
      </c>
      <c r="E28" s="95">
        <f>'20'!E108</f>
        <v>9.6973958333333332</v>
      </c>
      <c r="F28" s="95">
        <f>'20'!F108</f>
        <v>9.0304166666666621</v>
      </c>
      <c r="G28" s="95">
        <f>'20'!G108</f>
        <v>15.724479166666656</v>
      </c>
      <c r="H28" s="95">
        <f>'20'!H108</f>
        <v>6.4144791666666725</v>
      </c>
      <c r="I28" s="95">
        <f>'20'!I108</f>
        <v>3.9287500000000022</v>
      </c>
      <c r="J28" s="95">
        <f>'20'!J108</f>
        <v>0.91979166666666645</v>
      </c>
      <c r="K28" s="95">
        <f>'20'!K108</f>
        <v>246.71114583333329</v>
      </c>
      <c r="L28" s="95">
        <f>'20'!L108</f>
        <v>28.874166666666664</v>
      </c>
      <c r="M28" s="95">
        <f>'20'!M108</f>
        <v>78.555833333333325</v>
      </c>
      <c r="N28" s="95">
        <f>'20'!N108</f>
        <v>138.65520833333332</v>
      </c>
      <c r="O28" s="95">
        <f>'20'!O108</f>
        <v>0.25416666666666671</v>
      </c>
      <c r="P28" s="95">
        <f>'20'!P108</f>
        <v>0.40604166666666641</v>
      </c>
      <c r="Q28" s="95">
        <f>'20'!Q108</f>
        <v>3.9289583333333344</v>
      </c>
      <c r="R28" s="160"/>
      <c r="S28" s="160"/>
      <c r="T28" s="160"/>
      <c r="U28" s="160"/>
    </row>
    <row r="29" spans="1:21">
      <c r="A29" s="157">
        <f>'21'!$B$2</f>
        <v>45464.010416666664</v>
      </c>
      <c r="B29" s="95">
        <f>'21'!B108</f>
        <v>9.1562499999999982</v>
      </c>
      <c r="C29" s="95">
        <f>'21'!C108</f>
        <v>4.0653124999999992</v>
      </c>
      <c r="D29" s="95">
        <f>'21'!D108</f>
        <v>13.916562499999996</v>
      </c>
      <c r="E29" s="95">
        <f>'21'!E108</f>
        <v>10.545624999999996</v>
      </c>
      <c r="F29" s="95">
        <f>'21'!F108</f>
        <v>14.244895833333331</v>
      </c>
      <c r="G29" s="95">
        <f>'21'!G108</f>
        <v>16.395208333333333</v>
      </c>
      <c r="H29" s="95">
        <f>'21'!H108</f>
        <v>6.8370833333333296</v>
      </c>
      <c r="I29" s="95">
        <f>'21'!I108</f>
        <v>4.337083333333335</v>
      </c>
      <c r="J29" s="95">
        <f>'21'!J108</f>
        <v>0.37916666666666649</v>
      </c>
      <c r="K29" s="95">
        <f>'21'!K108</f>
        <v>217.0829166666667</v>
      </c>
      <c r="L29" s="95">
        <f>'21'!L108</f>
        <v>27.867916666666655</v>
      </c>
      <c r="M29" s="95">
        <f>'21'!M108</f>
        <v>87.754374999999996</v>
      </c>
      <c r="N29" s="95">
        <f>'21'!N108</f>
        <v>123.80312500000004</v>
      </c>
      <c r="O29" s="95">
        <f>'21'!O108</f>
        <v>0.13749999999999998</v>
      </c>
      <c r="P29" s="95">
        <f>'21'!P108</f>
        <v>0.41885416666666631</v>
      </c>
      <c r="Q29" s="95">
        <f>'21'!Q108</f>
        <v>3.9191666666666674</v>
      </c>
      <c r="R29" s="160"/>
      <c r="S29" s="160"/>
      <c r="T29" s="160"/>
      <c r="U29" s="160"/>
    </row>
    <row r="30" spans="1:21">
      <c r="A30" s="157">
        <f>'22'!$B$2</f>
        <v>45465.010416666664</v>
      </c>
      <c r="B30" s="95">
        <f>'22'!B108</f>
        <v>9.2815624999999891</v>
      </c>
      <c r="C30" s="95">
        <f>'22'!C108</f>
        <v>4.0730208333333326</v>
      </c>
      <c r="D30" s="95">
        <f>'22'!D108</f>
        <v>14.02062499999999</v>
      </c>
      <c r="E30" s="95">
        <f>'22'!E108</f>
        <v>9.5151041666666618</v>
      </c>
      <c r="F30" s="95">
        <f>'22'!F108</f>
        <v>12.846354166666671</v>
      </c>
      <c r="G30" s="95">
        <f>'22'!G108</f>
        <v>14.339166666666676</v>
      </c>
      <c r="H30" s="95">
        <f>'22'!H108</f>
        <v>6.1137499999999987</v>
      </c>
      <c r="I30" s="95">
        <f>'22'!I108</f>
        <v>3.9716666666666658</v>
      </c>
      <c r="J30" s="95">
        <f>'22'!J108</f>
        <v>0.33937499999999993</v>
      </c>
      <c r="K30" s="95">
        <f>'22'!K108</f>
        <v>234.04989583333338</v>
      </c>
      <c r="L30" s="95">
        <f>'22'!L108</f>
        <v>27.722708333333333</v>
      </c>
      <c r="M30" s="95">
        <f>'22'!M108</f>
        <v>88.94</v>
      </c>
      <c r="N30" s="95">
        <f>'22'!N108</f>
        <v>112.29687500000006</v>
      </c>
      <c r="O30" s="95">
        <f>'22'!O108</f>
        <v>4.1666666666666666E-3</v>
      </c>
      <c r="P30" s="95">
        <f>'22'!P108</f>
        <v>0.39083333333333342</v>
      </c>
      <c r="Q30" s="95">
        <f>'22'!Q108</f>
        <v>3.9073958333333323</v>
      </c>
      <c r="R30" s="160"/>
      <c r="S30" s="160"/>
      <c r="T30" s="160"/>
      <c r="U30" s="160"/>
    </row>
    <row r="31" spans="1:21">
      <c r="A31" s="157" t="str">
        <f>'23'!$B$2</f>
        <v>23/06/2024 00:15</v>
      </c>
      <c r="B31" s="95">
        <f>'23'!B108</f>
        <v>9.2641666666666662</v>
      </c>
      <c r="C31" s="95">
        <f>'23'!C108</f>
        <v>4.0774999999999997</v>
      </c>
      <c r="D31" s="95">
        <f>'23'!D108</f>
        <v>14.009062499999994</v>
      </c>
      <c r="E31" s="95">
        <f>'23'!E108</f>
        <v>9.5803125000000033</v>
      </c>
      <c r="F31" s="95">
        <f>'23'!F108</f>
        <v>15.254062499999995</v>
      </c>
      <c r="G31" s="95">
        <f>'23'!G108</f>
        <v>21.262916666666669</v>
      </c>
      <c r="H31" s="95">
        <f>'23'!H108</f>
        <v>8.9247916666666693</v>
      </c>
      <c r="I31" s="95">
        <f>'23'!I108</f>
        <v>4.2260416666666663</v>
      </c>
      <c r="J31" s="95">
        <f>'23'!J108</f>
        <v>0.35000000000000014</v>
      </c>
      <c r="K31" s="95">
        <f>'23'!K108</f>
        <v>195.63395833333334</v>
      </c>
      <c r="L31" s="95">
        <f>'23'!L108</f>
        <v>28.195833333333326</v>
      </c>
      <c r="M31" s="95">
        <f>'23'!M108</f>
        <v>87.723020833333308</v>
      </c>
      <c r="N31" s="95">
        <f>'23'!N108</f>
        <v>102.48541666666664</v>
      </c>
      <c r="O31" s="95">
        <f>'23'!O108</f>
        <v>6.0416666666666674E-2</v>
      </c>
      <c r="P31" s="95">
        <f>'23'!P108</f>
        <v>0.3988541666666669</v>
      </c>
      <c r="Q31" s="95">
        <f>'23'!Q108</f>
        <v>3.9116666666666688</v>
      </c>
      <c r="R31" s="160"/>
      <c r="S31" s="178"/>
      <c r="T31" s="160"/>
      <c r="U31" s="160"/>
    </row>
    <row r="32" spans="1:21">
      <c r="A32" s="157" t="str">
        <f>'24'!$B$2</f>
        <v>24/06/2024 00:15</v>
      </c>
      <c r="B32" s="95">
        <f>'24'!B108</f>
        <v>9.2555208333333301</v>
      </c>
      <c r="C32" s="95">
        <f>'24'!C108</f>
        <v>4.0684374999999999</v>
      </c>
      <c r="D32" s="95">
        <f>'24'!D108</f>
        <v>13.997916666666669</v>
      </c>
      <c r="E32" s="95">
        <f>'24'!E108</f>
        <v>9.2439583333333335</v>
      </c>
      <c r="F32" s="95">
        <f>'24'!F108</f>
        <v>13.604479166666671</v>
      </c>
      <c r="G32" s="95">
        <f>'24'!G108</f>
        <v>14.019166666666671</v>
      </c>
      <c r="H32" s="95">
        <f>'24'!H108</f>
        <v>5.2487500000000002</v>
      </c>
      <c r="I32" s="95">
        <f>'24'!I108</f>
        <v>3.3580208333333332</v>
      </c>
      <c r="J32" s="95">
        <f>'24'!J108</f>
        <v>0.33</v>
      </c>
      <c r="K32" s="95">
        <f>'24'!K108</f>
        <v>226.86395833333333</v>
      </c>
      <c r="L32" s="95">
        <f>'24'!L108</f>
        <v>30.428541666666657</v>
      </c>
      <c r="M32" s="95">
        <f>'24'!M108</f>
        <v>77.358124999999987</v>
      </c>
      <c r="N32" s="95">
        <f>'24'!N108</f>
        <v>175.6291666666668</v>
      </c>
      <c r="O32" s="95">
        <f>'24'!O108</f>
        <v>6.2500000000000012E-3</v>
      </c>
      <c r="P32" s="95">
        <f>'24'!P108</f>
        <v>0.34656250000000005</v>
      </c>
      <c r="Q32" s="95">
        <f>'24'!Q108</f>
        <v>3.8954166666666636</v>
      </c>
      <c r="R32" s="160"/>
      <c r="S32" s="160"/>
      <c r="T32" s="160"/>
      <c r="U32" s="160"/>
    </row>
    <row r="33" spans="1:21">
      <c r="A33" s="157" t="str">
        <f>'25'!$B$2</f>
        <v>25/06/2024 00:15</v>
      </c>
      <c r="B33" s="95">
        <f>'25'!B108</f>
        <v>9.2961458333333375</v>
      </c>
      <c r="C33" s="95">
        <f>'25'!C108</f>
        <v>4.075104166666665</v>
      </c>
      <c r="D33" s="95">
        <f>'25'!D108</f>
        <v>14.034062499999992</v>
      </c>
      <c r="E33" s="95">
        <f>'25'!E108</f>
        <v>9.2408333333333328</v>
      </c>
      <c r="F33" s="95">
        <f>'25'!F108</f>
        <v>21.526250000000005</v>
      </c>
      <c r="G33" s="95">
        <f>'25'!G108</f>
        <v>19.784791666666667</v>
      </c>
      <c r="H33" s="95">
        <f>'25'!H108</f>
        <v>7.623645833333331</v>
      </c>
      <c r="I33" s="95">
        <f>'25'!I108</f>
        <v>4.0343750000000007</v>
      </c>
      <c r="J33" s="95">
        <f>'25'!J108</f>
        <v>0.2845833333333333</v>
      </c>
      <c r="K33" s="95">
        <f>'25'!K108</f>
        <v>210.29781250000011</v>
      </c>
      <c r="L33" s="95">
        <f>'25'!L108</f>
        <v>31.888749999999998</v>
      </c>
      <c r="M33" s="95">
        <f>'25'!M108</f>
        <v>69.169895833333342</v>
      </c>
      <c r="N33" s="95">
        <f>'25'!N108</f>
        <v>145.76875000000001</v>
      </c>
      <c r="O33" s="95">
        <f>'25'!O108</f>
        <v>0</v>
      </c>
      <c r="P33" s="95">
        <f>'25'!P108</f>
        <v>0.36052083333333318</v>
      </c>
      <c r="Q33" s="95">
        <f>'25'!Q108</f>
        <v>3.8940624999999973</v>
      </c>
      <c r="R33" s="160"/>
      <c r="S33" s="178"/>
      <c r="T33" s="160"/>
      <c r="U33" s="160"/>
    </row>
    <row r="34" spans="1:21">
      <c r="A34" s="157">
        <f>'26'!$B$2</f>
        <v>45469.010416666664</v>
      </c>
      <c r="B34" s="95">
        <f>'26'!B108</f>
        <v>9.2442708333333279</v>
      </c>
      <c r="C34" s="95">
        <f>'26'!C108</f>
        <v>4.074105263157894</v>
      </c>
      <c r="D34" s="95">
        <f>'26'!D108</f>
        <v>13.992395833333346</v>
      </c>
      <c r="E34" s="95">
        <f>'26'!E108</f>
        <v>8.286170212765958</v>
      </c>
      <c r="F34" s="95">
        <f>'26'!F108</f>
        <v>16.285957446808514</v>
      </c>
      <c r="G34" s="95">
        <f>'26'!G108</f>
        <v>22.414888888888889</v>
      </c>
      <c r="H34" s="95">
        <f>'26'!H108</f>
        <v>8.1651111111111092</v>
      </c>
      <c r="I34" s="95">
        <f>'26'!I108</f>
        <v>5.3404166666666661</v>
      </c>
      <c r="J34" s="95">
        <f>'26'!J108</f>
        <v>0.38552083333333337</v>
      </c>
      <c r="K34" s="95">
        <f>'26'!K108</f>
        <v>187.57499999999996</v>
      </c>
      <c r="L34" s="95">
        <f>'26'!L108</f>
        <v>30.514791666666667</v>
      </c>
      <c r="M34" s="95">
        <f>'26'!M108</f>
        <v>77.986249999999984</v>
      </c>
      <c r="N34" s="95">
        <f>'26'!N108</f>
        <v>129.09791666666669</v>
      </c>
      <c r="O34" s="95">
        <f>'26'!O108</f>
        <v>0.12499999999999999</v>
      </c>
      <c r="P34" s="95">
        <f>'26'!P108</f>
        <v>0.40218749999999998</v>
      </c>
      <c r="Q34" s="95">
        <f>'26'!Q108</f>
        <v>4.2495744680851084</v>
      </c>
      <c r="R34" s="160"/>
      <c r="S34" s="160"/>
      <c r="T34" s="160"/>
      <c r="U34" s="160"/>
    </row>
    <row r="35" spans="1:21">
      <c r="A35" s="157">
        <f>'27'!$B$2</f>
        <v>45470.010416666664</v>
      </c>
      <c r="B35" s="95">
        <f>'27'!B108</f>
        <v>9.223275862068963</v>
      </c>
      <c r="C35" s="95">
        <f>'27'!C108</f>
        <v>4.0705172413793109</v>
      </c>
      <c r="D35" s="95">
        <f>'27'!D108</f>
        <v>13.972931034482752</v>
      </c>
      <c r="E35" s="95">
        <f>'27'!E108</f>
        <v>10.311454545454543</v>
      </c>
      <c r="F35" s="95">
        <f>'27'!F108</f>
        <v>11.881186440677965</v>
      </c>
      <c r="G35" s="95">
        <f>'27'!G108</f>
        <v>23.297666666666672</v>
      </c>
      <c r="H35" s="95">
        <f>'27'!H108</f>
        <v>5.8926666666666669</v>
      </c>
      <c r="I35" s="95">
        <f>'27'!I108</f>
        <v>4.5025862068965523</v>
      </c>
      <c r="J35" s="95">
        <f>'27'!J108</f>
        <v>0.38066666666666665</v>
      </c>
      <c r="K35" s="95">
        <f>'27'!K108</f>
        <v>109.21233333333335</v>
      </c>
      <c r="L35" s="95">
        <f>'27'!L108</f>
        <v>29.341000000000001</v>
      </c>
      <c r="M35" s="95">
        <f>'27'!M108</f>
        <v>89.798000000000002</v>
      </c>
      <c r="N35" s="95">
        <f>'27'!N108</f>
        <v>193.38666666666668</v>
      </c>
      <c r="O35" s="95">
        <f>'27'!O108</f>
        <v>6.6666666666666671E-3</v>
      </c>
      <c r="P35" s="95">
        <f>'27'!P108</f>
        <v>0.42203389830508503</v>
      </c>
      <c r="Q35" s="95">
        <f>'27'!Q108</f>
        <v>4.9858620689655178</v>
      </c>
      <c r="R35" s="160"/>
      <c r="S35" s="160"/>
      <c r="T35" s="160"/>
      <c r="U35" s="160"/>
    </row>
    <row r="36" spans="1:21">
      <c r="A36" s="157" t="str">
        <f>'28'!$B$2</f>
        <v>28/06/2024 00:15</v>
      </c>
      <c r="B36" s="95">
        <f>'28'!B108</f>
        <v>9.3339583333333263</v>
      </c>
      <c r="C36" s="95">
        <f>'28'!C108</f>
        <v>4.0738541666666643</v>
      </c>
      <c r="D36" s="95">
        <f>'28'!D108</f>
        <v>14.063124999999999</v>
      </c>
      <c r="E36" s="95">
        <f>'28'!E108</f>
        <v>8.2996874999999992</v>
      </c>
      <c r="F36" s="95">
        <f>'28'!F108</f>
        <v>9.0093750000000057</v>
      </c>
      <c r="G36" s="95">
        <f>'28'!G108</f>
        <v>10.757291666666667</v>
      </c>
      <c r="H36" s="95">
        <f>'28'!H108</f>
        <v>4.7912499999999998</v>
      </c>
      <c r="I36" s="95">
        <f>'28'!I108</f>
        <v>3.8254166666666656</v>
      </c>
      <c r="J36" s="95">
        <f>'28'!J108</f>
        <v>0.74156250000000012</v>
      </c>
      <c r="K36" s="95">
        <f>'28'!K108</f>
        <v>253.67708333333329</v>
      </c>
      <c r="L36" s="95">
        <f>'28'!L108</f>
        <v>28.250833333333333</v>
      </c>
      <c r="M36" s="95">
        <f>'28'!M108</f>
        <v>85.25875000000002</v>
      </c>
      <c r="N36" s="95">
        <f>'28'!N108</f>
        <v>104.23854166666665</v>
      </c>
      <c r="O36" s="95">
        <f>'28'!O108</f>
        <v>3.1250000000000007E-2</v>
      </c>
      <c r="P36" s="95">
        <f>'28'!P108</f>
        <v>0.27072916666666685</v>
      </c>
      <c r="Q36" s="95">
        <f>'28'!Q108</f>
        <v>4.6369791666666611</v>
      </c>
      <c r="R36" s="160"/>
      <c r="S36" s="160"/>
      <c r="T36" s="160"/>
      <c r="U36" s="160"/>
    </row>
    <row r="37" spans="1:21" s="2" customFormat="1">
      <c r="A37" s="157" t="str">
        <f>'29'!$B$2</f>
        <v>29/06/2024 00:15</v>
      </c>
      <c r="B37" s="95">
        <f>'29'!B108</f>
        <v>9.2255208333333414</v>
      </c>
      <c r="C37" s="95">
        <f>'29'!C108</f>
        <v>4.0727083333333338</v>
      </c>
      <c r="D37" s="95">
        <f>'29'!D108</f>
        <v>13.975833333333343</v>
      </c>
      <c r="E37" s="95">
        <f>'29'!E108</f>
        <v>10.352187500000001</v>
      </c>
      <c r="F37" s="95">
        <f>'29'!F108</f>
        <v>5.7065625000000013</v>
      </c>
      <c r="G37" s="95">
        <f>'29'!G108</f>
        <v>13.910312499999998</v>
      </c>
      <c r="H37" s="95">
        <f>'29'!H108</f>
        <v>5.2246874999999982</v>
      </c>
      <c r="I37" s="95">
        <f>'29'!I108</f>
        <v>4.2446875000000004</v>
      </c>
      <c r="J37" s="95">
        <f>'29'!J108</f>
        <v>0.57385416666666678</v>
      </c>
      <c r="K37" s="95">
        <f>'29'!K108</f>
        <v>235.44218750000002</v>
      </c>
      <c r="L37" s="95">
        <f>'29'!L108</f>
        <v>26.646458333333324</v>
      </c>
      <c r="M37" s="95">
        <f>'29'!M108</f>
        <v>92.621666666666627</v>
      </c>
      <c r="N37" s="95">
        <f>'29'!N108</f>
        <v>29.602083333333315</v>
      </c>
      <c r="O37" s="95">
        <f>'29'!O108</f>
        <v>3.3333333333333333E-2</v>
      </c>
      <c r="P37" s="95">
        <f>'29'!P108</f>
        <v>0.3997916666666666</v>
      </c>
      <c r="Q37" s="95">
        <f>'29'!Q108</f>
        <v>4.63645833333333</v>
      </c>
      <c r="R37" s="160"/>
      <c r="S37" s="160"/>
      <c r="T37" s="160"/>
      <c r="U37" s="160"/>
    </row>
    <row r="38" spans="1:21" s="2" customFormat="1">
      <c r="A38" s="157" t="str">
        <f>'30'!$B$2</f>
        <v>30/06/2024 00:15</v>
      </c>
      <c r="B38" s="95">
        <f>'30'!B108</f>
        <v>9.2245833333333405</v>
      </c>
      <c r="C38" s="95">
        <f>'30'!C108</f>
        <v>4.0678125000000014</v>
      </c>
      <c r="D38" s="95">
        <f>'30'!D108</f>
        <v>13.972708333333349</v>
      </c>
      <c r="E38" s="95">
        <f>'30'!E108</f>
        <v>8.9202083333333331</v>
      </c>
      <c r="F38" s="95">
        <f>'30'!F108</f>
        <v>6.9462499999999983</v>
      </c>
      <c r="G38" s="95">
        <f>'30'!G108</f>
        <v>14.682395833333329</v>
      </c>
      <c r="H38" s="95">
        <f>'30'!H108</f>
        <v>6.3287500000000021</v>
      </c>
      <c r="I38" s="95">
        <f>'30'!I108</f>
        <v>4.2810416666666677</v>
      </c>
      <c r="J38" s="95">
        <f>'30'!J108</f>
        <v>0.60593750000000013</v>
      </c>
      <c r="K38" s="95">
        <f>'30'!K108</f>
        <v>255.64916666666659</v>
      </c>
      <c r="L38" s="95">
        <f>'30'!L108</f>
        <v>27.178750000000004</v>
      </c>
      <c r="M38" s="95">
        <f>'30'!M108</f>
        <v>90.789062500000014</v>
      </c>
      <c r="N38" s="95">
        <f>'30'!N108</f>
        <v>104.66875000000006</v>
      </c>
      <c r="O38" s="95">
        <f>'30'!O108</f>
        <v>2.2916666666666669E-2</v>
      </c>
      <c r="P38" s="95">
        <f>'30'!P108</f>
        <v>0.37812500000000004</v>
      </c>
      <c r="Q38" s="95">
        <f>'30'!Q108</f>
        <v>4.6353124999999968</v>
      </c>
      <c r="R38" s="160"/>
      <c r="S38" s="160"/>
      <c r="T38" s="160"/>
      <c r="U38" s="160"/>
    </row>
    <row r="39" spans="1:21" s="2" customFormat="1">
      <c r="A39" s="144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1"/>
      <c r="S39" s="161"/>
      <c r="T39" s="161"/>
      <c r="U39" s="161"/>
    </row>
    <row r="40" spans="1:21" s="2" customFormat="1">
      <c r="A40" s="144" t="s">
        <v>48</v>
      </c>
      <c r="B40" s="161">
        <f t="shared" ref="B40:Q40" si="0">MIN(B9:B38)</f>
        <v>6.5458695652173944</v>
      </c>
      <c r="C40" s="161">
        <f t="shared" si="0"/>
        <v>4.0293749999999999</v>
      </c>
      <c r="D40" s="161">
        <f t="shared" si="0"/>
        <v>13.186249999999985</v>
      </c>
      <c r="E40" s="161">
        <f t="shared" si="0"/>
        <v>8.286170212765958</v>
      </c>
      <c r="F40" s="161">
        <f t="shared" si="0"/>
        <v>5.7065625000000013</v>
      </c>
      <c r="G40" s="161">
        <f t="shared" si="0"/>
        <v>10.757291666666667</v>
      </c>
      <c r="H40" s="161">
        <f t="shared" si="0"/>
        <v>4.7912499999999998</v>
      </c>
      <c r="I40" s="161">
        <f t="shared" si="0"/>
        <v>3.3580208333333332</v>
      </c>
      <c r="J40" s="161">
        <f t="shared" si="0"/>
        <v>0.2845833333333333</v>
      </c>
      <c r="K40" s="161">
        <f t="shared" si="0"/>
        <v>109.21233333333335</v>
      </c>
      <c r="L40" s="161">
        <f t="shared" si="0"/>
        <v>26.646458333333324</v>
      </c>
      <c r="M40" s="161">
        <f t="shared" si="0"/>
        <v>29.516458333333336</v>
      </c>
      <c r="N40" s="161">
        <f t="shared" si="0"/>
        <v>29.602083333333315</v>
      </c>
      <c r="O40" s="161">
        <f t="shared" si="0"/>
        <v>0</v>
      </c>
      <c r="P40" s="161">
        <f t="shared" si="0"/>
        <v>0.18852941176470597</v>
      </c>
      <c r="Q40" s="161">
        <f t="shared" si="0"/>
        <v>3.8940624999999973</v>
      </c>
      <c r="R40" s="161"/>
      <c r="S40" s="161"/>
      <c r="T40" s="161"/>
      <c r="U40" s="161"/>
    </row>
    <row r="41" spans="1:21" s="2" customFormat="1">
      <c r="A41" s="144" t="s">
        <v>49</v>
      </c>
      <c r="B41" s="161">
        <f t="shared" ref="B41:Q41" si="1">MAX(B9:B38)</f>
        <v>9.4112499999999972</v>
      </c>
      <c r="C41" s="161">
        <f t="shared" si="1"/>
        <v>6.097708333333336</v>
      </c>
      <c r="D41" s="161">
        <f t="shared" si="1"/>
        <v>14.134791666666688</v>
      </c>
      <c r="E41" s="161">
        <f t="shared" si="1"/>
        <v>24.474791666666675</v>
      </c>
      <c r="F41" s="161">
        <f t="shared" si="1"/>
        <v>36.365102040816325</v>
      </c>
      <c r="G41" s="161">
        <f t="shared" si="1"/>
        <v>95.023749999999936</v>
      </c>
      <c r="H41" s="161">
        <f t="shared" si="1"/>
        <v>31.659479166666657</v>
      </c>
      <c r="I41" s="161">
        <f t="shared" si="1"/>
        <v>21.554421052631582</v>
      </c>
      <c r="J41" s="161">
        <f t="shared" si="1"/>
        <v>1.0607291666666669</v>
      </c>
      <c r="K41" s="161">
        <f t="shared" si="1"/>
        <v>270.43822916666664</v>
      </c>
      <c r="L41" s="161">
        <f t="shared" si="1"/>
        <v>38.313229166666659</v>
      </c>
      <c r="M41" s="161">
        <f t="shared" si="1"/>
        <v>92.621666666666627</v>
      </c>
      <c r="N41" s="161">
        <f t="shared" si="1"/>
        <v>236.6632653061225</v>
      </c>
      <c r="O41" s="161">
        <f t="shared" si="1"/>
        <v>0.32708333333333328</v>
      </c>
      <c r="P41" s="161">
        <f t="shared" si="1"/>
        <v>0.72385416666666635</v>
      </c>
      <c r="Q41" s="161">
        <f t="shared" si="1"/>
        <v>5.475348837209304</v>
      </c>
      <c r="R41" s="161"/>
      <c r="S41" s="161"/>
      <c r="T41" s="161"/>
      <c r="U41" s="161"/>
    </row>
    <row r="42" spans="1:21" s="2" customFormat="1">
      <c r="A42" s="144" t="s">
        <v>50</v>
      </c>
      <c r="B42" s="161">
        <f t="shared" ref="B42:Q42" si="2">AVERAGE(B9:B38)</f>
        <v>8.6496820505267689</v>
      </c>
      <c r="C42" s="161">
        <f t="shared" si="2"/>
        <v>4.5730370514737944</v>
      </c>
      <c r="D42" s="161">
        <f t="shared" si="2"/>
        <v>13.915818115516547</v>
      </c>
      <c r="E42" s="161">
        <f t="shared" si="2"/>
        <v>12.404165840578852</v>
      </c>
      <c r="F42" s="161">
        <f t="shared" si="2"/>
        <v>19.812052102959775</v>
      </c>
      <c r="G42" s="161">
        <f t="shared" si="2"/>
        <v>34.607661867968737</v>
      </c>
      <c r="H42" s="161">
        <f t="shared" si="2"/>
        <v>12.748248743563886</v>
      </c>
      <c r="I42" s="161">
        <f t="shared" si="2"/>
        <v>5.5664673302201173</v>
      </c>
      <c r="J42" s="161">
        <f t="shared" si="2"/>
        <v>0.64693604884239653</v>
      </c>
      <c r="K42" s="161">
        <f t="shared" si="2"/>
        <v>224.03527402298459</v>
      </c>
      <c r="L42" s="161">
        <f t="shared" si="2"/>
        <v>32.02880426230076</v>
      </c>
      <c r="M42" s="161">
        <f t="shared" si="2"/>
        <v>63.122712176717684</v>
      </c>
      <c r="N42" s="161">
        <f t="shared" si="2"/>
        <v>133.63551357566791</v>
      </c>
      <c r="O42" s="161">
        <f t="shared" si="2"/>
        <v>4.4358162830349532E-2</v>
      </c>
      <c r="P42" s="161">
        <f t="shared" si="2"/>
        <v>0.43645450908183497</v>
      </c>
      <c r="Q42" s="161">
        <f t="shared" si="2"/>
        <v>4.3914419539615688</v>
      </c>
      <c r="R42" s="161"/>
      <c r="S42" s="161"/>
      <c r="T42" s="161"/>
      <c r="U42" s="161"/>
    </row>
    <row r="43" spans="1:21" s="2" customFormat="1">
      <c r="A43" s="144" t="s">
        <v>51</v>
      </c>
      <c r="B43" s="161">
        <f t="shared" ref="B43:Q43" si="3">STDEV(B9:B38)</f>
        <v>0.95390864675627818</v>
      </c>
      <c r="C43" s="161">
        <f t="shared" si="3"/>
        <v>0.86235298880716893</v>
      </c>
      <c r="D43" s="161">
        <f t="shared" si="3"/>
        <v>0.21465307885004681</v>
      </c>
      <c r="E43" s="161">
        <f t="shared" si="3"/>
        <v>4.0141522192190831</v>
      </c>
      <c r="F43" s="161">
        <f t="shared" si="3"/>
        <v>7.8224184316358611</v>
      </c>
      <c r="G43" s="161">
        <f t="shared" si="3"/>
        <v>19.023076467021827</v>
      </c>
      <c r="H43" s="161">
        <f t="shared" si="3"/>
        <v>6.349771059191224</v>
      </c>
      <c r="I43" s="161">
        <f t="shared" si="3"/>
        <v>3.2475312179970413</v>
      </c>
      <c r="J43" s="161">
        <f t="shared" si="3"/>
        <v>0.2204800955667619</v>
      </c>
      <c r="K43" s="161">
        <f t="shared" si="3"/>
        <v>40.500612413428115</v>
      </c>
      <c r="L43" s="161">
        <f t="shared" si="3"/>
        <v>3.0005935359478908</v>
      </c>
      <c r="M43" s="161">
        <f t="shared" si="3"/>
        <v>18.258970376787765</v>
      </c>
      <c r="N43" s="161">
        <f t="shared" si="3"/>
        <v>37.012240417127416</v>
      </c>
      <c r="O43" s="161">
        <f t="shared" si="3"/>
        <v>9.3655365948630484E-2</v>
      </c>
      <c r="P43" s="161">
        <f t="shared" si="3"/>
        <v>0.10974248082752758</v>
      </c>
      <c r="Q43" s="161">
        <f t="shared" si="3"/>
        <v>0.47361188021980105</v>
      </c>
      <c r="R43" s="147"/>
      <c r="S43" s="147"/>
      <c r="T43" s="147"/>
      <c r="U43" s="147"/>
    </row>
    <row r="44" spans="1:21" s="2" customFormat="1">
      <c r="A44" s="144" t="s">
        <v>52</v>
      </c>
      <c r="B44" s="147">
        <f t="shared" ref="B44:Q44" si="4">COUNT(B9:B38)</f>
        <v>30</v>
      </c>
      <c r="C44" s="147">
        <f t="shared" si="4"/>
        <v>30</v>
      </c>
      <c r="D44" s="147">
        <f t="shared" si="4"/>
        <v>30</v>
      </c>
      <c r="E44" s="147">
        <f t="shared" si="4"/>
        <v>30</v>
      </c>
      <c r="F44" s="147">
        <f t="shared" si="4"/>
        <v>30</v>
      </c>
      <c r="G44" s="147">
        <f t="shared" si="4"/>
        <v>30</v>
      </c>
      <c r="H44" s="147">
        <f t="shared" si="4"/>
        <v>30</v>
      </c>
      <c r="I44" s="147">
        <f t="shared" si="4"/>
        <v>30</v>
      </c>
      <c r="J44" s="147">
        <f t="shared" si="4"/>
        <v>30</v>
      </c>
      <c r="K44" s="147">
        <f t="shared" si="4"/>
        <v>30</v>
      </c>
      <c r="L44" s="147">
        <f t="shared" si="4"/>
        <v>30</v>
      </c>
      <c r="M44" s="147">
        <f t="shared" si="4"/>
        <v>30</v>
      </c>
      <c r="N44" s="147">
        <f t="shared" si="4"/>
        <v>30</v>
      </c>
      <c r="O44" s="147">
        <f t="shared" si="4"/>
        <v>30</v>
      </c>
      <c r="P44" s="147">
        <f t="shared" si="4"/>
        <v>30</v>
      </c>
      <c r="Q44" s="147">
        <f t="shared" si="4"/>
        <v>30</v>
      </c>
      <c r="R44" s="147"/>
      <c r="S44" s="147"/>
      <c r="T44" s="147"/>
      <c r="U44" s="147"/>
    </row>
    <row r="45" spans="1:21">
      <c r="A45" s="144" t="s">
        <v>53</v>
      </c>
      <c r="B45" s="147" t="str">
        <f>IF(B44&gt;=28,"&gt;90%",IF(B44&lt;=28,"&lt;90%"))</f>
        <v>&gt;90%</v>
      </c>
      <c r="C45" s="147" t="str">
        <f t="shared" ref="C45:Q45" si="5">IF(C44&gt;=28,"&gt;90%",IF(C44&lt;=28,"&lt;90%"))</f>
        <v>&gt;90%</v>
      </c>
      <c r="D45" s="147" t="str">
        <f t="shared" si="5"/>
        <v>&gt;90%</v>
      </c>
      <c r="E45" s="147" t="str">
        <f t="shared" si="5"/>
        <v>&gt;90%</v>
      </c>
      <c r="F45" s="147" t="str">
        <f t="shared" si="5"/>
        <v>&gt;90%</v>
      </c>
      <c r="G45" s="147" t="str">
        <f t="shared" si="5"/>
        <v>&gt;90%</v>
      </c>
      <c r="H45" s="147" t="str">
        <f t="shared" si="5"/>
        <v>&gt;90%</v>
      </c>
      <c r="I45" s="147" t="str">
        <f t="shared" si="5"/>
        <v>&gt;90%</v>
      </c>
      <c r="J45" s="147" t="str">
        <f t="shared" si="5"/>
        <v>&gt;90%</v>
      </c>
      <c r="K45" s="147" t="str">
        <f t="shared" si="5"/>
        <v>&gt;90%</v>
      </c>
      <c r="L45" s="147" t="str">
        <f t="shared" si="5"/>
        <v>&gt;90%</v>
      </c>
      <c r="M45" s="147" t="str">
        <f t="shared" si="5"/>
        <v>&gt;90%</v>
      </c>
      <c r="N45" s="147" t="str">
        <f t="shared" si="5"/>
        <v>&gt;90%</v>
      </c>
      <c r="O45" s="147" t="str">
        <f t="shared" si="5"/>
        <v>&gt;90%</v>
      </c>
      <c r="P45" s="147" t="str">
        <f t="shared" si="5"/>
        <v>&gt;90%</v>
      </c>
      <c r="Q45" s="147" t="str">
        <f t="shared" si="5"/>
        <v>&gt;90%</v>
      </c>
      <c r="R45" s="147"/>
      <c r="S45" s="147"/>
      <c r="T45" s="147"/>
      <c r="U45" s="147"/>
    </row>
    <row r="46" spans="1:21">
      <c r="A46" s="144" t="s">
        <v>54</v>
      </c>
      <c r="B46" s="147" t="str">
        <f>IF(B44&gt;=28,"OK",IF(B44&lt;=28,"LESS"))</f>
        <v>OK</v>
      </c>
      <c r="C46" s="147" t="str">
        <f t="shared" ref="C46:Q46" si="6">IF(C44&gt;=28,"OK",IF(C44&lt;=28,"LESS"))</f>
        <v>OK</v>
      </c>
      <c r="D46" s="147" t="str">
        <f t="shared" si="6"/>
        <v>OK</v>
      </c>
      <c r="E46" s="147" t="str">
        <f t="shared" si="6"/>
        <v>OK</v>
      </c>
      <c r="F46" s="147" t="str">
        <f t="shared" si="6"/>
        <v>OK</v>
      </c>
      <c r="G46" s="147" t="str">
        <f t="shared" si="6"/>
        <v>OK</v>
      </c>
      <c r="H46" s="147" t="str">
        <f t="shared" si="6"/>
        <v>OK</v>
      </c>
      <c r="I46" s="147" t="str">
        <f t="shared" si="6"/>
        <v>OK</v>
      </c>
      <c r="J46" s="147" t="str">
        <f t="shared" si="6"/>
        <v>OK</v>
      </c>
      <c r="K46" s="147" t="str">
        <f t="shared" si="6"/>
        <v>OK</v>
      </c>
      <c r="L46" s="147" t="str">
        <f t="shared" si="6"/>
        <v>OK</v>
      </c>
      <c r="M46" s="147" t="str">
        <f t="shared" si="6"/>
        <v>OK</v>
      </c>
      <c r="N46" s="147" t="str">
        <f t="shared" si="6"/>
        <v>OK</v>
      </c>
      <c r="O46" s="147" t="str">
        <f t="shared" si="6"/>
        <v>OK</v>
      </c>
      <c r="P46" s="147" t="str">
        <f t="shared" si="6"/>
        <v>OK</v>
      </c>
      <c r="Q46" s="147" t="str">
        <f t="shared" si="6"/>
        <v>OK</v>
      </c>
      <c r="R46" s="2"/>
      <c r="S46" s="2"/>
      <c r="T46" s="2"/>
    </row>
    <row r="47" spans="1:2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9" spans="1:16">
      <c r="A49" s="144" t="s">
        <v>55</v>
      </c>
      <c r="B49" s="198" t="s">
        <v>56</v>
      </c>
      <c r="C49" s="198"/>
      <c r="D49" s="198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162"/>
      <c r="B50" s="2"/>
      <c r="C50" s="2"/>
      <c r="D50" s="163"/>
      <c r="E50" s="163"/>
      <c r="F50" s="163"/>
      <c r="G50" s="163"/>
      <c r="H50" s="163"/>
      <c r="I50" s="163"/>
      <c r="J50" s="2"/>
      <c r="K50" s="2"/>
      <c r="L50" s="2"/>
      <c r="M50" s="2"/>
      <c r="N50" s="2"/>
      <c r="O50" s="2"/>
      <c r="P50" s="2"/>
    </row>
    <row r="51" spans="1:16" ht="15.75">
      <c r="A51" s="164" t="s">
        <v>57</v>
      </c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</row>
    <row r="52" spans="1:16">
      <c r="A52" s="16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1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6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</sheetData>
  <mergeCells count="2">
    <mergeCell ref="B49:D49"/>
    <mergeCell ref="B51:P51"/>
  </mergeCells>
  <pageMargins left="0.17" right="0.17" top="0.19" bottom="0.16" header="0.17" footer="0.16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>
  <dimension ref="B1:X119"/>
  <sheetViews>
    <sheetView topLeftCell="G7" workbookViewId="0">
      <selection activeCell="V29" sqref="V29"/>
    </sheetView>
  </sheetViews>
  <sheetFormatPr defaultColWidth="8.85546875" defaultRowHeight="15"/>
  <cols>
    <col min="1" max="1" width="4.5703125" style="2" customWidth="1"/>
    <col min="2" max="2" width="16.140625" style="86" customWidth="1"/>
    <col min="3" max="3" width="10.28515625" style="2" customWidth="1"/>
    <col min="4" max="7" width="9.140625" style="2" customWidth="1"/>
    <col min="8" max="8" width="9.140625" style="88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9" customWidth="1"/>
    <col min="16" max="16" width="10.85546875" style="89" customWidth="1"/>
    <col min="17" max="17" width="15.42578125" style="89" customWidth="1"/>
    <col min="18" max="18" width="13.42578125" style="89" customWidth="1"/>
    <col min="19" max="19" width="16.85546875" style="90" customWidth="1"/>
    <col min="20" max="20" width="10" style="90" customWidth="1"/>
    <col min="21" max="21" width="12.85546875" style="89" customWidth="1"/>
    <col min="22" max="22" width="10.7109375" style="89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91" t="s">
        <v>60</v>
      </c>
      <c r="D1" s="201" t="s">
        <v>61</v>
      </c>
      <c r="E1" s="201"/>
      <c r="F1" s="201"/>
      <c r="G1" s="201"/>
      <c r="H1" s="201"/>
      <c r="I1" s="201"/>
      <c r="J1" s="202"/>
    </row>
    <row r="2" spans="2:24" ht="22.5" customHeight="1">
      <c r="B2" s="2"/>
      <c r="C2" s="91" t="s">
        <v>2</v>
      </c>
      <c r="D2" s="203" t="s">
        <v>238</v>
      </c>
      <c r="E2" s="204"/>
      <c r="F2" s="204"/>
      <c r="G2" s="204"/>
      <c r="H2" s="204"/>
      <c r="I2" s="204"/>
      <c r="J2" s="205"/>
    </row>
    <row r="4" spans="2:24">
      <c r="S4" s="89"/>
      <c r="T4" s="89"/>
      <c r="U4" s="90"/>
      <c r="V4" s="90"/>
      <c r="W4" s="89"/>
      <c r="X4" s="89"/>
    </row>
    <row r="5" spans="2:24">
      <c r="B5" s="92"/>
      <c r="C5" s="93"/>
      <c r="D5" s="93"/>
      <c r="E5" s="93"/>
      <c r="F5" s="93"/>
      <c r="G5" s="206" t="s">
        <v>62</v>
      </c>
      <c r="H5" s="206"/>
      <c r="I5" s="93"/>
      <c r="J5" s="93"/>
      <c r="K5" s="93"/>
      <c r="L5" s="93"/>
      <c r="M5" s="107"/>
      <c r="O5" s="108"/>
      <c r="P5" s="109"/>
      <c r="Q5" s="109"/>
      <c r="R5" s="109"/>
      <c r="S5" s="127" t="s">
        <v>63</v>
      </c>
      <c r="T5" s="109"/>
      <c r="U5" s="128"/>
      <c r="V5" s="128"/>
      <c r="W5" s="109"/>
      <c r="X5" s="129"/>
    </row>
    <row r="6" spans="2:24">
      <c r="B6" s="94"/>
      <c r="C6" s="6"/>
      <c r="D6" s="6"/>
      <c r="E6" s="6"/>
      <c r="F6" s="6"/>
      <c r="G6" s="6"/>
      <c r="H6" s="95"/>
      <c r="I6" s="6"/>
      <c r="J6" s="6"/>
      <c r="K6" s="6"/>
      <c r="L6" s="6"/>
      <c r="M6" s="110"/>
      <c r="O6" s="111"/>
      <c r="P6" s="112"/>
      <c r="Q6" s="112"/>
      <c r="R6" s="112"/>
      <c r="S6" s="112"/>
      <c r="T6" s="112"/>
      <c r="U6" s="130"/>
      <c r="V6" s="130"/>
      <c r="W6" s="112"/>
      <c r="X6" s="131"/>
    </row>
    <row r="7" spans="2:24" ht="15.75">
      <c r="B7" s="96" t="s">
        <v>64</v>
      </c>
      <c r="C7" s="97" t="s">
        <v>65</v>
      </c>
      <c r="D7" s="97" t="s">
        <v>66</v>
      </c>
      <c r="E7" s="97" t="s">
        <v>67</v>
      </c>
      <c r="F7" s="97" t="s">
        <v>68</v>
      </c>
      <c r="G7" s="97" t="s">
        <v>69</v>
      </c>
      <c r="H7" s="98" t="s">
        <v>70</v>
      </c>
      <c r="I7" s="97" t="s">
        <v>71</v>
      </c>
      <c r="J7" s="97" t="s">
        <v>72</v>
      </c>
      <c r="K7" s="97" t="s">
        <v>73</v>
      </c>
      <c r="L7" s="97" t="s">
        <v>54</v>
      </c>
      <c r="M7" s="39" t="s">
        <v>74</v>
      </c>
      <c r="O7" s="113" t="s">
        <v>64</v>
      </c>
      <c r="P7" s="114" t="s">
        <v>65</v>
      </c>
      <c r="Q7" s="114" t="s">
        <v>75</v>
      </c>
      <c r="R7" s="114" t="s">
        <v>11</v>
      </c>
      <c r="S7" s="114" t="s">
        <v>76</v>
      </c>
      <c r="T7" s="114" t="s">
        <v>77</v>
      </c>
      <c r="U7" s="132" t="s">
        <v>78</v>
      </c>
      <c r="V7" s="132" t="s">
        <v>79</v>
      </c>
      <c r="W7" s="114" t="s">
        <v>54</v>
      </c>
      <c r="X7" s="133" t="s">
        <v>74</v>
      </c>
    </row>
    <row r="8" spans="2:24" ht="15.75">
      <c r="B8" s="82">
        <v>45451.585416666669</v>
      </c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95">
        <v>197</v>
      </c>
      <c r="I8" s="6">
        <v>0</v>
      </c>
      <c r="J8" s="95">
        <f>F8/H8</f>
        <v>1.015228426395939</v>
      </c>
      <c r="K8" s="95">
        <f>(H8-F8)*100/F8</f>
        <v>-1.5</v>
      </c>
      <c r="L8" s="6" t="s">
        <v>80</v>
      </c>
      <c r="M8" s="115" t="s">
        <v>56</v>
      </c>
      <c r="O8" s="82">
        <v>45448.661111111112</v>
      </c>
      <c r="P8" s="112" t="s">
        <v>63</v>
      </c>
      <c r="Q8" s="112">
        <v>5016.54</v>
      </c>
      <c r="R8" s="112">
        <v>3854.68</v>
      </c>
      <c r="S8" s="134" t="s">
        <v>81</v>
      </c>
      <c r="T8" s="134">
        <v>863.6</v>
      </c>
      <c r="U8" s="130">
        <v>0.97609999999999997</v>
      </c>
      <c r="V8" s="130">
        <v>0.97650000000000003</v>
      </c>
      <c r="W8" s="6" t="s">
        <v>80</v>
      </c>
      <c r="X8" s="115" t="s">
        <v>56</v>
      </c>
    </row>
    <row r="9" spans="2:24" ht="15.75">
      <c r="B9" s="192">
        <v>45456.627083333333</v>
      </c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95">
        <v>205</v>
      </c>
      <c r="I9" s="6">
        <v>0</v>
      </c>
      <c r="J9" s="95">
        <f t="shared" ref="J9:J14" si="0">F9/H9</f>
        <v>0.97560975609756095</v>
      </c>
      <c r="K9" s="95">
        <f t="shared" ref="K9:K14" si="1">(H9-F9)*100/F9</f>
        <v>2.5</v>
      </c>
      <c r="L9" s="6" t="s">
        <v>80</v>
      </c>
      <c r="M9" s="115" t="s">
        <v>56</v>
      </c>
      <c r="O9" s="82">
        <v>45456.576388888891</v>
      </c>
      <c r="P9" s="112" t="s">
        <v>63</v>
      </c>
      <c r="Q9" s="112">
        <v>4567.4399999999996</v>
      </c>
      <c r="R9" s="112">
        <v>3499.62</v>
      </c>
      <c r="S9" s="134" t="s">
        <v>81</v>
      </c>
      <c r="T9" s="134">
        <v>877.56</v>
      </c>
      <c r="U9" s="130">
        <v>0.97650000000000003</v>
      </c>
      <c r="V9" s="130">
        <v>0.96409999999999996</v>
      </c>
      <c r="W9" s="6" t="s">
        <v>80</v>
      </c>
      <c r="X9" s="115" t="s">
        <v>56</v>
      </c>
    </row>
    <row r="10" spans="2:24" ht="15.75">
      <c r="B10" s="86">
        <v>45469.681250000001</v>
      </c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95">
        <v>199.4</v>
      </c>
      <c r="I10" s="6">
        <v>0</v>
      </c>
      <c r="J10" s="95">
        <f t="shared" si="0"/>
        <v>1.0030090270812437</v>
      </c>
      <c r="K10" s="95">
        <f t="shared" si="1"/>
        <v>-0.29999999999999716</v>
      </c>
      <c r="L10" s="6" t="s">
        <v>80</v>
      </c>
      <c r="M10" s="115" t="s">
        <v>56</v>
      </c>
      <c r="P10" s="112" t="s">
        <v>63</v>
      </c>
      <c r="Q10" s="112">
        <v>4674.9399999999996</v>
      </c>
      <c r="R10" s="112">
        <v>3561.81</v>
      </c>
      <c r="S10" s="134" t="s">
        <v>81</v>
      </c>
      <c r="T10" s="134">
        <v>876.54</v>
      </c>
      <c r="U10" s="130">
        <v>0.96409999999999996</v>
      </c>
      <c r="V10" s="130">
        <v>0.94769999999999999</v>
      </c>
      <c r="W10" s="6" t="s">
        <v>80</v>
      </c>
      <c r="X10" s="115" t="s">
        <v>56</v>
      </c>
    </row>
    <row r="11" spans="2:24" ht="15.75">
      <c r="B11" s="8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95"/>
      <c r="I11" s="6">
        <v>0</v>
      </c>
      <c r="J11" s="95" t="e">
        <f t="shared" si="0"/>
        <v>#DIV/0!</v>
      </c>
      <c r="K11" s="95">
        <f t="shared" si="1"/>
        <v>-100</v>
      </c>
      <c r="L11" s="6" t="s">
        <v>80</v>
      </c>
      <c r="M11" s="115" t="s">
        <v>56</v>
      </c>
      <c r="O11" s="82"/>
      <c r="P11" s="112" t="s">
        <v>63</v>
      </c>
      <c r="Q11" s="112"/>
      <c r="R11" s="112"/>
      <c r="S11" s="134" t="s">
        <v>81</v>
      </c>
      <c r="T11" s="134"/>
      <c r="U11" s="130"/>
      <c r="V11" s="130"/>
      <c r="W11" s="6" t="s">
        <v>80</v>
      </c>
      <c r="X11" s="115" t="s">
        <v>56</v>
      </c>
    </row>
    <row r="12" spans="2:24" ht="15.75">
      <c r="B12" s="8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95"/>
      <c r="I12" s="6">
        <v>0</v>
      </c>
      <c r="J12" s="95" t="e">
        <f t="shared" si="0"/>
        <v>#DIV/0!</v>
      </c>
      <c r="K12" s="95">
        <f t="shared" si="1"/>
        <v>-100</v>
      </c>
      <c r="L12" s="6" t="s">
        <v>80</v>
      </c>
      <c r="M12" s="115" t="s">
        <v>56</v>
      </c>
      <c r="O12" s="82"/>
      <c r="P12" s="112" t="s">
        <v>63</v>
      </c>
      <c r="Q12" s="112"/>
      <c r="R12" s="112"/>
      <c r="S12" s="134" t="s">
        <v>81</v>
      </c>
      <c r="T12" s="134"/>
      <c r="U12" s="130"/>
      <c r="V12" s="130"/>
      <c r="W12" s="6" t="s">
        <v>80</v>
      </c>
      <c r="X12" s="115" t="s">
        <v>56</v>
      </c>
    </row>
    <row r="13" spans="2:24" ht="15.75">
      <c r="B13" s="8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95"/>
      <c r="I13" s="6">
        <v>0</v>
      </c>
      <c r="J13" s="95" t="e">
        <f t="shared" si="0"/>
        <v>#DIV/0!</v>
      </c>
      <c r="K13" s="95">
        <f t="shared" si="1"/>
        <v>-100</v>
      </c>
      <c r="L13" s="6" t="s">
        <v>80</v>
      </c>
      <c r="M13" s="115" t="s">
        <v>56</v>
      </c>
      <c r="O13" s="82"/>
      <c r="P13" s="112" t="s">
        <v>63</v>
      </c>
      <c r="Q13" s="112"/>
      <c r="R13" s="112"/>
      <c r="S13" s="134" t="s">
        <v>81</v>
      </c>
      <c r="T13" s="134"/>
      <c r="U13" s="130"/>
      <c r="V13" s="130"/>
      <c r="W13" s="6" t="s">
        <v>80</v>
      </c>
      <c r="X13" s="115" t="s">
        <v>56</v>
      </c>
    </row>
    <row r="14" spans="2:24" ht="15.75">
      <c r="B14" s="8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95"/>
      <c r="I14" s="6">
        <v>0</v>
      </c>
      <c r="J14" s="95" t="e">
        <f t="shared" si="0"/>
        <v>#DIV/0!</v>
      </c>
      <c r="K14" s="95">
        <f t="shared" si="1"/>
        <v>-100</v>
      </c>
      <c r="L14" s="6" t="s">
        <v>80</v>
      </c>
      <c r="M14" s="115" t="s">
        <v>56</v>
      </c>
      <c r="O14" s="82"/>
      <c r="P14" s="112" t="s">
        <v>63</v>
      </c>
      <c r="Q14" s="112"/>
      <c r="R14" s="112"/>
      <c r="S14" s="134" t="s">
        <v>81</v>
      </c>
      <c r="T14" s="134"/>
      <c r="U14" s="130"/>
      <c r="V14" s="130"/>
      <c r="W14" s="6" t="s">
        <v>80</v>
      </c>
      <c r="X14" s="115" t="s">
        <v>56</v>
      </c>
    </row>
    <row r="15" spans="2:24" ht="15.75">
      <c r="B15" s="82"/>
      <c r="C15" s="6"/>
      <c r="D15" s="6"/>
      <c r="E15" s="6"/>
      <c r="F15" s="6"/>
      <c r="G15" s="6"/>
      <c r="H15" s="95"/>
      <c r="I15" s="6"/>
      <c r="J15" s="95"/>
      <c r="K15" s="95"/>
      <c r="L15" s="6"/>
      <c r="M15" s="116"/>
      <c r="O15" s="82"/>
      <c r="P15" s="112" t="s">
        <v>63</v>
      </c>
      <c r="Q15" s="112"/>
      <c r="R15" s="112"/>
      <c r="S15" s="134" t="s">
        <v>81</v>
      </c>
      <c r="T15" s="134"/>
      <c r="U15" s="130"/>
      <c r="V15" s="130"/>
      <c r="W15" s="6" t="s">
        <v>80</v>
      </c>
      <c r="X15" s="115"/>
    </row>
    <row r="16" spans="2:24" ht="15.75">
      <c r="B16" s="82"/>
      <c r="C16" s="6"/>
      <c r="D16" s="6"/>
      <c r="E16" s="6"/>
      <c r="F16" s="6"/>
      <c r="G16" s="6"/>
      <c r="H16" s="95"/>
      <c r="I16" s="6"/>
      <c r="J16" s="95"/>
      <c r="K16" s="95"/>
      <c r="L16" s="6"/>
      <c r="M16" s="116"/>
      <c r="O16" s="82"/>
      <c r="P16" s="112" t="s">
        <v>63</v>
      </c>
      <c r="Q16" s="112"/>
      <c r="R16" s="112"/>
      <c r="S16" s="134" t="s">
        <v>81</v>
      </c>
      <c r="T16" s="134"/>
      <c r="U16" s="130"/>
      <c r="V16" s="130"/>
      <c r="W16" s="6" t="s">
        <v>80</v>
      </c>
      <c r="X16" s="115"/>
    </row>
    <row r="17" spans="2:24" ht="15.75">
      <c r="B17" s="82"/>
      <c r="C17" s="6"/>
      <c r="D17" s="6"/>
      <c r="E17" s="6"/>
      <c r="F17" s="6"/>
      <c r="G17" s="6"/>
      <c r="H17" s="95"/>
      <c r="I17" s="6"/>
      <c r="J17" s="95"/>
      <c r="K17" s="95"/>
      <c r="L17" s="6"/>
      <c r="M17" s="116"/>
      <c r="O17" s="82"/>
      <c r="P17" s="112" t="s">
        <v>63</v>
      </c>
      <c r="Q17" s="112"/>
      <c r="R17" s="112"/>
      <c r="S17" s="134" t="s">
        <v>81</v>
      </c>
      <c r="T17" s="134"/>
      <c r="U17" s="130"/>
      <c r="V17" s="130"/>
      <c r="W17" s="6"/>
      <c r="X17" s="115"/>
    </row>
    <row r="18" spans="2:24" ht="15.75">
      <c r="B18" s="83"/>
      <c r="C18" s="6"/>
      <c r="D18" s="6"/>
      <c r="E18" s="6"/>
      <c r="F18" s="6"/>
      <c r="G18" s="6"/>
      <c r="H18" s="95"/>
      <c r="I18" s="6"/>
      <c r="J18" s="95"/>
      <c r="K18" s="95"/>
      <c r="L18" s="6"/>
      <c r="M18" s="116"/>
      <c r="O18" s="117"/>
      <c r="P18" s="112"/>
      <c r="Q18" s="112"/>
      <c r="R18" s="112"/>
      <c r="S18" s="134"/>
      <c r="T18" s="134"/>
      <c r="U18" s="130"/>
      <c r="V18" s="130"/>
      <c r="W18" s="6"/>
      <c r="X18" s="115"/>
    </row>
    <row r="19" spans="2:24" ht="15.75">
      <c r="B19" s="83"/>
      <c r="C19" s="6"/>
      <c r="D19" s="6"/>
      <c r="E19" s="6"/>
      <c r="F19" s="6"/>
      <c r="G19" s="6"/>
      <c r="H19" s="95"/>
      <c r="I19" s="6"/>
      <c r="J19" s="95"/>
      <c r="K19" s="95"/>
      <c r="L19" s="6"/>
      <c r="M19" s="116"/>
      <c r="O19" s="118"/>
      <c r="P19" s="112"/>
      <c r="Q19" s="112"/>
      <c r="R19" s="112"/>
      <c r="S19" s="134"/>
      <c r="T19" s="134"/>
      <c r="U19" s="130"/>
      <c r="V19" s="130"/>
      <c r="W19" s="6"/>
      <c r="X19" s="115"/>
    </row>
    <row r="20" spans="2:24" ht="15.75">
      <c r="B20" s="83"/>
      <c r="C20" s="6"/>
      <c r="D20" s="6"/>
      <c r="E20" s="6"/>
      <c r="F20" s="6"/>
      <c r="G20" s="6"/>
      <c r="H20" s="95"/>
      <c r="I20" s="6"/>
      <c r="J20" s="95"/>
      <c r="K20" s="95"/>
      <c r="L20" s="6"/>
      <c r="M20" s="116"/>
      <c r="O20" s="118"/>
      <c r="P20" s="112"/>
      <c r="Q20" s="112"/>
      <c r="R20" s="112"/>
      <c r="S20" s="134"/>
      <c r="T20" s="134"/>
      <c r="U20" s="130"/>
      <c r="V20" s="130"/>
      <c r="W20" s="6"/>
      <c r="X20" s="115"/>
    </row>
    <row r="21" spans="2:24">
      <c r="B21" s="99"/>
      <c r="C21" s="207" t="s">
        <v>82</v>
      </c>
      <c r="D21" s="207"/>
      <c r="E21" s="207"/>
      <c r="F21" s="207"/>
      <c r="G21" s="207"/>
      <c r="H21" s="207"/>
      <c r="I21" s="119">
        <f>COUNT(B8:B20)</f>
        <v>3</v>
      </c>
      <c r="J21" s="120"/>
      <c r="K21" s="120"/>
      <c r="L21" s="106"/>
      <c r="M21" s="121"/>
      <c r="O21" s="122"/>
      <c r="P21" s="208" t="s">
        <v>83</v>
      </c>
      <c r="Q21" s="208"/>
      <c r="R21" s="208"/>
      <c r="S21" s="208"/>
      <c r="T21" s="135">
        <f>COUNT(O8:O20)</f>
        <v>2</v>
      </c>
      <c r="U21" s="136"/>
      <c r="V21" s="136"/>
      <c r="W21" s="137"/>
      <c r="X21" s="138"/>
    </row>
    <row r="22" spans="2:24">
      <c r="C22" s="100"/>
      <c r="D22" s="100"/>
      <c r="E22" s="100"/>
      <c r="F22" s="100"/>
      <c r="G22" s="100"/>
      <c r="H22" s="101"/>
      <c r="J22" s="88"/>
      <c r="K22" s="88"/>
      <c r="S22" s="89"/>
      <c r="T22" s="89"/>
      <c r="U22" s="90"/>
      <c r="V22" s="90"/>
      <c r="W22" s="89"/>
      <c r="X22" s="89"/>
    </row>
    <row r="23" spans="2:24">
      <c r="J23" s="88"/>
      <c r="K23" s="88"/>
      <c r="S23" s="89"/>
      <c r="T23" s="89"/>
      <c r="U23" s="90"/>
      <c r="V23" s="90"/>
      <c r="W23" s="89"/>
      <c r="X23" s="89"/>
    </row>
    <row r="24" spans="2:24">
      <c r="B24" s="92"/>
      <c r="C24" s="102"/>
      <c r="D24" s="102"/>
      <c r="E24" s="102"/>
      <c r="F24" s="102"/>
      <c r="G24" s="209" t="s">
        <v>84</v>
      </c>
      <c r="H24" s="209"/>
      <c r="I24" s="93"/>
      <c r="J24" s="123"/>
      <c r="K24" s="123"/>
      <c r="L24" s="93"/>
      <c r="M24" s="107"/>
      <c r="O24" s="108"/>
      <c r="P24" s="109"/>
      <c r="Q24" s="109"/>
      <c r="R24" s="109"/>
      <c r="S24" s="127" t="s">
        <v>29</v>
      </c>
      <c r="T24" s="109"/>
      <c r="U24" s="128"/>
      <c r="V24" s="128"/>
      <c r="W24" s="109"/>
      <c r="X24" s="129"/>
    </row>
    <row r="25" spans="2:24">
      <c r="B25" s="103"/>
      <c r="C25" s="104"/>
      <c r="D25" s="104"/>
      <c r="E25" s="104"/>
      <c r="F25" s="104"/>
      <c r="G25" s="105"/>
      <c r="H25" s="105"/>
      <c r="I25" s="105"/>
      <c r="J25" s="124"/>
      <c r="K25" s="124"/>
      <c r="L25" s="105"/>
      <c r="M25" s="125"/>
      <c r="O25" s="111"/>
      <c r="P25" s="112"/>
      <c r="Q25" s="112"/>
      <c r="R25" s="112"/>
      <c r="S25" s="112"/>
      <c r="T25" s="112"/>
      <c r="U25" s="130"/>
      <c r="V25" s="130"/>
      <c r="W25" s="112"/>
      <c r="X25" s="131"/>
    </row>
    <row r="26" spans="2:24" ht="15.75">
      <c r="B26" s="96" t="s">
        <v>64</v>
      </c>
      <c r="C26" s="97" t="s">
        <v>65</v>
      </c>
      <c r="D26" s="97" t="s">
        <v>66</v>
      </c>
      <c r="E26" s="97" t="s">
        <v>67</v>
      </c>
      <c r="F26" s="97" t="s">
        <v>68</v>
      </c>
      <c r="G26" s="97" t="s">
        <v>69</v>
      </c>
      <c r="H26" s="98" t="s">
        <v>70</v>
      </c>
      <c r="I26" s="97" t="s">
        <v>71</v>
      </c>
      <c r="J26" s="97" t="s">
        <v>72</v>
      </c>
      <c r="K26" s="97" t="s">
        <v>73</v>
      </c>
      <c r="L26" s="97" t="s">
        <v>54</v>
      </c>
      <c r="M26" s="39" t="s">
        <v>74</v>
      </c>
      <c r="O26" s="113" t="s">
        <v>64</v>
      </c>
      <c r="P26" s="114" t="s">
        <v>65</v>
      </c>
      <c r="Q26" s="114" t="s">
        <v>75</v>
      </c>
      <c r="R26" s="114" t="s">
        <v>11</v>
      </c>
      <c r="S26" s="114" t="s">
        <v>76</v>
      </c>
      <c r="T26" s="114" t="s">
        <v>77</v>
      </c>
      <c r="U26" s="132" t="s">
        <v>78</v>
      </c>
      <c r="V26" s="132" t="s">
        <v>79</v>
      </c>
      <c r="W26" s="114" t="s">
        <v>54</v>
      </c>
      <c r="X26" s="133" t="s">
        <v>74</v>
      </c>
    </row>
    <row r="27" spans="2:24" ht="15.75">
      <c r="B27" s="82">
        <v>45451.579861111109</v>
      </c>
      <c r="C27" s="6" t="s">
        <v>85</v>
      </c>
      <c r="D27" s="6" t="s">
        <v>39</v>
      </c>
      <c r="E27" s="6">
        <v>0</v>
      </c>
      <c r="F27" s="6">
        <v>200</v>
      </c>
      <c r="G27" s="6">
        <v>0</v>
      </c>
      <c r="H27" s="95">
        <v>199.8</v>
      </c>
      <c r="I27" s="6">
        <v>0</v>
      </c>
      <c r="J27" s="95">
        <f>F27/H27</f>
        <v>1.0010010010010009</v>
      </c>
      <c r="K27" s="95">
        <f>(H27-F27)*100/F27</f>
        <v>-9.9999999999994316E-2</v>
      </c>
      <c r="L27" s="6" t="s">
        <v>80</v>
      </c>
      <c r="M27" s="115" t="s">
        <v>56</v>
      </c>
      <c r="O27" s="82">
        <v>45448.661111111112</v>
      </c>
      <c r="P27" s="112" t="s">
        <v>29</v>
      </c>
      <c r="Q27" s="112">
        <v>4615.38</v>
      </c>
      <c r="R27" s="112">
        <v>3584.47</v>
      </c>
      <c r="S27" s="134" t="s">
        <v>86</v>
      </c>
      <c r="T27" s="134">
        <v>779.95</v>
      </c>
      <c r="U27" s="130">
        <v>0.90949999999999998</v>
      </c>
      <c r="V27" s="130">
        <v>0.92</v>
      </c>
      <c r="W27" s="6" t="s">
        <v>80</v>
      </c>
      <c r="X27" s="115" t="s">
        <v>56</v>
      </c>
    </row>
    <row r="28" spans="2:24" ht="15.75">
      <c r="B28" s="82"/>
      <c r="C28" s="6" t="s">
        <v>85</v>
      </c>
      <c r="D28" s="6" t="s">
        <v>39</v>
      </c>
      <c r="E28" s="6">
        <v>0</v>
      </c>
      <c r="F28" s="6">
        <v>200</v>
      </c>
      <c r="G28" s="6"/>
      <c r="H28" s="95"/>
      <c r="I28" s="6">
        <v>0</v>
      </c>
      <c r="J28" s="95" t="e">
        <f t="shared" ref="J28:J33" si="2">F28/H28</f>
        <v>#DIV/0!</v>
      </c>
      <c r="K28" s="95">
        <f t="shared" ref="K28:K33" si="3">(H28-F28)*100/F28</f>
        <v>-100</v>
      </c>
      <c r="L28" s="6" t="s">
        <v>80</v>
      </c>
      <c r="M28" s="115" t="s">
        <v>56</v>
      </c>
      <c r="O28" s="82">
        <v>45456.576388888891</v>
      </c>
      <c r="P28" s="112" t="s">
        <v>29</v>
      </c>
      <c r="Q28" s="112">
        <v>4587.8599999999997</v>
      </c>
      <c r="R28" s="112">
        <v>3550.57</v>
      </c>
      <c r="S28" s="134" t="s">
        <v>86</v>
      </c>
      <c r="T28" s="134">
        <v>792.91</v>
      </c>
      <c r="U28" s="130">
        <v>0.92</v>
      </c>
      <c r="V28" s="130">
        <v>0.91549999999999998</v>
      </c>
      <c r="W28" s="6" t="s">
        <v>80</v>
      </c>
      <c r="X28" s="115" t="s">
        <v>56</v>
      </c>
    </row>
    <row r="29" spans="2:24" ht="15.75">
      <c r="B29" s="82"/>
      <c r="C29" s="6" t="s">
        <v>85</v>
      </c>
      <c r="D29" s="6" t="s">
        <v>39</v>
      </c>
      <c r="E29" s="6">
        <v>0</v>
      </c>
      <c r="F29" s="6">
        <v>200</v>
      </c>
      <c r="G29" s="6"/>
      <c r="H29" s="95"/>
      <c r="I29" s="6">
        <v>0</v>
      </c>
      <c r="J29" s="95" t="e">
        <f t="shared" si="2"/>
        <v>#DIV/0!</v>
      </c>
      <c r="K29" s="95">
        <f t="shared" si="3"/>
        <v>-100</v>
      </c>
      <c r="L29" s="6" t="s">
        <v>80</v>
      </c>
      <c r="M29" s="115" t="s">
        <v>56</v>
      </c>
      <c r="O29" s="82">
        <v>45469.67291666667</v>
      </c>
      <c r="P29" s="112" t="s">
        <v>29</v>
      </c>
      <c r="Q29" s="112">
        <v>4630.6000000000004</v>
      </c>
      <c r="R29" s="112">
        <v>3579.39</v>
      </c>
      <c r="S29" s="134" t="s">
        <v>86</v>
      </c>
      <c r="T29" s="134">
        <v>789.57</v>
      </c>
      <c r="U29" s="130">
        <v>0.91549999999999998</v>
      </c>
      <c r="V29" s="130">
        <v>0.91479999999999995</v>
      </c>
      <c r="W29" s="6" t="s">
        <v>80</v>
      </c>
      <c r="X29" s="115" t="s">
        <v>56</v>
      </c>
    </row>
    <row r="30" spans="2:24" ht="15.75">
      <c r="B30" s="82"/>
      <c r="C30" s="6" t="s">
        <v>85</v>
      </c>
      <c r="D30" s="6" t="s">
        <v>39</v>
      </c>
      <c r="E30" s="6">
        <v>0</v>
      </c>
      <c r="F30" s="6">
        <v>200</v>
      </c>
      <c r="G30" s="6"/>
      <c r="H30" s="95"/>
      <c r="I30" s="6">
        <v>0</v>
      </c>
      <c r="J30" s="95" t="e">
        <f t="shared" si="2"/>
        <v>#DIV/0!</v>
      </c>
      <c r="K30" s="95">
        <f t="shared" si="3"/>
        <v>-100</v>
      </c>
      <c r="L30" s="6" t="s">
        <v>80</v>
      </c>
      <c r="M30" s="115" t="s">
        <v>56</v>
      </c>
      <c r="O30" s="82"/>
      <c r="P30" s="112" t="s">
        <v>29</v>
      </c>
      <c r="Q30" s="112"/>
      <c r="R30" s="112"/>
      <c r="S30" s="134" t="s">
        <v>86</v>
      </c>
      <c r="T30" s="134"/>
      <c r="U30" s="130"/>
      <c r="V30" s="130"/>
      <c r="W30" s="6" t="s">
        <v>80</v>
      </c>
      <c r="X30" s="115" t="s">
        <v>56</v>
      </c>
    </row>
    <row r="31" spans="2:24" ht="15.75">
      <c r="B31" s="82"/>
      <c r="C31" s="6" t="s">
        <v>85</v>
      </c>
      <c r="D31" s="6" t="s">
        <v>39</v>
      </c>
      <c r="E31" s="6">
        <v>0</v>
      </c>
      <c r="F31" s="6">
        <v>200</v>
      </c>
      <c r="G31" s="6"/>
      <c r="H31" s="95"/>
      <c r="I31" s="6">
        <v>0</v>
      </c>
      <c r="J31" s="95" t="e">
        <f t="shared" si="2"/>
        <v>#DIV/0!</v>
      </c>
      <c r="K31" s="95">
        <f t="shared" si="3"/>
        <v>-100</v>
      </c>
      <c r="L31" s="6" t="s">
        <v>80</v>
      </c>
      <c r="M31" s="115" t="s">
        <v>56</v>
      </c>
      <c r="O31" s="82"/>
      <c r="P31" s="112" t="s">
        <v>29</v>
      </c>
      <c r="Q31" s="112"/>
      <c r="R31" s="112"/>
      <c r="S31" s="134" t="s">
        <v>86</v>
      </c>
      <c r="T31" s="134"/>
      <c r="U31" s="130"/>
      <c r="V31" s="130"/>
      <c r="W31" s="6" t="s">
        <v>80</v>
      </c>
      <c r="X31" s="115" t="s">
        <v>56</v>
      </c>
    </row>
    <row r="32" spans="2:24" ht="15.75">
      <c r="B32" s="82"/>
      <c r="C32" s="6" t="s">
        <v>85</v>
      </c>
      <c r="D32" s="6" t="s">
        <v>39</v>
      </c>
      <c r="E32" s="6">
        <v>0</v>
      </c>
      <c r="F32" s="6">
        <v>200</v>
      </c>
      <c r="G32" s="6"/>
      <c r="H32" s="95"/>
      <c r="I32" s="6">
        <v>0</v>
      </c>
      <c r="J32" s="95" t="e">
        <f t="shared" si="2"/>
        <v>#DIV/0!</v>
      </c>
      <c r="K32" s="95">
        <f t="shared" si="3"/>
        <v>-100</v>
      </c>
      <c r="L32" s="6" t="s">
        <v>80</v>
      </c>
      <c r="M32" s="115" t="s">
        <v>56</v>
      </c>
      <c r="O32" s="82"/>
      <c r="P32" s="112" t="s">
        <v>29</v>
      </c>
      <c r="Q32" s="112"/>
      <c r="R32" s="112"/>
      <c r="S32" s="134" t="s">
        <v>86</v>
      </c>
      <c r="T32" s="134"/>
      <c r="U32" s="130"/>
      <c r="V32" s="130"/>
      <c r="W32" s="6" t="s">
        <v>80</v>
      </c>
      <c r="X32" s="115" t="s">
        <v>56</v>
      </c>
    </row>
    <row r="33" spans="2:24" ht="15.75">
      <c r="B33" s="82"/>
      <c r="C33" s="6" t="s">
        <v>85</v>
      </c>
      <c r="D33" s="6" t="s">
        <v>39</v>
      </c>
      <c r="E33" s="6">
        <v>0</v>
      </c>
      <c r="F33" s="6">
        <v>200</v>
      </c>
      <c r="G33" s="6"/>
      <c r="H33" s="95"/>
      <c r="I33" s="6">
        <v>0</v>
      </c>
      <c r="J33" s="95" t="e">
        <f t="shared" si="2"/>
        <v>#DIV/0!</v>
      </c>
      <c r="K33" s="95">
        <f t="shared" si="3"/>
        <v>-100</v>
      </c>
      <c r="L33" s="6" t="s">
        <v>80</v>
      </c>
      <c r="M33" s="115" t="s">
        <v>56</v>
      </c>
      <c r="O33" s="82"/>
      <c r="P33" s="112" t="s">
        <v>29</v>
      </c>
      <c r="Q33" s="112"/>
      <c r="R33" s="112"/>
      <c r="S33" s="134" t="s">
        <v>86</v>
      </c>
      <c r="T33" s="134"/>
      <c r="U33" s="130"/>
      <c r="V33" s="130"/>
      <c r="W33" s="6" t="s">
        <v>80</v>
      </c>
      <c r="X33" s="115" t="s">
        <v>56</v>
      </c>
    </row>
    <row r="34" spans="2:24" ht="15.75">
      <c r="B34" s="82"/>
      <c r="C34" s="6"/>
      <c r="D34" s="6"/>
      <c r="E34" s="6"/>
      <c r="F34" s="6"/>
      <c r="G34" s="6"/>
      <c r="H34" s="95"/>
      <c r="I34" s="6"/>
      <c r="J34" s="95"/>
      <c r="K34" s="95"/>
      <c r="L34" s="6"/>
      <c r="M34" s="116"/>
      <c r="O34" s="82"/>
      <c r="P34" s="112" t="s">
        <v>29</v>
      </c>
      <c r="Q34" s="112"/>
      <c r="R34" s="112"/>
      <c r="S34" s="134" t="s">
        <v>86</v>
      </c>
      <c r="T34" s="134"/>
      <c r="U34" s="130"/>
      <c r="V34" s="130"/>
      <c r="W34" s="6" t="s">
        <v>80</v>
      </c>
      <c r="X34" s="115"/>
    </row>
    <row r="35" spans="2:24" ht="15.75">
      <c r="B35" s="82"/>
      <c r="C35" s="6"/>
      <c r="D35" s="6"/>
      <c r="E35" s="6"/>
      <c r="F35" s="6"/>
      <c r="G35" s="6"/>
      <c r="H35" s="95"/>
      <c r="I35" s="6"/>
      <c r="J35" s="95"/>
      <c r="K35" s="95"/>
      <c r="L35" s="6"/>
      <c r="M35" s="116"/>
      <c r="O35" s="82"/>
      <c r="P35" s="112" t="s">
        <v>29</v>
      </c>
      <c r="Q35" s="112"/>
      <c r="R35" s="112"/>
      <c r="S35" s="134" t="s">
        <v>86</v>
      </c>
      <c r="T35" s="134"/>
      <c r="U35" s="130"/>
      <c r="V35" s="130"/>
      <c r="W35" s="6" t="s">
        <v>80</v>
      </c>
      <c r="X35" s="115"/>
    </row>
    <row r="36" spans="2:24" ht="15.75">
      <c r="B36" s="82"/>
      <c r="C36" s="6"/>
      <c r="D36" s="6"/>
      <c r="E36" s="6"/>
      <c r="F36" s="6"/>
      <c r="G36" s="6"/>
      <c r="H36" s="95"/>
      <c r="I36" s="6"/>
      <c r="J36" s="95"/>
      <c r="K36" s="95"/>
      <c r="L36" s="6"/>
      <c r="M36" s="116"/>
      <c r="O36" s="82"/>
      <c r="P36" s="112" t="s">
        <v>29</v>
      </c>
      <c r="Q36" s="112"/>
      <c r="R36" s="112"/>
      <c r="S36" s="134" t="s">
        <v>86</v>
      </c>
      <c r="T36" s="134"/>
      <c r="U36" s="130"/>
      <c r="V36" s="130"/>
      <c r="W36" s="6"/>
      <c r="X36" s="115"/>
    </row>
    <row r="37" spans="2:24" ht="15.75">
      <c r="B37" s="83"/>
      <c r="C37" s="6"/>
      <c r="D37" s="6"/>
      <c r="E37" s="6"/>
      <c r="F37" s="6"/>
      <c r="G37" s="6"/>
      <c r="H37" s="95"/>
      <c r="I37" s="6"/>
      <c r="J37" s="95"/>
      <c r="K37" s="95"/>
      <c r="L37" s="6"/>
      <c r="M37" s="116"/>
      <c r="O37" s="117"/>
      <c r="P37" s="112" t="s">
        <v>29</v>
      </c>
      <c r="Q37" s="112"/>
      <c r="R37" s="112"/>
      <c r="S37" s="134" t="s">
        <v>86</v>
      </c>
      <c r="T37" s="134"/>
      <c r="U37" s="130"/>
      <c r="V37" s="130"/>
      <c r="W37" s="6"/>
      <c r="X37" s="115"/>
    </row>
    <row r="38" spans="2:24" ht="15.75">
      <c r="B38" s="83"/>
      <c r="C38" s="6"/>
      <c r="D38" s="6"/>
      <c r="E38" s="6"/>
      <c r="F38" s="6"/>
      <c r="G38" s="6"/>
      <c r="H38" s="95"/>
      <c r="I38" s="6"/>
      <c r="J38" s="95"/>
      <c r="K38" s="95"/>
      <c r="L38" s="6"/>
      <c r="M38" s="116"/>
      <c r="O38" s="118"/>
      <c r="P38" s="112"/>
      <c r="Q38" s="112"/>
      <c r="R38" s="112"/>
      <c r="S38" s="134"/>
      <c r="T38" s="134"/>
      <c r="U38" s="130"/>
      <c r="V38" s="130"/>
      <c r="W38" s="6"/>
      <c r="X38" s="115"/>
    </row>
    <row r="39" spans="2:24" ht="15.75">
      <c r="B39" s="83"/>
      <c r="C39" s="6"/>
      <c r="D39" s="6"/>
      <c r="E39" s="6"/>
      <c r="F39" s="6"/>
      <c r="G39" s="6"/>
      <c r="H39" s="95"/>
      <c r="I39" s="6"/>
      <c r="J39" s="95"/>
      <c r="K39" s="95"/>
      <c r="L39" s="6"/>
      <c r="M39" s="116"/>
      <c r="O39" s="118"/>
      <c r="P39" s="112"/>
      <c r="Q39" s="112"/>
      <c r="R39" s="112"/>
      <c r="S39" s="134"/>
      <c r="T39" s="134"/>
      <c r="U39" s="130"/>
      <c r="V39" s="130"/>
      <c r="W39" s="6"/>
      <c r="X39" s="115"/>
    </row>
    <row r="40" spans="2:24" ht="15.75">
      <c r="B40" s="94"/>
      <c r="C40" s="6"/>
      <c r="D40" s="6"/>
      <c r="E40" s="6"/>
      <c r="F40" s="6"/>
      <c r="G40" s="6"/>
      <c r="H40" s="95"/>
      <c r="I40" s="6"/>
      <c r="J40" s="95"/>
      <c r="K40" s="95"/>
      <c r="L40" s="6"/>
      <c r="M40" s="116"/>
      <c r="O40" s="122"/>
      <c r="P40" s="208" t="s">
        <v>87</v>
      </c>
      <c r="Q40" s="208"/>
      <c r="R40" s="208"/>
      <c r="S40" s="208"/>
      <c r="T40" s="135">
        <f>COUNT(O27:O39)</f>
        <v>3</v>
      </c>
      <c r="U40" s="136"/>
      <c r="V40" s="136"/>
      <c r="W40" s="137"/>
      <c r="X40" s="138"/>
    </row>
    <row r="41" spans="2:24">
      <c r="B41" s="99"/>
      <c r="C41" s="106"/>
      <c r="D41" s="207" t="s">
        <v>88</v>
      </c>
      <c r="E41" s="207"/>
      <c r="F41" s="207"/>
      <c r="G41" s="207"/>
      <c r="H41" s="207"/>
      <c r="I41" s="207"/>
      <c r="J41" s="126">
        <f>COUNT(B27:B39)</f>
        <v>1</v>
      </c>
      <c r="K41" s="120"/>
      <c r="L41" s="106"/>
      <c r="M41" s="121"/>
      <c r="S41" s="89"/>
      <c r="T41" s="89"/>
      <c r="U41" s="90"/>
      <c r="V41" s="90"/>
      <c r="W41" s="89"/>
      <c r="X41" s="89"/>
    </row>
    <row r="44" spans="2:24">
      <c r="B44" s="92"/>
      <c r="C44" s="102"/>
      <c r="D44" s="102"/>
      <c r="E44" s="102"/>
      <c r="F44" s="102"/>
      <c r="G44" s="209" t="s">
        <v>38</v>
      </c>
      <c r="H44" s="209"/>
      <c r="I44" s="93"/>
      <c r="J44" s="123"/>
      <c r="K44" s="123"/>
      <c r="L44" s="93"/>
      <c r="M44" s="107"/>
    </row>
    <row r="45" spans="2:24">
      <c r="B45" s="94"/>
      <c r="C45" s="6"/>
      <c r="D45" s="6"/>
      <c r="E45" s="6"/>
      <c r="F45" s="6"/>
      <c r="G45" s="6"/>
      <c r="H45" s="95"/>
      <c r="I45" s="6"/>
      <c r="J45" s="95"/>
      <c r="K45" s="95"/>
      <c r="L45" s="6"/>
      <c r="M45" s="110"/>
    </row>
    <row r="46" spans="2:24" ht="15.75">
      <c r="B46" s="96" t="s">
        <v>64</v>
      </c>
      <c r="C46" s="97" t="s">
        <v>65</v>
      </c>
      <c r="D46" s="97" t="s">
        <v>66</v>
      </c>
      <c r="E46" s="97" t="s">
        <v>67</v>
      </c>
      <c r="F46" s="97" t="s">
        <v>68</v>
      </c>
      <c r="G46" s="97" t="s">
        <v>69</v>
      </c>
      <c r="H46" s="98" t="s">
        <v>70</v>
      </c>
      <c r="I46" s="97" t="s">
        <v>71</v>
      </c>
      <c r="J46" s="97" t="s">
        <v>72</v>
      </c>
      <c r="K46" s="97" t="s">
        <v>73</v>
      </c>
      <c r="L46" s="97" t="s">
        <v>54</v>
      </c>
      <c r="M46" s="39" t="s">
        <v>74</v>
      </c>
    </row>
    <row r="47" spans="2:24" ht="15.75">
      <c r="B47" s="8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95"/>
      <c r="I47" s="6">
        <v>0</v>
      </c>
      <c r="J47" s="95" t="e">
        <f>F47/H47</f>
        <v>#DIV/0!</v>
      </c>
      <c r="K47" s="95">
        <f>(H47-F47)*100/F47</f>
        <v>-100</v>
      </c>
      <c r="L47" s="6" t="s">
        <v>80</v>
      </c>
      <c r="M47" s="115" t="s">
        <v>56</v>
      </c>
    </row>
    <row r="48" spans="2:24" ht="15.75">
      <c r="B48" s="8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5"/>
      <c r="I48" s="6">
        <v>0</v>
      </c>
      <c r="J48" s="95" t="e">
        <f>F48/H48</f>
        <v>#DIV/0!</v>
      </c>
      <c r="K48" s="95">
        <f>(H48-F48)*100/F48</f>
        <v>-100</v>
      </c>
      <c r="L48" s="6" t="s">
        <v>80</v>
      </c>
      <c r="M48" s="115" t="s">
        <v>56</v>
      </c>
    </row>
    <row r="49" spans="2:13" ht="15.75">
      <c r="B49" s="8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5"/>
      <c r="I49" s="6">
        <v>0</v>
      </c>
      <c r="J49" s="95" t="e">
        <f>F49/H49</f>
        <v>#DIV/0!</v>
      </c>
      <c r="K49" s="95">
        <f>(H49-F49)*100/F49</f>
        <v>-100</v>
      </c>
      <c r="L49" s="6" t="s">
        <v>80</v>
      </c>
      <c r="M49" s="115" t="s">
        <v>56</v>
      </c>
    </row>
    <row r="50" spans="2:13" ht="15.75">
      <c r="B50" s="8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5"/>
      <c r="I50" s="6">
        <v>0</v>
      </c>
      <c r="J50" s="95" t="e">
        <f>F50/H50</f>
        <v>#DIV/0!</v>
      </c>
      <c r="K50" s="95">
        <f>(H50-F50)*100/F50</f>
        <v>-100</v>
      </c>
      <c r="L50" s="6" t="s">
        <v>80</v>
      </c>
      <c r="M50" s="115" t="s">
        <v>56</v>
      </c>
    </row>
    <row r="51" spans="2:13" ht="15.75">
      <c r="B51" s="8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5"/>
      <c r="I51" s="6">
        <v>0</v>
      </c>
      <c r="J51" s="95" t="e">
        <f>F51/H51</f>
        <v>#DIV/0!</v>
      </c>
      <c r="K51" s="95">
        <f>(H51-F51)*100/F51</f>
        <v>-100</v>
      </c>
      <c r="L51" s="6" t="s">
        <v>80</v>
      </c>
      <c r="M51" s="115" t="s">
        <v>56</v>
      </c>
    </row>
    <row r="52" spans="2:13" ht="15.75">
      <c r="B52" s="83"/>
      <c r="C52" s="6"/>
      <c r="D52" s="6"/>
      <c r="E52" s="6"/>
      <c r="F52" s="6"/>
      <c r="G52" s="6"/>
      <c r="H52" s="95"/>
      <c r="I52" s="6"/>
      <c r="J52" s="95"/>
      <c r="K52" s="95"/>
      <c r="L52" s="6"/>
      <c r="M52" s="115" t="s">
        <v>56</v>
      </c>
    </row>
    <row r="53" spans="2:13" ht="15.75">
      <c r="B53" s="83"/>
      <c r="C53" s="6"/>
      <c r="D53" s="6"/>
      <c r="E53" s="6"/>
      <c r="F53" s="6"/>
      <c r="G53" s="6"/>
      <c r="H53" s="95"/>
      <c r="I53" s="6"/>
      <c r="J53" s="95"/>
      <c r="K53" s="95"/>
      <c r="L53" s="6"/>
      <c r="M53" s="115" t="s">
        <v>56</v>
      </c>
    </row>
    <row r="54" spans="2:13" ht="15.75">
      <c r="B54" s="83"/>
      <c r="C54" s="6"/>
      <c r="D54" s="6"/>
      <c r="E54" s="6"/>
      <c r="F54" s="6"/>
      <c r="G54" s="6"/>
      <c r="H54" s="95"/>
      <c r="I54" s="6"/>
      <c r="J54" s="95"/>
      <c r="K54" s="95"/>
      <c r="L54" s="6"/>
      <c r="M54" s="116"/>
    </row>
    <row r="55" spans="2:13" ht="15.75">
      <c r="B55" s="83"/>
      <c r="C55" s="6"/>
      <c r="D55" s="6"/>
      <c r="E55" s="6"/>
      <c r="F55" s="6"/>
      <c r="G55" s="6"/>
      <c r="H55" s="95"/>
      <c r="I55" s="6"/>
      <c r="J55" s="95"/>
      <c r="K55" s="95"/>
      <c r="L55" s="6"/>
      <c r="M55" s="116"/>
    </row>
    <row r="56" spans="2:13" ht="15.75">
      <c r="B56" s="83"/>
      <c r="C56" s="6"/>
      <c r="D56" s="6"/>
      <c r="E56" s="6"/>
      <c r="F56" s="6"/>
      <c r="G56" s="6"/>
      <c r="H56" s="95"/>
      <c r="I56" s="6"/>
      <c r="J56" s="95"/>
      <c r="K56" s="95"/>
      <c r="L56" s="6"/>
      <c r="M56" s="116"/>
    </row>
    <row r="57" spans="2:13" ht="15.75">
      <c r="B57" s="83"/>
      <c r="C57" s="6"/>
      <c r="D57" s="6"/>
      <c r="E57" s="6"/>
      <c r="F57" s="6"/>
      <c r="G57" s="6"/>
      <c r="H57" s="95"/>
      <c r="I57" s="6"/>
      <c r="J57" s="95"/>
      <c r="K57" s="95"/>
      <c r="L57" s="6"/>
      <c r="M57" s="116"/>
    </row>
    <row r="58" spans="2:13" ht="15.75">
      <c r="B58" s="83"/>
      <c r="C58" s="6"/>
      <c r="D58" s="6"/>
      <c r="E58" s="6"/>
      <c r="F58" s="6"/>
      <c r="G58" s="6"/>
      <c r="H58" s="95"/>
      <c r="I58" s="6"/>
      <c r="J58" s="95"/>
      <c r="K58" s="95"/>
      <c r="L58" s="6"/>
      <c r="M58" s="116"/>
    </row>
    <row r="59" spans="2:13" ht="15.75">
      <c r="B59" s="83"/>
      <c r="C59" s="6"/>
      <c r="D59" s="6"/>
      <c r="E59" s="6"/>
      <c r="F59" s="6"/>
      <c r="G59" s="6"/>
      <c r="H59" s="95"/>
      <c r="I59" s="6"/>
      <c r="J59" s="95"/>
      <c r="K59" s="95"/>
      <c r="L59" s="6"/>
      <c r="M59" s="116"/>
    </row>
    <row r="60" spans="2:13" ht="15.75">
      <c r="B60" s="94"/>
      <c r="C60" s="6"/>
      <c r="D60" s="6"/>
      <c r="E60" s="6"/>
      <c r="F60" s="6"/>
      <c r="G60" s="6"/>
      <c r="H60" s="95"/>
      <c r="I60" s="6"/>
      <c r="J60" s="95"/>
      <c r="K60" s="95"/>
      <c r="L60" s="6"/>
      <c r="M60" s="116"/>
    </row>
    <row r="61" spans="2:13">
      <c r="B61" s="99"/>
      <c r="C61" s="106"/>
      <c r="D61" s="207" t="s">
        <v>89</v>
      </c>
      <c r="E61" s="207"/>
      <c r="F61" s="207"/>
      <c r="G61" s="207"/>
      <c r="H61" s="207"/>
      <c r="I61" s="207"/>
      <c r="J61" s="126">
        <f>COUNT(B47:B59)</f>
        <v>0</v>
      </c>
      <c r="K61" s="120"/>
      <c r="L61" s="106"/>
      <c r="M61" s="121"/>
    </row>
    <row r="64" spans="2:13">
      <c r="B64" s="92"/>
      <c r="C64" s="102"/>
      <c r="D64" s="102"/>
      <c r="E64" s="102"/>
      <c r="F64" s="102"/>
      <c r="G64" s="209" t="s">
        <v>37</v>
      </c>
      <c r="H64" s="209"/>
      <c r="I64" s="93"/>
      <c r="J64" s="123"/>
      <c r="K64" s="123"/>
      <c r="L64" s="93"/>
      <c r="M64" s="107"/>
    </row>
    <row r="65" spans="2:13">
      <c r="B65" s="94"/>
      <c r="C65" s="6"/>
      <c r="D65" s="6"/>
      <c r="E65" s="6"/>
      <c r="F65" s="6"/>
      <c r="G65" s="6"/>
      <c r="H65" s="95"/>
      <c r="I65" s="6"/>
      <c r="J65" s="95"/>
      <c r="K65" s="95"/>
      <c r="L65" s="6"/>
      <c r="M65" s="110"/>
    </row>
    <row r="66" spans="2:13" ht="15.75">
      <c r="B66" s="96" t="s">
        <v>64</v>
      </c>
      <c r="C66" s="97" t="s">
        <v>65</v>
      </c>
      <c r="D66" s="97" t="s">
        <v>66</v>
      </c>
      <c r="E66" s="97" t="s">
        <v>67</v>
      </c>
      <c r="F66" s="97" t="s">
        <v>68</v>
      </c>
      <c r="G66" s="97" t="s">
        <v>69</v>
      </c>
      <c r="H66" s="98" t="s">
        <v>70</v>
      </c>
      <c r="I66" s="97" t="s">
        <v>71</v>
      </c>
      <c r="J66" s="97" t="s">
        <v>72</v>
      </c>
      <c r="K66" s="97" t="s">
        <v>73</v>
      </c>
      <c r="L66" s="97" t="s">
        <v>54</v>
      </c>
      <c r="M66" s="39" t="s">
        <v>74</v>
      </c>
    </row>
    <row r="67" spans="2:13" ht="15.75">
      <c r="B67" s="82">
        <v>45451.575694444444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39">
        <v>4.9980000000000002</v>
      </c>
      <c r="I67" s="6">
        <v>0</v>
      </c>
      <c r="J67" s="95">
        <f>F67/H67</f>
        <v>1.0004001600640255</v>
      </c>
      <c r="K67" s="95">
        <f>(H67-F67)*100/F67</f>
        <v>-3.9999999999995595E-2</v>
      </c>
      <c r="L67" s="6" t="s">
        <v>80</v>
      </c>
      <c r="M67" s="115" t="s">
        <v>56</v>
      </c>
    </row>
    <row r="68" spans="2:13" ht="15.75">
      <c r="B68" s="82">
        <v>45456.607638888891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95">
        <v>5.0999999999999996</v>
      </c>
      <c r="I68" s="6">
        <v>0</v>
      </c>
      <c r="J68" s="95">
        <f t="shared" ref="J68:J73" si="4">F68/H68</f>
        <v>0.98039215686274517</v>
      </c>
      <c r="K68" s="95">
        <f t="shared" ref="K68:K73" si="5">(H68-F68)*100/F68</f>
        <v>1.9999999999999929</v>
      </c>
      <c r="L68" s="6" t="s">
        <v>80</v>
      </c>
      <c r="M68" s="115" t="s">
        <v>56</v>
      </c>
    </row>
    <row r="69" spans="2:13" ht="15.75">
      <c r="B69" s="82">
        <v>45469.658333333333</v>
      </c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5">
        <v>4.49</v>
      </c>
      <c r="I69" s="6">
        <v>0</v>
      </c>
      <c r="J69" s="95">
        <f t="shared" si="4"/>
        <v>1.1135857461024499</v>
      </c>
      <c r="K69" s="95">
        <f t="shared" si="5"/>
        <v>-10.199999999999996</v>
      </c>
      <c r="L69" s="6" t="s">
        <v>80</v>
      </c>
      <c r="M69" s="115" t="s">
        <v>56</v>
      </c>
    </row>
    <row r="70" spans="2:13" ht="15.75">
      <c r="B70" s="8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5"/>
      <c r="I70" s="6">
        <v>0</v>
      </c>
      <c r="J70" s="95" t="e">
        <f t="shared" si="4"/>
        <v>#DIV/0!</v>
      </c>
      <c r="K70" s="95">
        <f t="shared" si="5"/>
        <v>-100</v>
      </c>
      <c r="L70" s="6" t="s">
        <v>80</v>
      </c>
      <c r="M70" s="115" t="s">
        <v>56</v>
      </c>
    </row>
    <row r="71" spans="2:13" ht="15.75">
      <c r="B71" s="8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39"/>
      <c r="I71" s="6">
        <v>0</v>
      </c>
      <c r="J71" s="95" t="e">
        <f t="shared" si="4"/>
        <v>#DIV/0!</v>
      </c>
      <c r="K71" s="95">
        <f t="shared" si="5"/>
        <v>-100</v>
      </c>
      <c r="L71" s="6" t="s">
        <v>80</v>
      </c>
      <c r="M71" s="115" t="s">
        <v>56</v>
      </c>
    </row>
    <row r="72" spans="2:13" ht="15.75">
      <c r="B72" s="8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9"/>
      <c r="I72" s="6">
        <v>0</v>
      </c>
      <c r="J72" s="95" t="e">
        <f t="shared" si="4"/>
        <v>#DIV/0!</v>
      </c>
      <c r="K72" s="95">
        <f t="shared" si="5"/>
        <v>-100</v>
      </c>
      <c r="L72" s="6" t="s">
        <v>80</v>
      </c>
      <c r="M72" s="115" t="s">
        <v>56</v>
      </c>
    </row>
    <row r="73" spans="2:13" ht="15.75">
      <c r="B73" s="8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9"/>
      <c r="I73" s="6">
        <v>0</v>
      </c>
      <c r="J73" s="95" t="e">
        <f t="shared" si="4"/>
        <v>#DIV/0!</v>
      </c>
      <c r="K73" s="95">
        <f t="shared" si="5"/>
        <v>-100</v>
      </c>
      <c r="L73" s="6" t="s">
        <v>80</v>
      </c>
      <c r="M73" s="115" t="s">
        <v>56</v>
      </c>
    </row>
    <row r="74" spans="2:13" ht="15.75">
      <c r="B74" s="82"/>
      <c r="C74" s="6"/>
      <c r="D74" s="6"/>
      <c r="E74" s="6"/>
      <c r="F74" s="6"/>
      <c r="G74" s="6"/>
      <c r="H74" s="139"/>
      <c r="I74" s="6"/>
      <c r="J74" s="95"/>
      <c r="K74" s="95"/>
      <c r="L74" s="6"/>
      <c r="M74" s="116"/>
    </row>
    <row r="75" spans="2:13" ht="15.75">
      <c r="B75" s="82"/>
      <c r="C75" s="6"/>
      <c r="D75" s="6"/>
      <c r="E75" s="6"/>
      <c r="F75" s="6"/>
      <c r="G75" s="6"/>
      <c r="H75" s="139"/>
      <c r="I75" s="6"/>
      <c r="J75" s="95"/>
      <c r="K75" s="95"/>
      <c r="L75" s="6"/>
      <c r="M75" s="116"/>
    </row>
    <row r="76" spans="2:13" ht="15.75">
      <c r="B76" s="82"/>
      <c r="C76" s="6"/>
      <c r="D76" s="6"/>
      <c r="E76" s="6"/>
      <c r="F76" s="6"/>
      <c r="G76" s="6"/>
      <c r="H76" s="139"/>
      <c r="I76" s="6"/>
      <c r="J76" s="95"/>
      <c r="K76" s="95"/>
      <c r="L76" s="6"/>
      <c r="M76" s="116"/>
    </row>
    <row r="77" spans="2:13" ht="15.75">
      <c r="B77" s="83"/>
      <c r="C77" s="6"/>
      <c r="D77" s="6"/>
      <c r="E77" s="6"/>
      <c r="F77" s="6"/>
      <c r="G77" s="6"/>
      <c r="H77" s="139"/>
      <c r="I77" s="6"/>
      <c r="J77" s="95"/>
      <c r="K77" s="95"/>
      <c r="L77" s="6"/>
      <c r="M77" s="116"/>
    </row>
    <row r="78" spans="2:13" ht="15.75">
      <c r="B78" s="83"/>
      <c r="C78" s="6"/>
      <c r="D78" s="6"/>
      <c r="E78" s="6"/>
      <c r="F78" s="6"/>
      <c r="G78" s="6"/>
      <c r="H78" s="139"/>
      <c r="I78" s="6"/>
      <c r="J78" s="95"/>
      <c r="K78" s="95"/>
      <c r="L78" s="6"/>
      <c r="M78" s="116"/>
    </row>
    <row r="79" spans="2:13" ht="15.75">
      <c r="B79" s="83"/>
      <c r="C79" s="6"/>
      <c r="D79" s="6"/>
      <c r="E79" s="6"/>
      <c r="F79" s="6"/>
      <c r="G79" s="6"/>
      <c r="H79" s="139"/>
      <c r="I79" s="6"/>
      <c r="J79" s="95"/>
      <c r="K79" s="95"/>
      <c r="L79" s="6"/>
      <c r="M79" s="116"/>
    </row>
    <row r="80" spans="2:13" ht="15.75">
      <c r="B80" s="94"/>
      <c r="C80" s="6"/>
      <c r="D80" s="6"/>
      <c r="E80" s="6"/>
      <c r="F80" s="6"/>
      <c r="G80" s="6"/>
      <c r="H80" s="139"/>
      <c r="I80" s="6"/>
      <c r="J80" s="95"/>
      <c r="K80" s="95"/>
      <c r="L80" s="6"/>
      <c r="M80" s="116"/>
    </row>
    <row r="81" spans="2:13">
      <c r="B81" s="99"/>
      <c r="C81" s="106"/>
      <c r="D81" s="207" t="s">
        <v>90</v>
      </c>
      <c r="E81" s="207"/>
      <c r="F81" s="207"/>
      <c r="G81" s="207"/>
      <c r="H81" s="207"/>
      <c r="I81" s="207"/>
      <c r="J81" s="126">
        <f>COUNT(B67:B79)</f>
        <v>3</v>
      </c>
      <c r="K81" s="120"/>
      <c r="L81" s="106"/>
      <c r="M81" s="121"/>
    </row>
    <row r="84" spans="2:13">
      <c r="B84" s="92"/>
      <c r="C84" s="102"/>
      <c r="D84" s="102"/>
      <c r="E84" s="102"/>
      <c r="F84" s="102"/>
      <c r="G84" s="209" t="s">
        <v>91</v>
      </c>
      <c r="H84" s="209"/>
      <c r="I84" s="93"/>
      <c r="J84" s="123"/>
      <c r="K84" s="123"/>
      <c r="L84" s="93"/>
      <c r="M84" s="107"/>
    </row>
    <row r="85" spans="2:13">
      <c r="B85" s="94"/>
      <c r="C85" s="6"/>
      <c r="D85" s="6"/>
      <c r="E85" s="6"/>
      <c r="F85" s="6"/>
      <c r="G85" s="6"/>
      <c r="H85" s="95"/>
      <c r="I85" s="6"/>
      <c r="J85" s="95"/>
      <c r="K85" s="95"/>
      <c r="L85" s="6"/>
      <c r="M85" s="110"/>
    </row>
    <row r="86" spans="2:13" ht="15.75">
      <c r="B86" s="96" t="s">
        <v>64</v>
      </c>
      <c r="C86" s="97" t="s">
        <v>65</v>
      </c>
      <c r="D86" s="97" t="s">
        <v>66</v>
      </c>
      <c r="E86" s="97" t="s">
        <v>67</v>
      </c>
      <c r="F86" s="97" t="s">
        <v>68</v>
      </c>
      <c r="G86" s="97" t="s">
        <v>69</v>
      </c>
      <c r="H86" s="98" t="s">
        <v>70</v>
      </c>
      <c r="I86" s="97" t="s">
        <v>71</v>
      </c>
      <c r="J86" s="97" t="s">
        <v>72</v>
      </c>
      <c r="K86" s="97" t="s">
        <v>73</v>
      </c>
      <c r="L86" s="97" t="s">
        <v>54</v>
      </c>
      <c r="M86" s="39" t="s">
        <v>74</v>
      </c>
    </row>
    <row r="87" spans="2:13" ht="15.75">
      <c r="B87" s="82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95"/>
      <c r="I87" s="6">
        <v>0</v>
      </c>
      <c r="J87" s="95" t="e">
        <f t="shared" ref="J87:J92" si="6">F87/H87</f>
        <v>#DIV/0!</v>
      </c>
      <c r="K87" s="95">
        <f t="shared" ref="K87:K92" si="7">(H87-F87)*100/F87</f>
        <v>-100</v>
      </c>
      <c r="L87" s="6" t="s">
        <v>80</v>
      </c>
      <c r="M87" s="115" t="s">
        <v>56</v>
      </c>
    </row>
    <row r="88" spans="2:13" ht="15.75">
      <c r="B88" s="8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95"/>
      <c r="I88" s="6">
        <v>0</v>
      </c>
      <c r="J88" s="95" t="e">
        <f t="shared" si="6"/>
        <v>#DIV/0!</v>
      </c>
      <c r="K88" s="95">
        <f t="shared" si="7"/>
        <v>-100</v>
      </c>
      <c r="L88" s="6" t="s">
        <v>80</v>
      </c>
      <c r="M88" s="115" t="s">
        <v>56</v>
      </c>
    </row>
    <row r="89" spans="2:13" ht="15.75">
      <c r="B89" s="8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95"/>
      <c r="I89" s="6">
        <v>0</v>
      </c>
      <c r="J89" s="95" t="e">
        <f t="shared" si="6"/>
        <v>#DIV/0!</v>
      </c>
      <c r="K89" s="95">
        <f t="shared" si="7"/>
        <v>-100</v>
      </c>
      <c r="L89" s="6" t="s">
        <v>80</v>
      </c>
      <c r="M89" s="115" t="s">
        <v>56</v>
      </c>
    </row>
    <row r="90" spans="2:13" ht="15.75">
      <c r="B90" s="8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95"/>
      <c r="I90" s="6">
        <v>0</v>
      </c>
      <c r="J90" s="95" t="e">
        <f t="shared" si="6"/>
        <v>#DIV/0!</v>
      </c>
      <c r="K90" s="95">
        <f t="shared" si="7"/>
        <v>-100</v>
      </c>
      <c r="L90" s="6" t="s">
        <v>80</v>
      </c>
      <c r="M90" s="115" t="s">
        <v>56</v>
      </c>
    </row>
    <row r="91" spans="2:13" ht="15.75">
      <c r="B91" s="8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95"/>
      <c r="I91" s="6">
        <v>0</v>
      </c>
      <c r="J91" s="95" t="e">
        <f t="shared" si="6"/>
        <v>#DIV/0!</v>
      </c>
      <c r="K91" s="95">
        <f t="shared" si="7"/>
        <v>-100</v>
      </c>
      <c r="L91" s="6" t="s">
        <v>80</v>
      </c>
      <c r="M91" s="115" t="s">
        <v>56</v>
      </c>
    </row>
    <row r="92" spans="2:13" ht="15.75">
      <c r="B92" s="8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95"/>
      <c r="I92" s="6">
        <v>0</v>
      </c>
      <c r="J92" s="95" t="e">
        <f t="shared" si="6"/>
        <v>#DIV/0!</v>
      </c>
      <c r="K92" s="95">
        <f t="shared" si="7"/>
        <v>-100</v>
      </c>
      <c r="L92" s="6" t="s">
        <v>80</v>
      </c>
      <c r="M92" s="115" t="s">
        <v>56</v>
      </c>
    </row>
    <row r="93" spans="2:13" ht="15.75">
      <c r="B93" s="83"/>
      <c r="C93" s="6"/>
      <c r="D93" s="6"/>
      <c r="E93" s="6"/>
      <c r="F93" s="6"/>
      <c r="G93" s="6"/>
      <c r="H93" s="95"/>
      <c r="I93" s="6"/>
      <c r="J93" s="95"/>
      <c r="K93" s="95"/>
      <c r="L93" s="6"/>
      <c r="M93" s="115" t="s">
        <v>56</v>
      </c>
    </row>
    <row r="94" spans="2:13" ht="15.75">
      <c r="B94" s="83"/>
      <c r="C94" s="6"/>
      <c r="D94" s="6"/>
      <c r="E94" s="6"/>
      <c r="F94" s="6"/>
      <c r="G94" s="6"/>
      <c r="H94" s="95"/>
      <c r="I94" s="6"/>
      <c r="J94" s="95"/>
      <c r="K94" s="95"/>
      <c r="L94" s="6"/>
      <c r="M94" s="116"/>
    </row>
    <row r="95" spans="2:13" ht="15.75">
      <c r="B95" s="83"/>
      <c r="C95" s="6"/>
      <c r="D95" s="6"/>
      <c r="E95" s="6"/>
      <c r="F95" s="6"/>
      <c r="G95" s="6"/>
      <c r="H95" s="95"/>
      <c r="I95" s="6"/>
      <c r="J95" s="95"/>
      <c r="K95" s="95"/>
      <c r="L95" s="6"/>
      <c r="M95" s="116"/>
    </row>
    <row r="96" spans="2:13" ht="15.75">
      <c r="B96" s="83"/>
      <c r="C96" s="6"/>
      <c r="D96" s="6"/>
      <c r="E96" s="6"/>
      <c r="F96" s="6"/>
      <c r="G96" s="6"/>
      <c r="H96" s="95"/>
      <c r="I96" s="6"/>
      <c r="J96" s="95"/>
      <c r="K96" s="95"/>
      <c r="L96" s="6"/>
      <c r="M96" s="116"/>
    </row>
    <row r="97" spans="2:13" ht="15.75">
      <c r="B97" s="83"/>
      <c r="C97" s="6"/>
      <c r="D97" s="6"/>
      <c r="E97" s="6"/>
      <c r="F97" s="6"/>
      <c r="G97" s="6"/>
      <c r="H97" s="95"/>
      <c r="I97" s="6"/>
      <c r="J97" s="95"/>
      <c r="K97" s="95"/>
      <c r="L97" s="6"/>
      <c r="M97" s="116"/>
    </row>
    <row r="98" spans="2:13" ht="15.75">
      <c r="B98" s="83"/>
      <c r="C98" s="6"/>
      <c r="D98" s="6"/>
      <c r="E98" s="6"/>
      <c r="F98" s="6"/>
      <c r="G98" s="6"/>
      <c r="H98" s="95"/>
      <c r="I98" s="6"/>
      <c r="J98" s="95"/>
      <c r="K98" s="95"/>
      <c r="L98" s="6"/>
      <c r="M98" s="116"/>
    </row>
    <row r="99" spans="2:13" ht="15.75">
      <c r="B99" s="83"/>
      <c r="C99" s="6"/>
      <c r="D99" s="6"/>
      <c r="E99" s="6"/>
      <c r="F99" s="6"/>
      <c r="G99" s="6"/>
      <c r="H99" s="95"/>
      <c r="I99" s="6"/>
      <c r="J99" s="95"/>
      <c r="K99" s="95"/>
      <c r="L99" s="6"/>
      <c r="M99" s="116"/>
    </row>
    <row r="100" spans="2:13" ht="15.75">
      <c r="B100" s="94"/>
      <c r="C100" s="6"/>
      <c r="D100" s="6"/>
      <c r="E100" s="6"/>
      <c r="F100" s="6"/>
      <c r="G100" s="6"/>
      <c r="H100" s="95"/>
      <c r="I100" s="6"/>
      <c r="J100" s="95"/>
      <c r="K100" s="95"/>
      <c r="L100" s="6"/>
      <c r="M100" s="116"/>
    </row>
    <row r="101" spans="2:13">
      <c r="B101" s="99"/>
      <c r="C101" s="106"/>
      <c r="D101" s="207" t="s">
        <v>92</v>
      </c>
      <c r="E101" s="207"/>
      <c r="F101" s="207"/>
      <c r="G101" s="207"/>
      <c r="H101" s="207"/>
      <c r="I101" s="207"/>
      <c r="J101" s="126">
        <f>COUNT(B87:B99)</f>
        <v>0</v>
      </c>
      <c r="K101" s="120"/>
      <c r="L101" s="106"/>
      <c r="M101" s="121"/>
    </row>
    <row r="104" spans="2:13">
      <c r="B104" s="92"/>
      <c r="C104" s="93"/>
      <c r="D104" s="93"/>
      <c r="E104" s="93"/>
      <c r="F104" s="93"/>
      <c r="G104" s="206" t="s">
        <v>93</v>
      </c>
      <c r="H104" s="206"/>
      <c r="I104" s="93"/>
      <c r="J104" s="93"/>
      <c r="K104" s="93"/>
      <c r="L104" s="93"/>
      <c r="M104" s="107"/>
    </row>
    <row r="105" spans="2:13">
      <c r="B105" s="94"/>
      <c r="C105" s="6"/>
      <c r="D105" s="6"/>
      <c r="E105" s="6"/>
      <c r="F105" s="6"/>
      <c r="G105" s="6"/>
      <c r="H105" s="95"/>
      <c r="I105" s="6"/>
      <c r="J105" s="6"/>
      <c r="K105" s="6"/>
      <c r="L105" s="6"/>
      <c r="M105" s="110"/>
    </row>
    <row r="106" spans="2:13" ht="15.75">
      <c r="B106" s="140" t="s">
        <v>64</v>
      </c>
      <c r="C106" s="97" t="s">
        <v>65</v>
      </c>
      <c r="D106" s="97" t="s">
        <v>66</v>
      </c>
      <c r="E106" s="97" t="s">
        <v>67</v>
      </c>
      <c r="F106" s="97" t="s">
        <v>68</v>
      </c>
      <c r="G106" s="97" t="s">
        <v>69</v>
      </c>
      <c r="H106" s="98" t="s">
        <v>70</v>
      </c>
      <c r="I106" s="97" t="s">
        <v>71</v>
      </c>
      <c r="J106" s="97" t="s">
        <v>72</v>
      </c>
      <c r="K106" s="97" t="s">
        <v>73</v>
      </c>
      <c r="L106" s="97" t="s">
        <v>54</v>
      </c>
      <c r="M106" s="141" t="s">
        <v>74</v>
      </c>
    </row>
    <row r="107" spans="2:13" ht="15.75">
      <c r="B107" s="82">
        <v>45451.586111111108</v>
      </c>
      <c r="C107" s="6" t="s">
        <v>93</v>
      </c>
      <c r="D107" s="6" t="s">
        <v>39</v>
      </c>
      <c r="E107" s="6">
        <v>0</v>
      </c>
      <c r="F107" s="6">
        <v>320</v>
      </c>
      <c r="G107" s="6">
        <v>0</v>
      </c>
      <c r="H107" s="95">
        <v>323.5</v>
      </c>
      <c r="I107" s="6">
        <f>G107-E107</f>
        <v>0</v>
      </c>
      <c r="J107" s="95">
        <f>F107/H107</f>
        <v>0.98918083462132922</v>
      </c>
      <c r="K107" s="95">
        <f>(H107-F107)*100/F107</f>
        <v>1.09375</v>
      </c>
      <c r="L107" s="6" t="s">
        <v>80</v>
      </c>
      <c r="M107" s="115" t="s">
        <v>56</v>
      </c>
    </row>
    <row r="108" spans="2:13" ht="15.75">
      <c r="B108" s="82">
        <v>45456.602083333331</v>
      </c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95">
        <v>319.10000000000002</v>
      </c>
      <c r="I108" s="6">
        <f>G108-E108</f>
        <v>0</v>
      </c>
      <c r="J108" s="95">
        <f>F108/H108</f>
        <v>1.0028204324663115</v>
      </c>
      <c r="K108" s="95">
        <f>(H108-F108)*100/F108</f>
        <v>-0.28124999999999289</v>
      </c>
      <c r="L108" s="6" t="s">
        <v>80</v>
      </c>
      <c r="M108" s="115" t="s">
        <v>56</v>
      </c>
    </row>
    <row r="109" spans="2:13" ht="15.75">
      <c r="B109" s="82">
        <v>45469.665972222225</v>
      </c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95">
        <v>330</v>
      </c>
      <c r="I109" s="6">
        <f t="shared" ref="I109:I115" si="8">G109-E109</f>
        <v>0</v>
      </c>
      <c r="J109" s="95">
        <f t="shared" ref="J109:J115" si="9">F109/H109</f>
        <v>0.96969696969696972</v>
      </c>
      <c r="K109" s="95">
        <f t="shared" ref="K109:K115" si="10">(H109-F109)*100/F109</f>
        <v>3.125</v>
      </c>
      <c r="L109" s="6" t="s">
        <v>80</v>
      </c>
      <c r="M109" s="115" t="s">
        <v>56</v>
      </c>
    </row>
    <row r="110" spans="2:13" ht="15.75">
      <c r="B110" s="8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95"/>
      <c r="I110" s="6">
        <f t="shared" si="8"/>
        <v>0</v>
      </c>
      <c r="J110" s="95" t="e">
        <f t="shared" si="9"/>
        <v>#DIV/0!</v>
      </c>
      <c r="K110" s="95">
        <f t="shared" si="10"/>
        <v>-100</v>
      </c>
      <c r="L110" s="6" t="s">
        <v>80</v>
      </c>
      <c r="M110" s="115" t="s">
        <v>56</v>
      </c>
    </row>
    <row r="111" spans="2:13" ht="15.75">
      <c r="B111" s="8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95"/>
      <c r="I111" s="6">
        <f t="shared" si="8"/>
        <v>0</v>
      </c>
      <c r="J111" s="95" t="e">
        <f t="shared" si="9"/>
        <v>#DIV/0!</v>
      </c>
      <c r="K111" s="95">
        <f t="shared" si="10"/>
        <v>-100</v>
      </c>
      <c r="L111" s="6" t="s">
        <v>80</v>
      </c>
      <c r="M111" s="115" t="s">
        <v>56</v>
      </c>
    </row>
    <row r="112" spans="2:13" ht="15.75">
      <c r="B112" s="8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95"/>
      <c r="I112" s="6">
        <f t="shared" si="8"/>
        <v>0</v>
      </c>
      <c r="J112" s="95" t="e">
        <f t="shared" si="9"/>
        <v>#DIV/0!</v>
      </c>
      <c r="K112" s="95">
        <f t="shared" si="10"/>
        <v>-100</v>
      </c>
      <c r="L112" s="6" t="s">
        <v>80</v>
      </c>
      <c r="M112" s="115" t="s">
        <v>56</v>
      </c>
    </row>
    <row r="113" spans="2:13" ht="15.75">
      <c r="B113" s="8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95"/>
      <c r="I113" s="6">
        <f t="shared" si="8"/>
        <v>0</v>
      </c>
      <c r="J113" s="95" t="e">
        <f t="shared" si="9"/>
        <v>#DIV/0!</v>
      </c>
      <c r="K113" s="95">
        <f t="shared" si="10"/>
        <v>-100</v>
      </c>
      <c r="L113" s="6" t="s">
        <v>80</v>
      </c>
      <c r="M113" s="115" t="s">
        <v>56</v>
      </c>
    </row>
    <row r="114" spans="2:13" ht="15.75">
      <c r="B114" s="8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95"/>
      <c r="I114" s="6">
        <f t="shared" si="8"/>
        <v>0</v>
      </c>
      <c r="J114" s="95" t="e">
        <f t="shared" si="9"/>
        <v>#DIV/0!</v>
      </c>
      <c r="K114" s="95">
        <f t="shared" si="10"/>
        <v>-100</v>
      </c>
      <c r="L114" s="6" t="s">
        <v>80</v>
      </c>
      <c r="M114" s="116"/>
    </row>
    <row r="115" spans="2:13" ht="15.75">
      <c r="B115" s="8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95"/>
      <c r="I115" s="6">
        <f t="shared" si="8"/>
        <v>0</v>
      </c>
      <c r="J115" s="95" t="e">
        <f t="shared" si="9"/>
        <v>#DIV/0!</v>
      </c>
      <c r="K115" s="95">
        <f t="shared" si="10"/>
        <v>-100</v>
      </c>
      <c r="L115" s="6" t="s">
        <v>80</v>
      </c>
      <c r="M115" s="116"/>
    </row>
    <row r="116" spans="2:13" ht="15.75">
      <c r="B116" s="83"/>
      <c r="C116" s="6"/>
      <c r="D116" s="6"/>
      <c r="E116" s="6"/>
      <c r="F116" s="6"/>
      <c r="G116" s="6"/>
      <c r="H116" s="95"/>
      <c r="I116" s="6"/>
      <c r="J116" s="95"/>
      <c r="K116" s="95"/>
      <c r="L116" s="6"/>
      <c r="M116" s="116"/>
    </row>
    <row r="117" spans="2:13" ht="15.75">
      <c r="B117" s="83"/>
      <c r="C117" s="6"/>
      <c r="D117" s="6"/>
      <c r="E117" s="6"/>
      <c r="F117" s="6"/>
      <c r="G117" s="6"/>
      <c r="H117" s="95"/>
      <c r="I117" s="6"/>
      <c r="J117" s="95"/>
      <c r="K117" s="95"/>
      <c r="L117" s="6"/>
      <c r="M117" s="116"/>
    </row>
    <row r="118" spans="2:13" ht="15.75">
      <c r="B118" s="94"/>
      <c r="C118" s="6"/>
      <c r="D118" s="6"/>
      <c r="E118" s="6"/>
      <c r="F118" s="6"/>
      <c r="G118" s="6"/>
      <c r="H118" s="95"/>
      <c r="I118" s="6"/>
      <c r="J118" s="95"/>
      <c r="K118" s="95"/>
      <c r="L118" s="6"/>
      <c r="M118" s="116"/>
    </row>
    <row r="119" spans="2:13">
      <c r="B119" s="99"/>
      <c r="C119" s="207" t="s">
        <v>94</v>
      </c>
      <c r="D119" s="207"/>
      <c r="E119" s="207"/>
      <c r="F119" s="207"/>
      <c r="G119" s="207"/>
      <c r="H119" s="207"/>
      <c r="I119" s="126">
        <f>COUNT(B107:B118)</f>
        <v>3</v>
      </c>
      <c r="J119" s="120"/>
      <c r="K119" s="120"/>
      <c r="L119" s="106"/>
      <c r="M119" s="121"/>
    </row>
  </sheetData>
  <mergeCells count="16">
    <mergeCell ref="C119:H119"/>
    <mergeCell ref="G64:H64"/>
    <mergeCell ref="D81:I81"/>
    <mergeCell ref="G84:H84"/>
    <mergeCell ref="D101:I101"/>
    <mergeCell ref="G104:H104"/>
    <mergeCell ref="G24:H24"/>
    <mergeCell ref="P40:S40"/>
    <mergeCell ref="D41:I41"/>
    <mergeCell ref="G44:H44"/>
    <mergeCell ref="D61:I61"/>
    <mergeCell ref="D1:J1"/>
    <mergeCell ref="D2:J2"/>
    <mergeCell ref="G5:H5"/>
    <mergeCell ref="C21:H21"/>
    <mergeCell ref="P21:S21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>
  <dimension ref="B2:E56"/>
  <sheetViews>
    <sheetView tabSelected="1" workbookViewId="0">
      <selection activeCell="C17" sqref="C17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10" t="s">
        <v>95</v>
      </c>
      <c r="C2" s="210"/>
      <c r="D2" s="212">
        <f>'MONTHLY 30'!$B$2</f>
        <v>45444.010416666664</v>
      </c>
      <c r="E2" s="212"/>
    </row>
    <row r="3" spans="2:5">
      <c r="B3" s="210" t="s">
        <v>96</v>
      </c>
      <c r="C3" s="210"/>
      <c r="D3" s="212"/>
      <c r="E3" s="212"/>
    </row>
    <row r="7" spans="2:5" s="2" customFormat="1">
      <c r="B7" s="78" t="s">
        <v>97</v>
      </c>
      <c r="C7" s="78" t="s">
        <v>98</v>
      </c>
      <c r="D7" s="79" t="s">
        <v>99</v>
      </c>
    </row>
    <row r="8" spans="2:5" s="2" customFormat="1">
      <c r="B8" s="80">
        <v>45448.104166666664</v>
      </c>
      <c r="C8" s="80">
        <v>45448.614583333336</v>
      </c>
      <c r="D8" s="81">
        <f t="shared" ref="D8:D13" si="0">C8-B8</f>
        <v>0.51041666667151731</v>
      </c>
    </row>
    <row r="9" spans="2:5" s="2" customFormat="1">
      <c r="B9" s="80">
        <v>45451.4375</v>
      </c>
      <c r="C9" s="80">
        <v>45451.479166666664</v>
      </c>
      <c r="D9" s="81">
        <f t="shared" si="0"/>
        <v>4.1666666664241347E-2</v>
      </c>
    </row>
    <row r="10" spans="2:5" s="2" customFormat="1">
      <c r="B10" s="82">
        <v>45452.71875</v>
      </c>
      <c r="C10" s="193">
        <v>45453</v>
      </c>
      <c r="D10" s="81">
        <f t="shared" si="0"/>
        <v>0.28125</v>
      </c>
    </row>
    <row r="11" spans="2:5" s="2" customFormat="1">
      <c r="B11" s="82">
        <v>45453.010416666664</v>
      </c>
      <c r="C11" s="82">
        <v>45453.489583333336</v>
      </c>
      <c r="D11" s="81">
        <f t="shared" si="0"/>
        <v>0.47916666667151731</v>
      </c>
    </row>
    <row r="12" spans="2:5">
      <c r="B12" s="83">
        <v>45470.697916666664</v>
      </c>
      <c r="C12" s="83">
        <v>45471</v>
      </c>
      <c r="D12" s="81">
        <f t="shared" si="0"/>
        <v>0.30208333333575865</v>
      </c>
    </row>
    <row r="13" spans="2:5">
      <c r="B13" s="83"/>
      <c r="C13" s="83"/>
      <c r="D13" s="81">
        <f t="shared" si="0"/>
        <v>0</v>
      </c>
    </row>
    <row r="14" spans="2:5">
      <c r="B14" s="83"/>
      <c r="C14" s="83"/>
      <c r="D14" s="81">
        <f t="shared" ref="D14:D23" si="1">C14-B14</f>
        <v>0</v>
      </c>
    </row>
    <row r="15" spans="2:5">
      <c r="B15" s="82"/>
      <c r="C15" s="82"/>
      <c r="D15" s="81">
        <f t="shared" si="1"/>
        <v>0</v>
      </c>
    </row>
    <row r="16" spans="2:5">
      <c r="B16" s="82"/>
      <c r="C16" s="82"/>
      <c r="D16" s="81">
        <f t="shared" si="1"/>
        <v>0</v>
      </c>
    </row>
    <row r="17" spans="2:4">
      <c r="B17" s="82"/>
      <c r="C17" s="82"/>
      <c r="D17" s="81">
        <f t="shared" si="1"/>
        <v>0</v>
      </c>
    </row>
    <row r="18" spans="2:4">
      <c r="B18" s="82"/>
      <c r="C18" s="82"/>
      <c r="D18" s="81">
        <f t="shared" si="1"/>
        <v>0</v>
      </c>
    </row>
    <row r="19" spans="2:4">
      <c r="B19" s="83"/>
      <c r="C19" s="82"/>
      <c r="D19" s="81">
        <f t="shared" si="1"/>
        <v>0</v>
      </c>
    </row>
    <row r="20" spans="2:4">
      <c r="B20" s="83"/>
      <c r="C20" s="82"/>
      <c r="D20" s="81">
        <f t="shared" si="1"/>
        <v>0</v>
      </c>
    </row>
    <row r="21" spans="2:4">
      <c r="B21" s="83"/>
      <c r="C21" s="82"/>
      <c r="D21" s="81">
        <f t="shared" si="1"/>
        <v>0</v>
      </c>
    </row>
    <row r="22" spans="2:4">
      <c r="B22" s="83"/>
      <c r="C22" s="82"/>
      <c r="D22" s="81">
        <f t="shared" si="1"/>
        <v>0</v>
      </c>
    </row>
    <row r="23" spans="2:4">
      <c r="B23" s="83"/>
      <c r="C23" s="82"/>
      <c r="D23" s="81">
        <f t="shared" si="1"/>
        <v>0</v>
      </c>
    </row>
    <row r="24" spans="2:4">
      <c r="B24" s="84" t="s">
        <v>100</v>
      </c>
      <c r="C24" s="82"/>
      <c r="D24" s="81">
        <f>SUM(D7:D23)</f>
        <v>1.6145833333430346</v>
      </c>
    </row>
    <row r="25" spans="2:4">
      <c r="B25" s="85"/>
      <c r="C25" s="86"/>
      <c r="D25" s="87"/>
    </row>
    <row r="26" spans="2:4">
      <c r="B26" s="85"/>
      <c r="C26" s="86"/>
      <c r="D26" s="87"/>
    </row>
    <row r="27" spans="2:4">
      <c r="B27" s="85"/>
      <c r="C27" s="86"/>
      <c r="D27" s="87"/>
    </row>
    <row r="28" spans="2:4">
      <c r="B28" s="85"/>
      <c r="C28" s="86"/>
      <c r="D28" s="87"/>
    </row>
    <row r="29" spans="2:4">
      <c r="B29" s="85"/>
      <c r="C29" s="86"/>
      <c r="D29" s="87"/>
    </row>
    <row r="30" spans="2:4">
      <c r="B30" s="85"/>
      <c r="C30" s="86"/>
      <c r="D30" s="87"/>
    </row>
    <row r="31" spans="2:4">
      <c r="B31" s="85"/>
      <c r="C31" s="86"/>
      <c r="D31" s="87"/>
    </row>
    <row r="32" spans="2:4">
      <c r="B32" s="85"/>
      <c r="C32" s="86"/>
      <c r="D32" s="87"/>
    </row>
    <row r="33" spans="2:4">
      <c r="B33" s="85"/>
      <c r="C33" s="86"/>
      <c r="D33" s="87"/>
    </row>
    <row r="34" spans="2:4">
      <c r="B34" s="85"/>
      <c r="C34" s="86"/>
      <c r="D34" s="87"/>
    </row>
    <row r="35" spans="2:4">
      <c r="B35" s="85"/>
      <c r="C35" s="86"/>
      <c r="D35" s="87"/>
    </row>
    <row r="36" spans="2:4">
      <c r="B36" s="85"/>
      <c r="C36" s="86"/>
      <c r="D36" s="87"/>
    </row>
    <row r="37" spans="2:4">
      <c r="B37" s="85"/>
      <c r="C37" s="86"/>
      <c r="D37" s="87"/>
    </row>
    <row r="38" spans="2:4">
      <c r="B38" s="85"/>
      <c r="C38" s="86"/>
      <c r="D38" s="87"/>
    </row>
    <row r="39" spans="2:4">
      <c r="B39" s="85"/>
      <c r="C39" s="86"/>
      <c r="D39" s="87"/>
    </row>
    <row r="40" spans="2:4">
      <c r="B40" s="85"/>
      <c r="C40" s="86"/>
      <c r="D40" s="87"/>
    </row>
    <row r="41" spans="2:4">
      <c r="B41" s="85"/>
      <c r="C41" s="86"/>
      <c r="D41" s="87"/>
    </row>
    <row r="42" spans="2:4">
      <c r="B42" s="85"/>
      <c r="C42" s="86"/>
      <c r="D42" s="87"/>
    </row>
    <row r="43" spans="2:4">
      <c r="B43" s="85"/>
      <c r="C43" s="86"/>
      <c r="D43" s="87"/>
    </row>
    <row r="44" spans="2:4" ht="15.75">
      <c r="B44" s="211" t="s">
        <v>100</v>
      </c>
      <c r="C44" s="211"/>
      <c r="D44" s="87">
        <f>SUM(D11:D42)</f>
        <v>2.3958333333503106</v>
      </c>
    </row>
    <row r="45" spans="2:4">
      <c r="B45" s="85"/>
      <c r="C45" s="86"/>
      <c r="D45" s="87"/>
    </row>
    <row r="46" spans="2:4">
      <c r="B46" s="86"/>
      <c r="C46" s="86"/>
      <c r="D46" s="87"/>
    </row>
    <row r="47" spans="2:4">
      <c r="B47" s="86"/>
      <c r="C47" s="86"/>
      <c r="D47" s="87"/>
    </row>
    <row r="48" spans="2:4">
      <c r="B48" s="86"/>
      <c r="C48" s="86"/>
      <c r="D48" s="87"/>
    </row>
    <row r="49" spans="2:4">
      <c r="B49" s="86"/>
      <c r="C49" s="86"/>
      <c r="D49" s="87"/>
    </row>
    <row r="50" spans="2:4">
      <c r="B50" s="85"/>
      <c r="C50" s="86"/>
      <c r="D50" s="87"/>
    </row>
    <row r="51" spans="2:4">
      <c r="B51" s="85"/>
      <c r="C51" s="86"/>
      <c r="D51" s="87"/>
    </row>
    <row r="52" spans="2:4">
      <c r="B52" s="85"/>
      <c r="C52" s="86"/>
      <c r="D52" s="87"/>
    </row>
    <row r="53" spans="2:4">
      <c r="B53" s="85"/>
      <c r="C53" s="86"/>
      <c r="D53" s="87"/>
    </row>
    <row r="54" spans="2:4">
      <c r="B54" s="86"/>
      <c r="C54" s="86"/>
      <c r="D54" s="87"/>
    </row>
    <row r="55" spans="2:4">
      <c r="D55" s="87"/>
    </row>
    <row r="56" spans="2:4">
      <c r="D56" s="87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13" t="s">
        <v>101</v>
      </c>
      <c r="C2" s="213"/>
      <c r="D2" s="213"/>
      <c r="E2" s="213"/>
      <c r="F2" s="214">
        <v>1</v>
      </c>
      <c r="G2" s="215"/>
      <c r="H2" s="215"/>
    </row>
    <row r="3" spans="2:24" customFormat="1" ht="15" customHeight="1">
      <c r="B3" s="213"/>
      <c r="C3" s="213"/>
      <c r="D3" s="213"/>
      <c r="E3" s="213"/>
      <c r="F3" s="215"/>
      <c r="G3" s="215"/>
      <c r="H3" s="215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8" t="s">
        <v>93</v>
      </c>
      <c r="C12" s="229" t="s">
        <v>102</v>
      </c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46"/>
      <c r="U12" s="45"/>
    </row>
    <row r="13" spans="2:24" ht="15" customHeight="1">
      <c r="B13" s="219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4" t="s">
        <v>116</v>
      </c>
      <c r="Q13" s="4" t="s">
        <v>117</v>
      </c>
      <c r="R13" s="47"/>
      <c r="U13" s="45"/>
    </row>
    <row r="14" spans="2:24" ht="15" customHeight="1">
      <c r="B14" s="219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9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5" t="s">
        <v>131</v>
      </c>
      <c r="Q15" s="8" t="s">
        <v>132</v>
      </c>
      <c r="R15" s="49" t="s">
        <v>74</v>
      </c>
      <c r="X15" s="48"/>
    </row>
    <row r="16" spans="2:24" ht="15.75" customHeight="1">
      <c r="B16" s="219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9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9"/>
      <c r="C18" s="12" t="s">
        <v>103</v>
      </c>
      <c r="D18" s="12" t="s">
        <v>104</v>
      </c>
      <c r="E18" s="12" t="s">
        <v>105</v>
      </c>
      <c r="F18" s="12" t="s">
        <v>133</v>
      </c>
      <c r="G18" s="12" t="s">
        <v>107</v>
      </c>
      <c r="H18" s="12" t="s">
        <v>108</v>
      </c>
      <c r="I18" s="12" t="s">
        <v>109</v>
      </c>
      <c r="J18" s="12" t="s">
        <v>110</v>
      </c>
      <c r="K18" s="12" t="s">
        <v>111</v>
      </c>
      <c r="L18" s="12" t="s">
        <v>112</v>
      </c>
      <c r="M18" s="12" t="s">
        <v>113</v>
      </c>
      <c r="N18" s="12" t="s">
        <v>114</v>
      </c>
      <c r="O18" s="12" t="s">
        <v>115</v>
      </c>
      <c r="P18" s="37" t="s">
        <v>116</v>
      </c>
      <c r="Q18" s="12" t="s">
        <v>117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5" t="s">
        <v>131</v>
      </c>
      <c r="Q20" s="8" t="s">
        <v>132</v>
      </c>
      <c r="R20" s="52" t="s">
        <v>74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20" t="s">
        <v>84</v>
      </c>
      <c r="C25" s="231" t="s">
        <v>102</v>
      </c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16"/>
      <c r="S25" s="56"/>
      <c r="T25" s="57"/>
    </row>
    <row r="26" spans="2:28" ht="15" customHeight="1">
      <c r="B26" s="220"/>
      <c r="C26" s="16" t="s">
        <v>103</v>
      </c>
      <c r="D26" s="17" t="s">
        <v>134</v>
      </c>
      <c r="E26" s="17" t="s">
        <v>135</v>
      </c>
      <c r="F26" s="17" t="s">
        <v>136</v>
      </c>
      <c r="G26" s="17" t="s">
        <v>137</v>
      </c>
      <c r="H26" s="17" t="s">
        <v>138</v>
      </c>
      <c r="I26" s="17" t="s">
        <v>139</v>
      </c>
      <c r="J26" s="17" t="s">
        <v>140</v>
      </c>
      <c r="K26" s="17" t="s">
        <v>141</v>
      </c>
      <c r="L26" s="17" t="s">
        <v>142</v>
      </c>
      <c r="M26" s="17" t="s">
        <v>143</v>
      </c>
      <c r="N26" s="17" t="s">
        <v>144</v>
      </c>
      <c r="O26" s="17" t="s">
        <v>145</v>
      </c>
      <c r="P26" s="17" t="s">
        <v>146</v>
      </c>
      <c r="Q26" s="17" t="s">
        <v>147</v>
      </c>
      <c r="R26" s="17" t="s">
        <v>148</v>
      </c>
      <c r="S26" s="17" t="s">
        <v>149</v>
      </c>
      <c r="T26" s="58" t="s">
        <v>74</v>
      </c>
      <c r="Z26" s="1"/>
      <c r="AA26" s="1"/>
      <c r="AB26" s="1"/>
    </row>
    <row r="27" spans="2:28" ht="15.75" customHeight="1">
      <c r="B27" s="220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20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21"/>
      <c r="C29" s="20" t="s">
        <v>103</v>
      </c>
      <c r="D29" s="21" t="s">
        <v>134</v>
      </c>
      <c r="E29" s="21" t="s">
        <v>135</v>
      </c>
      <c r="F29" s="21" t="s">
        <v>136</v>
      </c>
      <c r="G29" s="21" t="s">
        <v>137</v>
      </c>
      <c r="H29" s="21" t="s">
        <v>138</v>
      </c>
      <c r="I29" s="21" t="s">
        <v>139</v>
      </c>
      <c r="J29" s="21" t="s">
        <v>140</v>
      </c>
      <c r="K29" s="21" t="s">
        <v>141</v>
      </c>
      <c r="L29" s="21" t="s">
        <v>142</v>
      </c>
      <c r="M29" s="21" t="s">
        <v>143</v>
      </c>
      <c r="N29" s="21" t="s">
        <v>144</v>
      </c>
      <c r="O29" s="21" t="s">
        <v>145</v>
      </c>
      <c r="P29" s="21" t="s">
        <v>146</v>
      </c>
      <c r="Q29" s="21" t="s">
        <v>147</v>
      </c>
      <c r="R29" s="21" t="s">
        <v>148</v>
      </c>
      <c r="S29" s="21" t="s">
        <v>149</v>
      </c>
      <c r="T29" s="60" t="s">
        <v>74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22" t="s">
        <v>37</v>
      </c>
      <c r="C36" s="233" t="s">
        <v>102</v>
      </c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4"/>
    </row>
    <row r="37" spans="2:25" ht="15.75" customHeight="1">
      <c r="B37" s="223"/>
      <c r="C37" s="24" t="s">
        <v>103</v>
      </c>
      <c r="D37" s="12" t="s">
        <v>134</v>
      </c>
      <c r="E37" s="12" t="s">
        <v>135</v>
      </c>
      <c r="F37" s="12" t="s">
        <v>150</v>
      </c>
      <c r="G37" s="12" t="s">
        <v>151</v>
      </c>
      <c r="H37" s="12" t="s">
        <v>152</v>
      </c>
      <c r="I37" s="12" t="s">
        <v>153</v>
      </c>
      <c r="J37" s="12" t="s">
        <v>154</v>
      </c>
      <c r="K37" s="12" t="s">
        <v>155</v>
      </c>
      <c r="L37" s="12" t="s">
        <v>156</v>
      </c>
      <c r="M37" s="12" t="s">
        <v>157</v>
      </c>
      <c r="N37" s="12" t="s">
        <v>158</v>
      </c>
      <c r="O37" s="38" t="s">
        <v>159</v>
      </c>
    </row>
    <row r="38" spans="2:25">
      <c r="B38" s="223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23"/>
      <c r="C39" s="24" t="s">
        <v>160</v>
      </c>
      <c r="D39" s="12" t="s">
        <v>161</v>
      </c>
      <c r="E39" s="12" t="s">
        <v>162</v>
      </c>
      <c r="F39" s="12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9" t="s">
        <v>74</v>
      </c>
      <c r="W39" s="1"/>
      <c r="X39" s="1"/>
      <c r="Y39" s="1"/>
    </row>
    <row r="40" spans="2:25">
      <c r="B40" s="223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103</v>
      </c>
      <c r="D42" s="12" t="s">
        <v>134</v>
      </c>
      <c r="E42" s="12" t="s">
        <v>135</v>
      </c>
      <c r="F42" s="12" t="s">
        <v>150</v>
      </c>
      <c r="G42" s="12" t="s">
        <v>151</v>
      </c>
      <c r="H42" s="12" t="s">
        <v>152</v>
      </c>
      <c r="I42" s="12" t="s">
        <v>153</v>
      </c>
      <c r="J42" s="12" t="s">
        <v>154</v>
      </c>
      <c r="K42" s="12" t="s">
        <v>155</v>
      </c>
      <c r="L42" s="12" t="s">
        <v>156</v>
      </c>
      <c r="M42" s="12" t="s">
        <v>157</v>
      </c>
      <c r="N42" s="12" t="s">
        <v>158</v>
      </c>
      <c r="O42" s="38" t="s">
        <v>159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160</v>
      </c>
      <c r="D44" s="12" t="s">
        <v>161</v>
      </c>
      <c r="E44" s="12" t="s">
        <v>162</v>
      </c>
      <c r="F44" s="12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9" t="s">
        <v>74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24" t="s">
        <v>62</v>
      </c>
      <c r="C48" s="28" t="s">
        <v>102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25"/>
      <c r="C49" s="24" t="s">
        <v>103</v>
      </c>
      <c r="D49" s="12" t="s">
        <v>125</v>
      </c>
      <c r="E49" s="12" t="s">
        <v>172</v>
      </c>
      <c r="F49" s="12" t="s">
        <v>173</v>
      </c>
      <c r="G49" s="12" t="s">
        <v>174</v>
      </c>
      <c r="H49" s="12" t="s">
        <v>175</v>
      </c>
      <c r="I49" s="12" t="s">
        <v>176</v>
      </c>
      <c r="J49" s="12" t="s">
        <v>110</v>
      </c>
      <c r="K49" s="12" t="s">
        <v>177</v>
      </c>
      <c r="L49" s="12" t="s">
        <v>178</v>
      </c>
      <c r="M49" s="12" t="s">
        <v>179</v>
      </c>
      <c r="N49" s="12" t="s">
        <v>180</v>
      </c>
      <c r="O49" s="12" t="s">
        <v>181</v>
      </c>
      <c r="P49" s="12" t="s">
        <v>182</v>
      </c>
      <c r="Q49" s="38" t="s">
        <v>183</v>
      </c>
    </row>
    <row r="50" spans="2:20">
      <c r="B50" s="225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25"/>
      <c r="C51" s="24" t="s">
        <v>184</v>
      </c>
      <c r="D51" s="12" t="s">
        <v>185</v>
      </c>
      <c r="E51" s="12" t="s">
        <v>186</v>
      </c>
      <c r="F51" s="12" t="s">
        <v>187</v>
      </c>
      <c r="G51" s="12" t="s">
        <v>188</v>
      </c>
      <c r="H51" s="12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9" t="s">
        <v>74</v>
      </c>
    </row>
    <row r="52" spans="2:20" ht="15.75">
      <c r="B52" s="22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103</v>
      </c>
      <c r="D54" s="12" t="s">
        <v>125</v>
      </c>
      <c r="E54" s="12" t="s">
        <v>172</v>
      </c>
      <c r="F54" s="12" t="s">
        <v>173</v>
      </c>
      <c r="G54" s="12" t="s">
        <v>174</v>
      </c>
      <c r="H54" s="12" t="s">
        <v>175</v>
      </c>
      <c r="I54" s="12" t="s">
        <v>176</v>
      </c>
      <c r="J54" s="12" t="s">
        <v>110</v>
      </c>
      <c r="K54" s="12" t="s">
        <v>177</v>
      </c>
      <c r="L54" s="12" t="s">
        <v>178</v>
      </c>
      <c r="M54" s="12" t="s">
        <v>179</v>
      </c>
      <c r="N54" s="12" t="s">
        <v>180</v>
      </c>
      <c r="O54" s="12" t="s">
        <v>181</v>
      </c>
      <c r="P54" s="12" t="s">
        <v>182</v>
      </c>
      <c r="Q54" s="38" t="s">
        <v>183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184</v>
      </c>
      <c r="D56" s="12" t="s">
        <v>185</v>
      </c>
      <c r="E56" s="12" t="s">
        <v>186</v>
      </c>
      <c r="F56" s="12" t="s">
        <v>187</v>
      </c>
      <c r="G56" s="12" t="s">
        <v>188</v>
      </c>
      <c r="H56" s="12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9" t="s">
        <v>74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20" t="s">
        <v>196</v>
      </c>
      <c r="C61" s="231" t="s">
        <v>102</v>
      </c>
      <c r="D61" s="232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16"/>
      <c r="S61" s="65"/>
      <c r="T61" s="66"/>
    </row>
    <row r="62" spans="2:20" ht="15.75">
      <c r="B62" s="220"/>
      <c r="C62" s="30" t="s">
        <v>103</v>
      </c>
      <c r="D62" s="30" t="s">
        <v>197</v>
      </c>
      <c r="E62" s="30" t="s">
        <v>198</v>
      </c>
      <c r="F62" s="30" t="s">
        <v>199</v>
      </c>
      <c r="G62" s="30" t="s">
        <v>200</v>
      </c>
      <c r="H62" s="30" t="s">
        <v>201</v>
      </c>
      <c r="I62" s="30" t="s">
        <v>202</v>
      </c>
      <c r="J62" s="30" t="s">
        <v>203</v>
      </c>
      <c r="K62" s="30" t="s">
        <v>204</v>
      </c>
      <c r="L62" s="30" t="s">
        <v>205</v>
      </c>
      <c r="M62" s="30" t="s">
        <v>206</v>
      </c>
      <c r="N62" s="30" t="s">
        <v>207</v>
      </c>
      <c r="O62" s="30" t="s">
        <v>208</v>
      </c>
      <c r="P62" s="30" t="s">
        <v>209</v>
      </c>
      <c r="Q62" s="30" t="s">
        <v>210</v>
      </c>
      <c r="R62" s="30" t="s">
        <v>211</v>
      </c>
      <c r="S62" s="67" t="s">
        <v>212</v>
      </c>
      <c r="T62" s="58" t="s">
        <v>74</v>
      </c>
    </row>
    <row r="63" spans="2:20" ht="15.75">
      <c r="B63" s="226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26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21"/>
      <c r="C65" s="69" t="s">
        <v>103</v>
      </c>
      <c r="D65" s="69" t="s">
        <v>197</v>
      </c>
      <c r="E65" s="69" t="s">
        <v>198</v>
      </c>
      <c r="F65" s="69" t="s">
        <v>199</v>
      </c>
      <c r="G65" s="69" t="s">
        <v>200</v>
      </c>
      <c r="H65" s="69" t="s">
        <v>201</v>
      </c>
      <c r="I65" s="69" t="s">
        <v>202</v>
      </c>
      <c r="J65" s="69" t="s">
        <v>203</v>
      </c>
      <c r="K65" s="69" t="s">
        <v>204</v>
      </c>
      <c r="L65" s="69" t="s">
        <v>205</v>
      </c>
      <c r="M65" s="69" t="s">
        <v>206</v>
      </c>
      <c r="N65" s="69" t="s">
        <v>207</v>
      </c>
      <c r="O65" s="69" t="s">
        <v>208</v>
      </c>
      <c r="P65" s="69" t="s">
        <v>209</v>
      </c>
      <c r="Q65" s="69" t="s">
        <v>210</v>
      </c>
      <c r="R65" s="69" t="s">
        <v>211</v>
      </c>
      <c r="S65" s="75" t="s">
        <v>212</v>
      </c>
      <c r="T65" s="60" t="s">
        <v>74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20" t="s">
        <v>213</v>
      </c>
      <c r="C69" s="231" t="s">
        <v>102</v>
      </c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P69" s="232"/>
      <c r="Q69" s="232"/>
      <c r="R69" s="216"/>
      <c r="S69" s="65"/>
      <c r="T69" s="66"/>
    </row>
    <row r="70" spans="2:20" ht="15.75">
      <c r="B70" s="220"/>
      <c r="C70" s="69" t="s">
        <v>103</v>
      </c>
      <c r="D70" s="69" t="s">
        <v>197</v>
      </c>
      <c r="E70" s="69" t="s">
        <v>198</v>
      </c>
      <c r="F70" s="69" t="s">
        <v>199</v>
      </c>
      <c r="G70" s="69" t="s">
        <v>200</v>
      </c>
      <c r="H70" s="69" t="s">
        <v>201</v>
      </c>
      <c r="I70" s="69" t="s">
        <v>202</v>
      </c>
      <c r="J70" s="69" t="s">
        <v>203</v>
      </c>
      <c r="K70" s="69" t="s">
        <v>204</v>
      </c>
      <c r="L70" s="69" t="s">
        <v>205</v>
      </c>
      <c r="M70" s="69" t="s">
        <v>206</v>
      </c>
      <c r="N70" s="69" t="s">
        <v>207</v>
      </c>
      <c r="O70" s="69" t="s">
        <v>208</v>
      </c>
      <c r="P70" s="69" t="s">
        <v>209</v>
      </c>
      <c r="Q70" s="69" t="s">
        <v>210</v>
      </c>
      <c r="R70" s="69" t="s">
        <v>211</v>
      </c>
      <c r="S70" s="75" t="s">
        <v>212</v>
      </c>
      <c r="T70" s="60" t="s">
        <v>74</v>
      </c>
    </row>
    <row r="71" spans="2:20" ht="15.75">
      <c r="B71" s="220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26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21"/>
      <c r="C73" s="69" t="s">
        <v>103</v>
      </c>
      <c r="D73" s="69" t="s">
        <v>197</v>
      </c>
      <c r="E73" s="69" t="s">
        <v>198</v>
      </c>
      <c r="F73" s="69" t="s">
        <v>199</v>
      </c>
      <c r="G73" s="69" t="s">
        <v>200</v>
      </c>
      <c r="H73" s="69" t="s">
        <v>201</v>
      </c>
      <c r="I73" s="69" t="s">
        <v>202</v>
      </c>
      <c r="J73" s="69" t="s">
        <v>203</v>
      </c>
      <c r="K73" s="69" t="s">
        <v>204</v>
      </c>
      <c r="L73" s="69" t="s">
        <v>205</v>
      </c>
      <c r="M73" s="69" t="s">
        <v>206</v>
      </c>
      <c r="N73" s="69" t="s">
        <v>207</v>
      </c>
      <c r="O73" s="69" t="s">
        <v>208</v>
      </c>
      <c r="P73" s="69" t="s">
        <v>209</v>
      </c>
      <c r="Q73" s="69" t="s">
        <v>210</v>
      </c>
      <c r="R73" s="69" t="s">
        <v>211</v>
      </c>
      <c r="S73" s="75" t="s">
        <v>212</v>
      </c>
      <c r="T73" s="60" t="s">
        <v>74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27" t="s">
        <v>91</v>
      </c>
      <c r="C77" s="216" t="s">
        <v>102</v>
      </c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70"/>
      <c r="S77" s="70"/>
      <c r="T77" s="15"/>
    </row>
    <row r="78" spans="2:20">
      <c r="B78" s="228"/>
      <c r="C78" s="17" t="s">
        <v>103</v>
      </c>
      <c r="D78" s="17" t="s">
        <v>214</v>
      </c>
      <c r="E78" s="17" t="s">
        <v>215</v>
      </c>
      <c r="F78" s="17" t="s">
        <v>216</v>
      </c>
      <c r="G78" s="17" t="s">
        <v>217</v>
      </c>
      <c r="H78" s="71" t="s">
        <v>218</v>
      </c>
      <c r="I78" s="71" t="s">
        <v>219</v>
      </c>
      <c r="J78" s="71" t="s">
        <v>220</v>
      </c>
      <c r="K78" s="71" t="s">
        <v>221</v>
      </c>
      <c r="L78" s="71" t="s">
        <v>134</v>
      </c>
      <c r="M78" s="17" t="s">
        <v>222</v>
      </c>
      <c r="N78" s="71" t="s">
        <v>223</v>
      </c>
      <c r="O78" s="71" t="s">
        <v>215</v>
      </c>
      <c r="P78" s="71" t="s">
        <v>224</v>
      </c>
      <c r="Q78" s="71" t="s">
        <v>225</v>
      </c>
      <c r="R78" s="71" t="s">
        <v>215</v>
      </c>
      <c r="S78" s="71" t="s">
        <v>226</v>
      </c>
      <c r="T78" s="69" t="s">
        <v>215</v>
      </c>
    </row>
    <row r="79" spans="2:20">
      <c r="B79" s="228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8"/>
      <c r="C80" s="69" t="s">
        <v>227</v>
      </c>
      <c r="D80" s="69" t="s">
        <v>228</v>
      </c>
      <c r="E80" s="69" t="s">
        <v>229</v>
      </c>
      <c r="F80" s="69" t="s">
        <v>215</v>
      </c>
      <c r="G80" s="69" t="s">
        <v>224</v>
      </c>
      <c r="H80" s="69" t="s">
        <v>230</v>
      </c>
      <c r="I80" s="69" t="s">
        <v>215</v>
      </c>
      <c r="J80" s="69" t="s">
        <v>231</v>
      </c>
      <c r="K80" s="69" t="s">
        <v>232</v>
      </c>
      <c r="L80" s="69" t="s">
        <v>233</v>
      </c>
      <c r="M80" s="69" t="s">
        <v>215</v>
      </c>
      <c r="N80" s="69" t="s">
        <v>234</v>
      </c>
      <c r="O80" s="75" t="s">
        <v>215</v>
      </c>
      <c r="P80" s="75" t="s">
        <v>235</v>
      </c>
      <c r="Q80" s="75" t="s">
        <v>215</v>
      </c>
      <c r="R80" s="75" t="s">
        <v>236</v>
      </c>
      <c r="S80" s="75" t="s">
        <v>215</v>
      </c>
      <c r="T80" s="60" t="s">
        <v>74</v>
      </c>
    </row>
    <row r="81" spans="2:20" ht="15.75">
      <c r="B81" s="228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237</v>
      </c>
    </row>
    <row r="82" spans="2:20">
      <c r="B82" s="228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8"/>
      <c r="C83" s="21" t="s">
        <v>103</v>
      </c>
      <c r="D83" s="21" t="s">
        <v>214</v>
      </c>
      <c r="E83" s="21" t="s">
        <v>215</v>
      </c>
      <c r="F83" s="21" t="s">
        <v>216</v>
      </c>
      <c r="G83" s="21" t="s">
        <v>217</v>
      </c>
      <c r="H83" s="69" t="s">
        <v>218</v>
      </c>
      <c r="I83" s="69" t="s">
        <v>219</v>
      </c>
      <c r="J83" s="69" t="s">
        <v>220</v>
      </c>
      <c r="K83" s="69" t="s">
        <v>221</v>
      </c>
      <c r="L83" s="69" t="s">
        <v>134</v>
      </c>
      <c r="M83" s="21" t="s">
        <v>222</v>
      </c>
      <c r="N83" s="69" t="s">
        <v>223</v>
      </c>
      <c r="O83" s="69" t="s">
        <v>215</v>
      </c>
      <c r="P83" s="69" t="s">
        <v>224</v>
      </c>
      <c r="Q83" s="69" t="s">
        <v>225</v>
      </c>
      <c r="R83" s="69" t="s">
        <v>215</v>
      </c>
      <c r="S83" s="69" t="s">
        <v>226</v>
      </c>
      <c r="T83" s="69" t="s">
        <v>215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227</v>
      </c>
      <c r="D85" s="69" t="s">
        <v>228</v>
      </c>
      <c r="E85" s="69" t="s">
        <v>229</v>
      </c>
      <c r="F85" s="69" t="s">
        <v>215</v>
      </c>
      <c r="G85" s="69" t="s">
        <v>224</v>
      </c>
      <c r="H85" s="69" t="s">
        <v>230</v>
      </c>
      <c r="I85" s="69" t="s">
        <v>215</v>
      </c>
      <c r="J85" s="69" t="s">
        <v>231</v>
      </c>
      <c r="K85" s="69" t="s">
        <v>232</v>
      </c>
      <c r="L85" s="69" t="s">
        <v>233</v>
      </c>
      <c r="M85" s="69" t="s">
        <v>215</v>
      </c>
      <c r="N85" s="69" t="s">
        <v>234</v>
      </c>
      <c r="O85" s="75" t="s">
        <v>215</v>
      </c>
      <c r="P85" s="75" t="s">
        <v>235</v>
      </c>
      <c r="Q85" s="75" t="s">
        <v>215</v>
      </c>
      <c r="R85" s="75" t="s">
        <v>236</v>
      </c>
      <c r="S85" s="75" t="s">
        <v>215</v>
      </c>
      <c r="T85" s="58" t="s">
        <v>74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2024-07-27T14:43:29Z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