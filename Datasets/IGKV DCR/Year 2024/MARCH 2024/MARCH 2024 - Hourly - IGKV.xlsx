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39" i="39"/>
  <c r="D39"/>
  <c r="E39"/>
  <c r="F39"/>
  <c r="G39"/>
  <c r="H39"/>
  <c r="I39"/>
  <c r="J39"/>
  <c r="K39"/>
  <c r="L39"/>
  <c r="M39"/>
  <c r="N39"/>
  <c r="O39"/>
  <c r="P39"/>
  <c r="Q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Q33"/>
  <c r="P33"/>
  <c r="O33"/>
  <c r="N33"/>
  <c r="M33"/>
  <c r="L33"/>
  <c r="K33"/>
  <c r="J33"/>
  <c r="I33"/>
  <c r="H33"/>
  <c r="G33"/>
  <c r="F33"/>
  <c r="E33"/>
  <c r="D33"/>
  <c r="C33"/>
  <c r="B33"/>
  <c r="Q32"/>
  <c r="P32"/>
  <c r="O32"/>
  <c r="N32"/>
  <c r="M32"/>
  <c r="L32"/>
  <c r="K32"/>
  <c r="J32"/>
  <c r="I32"/>
  <c r="H32"/>
  <c r="G32"/>
  <c r="F32"/>
  <c r="E32"/>
  <c r="D32"/>
  <c r="C32"/>
  <c r="B32"/>
  <c r="Q31"/>
  <c r="P31"/>
  <c r="O31"/>
  <c r="N31"/>
  <c r="M31"/>
  <c r="L31"/>
  <c r="K31"/>
  <c r="J31"/>
  <c r="I31"/>
  <c r="H31"/>
  <c r="G31"/>
  <c r="F31"/>
  <c r="E31"/>
  <c r="D31"/>
  <c r="C31"/>
  <c r="B31"/>
  <c r="Q30"/>
  <c r="P30"/>
  <c r="O30"/>
  <c r="N30"/>
  <c r="M30"/>
  <c r="L30"/>
  <c r="K30"/>
  <c r="J30"/>
  <c r="I30"/>
  <c r="H30"/>
  <c r="G30"/>
  <c r="F30"/>
  <c r="E30"/>
  <c r="D30"/>
  <c r="C30"/>
  <c r="B30"/>
  <c r="Q29"/>
  <c r="P29"/>
  <c r="O29"/>
  <c r="N29"/>
  <c r="M29"/>
  <c r="L29"/>
  <c r="K29"/>
  <c r="J29"/>
  <c r="I29"/>
  <c r="H29"/>
  <c r="G29"/>
  <c r="F29"/>
  <c r="E29"/>
  <c r="D29"/>
  <c r="C29"/>
  <c r="B29"/>
  <c r="Q28"/>
  <c r="P28"/>
  <c r="O28"/>
  <c r="N28"/>
  <c r="M28"/>
  <c r="L28"/>
  <c r="K28"/>
  <c r="J28"/>
  <c r="I28"/>
  <c r="H28"/>
  <c r="G28"/>
  <c r="F28"/>
  <c r="E28"/>
  <c r="D28"/>
  <c r="C28"/>
  <c r="B28"/>
  <c r="Q27"/>
  <c r="P27"/>
  <c r="O27"/>
  <c r="N27"/>
  <c r="M27"/>
  <c r="L27"/>
  <c r="K27"/>
  <c r="J27"/>
  <c r="I27"/>
  <c r="H27"/>
  <c r="G27"/>
  <c r="F27"/>
  <c r="E27"/>
  <c r="D27"/>
  <c r="C27"/>
  <c r="B27"/>
  <c r="Q26"/>
  <c r="P26"/>
  <c r="O26"/>
  <c r="N26"/>
  <c r="M26"/>
  <c r="L26"/>
  <c r="K26"/>
  <c r="J26"/>
  <c r="I26"/>
  <c r="H26"/>
  <c r="G26"/>
  <c r="F26"/>
  <c r="E26"/>
  <c r="D26"/>
  <c r="C26"/>
  <c r="B26"/>
  <c r="Q25"/>
  <c r="P25"/>
  <c r="O25"/>
  <c r="N25"/>
  <c r="M25"/>
  <c r="L25"/>
  <c r="K25"/>
  <c r="J25"/>
  <c r="I25"/>
  <c r="H25"/>
  <c r="G25"/>
  <c r="F25"/>
  <c r="E25"/>
  <c r="D25"/>
  <c r="C25"/>
  <c r="B25"/>
  <c r="Q24"/>
  <c r="P24"/>
  <c r="O24"/>
  <c r="N24"/>
  <c r="M24"/>
  <c r="L24"/>
  <c r="K24"/>
  <c r="J24"/>
  <c r="I24"/>
  <c r="H24"/>
  <c r="G24"/>
  <c r="F24"/>
  <c r="E24"/>
  <c r="D24"/>
  <c r="C24"/>
  <c r="B24"/>
  <c r="Q23"/>
  <c r="P23"/>
  <c r="O23"/>
  <c r="N23"/>
  <c r="M23"/>
  <c r="L23"/>
  <c r="K23"/>
  <c r="J23"/>
  <c r="I23"/>
  <c r="H23"/>
  <c r="G23"/>
  <c r="F23"/>
  <c r="E23"/>
  <c r="D23"/>
  <c r="C23"/>
  <c r="B23"/>
  <c r="Q22"/>
  <c r="P22"/>
  <c r="O22"/>
  <c r="N22"/>
  <c r="M22"/>
  <c r="L22"/>
  <c r="K22"/>
  <c r="J22"/>
  <c r="I22"/>
  <c r="H22"/>
  <c r="G22"/>
  <c r="F22"/>
  <c r="E22"/>
  <c r="D22"/>
  <c r="C22"/>
  <c r="B22"/>
  <c r="Q21"/>
  <c r="P21"/>
  <c r="F21"/>
  <c r="P20"/>
  <c r="K20"/>
  <c r="H20"/>
  <c r="E20"/>
  <c r="P18"/>
  <c r="O18"/>
  <c r="H18"/>
  <c r="G18"/>
  <c r="P16"/>
  <c r="O16"/>
  <c r="H16"/>
  <c r="G16"/>
  <c r="P11"/>
  <c r="O11"/>
  <c r="H11"/>
  <c r="G11"/>
  <c r="Q40" i="41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40" i="40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40" i="43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40" i="33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40" i="32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40" i="31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40" i="30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40" i="29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40" i="28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40" i="27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40" i="26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40" i="25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40" i="24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40" i="23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40" i="22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40" i="21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40" i="20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40" i="19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E36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O36"/>
  <c r="O20" i="39" s="1"/>
  <c r="N36" i="17"/>
  <c r="N20" i="39" s="1"/>
  <c r="M36" i="17"/>
  <c r="M20" i="39" s="1"/>
  <c r="L36" i="17"/>
  <c r="L20" i="39" s="1"/>
  <c r="K36" i="17"/>
  <c r="J36"/>
  <c r="J20" i="39" s="1"/>
  <c r="I36" i="17"/>
  <c r="I20" i="39" s="1"/>
  <c r="H36" i="17"/>
  <c r="G36"/>
  <c r="G20" i="39" s="1"/>
  <c r="F36" i="17"/>
  <c r="F20" i="39" s="1"/>
  <c r="E36" i="17"/>
  <c r="D36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L39" i="15"/>
  <c r="D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O36"/>
  <c r="N36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G36"/>
  <c r="F36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O36"/>
  <c r="N36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G36"/>
  <c r="F36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O36"/>
  <c r="N36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G36"/>
  <c r="F36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B40" i="18" l="1"/>
  <c r="Q39"/>
  <c r="P39"/>
  <c r="O39"/>
  <c r="N39"/>
  <c r="C40"/>
  <c r="M39"/>
  <c r="L39"/>
  <c r="K39"/>
  <c r="J39"/>
  <c r="I39"/>
  <c r="H39"/>
  <c r="G39"/>
  <c r="F39"/>
  <c r="E39"/>
  <c r="D39"/>
  <c r="P39" i="17"/>
  <c r="O39"/>
  <c r="N39"/>
  <c r="M39"/>
  <c r="L39"/>
  <c r="K39"/>
  <c r="J39"/>
  <c r="I39"/>
  <c r="H39"/>
  <c r="G39"/>
  <c r="F39"/>
  <c r="E39"/>
  <c r="D39"/>
  <c r="C40"/>
  <c r="B39"/>
  <c r="Q39"/>
  <c r="Q39" i="16"/>
  <c r="P39"/>
  <c r="O39"/>
  <c r="N39"/>
  <c r="M39"/>
  <c r="L39"/>
  <c r="K39"/>
  <c r="J39"/>
  <c r="I39"/>
  <c r="H39"/>
  <c r="G39"/>
  <c r="F39"/>
  <c r="E39"/>
  <c r="D39"/>
  <c r="C39"/>
  <c r="B39"/>
  <c r="N39" i="15"/>
  <c r="M39"/>
  <c r="K39"/>
  <c r="J39"/>
  <c r="I39"/>
  <c r="H39"/>
  <c r="G39"/>
  <c r="F39"/>
  <c r="E39"/>
  <c r="C39"/>
  <c r="B39"/>
  <c r="Q39"/>
  <c r="P39"/>
  <c r="O39"/>
  <c r="O39" i="14"/>
  <c r="N39"/>
  <c r="M39"/>
  <c r="L39"/>
  <c r="K39"/>
  <c r="J39"/>
  <c r="I39"/>
  <c r="H39"/>
  <c r="G39"/>
  <c r="F39"/>
  <c r="E39"/>
  <c r="D39"/>
  <c r="C39"/>
  <c r="B39"/>
  <c r="Q39"/>
  <c r="P39"/>
  <c r="L39" i="13"/>
  <c r="K39"/>
  <c r="J40"/>
  <c r="I39"/>
  <c r="H39"/>
  <c r="G39"/>
  <c r="F39"/>
  <c r="E39"/>
  <c r="D39"/>
  <c r="C39"/>
  <c r="B39"/>
  <c r="Q39"/>
  <c r="P39"/>
  <c r="O39"/>
  <c r="N39"/>
  <c r="M39"/>
  <c r="M39" i="12"/>
  <c r="L39"/>
  <c r="K39"/>
  <c r="J39"/>
  <c r="I39"/>
  <c r="H39"/>
  <c r="G39"/>
  <c r="F39"/>
  <c r="E39"/>
  <c r="D40"/>
  <c r="C39"/>
  <c r="B39"/>
  <c r="Q39"/>
  <c r="P39"/>
  <c r="O39"/>
  <c r="N39"/>
  <c r="N39" i="11"/>
  <c r="M39"/>
  <c r="L39"/>
  <c r="K39"/>
  <c r="J39"/>
  <c r="I39"/>
  <c r="H39"/>
  <c r="G39"/>
  <c r="F39"/>
  <c r="E39"/>
  <c r="D40"/>
  <c r="C39"/>
  <c r="B39"/>
  <c r="Q39"/>
  <c r="P39"/>
  <c r="O39"/>
  <c r="O39" i="10"/>
  <c r="N39"/>
  <c r="M39"/>
  <c r="L39"/>
  <c r="K39"/>
  <c r="J39"/>
  <c r="I39"/>
  <c r="H39"/>
  <c r="G39"/>
  <c r="F39"/>
  <c r="E39"/>
  <c r="D39"/>
  <c r="C39"/>
  <c r="B39"/>
  <c r="Q39"/>
  <c r="P39"/>
  <c r="P39" i="9"/>
  <c r="O39"/>
  <c r="N39"/>
  <c r="M39"/>
  <c r="L39"/>
  <c r="K39"/>
  <c r="J39"/>
  <c r="I39"/>
  <c r="H39"/>
  <c r="G39"/>
  <c r="F39"/>
  <c r="E39"/>
  <c r="D39"/>
  <c r="C39"/>
  <c r="B39"/>
  <c r="Q39"/>
  <c r="M39" i="8"/>
  <c r="L39"/>
  <c r="K39"/>
  <c r="J39"/>
  <c r="I39"/>
  <c r="H39"/>
  <c r="G39"/>
  <c r="F39"/>
  <c r="E39"/>
  <c r="D39"/>
  <c r="C39"/>
  <c r="B39"/>
  <c r="Q39"/>
  <c r="P39"/>
  <c r="O39"/>
  <c r="N39"/>
  <c r="O45" i="39"/>
  <c r="O47" s="1"/>
  <c r="N39" i="3"/>
  <c r="M39"/>
  <c r="L39"/>
  <c r="L45" i="39"/>
  <c r="L47" s="1"/>
  <c r="K39" i="3"/>
  <c r="J40"/>
  <c r="K45" i="39"/>
  <c r="K47" s="1"/>
  <c r="I39" i="3"/>
  <c r="I45" i="39"/>
  <c r="I46" s="1"/>
  <c r="H39" i="3"/>
  <c r="N45" i="39"/>
  <c r="N46" s="1"/>
  <c r="J45"/>
  <c r="J47" s="1"/>
  <c r="H45"/>
  <c r="G39" i="3"/>
  <c r="M45" i="39"/>
  <c r="M47" s="1"/>
  <c r="G45"/>
  <c r="G47" s="1"/>
  <c r="F39" i="3"/>
  <c r="E39"/>
  <c r="D39"/>
  <c r="D45" i="39"/>
  <c r="D46" s="1"/>
  <c r="C39" i="3"/>
  <c r="B39"/>
  <c r="C45" i="39"/>
  <c r="C46" s="1"/>
  <c r="Q39" i="3"/>
  <c r="F45" i="39"/>
  <c r="F47" s="1"/>
  <c r="E45"/>
  <c r="E47" s="1"/>
  <c r="Q45"/>
  <c r="Q47" s="1"/>
  <c r="P39" i="3"/>
  <c r="B45" i="39"/>
  <c r="B47" s="1"/>
  <c r="P45"/>
  <c r="P46" s="1"/>
  <c r="O39" i="3"/>
  <c r="O39" i="2"/>
  <c r="N39"/>
  <c r="M39"/>
  <c r="L39"/>
  <c r="K39"/>
  <c r="J39"/>
  <c r="I39"/>
  <c r="H39"/>
  <c r="G39"/>
  <c r="F39"/>
  <c r="E39"/>
  <c r="D39"/>
  <c r="C39"/>
  <c r="B39"/>
  <c r="Q39"/>
  <c r="P39"/>
  <c r="H47" i="39"/>
  <c r="H46"/>
  <c r="B46"/>
  <c r="Q41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J46" l="1"/>
  <c r="P47"/>
  <c r="K46"/>
  <c r="Q46"/>
  <c r="N47"/>
  <c r="F46"/>
  <c r="G46"/>
  <c r="E46"/>
  <c r="O46"/>
  <c r="C47"/>
  <c r="M46"/>
  <c r="L46"/>
  <c r="D47"/>
  <c r="I47"/>
</calcChain>
</file>

<file path=xl/sharedStrings.xml><?xml version="1.0" encoding="utf-8"?>
<sst xmlns="http://schemas.openxmlformats.org/spreadsheetml/2006/main" count="2112" uniqueCount="60">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</sst>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0" fillId="10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5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45352.041666666664</v>
      </c>
      <c r="B9" s="56">
        <v>27.65</v>
      </c>
      <c r="C9" s="56">
        <v>20.399999999999999</v>
      </c>
      <c r="D9" s="56">
        <v>33.71</v>
      </c>
      <c r="E9" s="56">
        <v>7.66</v>
      </c>
      <c r="F9" s="56">
        <v>4.84</v>
      </c>
      <c r="G9" s="56">
        <v>96.06</v>
      </c>
      <c r="H9" s="56">
        <v>32.549999999999997</v>
      </c>
      <c r="I9" s="56">
        <v>6.87</v>
      </c>
      <c r="J9" s="56">
        <v>0.25</v>
      </c>
      <c r="K9" s="56">
        <v>215.33</v>
      </c>
      <c r="L9" s="56">
        <v>21.28</v>
      </c>
      <c r="M9" s="56">
        <v>68.7</v>
      </c>
      <c r="N9" s="56">
        <v>0</v>
      </c>
      <c r="O9" s="56">
        <v>0</v>
      </c>
      <c r="P9" s="56">
        <v>0.7</v>
      </c>
      <c r="Q9" s="56">
        <v>4.83</v>
      </c>
    </row>
    <row r="10" spans="1:21" customFormat="1">
      <c r="A10" s="55">
        <v>45352.083333333336</v>
      </c>
      <c r="B10" s="56">
        <v>27.55</v>
      </c>
      <c r="C10" s="56">
        <v>20.77</v>
      </c>
      <c r="D10" s="56">
        <v>33.94</v>
      </c>
      <c r="E10" s="56">
        <v>7.88</v>
      </c>
      <c r="F10" s="56">
        <v>4.62</v>
      </c>
      <c r="G10" s="56">
        <v>93.59</v>
      </c>
      <c r="H10" s="56">
        <v>32.549999999999997</v>
      </c>
      <c r="I10" s="56">
        <v>6.95</v>
      </c>
      <c r="J10" s="56">
        <v>0.22</v>
      </c>
      <c r="K10" s="56">
        <v>248.27</v>
      </c>
      <c r="L10" s="56">
        <v>20.25</v>
      </c>
      <c r="M10" s="56">
        <v>68.400000000000006</v>
      </c>
      <c r="N10" s="56">
        <v>0</v>
      </c>
      <c r="O10" s="56">
        <v>0</v>
      </c>
      <c r="P10" s="56">
        <v>0.71</v>
      </c>
      <c r="Q10" s="56">
        <v>4.83</v>
      </c>
    </row>
    <row r="11" spans="1:21" customFormat="1">
      <c r="A11" s="55">
        <v>45352.125</v>
      </c>
      <c r="B11" s="56">
        <v>31.33</v>
      </c>
      <c r="C11" s="56">
        <v>23.41</v>
      </c>
      <c r="D11" s="56">
        <v>38.71</v>
      </c>
      <c r="E11" s="56">
        <v>10.46</v>
      </c>
      <c r="F11" s="56">
        <v>4.54</v>
      </c>
      <c r="G11" s="56">
        <v>79.61</v>
      </c>
      <c r="H11" s="56">
        <v>27.76</v>
      </c>
      <c r="I11" s="56">
        <v>7.13</v>
      </c>
      <c r="J11" s="56">
        <v>0.24</v>
      </c>
      <c r="K11" s="56">
        <v>237.14</v>
      </c>
      <c r="L11" s="56">
        <v>20.3</v>
      </c>
      <c r="M11" s="56">
        <v>70.489999999999995</v>
      </c>
      <c r="N11" s="56">
        <v>0</v>
      </c>
      <c r="O11" s="56">
        <v>0</v>
      </c>
      <c r="P11" s="56">
        <v>0.72</v>
      </c>
      <c r="Q11" s="56">
        <v>4.84</v>
      </c>
    </row>
    <row r="12" spans="1:21" customFormat="1">
      <c r="A12" s="55">
        <v>45352.166666666664</v>
      </c>
      <c r="B12" s="56">
        <v>33.520000000000003</v>
      </c>
      <c r="C12" s="56">
        <v>24.26</v>
      </c>
      <c r="D12" s="56">
        <v>40.909999999999997</v>
      </c>
      <c r="E12" s="56">
        <v>10.82</v>
      </c>
      <c r="F12" s="56">
        <v>4.54</v>
      </c>
      <c r="G12" s="56">
        <v>79.61</v>
      </c>
      <c r="H12" s="56">
        <v>27.27</v>
      </c>
      <c r="I12" s="56">
        <v>7.29</v>
      </c>
      <c r="J12" s="56">
        <v>0.42</v>
      </c>
      <c r="K12" s="56">
        <v>198.95</v>
      </c>
      <c r="L12" s="56">
        <v>20.149999999999999</v>
      </c>
      <c r="M12" s="56">
        <v>72.14</v>
      </c>
      <c r="N12" s="56">
        <v>0</v>
      </c>
      <c r="O12" s="56">
        <v>0</v>
      </c>
      <c r="P12" s="56">
        <v>0.72</v>
      </c>
      <c r="Q12" s="56">
        <v>4.8499999999999996</v>
      </c>
    </row>
    <row r="13" spans="1:21" customFormat="1">
      <c r="A13" s="55">
        <v>45352.208333333336</v>
      </c>
      <c r="B13" s="56">
        <v>35.47</v>
      </c>
      <c r="C13" s="56">
        <v>25.48</v>
      </c>
      <c r="D13" s="56">
        <v>43.1</v>
      </c>
      <c r="E13" s="56">
        <v>11.35</v>
      </c>
      <c r="F13" s="56">
        <v>4.66</v>
      </c>
      <c r="G13" s="56">
        <v>72.05</v>
      </c>
      <c r="H13" s="56">
        <v>29.72</v>
      </c>
      <c r="I13" s="56">
        <v>7.58</v>
      </c>
      <c r="J13" s="56">
        <v>0.4</v>
      </c>
      <c r="K13" s="56">
        <v>62.49</v>
      </c>
      <c r="L13" s="56">
        <v>20.74</v>
      </c>
      <c r="M13" s="56">
        <v>62.94</v>
      </c>
      <c r="N13" s="56">
        <v>0</v>
      </c>
      <c r="O13" s="56">
        <v>0</v>
      </c>
      <c r="P13" s="56">
        <v>0.76</v>
      </c>
      <c r="Q13" s="56">
        <v>4.88</v>
      </c>
    </row>
    <row r="14" spans="1:21" customFormat="1">
      <c r="A14" s="55">
        <v>45352.25</v>
      </c>
      <c r="B14" s="56">
        <v>35.74</v>
      </c>
      <c r="C14" s="56">
        <v>25.52</v>
      </c>
      <c r="D14" s="56">
        <v>43.28</v>
      </c>
      <c r="E14" s="56">
        <v>11.25</v>
      </c>
      <c r="F14" s="56">
        <v>4.54</v>
      </c>
      <c r="G14" s="56">
        <v>84.01</v>
      </c>
      <c r="H14" s="56">
        <v>33.14</v>
      </c>
      <c r="I14" s="56">
        <v>8.3699999999999992</v>
      </c>
      <c r="J14" s="56">
        <v>0.61</v>
      </c>
      <c r="K14" s="56">
        <v>112.78</v>
      </c>
      <c r="L14" s="56">
        <v>20.350000000000001</v>
      </c>
      <c r="M14" s="56">
        <v>72.959999999999994</v>
      </c>
      <c r="N14" s="56">
        <v>0</v>
      </c>
      <c r="O14" s="56">
        <v>0</v>
      </c>
      <c r="P14" s="56">
        <v>0.82</v>
      </c>
      <c r="Q14" s="56">
        <v>4.87</v>
      </c>
    </row>
    <row r="15" spans="1:21" customFormat="1">
      <c r="A15" s="55">
        <v>45352.291666666664</v>
      </c>
      <c r="B15" s="56">
        <v>37.61</v>
      </c>
      <c r="C15" s="56">
        <v>25.02</v>
      </c>
      <c r="D15" s="56">
        <v>43.6</v>
      </c>
      <c r="E15" s="56">
        <v>10.86</v>
      </c>
      <c r="F15" s="56">
        <v>4.78</v>
      </c>
      <c r="G15" s="56">
        <v>89.91</v>
      </c>
      <c r="H15" s="56">
        <v>35.119999999999997</v>
      </c>
      <c r="I15" s="56">
        <v>8.8800000000000008</v>
      </c>
      <c r="J15" s="56">
        <v>0.52</v>
      </c>
      <c r="K15" s="56">
        <v>133.69</v>
      </c>
      <c r="L15" s="56">
        <v>19.95</v>
      </c>
      <c r="M15" s="56">
        <v>75.19</v>
      </c>
      <c r="N15" s="56">
        <v>17.8</v>
      </c>
      <c r="O15" s="56">
        <v>0</v>
      </c>
      <c r="P15" s="56">
        <v>0.84</v>
      </c>
      <c r="Q15" s="56">
        <v>4.87</v>
      </c>
    </row>
    <row r="16" spans="1:21" customFormat="1">
      <c r="A16" s="55">
        <v>45352.333333333336</v>
      </c>
      <c r="B16" s="56">
        <v>37.46</v>
      </c>
      <c r="C16" s="56">
        <v>20.8</v>
      </c>
      <c r="D16" s="56">
        <v>41.9</v>
      </c>
      <c r="E16" s="56">
        <v>10.220000000000001</v>
      </c>
      <c r="F16" s="56">
        <v>4.68</v>
      </c>
      <c r="G16" s="56">
        <v>102.08</v>
      </c>
      <c r="H16" s="56">
        <v>36.68</v>
      </c>
      <c r="I16" s="56">
        <v>9.14</v>
      </c>
      <c r="J16" s="56">
        <v>0.83</v>
      </c>
      <c r="K16" s="56">
        <v>67.45</v>
      </c>
      <c r="L16" s="56">
        <v>22.59</v>
      </c>
      <c r="M16" s="56">
        <v>68.849999999999994</v>
      </c>
      <c r="N16" s="56">
        <v>92.2</v>
      </c>
      <c r="O16" s="56">
        <v>0</v>
      </c>
      <c r="P16" s="56">
        <v>0.88</v>
      </c>
      <c r="Q16" s="56">
        <v>4.8600000000000003</v>
      </c>
    </row>
    <row r="17" spans="1:17" customFormat="1">
      <c r="A17" s="55">
        <v>45352.375</v>
      </c>
      <c r="B17" s="56">
        <v>36.68</v>
      </c>
      <c r="C17" s="56">
        <v>21.6</v>
      </c>
      <c r="D17" s="56">
        <v>42.05</v>
      </c>
      <c r="E17" s="56">
        <v>11.42</v>
      </c>
      <c r="F17" s="56">
        <v>4.8499999999999996</v>
      </c>
      <c r="G17" s="56">
        <v>105.28</v>
      </c>
      <c r="H17" s="56">
        <v>37.07</v>
      </c>
      <c r="I17" s="56">
        <v>9.75</v>
      </c>
      <c r="J17" s="56">
        <v>0.67</v>
      </c>
      <c r="K17" s="56">
        <v>90.27</v>
      </c>
      <c r="L17" s="56">
        <v>26.73</v>
      </c>
      <c r="M17" s="56">
        <v>53.86</v>
      </c>
      <c r="N17" s="56">
        <v>356.1</v>
      </c>
      <c r="O17" s="56">
        <v>0</v>
      </c>
      <c r="P17" s="56">
        <v>0.9</v>
      </c>
      <c r="Q17" s="56">
        <v>4.87</v>
      </c>
    </row>
    <row r="18" spans="1:17" customFormat="1">
      <c r="A18" s="55">
        <v>45352.416666666664</v>
      </c>
      <c r="B18" s="56">
        <v>34.32</v>
      </c>
      <c r="C18" s="56">
        <v>19.73</v>
      </c>
      <c r="D18" s="56">
        <v>39.18</v>
      </c>
      <c r="E18" s="56">
        <v>11.51</v>
      </c>
      <c r="F18" s="56">
        <v>5.42</v>
      </c>
      <c r="G18" s="56">
        <v>105.28</v>
      </c>
      <c r="H18" s="56">
        <v>37.07</v>
      </c>
      <c r="I18" s="56">
        <v>9.74</v>
      </c>
      <c r="J18" s="56">
        <v>0.25</v>
      </c>
      <c r="K18" s="56">
        <v>356.93</v>
      </c>
      <c r="L18" s="56">
        <v>30.05</v>
      </c>
      <c r="M18" s="56">
        <v>37.82</v>
      </c>
      <c r="N18" s="56">
        <v>452.6</v>
      </c>
      <c r="O18" s="56">
        <v>0</v>
      </c>
      <c r="P18" s="56">
        <v>0.89</v>
      </c>
      <c r="Q18" s="56">
        <v>4.8600000000000003</v>
      </c>
    </row>
    <row r="19" spans="1:17" customFormat="1">
      <c r="A19" s="55">
        <v>45352.458333333336</v>
      </c>
      <c r="B19" s="56">
        <v>26.38</v>
      </c>
      <c r="C19" s="56">
        <v>21.88</v>
      </c>
      <c r="D19" s="56">
        <v>32.93</v>
      </c>
      <c r="E19" s="56">
        <v>11.05</v>
      </c>
      <c r="F19" s="56">
        <v>6.5</v>
      </c>
      <c r="G19" s="56">
        <v>95.7</v>
      </c>
      <c r="H19" s="56">
        <v>33.79</v>
      </c>
      <c r="I19" s="56">
        <v>9.39</v>
      </c>
      <c r="J19" s="56">
        <v>0.5</v>
      </c>
      <c r="K19" s="56">
        <v>300</v>
      </c>
      <c r="L19" s="56">
        <v>31.85</v>
      </c>
      <c r="M19" s="56">
        <v>30.8</v>
      </c>
      <c r="N19" s="56">
        <v>584.9</v>
      </c>
      <c r="O19" s="56">
        <v>0</v>
      </c>
      <c r="P19" s="56">
        <v>0.85</v>
      </c>
      <c r="Q19" s="56">
        <v>4.82</v>
      </c>
    </row>
    <row r="20" spans="1:17" customFormat="1">
      <c r="A20" s="55">
        <v>45352.5</v>
      </c>
      <c r="B20" s="56">
        <v>14.64</v>
      </c>
      <c r="C20" s="56">
        <v>23.14</v>
      </c>
      <c r="D20" s="56">
        <v>24.76</v>
      </c>
      <c r="E20" s="56">
        <v>12.48</v>
      </c>
      <c r="F20" s="56">
        <v>12.53</v>
      </c>
      <c r="G20" s="56">
        <v>77.760000000000005</v>
      </c>
      <c r="H20" s="56">
        <v>30.56</v>
      </c>
      <c r="I20" s="56">
        <v>8.75</v>
      </c>
      <c r="J20" s="56">
        <v>0.92</v>
      </c>
      <c r="K20" s="56">
        <v>301.20999999999998</v>
      </c>
      <c r="L20" s="56">
        <v>33.270000000000003</v>
      </c>
      <c r="M20" s="56">
        <v>26.33</v>
      </c>
      <c r="N20" s="56">
        <v>638.9</v>
      </c>
      <c r="O20" s="56">
        <v>0</v>
      </c>
      <c r="P20" s="56">
        <v>0.75</v>
      </c>
      <c r="Q20" s="56">
        <v>4.79</v>
      </c>
    </row>
    <row r="21" spans="1:17" customFormat="1">
      <c r="A21" s="55">
        <v>45352.541666666664</v>
      </c>
      <c r="B21" s="56">
        <v>6.87</v>
      </c>
      <c r="C21" s="56">
        <v>23.84</v>
      </c>
      <c r="D21" s="56">
        <v>19.32</v>
      </c>
      <c r="E21" s="56">
        <v>11.86</v>
      </c>
      <c r="F21" s="56">
        <v>10.79</v>
      </c>
      <c r="G21" s="56">
        <v>69.53</v>
      </c>
      <c r="H21" s="56">
        <v>29</v>
      </c>
      <c r="I21" s="56">
        <v>7.52</v>
      </c>
      <c r="J21" s="56">
        <v>1</v>
      </c>
      <c r="K21" s="56">
        <v>315.94</v>
      </c>
      <c r="L21" s="56">
        <v>34.54</v>
      </c>
      <c r="M21" s="56">
        <v>23.94</v>
      </c>
      <c r="N21" s="56">
        <v>667.9</v>
      </c>
      <c r="O21" s="56">
        <v>0</v>
      </c>
      <c r="P21" s="56">
        <v>0.68</v>
      </c>
      <c r="Q21" s="56">
        <v>4.74</v>
      </c>
    </row>
    <row r="22" spans="1:17" customFormat="1">
      <c r="A22" s="55">
        <v>45352.583333333336</v>
      </c>
      <c r="B22" s="56">
        <v>4.7</v>
      </c>
      <c r="C22" s="56">
        <v>20.27</v>
      </c>
      <c r="D22" s="56">
        <v>15.72</v>
      </c>
      <c r="E22" s="56">
        <v>16.39</v>
      </c>
      <c r="F22" s="56">
        <v>17.61</v>
      </c>
      <c r="G22" s="56">
        <v>65.92</v>
      </c>
      <c r="H22" s="56">
        <v>26.73</v>
      </c>
      <c r="I22" s="56">
        <v>6.85</v>
      </c>
      <c r="J22" s="56">
        <v>1.06</v>
      </c>
      <c r="K22" s="56">
        <v>309.64</v>
      </c>
      <c r="L22" s="56">
        <v>34.619999999999997</v>
      </c>
      <c r="M22" s="56">
        <v>21.12</v>
      </c>
      <c r="N22" s="56">
        <v>653.4</v>
      </c>
      <c r="O22" s="56">
        <v>0</v>
      </c>
      <c r="P22" s="56">
        <v>0.61</v>
      </c>
      <c r="Q22" s="56">
        <v>4.71</v>
      </c>
    </row>
    <row r="23" spans="1:17" customFormat="1">
      <c r="A23" s="55">
        <v>45352.625</v>
      </c>
      <c r="B23" s="56">
        <v>4.83</v>
      </c>
      <c r="C23" s="56">
        <v>18.760000000000002</v>
      </c>
      <c r="D23" s="56">
        <v>14.77</v>
      </c>
      <c r="E23" s="56">
        <v>15.93</v>
      </c>
      <c r="F23" s="56">
        <v>15.45</v>
      </c>
      <c r="G23" s="56">
        <v>62.29</v>
      </c>
      <c r="H23" s="56">
        <v>26.75</v>
      </c>
      <c r="I23" s="56">
        <v>6.2</v>
      </c>
      <c r="J23" s="56">
        <v>1.19</v>
      </c>
      <c r="K23" s="56">
        <v>325.97000000000003</v>
      </c>
      <c r="L23" s="56">
        <v>35.69</v>
      </c>
      <c r="M23" s="56">
        <v>18.989999999999998</v>
      </c>
      <c r="N23" s="56">
        <v>556.29999999999995</v>
      </c>
      <c r="O23" s="56">
        <v>0</v>
      </c>
      <c r="P23" s="56">
        <v>0.63</v>
      </c>
      <c r="Q23" s="56">
        <v>4.72</v>
      </c>
    </row>
    <row r="24" spans="1:17" customFormat="1">
      <c r="A24" s="55">
        <v>45352.666666666664</v>
      </c>
      <c r="B24" s="56">
        <v>5.72</v>
      </c>
      <c r="C24" s="56">
        <v>19.09</v>
      </c>
      <c r="D24" s="56">
        <v>15.91</v>
      </c>
      <c r="E24" s="56">
        <v>22.88</v>
      </c>
      <c r="F24" s="56">
        <v>16.440000000000001</v>
      </c>
      <c r="G24" s="56">
        <v>62.29</v>
      </c>
      <c r="H24" s="56">
        <v>26.75</v>
      </c>
      <c r="I24" s="56">
        <v>5.72</v>
      </c>
      <c r="J24" s="56">
        <v>0.9</v>
      </c>
      <c r="K24" s="56">
        <v>346.22</v>
      </c>
      <c r="L24" s="56">
        <v>34.56</v>
      </c>
      <c r="M24" s="56">
        <v>16.739999999999998</v>
      </c>
      <c r="N24" s="56">
        <v>149.80000000000001</v>
      </c>
      <c r="O24" s="56">
        <v>0</v>
      </c>
      <c r="P24" s="56">
        <v>0.61</v>
      </c>
      <c r="Q24" s="56">
        <v>4.72</v>
      </c>
    </row>
    <row r="25" spans="1:17" customFormat="1">
      <c r="A25" s="55">
        <v>45352.708333333336</v>
      </c>
      <c r="B25" s="56">
        <v>6.98</v>
      </c>
      <c r="C25" s="56">
        <v>19.48</v>
      </c>
      <c r="D25" s="56">
        <v>17.13</v>
      </c>
      <c r="E25" s="56">
        <v>21.84</v>
      </c>
      <c r="F25" s="56">
        <v>15.92</v>
      </c>
      <c r="G25" s="56">
        <v>57.18</v>
      </c>
      <c r="H25" s="56">
        <v>24.51</v>
      </c>
      <c r="I25" s="56">
        <v>5.39</v>
      </c>
      <c r="J25" s="56">
        <v>0.81</v>
      </c>
      <c r="K25" s="56">
        <v>272.5</v>
      </c>
      <c r="L25" s="56">
        <v>34.44</v>
      </c>
      <c r="M25" s="56">
        <v>19.14</v>
      </c>
      <c r="N25" s="56">
        <v>215.1</v>
      </c>
      <c r="O25" s="56">
        <v>0</v>
      </c>
      <c r="P25" s="56">
        <v>0.64</v>
      </c>
      <c r="Q25" s="56">
        <v>4.66</v>
      </c>
    </row>
    <row r="26" spans="1:17" customFormat="1">
      <c r="A26" s="55">
        <v>45352.75</v>
      </c>
      <c r="B26" s="56">
        <v>6.02</v>
      </c>
      <c r="C26" s="56">
        <v>18.579999999999998</v>
      </c>
      <c r="D26" s="56">
        <v>15.89</v>
      </c>
      <c r="E26" s="56">
        <v>12.54</v>
      </c>
      <c r="F26" s="56">
        <v>8.7899999999999991</v>
      </c>
      <c r="G26" s="56">
        <v>65.180000000000007</v>
      </c>
      <c r="H26" s="56">
        <v>24.78</v>
      </c>
      <c r="I26" s="56">
        <v>5.21</v>
      </c>
      <c r="J26" s="56">
        <v>0.34</v>
      </c>
      <c r="K26" s="56">
        <v>168.99</v>
      </c>
      <c r="L26" s="56">
        <v>33.65</v>
      </c>
      <c r="M26" s="56">
        <v>27.05</v>
      </c>
      <c r="N26" s="56">
        <v>64.599999999999994</v>
      </c>
      <c r="O26" s="56">
        <v>0</v>
      </c>
      <c r="P26" s="56">
        <v>0.64</v>
      </c>
      <c r="Q26" s="56">
        <v>4.68</v>
      </c>
    </row>
    <row r="27" spans="1:17" customFormat="1">
      <c r="A27" s="55">
        <v>45352.791666666664</v>
      </c>
      <c r="B27" s="56">
        <v>7.05</v>
      </c>
      <c r="C27" s="56">
        <v>17.38</v>
      </c>
      <c r="D27" s="56">
        <v>15.61</v>
      </c>
      <c r="E27" s="56">
        <v>8.7899999999999991</v>
      </c>
      <c r="F27" s="56">
        <v>5.3</v>
      </c>
      <c r="G27" s="56">
        <v>76.42</v>
      </c>
      <c r="H27" s="56">
        <v>25.77</v>
      </c>
      <c r="I27" s="56">
        <v>5.31</v>
      </c>
      <c r="J27" s="56">
        <v>0.27</v>
      </c>
      <c r="K27" s="56">
        <v>194.56</v>
      </c>
      <c r="L27" s="56">
        <v>29.84</v>
      </c>
      <c r="M27" s="56">
        <v>38.86</v>
      </c>
      <c r="N27" s="56">
        <v>0</v>
      </c>
      <c r="O27" s="56">
        <v>0</v>
      </c>
      <c r="P27" s="56">
        <v>0.65</v>
      </c>
      <c r="Q27" s="56">
        <v>4.6900000000000004</v>
      </c>
    </row>
    <row r="28" spans="1:17" customFormat="1">
      <c r="A28" s="55">
        <v>45352.833333333336</v>
      </c>
      <c r="B28" s="56">
        <v>8.08</v>
      </c>
      <c r="C28" s="56">
        <v>15.93</v>
      </c>
      <c r="D28" s="56">
        <v>15.51</v>
      </c>
      <c r="E28" s="56">
        <v>8.23</v>
      </c>
      <c r="F28" s="56">
        <v>4.7300000000000004</v>
      </c>
      <c r="G28" s="56">
        <v>79.48</v>
      </c>
      <c r="H28" s="56">
        <v>28.71</v>
      </c>
      <c r="I28" s="56">
        <v>5.84</v>
      </c>
      <c r="J28" s="56">
        <v>0.27</v>
      </c>
      <c r="K28" s="56">
        <v>200.42</v>
      </c>
      <c r="L28" s="56">
        <v>26.6</v>
      </c>
      <c r="M28" s="56">
        <v>49.66</v>
      </c>
      <c r="N28" s="56">
        <v>0</v>
      </c>
      <c r="O28" s="56">
        <v>0</v>
      </c>
      <c r="P28" s="56">
        <v>0.65</v>
      </c>
      <c r="Q28" s="56">
        <v>4.71</v>
      </c>
    </row>
    <row r="29" spans="1:17" customFormat="1">
      <c r="A29" s="55">
        <v>45352.875</v>
      </c>
      <c r="B29" s="56">
        <v>8.9</v>
      </c>
      <c r="C29" s="56">
        <v>14.7</v>
      </c>
      <c r="D29" s="56">
        <v>16.170000000000002</v>
      </c>
      <c r="E29" s="56">
        <v>8.56</v>
      </c>
      <c r="F29" s="56">
        <v>4.8099999999999996</v>
      </c>
      <c r="G29" s="56">
        <v>109.27</v>
      </c>
      <c r="H29" s="56">
        <v>33.22</v>
      </c>
      <c r="I29" s="56">
        <v>6.16</v>
      </c>
      <c r="J29" s="56">
        <v>0.25</v>
      </c>
      <c r="K29" s="56">
        <v>252.01</v>
      </c>
      <c r="L29" s="56">
        <v>25.2</v>
      </c>
      <c r="M29" s="56">
        <v>49.8</v>
      </c>
      <c r="N29" s="56">
        <v>0</v>
      </c>
      <c r="O29" s="56">
        <v>0</v>
      </c>
      <c r="P29" s="56">
        <v>0.66</v>
      </c>
      <c r="Q29" s="56">
        <v>4.74</v>
      </c>
    </row>
    <row r="30" spans="1:17" customFormat="1">
      <c r="A30" s="55">
        <v>45352.916666666664</v>
      </c>
      <c r="B30" s="56">
        <v>8.91</v>
      </c>
      <c r="C30" s="56">
        <v>16.25</v>
      </c>
      <c r="D30" s="56">
        <v>16.989999999999998</v>
      </c>
      <c r="E30" s="56">
        <v>9.3699999999999992</v>
      </c>
      <c r="F30" s="56">
        <v>4.88</v>
      </c>
      <c r="G30" s="56">
        <v>109.27</v>
      </c>
      <c r="H30" s="56">
        <v>33.22</v>
      </c>
      <c r="I30" s="56">
        <v>6.68</v>
      </c>
      <c r="J30" s="56">
        <v>0.3</v>
      </c>
      <c r="K30" s="56">
        <v>249.67</v>
      </c>
      <c r="L30" s="56">
        <v>24.59</v>
      </c>
      <c r="M30" s="56">
        <v>54.61</v>
      </c>
      <c r="N30" s="56">
        <v>0</v>
      </c>
      <c r="O30" s="56">
        <v>0</v>
      </c>
      <c r="P30" s="56">
        <v>0.7</v>
      </c>
      <c r="Q30" s="56">
        <v>4.7300000000000004</v>
      </c>
    </row>
    <row r="31" spans="1:17" customFormat="1">
      <c r="A31" s="55">
        <v>45352.958333333336</v>
      </c>
      <c r="B31" s="56">
        <v>8.7899999999999991</v>
      </c>
      <c r="C31" s="56">
        <v>16.98</v>
      </c>
      <c r="D31" s="56">
        <v>17.13</v>
      </c>
      <c r="E31" s="56">
        <v>9.4</v>
      </c>
      <c r="F31" s="56">
        <v>4.8099999999999996</v>
      </c>
      <c r="G31" s="56">
        <v>95.02</v>
      </c>
      <c r="H31" s="56">
        <v>29.43</v>
      </c>
      <c r="I31" s="56">
        <v>6.89</v>
      </c>
      <c r="J31" s="56">
        <v>0.21</v>
      </c>
      <c r="K31" s="56">
        <v>240.19</v>
      </c>
      <c r="L31" s="56">
        <v>23.38</v>
      </c>
      <c r="M31" s="56">
        <v>57.42</v>
      </c>
      <c r="N31" s="56">
        <v>0</v>
      </c>
      <c r="O31" s="56">
        <v>0</v>
      </c>
      <c r="P31" s="56">
        <v>0.71</v>
      </c>
      <c r="Q31" s="56">
        <v>4.7300000000000004</v>
      </c>
    </row>
    <row r="32" spans="1:17" customFormat="1">
      <c r="A32" s="55">
        <v>45353</v>
      </c>
      <c r="B32" s="56">
        <v>8.58</v>
      </c>
      <c r="C32" s="56">
        <v>17.27</v>
      </c>
      <c r="D32" s="56">
        <v>17.170000000000002</v>
      </c>
      <c r="E32" s="56">
        <v>9.7899999999999991</v>
      </c>
      <c r="F32" s="56">
        <v>4.74</v>
      </c>
      <c r="G32" s="56">
        <v>80.09</v>
      </c>
      <c r="H32" s="56">
        <v>28.36</v>
      </c>
      <c r="I32" s="56">
        <v>6.9</v>
      </c>
      <c r="J32" s="56">
        <v>0.21</v>
      </c>
      <c r="K32" s="56">
        <v>251.22</v>
      </c>
      <c r="L32" s="56">
        <v>23.21</v>
      </c>
      <c r="M32" s="56">
        <v>59.26</v>
      </c>
      <c r="N32" s="56">
        <v>0</v>
      </c>
      <c r="O32" s="56">
        <v>0</v>
      </c>
      <c r="P32" s="56">
        <v>0.72</v>
      </c>
      <c r="Q32" s="56">
        <v>4.72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</v>
      </c>
      <c r="C34" s="41">
        <f t="shared" si="0"/>
        <v>14.7</v>
      </c>
      <c r="D34" s="41">
        <f t="shared" si="0"/>
        <v>14.77</v>
      </c>
      <c r="E34" s="41">
        <f t="shared" si="0"/>
        <v>7.66</v>
      </c>
      <c r="F34" s="41">
        <f t="shared" si="0"/>
        <v>4.54</v>
      </c>
      <c r="G34" s="41">
        <f t="shared" si="0"/>
        <v>57.18</v>
      </c>
      <c r="H34" s="41">
        <f t="shared" si="0"/>
        <v>24.51</v>
      </c>
      <c r="I34" s="41">
        <f t="shared" si="0"/>
        <v>5.21</v>
      </c>
      <c r="J34" s="41">
        <f t="shared" si="0"/>
        <v>0.21</v>
      </c>
      <c r="K34" s="41">
        <f t="shared" si="0"/>
        <v>62.49</v>
      </c>
      <c r="L34" s="41">
        <f t="shared" si="0"/>
        <v>19.95</v>
      </c>
      <c r="M34" s="41">
        <f t="shared" si="0"/>
        <v>16.739999999999998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37.61</v>
      </c>
      <c r="C35" s="33">
        <f t="shared" si="1"/>
        <v>25.52</v>
      </c>
      <c r="D35" s="33">
        <f t="shared" si="1"/>
        <v>43.6</v>
      </c>
      <c r="E35" s="33">
        <f t="shared" si="1"/>
        <v>22.88</v>
      </c>
      <c r="F35" s="33">
        <f t="shared" si="1"/>
        <v>17.61</v>
      </c>
      <c r="G35" s="33">
        <f t="shared" si="1"/>
        <v>109.27</v>
      </c>
      <c r="H35" s="33">
        <f t="shared" si="1"/>
        <v>37.07</v>
      </c>
      <c r="I35" s="33">
        <f t="shared" si="1"/>
        <v>9.75</v>
      </c>
      <c r="J35" s="33">
        <f t="shared" si="1"/>
        <v>1.19</v>
      </c>
      <c r="K35" s="33">
        <f t="shared" si="1"/>
        <v>356.93</v>
      </c>
      <c r="L35" s="33">
        <f t="shared" si="1"/>
        <v>35.69</v>
      </c>
      <c r="M35" s="33">
        <f t="shared" si="1"/>
        <v>75.19</v>
      </c>
      <c r="N35" s="33">
        <f t="shared" si="1"/>
        <v>667.9</v>
      </c>
      <c r="O35" s="33">
        <f t="shared" si="1"/>
        <v>0</v>
      </c>
      <c r="P35" s="33">
        <f t="shared" si="1"/>
        <v>0.9</v>
      </c>
      <c r="Q35" s="33">
        <f t="shared" si="1"/>
        <v>4.88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19.324166666666667</v>
      </c>
      <c r="C36" s="41">
        <f t="shared" si="2"/>
        <v>20.439166666666662</v>
      </c>
      <c r="D36" s="41">
        <f t="shared" si="2"/>
        <v>27.30791666666666</v>
      </c>
      <c r="E36" s="41">
        <f t="shared" si="2"/>
        <v>11.772499999999999</v>
      </c>
      <c r="F36" s="41">
        <f t="shared" si="2"/>
        <v>7.5320833333333326</v>
      </c>
      <c r="G36" s="41">
        <f t="shared" si="2"/>
        <v>83.87</v>
      </c>
      <c r="H36" s="41">
        <f t="shared" si="2"/>
        <v>30.43791666666667</v>
      </c>
      <c r="I36" s="41">
        <f t="shared" si="2"/>
        <v>7.2712499999999993</v>
      </c>
      <c r="J36" s="41">
        <f t="shared" si="2"/>
        <v>0.52666666666666673</v>
      </c>
      <c r="K36" s="41">
        <f t="shared" si="2"/>
        <v>227.16000000000005</v>
      </c>
      <c r="L36" s="41">
        <f t="shared" si="2"/>
        <v>26.992916666666673</v>
      </c>
      <c r="M36" s="41">
        <f t="shared" si="2"/>
        <v>47.71125</v>
      </c>
      <c r="N36" s="41">
        <f t="shared" si="2"/>
        <v>185.40000000000006</v>
      </c>
      <c r="O36" s="41">
        <f t="shared" si="2"/>
        <v>0</v>
      </c>
      <c r="P36" s="41">
        <f t="shared" si="2"/>
        <v>0.72666666666666668</v>
      </c>
      <c r="Q36" s="41">
        <f t="shared" si="2"/>
        <v>4.7799999999999985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13.331942327803707</v>
      </c>
      <c r="C37" s="41">
        <f t="shared" ref="C37:Q37" si="3">STDEV(C9:C32)</f>
        <v>3.1615487628234087</v>
      </c>
      <c r="D37" s="41">
        <f t="shared" si="3"/>
        <v>11.816160628256286</v>
      </c>
      <c r="E37" s="41">
        <f t="shared" si="3"/>
        <v>3.9044793117203476</v>
      </c>
      <c r="F37" s="41">
        <f t="shared" si="3"/>
        <v>4.5343433244581268</v>
      </c>
      <c r="G37" s="41">
        <f t="shared" si="3"/>
        <v>16.024238705378707</v>
      </c>
      <c r="H37" s="41">
        <f t="shared" si="3"/>
        <v>3.8998884924600996</v>
      </c>
      <c r="I37" s="41">
        <f t="shared" si="3"/>
        <v>1.4130734695813882</v>
      </c>
      <c r="J37" s="41">
        <f t="shared" si="3"/>
        <v>0.31587926513927372</v>
      </c>
      <c r="K37" s="41">
        <f t="shared" si="3"/>
        <v>85.974155520082306</v>
      </c>
      <c r="L37" s="41">
        <f t="shared" si="3"/>
        <v>5.8486999515437654</v>
      </c>
      <c r="M37" s="41">
        <f t="shared" si="3"/>
        <v>20.42542369578106</v>
      </c>
      <c r="N37" s="41">
        <f t="shared" si="3"/>
        <v>257.17443750176221</v>
      </c>
      <c r="O37" s="41">
        <f t="shared" si="3"/>
        <v>0</v>
      </c>
      <c r="P37" s="41">
        <f t="shared" si="3"/>
        <v>9.1064557447934749E-2</v>
      </c>
      <c r="Q37" s="41">
        <f t="shared" si="3"/>
        <v>7.3306978136386147E-2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45353.041666666664</v>
      </c>
      <c r="B9" s="56">
        <v>13.73</v>
      </c>
      <c r="C9" s="56">
        <v>21.88</v>
      </c>
      <c r="D9" s="56">
        <v>23.79</v>
      </c>
      <c r="E9" s="56">
        <v>9.59</v>
      </c>
      <c r="F9" s="56">
        <v>4.58</v>
      </c>
      <c r="G9" s="56">
        <v>101.16</v>
      </c>
      <c r="H9" s="56">
        <v>30.82</v>
      </c>
      <c r="I9" s="56">
        <v>6.8</v>
      </c>
      <c r="J9" s="56">
        <v>0.28999999999999998</v>
      </c>
      <c r="K9" s="56">
        <v>186.81</v>
      </c>
      <c r="L9" s="56">
        <v>23.44</v>
      </c>
      <c r="M9" s="56">
        <v>63.7</v>
      </c>
      <c r="N9" s="56">
        <v>0</v>
      </c>
      <c r="O9" s="56">
        <v>0</v>
      </c>
      <c r="P9" s="56">
        <v>0.74</v>
      </c>
      <c r="Q9" s="56">
        <v>4.75</v>
      </c>
    </row>
    <row r="10" spans="1:21" customFormat="1">
      <c r="A10" s="55">
        <v>45353.083333333336</v>
      </c>
      <c r="B10" s="56">
        <v>14.87</v>
      </c>
      <c r="C10" s="56">
        <v>22.88</v>
      </c>
      <c r="D10" s="56">
        <v>25.08</v>
      </c>
      <c r="E10" s="56">
        <v>9.86</v>
      </c>
      <c r="F10" s="56">
        <v>4.63</v>
      </c>
      <c r="G10" s="56">
        <v>110.88</v>
      </c>
      <c r="H10" s="56">
        <v>31.09</v>
      </c>
      <c r="I10" s="56">
        <v>6.86</v>
      </c>
      <c r="J10" s="56">
        <v>0.35</v>
      </c>
      <c r="K10" s="56">
        <v>279.89</v>
      </c>
      <c r="L10" s="56">
        <v>21.95</v>
      </c>
      <c r="M10" s="56">
        <v>65.069999999999993</v>
      </c>
      <c r="N10" s="56">
        <v>0</v>
      </c>
      <c r="O10" s="56">
        <v>0</v>
      </c>
      <c r="P10" s="56">
        <v>0.75</v>
      </c>
      <c r="Q10" s="56">
        <v>4.7699999999999996</v>
      </c>
    </row>
    <row r="11" spans="1:21" customFormat="1">
      <c r="A11" s="55">
        <v>45353.125</v>
      </c>
      <c r="B11" s="56">
        <v>14.22</v>
      </c>
      <c r="C11" s="56">
        <v>20.399999999999999</v>
      </c>
      <c r="D11" s="56">
        <v>23.42</v>
      </c>
      <c r="E11" s="56">
        <v>7.86</v>
      </c>
      <c r="F11" s="56">
        <v>4.8899999999999997</v>
      </c>
      <c r="G11" s="56">
        <v>110.88</v>
      </c>
      <c r="H11" s="56">
        <v>31.09</v>
      </c>
      <c r="I11" s="56">
        <v>6.99</v>
      </c>
      <c r="J11" s="56">
        <v>0.26</v>
      </c>
      <c r="K11" s="56">
        <v>270.07</v>
      </c>
      <c r="L11" s="56">
        <v>20.98</v>
      </c>
      <c r="M11" s="56">
        <v>68.55</v>
      </c>
      <c r="N11" s="56">
        <v>0</v>
      </c>
      <c r="O11" s="56">
        <v>0</v>
      </c>
      <c r="P11" s="56">
        <v>0.74</v>
      </c>
      <c r="Q11" s="56">
        <v>4.75</v>
      </c>
    </row>
    <row r="12" spans="1:21" customFormat="1">
      <c r="A12" s="55">
        <v>45353.166666666664</v>
      </c>
      <c r="B12" s="56">
        <v>13.19</v>
      </c>
      <c r="C12" s="56">
        <v>16.100000000000001</v>
      </c>
      <c r="D12" s="56">
        <v>20.34</v>
      </c>
      <c r="E12" s="56">
        <v>8.23</v>
      </c>
      <c r="F12" s="56">
        <v>4.87</v>
      </c>
      <c r="G12" s="56">
        <v>84.46</v>
      </c>
      <c r="H12" s="56">
        <v>28.43</v>
      </c>
      <c r="I12" s="56">
        <v>7.1</v>
      </c>
      <c r="J12" s="56">
        <v>0.18</v>
      </c>
      <c r="K12" s="56">
        <v>217.54</v>
      </c>
      <c r="L12" s="56">
        <v>20.7</v>
      </c>
      <c r="M12" s="56">
        <v>72.489999999999995</v>
      </c>
      <c r="N12" s="56">
        <v>0</v>
      </c>
      <c r="O12" s="56">
        <v>0</v>
      </c>
      <c r="P12" s="56">
        <v>0.72</v>
      </c>
      <c r="Q12" s="56">
        <v>4.75</v>
      </c>
    </row>
    <row r="13" spans="1:21" customFormat="1">
      <c r="A13" s="55">
        <v>45353.208333333336</v>
      </c>
      <c r="B13" s="56">
        <v>11.85</v>
      </c>
      <c r="C13" s="56">
        <v>16.14</v>
      </c>
      <c r="D13" s="56">
        <v>19.010000000000002</v>
      </c>
      <c r="E13" s="56">
        <v>7.92</v>
      </c>
      <c r="F13" s="56">
        <v>4.6399999999999997</v>
      </c>
      <c r="G13" s="56">
        <v>60.33</v>
      </c>
      <c r="H13" s="56">
        <v>21.56</v>
      </c>
      <c r="I13" s="56">
        <v>7.11</v>
      </c>
      <c r="J13" s="56">
        <v>0.2</v>
      </c>
      <c r="K13" s="56">
        <v>201.57</v>
      </c>
      <c r="L13" s="56">
        <v>19.760000000000002</v>
      </c>
      <c r="M13" s="56">
        <v>73.709999999999994</v>
      </c>
      <c r="N13" s="56">
        <v>0</v>
      </c>
      <c r="O13" s="56">
        <v>0</v>
      </c>
      <c r="P13" s="56">
        <v>0.7</v>
      </c>
      <c r="Q13" s="56">
        <v>4.72</v>
      </c>
    </row>
    <row r="14" spans="1:21" customFormat="1">
      <c r="A14" s="55">
        <v>45353.25</v>
      </c>
      <c r="B14" s="56">
        <v>12.69</v>
      </c>
      <c r="C14" s="56">
        <v>16.440000000000001</v>
      </c>
      <c r="D14" s="56">
        <v>20.12</v>
      </c>
      <c r="E14" s="56">
        <v>7.85</v>
      </c>
      <c r="F14" s="56">
        <v>4.7300000000000004</v>
      </c>
      <c r="G14" s="56">
        <v>49.72</v>
      </c>
      <c r="H14" s="56">
        <v>21.56</v>
      </c>
      <c r="I14" s="56">
        <v>7.05</v>
      </c>
      <c r="J14" s="56">
        <v>0.25</v>
      </c>
      <c r="K14" s="56">
        <v>181.44</v>
      </c>
      <c r="L14" s="56">
        <v>20.079999999999998</v>
      </c>
      <c r="M14" s="56">
        <v>73.290000000000006</v>
      </c>
      <c r="N14" s="56">
        <v>0</v>
      </c>
      <c r="O14" s="56">
        <v>0</v>
      </c>
      <c r="P14" s="56">
        <v>0.7</v>
      </c>
      <c r="Q14" s="56">
        <v>4.7300000000000004</v>
      </c>
    </row>
    <row r="15" spans="1:21" customFormat="1">
      <c r="A15" s="55">
        <v>45353.291666666664</v>
      </c>
      <c r="B15" s="56">
        <v>15.3</v>
      </c>
      <c r="C15" s="56">
        <v>17.55</v>
      </c>
      <c r="D15" s="56">
        <v>22.57</v>
      </c>
      <c r="E15" s="56">
        <v>8.3000000000000007</v>
      </c>
      <c r="F15" s="56">
        <v>4.68</v>
      </c>
      <c r="G15" s="56">
        <v>63.97</v>
      </c>
      <c r="H15" s="56">
        <v>24.96</v>
      </c>
      <c r="I15" s="56">
        <v>6.95</v>
      </c>
      <c r="J15" s="56">
        <v>0.27</v>
      </c>
      <c r="K15" s="56">
        <v>246.56</v>
      </c>
      <c r="L15" s="56">
        <v>19.77</v>
      </c>
      <c r="M15" s="56">
        <v>73.849999999999994</v>
      </c>
      <c r="N15" s="56">
        <v>21</v>
      </c>
      <c r="O15" s="56">
        <v>0</v>
      </c>
      <c r="P15" s="56">
        <v>0.7</v>
      </c>
      <c r="Q15" s="56">
        <v>4.75</v>
      </c>
    </row>
    <row r="16" spans="1:21" customFormat="1">
      <c r="A16" s="55">
        <v>45353.333333333336</v>
      </c>
      <c r="B16" s="56">
        <v>18.45</v>
      </c>
      <c r="C16" s="56">
        <v>20.41</v>
      </c>
      <c r="D16" s="56">
        <v>26.81</v>
      </c>
      <c r="E16" s="56">
        <v>8.2799999999999994</v>
      </c>
      <c r="F16" s="56">
        <v>4.62</v>
      </c>
      <c r="G16" s="56">
        <v>66.58</v>
      </c>
      <c r="H16" s="56">
        <v>25.78</v>
      </c>
      <c r="I16" s="56">
        <v>7.06</v>
      </c>
      <c r="J16" s="56">
        <v>0.18</v>
      </c>
      <c r="K16" s="56">
        <v>311.3</v>
      </c>
      <c r="L16" s="56">
        <v>23.94</v>
      </c>
      <c r="M16" s="56">
        <v>67.61</v>
      </c>
      <c r="N16" s="56">
        <v>91.1</v>
      </c>
      <c r="O16" s="56">
        <v>0</v>
      </c>
      <c r="P16" s="56">
        <v>0.74</v>
      </c>
      <c r="Q16" s="56">
        <v>4.78</v>
      </c>
    </row>
    <row r="17" spans="1:17" customFormat="1">
      <c r="A17" s="55">
        <v>45353.375</v>
      </c>
      <c r="B17" s="56">
        <v>17.52</v>
      </c>
      <c r="C17" s="56">
        <v>21.39</v>
      </c>
      <c r="D17" s="56">
        <v>26.22</v>
      </c>
      <c r="E17" s="56">
        <v>8.84</v>
      </c>
      <c r="F17" s="56">
        <v>4.8600000000000003</v>
      </c>
      <c r="G17" s="56">
        <v>66.58</v>
      </c>
      <c r="H17" s="56">
        <v>25.78</v>
      </c>
      <c r="I17" s="56">
        <v>7.36</v>
      </c>
      <c r="J17" s="56">
        <v>0.82</v>
      </c>
      <c r="K17" s="56">
        <v>310.69</v>
      </c>
      <c r="L17" s="56">
        <v>27.58</v>
      </c>
      <c r="M17" s="56">
        <v>49.6</v>
      </c>
      <c r="N17" s="56">
        <v>315.5</v>
      </c>
      <c r="O17" s="56">
        <v>0</v>
      </c>
      <c r="P17" s="56">
        <v>0.74</v>
      </c>
      <c r="Q17" s="56">
        <v>4.79</v>
      </c>
    </row>
    <row r="18" spans="1:17" customFormat="1">
      <c r="A18" s="55">
        <v>45353.416666666664</v>
      </c>
      <c r="B18" s="56">
        <v>11.79</v>
      </c>
      <c r="C18" s="56">
        <v>23.77</v>
      </c>
      <c r="D18" s="56">
        <v>22.18</v>
      </c>
      <c r="E18" s="56">
        <v>10.88</v>
      </c>
      <c r="F18" s="56">
        <v>7.43</v>
      </c>
      <c r="G18" s="56">
        <v>63.68</v>
      </c>
      <c r="H18" s="56">
        <v>26.03</v>
      </c>
      <c r="I18" s="56">
        <v>8.52</v>
      </c>
      <c r="J18" s="56">
        <v>1.1599999999999999</v>
      </c>
      <c r="K18" s="56">
        <v>323.01</v>
      </c>
      <c r="L18" s="56">
        <v>29.31</v>
      </c>
      <c r="M18" s="56">
        <v>43.81</v>
      </c>
      <c r="N18" s="56">
        <v>374.2</v>
      </c>
      <c r="O18" s="56">
        <v>0</v>
      </c>
      <c r="P18" s="56">
        <v>0.92</v>
      </c>
      <c r="Q18" s="56">
        <v>4.7699999999999996</v>
      </c>
    </row>
    <row r="19" spans="1:17" customFormat="1">
      <c r="A19" s="55">
        <v>45353.458333333336</v>
      </c>
      <c r="B19" s="56">
        <v>7.32</v>
      </c>
      <c r="C19" s="56">
        <v>24.24</v>
      </c>
      <c r="D19" s="56">
        <v>19.88</v>
      </c>
      <c r="E19" s="56">
        <v>11.61</v>
      </c>
      <c r="F19" s="56">
        <v>8.15</v>
      </c>
      <c r="G19" s="56">
        <v>73.09</v>
      </c>
      <c r="H19" s="56">
        <v>26.25</v>
      </c>
      <c r="I19" s="56">
        <v>11.75</v>
      </c>
      <c r="J19" s="56">
        <v>1.62</v>
      </c>
      <c r="K19" s="56">
        <v>320.73</v>
      </c>
      <c r="L19" s="56">
        <v>31.18</v>
      </c>
      <c r="M19" s="56">
        <v>42.3</v>
      </c>
      <c r="N19" s="56">
        <v>549.4</v>
      </c>
      <c r="O19" s="56">
        <v>0</v>
      </c>
      <c r="P19" s="56">
        <v>0.97</v>
      </c>
      <c r="Q19" s="56">
        <v>4.74</v>
      </c>
    </row>
    <row r="20" spans="1:17" customFormat="1">
      <c r="A20" s="55">
        <v>45353.5</v>
      </c>
      <c r="B20" s="56">
        <v>5.0199999999999996</v>
      </c>
      <c r="C20" s="56">
        <v>22.93</v>
      </c>
      <c r="D20" s="56">
        <v>17.36</v>
      </c>
      <c r="E20" s="56">
        <v>11.49</v>
      </c>
      <c r="F20" s="56">
        <v>9.06</v>
      </c>
      <c r="G20" s="56">
        <v>73.58</v>
      </c>
      <c r="H20" s="56">
        <v>26.25</v>
      </c>
      <c r="I20" s="56">
        <v>11.64</v>
      </c>
      <c r="J20" s="56">
        <v>1.29</v>
      </c>
      <c r="K20" s="56">
        <v>325.74</v>
      </c>
      <c r="L20" s="56">
        <v>31.99</v>
      </c>
      <c r="M20" s="56">
        <v>36.86</v>
      </c>
      <c r="N20" s="56">
        <v>558.70000000000005</v>
      </c>
      <c r="O20" s="56">
        <v>0</v>
      </c>
      <c r="P20" s="56">
        <v>0.94</v>
      </c>
      <c r="Q20" s="56">
        <v>4.72</v>
      </c>
    </row>
    <row r="21" spans="1:17" customFormat="1">
      <c r="A21" s="55">
        <v>45353.541666666664</v>
      </c>
      <c r="B21" s="56">
        <v>2.64</v>
      </c>
      <c r="C21" s="56">
        <v>20.34</v>
      </c>
      <c r="D21" s="56">
        <v>14.07</v>
      </c>
      <c r="E21" s="56">
        <v>17.97</v>
      </c>
      <c r="F21" s="56">
        <v>47.21</v>
      </c>
      <c r="G21" s="56">
        <v>73.58</v>
      </c>
      <c r="H21" s="56">
        <v>25.74</v>
      </c>
      <c r="I21" s="56">
        <v>10.64</v>
      </c>
      <c r="J21" s="56">
        <v>1.48</v>
      </c>
      <c r="K21" s="56">
        <v>332.96</v>
      </c>
      <c r="L21" s="56">
        <v>32.42</v>
      </c>
      <c r="M21" s="56">
        <v>36.08</v>
      </c>
      <c r="N21" s="56">
        <v>585.6</v>
      </c>
      <c r="O21" s="56">
        <v>0</v>
      </c>
      <c r="P21" s="56">
        <v>0.95</v>
      </c>
      <c r="Q21" s="56">
        <v>4.63</v>
      </c>
    </row>
    <row r="22" spans="1:17" customFormat="1">
      <c r="A22" s="55">
        <v>45353.583333333336</v>
      </c>
      <c r="B22" s="56">
        <v>4.21</v>
      </c>
      <c r="C22" s="56">
        <v>19.36</v>
      </c>
      <c r="D22" s="56">
        <v>14.84</v>
      </c>
      <c r="E22" s="56">
        <v>14.88</v>
      </c>
      <c r="F22" s="56">
        <v>30.44</v>
      </c>
      <c r="G22" s="56">
        <v>2.62</v>
      </c>
      <c r="H22" s="56">
        <v>0</v>
      </c>
      <c r="I22" s="56">
        <v>9.93</v>
      </c>
      <c r="J22" s="56">
        <v>1.67</v>
      </c>
      <c r="K22" s="56">
        <v>323.87</v>
      </c>
      <c r="L22" s="56">
        <v>33.130000000000003</v>
      </c>
      <c r="M22" s="56">
        <v>36.270000000000003</v>
      </c>
      <c r="N22" s="56">
        <v>528.20000000000005</v>
      </c>
      <c r="O22" s="56">
        <v>0</v>
      </c>
      <c r="P22" s="56">
        <v>0.72</v>
      </c>
      <c r="Q22" s="56">
        <v>4.63</v>
      </c>
    </row>
    <row r="23" spans="1:17" customFormat="1">
      <c r="A23" s="55">
        <v>45353.625</v>
      </c>
      <c r="B23" s="56">
        <v>4.95</v>
      </c>
      <c r="C23" s="56">
        <v>19.73</v>
      </c>
      <c r="D23" s="56">
        <v>15.63</v>
      </c>
      <c r="E23" s="56">
        <v>14.99</v>
      </c>
      <c r="F23" s="56">
        <v>30.75</v>
      </c>
      <c r="G23" s="56">
        <v>39.6</v>
      </c>
      <c r="H23" s="56">
        <v>0.15</v>
      </c>
      <c r="I23" s="56">
        <v>5.82</v>
      </c>
      <c r="J23" s="56">
        <v>1.36</v>
      </c>
      <c r="K23" s="56">
        <v>333.35</v>
      </c>
      <c r="L23" s="56">
        <v>33.56</v>
      </c>
      <c r="M23" s="56">
        <v>34.93</v>
      </c>
      <c r="N23" s="56">
        <v>510.1</v>
      </c>
      <c r="O23" s="56">
        <v>0</v>
      </c>
      <c r="P23" s="56">
        <v>0.55000000000000004</v>
      </c>
      <c r="Q23" s="56">
        <v>4.66</v>
      </c>
    </row>
    <row r="24" spans="1:17" customFormat="1">
      <c r="A24" s="55">
        <v>45353.666666666664</v>
      </c>
      <c r="B24" s="56">
        <v>6.13</v>
      </c>
      <c r="C24" s="56">
        <v>16.440000000000001</v>
      </c>
      <c r="D24" s="56">
        <v>14.86</v>
      </c>
      <c r="E24" s="56">
        <v>34.049999999999997</v>
      </c>
      <c r="F24" s="56">
        <v>35.57</v>
      </c>
      <c r="G24" s="56">
        <v>45.49</v>
      </c>
      <c r="H24" s="56">
        <v>2.63</v>
      </c>
      <c r="I24" s="56">
        <v>4.6500000000000004</v>
      </c>
      <c r="J24" s="56">
        <v>1.55</v>
      </c>
      <c r="K24" s="56">
        <v>28.45</v>
      </c>
      <c r="L24" s="56">
        <v>32.18</v>
      </c>
      <c r="M24" s="56">
        <v>38.700000000000003</v>
      </c>
      <c r="N24" s="56">
        <v>180.1</v>
      </c>
      <c r="O24" s="56">
        <v>0</v>
      </c>
      <c r="P24" s="56">
        <v>0.42</v>
      </c>
      <c r="Q24" s="56">
        <v>4.72</v>
      </c>
    </row>
    <row r="25" spans="1:17" customFormat="1">
      <c r="A25" s="55">
        <v>45353.708333333336</v>
      </c>
      <c r="B25" s="56">
        <v>6.16</v>
      </c>
      <c r="C25" s="56">
        <v>19</v>
      </c>
      <c r="D25" s="56">
        <v>15.98</v>
      </c>
      <c r="E25" s="56">
        <v>29.77</v>
      </c>
      <c r="F25" s="56">
        <v>20.77</v>
      </c>
      <c r="G25" s="56">
        <v>58.81</v>
      </c>
      <c r="H25" s="56">
        <v>11.31</v>
      </c>
      <c r="I25" s="56">
        <v>4.8600000000000003</v>
      </c>
      <c r="J25" s="56">
        <v>1.46</v>
      </c>
      <c r="K25" s="56">
        <v>39.83</v>
      </c>
      <c r="L25" s="56">
        <v>30.93</v>
      </c>
      <c r="M25" s="56">
        <v>37.72</v>
      </c>
      <c r="N25" s="56">
        <v>163.9</v>
      </c>
      <c r="O25" s="56">
        <v>0</v>
      </c>
      <c r="P25" s="56">
        <v>0.44</v>
      </c>
      <c r="Q25" s="56">
        <v>4.72</v>
      </c>
    </row>
    <row r="26" spans="1:17" customFormat="1">
      <c r="A26" s="55">
        <v>45353.75</v>
      </c>
      <c r="B26" s="56">
        <v>9.4</v>
      </c>
      <c r="C26" s="56">
        <v>25.67</v>
      </c>
      <c r="D26" s="56">
        <v>22.3</v>
      </c>
      <c r="E26" s="56">
        <v>24.93</v>
      </c>
      <c r="F26" s="56">
        <v>20.13</v>
      </c>
      <c r="G26" s="56">
        <v>73.209999999999994</v>
      </c>
      <c r="H26" s="56">
        <v>15.51</v>
      </c>
      <c r="I26" s="56">
        <v>5.1100000000000003</v>
      </c>
      <c r="J26" s="56">
        <v>1.37</v>
      </c>
      <c r="K26" s="56">
        <v>47.75</v>
      </c>
      <c r="L26" s="56">
        <v>29.99</v>
      </c>
      <c r="M26" s="56">
        <v>39.14</v>
      </c>
      <c r="N26" s="56">
        <v>44.6</v>
      </c>
      <c r="O26" s="56">
        <v>0</v>
      </c>
      <c r="P26" s="56">
        <v>0.49</v>
      </c>
      <c r="Q26" s="56">
        <v>4.6900000000000004</v>
      </c>
    </row>
    <row r="27" spans="1:17" customFormat="1">
      <c r="A27" s="55">
        <v>45353.791666666664</v>
      </c>
      <c r="B27" s="56">
        <v>9.85</v>
      </c>
      <c r="C27" s="56">
        <v>32.29</v>
      </c>
      <c r="D27" s="56">
        <v>26.12</v>
      </c>
      <c r="E27" s="56">
        <v>13.75</v>
      </c>
      <c r="F27" s="56">
        <v>15.8</v>
      </c>
      <c r="G27" s="56">
        <v>76.33</v>
      </c>
      <c r="H27" s="56">
        <v>25.37</v>
      </c>
      <c r="I27" s="56">
        <v>5.39</v>
      </c>
      <c r="J27" s="56">
        <v>0.94</v>
      </c>
      <c r="K27" s="56">
        <v>58.59</v>
      </c>
      <c r="L27" s="56">
        <v>28.71</v>
      </c>
      <c r="M27" s="56">
        <v>41.74</v>
      </c>
      <c r="N27" s="56">
        <v>0</v>
      </c>
      <c r="O27" s="56">
        <v>0</v>
      </c>
      <c r="P27" s="56">
        <v>0.6</v>
      </c>
      <c r="Q27" s="56">
        <v>4.7</v>
      </c>
    </row>
    <row r="28" spans="1:17" customFormat="1">
      <c r="A28" s="55">
        <v>45353.833333333336</v>
      </c>
      <c r="B28" s="56">
        <v>11.15</v>
      </c>
      <c r="C28" s="56">
        <v>32.119999999999997</v>
      </c>
      <c r="D28" s="56">
        <v>26.62</v>
      </c>
      <c r="E28" s="56">
        <v>19.53</v>
      </c>
      <c r="F28" s="56">
        <v>17.37</v>
      </c>
      <c r="G28" s="56">
        <v>84.14</v>
      </c>
      <c r="H28" s="56">
        <v>27.81</v>
      </c>
      <c r="I28" s="56">
        <v>6.86</v>
      </c>
      <c r="J28" s="56">
        <v>0.74</v>
      </c>
      <c r="K28" s="56">
        <v>167.06</v>
      </c>
      <c r="L28" s="56">
        <v>27.92</v>
      </c>
      <c r="M28" s="56">
        <v>51.5</v>
      </c>
      <c r="N28" s="56">
        <v>0</v>
      </c>
      <c r="O28" s="56">
        <v>0</v>
      </c>
      <c r="P28" s="56">
        <v>0.7</v>
      </c>
      <c r="Q28" s="56">
        <v>4.7</v>
      </c>
    </row>
    <row r="29" spans="1:17" customFormat="1">
      <c r="A29" s="55">
        <v>45353.875</v>
      </c>
      <c r="B29" s="56">
        <v>11.74</v>
      </c>
      <c r="C29" s="56">
        <v>29.06</v>
      </c>
      <c r="D29" s="56">
        <v>25.95</v>
      </c>
      <c r="E29" s="56">
        <v>16.84</v>
      </c>
      <c r="F29" s="56">
        <v>13.68</v>
      </c>
      <c r="G29" s="56">
        <v>97.79</v>
      </c>
      <c r="H29" s="56">
        <v>34.06</v>
      </c>
      <c r="I29" s="56">
        <v>7.36</v>
      </c>
      <c r="J29" s="56">
        <v>0.72</v>
      </c>
      <c r="K29" s="56">
        <v>75.540000000000006</v>
      </c>
      <c r="L29" s="56">
        <v>26.91</v>
      </c>
      <c r="M29" s="56">
        <v>46.94</v>
      </c>
      <c r="N29" s="56">
        <v>0</v>
      </c>
      <c r="O29" s="56">
        <v>0</v>
      </c>
      <c r="P29" s="56">
        <v>0.71</v>
      </c>
      <c r="Q29" s="56">
        <v>4.7</v>
      </c>
    </row>
    <row r="30" spans="1:17" customFormat="1">
      <c r="A30" s="55">
        <v>45353.916666666664</v>
      </c>
      <c r="B30" s="56">
        <v>10.72</v>
      </c>
      <c r="C30" s="56">
        <v>27.61</v>
      </c>
      <c r="D30" s="56">
        <v>24.37</v>
      </c>
      <c r="E30" s="56">
        <v>11.97</v>
      </c>
      <c r="F30" s="56">
        <v>9.6</v>
      </c>
      <c r="G30" s="56">
        <v>102.46</v>
      </c>
      <c r="H30" s="56">
        <v>34.47</v>
      </c>
      <c r="I30" s="56">
        <v>6.87</v>
      </c>
      <c r="J30" s="56">
        <v>0.71</v>
      </c>
      <c r="K30" s="56">
        <v>141.75</v>
      </c>
      <c r="L30" s="56">
        <v>26.42</v>
      </c>
      <c r="M30" s="56">
        <v>49.85</v>
      </c>
      <c r="N30" s="56">
        <v>0</v>
      </c>
      <c r="O30" s="56">
        <v>0</v>
      </c>
      <c r="P30" s="56">
        <v>0.65</v>
      </c>
      <c r="Q30" s="56">
        <v>4.7300000000000004</v>
      </c>
    </row>
    <row r="31" spans="1:17" customFormat="1">
      <c r="A31" s="55">
        <v>45353.958333333336</v>
      </c>
      <c r="B31" s="56">
        <v>7.69</v>
      </c>
      <c r="C31" s="56">
        <v>25.68</v>
      </c>
      <c r="D31" s="56">
        <v>20.93</v>
      </c>
      <c r="E31" s="56">
        <v>10.71</v>
      </c>
      <c r="F31" s="56">
        <v>9.2200000000000006</v>
      </c>
      <c r="G31" s="56">
        <v>106.49</v>
      </c>
      <c r="H31" s="56">
        <v>37.9</v>
      </c>
      <c r="I31" s="56">
        <v>6.72</v>
      </c>
      <c r="J31" s="56">
        <v>0.45</v>
      </c>
      <c r="K31" s="56">
        <v>152.26</v>
      </c>
      <c r="L31" s="56">
        <v>26.31</v>
      </c>
      <c r="M31" s="56">
        <v>47.64</v>
      </c>
      <c r="N31" s="56">
        <v>0</v>
      </c>
      <c r="O31" s="56">
        <v>0</v>
      </c>
      <c r="P31" s="56">
        <v>0.6</v>
      </c>
      <c r="Q31" s="56">
        <v>4.7300000000000004</v>
      </c>
    </row>
    <row r="32" spans="1:17" customFormat="1">
      <c r="A32" s="55">
        <v>45354</v>
      </c>
      <c r="B32" s="56">
        <v>5.46</v>
      </c>
      <c r="C32" s="56">
        <v>22</v>
      </c>
      <c r="D32" s="56">
        <v>17.22</v>
      </c>
      <c r="E32" s="56">
        <v>8.9600000000000009</v>
      </c>
      <c r="F32" s="56">
        <v>11.3</v>
      </c>
      <c r="G32" s="56">
        <v>91.75</v>
      </c>
      <c r="H32" s="56">
        <v>31.37</v>
      </c>
      <c r="I32" s="56">
        <v>6.35</v>
      </c>
      <c r="J32" s="56">
        <v>0.28999999999999998</v>
      </c>
      <c r="K32" s="56">
        <v>243.01</v>
      </c>
      <c r="L32" s="56">
        <v>26.16</v>
      </c>
      <c r="M32" s="56">
        <v>56.36</v>
      </c>
      <c r="N32" s="56">
        <v>0</v>
      </c>
      <c r="O32" s="56">
        <v>0</v>
      </c>
      <c r="P32" s="56">
        <v>0.53</v>
      </c>
      <c r="Q32" s="56">
        <v>4.7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2.64</v>
      </c>
      <c r="C34" s="41">
        <f t="shared" si="0"/>
        <v>16.100000000000001</v>
      </c>
      <c r="D34" s="41">
        <f t="shared" si="0"/>
        <v>14.07</v>
      </c>
      <c r="E34" s="41">
        <f t="shared" si="0"/>
        <v>7.85</v>
      </c>
      <c r="F34" s="41">
        <f t="shared" si="0"/>
        <v>4.58</v>
      </c>
      <c r="G34" s="41">
        <f t="shared" si="0"/>
        <v>2.62</v>
      </c>
      <c r="H34" s="41">
        <f t="shared" si="0"/>
        <v>0</v>
      </c>
      <c r="I34" s="41">
        <f t="shared" si="0"/>
        <v>4.6500000000000004</v>
      </c>
      <c r="J34" s="41">
        <f t="shared" si="0"/>
        <v>0.18</v>
      </c>
      <c r="K34" s="41">
        <f t="shared" si="0"/>
        <v>28.45</v>
      </c>
      <c r="L34" s="41">
        <f t="shared" si="0"/>
        <v>19.760000000000002</v>
      </c>
      <c r="M34" s="41">
        <f t="shared" si="0"/>
        <v>34.93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18.45</v>
      </c>
      <c r="C35" s="33">
        <f t="shared" si="1"/>
        <v>32.29</v>
      </c>
      <c r="D35" s="33">
        <f t="shared" si="1"/>
        <v>26.81</v>
      </c>
      <c r="E35" s="33">
        <f t="shared" si="1"/>
        <v>34.049999999999997</v>
      </c>
      <c r="F35" s="33">
        <f t="shared" si="1"/>
        <v>47.21</v>
      </c>
      <c r="G35" s="33">
        <f t="shared" si="1"/>
        <v>110.88</v>
      </c>
      <c r="H35" s="33">
        <f t="shared" si="1"/>
        <v>37.9</v>
      </c>
      <c r="I35" s="33">
        <f t="shared" si="1"/>
        <v>11.75</v>
      </c>
      <c r="J35" s="33">
        <f t="shared" si="1"/>
        <v>1.67</v>
      </c>
      <c r="K35" s="33">
        <f t="shared" si="1"/>
        <v>333.35</v>
      </c>
      <c r="L35" s="33">
        <f t="shared" si="1"/>
        <v>33.56</v>
      </c>
      <c r="M35" s="33">
        <f t="shared" si="1"/>
        <v>73.849999999999994</v>
      </c>
      <c r="N35" s="33">
        <f t="shared" si="1"/>
        <v>585.6</v>
      </c>
      <c r="O35" s="33">
        <f t="shared" si="1"/>
        <v>0</v>
      </c>
      <c r="P35" s="33">
        <f t="shared" si="1"/>
        <v>0.97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10.252083333333333</v>
      </c>
      <c r="C36" s="41">
        <f t="shared" si="2"/>
        <v>22.226250000000004</v>
      </c>
      <c r="D36" s="41">
        <f t="shared" si="2"/>
        <v>21.06958333333333</v>
      </c>
      <c r="E36" s="41">
        <f t="shared" si="2"/>
        <v>13.710833333333333</v>
      </c>
      <c r="F36" s="41">
        <f t="shared" si="2"/>
        <v>13.707500000000003</v>
      </c>
      <c r="G36" s="41">
        <f t="shared" si="2"/>
        <v>74.049166666666665</v>
      </c>
      <c r="H36" s="41">
        <f t="shared" si="2"/>
        <v>23.58</v>
      </c>
      <c r="I36" s="41">
        <f t="shared" si="2"/>
        <v>7.3229166666666679</v>
      </c>
      <c r="J36" s="41">
        <f t="shared" si="2"/>
        <v>0.81708333333333327</v>
      </c>
      <c r="K36" s="41">
        <f t="shared" si="2"/>
        <v>213.32375000000005</v>
      </c>
      <c r="L36" s="41">
        <f t="shared" si="2"/>
        <v>26.888333333333325</v>
      </c>
      <c r="M36" s="41">
        <f t="shared" si="2"/>
        <v>51.987916666666671</v>
      </c>
      <c r="N36" s="41">
        <f t="shared" si="2"/>
        <v>163.43333333333331</v>
      </c>
      <c r="O36" s="41">
        <f t="shared" si="2"/>
        <v>0</v>
      </c>
      <c r="P36" s="41">
        <f t="shared" si="2"/>
        <v>0.69666666666666677</v>
      </c>
      <c r="Q36" s="41">
        <f t="shared" si="2"/>
        <v>4.7220833333333339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4.3743073778864616</v>
      </c>
      <c r="C37" s="41">
        <f t="shared" ref="C37:Q37" si="3">STDEV(C9:C32)</f>
        <v>4.6872572980646874</v>
      </c>
      <c r="D37" s="41">
        <f t="shared" si="3"/>
        <v>4.1809895637138457</v>
      </c>
      <c r="E37" s="41">
        <f t="shared" si="3"/>
        <v>7.1038084804938428</v>
      </c>
      <c r="F37" s="41">
        <f t="shared" si="3"/>
        <v>11.68641249299894</v>
      </c>
      <c r="G37" s="41">
        <f t="shared" si="3"/>
        <v>25.400756393507617</v>
      </c>
      <c r="H37" s="41">
        <f t="shared" si="3"/>
        <v>10.442886074511081</v>
      </c>
      <c r="I37" s="41">
        <f t="shared" si="3"/>
        <v>1.9142497205833933</v>
      </c>
      <c r="J37" s="41">
        <f t="shared" si="3"/>
        <v>0.54286261506994549</v>
      </c>
      <c r="K37" s="41">
        <f t="shared" si="3"/>
        <v>104.95303222052512</v>
      </c>
      <c r="L37" s="41">
        <f t="shared" si="3"/>
        <v>4.6170465495357842</v>
      </c>
      <c r="M37" s="41">
        <f t="shared" si="3"/>
        <v>14.073560774101145</v>
      </c>
      <c r="N37" s="41">
        <f t="shared" si="3"/>
        <v>225.02697744872756</v>
      </c>
      <c r="O37" s="41">
        <f t="shared" si="3"/>
        <v>0</v>
      </c>
      <c r="P37" s="41">
        <f t="shared" si="3"/>
        <v>0.14962755694423788</v>
      </c>
      <c r="Q37" s="41">
        <f t="shared" si="3"/>
        <v>4.1700710729702405E-2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45354.041666666664</v>
      </c>
      <c r="B9" s="56">
        <v>4.04</v>
      </c>
      <c r="C9" s="56">
        <v>19.11</v>
      </c>
      <c r="D9" s="56">
        <v>14.58</v>
      </c>
      <c r="E9" s="56">
        <v>7.7</v>
      </c>
      <c r="F9" s="56">
        <v>9.39</v>
      </c>
      <c r="G9" s="56">
        <v>72.95</v>
      </c>
      <c r="H9" s="56">
        <v>31</v>
      </c>
      <c r="I9" s="56">
        <v>5.74</v>
      </c>
      <c r="J9" s="56">
        <v>0.21</v>
      </c>
      <c r="K9" s="56">
        <v>255.53</v>
      </c>
      <c r="L9" s="56">
        <v>23.78</v>
      </c>
      <c r="M9" s="56">
        <v>64.239999999999995</v>
      </c>
      <c r="N9" s="56">
        <v>0</v>
      </c>
      <c r="O9" s="56">
        <v>0</v>
      </c>
      <c r="P9" s="56">
        <v>0.47</v>
      </c>
      <c r="Q9" s="56">
        <v>4.67</v>
      </c>
    </row>
    <row r="10" spans="1:21" customFormat="1">
      <c r="A10" s="55">
        <v>45354.083333333336</v>
      </c>
      <c r="B10" s="56">
        <v>4.28</v>
      </c>
      <c r="C10" s="56">
        <v>17.010000000000002</v>
      </c>
      <c r="D10" s="56">
        <v>13.45</v>
      </c>
      <c r="E10" s="56">
        <v>7.05</v>
      </c>
      <c r="F10" s="56">
        <v>8.31</v>
      </c>
      <c r="G10" s="56">
        <v>76.760000000000005</v>
      </c>
      <c r="H10" s="56">
        <v>26.34</v>
      </c>
      <c r="I10" s="56">
        <v>5.49</v>
      </c>
      <c r="J10" s="56">
        <v>0.16</v>
      </c>
      <c r="K10" s="56">
        <v>255.82</v>
      </c>
      <c r="L10" s="56">
        <v>23.38</v>
      </c>
      <c r="M10" s="56">
        <v>62.64</v>
      </c>
      <c r="N10" s="56">
        <v>0</v>
      </c>
      <c r="O10" s="56">
        <v>0</v>
      </c>
      <c r="P10" s="56">
        <v>0.43</v>
      </c>
      <c r="Q10" s="56">
        <v>4.7</v>
      </c>
    </row>
    <row r="11" spans="1:21" customFormat="1">
      <c r="A11" s="55">
        <v>45354.125</v>
      </c>
      <c r="B11" s="56">
        <v>12.7</v>
      </c>
      <c r="C11" s="56">
        <v>18.829999999999998</v>
      </c>
      <c r="D11" s="56">
        <v>21.38</v>
      </c>
      <c r="E11" s="56">
        <v>4.71</v>
      </c>
      <c r="F11" s="56">
        <v>5.72</v>
      </c>
      <c r="G11" s="56">
        <v>65.78</v>
      </c>
      <c r="H11" s="56">
        <v>26.77</v>
      </c>
      <c r="I11" s="56">
        <v>5.32</v>
      </c>
      <c r="J11" s="56">
        <v>0.24</v>
      </c>
      <c r="K11" s="56">
        <v>214.88</v>
      </c>
      <c r="L11" s="56">
        <v>23.36</v>
      </c>
      <c r="M11" s="56">
        <v>67.66</v>
      </c>
      <c r="N11" s="56">
        <v>0</v>
      </c>
      <c r="O11" s="56">
        <v>0</v>
      </c>
      <c r="P11" s="56">
        <v>0.42</v>
      </c>
      <c r="Q11" s="56">
        <v>4.67</v>
      </c>
    </row>
    <row r="12" spans="1:21" customFormat="1">
      <c r="A12" s="55">
        <v>45354.166666666664</v>
      </c>
      <c r="B12" s="56">
        <v>12.44</v>
      </c>
      <c r="C12" s="56">
        <v>19.13</v>
      </c>
      <c r="D12" s="56">
        <v>21.32</v>
      </c>
      <c r="E12" s="56">
        <v>5.67</v>
      </c>
      <c r="F12" s="56">
        <v>5.88</v>
      </c>
      <c r="G12" s="56">
        <v>70.819999999999993</v>
      </c>
      <c r="H12" s="56">
        <v>27.58</v>
      </c>
      <c r="I12" s="56">
        <v>5.31</v>
      </c>
      <c r="J12" s="56">
        <v>0.47</v>
      </c>
      <c r="K12" s="56">
        <v>197.51</v>
      </c>
      <c r="L12" s="56">
        <v>23.56</v>
      </c>
      <c r="M12" s="56">
        <v>64.19</v>
      </c>
      <c r="N12" s="56">
        <v>0</v>
      </c>
      <c r="O12" s="56">
        <v>0</v>
      </c>
      <c r="P12" s="56">
        <v>0.45</v>
      </c>
      <c r="Q12" s="56">
        <v>4.76</v>
      </c>
    </row>
    <row r="13" spans="1:21" customFormat="1">
      <c r="A13" s="55">
        <v>45354.208333333336</v>
      </c>
      <c r="B13" s="56">
        <v>13.25</v>
      </c>
      <c r="C13" s="56">
        <v>21.3</v>
      </c>
      <c r="D13" s="56">
        <v>22.63</v>
      </c>
      <c r="E13" s="56">
        <v>6.53</v>
      </c>
      <c r="F13" s="56">
        <v>6</v>
      </c>
      <c r="G13" s="56">
        <v>72.650000000000006</v>
      </c>
      <c r="H13" s="56">
        <v>29.65</v>
      </c>
      <c r="I13" s="56">
        <v>5.74</v>
      </c>
      <c r="J13" s="56">
        <v>0.57999999999999996</v>
      </c>
      <c r="K13" s="56">
        <v>335.32</v>
      </c>
      <c r="L13" s="56">
        <v>23.34</v>
      </c>
      <c r="M13" s="56">
        <v>63.8</v>
      </c>
      <c r="N13" s="56">
        <v>0</v>
      </c>
      <c r="O13" s="56">
        <v>0</v>
      </c>
      <c r="P13" s="56">
        <v>0.5</v>
      </c>
      <c r="Q13" s="56">
        <v>4.79</v>
      </c>
    </row>
    <row r="14" spans="1:21" customFormat="1">
      <c r="A14" s="55">
        <v>45354.25</v>
      </c>
      <c r="B14" s="56">
        <v>15.58</v>
      </c>
      <c r="C14" s="56">
        <v>23.91</v>
      </c>
      <c r="D14" s="56">
        <v>26.34</v>
      </c>
      <c r="E14" s="56">
        <v>9.1</v>
      </c>
      <c r="F14" s="56">
        <v>4.87</v>
      </c>
      <c r="G14" s="56">
        <v>76.989999999999995</v>
      </c>
      <c r="H14" s="56">
        <v>31.04</v>
      </c>
      <c r="I14" s="56">
        <v>6.67</v>
      </c>
      <c r="J14" s="56">
        <v>1.03</v>
      </c>
      <c r="K14" s="56">
        <v>354.19</v>
      </c>
      <c r="L14" s="56">
        <v>23.12</v>
      </c>
      <c r="M14" s="56">
        <v>67.88</v>
      </c>
      <c r="N14" s="56">
        <v>0</v>
      </c>
      <c r="O14" s="56">
        <v>0</v>
      </c>
      <c r="P14" s="56">
        <v>0.68</v>
      </c>
      <c r="Q14" s="56">
        <v>4.8099999999999996</v>
      </c>
    </row>
    <row r="15" spans="1:21" customFormat="1">
      <c r="A15" s="55">
        <v>45354.291666666664</v>
      </c>
      <c r="B15" s="56">
        <v>17.52</v>
      </c>
      <c r="C15" s="56">
        <v>24.68</v>
      </c>
      <c r="D15" s="56">
        <v>28.3</v>
      </c>
      <c r="E15" s="56">
        <v>9.84</v>
      </c>
      <c r="F15" s="56">
        <v>4.95</v>
      </c>
      <c r="G15" s="56">
        <v>105.86</v>
      </c>
      <c r="H15" s="56">
        <v>40.01</v>
      </c>
      <c r="I15" s="56">
        <v>7.78</v>
      </c>
      <c r="J15" s="56">
        <v>0.76</v>
      </c>
      <c r="K15" s="56">
        <v>55.81</v>
      </c>
      <c r="L15" s="56">
        <v>22.14</v>
      </c>
      <c r="M15" s="56">
        <v>68.709999999999994</v>
      </c>
      <c r="N15" s="56">
        <v>12.9</v>
      </c>
      <c r="O15" s="56">
        <v>0</v>
      </c>
      <c r="P15" s="56">
        <v>0.72</v>
      </c>
      <c r="Q15" s="56">
        <v>4.79</v>
      </c>
    </row>
    <row r="16" spans="1:21" customFormat="1">
      <c r="A16" s="55">
        <v>45354.333333333336</v>
      </c>
      <c r="B16" s="56">
        <v>18.399999999999999</v>
      </c>
      <c r="C16" s="56">
        <v>25.5</v>
      </c>
      <c r="D16" s="56">
        <v>29.43</v>
      </c>
      <c r="E16" s="56">
        <v>9.0500000000000007</v>
      </c>
      <c r="F16" s="56">
        <v>4.91</v>
      </c>
      <c r="G16" s="56">
        <v>103.08</v>
      </c>
      <c r="H16" s="56">
        <v>41.74</v>
      </c>
      <c r="I16" s="56">
        <v>8.42</v>
      </c>
      <c r="J16" s="56">
        <v>1.07</v>
      </c>
      <c r="K16" s="56">
        <v>65.760000000000005</v>
      </c>
      <c r="L16" s="56">
        <v>23.39</v>
      </c>
      <c r="M16" s="56">
        <v>63.15</v>
      </c>
      <c r="N16" s="56">
        <v>91.8</v>
      </c>
      <c r="O16" s="56">
        <v>0</v>
      </c>
      <c r="P16" s="56">
        <v>0.72</v>
      </c>
      <c r="Q16" s="56">
        <v>4.78</v>
      </c>
    </row>
    <row r="17" spans="1:17" customFormat="1">
      <c r="A17" s="55">
        <v>45354.375</v>
      </c>
      <c r="B17" s="56">
        <v>16.22</v>
      </c>
      <c r="C17" s="56">
        <v>25.5</v>
      </c>
      <c r="D17" s="56">
        <v>27.42</v>
      </c>
      <c r="E17" s="56">
        <v>10.44</v>
      </c>
      <c r="F17" s="56">
        <v>6.71</v>
      </c>
      <c r="G17" s="56">
        <v>95.9</v>
      </c>
      <c r="H17" s="56">
        <v>39.65</v>
      </c>
      <c r="I17" s="56">
        <v>8.3800000000000008</v>
      </c>
      <c r="J17" s="56">
        <v>1.1000000000000001</v>
      </c>
      <c r="K17" s="56">
        <v>67.349999999999994</v>
      </c>
      <c r="L17" s="56">
        <v>26.73</v>
      </c>
      <c r="M17" s="56">
        <v>58.94</v>
      </c>
      <c r="N17" s="56">
        <v>286.8</v>
      </c>
      <c r="O17" s="56">
        <v>0</v>
      </c>
      <c r="P17" s="56">
        <v>0.7</v>
      </c>
      <c r="Q17" s="56">
        <v>4.7699999999999996</v>
      </c>
    </row>
    <row r="18" spans="1:17" customFormat="1">
      <c r="A18" s="55">
        <v>45354.416666666664</v>
      </c>
      <c r="B18" s="56">
        <v>15.38</v>
      </c>
      <c r="C18" s="56">
        <v>21.34</v>
      </c>
      <c r="D18" s="56">
        <v>24.83</v>
      </c>
      <c r="E18" s="56">
        <v>12.94</v>
      </c>
      <c r="F18" s="56">
        <v>9.26</v>
      </c>
      <c r="G18" s="56">
        <v>97.47</v>
      </c>
      <c r="H18" s="56">
        <v>38.409999999999997</v>
      </c>
      <c r="I18" s="56">
        <v>8.3000000000000007</v>
      </c>
      <c r="J18" s="56">
        <v>0.79</v>
      </c>
      <c r="K18" s="56">
        <v>326.27</v>
      </c>
      <c r="L18" s="56">
        <v>29.98</v>
      </c>
      <c r="M18" s="56">
        <v>48.76</v>
      </c>
      <c r="N18" s="56">
        <v>384.4</v>
      </c>
      <c r="O18" s="56">
        <v>0</v>
      </c>
      <c r="P18" s="56">
        <v>0.69</v>
      </c>
      <c r="Q18" s="56">
        <v>4.75</v>
      </c>
    </row>
    <row r="19" spans="1:17" customFormat="1">
      <c r="A19" s="55">
        <v>45354.458333333336</v>
      </c>
      <c r="B19" s="56">
        <v>11.32</v>
      </c>
      <c r="C19" s="56">
        <v>21.76</v>
      </c>
      <c r="D19" s="56">
        <v>20.7</v>
      </c>
      <c r="E19" s="56">
        <v>12.76</v>
      </c>
      <c r="F19" s="56">
        <v>17</v>
      </c>
      <c r="G19" s="56">
        <v>95.21</v>
      </c>
      <c r="H19" s="56">
        <v>36.5</v>
      </c>
      <c r="I19" s="56">
        <v>8</v>
      </c>
      <c r="J19" s="56">
        <v>0.71</v>
      </c>
      <c r="K19" s="56">
        <v>306.27999999999997</v>
      </c>
      <c r="L19" s="56">
        <v>30.97</v>
      </c>
      <c r="M19" s="56">
        <v>41.39</v>
      </c>
      <c r="N19" s="56">
        <v>512.70000000000005</v>
      </c>
      <c r="O19" s="56">
        <v>0</v>
      </c>
      <c r="P19" s="56">
        <v>0.66</v>
      </c>
      <c r="Q19" s="56">
        <v>4.75</v>
      </c>
    </row>
    <row r="20" spans="1:17" customFormat="1">
      <c r="A20" s="55">
        <v>45354.5</v>
      </c>
      <c r="B20" s="56">
        <v>4.3899999999999997</v>
      </c>
      <c r="C20" s="56">
        <v>21.45</v>
      </c>
      <c r="D20" s="56">
        <v>16.079999999999998</v>
      </c>
      <c r="E20" s="56">
        <v>16.149999999999999</v>
      </c>
      <c r="F20" s="56">
        <v>17.5</v>
      </c>
      <c r="G20" s="56">
        <v>90.12</v>
      </c>
      <c r="H20" s="56">
        <v>34.11</v>
      </c>
      <c r="I20" s="56">
        <v>7.39</v>
      </c>
      <c r="J20" s="56">
        <v>1.02</v>
      </c>
      <c r="K20" s="56">
        <v>303.25</v>
      </c>
      <c r="L20" s="56">
        <v>31.16</v>
      </c>
      <c r="M20" s="56">
        <v>40.090000000000003</v>
      </c>
      <c r="N20" s="56">
        <v>497.4</v>
      </c>
      <c r="O20" s="56">
        <v>0</v>
      </c>
      <c r="P20" s="56">
        <v>0.6</v>
      </c>
      <c r="Q20" s="56">
        <v>4.7300000000000004</v>
      </c>
    </row>
    <row r="21" spans="1:17" customFormat="1">
      <c r="A21" s="55">
        <v>45354.541666666664</v>
      </c>
      <c r="B21" s="56">
        <v>3.31</v>
      </c>
      <c r="C21" s="56">
        <v>20.09</v>
      </c>
      <c r="D21" s="56">
        <v>14.5</v>
      </c>
      <c r="E21" s="56">
        <v>19.739999999999998</v>
      </c>
      <c r="F21" s="56">
        <v>18.41</v>
      </c>
      <c r="G21" s="56">
        <v>75.84</v>
      </c>
      <c r="H21" s="56">
        <v>32.35</v>
      </c>
      <c r="I21" s="56">
        <v>7.91</v>
      </c>
      <c r="J21" s="56">
        <v>0.95</v>
      </c>
      <c r="K21" s="56">
        <v>301.17</v>
      </c>
      <c r="L21" s="56">
        <v>32.520000000000003</v>
      </c>
      <c r="M21" s="56">
        <v>38.86</v>
      </c>
      <c r="N21" s="56">
        <v>534.9</v>
      </c>
      <c r="O21" s="56">
        <v>0</v>
      </c>
      <c r="P21" s="56">
        <v>0.61</v>
      </c>
      <c r="Q21" s="56">
        <v>4.7300000000000004</v>
      </c>
    </row>
    <row r="22" spans="1:17" customFormat="1">
      <c r="A22" s="55">
        <v>45354.583333333336</v>
      </c>
      <c r="B22" s="56">
        <v>3.53</v>
      </c>
      <c r="C22" s="56">
        <v>18.04</v>
      </c>
      <c r="D22" s="56">
        <v>13.6</v>
      </c>
      <c r="E22" s="56">
        <v>14.93</v>
      </c>
      <c r="F22" s="56">
        <v>19.71</v>
      </c>
      <c r="G22" s="56">
        <v>76.89</v>
      </c>
      <c r="H22" s="56">
        <v>30.42</v>
      </c>
      <c r="I22" s="56">
        <v>7.73</v>
      </c>
      <c r="J22" s="56">
        <v>1.22</v>
      </c>
      <c r="K22" s="56">
        <v>285.45</v>
      </c>
      <c r="L22" s="56">
        <v>34.07</v>
      </c>
      <c r="M22" s="56">
        <v>34.32</v>
      </c>
      <c r="N22" s="56">
        <v>528.6</v>
      </c>
      <c r="O22" s="56">
        <v>0</v>
      </c>
      <c r="P22" s="56">
        <v>0.54</v>
      </c>
      <c r="Q22" s="56">
        <v>4.72</v>
      </c>
    </row>
    <row r="23" spans="1:17" customFormat="1">
      <c r="A23" s="55">
        <v>45354.625</v>
      </c>
      <c r="B23" s="56">
        <v>3.5</v>
      </c>
      <c r="C23" s="56">
        <v>16.77</v>
      </c>
      <c r="D23" s="56">
        <v>12.83</v>
      </c>
      <c r="E23" s="56">
        <v>13.87</v>
      </c>
      <c r="F23" s="56">
        <v>16.59</v>
      </c>
      <c r="G23" s="56">
        <v>66.64</v>
      </c>
      <c r="H23" s="56">
        <v>26.62</v>
      </c>
      <c r="I23" s="56">
        <v>6.54</v>
      </c>
      <c r="J23" s="56">
        <v>1.31</v>
      </c>
      <c r="K23" s="56">
        <v>285.67</v>
      </c>
      <c r="L23" s="56">
        <v>34</v>
      </c>
      <c r="M23" s="56">
        <v>27.89</v>
      </c>
      <c r="N23" s="56">
        <v>515.29999999999995</v>
      </c>
      <c r="O23" s="56">
        <v>0</v>
      </c>
      <c r="P23" s="56">
        <v>0.56000000000000005</v>
      </c>
      <c r="Q23" s="56">
        <v>4.7</v>
      </c>
    </row>
    <row r="24" spans="1:17" customFormat="1">
      <c r="A24" s="55">
        <v>45354.666666666664</v>
      </c>
      <c r="B24" s="56">
        <v>3.83</v>
      </c>
      <c r="C24" s="56">
        <v>15.08</v>
      </c>
      <c r="D24" s="56">
        <v>12.09</v>
      </c>
      <c r="E24" s="56">
        <v>13.11</v>
      </c>
      <c r="F24" s="56">
        <v>18.440000000000001</v>
      </c>
      <c r="G24" s="56">
        <v>57.41</v>
      </c>
      <c r="H24" s="56">
        <v>23.09</v>
      </c>
      <c r="I24" s="56">
        <v>5.22</v>
      </c>
      <c r="J24" s="56">
        <v>0.84</v>
      </c>
      <c r="K24" s="56">
        <v>275.55</v>
      </c>
      <c r="L24" s="56">
        <v>33.49</v>
      </c>
      <c r="M24" s="56">
        <v>27.2</v>
      </c>
      <c r="N24" s="56">
        <v>178.2</v>
      </c>
      <c r="O24" s="56">
        <v>0</v>
      </c>
      <c r="P24" s="56">
        <v>0.52</v>
      </c>
      <c r="Q24" s="56">
        <v>4.67</v>
      </c>
    </row>
    <row r="25" spans="1:17" customFormat="1">
      <c r="A25" s="55">
        <v>45354.708333333336</v>
      </c>
      <c r="B25" s="56">
        <v>4.08</v>
      </c>
      <c r="C25" s="56">
        <v>13.63</v>
      </c>
      <c r="D25" s="56">
        <v>11.75</v>
      </c>
      <c r="E25" s="56">
        <v>12.18</v>
      </c>
      <c r="F25" s="56">
        <v>24.51</v>
      </c>
      <c r="G25" s="56">
        <v>44.38</v>
      </c>
      <c r="H25" s="56">
        <v>20.49</v>
      </c>
      <c r="I25" s="56">
        <v>4.49</v>
      </c>
      <c r="J25" s="56">
        <v>0.82</v>
      </c>
      <c r="K25" s="56">
        <v>290.95</v>
      </c>
      <c r="L25" s="56">
        <v>33.31</v>
      </c>
      <c r="M25" s="56">
        <v>30.77</v>
      </c>
      <c r="N25" s="56">
        <v>204.5</v>
      </c>
      <c r="O25" s="56">
        <v>0</v>
      </c>
      <c r="P25" s="56">
        <v>0.53</v>
      </c>
      <c r="Q25" s="56">
        <v>4.6500000000000004</v>
      </c>
    </row>
    <row r="26" spans="1:17" customFormat="1">
      <c r="A26" s="55">
        <v>45354.75</v>
      </c>
      <c r="B26" s="56">
        <v>3.55</v>
      </c>
      <c r="C26" s="56">
        <v>13.3</v>
      </c>
      <c r="D26" s="56">
        <v>10.65</v>
      </c>
      <c r="E26" s="56">
        <v>20.420000000000002</v>
      </c>
      <c r="F26" s="56">
        <v>34.119999999999997</v>
      </c>
      <c r="G26" s="56">
        <v>50.01</v>
      </c>
      <c r="H26" s="56">
        <v>21.58</v>
      </c>
      <c r="I26" s="56">
        <v>4.26</v>
      </c>
      <c r="J26" s="56">
        <v>0.27</v>
      </c>
      <c r="K26" s="56">
        <v>248.52</v>
      </c>
      <c r="L26" s="56">
        <v>32.89</v>
      </c>
      <c r="M26" s="56">
        <v>37.159999999999997</v>
      </c>
      <c r="N26" s="56">
        <v>52.4</v>
      </c>
      <c r="O26" s="56">
        <v>0</v>
      </c>
      <c r="P26" s="56">
        <v>0.47</v>
      </c>
      <c r="Q26" s="56">
        <v>4.7</v>
      </c>
    </row>
    <row r="27" spans="1:17" customFormat="1">
      <c r="A27" s="55">
        <v>45354.791666666664</v>
      </c>
      <c r="B27" s="56">
        <v>3.29</v>
      </c>
      <c r="C27" s="56">
        <v>16.7</v>
      </c>
      <c r="D27" s="56">
        <v>12.55</v>
      </c>
      <c r="E27" s="56">
        <v>13.72</v>
      </c>
      <c r="F27" s="56">
        <v>23.8</v>
      </c>
      <c r="G27" s="56">
        <v>51.37</v>
      </c>
      <c r="H27" s="56">
        <v>21.75</v>
      </c>
      <c r="I27" s="56">
        <v>4.62</v>
      </c>
      <c r="J27" s="56">
        <v>0.28000000000000003</v>
      </c>
      <c r="K27" s="56">
        <v>222.15</v>
      </c>
      <c r="L27" s="56">
        <v>30.52</v>
      </c>
      <c r="M27" s="56">
        <v>53.63</v>
      </c>
      <c r="N27" s="56">
        <v>0</v>
      </c>
      <c r="O27" s="56">
        <v>0</v>
      </c>
      <c r="P27" s="56">
        <v>0.55000000000000004</v>
      </c>
      <c r="Q27" s="56">
        <v>4.7</v>
      </c>
    </row>
    <row r="28" spans="1:17" customFormat="1">
      <c r="A28" s="55">
        <v>45354.833333333336</v>
      </c>
      <c r="B28" s="56">
        <v>3.75</v>
      </c>
      <c r="C28" s="56">
        <v>18.059999999999999</v>
      </c>
      <c r="D28" s="56">
        <v>13.79</v>
      </c>
      <c r="E28" s="56">
        <v>10.68</v>
      </c>
      <c r="F28" s="56">
        <v>12.5</v>
      </c>
      <c r="G28" s="56">
        <v>44.87</v>
      </c>
      <c r="H28" s="56">
        <v>20.010000000000002</v>
      </c>
      <c r="I28" s="56">
        <v>5.52</v>
      </c>
      <c r="J28" s="56">
        <v>0.28000000000000003</v>
      </c>
      <c r="K28" s="56">
        <v>183.77</v>
      </c>
      <c r="L28" s="56">
        <v>28.04</v>
      </c>
      <c r="M28" s="56">
        <v>58.38</v>
      </c>
      <c r="N28" s="56">
        <v>0</v>
      </c>
      <c r="O28" s="56">
        <v>0</v>
      </c>
      <c r="P28" s="56">
        <v>0.66</v>
      </c>
      <c r="Q28" s="56">
        <v>4.71</v>
      </c>
    </row>
    <row r="29" spans="1:17" customFormat="1">
      <c r="A29" s="55">
        <v>45354.875</v>
      </c>
      <c r="B29" s="56">
        <v>9.1</v>
      </c>
      <c r="C29" s="56">
        <v>25.79</v>
      </c>
      <c r="D29" s="56">
        <v>21.7</v>
      </c>
      <c r="E29" s="56">
        <v>11.49</v>
      </c>
      <c r="F29" s="56">
        <v>9.33</v>
      </c>
      <c r="G29" s="56">
        <v>53.37</v>
      </c>
      <c r="H29" s="56">
        <v>22.58</v>
      </c>
      <c r="I29" s="56">
        <v>7</v>
      </c>
      <c r="J29" s="56">
        <v>0.42</v>
      </c>
      <c r="K29" s="56">
        <v>168.57</v>
      </c>
      <c r="L29" s="56">
        <v>27.57</v>
      </c>
      <c r="M29" s="56">
        <v>60.04</v>
      </c>
      <c r="N29" s="56">
        <v>0</v>
      </c>
      <c r="O29" s="56">
        <v>0</v>
      </c>
      <c r="P29" s="56">
        <v>0.83</v>
      </c>
      <c r="Q29" s="56">
        <v>4.71</v>
      </c>
    </row>
    <row r="30" spans="1:17" customFormat="1">
      <c r="A30" s="55">
        <v>45354.916666666664</v>
      </c>
      <c r="B30" s="56">
        <v>6.27</v>
      </c>
      <c r="C30" s="56">
        <v>26.64</v>
      </c>
      <c r="D30" s="56">
        <v>20.21</v>
      </c>
      <c r="E30" s="56">
        <v>12.12</v>
      </c>
      <c r="F30" s="56">
        <v>14.65</v>
      </c>
      <c r="G30" s="56">
        <v>69.08</v>
      </c>
      <c r="H30" s="56">
        <v>26.58</v>
      </c>
      <c r="I30" s="56">
        <v>7.46</v>
      </c>
      <c r="J30" s="56">
        <v>0.19</v>
      </c>
      <c r="K30" s="56">
        <v>197.53</v>
      </c>
      <c r="L30" s="56">
        <v>27.61</v>
      </c>
      <c r="M30" s="56">
        <v>60.28</v>
      </c>
      <c r="N30" s="56">
        <v>0</v>
      </c>
      <c r="O30" s="56">
        <v>0</v>
      </c>
      <c r="P30" s="56">
        <v>0.82</v>
      </c>
      <c r="Q30" s="56">
        <v>4.72</v>
      </c>
    </row>
    <row r="31" spans="1:17" customFormat="1">
      <c r="A31" s="55">
        <v>45354.958333333336</v>
      </c>
      <c r="B31" s="56">
        <v>5.68</v>
      </c>
      <c r="C31" s="56">
        <v>21.87</v>
      </c>
      <c r="D31" s="56">
        <v>17.329999999999998</v>
      </c>
      <c r="E31" s="56">
        <v>10.42</v>
      </c>
      <c r="F31" s="56">
        <v>12.17</v>
      </c>
      <c r="G31" s="56">
        <v>80.19</v>
      </c>
      <c r="H31" s="56">
        <v>29.75</v>
      </c>
      <c r="I31" s="56">
        <v>7.33</v>
      </c>
      <c r="J31" s="56">
        <v>0.24</v>
      </c>
      <c r="K31" s="56">
        <v>174.07</v>
      </c>
      <c r="L31" s="56">
        <v>25.35</v>
      </c>
      <c r="M31" s="56">
        <v>67.430000000000007</v>
      </c>
      <c r="N31" s="56">
        <v>0</v>
      </c>
      <c r="O31" s="56">
        <v>0</v>
      </c>
      <c r="P31" s="56">
        <v>0.82</v>
      </c>
      <c r="Q31" s="56">
        <v>4.71</v>
      </c>
    </row>
    <row r="32" spans="1:17" customFormat="1">
      <c r="A32" s="55">
        <v>45355</v>
      </c>
      <c r="B32" s="56">
        <v>18.54</v>
      </c>
      <c r="C32" s="56">
        <v>27.14</v>
      </c>
      <c r="D32" s="56">
        <v>30.4</v>
      </c>
      <c r="E32" s="56">
        <v>8.81</v>
      </c>
      <c r="F32" s="56">
        <v>10.82</v>
      </c>
      <c r="G32" s="56">
        <v>82.32</v>
      </c>
      <c r="H32" s="56">
        <v>30.81</v>
      </c>
      <c r="I32" s="56">
        <v>7.68</v>
      </c>
      <c r="J32" s="56">
        <v>0.23</v>
      </c>
      <c r="K32" s="56">
        <v>195.2</v>
      </c>
      <c r="L32" s="56">
        <v>24.54</v>
      </c>
      <c r="M32" s="56">
        <v>70.98</v>
      </c>
      <c r="N32" s="56">
        <v>0</v>
      </c>
      <c r="O32" s="56">
        <v>0</v>
      </c>
      <c r="P32" s="56">
        <v>0.87</v>
      </c>
      <c r="Q32" s="56">
        <v>4.71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3.29</v>
      </c>
      <c r="C34" s="41">
        <f t="shared" si="0"/>
        <v>13.3</v>
      </c>
      <c r="D34" s="41">
        <f t="shared" si="0"/>
        <v>10.65</v>
      </c>
      <c r="E34" s="41">
        <f t="shared" si="0"/>
        <v>4.71</v>
      </c>
      <c r="F34" s="41">
        <f t="shared" si="0"/>
        <v>4.87</v>
      </c>
      <c r="G34" s="41">
        <f t="shared" si="0"/>
        <v>44.38</v>
      </c>
      <c r="H34" s="41">
        <f t="shared" si="0"/>
        <v>20.010000000000002</v>
      </c>
      <c r="I34" s="41">
        <f t="shared" si="0"/>
        <v>4.26</v>
      </c>
      <c r="J34" s="41">
        <f t="shared" si="0"/>
        <v>0.16</v>
      </c>
      <c r="K34" s="41">
        <f t="shared" si="0"/>
        <v>55.81</v>
      </c>
      <c r="L34" s="41">
        <f t="shared" si="0"/>
        <v>22.14</v>
      </c>
      <c r="M34" s="41">
        <f t="shared" si="0"/>
        <v>27.2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18.54</v>
      </c>
      <c r="C35" s="33">
        <f t="shared" si="1"/>
        <v>27.14</v>
      </c>
      <c r="D35" s="33">
        <f t="shared" si="1"/>
        <v>30.4</v>
      </c>
      <c r="E35" s="33">
        <f t="shared" si="1"/>
        <v>20.420000000000002</v>
      </c>
      <c r="F35" s="33">
        <f t="shared" si="1"/>
        <v>34.119999999999997</v>
      </c>
      <c r="G35" s="33">
        <f t="shared" si="1"/>
        <v>105.86</v>
      </c>
      <c r="H35" s="33">
        <f t="shared" si="1"/>
        <v>41.74</v>
      </c>
      <c r="I35" s="33">
        <f t="shared" si="1"/>
        <v>8.42</v>
      </c>
      <c r="J35" s="33">
        <f t="shared" si="1"/>
        <v>1.31</v>
      </c>
      <c r="K35" s="33">
        <f t="shared" si="1"/>
        <v>354.19</v>
      </c>
      <c r="L35" s="33">
        <f t="shared" si="1"/>
        <v>34.07</v>
      </c>
      <c r="M35" s="33">
        <f t="shared" si="1"/>
        <v>70.98</v>
      </c>
      <c r="N35" s="33">
        <f t="shared" si="1"/>
        <v>534.9</v>
      </c>
      <c r="O35" s="33">
        <f t="shared" si="1"/>
        <v>0</v>
      </c>
      <c r="P35" s="33">
        <f t="shared" si="1"/>
        <v>0.87</v>
      </c>
      <c r="Q35" s="33">
        <f t="shared" si="1"/>
        <v>4.8099999999999996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8.9145833333333346</v>
      </c>
      <c r="C36" s="41">
        <f t="shared" si="2"/>
        <v>20.526249999999997</v>
      </c>
      <c r="D36" s="41">
        <f t="shared" si="2"/>
        <v>19.077499999999997</v>
      </c>
      <c r="E36" s="41">
        <f t="shared" si="2"/>
        <v>11.39291666666667</v>
      </c>
      <c r="F36" s="41">
        <f t="shared" si="2"/>
        <v>13.147916666666665</v>
      </c>
      <c r="G36" s="41">
        <f t="shared" si="2"/>
        <v>73.998333333333335</v>
      </c>
      <c r="H36" s="41">
        <f t="shared" si="2"/>
        <v>29.534583333333334</v>
      </c>
      <c r="I36" s="41">
        <f t="shared" si="2"/>
        <v>6.595833333333335</v>
      </c>
      <c r="J36" s="41">
        <f t="shared" si="2"/>
        <v>0.63291666666666668</v>
      </c>
      <c r="K36" s="41">
        <f t="shared" si="2"/>
        <v>231.94041666666661</v>
      </c>
      <c r="L36" s="41">
        <f t="shared" si="2"/>
        <v>27.867500000000003</v>
      </c>
      <c r="M36" s="41">
        <f t="shared" si="2"/>
        <v>53.266250000000007</v>
      </c>
      <c r="N36" s="41">
        <f t="shared" si="2"/>
        <v>158.32916666666668</v>
      </c>
      <c r="O36" s="41">
        <f t="shared" si="2"/>
        <v>0</v>
      </c>
      <c r="P36" s="41">
        <f t="shared" si="2"/>
        <v>0.61750000000000005</v>
      </c>
      <c r="Q36" s="41">
        <f t="shared" si="2"/>
        <v>4.7249999999999996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5.7364335073334498</v>
      </c>
      <c r="C37" s="41">
        <f t="shared" ref="C37:Q37" si="3">STDEV(C9:C32)</f>
        <v>4.0769093286352556</v>
      </c>
      <c r="D37" s="41">
        <f t="shared" si="3"/>
        <v>6.2819003286529895</v>
      </c>
      <c r="E37" s="41">
        <f t="shared" si="3"/>
        <v>3.9671186336714381</v>
      </c>
      <c r="F37" s="41">
        <f t="shared" si="3"/>
        <v>7.5388160638741963</v>
      </c>
      <c r="G37" s="41">
        <f t="shared" si="3"/>
        <v>17.949269493835121</v>
      </c>
      <c r="H37" s="41">
        <f t="shared" si="3"/>
        <v>6.4243172394234547</v>
      </c>
      <c r="I37" s="41">
        <f t="shared" si="3"/>
        <v>1.3493957316442375</v>
      </c>
      <c r="J37" s="41">
        <f t="shared" si="3"/>
        <v>0.37707661736352593</v>
      </c>
      <c r="K37" s="41">
        <f t="shared" si="3"/>
        <v>83.922721413119618</v>
      </c>
      <c r="L37" s="41">
        <f t="shared" si="3"/>
        <v>4.2047739431559608</v>
      </c>
      <c r="M37" s="41">
        <f t="shared" si="3"/>
        <v>14.527064939652073</v>
      </c>
      <c r="N37" s="41">
        <f t="shared" si="3"/>
        <v>214.13482238019367</v>
      </c>
      <c r="O37" s="41">
        <f t="shared" si="3"/>
        <v>0</v>
      </c>
      <c r="P37" s="41">
        <f t="shared" si="3"/>
        <v>0.13552634911465669</v>
      </c>
      <c r="Q37" s="41">
        <f t="shared" si="3"/>
        <v>4.2426406871192777E-2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7.710937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45355.041666666664</v>
      </c>
      <c r="B9" s="56">
        <v>9.36</v>
      </c>
      <c r="C9" s="56">
        <v>22</v>
      </c>
      <c r="D9" s="56">
        <v>20.309999999999999</v>
      </c>
      <c r="E9" s="56">
        <v>7.73</v>
      </c>
      <c r="F9" s="56">
        <v>6.83</v>
      </c>
      <c r="G9" s="56">
        <v>89.71</v>
      </c>
      <c r="H9" s="56">
        <v>31.73</v>
      </c>
      <c r="I9" s="56">
        <v>7.45</v>
      </c>
      <c r="J9" s="56">
        <v>0.24</v>
      </c>
      <c r="K9" s="56">
        <v>204.66</v>
      </c>
      <c r="L9" s="56">
        <v>24.41</v>
      </c>
      <c r="M9" s="56">
        <v>69.73</v>
      </c>
      <c r="N9" s="56">
        <v>0</v>
      </c>
      <c r="O9" s="56">
        <v>0</v>
      </c>
      <c r="P9" s="56">
        <v>0.83</v>
      </c>
      <c r="Q9" s="56">
        <v>4.71</v>
      </c>
    </row>
    <row r="10" spans="1:21" customFormat="1">
      <c r="A10" s="55">
        <v>45355.083333333336</v>
      </c>
      <c r="B10" s="56">
        <v>6.87</v>
      </c>
      <c r="C10" s="56">
        <v>21.7</v>
      </c>
      <c r="D10" s="56">
        <v>18.03</v>
      </c>
      <c r="E10" s="56">
        <v>7.72</v>
      </c>
      <c r="F10" s="56">
        <v>6.72</v>
      </c>
      <c r="G10" s="56">
        <v>86.66</v>
      </c>
      <c r="H10" s="56">
        <v>33.11</v>
      </c>
      <c r="I10" s="56">
        <v>7.69</v>
      </c>
      <c r="J10" s="56">
        <v>0.24</v>
      </c>
      <c r="K10" s="56">
        <v>245.72</v>
      </c>
      <c r="L10" s="56">
        <v>23.74</v>
      </c>
      <c r="M10" s="56">
        <v>69.709999999999994</v>
      </c>
      <c r="N10" s="56">
        <v>0</v>
      </c>
      <c r="O10" s="56">
        <v>0</v>
      </c>
      <c r="P10" s="56">
        <v>0.83</v>
      </c>
      <c r="Q10" s="56">
        <v>4.7300000000000004</v>
      </c>
    </row>
    <row r="11" spans="1:21" customFormat="1">
      <c r="A11" s="55">
        <v>45355.125</v>
      </c>
      <c r="B11" s="56">
        <v>6.76</v>
      </c>
      <c r="C11" s="56">
        <v>23.04</v>
      </c>
      <c r="D11" s="56">
        <v>18.809999999999999</v>
      </c>
      <c r="E11" s="56">
        <v>9.59</v>
      </c>
      <c r="F11" s="56">
        <v>7.4</v>
      </c>
      <c r="G11" s="56">
        <v>79.42</v>
      </c>
      <c r="H11" s="56">
        <v>30.31</v>
      </c>
      <c r="I11" s="56">
        <v>7.8</v>
      </c>
      <c r="J11" s="56">
        <v>1.1000000000000001</v>
      </c>
      <c r="K11" s="56">
        <v>200.7</v>
      </c>
      <c r="L11" s="56">
        <v>24.63</v>
      </c>
      <c r="M11" s="56">
        <v>64.34</v>
      </c>
      <c r="N11" s="56">
        <v>0</v>
      </c>
      <c r="O11" s="56">
        <v>0</v>
      </c>
      <c r="P11" s="56">
        <v>0.81</v>
      </c>
      <c r="Q11" s="56">
        <v>4.72</v>
      </c>
    </row>
    <row r="12" spans="1:21" customFormat="1">
      <c r="A12" s="55">
        <v>45355.166666666664</v>
      </c>
      <c r="B12" s="56">
        <v>7.08</v>
      </c>
      <c r="C12" s="56">
        <v>24.77</v>
      </c>
      <c r="D12" s="56">
        <v>19.82</v>
      </c>
      <c r="E12" s="56">
        <v>12.16</v>
      </c>
      <c r="F12" s="56">
        <v>6.18</v>
      </c>
      <c r="G12" s="56">
        <v>80.03</v>
      </c>
      <c r="H12" s="56">
        <v>33.56</v>
      </c>
      <c r="I12" s="56">
        <v>7.86</v>
      </c>
      <c r="J12" s="56">
        <v>0.66</v>
      </c>
      <c r="K12" s="56">
        <v>241.35</v>
      </c>
      <c r="L12" s="56">
        <v>24.42</v>
      </c>
      <c r="M12" s="56">
        <v>71.34</v>
      </c>
      <c r="N12" s="56">
        <v>0</v>
      </c>
      <c r="O12" s="56">
        <v>0</v>
      </c>
      <c r="P12" s="56">
        <v>0.92</v>
      </c>
      <c r="Q12" s="56">
        <v>4.7300000000000004</v>
      </c>
    </row>
    <row r="13" spans="1:21" customFormat="1">
      <c r="A13" s="55">
        <v>45355.208333333336</v>
      </c>
      <c r="B13" s="56">
        <v>9.09</v>
      </c>
      <c r="C13" s="56">
        <v>26.18</v>
      </c>
      <c r="D13" s="56">
        <v>21.53</v>
      </c>
      <c r="E13" s="56">
        <v>10.76</v>
      </c>
      <c r="F13" s="56">
        <v>5.33</v>
      </c>
      <c r="G13" s="56">
        <v>103.35</v>
      </c>
      <c r="H13" s="56">
        <v>40.98</v>
      </c>
      <c r="I13" s="56">
        <v>8.3699999999999992</v>
      </c>
      <c r="J13" s="56">
        <v>0.21</v>
      </c>
      <c r="K13" s="56">
        <v>303.12</v>
      </c>
      <c r="L13" s="56">
        <v>23.54</v>
      </c>
      <c r="M13" s="56">
        <v>76.569999999999993</v>
      </c>
      <c r="N13" s="56">
        <v>0</v>
      </c>
      <c r="O13" s="56">
        <v>0</v>
      </c>
      <c r="P13" s="56">
        <v>0.96</v>
      </c>
      <c r="Q13" s="56">
        <v>4.74</v>
      </c>
    </row>
    <row r="14" spans="1:21" customFormat="1">
      <c r="A14" s="55">
        <v>45355.25</v>
      </c>
      <c r="B14" s="56">
        <v>13.39</v>
      </c>
      <c r="C14" s="56">
        <v>21.06</v>
      </c>
      <c r="D14" s="56">
        <v>23.1</v>
      </c>
      <c r="E14" s="56">
        <v>8.0399999999999991</v>
      </c>
      <c r="F14" s="56">
        <v>5.0999999999999996</v>
      </c>
      <c r="G14" s="56">
        <v>108.62</v>
      </c>
      <c r="H14" s="56">
        <v>45.63</v>
      </c>
      <c r="I14" s="56">
        <v>8.5</v>
      </c>
      <c r="J14" s="56">
        <v>0.28000000000000003</v>
      </c>
      <c r="K14" s="56">
        <v>192.62</v>
      </c>
      <c r="L14" s="56">
        <v>22.67</v>
      </c>
      <c r="M14" s="56">
        <v>77.709999999999994</v>
      </c>
      <c r="N14" s="56">
        <v>0</v>
      </c>
      <c r="O14" s="56">
        <v>0</v>
      </c>
      <c r="P14" s="56">
        <v>0.96</v>
      </c>
      <c r="Q14" s="56">
        <v>4.72</v>
      </c>
    </row>
    <row r="15" spans="1:21" customFormat="1">
      <c r="A15" s="55">
        <v>45355.291666666664</v>
      </c>
      <c r="B15" s="56">
        <v>16.63</v>
      </c>
      <c r="C15" s="56">
        <v>23.44</v>
      </c>
      <c r="D15" s="56">
        <v>25.61</v>
      </c>
      <c r="E15" s="56">
        <v>10.35</v>
      </c>
      <c r="F15" s="56">
        <v>5.67</v>
      </c>
      <c r="G15" s="56">
        <v>111.38</v>
      </c>
      <c r="H15" s="56">
        <v>43.43</v>
      </c>
      <c r="I15" s="56">
        <v>8.94</v>
      </c>
      <c r="J15" s="56">
        <v>0.66</v>
      </c>
      <c r="K15" s="56">
        <v>352.48</v>
      </c>
      <c r="L15" s="56">
        <v>23.12</v>
      </c>
      <c r="M15" s="56">
        <v>73.97</v>
      </c>
      <c r="N15" s="56">
        <v>15.4</v>
      </c>
      <c r="O15" s="56">
        <v>0</v>
      </c>
      <c r="P15" s="56">
        <v>1.05</v>
      </c>
      <c r="Q15" s="56">
        <v>4.75</v>
      </c>
    </row>
    <row r="16" spans="1:21" customFormat="1">
      <c r="A16" s="55">
        <v>45355.333333333336</v>
      </c>
      <c r="B16" s="56">
        <v>15.11</v>
      </c>
      <c r="C16" s="56">
        <v>27.65</v>
      </c>
      <c r="D16" s="56">
        <v>27.91</v>
      </c>
      <c r="E16" s="56">
        <v>19.309999999999999</v>
      </c>
      <c r="F16" s="56">
        <v>5.4</v>
      </c>
      <c r="G16" s="56">
        <v>116.04</v>
      </c>
      <c r="H16" s="56">
        <v>47.05</v>
      </c>
      <c r="I16" s="56">
        <v>9.5500000000000007</v>
      </c>
      <c r="J16" s="56">
        <v>0.7</v>
      </c>
      <c r="K16" s="56">
        <v>54.6</v>
      </c>
      <c r="L16" s="56">
        <v>24.46</v>
      </c>
      <c r="M16" s="56">
        <v>72.86</v>
      </c>
      <c r="N16" s="56">
        <v>87.4</v>
      </c>
      <c r="O16" s="56">
        <v>0</v>
      </c>
      <c r="P16" s="56">
        <v>1.18</v>
      </c>
      <c r="Q16" s="56">
        <v>4.78</v>
      </c>
    </row>
    <row r="17" spans="1:17" customFormat="1">
      <c r="A17" s="55">
        <v>45355.375</v>
      </c>
      <c r="B17" s="56">
        <v>15.54</v>
      </c>
      <c r="C17" s="56">
        <v>30.74</v>
      </c>
      <c r="D17" s="56">
        <v>29.75</v>
      </c>
      <c r="E17" s="56">
        <v>17.36</v>
      </c>
      <c r="F17" s="56">
        <v>6.4</v>
      </c>
      <c r="G17" s="56">
        <v>126.91</v>
      </c>
      <c r="H17" s="56">
        <v>49.12</v>
      </c>
      <c r="I17" s="56">
        <v>10.09</v>
      </c>
      <c r="J17" s="56">
        <v>0.9</v>
      </c>
      <c r="K17" s="56">
        <v>54.12</v>
      </c>
      <c r="L17" s="56">
        <v>25.98</v>
      </c>
      <c r="M17" s="56">
        <v>67.61</v>
      </c>
      <c r="N17" s="56">
        <v>180.2</v>
      </c>
      <c r="O17" s="56">
        <v>0</v>
      </c>
      <c r="P17" s="56">
        <v>1.19</v>
      </c>
      <c r="Q17" s="56">
        <v>4.8</v>
      </c>
    </row>
    <row r="18" spans="1:17" customFormat="1">
      <c r="A18" s="55">
        <v>45355.416666666664</v>
      </c>
      <c r="B18" s="56">
        <v>14.62</v>
      </c>
      <c r="C18" s="56">
        <v>32.89</v>
      </c>
      <c r="D18" s="56">
        <v>30.26</v>
      </c>
      <c r="E18" s="56">
        <v>21.66</v>
      </c>
      <c r="F18" s="56">
        <v>8.56</v>
      </c>
      <c r="G18" s="56">
        <v>127.9</v>
      </c>
      <c r="H18" s="56">
        <v>51.37</v>
      </c>
      <c r="I18" s="56">
        <v>10.199999999999999</v>
      </c>
      <c r="J18" s="56">
        <v>1.39</v>
      </c>
      <c r="K18" s="56">
        <v>53.24</v>
      </c>
      <c r="L18" s="56">
        <v>27.87</v>
      </c>
      <c r="M18" s="56">
        <v>61.72</v>
      </c>
      <c r="N18" s="56">
        <v>349.3</v>
      </c>
      <c r="O18" s="56">
        <v>0</v>
      </c>
      <c r="P18" s="56">
        <v>1.19</v>
      </c>
      <c r="Q18" s="56">
        <v>4.8099999999999996</v>
      </c>
    </row>
    <row r="19" spans="1:17" customFormat="1">
      <c r="A19" s="55">
        <v>45355.458333333336</v>
      </c>
      <c r="B19" s="56">
        <v>12.7</v>
      </c>
      <c r="C19" s="56">
        <v>31.84</v>
      </c>
      <c r="D19" s="56">
        <v>28.1</v>
      </c>
      <c r="E19" s="56">
        <v>15.76</v>
      </c>
      <c r="F19" s="56">
        <v>16.32</v>
      </c>
      <c r="G19" s="56">
        <v>126.73</v>
      </c>
      <c r="H19" s="56">
        <v>48.8</v>
      </c>
      <c r="I19" s="56">
        <v>10</v>
      </c>
      <c r="J19" s="56">
        <v>1.1599999999999999</v>
      </c>
      <c r="K19" s="56">
        <v>55.26</v>
      </c>
      <c r="L19" s="56">
        <v>29.6</v>
      </c>
      <c r="M19" s="56">
        <v>51.99</v>
      </c>
      <c r="N19" s="56">
        <v>487.7</v>
      </c>
      <c r="O19" s="56">
        <v>0</v>
      </c>
      <c r="P19" s="56">
        <v>1.1200000000000001</v>
      </c>
      <c r="Q19" s="56">
        <v>4.8099999999999996</v>
      </c>
    </row>
    <row r="20" spans="1:17" customFormat="1">
      <c r="A20" s="55">
        <v>45355.5</v>
      </c>
      <c r="B20" s="56">
        <v>7.87</v>
      </c>
      <c r="C20" s="56">
        <v>28.43</v>
      </c>
      <c r="D20" s="56">
        <v>22.52</v>
      </c>
      <c r="E20" s="56">
        <v>18.61</v>
      </c>
      <c r="F20" s="56">
        <v>11.05</v>
      </c>
      <c r="G20" s="56">
        <v>114.26</v>
      </c>
      <c r="H20" s="56">
        <v>46.76</v>
      </c>
      <c r="I20" s="56">
        <v>9.1</v>
      </c>
      <c r="J20" s="56">
        <v>0.69</v>
      </c>
      <c r="K20" s="56">
        <v>357.76</v>
      </c>
      <c r="L20" s="56">
        <v>30.52</v>
      </c>
      <c r="M20" s="56">
        <v>45.03</v>
      </c>
      <c r="N20" s="56">
        <v>455.5</v>
      </c>
      <c r="O20" s="56">
        <v>0</v>
      </c>
      <c r="P20" s="56">
        <v>1.04</v>
      </c>
      <c r="Q20" s="56">
        <v>4.7699999999999996</v>
      </c>
    </row>
    <row r="21" spans="1:17" customFormat="1">
      <c r="A21" s="55">
        <v>45355.541666666664</v>
      </c>
      <c r="B21" s="56">
        <v>6.91</v>
      </c>
      <c r="C21" s="56">
        <v>25.92</v>
      </c>
      <c r="D21" s="56">
        <v>20.100000000000001</v>
      </c>
      <c r="E21" s="56">
        <v>17.52</v>
      </c>
      <c r="F21" s="56">
        <v>17.36</v>
      </c>
      <c r="G21" s="56">
        <v>93.59</v>
      </c>
      <c r="H21" s="56">
        <v>38.53</v>
      </c>
      <c r="I21" s="56">
        <v>8.6</v>
      </c>
      <c r="J21" s="56">
        <v>0.9</v>
      </c>
      <c r="K21" s="56">
        <v>325.77999999999997</v>
      </c>
      <c r="L21" s="56">
        <v>32.119999999999997</v>
      </c>
      <c r="M21" s="56">
        <v>42.26</v>
      </c>
      <c r="N21" s="56">
        <v>504.4</v>
      </c>
      <c r="O21" s="56">
        <v>0</v>
      </c>
      <c r="P21" s="56">
        <v>1.04</v>
      </c>
      <c r="Q21" s="56">
        <v>4.71</v>
      </c>
    </row>
    <row r="22" spans="1:17" customFormat="1">
      <c r="A22" s="55">
        <v>45355.583333333336</v>
      </c>
      <c r="B22" s="56">
        <v>5.04</v>
      </c>
      <c r="C22" s="56">
        <v>24.66</v>
      </c>
      <c r="D22" s="56">
        <v>17.239999999999998</v>
      </c>
      <c r="E22" s="56">
        <v>14.75</v>
      </c>
      <c r="F22" s="56">
        <v>21.5</v>
      </c>
      <c r="G22" s="56">
        <v>90.72</v>
      </c>
      <c r="H22" s="56">
        <v>40.270000000000003</v>
      </c>
      <c r="I22" s="56">
        <v>8.2899999999999991</v>
      </c>
      <c r="J22" s="56">
        <v>0.86</v>
      </c>
      <c r="K22" s="56">
        <v>348.87</v>
      </c>
      <c r="L22" s="56">
        <v>33.380000000000003</v>
      </c>
      <c r="M22" s="56">
        <v>38.31</v>
      </c>
      <c r="N22" s="56">
        <v>503.5</v>
      </c>
      <c r="O22" s="56">
        <v>0</v>
      </c>
      <c r="P22" s="56">
        <v>0.95</v>
      </c>
      <c r="Q22" s="56">
        <v>4.7300000000000004</v>
      </c>
    </row>
    <row r="23" spans="1:17" customFormat="1">
      <c r="A23" s="55">
        <v>45355.625</v>
      </c>
      <c r="B23" s="56">
        <v>7.76</v>
      </c>
      <c r="C23" s="56">
        <v>28.34</v>
      </c>
      <c r="D23" s="56">
        <v>22.38</v>
      </c>
      <c r="E23" s="56">
        <v>26.56</v>
      </c>
      <c r="F23" s="56">
        <v>31.04</v>
      </c>
      <c r="G23" s="56">
        <v>82.94</v>
      </c>
      <c r="H23" s="56">
        <v>36.369999999999997</v>
      </c>
      <c r="I23" s="56">
        <v>7.52</v>
      </c>
      <c r="J23" s="56">
        <v>1.07</v>
      </c>
      <c r="K23" s="56">
        <v>341.47</v>
      </c>
      <c r="L23" s="56">
        <v>33.659999999999997</v>
      </c>
      <c r="M23" s="56">
        <v>40.57</v>
      </c>
      <c r="N23" s="56">
        <v>398</v>
      </c>
      <c r="O23" s="56">
        <v>0</v>
      </c>
      <c r="P23" s="56">
        <v>0.81</v>
      </c>
      <c r="Q23" s="56">
        <v>4.71</v>
      </c>
    </row>
    <row r="24" spans="1:17" customFormat="1">
      <c r="A24" s="55">
        <v>45355.666666666664</v>
      </c>
      <c r="B24" s="56">
        <v>8.81</v>
      </c>
      <c r="C24" s="56">
        <v>30.91</v>
      </c>
      <c r="D24" s="56">
        <v>24.06</v>
      </c>
      <c r="E24" s="56">
        <v>29.02</v>
      </c>
      <c r="F24" s="56">
        <v>25.21</v>
      </c>
      <c r="G24" s="56">
        <v>102.57</v>
      </c>
      <c r="H24" s="56">
        <v>37.17</v>
      </c>
      <c r="I24" s="56">
        <v>7.05</v>
      </c>
      <c r="J24" s="56">
        <v>1.18</v>
      </c>
      <c r="K24" s="56">
        <v>52.54</v>
      </c>
      <c r="L24" s="56">
        <v>31.52</v>
      </c>
      <c r="M24" s="56">
        <v>41.27</v>
      </c>
      <c r="N24" s="56">
        <v>195</v>
      </c>
      <c r="O24" s="56">
        <v>0</v>
      </c>
      <c r="P24" s="56">
        <v>0.79</v>
      </c>
      <c r="Q24" s="56">
        <v>4.75</v>
      </c>
    </row>
    <row r="25" spans="1:17" customFormat="1">
      <c r="A25" s="55">
        <v>45355.708333333336</v>
      </c>
      <c r="B25" s="56">
        <v>18.22</v>
      </c>
      <c r="C25" s="56">
        <v>40.65</v>
      </c>
      <c r="D25" s="56">
        <v>41.03</v>
      </c>
      <c r="E25" s="56">
        <v>28.12</v>
      </c>
      <c r="F25" s="56">
        <v>26.17</v>
      </c>
      <c r="G25" s="56">
        <v>205.65</v>
      </c>
      <c r="H25" s="56">
        <v>42.44</v>
      </c>
      <c r="I25" s="56">
        <v>6.43</v>
      </c>
      <c r="J25" s="56">
        <v>1.22</v>
      </c>
      <c r="K25" s="56">
        <v>48.79</v>
      </c>
      <c r="L25" s="56">
        <v>31.54</v>
      </c>
      <c r="M25" s="56">
        <v>40.909999999999997</v>
      </c>
      <c r="N25" s="56">
        <v>162.4</v>
      </c>
      <c r="O25" s="56">
        <v>0</v>
      </c>
      <c r="P25" s="56">
        <v>0.8</v>
      </c>
      <c r="Q25" s="56">
        <v>4.75</v>
      </c>
    </row>
    <row r="26" spans="1:17" customFormat="1">
      <c r="A26" s="55">
        <v>45355.75</v>
      </c>
      <c r="B26" s="56">
        <v>12.22</v>
      </c>
      <c r="C26" s="56">
        <v>39.56</v>
      </c>
      <c r="D26" s="56">
        <v>30.55</v>
      </c>
      <c r="E26" s="56">
        <v>31.5</v>
      </c>
      <c r="F26" s="56">
        <v>28.07</v>
      </c>
      <c r="G26" s="56">
        <v>105.71</v>
      </c>
      <c r="H26" s="56">
        <v>57.25</v>
      </c>
      <c r="I26" s="56">
        <v>6.25</v>
      </c>
      <c r="J26" s="56">
        <v>1.06</v>
      </c>
      <c r="K26" s="56">
        <v>63.93</v>
      </c>
      <c r="L26" s="56">
        <v>31.06</v>
      </c>
      <c r="M26" s="56">
        <v>45.34</v>
      </c>
      <c r="N26" s="56">
        <v>41.3</v>
      </c>
      <c r="O26" s="56">
        <v>0</v>
      </c>
      <c r="P26" s="56">
        <v>0.83</v>
      </c>
      <c r="Q26" s="56">
        <v>4.76</v>
      </c>
    </row>
    <row r="27" spans="1:17" customFormat="1">
      <c r="A27" s="55">
        <v>45355.791666666664</v>
      </c>
      <c r="B27" s="56">
        <v>10.98</v>
      </c>
      <c r="C27" s="56">
        <v>34.61</v>
      </c>
      <c r="D27" s="56">
        <v>28.24</v>
      </c>
      <c r="E27" s="56">
        <v>24.15</v>
      </c>
      <c r="F27" s="56">
        <v>20.86</v>
      </c>
      <c r="G27" s="56">
        <v>106.3</v>
      </c>
      <c r="H27" s="56">
        <v>49.76</v>
      </c>
      <c r="I27" s="56">
        <v>6.38</v>
      </c>
      <c r="J27" s="56">
        <v>0.76</v>
      </c>
      <c r="K27" s="56">
        <v>174.28</v>
      </c>
      <c r="L27" s="56">
        <v>29.32</v>
      </c>
      <c r="M27" s="56">
        <v>56.05</v>
      </c>
      <c r="N27" s="56">
        <v>0</v>
      </c>
      <c r="O27" s="56">
        <v>0</v>
      </c>
      <c r="P27" s="56">
        <v>0.87</v>
      </c>
      <c r="Q27" s="56">
        <v>4.75</v>
      </c>
    </row>
    <row r="28" spans="1:17" customFormat="1">
      <c r="A28" s="55">
        <v>45355.833333333336</v>
      </c>
      <c r="B28" s="56">
        <v>11.94</v>
      </c>
      <c r="C28" s="56">
        <v>33.17</v>
      </c>
      <c r="D28" s="56">
        <v>27.74</v>
      </c>
      <c r="E28" s="56">
        <v>16.36</v>
      </c>
      <c r="F28" s="56">
        <v>11.73</v>
      </c>
      <c r="G28" s="56">
        <v>115.6</v>
      </c>
      <c r="H28" s="56">
        <v>44.7</v>
      </c>
      <c r="I28" s="56">
        <v>7.34</v>
      </c>
      <c r="J28" s="56">
        <v>0.74</v>
      </c>
      <c r="K28" s="56">
        <v>119.86</v>
      </c>
      <c r="L28" s="56">
        <v>28.14</v>
      </c>
      <c r="M28" s="56">
        <v>53</v>
      </c>
      <c r="N28" s="56">
        <v>0</v>
      </c>
      <c r="O28" s="56">
        <v>0</v>
      </c>
      <c r="P28" s="56">
        <v>0.97</v>
      </c>
      <c r="Q28" s="56">
        <v>4.74</v>
      </c>
    </row>
    <row r="29" spans="1:17" customFormat="1">
      <c r="A29" s="55">
        <v>45355.875</v>
      </c>
      <c r="B29" s="56">
        <v>11.63</v>
      </c>
      <c r="C29" s="56">
        <v>34.08</v>
      </c>
      <c r="D29" s="56">
        <v>28.35</v>
      </c>
      <c r="E29" s="56">
        <v>12.67</v>
      </c>
      <c r="F29" s="56">
        <v>12.73</v>
      </c>
      <c r="G29" s="56">
        <v>131.54</v>
      </c>
      <c r="H29" s="56">
        <v>43.59</v>
      </c>
      <c r="I29" s="56">
        <v>7.22</v>
      </c>
      <c r="J29" s="56">
        <v>0.38</v>
      </c>
      <c r="K29" s="56">
        <v>196.53</v>
      </c>
      <c r="L29" s="56">
        <v>27.26</v>
      </c>
      <c r="M29" s="56">
        <v>56.79</v>
      </c>
      <c r="N29" s="56">
        <v>0</v>
      </c>
      <c r="O29" s="56">
        <v>0</v>
      </c>
      <c r="P29" s="56">
        <v>0.92</v>
      </c>
      <c r="Q29" s="56">
        <v>4.76</v>
      </c>
    </row>
    <row r="30" spans="1:17" customFormat="1">
      <c r="A30" s="55">
        <v>45355.916666666664</v>
      </c>
      <c r="B30" s="56">
        <v>15.02</v>
      </c>
      <c r="C30" s="56">
        <v>35.369999999999997</v>
      </c>
      <c r="D30" s="56">
        <v>31.87</v>
      </c>
      <c r="E30" s="56">
        <v>10.210000000000001</v>
      </c>
      <c r="F30" s="56">
        <v>5.93</v>
      </c>
      <c r="G30" s="56">
        <v>109.78</v>
      </c>
      <c r="H30" s="56">
        <v>42.52</v>
      </c>
      <c r="I30" s="56">
        <v>7.35</v>
      </c>
      <c r="J30" s="56">
        <v>0.31</v>
      </c>
      <c r="K30" s="56">
        <v>188.34</v>
      </c>
      <c r="L30" s="56">
        <v>26.66</v>
      </c>
      <c r="M30" s="56">
        <v>66.010000000000005</v>
      </c>
      <c r="N30" s="56">
        <v>0</v>
      </c>
      <c r="O30" s="56">
        <v>0</v>
      </c>
      <c r="P30" s="56">
        <v>0.92</v>
      </c>
      <c r="Q30" s="56">
        <v>4.78</v>
      </c>
    </row>
    <row r="31" spans="1:17" customFormat="1">
      <c r="A31" s="55">
        <v>45355.958333333336</v>
      </c>
      <c r="B31" s="56">
        <v>15.42</v>
      </c>
      <c r="C31" s="56">
        <v>30.95</v>
      </c>
      <c r="D31" s="56">
        <v>29.89</v>
      </c>
      <c r="E31" s="56">
        <v>8.0299999999999994</v>
      </c>
      <c r="F31" s="56">
        <v>5.77</v>
      </c>
      <c r="G31" s="56">
        <v>108.72</v>
      </c>
      <c r="H31" s="56">
        <v>40.85</v>
      </c>
      <c r="I31" s="56">
        <v>7.28</v>
      </c>
      <c r="J31" s="56">
        <v>0.26</v>
      </c>
      <c r="K31" s="56">
        <v>235</v>
      </c>
      <c r="L31" s="56">
        <v>24.75</v>
      </c>
      <c r="M31" s="56">
        <v>69.319999999999993</v>
      </c>
      <c r="N31" s="56">
        <v>0</v>
      </c>
      <c r="O31" s="56">
        <v>0</v>
      </c>
      <c r="P31" s="56">
        <v>0.89</v>
      </c>
      <c r="Q31" s="56">
        <v>4.7699999999999996</v>
      </c>
    </row>
    <row r="32" spans="1:17" customFormat="1">
      <c r="A32" s="55">
        <v>45356</v>
      </c>
      <c r="B32" s="56">
        <v>24.03</v>
      </c>
      <c r="C32" s="56">
        <v>33.11</v>
      </c>
      <c r="D32" s="56">
        <v>37.69</v>
      </c>
      <c r="E32" s="56">
        <v>8.26</v>
      </c>
      <c r="F32" s="56">
        <v>4.54</v>
      </c>
      <c r="G32" s="56">
        <v>111.38</v>
      </c>
      <c r="H32" s="56">
        <v>41.61</v>
      </c>
      <c r="I32" s="56">
        <v>7.89</v>
      </c>
      <c r="J32" s="56">
        <v>0.59</v>
      </c>
      <c r="K32" s="56">
        <v>189.1</v>
      </c>
      <c r="L32" s="56">
        <v>24.65</v>
      </c>
      <c r="M32" s="56">
        <v>69.39</v>
      </c>
      <c r="N32" s="56">
        <v>0</v>
      </c>
      <c r="O32" s="56">
        <v>0</v>
      </c>
      <c r="P32" s="56">
        <v>0.96</v>
      </c>
      <c r="Q32" s="56">
        <v>4.82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5.04</v>
      </c>
      <c r="C34" s="41">
        <f t="shared" si="0"/>
        <v>21.06</v>
      </c>
      <c r="D34" s="41">
        <f t="shared" si="0"/>
        <v>17.239999999999998</v>
      </c>
      <c r="E34" s="41">
        <f t="shared" si="0"/>
        <v>7.72</v>
      </c>
      <c r="F34" s="41">
        <f t="shared" si="0"/>
        <v>4.54</v>
      </c>
      <c r="G34" s="41">
        <f t="shared" si="0"/>
        <v>79.42</v>
      </c>
      <c r="H34" s="41">
        <f t="shared" si="0"/>
        <v>30.31</v>
      </c>
      <c r="I34" s="41">
        <f t="shared" si="0"/>
        <v>6.25</v>
      </c>
      <c r="J34" s="41">
        <f t="shared" si="0"/>
        <v>0.21</v>
      </c>
      <c r="K34" s="41">
        <f t="shared" si="0"/>
        <v>48.79</v>
      </c>
      <c r="L34" s="41">
        <f t="shared" si="0"/>
        <v>22.67</v>
      </c>
      <c r="M34" s="41">
        <f t="shared" si="0"/>
        <v>38.31</v>
      </c>
      <c r="N34" s="41">
        <f t="shared" si="0"/>
        <v>0</v>
      </c>
      <c r="O34" s="41">
        <f t="shared" si="0"/>
        <v>0</v>
      </c>
      <c r="P34" s="41">
        <f t="shared" si="0"/>
        <v>0.79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24.03</v>
      </c>
      <c r="C35" s="33">
        <f t="shared" si="1"/>
        <v>40.65</v>
      </c>
      <c r="D35" s="33">
        <f t="shared" si="1"/>
        <v>41.03</v>
      </c>
      <c r="E35" s="33">
        <f t="shared" si="1"/>
        <v>31.5</v>
      </c>
      <c r="F35" s="33">
        <f t="shared" si="1"/>
        <v>31.04</v>
      </c>
      <c r="G35" s="33">
        <f t="shared" si="1"/>
        <v>205.65</v>
      </c>
      <c r="H35" s="33">
        <f t="shared" si="1"/>
        <v>57.25</v>
      </c>
      <c r="I35" s="33">
        <f t="shared" si="1"/>
        <v>10.199999999999999</v>
      </c>
      <c r="J35" s="33">
        <f t="shared" si="1"/>
        <v>1.39</v>
      </c>
      <c r="K35" s="33">
        <f t="shared" si="1"/>
        <v>357.76</v>
      </c>
      <c r="L35" s="33">
        <f t="shared" si="1"/>
        <v>33.659999999999997</v>
      </c>
      <c r="M35" s="33">
        <f t="shared" si="1"/>
        <v>77.709999999999994</v>
      </c>
      <c r="N35" s="33">
        <f t="shared" si="1"/>
        <v>504.4</v>
      </c>
      <c r="O35" s="33">
        <f t="shared" si="1"/>
        <v>0</v>
      </c>
      <c r="P35" s="33">
        <f t="shared" si="1"/>
        <v>1.19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11.791666666666666</v>
      </c>
      <c r="C36" s="41">
        <f t="shared" si="2"/>
        <v>29.377916666666668</v>
      </c>
      <c r="D36" s="41">
        <f t="shared" si="2"/>
        <v>26.037083333333328</v>
      </c>
      <c r="E36" s="41">
        <f t="shared" si="2"/>
        <v>16.091666666666665</v>
      </c>
      <c r="F36" s="41">
        <f t="shared" si="2"/>
        <v>12.577916666666669</v>
      </c>
      <c r="G36" s="41">
        <f t="shared" si="2"/>
        <v>109.81291666666668</v>
      </c>
      <c r="H36" s="41">
        <f t="shared" si="2"/>
        <v>42.371249999999996</v>
      </c>
      <c r="I36" s="41">
        <f t="shared" si="2"/>
        <v>8.0479166666666675</v>
      </c>
      <c r="J36" s="41">
        <f t="shared" si="2"/>
        <v>0.73166666666666658</v>
      </c>
      <c r="K36" s="41">
        <f t="shared" si="2"/>
        <v>191.67166666666671</v>
      </c>
      <c r="L36" s="41">
        <f t="shared" si="2"/>
        <v>27.459166666666665</v>
      </c>
      <c r="M36" s="41">
        <f t="shared" si="2"/>
        <v>59.241666666666667</v>
      </c>
      <c r="N36" s="41">
        <f t="shared" si="2"/>
        <v>140.83750000000001</v>
      </c>
      <c r="O36" s="41">
        <f t="shared" si="2"/>
        <v>0</v>
      </c>
      <c r="P36" s="41">
        <f t="shared" si="2"/>
        <v>0.95125000000000004</v>
      </c>
      <c r="Q36" s="41">
        <f t="shared" si="2"/>
        <v>4.7541666666666664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4.5220221204645812</v>
      </c>
      <c r="C37" s="41">
        <f t="shared" ref="C37:Q37" si="3">STDEV(C9:C32)</f>
        <v>5.5094377359823499</v>
      </c>
      <c r="D37" s="41">
        <f t="shared" si="3"/>
        <v>6.0487364682484932</v>
      </c>
      <c r="E37" s="41">
        <f t="shared" si="3"/>
        <v>7.4416014327601534</v>
      </c>
      <c r="F37" s="41">
        <f t="shared" si="3"/>
        <v>8.5097493853490853</v>
      </c>
      <c r="G37" s="41">
        <f t="shared" si="3"/>
        <v>25.440675148131358</v>
      </c>
      <c r="H37" s="41">
        <f t="shared" si="3"/>
        <v>6.6359916610923326</v>
      </c>
      <c r="I37" s="41">
        <f t="shared" si="3"/>
        <v>1.1462603815533579</v>
      </c>
      <c r="J37" s="41">
        <f t="shared" si="3"/>
        <v>0.36145438904835397</v>
      </c>
      <c r="K37" s="41">
        <f t="shared" si="3"/>
        <v>109.4632948076428</v>
      </c>
      <c r="L37" s="41">
        <f t="shared" si="3"/>
        <v>3.5137826968353827</v>
      </c>
      <c r="M37" s="41">
        <f t="shared" si="3"/>
        <v>13.186577387192072</v>
      </c>
      <c r="N37" s="41">
        <f t="shared" si="3"/>
        <v>193.82704260668112</v>
      </c>
      <c r="O37" s="41">
        <f t="shared" si="3"/>
        <v>0</v>
      </c>
      <c r="P37" s="41">
        <f t="shared" si="3"/>
        <v>0.12632988217533789</v>
      </c>
      <c r="Q37" s="41">
        <f t="shared" si="3"/>
        <v>3.2958032163009465E-2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45356.041666666664</v>
      </c>
      <c r="B9" s="56">
        <v>23.71</v>
      </c>
      <c r="C9" s="56">
        <v>33.67</v>
      </c>
      <c r="D9" s="56">
        <v>37.729999999999997</v>
      </c>
      <c r="E9" s="56">
        <v>8.5500000000000007</v>
      </c>
      <c r="F9" s="56">
        <v>5.18</v>
      </c>
      <c r="G9" s="56">
        <v>124.85</v>
      </c>
      <c r="H9" s="56">
        <v>43.11</v>
      </c>
      <c r="I9" s="56">
        <v>8.4499999999999993</v>
      </c>
      <c r="J9" s="56">
        <v>0.35</v>
      </c>
      <c r="K9" s="56">
        <v>193.6</v>
      </c>
      <c r="L9" s="56">
        <v>24.59</v>
      </c>
      <c r="M9" s="56">
        <v>72.44</v>
      </c>
      <c r="N9" s="56">
        <v>0</v>
      </c>
      <c r="O9" s="56">
        <v>0</v>
      </c>
      <c r="P9" s="56">
        <v>0.97</v>
      </c>
      <c r="Q9" s="56">
        <v>4.82</v>
      </c>
    </row>
    <row r="10" spans="1:21" customFormat="1">
      <c r="A10" s="55">
        <v>45356.083333333336</v>
      </c>
      <c r="B10" s="56">
        <v>23.37</v>
      </c>
      <c r="C10" s="56">
        <v>26.24</v>
      </c>
      <c r="D10" s="56">
        <v>33.270000000000003</v>
      </c>
      <c r="E10" s="56">
        <v>8.61</v>
      </c>
      <c r="F10" s="56">
        <v>6.87</v>
      </c>
      <c r="G10" s="56">
        <v>116.3</v>
      </c>
      <c r="H10" s="56">
        <v>44.48</v>
      </c>
      <c r="I10" s="56">
        <v>8.61</v>
      </c>
      <c r="J10" s="56">
        <v>0.54</v>
      </c>
      <c r="K10" s="56">
        <v>230.12</v>
      </c>
      <c r="L10" s="56">
        <v>23.66</v>
      </c>
      <c r="M10" s="56">
        <v>74.290000000000006</v>
      </c>
      <c r="N10" s="56">
        <v>0</v>
      </c>
      <c r="O10" s="56">
        <v>0</v>
      </c>
      <c r="P10" s="56">
        <v>0.93</v>
      </c>
      <c r="Q10" s="56">
        <v>4.8099999999999996</v>
      </c>
    </row>
    <row r="11" spans="1:21" customFormat="1">
      <c r="A11" s="55">
        <v>45356.125</v>
      </c>
      <c r="B11" s="56">
        <v>22.44</v>
      </c>
      <c r="C11" s="56">
        <v>23.62</v>
      </c>
      <c r="D11" s="56">
        <v>31.49</v>
      </c>
      <c r="E11" s="56">
        <v>11.77</v>
      </c>
      <c r="F11" s="56">
        <v>7.33</v>
      </c>
      <c r="G11" s="56">
        <v>90.39</v>
      </c>
      <c r="H11" s="56">
        <v>43.68</v>
      </c>
      <c r="I11" s="56">
        <v>8.41</v>
      </c>
      <c r="J11" s="56">
        <v>0.96</v>
      </c>
      <c r="K11" s="56">
        <v>52.22</v>
      </c>
      <c r="L11" s="56">
        <v>23.63</v>
      </c>
      <c r="M11" s="56">
        <v>69.8</v>
      </c>
      <c r="N11" s="56">
        <v>0</v>
      </c>
      <c r="O11" s="56">
        <v>0</v>
      </c>
      <c r="P11" s="56">
        <v>0.89</v>
      </c>
      <c r="Q11" s="56">
        <v>4.8099999999999996</v>
      </c>
    </row>
    <row r="12" spans="1:21" customFormat="1">
      <c r="A12" s="55">
        <v>45356.166666666664</v>
      </c>
      <c r="B12" s="56">
        <v>15.86</v>
      </c>
      <c r="C12" s="56">
        <v>24.72</v>
      </c>
      <c r="D12" s="56">
        <v>26.2</v>
      </c>
      <c r="E12" s="56">
        <v>11.33</v>
      </c>
      <c r="F12" s="56">
        <v>7.82</v>
      </c>
      <c r="G12" s="56">
        <v>70.400000000000006</v>
      </c>
      <c r="H12" s="56">
        <v>35.76</v>
      </c>
      <c r="I12" s="56">
        <v>8.17</v>
      </c>
      <c r="J12" s="56">
        <v>1.07</v>
      </c>
      <c r="K12" s="56">
        <v>56.03</v>
      </c>
      <c r="L12" s="56">
        <v>23.38</v>
      </c>
      <c r="M12" s="56">
        <v>69.83</v>
      </c>
      <c r="N12" s="56">
        <v>0</v>
      </c>
      <c r="O12" s="56">
        <v>0</v>
      </c>
      <c r="P12" s="56">
        <v>0.84</v>
      </c>
      <c r="Q12" s="56">
        <v>4.76</v>
      </c>
    </row>
    <row r="13" spans="1:21" customFormat="1">
      <c r="A13" s="55">
        <v>45356.208333333336</v>
      </c>
      <c r="B13" s="56">
        <v>13.17</v>
      </c>
      <c r="C13" s="56">
        <v>25.46</v>
      </c>
      <c r="D13" s="56">
        <v>24.95</v>
      </c>
      <c r="E13" s="56">
        <v>11.75</v>
      </c>
      <c r="F13" s="56">
        <v>5.8</v>
      </c>
      <c r="G13" s="56">
        <v>56.4</v>
      </c>
      <c r="H13" s="56">
        <v>30.33</v>
      </c>
      <c r="I13" s="56">
        <v>7.81</v>
      </c>
      <c r="J13" s="56">
        <v>0.86</v>
      </c>
      <c r="K13" s="56">
        <v>56.22</v>
      </c>
      <c r="L13" s="56">
        <v>22.85</v>
      </c>
      <c r="M13" s="56">
        <v>71.28</v>
      </c>
      <c r="N13" s="56">
        <v>0</v>
      </c>
      <c r="O13" s="56">
        <v>0</v>
      </c>
      <c r="P13" s="56">
        <v>0.78</v>
      </c>
      <c r="Q13" s="56">
        <v>4.78</v>
      </c>
    </row>
    <row r="14" spans="1:21" customFormat="1">
      <c r="A14" s="55">
        <v>45356.25</v>
      </c>
      <c r="B14" s="56">
        <v>14.3</v>
      </c>
      <c r="C14" s="56">
        <v>26.01</v>
      </c>
      <c r="D14" s="56">
        <v>26.41</v>
      </c>
      <c r="E14" s="56">
        <v>10.68</v>
      </c>
      <c r="F14" s="56">
        <v>5.18</v>
      </c>
      <c r="G14" s="56">
        <v>59.75</v>
      </c>
      <c r="H14" s="56">
        <v>29.08</v>
      </c>
      <c r="I14" s="56">
        <v>7.8</v>
      </c>
      <c r="J14" s="56">
        <v>1.01</v>
      </c>
      <c r="K14" s="56">
        <v>51.19</v>
      </c>
      <c r="L14" s="56">
        <v>22.03</v>
      </c>
      <c r="M14" s="56">
        <v>71.86</v>
      </c>
      <c r="N14" s="56">
        <v>0</v>
      </c>
      <c r="O14" s="56">
        <v>0</v>
      </c>
      <c r="P14" s="56">
        <v>0.72</v>
      </c>
      <c r="Q14" s="56">
        <v>4.7699999999999996</v>
      </c>
    </row>
    <row r="15" spans="1:21" customFormat="1">
      <c r="A15" s="55">
        <v>45356.291666666664</v>
      </c>
      <c r="B15" s="56">
        <v>14.14</v>
      </c>
      <c r="C15" s="56">
        <v>27.18</v>
      </c>
      <c r="D15" s="56">
        <v>26.88</v>
      </c>
      <c r="E15" s="56">
        <v>10.77</v>
      </c>
      <c r="F15" s="56">
        <v>4.95</v>
      </c>
      <c r="G15" s="56">
        <v>48.82</v>
      </c>
      <c r="H15" s="56">
        <v>27.37</v>
      </c>
      <c r="I15" s="56">
        <v>7.39</v>
      </c>
      <c r="J15" s="56">
        <v>1.08</v>
      </c>
      <c r="K15" s="56">
        <v>50.9</v>
      </c>
      <c r="L15" s="56">
        <v>21.58</v>
      </c>
      <c r="M15" s="56">
        <v>71.05</v>
      </c>
      <c r="N15" s="56">
        <v>22.3</v>
      </c>
      <c r="O15" s="56">
        <v>0</v>
      </c>
      <c r="P15" s="56">
        <v>0.68</v>
      </c>
      <c r="Q15" s="56">
        <v>4.78</v>
      </c>
    </row>
    <row r="16" spans="1:21" customFormat="1">
      <c r="A16" s="55">
        <v>45356.333333333336</v>
      </c>
      <c r="B16" s="56">
        <v>14.9</v>
      </c>
      <c r="C16" s="56">
        <v>26.06</v>
      </c>
      <c r="D16" s="56">
        <v>26.53</v>
      </c>
      <c r="E16" s="56">
        <v>10.45</v>
      </c>
      <c r="F16" s="56">
        <v>5.99</v>
      </c>
      <c r="G16" s="56">
        <v>56.31</v>
      </c>
      <c r="H16" s="56">
        <v>24.47</v>
      </c>
      <c r="I16" s="56">
        <v>7.28</v>
      </c>
      <c r="J16" s="56">
        <v>1.7</v>
      </c>
      <c r="K16" s="56">
        <v>60.41</v>
      </c>
      <c r="L16" s="56">
        <v>22.94</v>
      </c>
      <c r="M16" s="56">
        <v>67.53</v>
      </c>
      <c r="N16" s="56">
        <v>94.5</v>
      </c>
      <c r="O16" s="56">
        <v>0</v>
      </c>
      <c r="P16" s="56">
        <v>0.67</v>
      </c>
      <c r="Q16" s="56">
        <v>4.76</v>
      </c>
    </row>
    <row r="17" spans="1:17" customFormat="1">
      <c r="A17" s="55">
        <v>45356.375</v>
      </c>
      <c r="B17" s="56">
        <v>15.18</v>
      </c>
      <c r="C17" s="56">
        <v>21.17</v>
      </c>
      <c r="D17" s="56">
        <v>24.37</v>
      </c>
      <c r="E17" s="56">
        <v>17.61</v>
      </c>
      <c r="F17" s="56">
        <v>6.54</v>
      </c>
      <c r="G17" s="56">
        <v>51.22</v>
      </c>
      <c r="H17" s="56">
        <v>23.4</v>
      </c>
      <c r="I17" s="56">
        <v>7.14</v>
      </c>
      <c r="J17" s="56">
        <v>2.13</v>
      </c>
      <c r="K17" s="56">
        <v>65.22</v>
      </c>
      <c r="L17" s="56">
        <v>25.1</v>
      </c>
      <c r="M17" s="56">
        <v>63.46</v>
      </c>
      <c r="N17" s="56">
        <v>303.3</v>
      </c>
      <c r="O17" s="56">
        <v>0</v>
      </c>
      <c r="P17" s="56">
        <v>0.6</v>
      </c>
      <c r="Q17" s="56">
        <v>4.76</v>
      </c>
    </row>
    <row r="18" spans="1:17" customFormat="1">
      <c r="A18" s="55">
        <v>45356.416666666664</v>
      </c>
      <c r="B18" s="56">
        <v>16.899999999999999</v>
      </c>
      <c r="C18" s="56">
        <v>28.9</v>
      </c>
      <c r="D18" s="56">
        <v>30</v>
      </c>
      <c r="E18" s="56">
        <v>27.63</v>
      </c>
      <c r="F18" s="56">
        <v>7.45</v>
      </c>
      <c r="G18" s="56">
        <v>76.069999999999993</v>
      </c>
      <c r="H18" s="56">
        <v>23.82</v>
      </c>
      <c r="I18" s="56">
        <v>6.55</v>
      </c>
      <c r="J18" s="56">
        <v>1.96</v>
      </c>
      <c r="K18" s="56">
        <v>67.650000000000006</v>
      </c>
      <c r="L18" s="56">
        <v>27.13</v>
      </c>
      <c r="M18" s="56">
        <v>57.66</v>
      </c>
      <c r="N18" s="56">
        <v>386.2</v>
      </c>
      <c r="O18" s="56">
        <v>0</v>
      </c>
      <c r="P18" s="56">
        <v>0.64</v>
      </c>
      <c r="Q18" s="56">
        <v>4.8099999999999996</v>
      </c>
    </row>
    <row r="19" spans="1:17" customFormat="1">
      <c r="A19" s="55">
        <v>45356.458333333336</v>
      </c>
      <c r="B19" s="56">
        <v>17.87</v>
      </c>
      <c r="C19" s="56">
        <v>30.01</v>
      </c>
      <c r="D19" s="56">
        <v>30.69</v>
      </c>
      <c r="E19" s="56">
        <v>31.77</v>
      </c>
      <c r="F19" s="56">
        <v>13.77</v>
      </c>
      <c r="G19" s="56">
        <v>70.7</v>
      </c>
      <c r="H19" s="56">
        <v>25.22</v>
      </c>
      <c r="I19" s="56">
        <v>6.03</v>
      </c>
      <c r="J19" s="56">
        <v>1.37</v>
      </c>
      <c r="K19" s="56">
        <v>85.58</v>
      </c>
      <c r="L19" s="56">
        <v>29.96</v>
      </c>
      <c r="M19" s="56">
        <v>53.17</v>
      </c>
      <c r="N19" s="56">
        <v>520.79999999999995</v>
      </c>
      <c r="O19" s="56">
        <v>0</v>
      </c>
      <c r="P19" s="56">
        <v>0.64</v>
      </c>
      <c r="Q19" s="56">
        <v>4.82</v>
      </c>
    </row>
    <row r="20" spans="1:17" customFormat="1">
      <c r="A20" s="55">
        <v>45356.5</v>
      </c>
      <c r="B20" s="56">
        <v>9.94</v>
      </c>
      <c r="C20" s="56">
        <v>27.38</v>
      </c>
      <c r="D20" s="56">
        <v>23.45</v>
      </c>
      <c r="E20" s="56">
        <v>29.84</v>
      </c>
      <c r="F20" s="56">
        <v>22.81</v>
      </c>
      <c r="G20" s="56">
        <v>76.680000000000007</v>
      </c>
      <c r="H20" s="56">
        <v>27.65</v>
      </c>
      <c r="I20" s="56">
        <v>5.79</v>
      </c>
      <c r="J20" s="56">
        <v>0.9</v>
      </c>
      <c r="K20" s="56">
        <v>258.5</v>
      </c>
      <c r="L20" s="56">
        <v>33.39</v>
      </c>
      <c r="M20" s="56">
        <v>43.63</v>
      </c>
      <c r="N20" s="56">
        <v>582.79999999999995</v>
      </c>
      <c r="O20" s="56">
        <v>0</v>
      </c>
      <c r="P20" s="56">
        <v>0.61</v>
      </c>
      <c r="Q20" s="56">
        <v>4.83</v>
      </c>
    </row>
    <row r="21" spans="1:17" customFormat="1">
      <c r="A21" s="55">
        <v>45356.541666666664</v>
      </c>
      <c r="B21" s="56">
        <v>4.32</v>
      </c>
      <c r="C21" s="56">
        <v>23.87</v>
      </c>
      <c r="D21" s="56">
        <v>17.28</v>
      </c>
      <c r="E21" s="56">
        <v>25.21</v>
      </c>
      <c r="F21" s="56">
        <v>32.840000000000003</v>
      </c>
      <c r="G21" s="56">
        <v>73.28</v>
      </c>
      <c r="H21" s="56">
        <v>30.55</v>
      </c>
      <c r="I21" s="56">
        <v>5.31</v>
      </c>
      <c r="J21" s="56">
        <v>0.39</v>
      </c>
      <c r="K21" s="56">
        <v>316.25</v>
      </c>
      <c r="L21" s="56">
        <v>33.61</v>
      </c>
      <c r="M21" s="56">
        <v>37.31</v>
      </c>
      <c r="N21" s="56">
        <v>582.4</v>
      </c>
      <c r="O21" s="56">
        <v>0</v>
      </c>
      <c r="P21" s="56">
        <v>0.56000000000000005</v>
      </c>
      <c r="Q21" s="56">
        <v>4.78</v>
      </c>
    </row>
    <row r="22" spans="1:17" customFormat="1">
      <c r="A22" s="55">
        <v>45356.583333333336</v>
      </c>
      <c r="B22" s="56">
        <v>3.03</v>
      </c>
      <c r="C22" s="56">
        <v>20.71</v>
      </c>
      <c r="D22" s="56">
        <v>14.6</v>
      </c>
      <c r="E22" s="56">
        <v>26.7</v>
      </c>
      <c r="F22" s="56">
        <v>44.89</v>
      </c>
      <c r="G22" s="56">
        <v>59.96</v>
      </c>
      <c r="H22" s="56">
        <v>26.38</v>
      </c>
      <c r="I22" s="56">
        <v>4.79</v>
      </c>
      <c r="J22" s="56">
        <v>1.03</v>
      </c>
      <c r="K22" s="56">
        <v>306.18</v>
      </c>
      <c r="L22" s="56">
        <v>34.549999999999997</v>
      </c>
      <c r="M22" s="56">
        <v>35.36</v>
      </c>
      <c r="N22" s="56">
        <v>535.1</v>
      </c>
      <c r="O22" s="56">
        <v>0</v>
      </c>
      <c r="P22" s="56">
        <v>0.57999999999999996</v>
      </c>
      <c r="Q22" s="56">
        <v>4.74</v>
      </c>
    </row>
    <row r="23" spans="1:17" customFormat="1">
      <c r="A23" s="55">
        <v>45356.625</v>
      </c>
      <c r="B23" s="56">
        <v>2.59</v>
      </c>
      <c r="C23" s="56">
        <v>23.17</v>
      </c>
      <c r="D23" s="56">
        <v>15.53</v>
      </c>
      <c r="E23" s="56">
        <v>33.81</v>
      </c>
      <c r="F23" s="56">
        <v>45.19</v>
      </c>
      <c r="G23" s="56">
        <v>62.16</v>
      </c>
      <c r="H23" s="56">
        <v>25.45</v>
      </c>
      <c r="I23" s="56">
        <v>4.66</v>
      </c>
      <c r="J23" s="56">
        <v>1.02</v>
      </c>
      <c r="K23" s="56">
        <v>310.87</v>
      </c>
      <c r="L23" s="56">
        <v>34.25</v>
      </c>
      <c r="M23" s="56">
        <v>34.020000000000003</v>
      </c>
      <c r="N23" s="56">
        <v>486.8</v>
      </c>
      <c r="O23" s="56">
        <v>0</v>
      </c>
      <c r="P23" s="56">
        <v>0.61</v>
      </c>
      <c r="Q23" s="56">
        <v>4.6900000000000004</v>
      </c>
    </row>
    <row r="24" spans="1:17" customFormat="1">
      <c r="A24" s="55">
        <v>45356.666666666664</v>
      </c>
      <c r="B24" s="56">
        <v>4.3</v>
      </c>
      <c r="C24" s="56">
        <v>27.39</v>
      </c>
      <c r="D24" s="56">
        <v>18.91</v>
      </c>
      <c r="E24" s="56">
        <v>74.84</v>
      </c>
      <c r="F24" s="56">
        <v>67.56</v>
      </c>
      <c r="G24" s="56">
        <v>68.23</v>
      </c>
      <c r="H24" s="56">
        <v>28.82</v>
      </c>
      <c r="I24" s="56">
        <v>4.74</v>
      </c>
      <c r="J24" s="56">
        <v>0.86</v>
      </c>
      <c r="K24" s="56">
        <v>355.65</v>
      </c>
      <c r="L24" s="56">
        <v>33.28</v>
      </c>
      <c r="M24" s="56">
        <v>35.46</v>
      </c>
      <c r="N24" s="56">
        <v>190.1</v>
      </c>
      <c r="O24" s="56">
        <v>0</v>
      </c>
      <c r="P24" s="56">
        <v>0.69</v>
      </c>
      <c r="Q24" s="56">
        <v>4.7300000000000004</v>
      </c>
    </row>
    <row r="25" spans="1:17" customFormat="1">
      <c r="A25" s="55">
        <v>45356.708333333336</v>
      </c>
      <c r="B25" s="56">
        <v>4.59</v>
      </c>
      <c r="C25" s="56">
        <v>25.01</v>
      </c>
      <c r="D25" s="56">
        <v>17.940000000000001</v>
      </c>
      <c r="E25" s="56">
        <v>39.07</v>
      </c>
      <c r="F25" s="56">
        <v>59.9</v>
      </c>
      <c r="G25" s="56">
        <v>83.99</v>
      </c>
      <c r="H25" s="56">
        <v>34.979999999999997</v>
      </c>
      <c r="I25" s="56">
        <v>4.57</v>
      </c>
      <c r="J25" s="56">
        <v>1.01</v>
      </c>
      <c r="K25" s="56">
        <v>47.22</v>
      </c>
      <c r="L25" s="56">
        <v>33.119999999999997</v>
      </c>
      <c r="M25" s="56">
        <v>34.869999999999997</v>
      </c>
      <c r="N25" s="56">
        <v>192.8</v>
      </c>
      <c r="O25" s="56">
        <v>0</v>
      </c>
      <c r="P25" s="56">
        <v>0.62</v>
      </c>
      <c r="Q25" s="56">
        <v>4.75</v>
      </c>
    </row>
    <row r="26" spans="1:17" customFormat="1">
      <c r="A26" s="55">
        <v>45356.75</v>
      </c>
      <c r="B26" s="56">
        <v>7.5</v>
      </c>
      <c r="C26" s="56">
        <v>35.47</v>
      </c>
      <c r="D26" s="56">
        <v>25.81</v>
      </c>
      <c r="E26" s="56">
        <v>36.25</v>
      </c>
      <c r="F26" s="56">
        <v>31.7</v>
      </c>
      <c r="G26" s="56">
        <v>82.74</v>
      </c>
      <c r="H26" s="56">
        <v>33.700000000000003</v>
      </c>
      <c r="I26" s="56">
        <v>4.87</v>
      </c>
      <c r="J26" s="56">
        <v>1.1000000000000001</v>
      </c>
      <c r="K26" s="56">
        <v>62</v>
      </c>
      <c r="L26" s="56">
        <v>32.340000000000003</v>
      </c>
      <c r="M26" s="56">
        <v>38.65</v>
      </c>
      <c r="N26" s="56">
        <v>63.6</v>
      </c>
      <c r="O26" s="56">
        <v>0</v>
      </c>
      <c r="P26" s="56">
        <v>0.68</v>
      </c>
      <c r="Q26" s="56">
        <v>4.76</v>
      </c>
    </row>
    <row r="27" spans="1:17" customFormat="1">
      <c r="A27" s="55">
        <v>45356.791666666664</v>
      </c>
      <c r="B27" s="56">
        <v>9.0500000000000007</v>
      </c>
      <c r="C27" s="56">
        <v>38.659999999999997</v>
      </c>
      <c r="D27" s="56">
        <v>28.69</v>
      </c>
      <c r="E27" s="56">
        <v>19.61</v>
      </c>
      <c r="F27" s="56">
        <v>18.899999999999999</v>
      </c>
      <c r="G27" s="56">
        <v>90.8</v>
      </c>
      <c r="H27" s="56">
        <v>36.28</v>
      </c>
      <c r="I27" s="56">
        <v>5.52</v>
      </c>
      <c r="J27" s="56">
        <v>0.87</v>
      </c>
      <c r="K27" s="56">
        <v>67.14</v>
      </c>
      <c r="L27" s="56">
        <v>30.37</v>
      </c>
      <c r="M27" s="56">
        <v>45.43</v>
      </c>
      <c r="N27" s="56">
        <v>0</v>
      </c>
      <c r="O27" s="56">
        <v>0</v>
      </c>
      <c r="P27" s="56">
        <v>0.87</v>
      </c>
      <c r="Q27" s="56">
        <v>4.76</v>
      </c>
    </row>
    <row r="28" spans="1:17" customFormat="1">
      <c r="A28" s="55">
        <v>45356.833333333336</v>
      </c>
      <c r="B28" s="56">
        <v>10.210000000000001</v>
      </c>
      <c r="C28" s="56">
        <v>41.7</v>
      </c>
      <c r="D28" s="56">
        <v>31.33</v>
      </c>
      <c r="E28" s="56">
        <v>15.75</v>
      </c>
      <c r="F28" s="56">
        <v>8.9700000000000006</v>
      </c>
      <c r="G28" s="56">
        <v>115.12</v>
      </c>
      <c r="H28" s="56">
        <v>37.549999999999997</v>
      </c>
      <c r="I28" s="56">
        <v>6.54</v>
      </c>
      <c r="J28" s="56">
        <v>0.27</v>
      </c>
      <c r="K28" s="56">
        <v>184.04</v>
      </c>
      <c r="L28" s="56">
        <v>28.96</v>
      </c>
      <c r="M28" s="56">
        <v>60.85</v>
      </c>
      <c r="N28" s="56">
        <v>0</v>
      </c>
      <c r="O28" s="56">
        <v>0</v>
      </c>
      <c r="P28" s="56">
        <v>0.91</v>
      </c>
      <c r="Q28" s="56">
        <v>4.78</v>
      </c>
    </row>
    <row r="29" spans="1:17" customFormat="1">
      <c r="A29" s="55">
        <v>45356.875</v>
      </c>
      <c r="B29" s="56">
        <v>7.34</v>
      </c>
      <c r="C29" s="56">
        <v>35.43</v>
      </c>
      <c r="D29" s="56">
        <v>25.07</v>
      </c>
      <c r="E29" s="56">
        <v>10.56</v>
      </c>
      <c r="F29" s="56">
        <v>8.01</v>
      </c>
      <c r="G29" s="56">
        <v>128.38999999999999</v>
      </c>
      <c r="H29" s="56">
        <v>46.37</v>
      </c>
      <c r="I29" s="56">
        <v>7.84</v>
      </c>
      <c r="J29" s="56">
        <v>0.27</v>
      </c>
      <c r="K29" s="56">
        <v>186.71</v>
      </c>
      <c r="L29" s="56">
        <v>26.98</v>
      </c>
      <c r="M29" s="56">
        <v>65.400000000000006</v>
      </c>
      <c r="N29" s="56">
        <v>0</v>
      </c>
      <c r="O29" s="56">
        <v>0</v>
      </c>
      <c r="P29" s="56">
        <v>0.99</v>
      </c>
      <c r="Q29" s="56">
        <v>4.75</v>
      </c>
    </row>
    <row r="30" spans="1:17" customFormat="1">
      <c r="A30" s="55">
        <v>45356.916666666664</v>
      </c>
      <c r="B30" s="56">
        <v>12.2</v>
      </c>
      <c r="C30" s="56">
        <v>30.42</v>
      </c>
      <c r="D30" s="56">
        <v>27.03</v>
      </c>
      <c r="E30" s="56">
        <v>13.78</v>
      </c>
      <c r="F30" s="56">
        <v>5.95</v>
      </c>
      <c r="G30" s="56">
        <v>125.99</v>
      </c>
      <c r="H30" s="56">
        <v>45.02</v>
      </c>
      <c r="I30" s="56">
        <v>9.01</v>
      </c>
      <c r="J30" s="56">
        <v>0.19</v>
      </c>
      <c r="K30" s="56">
        <v>185.14</v>
      </c>
      <c r="L30" s="56">
        <v>25.64</v>
      </c>
      <c r="M30" s="56">
        <v>70.75</v>
      </c>
      <c r="N30" s="56">
        <v>0</v>
      </c>
      <c r="O30" s="56">
        <v>0</v>
      </c>
      <c r="P30" s="56">
        <v>1</v>
      </c>
      <c r="Q30" s="56">
        <v>4.75</v>
      </c>
    </row>
    <row r="31" spans="1:17" customFormat="1">
      <c r="A31" s="55">
        <v>45356.958333333336</v>
      </c>
      <c r="B31" s="56">
        <v>11.78</v>
      </c>
      <c r="C31" s="56">
        <v>30.5</v>
      </c>
      <c r="D31" s="56">
        <v>26.74</v>
      </c>
      <c r="E31" s="56">
        <v>9.31</v>
      </c>
      <c r="F31" s="56">
        <v>10.15</v>
      </c>
      <c r="G31" s="56">
        <v>147.61000000000001</v>
      </c>
      <c r="H31" s="56">
        <v>48.66</v>
      </c>
      <c r="I31" s="56">
        <v>9.81</v>
      </c>
      <c r="J31" s="56">
        <v>1.21</v>
      </c>
      <c r="K31" s="56">
        <v>53.49</v>
      </c>
      <c r="L31" s="56">
        <v>25.81</v>
      </c>
      <c r="M31" s="56">
        <v>58.79</v>
      </c>
      <c r="N31" s="56">
        <v>0</v>
      </c>
      <c r="O31" s="56">
        <v>0</v>
      </c>
      <c r="P31" s="56">
        <v>0.97</v>
      </c>
      <c r="Q31" s="56">
        <v>4.75</v>
      </c>
    </row>
    <row r="32" spans="1:17" customFormat="1">
      <c r="A32" s="55">
        <v>45357</v>
      </c>
      <c r="B32" s="56">
        <v>9.73</v>
      </c>
      <c r="C32" s="56">
        <v>30.38</v>
      </c>
      <c r="D32" s="56">
        <v>24.97</v>
      </c>
      <c r="E32" s="56">
        <v>7.31</v>
      </c>
      <c r="F32" s="56">
        <v>8.1999999999999993</v>
      </c>
      <c r="G32" s="56">
        <v>123.84</v>
      </c>
      <c r="H32" s="56">
        <v>42.2</v>
      </c>
      <c r="I32" s="56">
        <v>8.0500000000000007</v>
      </c>
      <c r="J32" s="56">
        <v>1.04</v>
      </c>
      <c r="K32" s="56">
        <v>68.790000000000006</v>
      </c>
      <c r="L32" s="56">
        <v>25.02</v>
      </c>
      <c r="M32" s="56">
        <v>58.77</v>
      </c>
      <c r="N32" s="56">
        <v>0</v>
      </c>
      <c r="O32" s="56">
        <v>0</v>
      </c>
      <c r="P32" s="56">
        <v>0.85</v>
      </c>
      <c r="Q32" s="56">
        <v>4.75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2.59</v>
      </c>
      <c r="C34" s="41">
        <f t="shared" si="0"/>
        <v>20.71</v>
      </c>
      <c r="D34" s="41">
        <f t="shared" si="0"/>
        <v>14.6</v>
      </c>
      <c r="E34" s="41">
        <f t="shared" si="0"/>
        <v>7.31</v>
      </c>
      <c r="F34" s="41">
        <f t="shared" si="0"/>
        <v>4.95</v>
      </c>
      <c r="G34" s="41">
        <f t="shared" si="0"/>
        <v>48.82</v>
      </c>
      <c r="H34" s="41">
        <f t="shared" si="0"/>
        <v>23.4</v>
      </c>
      <c r="I34" s="41">
        <f t="shared" si="0"/>
        <v>4.57</v>
      </c>
      <c r="J34" s="41">
        <f t="shared" si="0"/>
        <v>0.19</v>
      </c>
      <c r="K34" s="41">
        <f t="shared" si="0"/>
        <v>47.22</v>
      </c>
      <c r="L34" s="41">
        <f t="shared" si="0"/>
        <v>21.58</v>
      </c>
      <c r="M34" s="41">
        <f t="shared" si="0"/>
        <v>34.020000000000003</v>
      </c>
      <c r="N34" s="41">
        <f t="shared" si="0"/>
        <v>0</v>
      </c>
      <c r="O34" s="41">
        <f t="shared" si="0"/>
        <v>0</v>
      </c>
      <c r="P34" s="41">
        <f t="shared" si="0"/>
        <v>0.56000000000000005</v>
      </c>
      <c r="Q34" s="41">
        <f t="shared" si="0"/>
        <v>4.6900000000000004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23.71</v>
      </c>
      <c r="C35" s="33">
        <f t="shared" si="1"/>
        <v>41.7</v>
      </c>
      <c r="D35" s="33">
        <f t="shared" si="1"/>
        <v>37.729999999999997</v>
      </c>
      <c r="E35" s="33">
        <f t="shared" si="1"/>
        <v>74.84</v>
      </c>
      <c r="F35" s="33">
        <f t="shared" si="1"/>
        <v>67.56</v>
      </c>
      <c r="G35" s="33">
        <f t="shared" si="1"/>
        <v>147.61000000000001</v>
      </c>
      <c r="H35" s="33">
        <f t="shared" si="1"/>
        <v>48.66</v>
      </c>
      <c r="I35" s="33">
        <f t="shared" si="1"/>
        <v>9.81</v>
      </c>
      <c r="J35" s="33">
        <f t="shared" si="1"/>
        <v>2.13</v>
      </c>
      <c r="K35" s="33">
        <f t="shared" si="1"/>
        <v>355.65</v>
      </c>
      <c r="L35" s="33">
        <f t="shared" si="1"/>
        <v>34.549999999999997</v>
      </c>
      <c r="M35" s="33">
        <f t="shared" si="1"/>
        <v>74.290000000000006</v>
      </c>
      <c r="N35" s="33">
        <f t="shared" si="1"/>
        <v>582.79999999999995</v>
      </c>
      <c r="O35" s="33">
        <f t="shared" si="1"/>
        <v>0</v>
      </c>
      <c r="P35" s="33">
        <f t="shared" si="1"/>
        <v>1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12.0175</v>
      </c>
      <c r="C36" s="41">
        <f t="shared" si="2"/>
        <v>28.463749999999994</v>
      </c>
      <c r="D36" s="41">
        <f t="shared" si="2"/>
        <v>25.661250000000006</v>
      </c>
      <c r="E36" s="41">
        <f t="shared" si="2"/>
        <v>20.956666666666667</v>
      </c>
      <c r="F36" s="41">
        <f t="shared" si="2"/>
        <v>18.414583333333329</v>
      </c>
      <c r="G36" s="41">
        <f t="shared" si="2"/>
        <v>85.833333333333329</v>
      </c>
      <c r="H36" s="41">
        <f t="shared" si="2"/>
        <v>33.930416666666659</v>
      </c>
      <c r="I36" s="41">
        <f t="shared" si="2"/>
        <v>6.8808333333333342</v>
      </c>
      <c r="J36" s="41">
        <f t="shared" si="2"/>
        <v>0.96625000000000016</v>
      </c>
      <c r="K36" s="41">
        <f t="shared" si="2"/>
        <v>140.46333333333331</v>
      </c>
      <c r="L36" s="41">
        <f t="shared" si="2"/>
        <v>27.673749999999998</v>
      </c>
      <c r="M36" s="41">
        <f t="shared" si="2"/>
        <v>56.735833333333325</v>
      </c>
      <c r="N36" s="41">
        <f t="shared" si="2"/>
        <v>165.02916666666667</v>
      </c>
      <c r="O36" s="41">
        <f t="shared" si="2"/>
        <v>0</v>
      </c>
      <c r="P36" s="41">
        <f t="shared" si="2"/>
        <v>0.76249999999999984</v>
      </c>
      <c r="Q36" s="41">
        <f t="shared" si="2"/>
        <v>4.770833333333333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6.1997940007853396</v>
      </c>
      <c r="C37" s="41">
        <f t="shared" ref="C37:Q37" si="3">STDEV(C9:C32)</f>
        <v>5.3556275258509682</v>
      </c>
      <c r="D37" s="41">
        <f t="shared" si="3"/>
        <v>5.6623073438768197</v>
      </c>
      <c r="E37" s="41">
        <f t="shared" si="3"/>
        <v>15.225280940269874</v>
      </c>
      <c r="F37" s="41">
        <f t="shared" si="3"/>
        <v>18.626870487729995</v>
      </c>
      <c r="G37" s="41">
        <f t="shared" si="3"/>
        <v>29.028550513719029</v>
      </c>
      <c r="H37" s="41">
        <f t="shared" si="3"/>
        <v>8.18463219495335</v>
      </c>
      <c r="I37" s="41">
        <f t="shared" si="3"/>
        <v>1.5711527661219831</v>
      </c>
      <c r="J37" s="41">
        <f t="shared" si="3"/>
        <v>0.49617504362174747</v>
      </c>
      <c r="K37" s="41">
        <f t="shared" si="3"/>
        <v>105.47029318688531</v>
      </c>
      <c r="L37" s="41">
        <f t="shared" si="3"/>
        <v>4.4359448897858949</v>
      </c>
      <c r="M37" s="41">
        <f t="shared" si="3"/>
        <v>14.62854592217224</v>
      </c>
      <c r="N37" s="41">
        <f t="shared" si="3"/>
        <v>223.38085527552084</v>
      </c>
      <c r="O37" s="41">
        <f t="shared" si="3"/>
        <v>0</v>
      </c>
      <c r="P37" s="41">
        <f t="shared" si="3"/>
        <v>0.14929544679856405</v>
      </c>
      <c r="Q37" s="41">
        <f t="shared" si="3"/>
        <v>3.308968927372815E-2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45357.041666666664</v>
      </c>
      <c r="B9" s="56">
        <v>7.6</v>
      </c>
      <c r="C9" s="56">
        <v>29.59</v>
      </c>
      <c r="D9" s="56">
        <v>22.9</v>
      </c>
      <c r="E9" s="56">
        <v>7.09</v>
      </c>
      <c r="F9" s="56">
        <v>7.12</v>
      </c>
      <c r="G9" s="56">
        <v>94.4</v>
      </c>
      <c r="H9" s="56">
        <v>37.85</v>
      </c>
      <c r="I9" s="56">
        <v>7.25</v>
      </c>
      <c r="J9" s="56">
        <v>0.78</v>
      </c>
      <c r="K9" s="56">
        <v>83.67</v>
      </c>
      <c r="L9" s="56">
        <v>24.26</v>
      </c>
      <c r="M9" s="56">
        <v>59.2</v>
      </c>
      <c r="N9" s="56">
        <v>0</v>
      </c>
      <c r="O9" s="56">
        <v>0</v>
      </c>
      <c r="P9" s="56">
        <v>0.76</v>
      </c>
      <c r="Q9" s="56">
        <v>4.75</v>
      </c>
    </row>
    <row r="10" spans="1:21" customFormat="1">
      <c r="A10" s="55">
        <v>45357.083333333336</v>
      </c>
      <c r="B10" s="56">
        <v>6.62</v>
      </c>
      <c r="C10" s="56">
        <v>27.77</v>
      </c>
      <c r="D10" s="56">
        <v>21.14</v>
      </c>
      <c r="E10" s="56">
        <v>7.51</v>
      </c>
      <c r="F10" s="56">
        <v>7.51</v>
      </c>
      <c r="G10" s="56">
        <v>74.53</v>
      </c>
      <c r="H10" s="56">
        <v>31.78</v>
      </c>
      <c r="I10" s="56">
        <v>6.47</v>
      </c>
      <c r="J10" s="56">
        <v>0.89</v>
      </c>
      <c r="K10" s="56">
        <v>69.45</v>
      </c>
      <c r="L10" s="56">
        <v>23.5</v>
      </c>
      <c r="M10" s="56">
        <v>58.16</v>
      </c>
      <c r="N10" s="56">
        <v>0</v>
      </c>
      <c r="O10" s="56">
        <v>0</v>
      </c>
      <c r="P10" s="56">
        <v>0.65</v>
      </c>
      <c r="Q10" s="56">
        <v>4.75</v>
      </c>
    </row>
    <row r="11" spans="1:21" customFormat="1">
      <c r="A11" s="55">
        <v>45357.125</v>
      </c>
      <c r="B11" s="56">
        <v>6.52</v>
      </c>
      <c r="C11" s="56">
        <v>27.42</v>
      </c>
      <c r="D11" s="56">
        <v>20.91</v>
      </c>
      <c r="E11" s="56">
        <v>8.1999999999999993</v>
      </c>
      <c r="F11" s="56">
        <v>5.62</v>
      </c>
      <c r="G11" s="56">
        <v>65.38</v>
      </c>
      <c r="H11" s="56">
        <v>27.11</v>
      </c>
      <c r="I11" s="56">
        <v>5.65</v>
      </c>
      <c r="J11" s="56">
        <v>0.41</v>
      </c>
      <c r="K11" s="56">
        <v>153.22</v>
      </c>
      <c r="L11" s="56">
        <v>22.93</v>
      </c>
      <c r="M11" s="56">
        <v>63.53</v>
      </c>
      <c r="N11" s="56">
        <v>0</v>
      </c>
      <c r="O11" s="56">
        <v>0</v>
      </c>
      <c r="P11" s="56">
        <v>0.57999999999999996</v>
      </c>
      <c r="Q11" s="56">
        <v>4.75</v>
      </c>
    </row>
    <row r="12" spans="1:21" customFormat="1">
      <c r="A12" s="55">
        <v>45357.166666666664</v>
      </c>
      <c r="B12" s="56">
        <v>7.38</v>
      </c>
      <c r="C12" s="56">
        <v>25.08</v>
      </c>
      <c r="D12" s="56">
        <v>19.829999999999998</v>
      </c>
      <c r="E12" s="56">
        <v>5.26</v>
      </c>
      <c r="F12" s="56">
        <v>5.39</v>
      </c>
      <c r="G12" s="56">
        <v>62.84</v>
      </c>
      <c r="H12" s="56">
        <v>27.13</v>
      </c>
      <c r="I12" s="56">
        <v>5.17</v>
      </c>
      <c r="J12" s="56">
        <v>0.56000000000000005</v>
      </c>
      <c r="K12" s="56">
        <v>109.36</v>
      </c>
      <c r="L12" s="56">
        <v>22.25</v>
      </c>
      <c r="M12" s="56">
        <v>63.13</v>
      </c>
      <c r="N12" s="56">
        <v>0</v>
      </c>
      <c r="O12" s="56">
        <v>0</v>
      </c>
      <c r="P12" s="56">
        <v>0.52</v>
      </c>
      <c r="Q12" s="56">
        <v>4.72</v>
      </c>
    </row>
    <row r="13" spans="1:21" customFormat="1">
      <c r="A13" s="55">
        <v>45357.208333333336</v>
      </c>
      <c r="B13" s="56">
        <v>8.06</v>
      </c>
      <c r="C13" s="56">
        <v>19.420000000000002</v>
      </c>
      <c r="D13" s="56">
        <v>17.96</v>
      </c>
      <c r="E13" s="56">
        <v>3.87</v>
      </c>
      <c r="F13" s="56">
        <v>5.53</v>
      </c>
      <c r="G13" s="56">
        <v>50.71</v>
      </c>
      <c r="H13" s="56">
        <v>19.86</v>
      </c>
      <c r="I13" s="56">
        <v>5.07</v>
      </c>
      <c r="J13" s="56">
        <v>0.53</v>
      </c>
      <c r="K13" s="56">
        <v>75.44</v>
      </c>
      <c r="L13" s="56">
        <v>21.98</v>
      </c>
      <c r="M13" s="56">
        <v>62.95</v>
      </c>
      <c r="N13" s="56">
        <v>0</v>
      </c>
      <c r="O13" s="56">
        <v>0</v>
      </c>
      <c r="P13" s="56">
        <v>0.48</v>
      </c>
      <c r="Q13" s="56">
        <v>4.71</v>
      </c>
    </row>
    <row r="14" spans="1:21" customFormat="1">
      <c r="A14" s="55">
        <v>45357.25</v>
      </c>
      <c r="B14" s="56">
        <v>7.89</v>
      </c>
      <c r="C14" s="56">
        <v>23.01</v>
      </c>
      <c r="D14" s="56">
        <v>19.57</v>
      </c>
      <c r="E14" s="56">
        <v>5.37</v>
      </c>
      <c r="F14" s="56">
        <v>5.38</v>
      </c>
      <c r="G14" s="56">
        <v>48.1</v>
      </c>
      <c r="H14" s="56">
        <v>20.100000000000001</v>
      </c>
      <c r="I14" s="56">
        <v>4.95</v>
      </c>
      <c r="J14" s="56">
        <v>0.21</v>
      </c>
      <c r="K14" s="56">
        <v>287.12</v>
      </c>
      <c r="L14" s="56">
        <v>21.36</v>
      </c>
      <c r="M14" s="56">
        <v>68.8</v>
      </c>
      <c r="N14" s="56">
        <v>0</v>
      </c>
      <c r="O14" s="56">
        <v>0</v>
      </c>
      <c r="P14" s="56">
        <v>0.48</v>
      </c>
      <c r="Q14" s="56">
        <v>4.7300000000000004</v>
      </c>
    </row>
    <row r="15" spans="1:21" customFormat="1">
      <c r="A15" s="55">
        <v>45357.291666666664</v>
      </c>
      <c r="B15" s="56">
        <v>11.21</v>
      </c>
      <c r="C15" s="56">
        <v>25.81</v>
      </c>
      <c r="D15" s="56">
        <v>23.83</v>
      </c>
      <c r="E15" s="56">
        <v>6.35</v>
      </c>
      <c r="F15" s="56">
        <v>4.9800000000000004</v>
      </c>
      <c r="G15" s="56">
        <v>48.98</v>
      </c>
      <c r="H15" s="56">
        <v>19.600000000000001</v>
      </c>
      <c r="I15" s="56">
        <v>4.7699999999999996</v>
      </c>
      <c r="J15" s="56">
        <v>0.63</v>
      </c>
      <c r="K15" s="56">
        <v>59.49</v>
      </c>
      <c r="L15" s="56">
        <v>21.58</v>
      </c>
      <c r="M15" s="56">
        <v>68.63</v>
      </c>
      <c r="N15" s="56">
        <v>31.4</v>
      </c>
      <c r="O15" s="56">
        <v>0</v>
      </c>
      <c r="P15" s="56">
        <v>0.51</v>
      </c>
      <c r="Q15" s="56">
        <v>4.75</v>
      </c>
    </row>
    <row r="16" spans="1:21" customFormat="1">
      <c r="A16" s="55">
        <v>45357.333333333336</v>
      </c>
      <c r="B16" s="56">
        <v>12.78</v>
      </c>
      <c r="C16" s="56">
        <v>27.97</v>
      </c>
      <c r="D16" s="56">
        <v>26.13</v>
      </c>
      <c r="E16" s="56">
        <v>6.7</v>
      </c>
      <c r="F16" s="56">
        <v>5.0199999999999996</v>
      </c>
      <c r="G16" s="56">
        <v>64.16</v>
      </c>
      <c r="H16" s="56">
        <v>21.96</v>
      </c>
      <c r="I16" s="56">
        <v>5.63</v>
      </c>
      <c r="J16" s="56">
        <v>1.49</v>
      </c>
      <c r="K16" s="56">
        <v>63</v>
      </c>
      <c r="L16" s="56">
        <v>22.98</v>
      </c>
      <c r="M16" s="56">
        <v>62.53</v>
      </c>
      <c r="N16" s="56">
        <v>110.1</v>
      </c>
      <c r="O16" s="56">
        <v>0</v>
      </c>
      <c r="P16" s="56">
        <v>0.56000000000000005</v>
      </c>
      <c r="Q16" s="56">
        <v>4.7699999999999996</v>
      </c>
    </row>
    <row r="17" spans="1:17" customFormat="1">
      <c r="A17" s="55">
        <v>45357.375</v>
      </c>
      <c r="B17" s="56">
        <v>11.72</v>
      </c>
      <c r="C17" s="56">
        <v>28.51</v>
      </c>
      <c r="D17" s="56">
        <v>25.54</v>
      </c>
      <c r="E17" s="56">
        <v>9.14</v>
      </c>
      <c r="F17" s="56">
        <v>6.23</v>
      </c>
      <c r="G17" s="56">
        <v>63.97</v>
      </c>
      <c r="H17" s="56">
        <v>20.6</v>
      </c>
      <c r="I17" s="56">
        <v>6.06</v>
      </c>
      <c r="J17" s="56">
        <v>0.78</v>
      </c>
      <c r="K17" s="56">
        <v>92.32</v>
      </c>
      <c r="L17" s="56">
        <v>26.02</v>
      </c>
      <c r="M17" s="56">
        <v>53.86</v>
      </c>
      <c r="N17" s="56">
        <v>298.7</v>
      </c>
      <c r="O17" s="56">
        <v>0</v>
      </c>
      <c r="P17" s="56">
        <v>0.57999999999999996</v>
      </c>
      <c r="Q17" s="56">
        <v>4.7699999999999996</v>
      </c>
    </row>
    <row r="18" spans="1:17" customFormat="1">
      <c r="A18" s="55">
        <v>45357.416666666664</v>
      </c>
      <c r="B18" s="56">
        <v>9.4700000000000006</v>
      </c>
      <c r="C18" s="56">
        <v>29.01</v>
      </c>
      <c r="D18" s="56">
        <v>23.74</v>
      </c>
      <c r="E18" s="56">
        <v>9.43</v>
      </c>
      <c r="F18" s="56">
        <v>6.57</v>
      </c>
      <c r="G18" s="56">
        <v>67.67</v>
      </c>
      <c r="H18" s="56">
        <v>24.55</v>
      </c>
      <c r="I18" s="56">
        <v>6.14</v>
      </c>
      <c r="J18" s="56">
        <v>0.98</v>
      </c>
      <c r="K18" s="56">
        <v>80.19</v>
      </c>
      <c r="L18" s="56">
        <v>28.87</v>
      </c>
      <c r="M18" s="56">
        <v>46.21</v>
      </c>
      <c r="N18" s="56">
        <v>376.6</v>
      </c>
      <c r="O18" s="56">
        <v>0</v>
      </c>
      <c r="P18" s="56">
        <v>0.6</v>
      </c>
      <c r="Q18" s="56">
        <v>4.7699999999999996</v>
      </c>
    </row>
    <row r="19" spans="1:17" customFormat="1">
      <c r="A19" s="55">
        <v>45357.458333333336</v>
      </c>
      <c r="B19" s="56">
        <v>8.5399999999999991</v>
      </c>
      <c r="C19" s="56">
        <v>25.7</v>
      </c>
      <c r="D19" s="56">
        <v>21.62</v>
      </c>
      <c r="E19" s="56">
        <v>16.920000000000002</v>
      </c>
      <c r="F19" s="56">
        <v>9.56</v>
      </c>
      <c r="G19" s="56">
        <v>72.73</v>
      </c>
      <c r="H19" s="56">
        <v>24.85</v>
      </c>
      <c r="I19" s="56">
        <v>6.12</v>
      </c>
      <c r="J19" s="56">
        <v>1.1599999999999999</v>
      </c>
      <c r="K19" s="56">
        <v>235.35</v>
      </c>
      <c r="L19" s="56">
        <v>31.75</v>
      </c>
      <c r="M19" s="56">
        <v>41.21</v>
      </c>
      <c r="N19" s="56">
        <v>521</v>
      </c>
      <c r="O19" s="56">
        <v>0</v>
      </c>
      <c r="P19" s="56">
        <v>0.64</v>
      </c>
      <c r="Q19" s="56">
        <v>4.7300000000000004</v>
      </c>
    </row>
    <row r="20" spans="1:17" customFormat="1">
      <c r="A20" s="55">
        <v>45357.5</v>
      </c>
      <c r="B20" s="56">
        <v>6.14</v>
      </c>
      <c r="C20" s="56">
        <v>24.33</v>
      </c>
      <c r="D20" s="56">
        <v>18.989999999999998</v>
      </c>
      <c r="E20" s="56">
        <v>19.93</v>
      </c>
      <c r="F20" s="56">
        <v>16.59</v>
      </c>
      <c r="G20" s="56">
        <v>73.98</v>
      </c>
      <c r="H20" s="56">
        <v>26.35</v>
      </c>
      <c r="I20" s="56">
        <v>6.07</v>
      </c>
      <c r="J20" s="56">
        <v>0.59</v>
      </c>
      <c r="K20" s="56">
        <v>268.86</v>
      </c>
      <c r="L20" s="56">
        <v>34.25</v>
      </c>
      <c r="M20" s="56">
        <v>36.43</v>
      </c>
      <c r="N20" s="56">
        <v>574.4</v>
      </c>
      <c r="O20" s="56">
        <v>0</v>
      </c>
      <c r="P20" s="56">
        <v>0.65</v>
      </c>
      <c r="Q20" s="56">
        <v>4.75</v>
      </c>
    </row>
    <row r="21" spans="1:17" customFormat="1">
      <c r="A21" s="55">
        <v>45357.541666666664</v>
      </c>
      <c r="B21" s="56">
        <v>4.82</v>
      </c>
      <c r="C21" s="56">
        <v>25.35</v>
      </c>
      <c r="D21" s="56">
        <v>17.75</v>
      </c>
      <c r="E21" s="56">
        <v>19.98</v>
      </c>
      <c r="F21" s="56">
        <v>22.91</v>
      </c>
      <c r="G21" s="56">
        <v>73.86</v>
      </c>
      <c r="H21" s="56">
        <v>37.130000000000003</v>
      </c>
      <c r="I21" s="56">
        <v>10.59</v>
      </c>
      <c r="J21" s="56">
        <v>0.39</v>
      </c>
      <c r="K21" s="56">
        <v>269.42</v>
      </c>
      <c r="L21" s="56">
        <v>35.75</v>
      </c>
      <c r="M21" s="56">
        <v>32.39</v>
      </c>
      <c r="N21" s="56">
        <v>581.70000000000005</v>
      </c>
      <c r="O21" s="56">
        <v>0</v>
      </c>
      <c r="P21" s="56">
        <v>1.17</v>
      </c>
      <c r="Q21" s="56">
        <v>4.74</v>
      </c>
    </row>
    <row r="22" spans="1:17" customFormat="1">
      <c r="A22" s="55">
        <v>45357.583333333336</v>
      </c>
      <c r="B22" s="56">
        <v>3.49</v>
      </c>
      <c r="C22" s="56">
        <v>22.81</v>
      </c>
      <c r="D22" s="56">
        <v>15.89</v>
      </c>
      <c r="E22" s="56">
        <v>17.7</v>
      </c>
      <c r="F22" s="56">
        <v>22.36</v>
      </c>
      <c r="G22" s="56">
        <v>95.64</v>
      </c>
      <c r="H22" s="56">
        <v>131.54</v>
      </c>
      <c r="I22" s="56">
        <v>16.920000000000002</v>
      </c>
      <c r="J22" s="56">
        <v>1.2</v>
      </c>
      <c r="K22" s="56">
        <v>321.10000000000002</v>
      </c>
      <c r="L22" s="56">
        <v>35.700000000000003</v>
      </c>
      <c r="M22" s="56">
        <v>24.78</v>
      </c>
      <c r="N22" s="56">
        <v>576.4</v>
      </c>
      <c r="O22" s="56">
        <v>0</v>
      </c>
      <c r="P22" s="56">
        <v>0.92</v>
      </c>
      <c r="Q22" s="56">
        <v>4.7300000000000004</v>
      </c>
    </row>
    <row r="23" spans="1:17" customFormat="1">
      <c r="A23" s="55">
        <v>45357.625</v>
      </c>
      <c r="B23" s="56">
        <v>3.29</v>
      </c>
      <c r="C23" s="56">
        <v>19.86</v>
      </c>
      <c r="D23" s="56">
        <v>14.37</v>
      </c>
      <c r="E23" s="56">
        <v>16.329999999999998</v>
      </c>
      <c r="F23" s="56">
        <v>22.95</v>
      </c>
      <c r="G23" s="56">
        <v>90.35</v>
      </c>
      <c r="H23" s="56">
        <v>35.89</v>
      </c>
      <c r="I23" s="56">
        <v>10.98</v>
      </c>
      <c r="J23" s="56">
        <v>0.57999999999999996</v>
      </c>
      <c r="K23" s="56">
        <v>274.14999999999998</v>
      </c>
      <c r="L23" s="56">
        <v>36.01</v>
      </c>
      <c r="M23" s="56">
        <v>23.31</v>
      </c>
      <c r="N23" s="56">
        <v>535.70000000000005</v>
      </c>
      <c r="O23" s="56">
        <v>0</v>
      </c>
      <c r="P23" s="56">
        <v>0.81</v>
      </c>
      <c r="Q23" s="56">
        <v>4.71</v>
      </c>
    </row>
    <row r="24" spans="1:17" customFormat="1">
      <c r="A24" s="55">
        <v>45357.666666666664</v>
      </c>
      <c r="B24" s="56">
        <v>4.9000000000000004</v>
      </c>
      <c r="C24" s="56">
        <v>17.420000000000002</v>
      </c>
      <c r="D24" s="56">
        <v>13.88</v>
      </c>
      <c r="E24" s="56">
        <v>23.96</v>
      </c>
      <c r="F24" s="56">
        <v>38.340000000000003</v>
      </c>
      <c r="G24" s="56">
        <v>68.069999999999993</v>
      </c>
      <c r="H24" s="56">
        <v>23.95</v>
      </c>
      <c r="I24" s="56">
        <v>8.76</v>
      </c>
      <c r="J24" s="56">
        <v>0.59</v>
      </c>
      <c r="K24" s="56">
        <v>321.29000000000002</v>
      </c>
      <c r="L24" s="56">
        <v>35.5</v>
      </c>
      <c r="M24" s="56">
        <v>27.21</v>
      </c>
      <c r="N24" s="56">
        <v>189.1</v>
      </c>
      <c r="O24" s="56">
        <v>0</v>
      </c>
      <c r="P24" s="56">
        <v>0.79</v>
      </c>
      <c r="Q24" s="56">
        <v>4.7300000000000004</v>
      </c>
    </row>
    <row r="25" spans="1:17" customFormat="1">
      <c r="A25" s="55">
        <v>45357.708333333336</v>
      </c>
      <c r="B25" s="56">
        <v>4.21</v>
      </c>
      <c r="C25" s="56">
        <v>15.5</v>
      </c>
      <c r="D25" s="56">
        <v>12.69</v>
      </c>
      <c r="E25" s="56">
        <v>33.1</v>
      </c>
      <c r="F25" s="56">
        <v>50.32</v>
      </c>
      <c r="G25" s="56">
        <v>82.98</v>
      </c>
      <c r="H25" s="56">
        <v>73.08</v>
      </c>
      <c r="I25" s="56">
        <v>9.76</v>
      </c>
      <c r="J25" s="56">
        <v>0.28000000000000003</v>
      </c>
      <c r="K25" s="56">
        <v>261.22000000000003</v>
      </c>
      <c r="L25" s="56">
        <v>33.82</v>
      </c>
      <c r="M25" s="56">
        <v>33</v>
      </c>
      <c r="N25" s="56">
        <v>80.8</v>
      </c>
      <c r="O25" s="56">
        <v>0</v>
      </c>
      <c r="P25" s="56">
        <v>0.74</v>
      </c>
      <c r="Q25" s="56">
        <v>4.68</v>
      </c>
    </row>
    <row r="26" spans="1:17" customFormat="1">
      <c r="A26" s="55">
        <v>45357.75</v>
      </c>
      <c r="B26" s="56">
        <v>8.7200000000000006</v>
      </c>
      <c r="C26" s="56">
        <v>29.75</v>
      </c>
      <c r="D26" s="56">
        <v>23.89</v>
      </c>
      <c r="E26" s="56">
        <v>38.229999999999997</v>
      </c>
      <c r="F26" s="56">
        <v>42.41</v>
      </c>
      <c r="G26" s="56">
        <v>72.98</v>
      </c>
      <c r="H26" s="56">
        <v>22.41</v>
      </c>
      <c r="I26" s="56">
        <v>7.36</v>
      </c>
      <c r="J26" s="56">
        <v>0.81</v>
      </c>
      <c r="K26" s="56">
        <v>87.88</v>
      </c>
      <c r="L26" s="56">
        <v>33.1</v>
      </c>
      <c r="M26" s="56">
        <v>31.86</v>
      </c>
      <c r="N26" s="56">
        <v>40.299999999999997</v>
      </c>
      <c r="O26" s="56">
        <v>0</v>
      </c>
      <c r="P26" s="56">
        <v>0.93</v>
      </c>
      <c r="Q26" s="56">
        <v>4.67</v>
      </c>
    </row>
    <row r="27" spans="1:17" customFormat="1">
      <c r="A27" s="55">
        <v>45357.791666666664</v>
      </c>
      <c r="B27" s="56">
        <v>5.72</v>
      </c>
      <c r="C27" s="56">
        <v>33.28</v>
      </c>
      <c r="D27" s="56">
        <v>22.24</v>
      </c>
      <c r="E27" s="56">
        <v>22.06</v>
      </c>
      <c r="F27" s="56">
        <v>17.489999999999998</v>
      </c>
      <c r="G27" s="56">
        <v>89.15</v>
      </c>
      <c r="H27" s="56">
        <v>33.29</v>
      </c>
      <c r="I27" s="56">
        <v>7.55</v>
      </c>
      <c r="J27" s="56">
        <v>0.33</v>
      </c>
      <c r="K27" s="56">
        <v>184.05</v>
      </c>
      <c r="L27" s="56">
        <v>31.19</v>
      </c>
      <c r="M27" s="56">
        <v>44.16</v>
      </c>
      <c r="N27" s="56">
        <v>0</v>
      </c>
      <c r="O27" s="56">
        <v>0</v>
      </c>
      <c r="P27" s="56">
        <v>0.98</v>
      </c>
      <c r="Q27" s="56">
        <v>4.75</v>
      </c>
    </row>
    <row r="28" spans="1:17" customFormat="1">
      <c r="A28" s="55">
        <v>45357.833333333336</v>
      </c>
      <c r="B28" s="56">
        <v>4.8899999999999997</v>
      </c>
      <c r="C28" s="56">
        <v>32.56</v>
      </c>
      <c r="D28" s="56">
        <v>22.28</v>
      </c>
      <c r="E28" s="56">
        <v>19.77</v>
      </c>
      <c r="F28" s="56">
        <v>15.21</v>
      </c>
      <c r="G28" s="56">
        <v>132.61000000000001</v>
      </c>
      <c r="H28" s="56">
        <v>56.18</v>
      </c>
      <c r="I28" s="56">
        <v>8.76</v>
      </c>
      <c r="J28" s="56">
        <v>0.33</v>
      </c>
      <c r="K28" s="56">
        <v>181.08</v>
      </c>
      <c r="L28" s="56">
        <v>28.69</v>
      </c>
      <c r="M28" s="56">
        <v>51.64</v>
      </c>
      <c r="N28" s="56">
        <v>0</v>
      </c>
      <c r="O28" s="56">
        <v>0</v>
      </c>
      <c r="P28" s="56">
        <v>1.04</v>
      </c>
      <c r="Q28" s="56">
        <v>4.75</v>
      </c>
    </row>
    <row r="29" spans="1:17" customFormat="1">
      <c r="A29" s="55">
        <v>45357.875</v>
      </c>
      <c r="B29" s="56">
        <v>5.39</v>
      </c>
      <c r="C29" s="56">
        <v>29.87</v>
      </c>
      <c r="D29" s="56">
        <v>21.28</v>
      </c>
      <c r="E29" s="56">
        <v>18.39</v>
      </c>
      <c r="F29" s="56">
        <v>13.99</v>
      </c>
      <c r="G29" s="56">
        <v>153.72999999999999</v>
      </c>
      <c r="H29" s="56">
        <v>51.17</v>
      </c>
      <c r="I29" s="56">
        <v>9</v>
      </c>
      <c r="J29" s="56">
        <v>0.36</v>
      </c>
      <c r="K29" s="56">
        <v>184.95</v>
      </c>
      <c r="L29" s="56">
        <v>28.36</v>
      </c>
      <c r="M29" s="56">
        <v>49.71</v>
      </c>
      <c r="N29" s="56">
        <v>0</v>
      </c>
      <c r="O29" s="56">
        <v>0</v>
      </c>
      <c r="P29" s="56">
        <v>0.97</v>
      </c>
      <c r="Q29" s="56">
        <v>4.75</v>
      </c>
    </row>
    <row r="30" spans="1:17" customFormat="1">
      <c r="A30" s="55">
        <v>45357.916666666664</v>
      </c>
      <c r="B30" s="56">
        <v>6.33</v>
      </c>
      <c r="C30" s="56">
        <v>31.24</v>
      </c>
      <c r="D30" s="56">
        <v>22.75</v>
      </c>
      <c r="E30" s="56">
        <v>20.83</v>
      </c>
      <c r="F30" s="56">
        <v>14.06</v>
      </c>
      <c r="G30" s="56">
        <v>138.46</v>
      </c>
      <c r="H30" s="56">
        <v>44.81</v>
      </c>
      <c r="I30" s="56">
        <v>8.81</v>
      </c>
      <c r="J30" s="56">
        <v>2.29</v>
      </c>
      <c r="K30" s="56">
        <v>48.96</v>
      </c>
      <c r="L30" s="56">
        <v>28.3</v>
      </c>
      <c r="M30" s="56">
        <v>58.11</v>
      </c>
      <c r="N30" s="56">
        <v>0</v>
      </c>
      <c r="O30" s="56">
        <v>0</v>
      </c>
      <c r="P30" s="56">
        <v>0.95</v>
      </c>
      <c r="Q30" s="56">
        <v>4.76</v>
      </c>
    </row>
    <row r="31" spans="1:17" customFormat="1">
      <c r="A31" s="55">
        <v>45357.958333333336</v>
      </c>
      <c r="B31" s="56">
        <v>4.5599999999999996</v>
      </c>
      <c r="C31" s="56">
        <v>25.86</v>
      </c>
      <c r="D31" s="56">
        <v>18.52</v>
      </c>
      <c r="E31" s="56">
        <v>14.44</v>
      </c>
      <c r="F31" s="56">
        <v>13.47</v>
      </c>
      <c r="G31" s="56">
        <v>158.93</v>
      </c>
      <c r="H31" s="56">
        <v>43.66</v>
      </c>
      <c r="I31" s="56">
        <v>7.93</v>
      </c>
      <c r="J31" s="56">
        <v>2.27</v>
      </c>
      <c r="K31" s="56">
        <v>59.03</v>
      </c>
      <c r="L31" s="56">
        <v>25.23</v>
      </c>
      <c r="M31" s="56">
        <v>60.49</v>
      </c>
      <c r="N31" s="56">
        <v>0</v>
      </c>
      <c r="O31" s="56">
        <v>0</v>
      </c>
      <c r="P31" s="56">
        <v>0.82</v>
      </c>
      <c r="Q31" s="56">
        <v>4.74</v>
      </c>
    </row>
    <row r="32" spans="1:17" customFormat="1">
      <c r="A32" s="55">
        <v>45358</v>
      </c>
      <c r="B32" s="56">
        <v>4.6900000000000004</v>
      </c>
      <c r="C32" s="56">
        <v>22.51</v>
      </c>
      <c r="D32" s="56">
        <v>16.579999999999998</v>
      </c>
      <c r="E32" s="56">
        <v>14.56</v>
      </c>
      <c r="F32" s="56">
        <v>9.68</v>
      </c>
      <c r="G32" s="56">
        <v>35.72</v>
      </c>
      <c r="H32" s="56">
        <v>24.6</v>
      </c>
      <c r="I32" s="56">
        <v>6.61</v>
      </c>
      <c r="J32" s="56">
        <v>1.8</v>
      </c>
      <c r="K32" s="56">
        <v>71.760000000000005</v>
      </c>
      <c r="L32" s="56">
        <v>23.86</v>
      </c>
      <c r="M32" s="56">
        <v>58.95</v>
      </c>
      <c r="N32" s="56">
        <v>0</v>
      </c>
      <c r="O32" s="56">
        <v>0</v>
      </c>
      <c r="P32" s="56">
        <v>0.72</v>
      </c>
      <c r="Q32" s="56">
        <v>4.7300000000000004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3.29</v>
      </c>
      <c r="C34" s="41">
        <f t="shared" si="0"/>
        <v>15.5</v>
      </c>
      <c r="D34" s="41">
        <f t="shared" si="0"/>
        <v>12.69</v>
      </c>
      <c r="E34" s="41">
        <f t="shared" si="0"/>
        <v>3.87</v>
      </c>
      <c r="F34" s="41">
        <f t="shared" si="0"/>
        <v>4.9800000000000004</v>
      </c>
      <c r="G34" s="41">
        <f t="shared" si="0"/>
        <v>35.72</v>
      </c>
      <c r="H34" s="41">
        <f t="shared" si="0"/>
        <v>19.600000000000001</v>
      </c>
      <c r="I34" s="41">
        <f t="shared" si="0"/>
        <v>4.7699999999999996</v>
      </c>
      <c r="J34" s="41">
        <f t="shared" si="0"/>
        <v>0.21</v>
      </c>
      <c r="K34" s="41">
        <f t="shared" si="0"/>
        <v>48.96</v>
      </c>
      <c r="L34" s="41">
        <f t="shared" si="0"/>
        <v>21.36</v>
      </c>
      <c r="M34" s="41">
        <f t="shared" si="0"/>
        <v>23.31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4.67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12.78</v>
      </c>
      <c r="C35" s="33">
        <f t="shared" si="1"/>
        <v>33.28</v>
      </c>
      <c r="D35" s="33">
        <f t="shared" si="1"/>
        <v>26.13</v>
      </c>
      <c r="E35" s="33">
        <f t="shared" si="1"/>
        <v>38.229999999999997</v>
      </c>
      <c r="F35" s="33">
        <f t="shared" si="1"/>
        <v>50.32</v>
      </c>
      <c r="G35" s="33">
        <f t="shared" si="1"/>
        <v>158.93</v>
      </c>
      <c r="H35" s="33">
        <f t="shared" si="1"/>
        <v>131.54</v>
      </c>
      <c r="I35" s="33">
        <f t="shared" si="1"/>
        <v>16.920000000000002</v>
      </c>
      <c r="J35" s="33">
        <f t="shared" si="1"/>
        <v>2.29</v>
      </c>
      <c r="K35" s="33">
        <f t="shared" si="1"/>
        <v>321.29000000000002</v>
      </c>
      <c r="L35" s="33">
        <f t="shared" si="1"/>
        <v>36.01</v>
      </c>
      <c r="M35" s="33">
        <f t="shared" si="1"/>
        <v>68.8</v>
      </c>
      <c r="N35" s="33">
        <f t="shared" si="1"/>
        <v>581.70000000000005</v>
      </c>
      <c r="O35" s="33">
        <f t="shared" si="1"/>
        <v>0</v>
      </c>
      <c r="P35" s="33">
        <f t="shared" si="1"/>
        <v>1.17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6.8724999999999996</v>
      </c>
      <c r="C36" s="41">
        <f t="shared" si="2"/>
        <v>25.817916666666665</v>
      </c>
      <c r="D36" s="41">
        <f t="shared" si="2"/>
        <v>20.178333333333331</v>
      </c>
      <c r="E36" s="41">
        <f t="shared" si="2"/>
        <v>15.213333333333331</v>
      </c>
      <c r="F36" s="41">
        <f t="shared" si="2"/>
        <v>15.362083333333333</v>
      </c>
      <c r="G36" s="41">
        <f t="shared" si="2"/>
        <v>82.49708333333335</v>
      </c>
      <c r="H36" s="41">
        <f t="shared" si="2"/>
        <v>36.64374999999999</v>
      </c>
      <c r="I36" s="41">
        <f t="shared" si="2"/>
        <v>7.5991666666666688</v>
      </c>
      <c r="J36" s="41">
        <f t="shared" si="2"/>
        <v>0.84333333333333327</v>
      </c>
      <c r="K36" s="41">
        <f t="shared" si="2"/>
        <v>160.09833333333333</v>
      </c>
      <c r="L36" s="41">
        <f t="shared" si="2"/>
        <v>28.218333333333337</v>
      </c>
      <c r="M36" s="41">
        <f t="shared" si="2"/>
        <v>49.177083333333336</v>
      </c>
      <c r="N36" s="41">
        <f t="shared" si="2"/>
        <v>163.17500000000001</v>
      </c>
      <c r="O36" s="41">
        <f t="shared" si="2"/>
        <v>0</v>
      </c>
      <c r="P36" s="41">
        <f t="shared" si="2"/>
        <v>0.74375000000000002</v>
      </c>
      <c r="Q36" s="41">
        <f t="shared" si="2"/>
        <v>4.7370833333333335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2.5659818868180402</v>
      </c>
      <c r="C37" s="41">
        <f t="shared" ref="C37:Q37" si="3">STDEV(C9:C32)</f>
        <v>4.612713979169226</v>
      </c>
      <c r="D37" s="41">
        <f t="shared" si="3"/>
        <v>3.6576134612454894</v>
      </c>
      <c r="E37" s="41">
        <f t="shared" si="3"/>
        <v>8.8767751031488977</v>
      </c>
      <c r="F37" s="41">
        <f t="shared" si="3"/>
        <v>12.545582274308725</v>
      </c>
      <c r="G37" s="41">
        <f t="shared" si="3"/>
        <v>32.749632388134806</v>
      </c>
      <c r="H37" s="41">
        <f t="shared" si="3"/>
        <v>24.208377423941506</v>
      </c>
      <c r="I37" s="41">
        <f t="shared" si="3"/>
        <v>2.6752601119641861</v>
      </c>
      <c r="J37" s="41">
        <f t="shared" si="3"/>
        <v>0.59025172718872709</v>
      </c>
      <c r="K37" s="41">
        <f t="shared" si="3"/>
        <v>96.077191188474416</v>
      </c>
      <c r="L37" s="41">
        <f t="shared" si="3"/>
        <v>5.2408899565084814</v>
      </c>
      <c r="M37" s="41">
        <f t="shared" si="3"/>
        <v>14.588676513910928</v>
      </c>
      <c r="N37" s="41">
        <f t="shared" si="3"/>
        <v>229.17674259799159</v>
      </c>
      <c r="O37" s="41">
        <f t="shared" si="3"/>
        <v>0</v>
      </c>
      <c r="P37" s="41">
        <f t="shared" si="3"/>
        <v>0.19539953495561196</v>
      </c>
      <c r="Q37" s="41">
        <f t="shared" si="3"/>
        <v>2.5448868885202522E-2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45358.041666666664</v>
      </c>
      <c r="B9" s="56">
        <v>5.24</v>
      </c>
      <c r="C9" s="56">
        <v>19.61</v>
      </c>
      <c r="D9" s="56">
        <v>15.64</v>
      </c>
      <c r="E9" s="56">
        <v>13.52</v>
      </c>
      <c r="F9" s="56">
        <v>10.48</v>
      </c>
      <c r="G9" s="56">
        <v>56.74</v>
      </c>
      <c r="H9" s="56">
        <v>23.45</v>
      </c>
      <c r="I9" s="56">
        <v>6.22</v>
      </c>
      <c r="J9" s="56">
        <v>1.29</v>
      </c>
      <c r="K9" s="56">
        <v>60.64</v>
      </c>
      <c r="L9" s="56">
        <v>23.96</v>
      </c>
      <c r="M9" s="56">
        <v>61.19</v>
      </c>
      <c r="N9" s="56">
        <v>0</v>
      </c>
      <c r="O9" s="56">
        <v>0</v>
      </c>
      <c r="P9" s="56">
        <v>0.64</v>
      </c>
      <c r="Q9" s="56">
        <v>4.71</v>
      </c>
    </row>
    <row r="10" spans="1:21" customFormat="1">
      <c r="A10" s="55">
        <v>45358.083333333336</v>
      </c>
      <c r="B10" s="56">
        <v>4.8099999999999996</v>
      </c>
      <c r="C10" s="56">
        <v>21.73</v>
      </c>
      <c r="D10" s="56">
        <v>16.329999999999998</v>
      </c>
      <c r="E10" s="56">
        <v>14.67</v>
      </c>
      <c r="F10" s="56">
        <v>11.41</v>
      </c>
      <c r="G10" s="56">
        <v>33.24</v>
      </c>
      <c r="H10" s="56">
        <v>17.170000000000002</v>
      </c>
      <c r="I10" s="56">
        <v>5.77</v>
      </c>
      <c r="J10" s="56">
        <v>1.73</v>
      </c>
      <c r="K10" s="56">
        <v>49.23</v>
      </c>
      <c r="L10" s="56">
        <v>23.64</v>
      </c>
      <c r="M10" s="56">
        <v>65.900000000000006</v>
      </c>
      <c r="N10" s="56">
        <v>0</v>
      </c>
      <c r="O10" s="56">
        <v>0</v>
      </c>
      <c r="P10" s="56">
        <v>0.61</v>
      </c>
      <c r="Q10" s="56">
        <v>4.76</v>
      </c>
    </row>
    <row r="11" spans="1:21" customFormat="1">
      <c r="A11" s="55">
        <v>45358.125</v>
      </c>
      <c r="B11" s="56">
        <v>4.8499999999999996</v>
      </c>
      <c r="C11" s="56">
        <v>22.16</v>
      </c>
      <c r="D11" s="56">
        <v>16.809999999999999</v>
      </c>
      <c r="E11" s="56">
        <v>10.96</v>
      </c>
      <c r="F11" s="56">
        <v>7.56</v>
      </c>
      <c r="G11" s="56">
        <v>40.15</v>
      </c>
      <c r="H11" s="56">
        <v>19.18</v>
      </c>
      <c r="I11" s="56">
        <v>5.27</v>
      </c>
      <c r="J11" s="56">
        <v>1.44</v>
      </c>
      <c r="K11" s="56">
        <v>64.02</v>
      </c>
      <c r="L11" s="56">
        <v>22.53</v>
      </c>
      <c r="M11" s="56">
        <v>66.09</v>
      </c>
      <c r="N11" s="56">
        <v>0</v>
      </c>
      <c r="O11" s="56">
        <v>0</v>
      </c>
      <c r="P11" s="56">
        <v>0.56999999999999995</v>
      </c>
      <c r="Q11" s="56">
        <v>4.76</v>
      </c>
    </row>
    <row r="12" spans="1:21" customFormat="1">
      <c r="A12" s="55">
        <v>45358.166666666664</v>
      </c>
      <c r="B12" s="56">
        <v>4.8499999999999996</v>
      </c>
      <c r="C12" s="56">
        <v>23.49</v>
      </c>
      <c r="D12" s="56">
        <v>17.489999999999998</v>
      </c>
      <c r="E12" s="56">
        <v>11.48</v>
      </c>
      <c r="F12" s="56">
        <v>6.93</v>
      </c>
      <c r="G12" s="56">
        <v>37.619999999999997</v>
      </c>
      <c r="H12" s="56">
        <v>16.59</v>
      </c>
      <c r="I12" s="56">
        <v>4.82</v>
      </c>
      <c r="J12" s="56">
        <v>1.08</v>
      </c>
      <c r="K12" s="56">
        <v>119.39</v>
      </c>
      <c r="L12" s="56">
        <v>23.08</v>
      </c>
      <c r="M12" s="56">
        <v>61.11</v>
      </c>
      <c r="N12" s="56">
        <v>0</v>
      </c>
      <c r="O12" s="56">
        <v>0</v>
      </c>
      <c r="P12" s="56">
        <v>0.52</v>
      </c>
      <c r="Q12" s="56">
        <v>4.79</v>
      </c>
    </row>
    <row r="13" spans="1:21" customFormat="1">
      <c r="A13" s="55">
        <v>45358.208333333336</v>
      </c>
      <c r="B13" s="56">
        <v>5.62</v>
      </c>
      <c r="C13" s="56">
        <v>25.25</v>
      </c>
      <c r="D13" s="56">
        <v>19.05</v>
      </c>
      <c r="E13" s="56">
        <v>13.57</v>
      </c>
      <c r="F13" s="56">
        <v>6.07</v>
      </c>
      <c r="G13" s="56">
        <v>49.05</v>
      </c>
      <c r="H13" s="56">
        <v>19.03</v>
      </c>
      <c r="I13" s="56">
        <v>4.54</v>
      </c>
      <c r="J13" s="56">
        <v>1.51</v>
      </c>
      <c r="K13" s="56">
        <v>124.44</v>
      </c>
      <c r="L13" s="56">
        <v>23.14</v>
      </c>
      <c r="M13" s="56">
        <v>65.040000000000006</v>
      </c>
      <c r="N13" s="56">
        <v>0</v>
      </c>
      <c r="O13" s="56">
        <v>0</v>
      </c>
      <c r="P13" s="56">
        <v>0.5</v>
      </c>
      <c r="Q13" s="56">
        <v>4.79</v>
      </c>
    </row>
    <row r="14" spans="1:21" customFormat="1">
      <c r="A14" s="55">
        <v>45358.25</v>
      </c>
      <c r="B14" s="56">
        <v>9.1</v>
      </c>
      <c r="C14" s="56">
        <v>26.95</v>
      </c>
      <c r="D14" s="56">
        <v>21.81</v>
      </c>
      <c r="E14" s="56">
        <v>11.09</v>
      </c>
      <c r="F14" s="56">
        <v>5.12</v>
      </c>
      <c r="G14" s="56">
        <v>39.85</v>
      </c>
      <c r="H14" s="56">
        <v>23.31</v>
      </c>
      <c r="I14" s="56">
        <v>4.3899999999999997</v>
      </c>
      <c r="J14" s="56">
        <v>0.91</v>
      </c>
      <c r="K14" s="56">
        <v>56.98</v>
      </c>
      <c r="L14" s="56">
        <v>21.31</v>
      </c>
      <c r="M14" s="56">
        <v>74.72</v>
      </c>
      <c r="N14" s="56">
        <v>0</v>
      </c>
      <c r="O14" s="56">
        <v>0</v>
      </c>
      <c r="P14" s="56">
        <v>0.48</v>
      </c>
      <c r="Q14" s="56">
        <v>4.79</v>
      </c>
    </row>
    <row r="15" spans="1:21" customFormat="1">
      <c r="A15" s="55">
        <v>45358.291666666664</v>
      </c>
      <c r="B15" s="56">
        <v>10.29</v>
      </c>
      <c r="C15" s="56">
        <v>23.12</v>
      </c>
      <c r="D15" s="56">
        <v>20.96</v>
      </c>
      <c r="E15" s="56">
        <v>6.87</v>
      </c>
      <c r="F15" s="56">
        <v>5.1100000000000003</v>
      </c>
      <c r="G15" s="56">
        <v>52.44</v>
      </c>
      <c r="H15" s="56">
        <v>23.42</v>
      </c>
      <c r="I15" s="56">
        <v>4.5199999999999996</v>
      </c>
      <c r="J15" s="56">
        <v>0.92</v>
      </c>
      <c r="K15" s="56">
        <v>69.739999999999995</v>
      </c>
      <c r="L15" s="56">
        <v>20.53</v>
      </c>
      <c r="M15" s="56">
        <v>77.75</v>
      </c>
      <c r="N15" s="56">
        <v>23.6</v>
      </c>
      <c r="O15" s="56">
        <v>0</v>
      </c>
      <c r="P15" s="56">
        <v>0.45</v>
      </c>
      <c r="Q15" s="56">
        <v>4.78</v>
      </c>
    </row>
    <row r="16" spans="1:21" customFormat="1">
      <c r="A16" s="55">
        <v>45358.333333333336</v>
      </c>
      <c r="B16" s="56">
        <v>11.62</v>
      </c>
      <c r="C16" s="56">
        <v>22.68</v>
      </c>
      <c r="D16" s="56">
        <v>21.85</v>
      </c>
      <c r="E16" s="56">
        <v>10.34</v>
      </c>
      <c r="F16" s="56">
        <v>5.51</v>
      </c>
      <c r="G16" s="56">
        <v>57.48</v>
      </c>
      <c r="H16" s="56">
        <v>24.16</v>
      </c>
      <c r="I16" s="56">
        <v>4.6900000000000004</v>
      </c>
      <c r="J16" s="56">
        <v>1.01</v>
      </c>
      <c r="K16" s="56">
        <v>60.71</v>
      </c>
      <c r="L16" s="56">
        <v>21.74</v>
      </c>
      <c r="M16" s="56">
        <v>76.87</v>
      </c>
      <c r="N16" s="56">
        <v>99.2</v>
      </c>
      <c r="O16" s="56">
        <v>0</v>
      </c>
      <c r="P16" s="56">
        <v>0.52</v>
      </c>
      <c r="Q16" s="56">
        <v>4.8600000000000003</v>
      </c>
    </row>
    <row r="17" spans="1:17" customFormat="1">
      <c r="A17" s="55">
        <v>45358.375</v>
      </c>
      <c r="B17" s="56">
        <v>10.210000000000001</v>
      </c>
      <c r="C17" s="56">
        <v>25.9</v>
      </c>
      <c r="D17" s="56">
        <v>22.2</v>
      </c>
      <c r="E17" s="56">
        <v>11.35</v>
      </c>
      <c r="F17" s="56">
        <v>6.36</v>
      </c>
      <c r="G17" s="56">
        <v>50.95</v>
      </c>
      <c r="H17" s="56">
        <v>23.21</v>
      </c>
      <c r="I17" s="56">
        <v>4.79</v>
      </c>
      <c r="J17" s="56">
        <v>1.1499999999999999</v>
      </c>
      <c r="K17" s="56">
        <v>76.099999999999994</v>
      </c>
      <c r="L17" s="56">
        <v>24.67</v>
      </c>
      <c r="M17" s="56">
        <v>69.739999999999995</v>
      </c>
      <c r="N17" s="56">
        <v>288.60000000000002</v>
      </c>
      <c r="O17" s="56">
        <v>0</v>
      </c>
      <c r="P17" s="56">
        <v>0.56000000000000005</v>
      </c>
      <c r="Q17" s="56">
        <v>4.95</v>
      </c>
    </row>
    <row r="18" spans="1:17" customFormat="1">
      <c r="A18" s="55">
        <v>45358.416666666664</v>
      </c>
      <c r="B18" s="56">
        <v>7.87</v>
      </c>
      <c r="C18" s="56">
        <v>26.29</v>
      </c>
      <c r="D18" s="56">
        <v>21.4</v>
      </c>
      <c r="E18" s="56">
        <v>11.53</v>
      </c>
      <c r="F18" s="56">
        <v>10.35</v>
      </c>
      <c r="G18" s="56">
        <v>55.37</v>
      </c>
      <c r="H18" s="56">
        <v>25.73</v>
      </c>
      <c r="I18" s="56">
        <v>4.83</v>
      </c>
      <c r="J18" s="56">
        <v>1.26</v>
      </c>
      <c r="K18" s="56">
        <v>79.05</v>
      </c>
      <c r="L18" s="56">
        <v>26.73</v>
      </c>
      <c r="M18" s="56">
        <v>57.71</v>
      </c>
      <c r="N18" s="56">
        <v>362.6</v>
      </c>
      <c r="O18" s="56">
        <v>0</v>
      </c>
      <c r="P18" s="56">
        <v>0.57999999999999996</v>
      </c>
      <c r="Q18" s="56">
        <v>4.92</v>
      </c>
    </row>
    <row r="19" spans="1:17" customFormat="1">
      <c r="A19" s="55">
        <v>45358.458333333336</v>
      </c>
      <c r="B19" s="56">
        <v>5.82</v>
      </c>
      <c r="C19" s="56">
        <v>26.46</v>
      </c>
      <c r="D19" s="56">
        <v>19.5</v>
      </c>
      <c r="E19" s="56">
        <v>11.82</v>
      </c>
      <c r="F19" s="56">
        <v>12.48</v>
      </c>
      <c r="G19" s="56">
        <v>57.88</v>
      </c>
      <c r="H19" s="56">
        <v>26.99</v>
      </c>
      <c r="I19" s="56">
        <v>4.66</v>
      </c>
      <c r="J19" s="56">
        <v>1.48</v>
      </c>
      <c r="K19" s="56">
        <v>69.06</v>
      </c>
      <c r="L19" s="56">
        <v>28.89</v>
      </c>
      <c r="M19" s="56">
        <v>53.89</v>
      </c>
      <c r="N19" s="56">
        <v>483.5</v>
      </c>
      <c r="O19" s="56">
        <v>0</v>
      </c>
      <c r="P19" s="56">
        <v>0.57999999999999996</v>
      </c>
      <c r="Q19" s="56">
        <v>4.8600000000000003</v>
      </c>
    </row>
    <row r="20" spans="1:17" customFormat="1">
      <c r="A20" s="55">
        <v>45358.5</v>
      </c>
      <c r="B20" s="56">
        <v>4.97</v>
      </c>
      <c r="C20" s="56">
        <v>25.43</v>
      </c>
      <c r="D20" s="56">
        <v>18.260000000000002</v>
      </c>
      <c r="E20" s="56">
        <v>14.68</v>
      </c>
      <c r="F20" s="56">
        <v>20</v>
      </c>
      <c r="G20" s="56">
        <v>61.45</v>
      </c>
      <c r="H20" s="56">
        <v>23.71</v>
      </c>
      <c r="I20" s="56">
        <v>4.5199999999999996</v>
      </c>
      <c r="J20" s="56">
        <v>1.19</v>
      </c>
      <c r="K20" s="56">
        <v>69.33</v>
      </c>
      <c r="L20" s="56">
        <v>30.15</v>
      </c>
      <c r="M20" s="56">
        <v>47.74</v>
      </c>
      <c r="N20" s="56">
        <v>540.6</v>
      </c>
      <c r="O20" s="56">
        <v>0</v>
      </c>
      <c r="P20" s="56">
        <v>0.56000000000000005</v>
      </c>
      <c r="Q20" s="56">
        <v>4.83</v>
      </c>
    </row>
    <row r="21" spans="1:17" customFormat="1">
      <c r="A21" s="55">
        <v>45358.541666666664</v>
      </c>
      <c r="B21" s="56">
        <v>4.57</v>
      </c>
      <c r="C21" s="56">
        <v>23.24</v>
      </c>
      <c r="D21" s="56">
        <v>17.16</v>
      </c>
      <c r="E21" s="56">
        <v>19.41</v>
      </c>
      <c r="F21" s="56">
        <v>23.21</v>
      </c>
      <c r="G21" s="56">
        <v>60.84</v>
      </c>
      <c r="H21" s="56">
        <v>25.98</v>
      </c>
      <c r="I21" s="56">
        <v>4.25</v>
      </c>
      <c r="J21" s="56">
        <v>1.2</v>
      </c>
      <c r="K21" s="56">
        <v>61.9</v>
      </c>
      <c r="L21" s="56">
        <v>30.65</v>
      </c>
      <c r="M21" s="56">
        <v>46.22</v>
      </c>
      <c r="N21" s="56">
        <v>542.9</v>
      </c>
      <c r="O21" s="56">
        <v>0</v>
      </c>
      <c r="P21" s="56">
        <v>0.57999999999999996</v>
      </c>
      <c r="Q21" s="56">
        <v>4.78</v>
      </c>
    </row>
    <row r="22" spans="1:17" customFormat="1">
      <c r="A22" s="55">
        <v>45358.583333333336</v>
      </c>
      <c r="B22" s="56">
        <v>3.75</v>
      </c>
      <c r="C22" s="56">
        <v>21.47</v>
      </c>
      <c r="D22" s="56">
        <v>15.46</v>
      </c>
      <c r="E22" s="56">
        <v>21.21</v>
      </c>
      <c r="F22" s="56">
        <v>24.49</v>
      </c>
      <c r="G22" s="56">
        <v>61.38</v>
      </c>
      <c r="H22" s="56">
        <v>23.2</v>
      </c>
      <c r="I22" s="56">
        <v>4.43</v>
      </c>
      <c r="J22" s="56">
        <v>0.94</v>
      </c>
      <c r="K22" s="56">
        <v>323.14</v>
      </c>
      <c r="L22" s="56">
        <v>31.72</v>
      </c>
      <c r="M22" s="56">
        <v>43.69</v>
      </c>
      <c r="N22" s="56">
        <v>514.20000000000005</v>
      </c>
      <c r="O22" s="56">
        <v>0</v>
      </c>
      <c r="P22" s="56">
        <v>0.6</v>
      </c>
      <c r="Q22" s="56">
        <v>4.72</v>
      </c>
    </row>
    <row r="23" spans="1:17" customFormat="1">
      <c r="A23" s="55">
        <v>45358.625</v>
      </c>
      <c r="B23" s="56">
        <v>3.97</v>
      </c>
      <c r="C23" s="56">
        <v>29.54</v>
      </c>
      <c r="D23" s="56">
        <v>19.97</v>
      </c>
      <c r="E23" s="56">
        <v>26.53</v>
      </c>
      <c r="F23" s="56">
        <v>23.71</v>
      </c>
      <c r="G23" s="56">
        <v>66.989999999999995</v>
      </c>
      <c r="H23" s="56">
        <v>25.07</v>
      </c>
      <c r="I23" s="56">
        <v>18.579999999999998</v>
      </c>
      <c r="J23" s="56">
        <v>0.94</v>
      </c>
      <c r="K23" s="56">
        <v>45.55</v>
      </c>
      <c r="L23" s="56">
        <v>32.229999999999997</v>
      </c>
      <c r="M23" s="56">
        <v>39.950000000000003</v>
      </c>
      <c r="N23" s="56">
        <v>415.4</v>
      </c>
      <c r="O23" s="56">
        <v>0</v>
      </c>
      <c r="P23" s="56">
        <v>0.74</v>
      </c>
      <c r="Q23" s="56">
        <v>4.75</v>
      </c>
    </row>
    <row r="24" spans="1:17" customFormat="1">
      <c r="A24" s="55">
        <v>45358.666666666664</v>
      </c>
      <c r="B24" s="56">
        <v>5</v>
      </c>
      <c r="C24" s="56">
        <v>32.75</v>
      </c>
      <c r="D24" s="56">
        <v>22.48</v>
      </c>
      <c r="E24" s="56">
        <v>53.68</v>
      </c>
      <c r="F24" s="56">
        <v>32.82</v>
      </c>
      <c r="G24" s="56">
        <v>65.36</v>
      </c>
      <c r="H24" s="56">
        <v>33.340000000000003</v>
      </c>
      <c r="I24" s="56">
        <v>23.73</v>
      </c>
      <c r="J24" s="56">
        <v>1.53</v>
      </c>
      <c r="K24" s="56">
        <v>51</v>
      </c>
      <c r="L24" s="56">
        <v>31.42</v>
      </c>
      <c r="M24" s="56">
        <v>40.97</v>
      </c>
      <c r="N24" s="56">
        <v>209.8</v>
      </c>
      <c r="O24" s="56">
        <v>0</v>
      </c>
      <c r="P24" s="56">
        <v>0.54</v>
      </c>
      <c r="Q24" s="56">
        <v>4.72</v>
      </c>
    </row>
    <row r="25" spans="1:17" customFormat="1">
      <c r="A25" s="55">
        <v>45358.708333333336</v>
      </c>
      <c r="B25" s="56">
        <v>2.98</v>
      </c>
      <c r="C25" s="56">
        <v>31.98</v>
      </c>
      <c r="D25" s="56">
        <v>20.059999999999999</v>
      </c>
      <c r="E25" s="56">
        <v>44.23</v>
      </c>
      <c r="F25" s="56">
        <v>33.76</v>
      </c>
      <c r="G25" s="56">
        <v>73.22</v>
      </c>
      <c r="H25" s="56">
        <v>28.19</v>
      </c>
      <c r="I25" s="56">
        <v>15.52</v>
      </c>
      <c r="J25" s="56">
        <v>1.05</v>
      </c>
      <c r="K25" s="56">
        <v>351.76</v>
      </c>
      <c r="L25" s="56">
        <v>31.27</v>
      </c>
      <c r="M25" s="56">
        <v>39.409999999999997</v>
      </c>
      <c r="N25" s="56">
        <v>216.2</v>
      </c>
      <c r="O25" s="56">
        <v>0</v>
      </c>
      <c r="P25" s="56">
        <v>0.57999999999999996</v>
      </c>
      <c r="Q25" s="56">
        <v>4.74</v>
      </c>
    </row>
    <row r="26" spans="1:17" customFormat="1">
      <c r="A26" s="55">
        <v>45358.75</v>
      </c>
      <c r="B26" s="56">
        <v>2.88</v>
      </c>
      <c r="C26" s="56">
        <v>33.450000000000003</v>
      </c>
      <c r="D26" s="56">
        <v>21.06</v>
      </c>
      <c r="E26" s="56">
        <v>17.260000000000002</v>
      </c>
      <c r="F26" s="56">
        <v>10.87</v>
      </c>
      <c r="G26" s="56">
        <v>80.38</v>
      </c>
      <c r="H26" s="56">
        <v>35.21</v>
      </c>
      <c r="I26" s="56">
        <v>8.02</v>
      </c>
      <c r="J26" s="56">
        <v>0.87</v>
      </c>
      <c r="K26" s="56">
        <v>182.59</v>
      </c>
      <c r="L26" s="56">
        <v>30.47</v>
      </c>
      <c r="M26" s="56">
        <v>44.5</v>
      </c>
      <c r="N26" s="56">
        <v>60.5</v>
      </c>
      <c r="O26" s="56">
        <v>0</v>
      </c>
      <c r="P26" s="56">
        <v>0.59</v>
      </c>
      <c r="Q26" s="56">
        <v>4.7300000000000004</v>
      </c>
    </row>
    <row r="27" spans="1:17" customFormat="1">
      <c r="A27" s="55">
        <v>45358.791666666664</v>
      </c>
      <c r="B27" s="56">
        <v>4.71</v>
      </c>
      <c r="C27" s="56">
        <v>33.89</v>
      </c>
      <c r="D27" s="56">
        <v>22.23</v>
      </c>
      <c r="E27" s="56">
        <v>11.14</v>
      </c>
      <c r="F27" s="56">
        <v>8.91</v>
      </c>
      <c r="G27" s="56">
        <v>70.739999999999995</v>
      </c>
      <c r="H27" s="56">
        <v>29.16</v>
      </c>
      <c r="I27" s="56">
        <v>7.39</v>
      </c>
      <c r="J27" s="56">
        <v>0.59</v>
      </c>
      <c r="K27" s="56">
        <v>84.1</v>
      </c>
      <c r="L27" s="56">
        <v>28.85</v>
      </c>
      <c r="M27" s="56">
        <v>49.77</v>
      </c>
      <c r="N27" s="56">
        <v>0</v>
      </c>
      <c r="O27" s="56">
        <v>0</v>
      </c>
      <c r="P27" s="56">
        <v>0.68</v>
      </c>
      <c r="Q27" s="56">
        <v>4.7</v>
      </c>
    </row>
    <row r="28" spans="1:17" customFormat="1">
      <c r="A28" s="55">
        <v>45358.833333333336</v>
      </c>
      <c r="B28" s="56">
        <v>7.16</v>
      </c>
      <c r="C28" s="56">
        <v>31.3</v>
      </c>
      <c r="D28" s="56">
        <v>22.4</v>
      </c>
      <c r="E28" s="56">
        <v>10.18</v>
      </c>
      <c r="F28" s="56">
        <v>7.19</v>
      </c>
      <c r="G28" s="56">
        <v>101.9</v>
      </c>
      <c r="H28" s="56">
        <v>34.409999999999997</v>
      </c>
      <c r="I28" s="56">
        <v>7.59</v>
      </c>
      <c r="J28" s="56">
        <v>0.61</v>
      </c>
      <c r="K28" s="56">
        <v>171.93</v>
      </c>
      <c r="L28" s="56">
        <v>27.9</v>
      </c>
      <c r="M28" s="56">
        <v>66.3</v>
      </c>
      <c r="N28" s="56">
        <v>0</v>
      </c>
      <c r="O28" s="56">
        <v>0</v>
      </c>
      <c r="P28" s="56">
        <v>0.73</v>
      </c>
      <c r="Q28" s="56">
        <v>4.71</v>
      </c>
    </row>
    <row r="29" spans="1:17" customFormat="1">
      <c r="A29" s="55">
        <v>45358.875</v>
      </c>
      <c r="B29" s="56">
        <v>8.99</v>
      </c>
      <c r="C29" s="56">
        <v>28.47</v>
      </c>
      <c r="D29" s="56">
        <v>23.43</v>
      </c>
      <c r="E29" s="56">
        <v>7.79</v>
      </c>
      <c r="F29" s="56">
        <v>5.3</v>
      </c>
      <c r="G29" s="56">
        <v>129.35</v>
      </c>
      <c r="H29" s="56">
        <v>40.49</v>
      </c>
      <c r="I29" s="56">
        <v>8.02</v>
      </c>
      <c r="J29" s="56">
        <v>0.42</v>
      </c>
      <c r="K29" s="56">
        <v>174.12</v>
      </c>
      <c r="L29" s="56">
        <v>25.91</v>
      </c>
      <c r="M29" s="56">
        <v>64.010000000000005</v>
      </c>
      <c r="N29" s="56">
        <v>0</v>
      </c>
      <c r="O29" s="56">
        <v>0</v>
      </c>
      <c r="P29" s="56">
        <v>0.79</v>
      </c>
      <c r="Q29" s="56">
        <v>4.72</v>
      </c>
    </row>
    <row r="30" spans="1:17" customFormat="1">
      <c r="A30" s="55">
        <v>45358.916666666664</v>
      </c>
      <c r="B30" s="56">
        <v>11.1</v>
      </c>
      <c r="C30" s="56">
        <v>34.19</v>
      </c>
      <c r="D30" s="56">
        <v>27.94</v>
      </c>
      <c r="E30" s="56">
        <v>8.64</v>
      </c>
      <c r="F30" s="56">
        <v>4.75</v>
      </c>
      <c r="G30" s="56">
        <v>149.56</v>
      </c>
      <c r="H30" s="56">
        <v>48.64</v>
      </c>
      <c r="I30" s="56">
        <v>9.0399999999999991</v>
      </c>
      <c r="J30" s="56">
        <v>0.41</v>
      </c>
      <c r="K30" s="56">
        <v>185.68</v>
      </c>
      <c r="L30" s="56">
        <v>25.94</v>
      </c>
      <c r="M30" s="56">
        <v>68.319999999999993</v>
      </c>
      <c r="N30" s="56">
        <v>0</v>
      </c>
      <c r="O30" s="56">
        <v>0</v>
      </c>
      <c r="P30" s="56">
        <v>0.92</v>
      </c>
      <c r="Q30" s="56">
        <v>4.75</v>
      </c>
    </row>
    <row r="31" spans="1:17" customFormat="1">
      <c r="A31" s="55">
        <v>45358.958333333336</v>
      </c>
      <c r="B31" s="56">
        <v>11.27</v>
      </c>
      <c r="C31" s="56">
        <v>35.69</v>
      </c>
      <c r="D31" s="56">
        <v>29.04</v>
      </c>
      <c r="E31" s="56">
        <v>8.7200000000000006</v>
      </c>
      <c r="F31" s="56">
        <v>4.68</v>
      </c>
      <c r="G31" s="56">
        <v>155.02000000000001</v>
      </c>
      <c r="H31" s="56">
        <v>49.67</v>
      </c>
      <c r="I31" s="56">
        <v>9.5399999999999991</v>
      </c>
      <c r="J31" s="56">
        <v>0.69</v>
      </c>
      <c r="K31" s="56">
        <v>191.06</v>
      </c>
      <c r="L31" s="56">
        <v>24.77</v>
      </c>
      <c r="M31" s="56">
        <v>69.64</v>
      </c>
      <c r="N31" s="56">
        <v>0</v>
      </c>
      <c r="O31" s="56">
        <v>0</v>
      </c>
      <c r="P31" s="56">
        <v>0.94</v>
      </c>
      <c r="Q31" s="56">
        <v>4.74</v>
      </c>
    </row>
    <row r="32" spans="1:17" customFormat="1">
      <c r="A32" s="55">
        <v>45359</v>
      </c>
      <c r="B32" s="56">
        <v>13.81</v>
      </c>
      <c r="C32" s="56">
        <v>37.4</v>
      </c>
      <c r="D32" s="56">
        <v>31.93</v>
      </c>
      <c r="E32" s="56">
        <v>8.99</v>
      </c>
      <c r="F32" s="56">
        <v>4.6500000000000004</v>
      </c>
      <c r="G32" s="56">
        <v>147.21</v>
      </c>
      <c r="H32" s="56">
        <v>52.37</v>
      </c>
      <c r="I32" s="56">
        <v>9.4600000000000009</v>
      </c>
      <c r="J32" s="56">
        <v>0.68</v>
      </c>
      <c r="K32" s="56">
        <v>123.63</v>
      </c>
      <c r="L32" s="56">
        <v>24.53</v>
      </c>
      <c r="M32" s="56">
        <v>65.83</v>
      </c>
      <c r="N32" s="56">
        <v>0</v>
      </c>
      <c r="O32" s="56">
        <v>0</v>
      </c>
      <c r="P32" s="56">
        <v>0.93</v>
      </c>
      <c r="Q32" s="56">
        <v>4.75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2.88</v>
      </c>
      <c r="C34" s="41">
        <f t="shared" si="0"/>
        <v>19.61</v>
      </c>
      <c r="D34" s="41">
        <f t="shared" si="0"/>
        <v>15.46</v>
      </c>
      <c r="E34" s="41">
        <f t="shared" si="0"/>
        <v>6.87</v>
      </c>
      <c r="F34" s="41">
        <f t="shared" si="0"/>
        <v>4.6500000000000004</v>
      </c>
      <c r="G34" s="41">
        <f t="shared" si="0"/>
        <v>33.24</v>
      </c>
      <c r="H34" s="41">
        <f t="shared" si="0"/>
        <v>16.59</v>
      </c>
      <c r="I34" s="41">
        <f t="shared" si="0"/>
        <v>4.25</v>
      </c>
      <c r="J34" s="41">
        <f t="shared" si="0"/>
        <v>0.41</v>
      </c>
      <c r="K34" s="41">
        <f t="shared" si="0"/>
        <v>45.55</v>
      </c>
      <c r="L34" s="41">
        <f t="shared" si="0"/>
        <v>20.53</v>
      </c>
      <c r="M34" s="41">
        <f t="shared" si="0"/>
        <v>39.409999999999997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13.81</v>
      </c>
      <c r="C35" s="33">
        <f t="shared" si="1"/>
        <v>37.4</v>
      </c>
      <c r="D35" s="33">
        <f t="shared" si="1"/>
        <v>31.93</v>
      </c>
      <c r="E35" s="33">
        <f t="shared" si="1"/>
        <v>53.68</v>
      </c>
      <c r="F35" s="33">
        <f t="shared" si="1"/>
        <v>33.76</v>
      </c>
      <c r="G35" s="33">
        <f t="shared" si="1"/>
        <v>155.02000000000001</v>
      </c>
      <c r="H35" s="33">
        <f t="shared" si="1"/>
        <v>52.37</v>
      </c>
      <c r="I35" s="33">
        <f t="shared" si="1"/>
        <v>23.73</v>
      </c>
      <c r="J35" s="33">
        <f t="shared" si="1"/>
        <v>1.73</v>
      </c>
      <c r="K35" s="33">
        <f t="shared" si="1"/>
        <v>351.76</v>
      </c>
      <c r="L35" s="33">
        <f t="shared" si="1"/>
        <v>32.229999999999997</v>
      </c>
      <c r="M35" s="33">
        <f t="shared" si="1"/>
        <v>77.75</v>
      </c>
      <c r="N35" s="33">
        <f t="shared" si="1"/>
        <v>542.9</v>
      </c>
      <c r="O35" s="33">
        <f t="shared" si="1"/>
        <v>0</v>
      </c>
      <c r="P35" s="33">
        <f t="shared" si="1"/>
        <v>0.94</v>
      </c>
      <c r="Q35" s="33">
        <f t="shared" si="1"/>
        <v>4.95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6.8933333333333335</v>
      </c>
      <c r="C36" s="41">
        <f t="shared" si="2"/>
        <v>27.601666666666663</v>
      </c>
      <c r="D36" s="41">
        <f t="shared" si="2"/>
        <v>21.019166666666667</v>
      </c>
      <c r="E36" s="41">
        <f t="shared" si="2"/>
        <v>15.819166666666668</v>
      </c>
      <c r="F36" s="41">
        <f t="shared" si="2"/>
        <v>12.155000000000001</v>
      </c>
      <c r="G36" s="41">
        <f t="shared" si="2"/>
        <v>73.09041666666667</v>
      </c>
      <c r="H36" s="41">
        <f t="shared" si="2"/>
        <v>28.819999999999997</v>
      </c>
      <c r="I36" s="41">
        <f t="shared" si="2"/>
        <v>7.6912499999999993</v>
      </c>
      <c r="J36" s="41">
        <f t="shared" si="2"/>
        <v>1.0375000000000003</v>
      </c>
      <c r="K36" s="41">
        <f t="shared" si="2"/>
        <v>118.54791666666665</v>
      </c>
      <c r="L36" s="41">
        <f t="shared" si="2"/>
        <v>26.501249999999999</v>
      </c>
      <c r="M36" s="41">
        <f t="shared" si="2"/>
        <v>59.015000000000008</v>
      </c>
      <c r="N36" s="41">
        <f t="shared" si="2"/>
        <v>156.54583333333332</v>
      </c>
      <c r="O36" s="41">
        <f t="shared" si="2"/>
        <v>0</v>
      </c>
      <c r="P36" s="41">
        <f t="shared" si="2"/>
        <v>0.63291666666666668</v>
      </c>
      <c r="Q36" s="41">
        <f t="shared" si="2"/>
        <v>4.7754166666666658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3.130180806927608</v>
      </c>
      <c r="C37" s="41">
        <f t="shared" ref="C37:Q37" si="3">STDEV(C9:C32)</f>
        <v>5.1280377352836259</v>
      </c>
      <c r="D37" s="41">
        <f t="shared" si="3"/>
        <v>4.1081561680940482</v>
      </c>
      <c r="E37" s="41">
        <f t="shared" si="3"/>
        <v>11.244999629464941</v>
      </c>
      <c r="F37" s="41">
        <f t="shared" si="3"/>
        <v>9.0484954310215215</v>
      </c>
      <c r="G37" s="41">
        <f t="shared" si="3"/>
        <v>36.244598935465575</v>
      </c>
      <c r="H37" s="41">
        <f t="shared" si="3"/>
        <v>10.042745164285646</v>
      </c>
      <c r="I37" s="41">
        <f t="shared" si="3"/>
        <v>4.9517711477813711</v>
      </c>
      <c r="J37" s="41">
        <f t="shared" si="3"/>
        <v>0.35905976249571236</v>
      </c>
      <c r="K37" s="41">
        <f t="shared" si="3"/>
        <v>83.218186399638185</v>
      </c>
      <c r="L37" s="41">
        <f t="shared" si="3"/>
        <v>3.7071673382669186</v>
      </c>
      <c r="M37" s="41">
        <f t="shared" si="3"/>
        <v>12.19686631172476</v>
      </c>
      <c r="N37" s="41">
        <f t="shared" si="3"/>
        <v>207.37977340296877</v>
      </c>
      <c r="O37" s="41">
        <f t="shared" si="3"/>
        <v>0</v>
      </c>
      <c r="P37" s="41">
        <f t="shared" si="3"/>
        <v>0.1399838241172621</v>
      </c>
      <c r="Q37" s="41">
        <f t="shared" si="3"/>
        <v>6.5870701190759523E-2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45359.041666666664</v>
      </c>
      <c r="B9" s="56">
        <v>12.75</v>
      </c>
      <c r="C9" s="56">
        <v>36.44</v>
      </c>
      <c r="D9" s="56">
        <v>30.33</v>
      </c>
      <c r="E9" s="56">
        <v>8.99</v>
      </c>
      <c r="F9" s="56">
        <v>4.97</v>
      </c>
      <c r="G9" s="56">
        <v>137.91999999999999</v>
      </c>
      <c r="H9" s="56">
        <v>48.13</v>
      </c>
      <c r="I9" s="56">
        <v>8.7799999999999994</v>
      </c>
      <c r="J9" s="56">
        <v>0.99</v>
      </c>
      <c r="K9" s="56">
        <v>107.66</v>
      </c>
      <c r="L9" s="56">
        <v>23.92</v>
      </c>
      <c r="M9" s="56">
        <v>69.06</v>
      </c>
      <c r="N9" s="56">
        <v>0</v>
      </c>
      <c r="O9" s="56">
        <v>0</v>
      </c>
      <c r="P9" s="56">
        <v>0.87</v>
      </c>
      <c r="Q9" s="56">
        <v>4.76</v>
      </c>
    </row>
    <row r="10" spans="1:21" customFormat="1">
      <c r="A10" s="55">
        <v>45359.083333333336</v>
      </c>
      <c r="B10" s="56">
        <v>10.16</v>
      </c>
      <c r="C10" s="56">
        <v>35.72</v>
      </c>
      <c r="D10" s="56">
        <v>28.16</v>
      </c>
      <c r="E10" s="56">
        <v>9.0399999999999991</v>
      </c>
      <c r="F10" s="56">
        <v>5.39</v>
      </c>
      <c r="G10" s="56">
        <v>124.66</v>
      </c>
      <c r="H10" s="56">
        <v>46.75</v>
      </c>
      <c r="I10" s="56">
        <v>8.17</v>
      </c>
      <c r="J10" s="56">
        <v>1.21</v>
      </c>
      <c r="K10" s="56">
        <v>64.56</v>
      </c>
      <c r="L10" s="56">
        <v>23.56</v>
      </c>
      <c r="M10" s="56">
        <v>57.07</v>
      </c>
      <c r="N10" s="56">
        <v>0</v>
      </c>
      <c r="O10" s="56">
        <v>0</v>
      </c>
      <c r="P10" s="56">
        <v>0.83</v>
      </c>
      <c r="Q10" s="56">
        <v>4.75</v>
      </c>
    </row>
    <row r="11" spans="1:21" customFormat="1">
      <c r="A11" s="55">
        <v>45359.125</v>
      </c>
      <c r="B11" s="56">
        <v>10.88</v>
      </c>
      <c r="C11" s="56">
        <v>26.65</v>
      </c>
      <c r="D11" s="56">
        <v>23.19</v>
      </c>
      <c r="E11" s="56">
        <v>9.9700000000000006</v>
      </c>
      <c r="F11" s="56">
        <v>5.15</v>
      </c>
      <c r="G11" s="56">
        <v>90.78</v>
      </c>
      <c r="H11" s="56">
        <v>34.57</v>
      </c>
      <c r="I11" s="56">
        <v>7.61</v>
      </c>
      <c r="J11" s="56">
        <v>0.94</v>
      </c>
      <c r="K11" s="56">
        <v>61.49</v>
      </c>
      <c r="L11" s="56">
        <v>22.69</v>
      </c>
      <c r="M11" s="56">
        <v>48.32</v>
      </c>
      <c r="N11" s="56">
        <v>0</v>
      </c>
      <c r="O11" s="56">
        <v>0</v>
      </c>
      <c r="P11" s="56">
        <v>0.76</v>
      </c>
      <c r="Q11" s="56">
        <v>4.74</v>
      </c>
    </row>
    <row r="12" spans="1:21" customFormat="1">
      <c r="A12" s="55">
        <v>45359.166666666664</v>
      </c>
      <c r="B12" s="56">
        <v>12.11</v>
      </c>
      <c r="C12" s="56">
        <v>27.04</v>
      </c>
      <c r="D12" s="56">
        <v>24.83</v>
      </c>
      <c r="E12" s="56">
        <v>11.58</v>
      </c>
      <c r="F12" s="56">
        <v>4.93</v>
      </c>
      <c r="G12" s="56">
        <v>68.61</v>
      </c>
      <c r="H12" s="56">
        <v>26.31</v>
      </c>
      <c r="I12" s="56">
        <v>7.22</v>
      </c>
      <c r="J12" s="56">
        <v>0.55000000000000004</v>
      </c>
      <c r="K12" s="56">
        <v>82.27</v>
      </c>
      <c r="L12" s="56">
        <v>21.9</v>
      </c>
      <c r="M12" s="56">
        <v>51.18</v>
      </c>
      <c r="N12" s="56">
        <v>0</v>
      </c>
      <c r="O12" s="56">
        <v>0</v>
      </c>
      <c r="P12" s="56">
        <v>0.67</v>
      </c>
      <c r="Q12" s="56">
        <v>4.75</v>
      </c>
    </row>
    <row r="13" spans="1:21" customFormat="1">
      <c r="A13" s="55">
        <v>45359.208333333336</v>
      </c>
      <c r="B13" s="56">
        <v>11.31</v>
      </c>
      <c r="C13" s="56">
        <v>29.41</v>
      </c>
      <c r="D13" s="56">
        <v>25.77</v>
      </c>
      <c r="E13" s="56">
        <v>12.52</v>
      </c>
      <c r="F13" s="56">
        <v>4.91</v>
      </c>
      <c r="G13" s="56">
        <v>61.86</v>
      </c>
      <c r="H13" s="56">
        <v>24.55</v>
      </c>
      <c r="I13" s="56">
        <v>6.56</v>
      </c>
      <c r="J13" s="56">
        <v>0.63</v>
      </c>
      <c r="K13" s="56">
        <v>128.91999999999999</v>
      </c>
      <c r="L13" s="56">
        <v>21.32</v>
      </c>
      <c r="M13" s="56">
        <v>53.49</v>
      </c>
      <c r="N13" s="56">
        <v>0</v>
      </c>
      <c r="O13" s="56">
        <v>0</v>
      </c>
      <c r="P13" s="56">
        <v>0.61</v>
      </c>
      <c r="Q13" s="56">
        <v>4.79</v>
      </c>
    </row>
    <row r="14" spans="1:21" customFormat="1">
      <c r="A14" s="55">
        <v>45359.25</v>
      </c>
      <c r="B14" s="56">
        <v>12.07</v>
      </c>
      <c r="C14" s="56">
        <v>30.76</v>
      </c>
      <c r="D14" s="56">
        <v>27.1</v>
      </c>
      <c r="E14" s="56">
        <v>12.32</v>
      </c>
      <c r="F14" s="56">
        <v>4.8</v>
      </c>
      <c r="G14" s="56">
        <v>60.54</v>
      </c>
      <c r="H14" s="56">
        <v>25.35</v>
      </c>
      <c r="I14" s="56">
        <v>6.02</v>
      </c>
      <c r="J14" s="56">
        <v>0.54</v>
      </c>
      <c r="K14" s="56">
        <v>121.72</v>
      </c>
      <c r="L14" s="56">
        <v>20.6</v>
      </c>
      <c r="M14" s="56">
        <v>52.62</v>
      </c>
      <c r="N14" s="56">
        <v>0</v>
      </c>
      <c r="O14" s="56">
        <v>0</v>
      </c>
      <c r="P14" s="56">
        <v>0.56000000000000005</v>
      </c>
      <c r="Q14" s="56">
        <v>4.8600000000000003</v>
      </c>
    </row>
    <row r="15" spans="1:21" customFormat="1">
      <c r="A15" s="55">
        <v>45359.291666666664</v>
      </c>
      <c r="B15" s="56">
        <v>15.81</v>
      </c>
      <c r="C15" s="56">
        <v>32.9</v>
      </c>
      <c r="D15" s="56">
        <v>31.22</v>
      </c>
      <c r="E15" s="56">
        <v>13.44</v>
      </c>
      <c r="F15" s="56">
        <v>4.72</v>
      </c>
      <c r="G15" s="56">
        <v>63.12</v>
      </c>
      <c r="H15" s="56">
        <v>22.73</v>
      </c>
      <c r="I15" s="56">
        <v>5.8</v>
      </c>
      <c r="J15" s="56">
        <v>1.18</v>
      </c>
      <c r="K15" s="56">
        <v>65.37</v>
      </c>
      <c r="L15" s="56">
        <v>20.47</v>
      </c>
      <c r="M15" s="56">
        <v>47.08</v>
      </c>
      <c r="N15" s="56">
        <v>22.1</v>
      </c>
      <c r="O15" s="56">
        <v>0</v>
      </c>
      <c r="P15" s="56">
        <v>0.51</v>
      </c>
      <c r="Q15" s="56">
        <v>4.8899999999999997</v>
      </c>
    </row>
    <row r="16" spans="1:21" customFormat="1">
      <c r="A16" s="55">
        <v>45359.333333333336</v>
      </c>
      <c r="B16" s="56">
        <v>17.170000000000002</v>
      </c>
      <c r="C16" s="56">
        <v>33.71</v>
      </c>
      <c r="D16" s="56">
        <v>32.69</v>
      </c>
      <c r="E16" s="56">
        <v>13.86</v>
      </c>
      <c r="F16" s="56">
        <v>4.8</v>
      </c>
      <c r="G16" s="56">
        <v>66.040000000000006</v>
      </c>
      <c r="H16" s="56">
        <v>23.03</v>
      </c>
      <c r="I16" s="56">
        <v>5.61</v>
      </c>
      <c r="J16" s="56">
        <v>1.22</v>
      </c>
      <c r="K16" s="56">
        <v>72.930000000000007</v>
      </c>
      <c r="L16" s="56">
        <v>22.9</v>
      </c>
      <c r="M16" s="56">
        <v>45.58</v>
      </c>
      <c r="N16" s="56">
        <v>106.5</v>
      </c>
      <c r="O16" s="56">
        <v>0</v>
      </c>
      <c r="P16" s="56">
        <v>0.52</v>
      </c>
      <c r="Q16" s="56">
        <v>4.91</v>
      </c>
    </row>
    <row r="17" spans="1:17" customFormat="1">
      <c r="A17" s="55">
        <v>45359.375</v>
      </c>
      <c r="B17" s="56">
        <v>17.27</v>
      </c>
      <c r="C17" s="56">
        <v>32.299999999999997</v>
      </c>
      <c r="D17" s="56">
        <v>32.03</v>
      </c>
      <c r="E17" s="56">
        <v>11.06</v>
      </c>
      <c r="F17" s="56">
        <v>5.15</v>
      </c>
      <c r="G17" s="56">
        <v>64.430000000000007</v>
      </c>
      <c r="H17" s="56">
        <v>19.39</v>
      </c>
      <c r="I17" s="56">
        <v>5.6</v>
      </c>
      <c r="J17" s="56">
        <v>1.6</v>
      </c>
      <c r="K17" s="56">
        <v>69.040000000000006</v>
      </c>
      <c r="L17" s="56">
        <v>25.53</v>
      </c>
      <c r="M17" s="56">
        <v>35.700000000000003</v>
      </c>
      <c r="N17" s="56">
        <v>356.5</v>
      </c>
      <c r="O17" s="56">
        <v>0</v>
      </c>
      <c r="P17" s="56">
        <v>0.53</v>
      </c>
      <c r="Q17" s="56">
        <v>4.92</v>
      </c>
    </row>
    <row r="18" spans="1:17" customFormat="1">
      <c r="A18" s="55">
        <v>45359.416666666664</v>
      </c>
      <c r="B18" s="56">
        <v>16.43</v>
      </c>
      <c r="C18" s="56">
        <v>27.25</v>
      </c>
      <c r="D18" s="56">
        <v>28.76</v>
      </c>
      <c r="E18" s="56">
        <v>12.84</v>
      </c>
      <c r="F18" s="56">
        <v>5.78</v>
      </c>
      <c r="G18" s="56">
        <v>66.06</v>
      </c>
      <c r="H18" s="56">
        <v>21.11</v>
      </c>
      <c r="I18" s="56">
        <v>5.46</v>
      </c>
      <c r="J18" s="56">
        <v>1.55</v>
      </c>
      <c r="K18" s="56">
        <v>80.81</v>
      </c>
      <c r="L18" s="56">
        <v>28.56</v>
      </c>
      <c r="M18" s="56">
        <v>29.76</v>
      </c>
      <c r="N18" s="56">
        <v>434.6</v>
      </c>
      <c r="O18" s="56">
        <v>0</v>
      </c>
      <c r="P18" s="56">
        <v>0.53</v>
      </c>
      <c r="Q18" s="56">
        <v>4.93</v>
      </c>
    </row>
    <row r="19" spans="1:17" customFormat="1">
      <c r="A19" s="55">
        <v>45359.458333333336</v>
      </c>
      <c r="B19" s="56">
        <v>12.23</v>
      </c>
      <c r="C19" s="56">
        <v>28.64</v>
      </c>
      <c r="D19" s="56">
        <v>25.11</v>
      </c>
      <c r="E19" s="56">
        <v>16.89</v>
      </c>
      <c r="F19" s="56">
        <v>7.84</v>
      </c>
      <c r="G19" s="56">
        <v>63.34</v>
      </c>
      <c r="H19" s="56">
        <v>22.95</v>
      </c>
      <c r="I19" s="56">
        <v>5.31</v>
      </c>
      <c r="J19" s="56">
        <v>1.77</v>
      </c>
      <c r="K19" s="56">
        <v>66.34</v>
      </c>
      <c r="L19" s="56">
        <v>29.95</v>
      </c>
      <c r="M19" s="56">
        <v>25.94</v>
      </c>
      <c r="N19" s="56">
        <v>563.1</v>
      </c>
      <c r="O19" s="56">
        <v>0</v>
      </c>
      <c r="P19" s="56">
        <v>0.48</v>
      </c>
      <c r="Q19" s="56">
        <v>4.91</v>
      </c>
    </row>
    <row r="20" spans="1:17" customFormat="1">
      <c r="A20" s="55">
        <v>45359.5</v>
      </c>
      <c r="B20" s="56">
        <v>7.21</v>
      </c>
      <c r="C20" s="56">
        <v>28.86</v>
      </c>
      <c r="D20" s="56">
        <v>22.21</v>
      </c>
      <c r="E20" s="56">
        <v>17.64</v>
      </c>
      <c r="F20" s="56">
        <v>10.74</v>
      </c>
      <c r="G20" s="56">
        <v>69.25</v>
      </c>
      <c r="H20" s="56">
        <v>24.66</v>
      </c>
      <c r="I20" s="56">
        <v>4.8899999999999997</v>
      </c>
      <c r="J20" s="56">
        <v>1.6</v>
      </c>
      <c r="K20" s="56">
        <v>79.52</v>
      </c>
      <c r="L20" s="56">
        <v>31.62</v>
      </c>
      <c r="M20" s="56">
        <v>23.47</v>
      </c>
      <c r="N20" s="56">
        <v>603</v>
      </c>
      <c r="O20" s="56">
        <v>0</v>
      </c>
      <c r="P20" s="56">
        <v>0.48</v>
      </c>
      <c r="Q20" s="56">
        <v>4.88</v>
      </c>
    </row>
    <row r="21" spans="1:17" customFormat="1">
      <c r="A21" s="55">
        <v>45359.541666666664</v>
      </c>
      <c r="B21" s="56">
        <v>4.82</v>
      </c>
      <c r="C21" s="56">
        <v>27.83</v>
      </c>
      <c r="D21" s="56">
        <v>19.75</v>
      </c>
      <c r="E21" s="56">
        <v>19.53</v>
      </c>
      <c r="F21" s="56">
        <v>13.43</v>
      </c>
      <c r="G21" s="56">
        <v>71.819999999999993</v>
      </c>
      <c r="H21" s="56">
        <v>25.67</v>
      </c>
      <c r="I21" s="56">
        <v>4.46</v>
      </c>
      <c r="J21" s="56">
        <v>1.54</v>
      </c>
      <c r="K21" s="56">
        <v>73.040000000000006</v>
      </c>
      <c r="L21" s="56">
        <v>32.19</v>
      </c>
      <c r="M21" s="56">
        <v>23.1</v>
      </c>
      <c r="N21" s="56">
        <v>596.4</v>
      </c>
      <c r="O21" s="56">
        <v>0</v>
      </c>
      <c r="P21" s="56">
        <v>0.47</v>
      </c>
      <c r="Q21" s="56">
        <v>4.87</v>
      </c>
    </row>
    <row r="22" spans="1:17" customFormat="1">
      <c r="A22" s="55">
        <v>45359.583333333336</v>
      </c>
      <c r="B22" s="56">
        <v>4.6399999999999997</v>
      </c>
      <c r="C22" s="56">
        <v>26.49</v>
      </c>
      <c r="D22" s="56">
        <v>18.91</v>
      </c>
      <c r="E22" s="56">
        <v>21.39</v>
      </c>
      <c r="F22" s="56">
        <v>15.48</v>
      </c>
      <c r="G22" s="56">
        <v>67.040000000000006</v>
      </c>
      <c r="H22" s="56">
        <v>28.05</v>
      </c>
      <c r="I22" s="56">
        <v>4.24</v>
      </c>
      <c r="J22" s="56">
        <v>1.32</v>
      </c>
      <c r="K22" s="56">
        <v>51.94</v>
      </c>
      <c r="L22" s="56">
        <v>32.799999999999997</v>
      </c>
      <c r="M22" s="56">
        <v>22.42</v>
      </c>
      <c r="N22" s="56">
        <v>576.20000000000005</v>
      </c>
      <c r="O22" s="56">
        <v>0</v>
      </c>
      <c r="P22" s="56">
        <v>0.45</v>
      </c>
      <c r="Q22" s="56">
        <v>4.82</v>
      </c>
    </row>
    <row r="23" spans="1:17" customFormat="1">
      <c r="A23" s="55">
        <v>45359.625</v>
      </c>
      <c r="B23" s="56">
        <v>4.6500000000000004</v>
      </c>
      <c r="C23" s="56">
        <v>24.38</v>
      </c>
      <c r="D23" s="56">
        <v>17.63</v>
      </c>
      <c r="E23" s="56">
        <v>19.36</v>
      </c>
      <c r="F23" s="56">
        <v>16.28</v>
      </c>
      <c r="G23" s="56">
        <v>65.64</v>
      </c>
      <c r="H23" s="56">
        <v>26.54</v>
      </c>
      <c r="I23" s="56">
        <v>3.97</v>
      </c>
      <c r="J23" s="56">
        <v>1.43</v>
      </c>
      <c r="K23" s="56">
        <v>58.61</v>
      </c>
      <c r="L23" s="56">
        <v>33.49</v>
      </c>
      <c r="M23" s="56">
        <v>22.13</v>
      </c>
      <c r="N23" s="56">
        <v>520.6</v>
      </c>
      <c r="O23" s="56">
        <v>0</v>
      </c>
      <c r="P23" s="56">
        <v>0.55000000000000004</v>
      </c>
      <c r="Q23" s="56">
        <v>4.82</v>
      </c>
    </row>
    <row r="24" spans="1:17" customFormat="1">
      <c r="A24" s="55">
        <v>45359.666666666664</v>
      </c>
      <c r="B24" s="56">
        <v>4.79</v>
      </c>
      <c r="C24" s="56">
        <v>22.52</v>
      </c>
      <c r="D24" s="56">
        <v>16.91</v>
      </c>
      <c r="E24" s="56">
        <v>12.96</v>
      </c>
      <c r="F24" s="56">
        <v>11.84</v>
      </c>
      <c r="G24" s="56">
        <v>66.83</v>
      </c>
      <c r="H24" s="56">
        <v>27.79</v>
      </c>
      <c r="I24" s="56">
        <v>3.85</v>
      </c>
      <c r="J24" s="56">
        <v>1.38</v>
      </c>
      <c r="K24" s="56">
        <v>82.88</v>
      </c>
      <c r="L24" s="56">
        <v>33.29</v>
      </c>
      <c r="M24" s="56">
        <v>22.79</v>
      </c>
      <c r="N24" s="56">
        <v>280.8</v>
      </c>
      <c r="O24" s="56">
        <v>0</v>
      </c>
      <c r="P24" s="56">
        <v>0.59</v>
      </c>
      <c r="Q24" s="56">
        <v>4.75</v>
      </c>
    </row>
    <row r="25" spans="1:17" customFormat="1">
      <c r="A25" s="55">
        <v>45359.708333333336</v>
      </c>
      <c r="B25" s="56">
        <v>4.95</v>
      </c>
      <c r="C25" s="56">
        <v>25.91</v>
      </c>
      <c r="D25" s="56">
        <v>18.73</v>
      </c>
      <c r="E25" s="56">
        <v>17.239999999999998</v>
      </c>
      <c r="F25" s="56">
        <v>11.35</v>
      </c>
      <c r="G25" s="56">
        <v>57.52</v>
      </c>
      <c r="H25" s="56">
        <v>25.58</v>
      </c>
      <c r="I25" s="56">
        <v>3.99</v>
      </c>
      <c r="J25" s="56">
        <v>1.1599999999999999</v>
      </c>
      <c r="K25" s="56">
        <v>47.02</v>
      </c>
      <c r="L25" s="56">
        <v>32.619999999999997</v>
      </c>
      <c r="M25" s="56">
        <v>23.41</v>
      </c>
      <c r="N25" s="56">
        <v>274.39999999999998</v>
      </c>
      <c r="O25" s="56">
        <v>0</v>
      </c>
      <c r="P25" s="56">
        <v>0.6</v>
      </c>
      <c r="Q25" s="56">
        <v>4.7699999999999996</v>
      </c>
    </row>
    <row r="26" spans="1:17" customFormat="1">
      <c r="A26" s="55">
        <v>45359.75</v>
      </c>
      <c r="B26" s="56">
        <v>6.51</v>
      </c>
      <c r="C26" s="56">
        <v>33.43</v>
      </c>
      <c r="D26" s="56">
        <v>24.04</v>
      </c>
      <c r="E26" s="56">
        <v>17.399999999999999</v>
      </c>
      <c r="F26" s="56">
        <v>9.65</v>
      </c>
      <c r="G26" s="56">
        <v>59.27</v>
      </c>
      <c r="H26" s="56">
        <v>26.06</v>
      </c>
      <c r="I26" s="56">
        <v>3.8</v>
      </c>
      <c r="J26" s="56">
        <v>1.02</v>
      </c>
      <c r="K26" s="56">
        <v>62.06</v>
      </c>
      <c r="L26" s="56">
        <v>31.61</v>
      </c>
      <c r="M26" s="56">
        <v>26.66</v>
      </c>
      <c r="N26" s="56">
        <v>57.2</v>
      </c>
      <c r="O26" s="56">
        <v>0</v>
      </c>
      <c r="P26" s="56">
        <v>0.55000000000000004</v>
      </c>
      <c r="Q26" s="56">
        <v>4.79</v>
      </c>
    </row>
    <row r="27" spans="1:17" customFormat="1">
      <c r="A27" s="55">
        <v>45359.791666666664</v>
      </c>
      <c r="B27" s="56">
        <v>8.9700000000000006</v>
      </c>
      <c r="C27" s="56">
        <v>37.26</v>
      </c>
      <c r="D27" s="56">
        <v>28.01</v>
      </c>
      <c r="E27" s="56">
        <v>14.69</v>
      </c>
      <c r="F27" s="56">
        <v>6.77</v>
      </c>
      <c r="G27" s="56">
        <v>63.58</v>
      </c>
      <c r="H27" s="56">
        <v>27.83</v>
      </c>
      <c r="I27" s="56">
        <v>4.09</v>
      </c>
      <c r="J27" s="56">
        <v>0.56999999999999995</v>
      </c>
      <c r="K27" s="56">
        <v>72.73</v>
      </c>
      <c r="L27" s="56">
        <v>29.4</v>
      </c>
      <c r="M27" s="56">
        <v>32.659999999999997</v>
      </c>
      <c r="N27" s="56">
        <v>0</v>
      </c>
      <c r="O27" s="56">
        <v>0</v>
      </c>
      <c r="P27" s="56">
        <v>0.68</v>
      </c>
      <c r="Q27" s="56">
        <v>4.8</v>
      </c>
    </row>
    <row r="28" spans="1:17" customFormat="1">
      <c r="A28" s="55">
        <v>45359.833333333336</v>
      </c>
      <c r="B28" s="56">
        <v>11.65</v>
      </c>
      <c r="C28" s="56">
        <v>38.229999999999997</v>
      </c>
      <c r="D28" s="56">
        <v>30.52</v>
      </c>
      <c r="E28" s="56">
        <v>13.86</v>
      </c>
      <c r="F28" s="56">
        <v>4.72</v>
      </c>
      <c r="G28" s="56">
        <v>95.68</v>
      </c>
      <c r="H28" s="56">
        <v>32.49</v>
      </c>
      <c r="I28" s="56">
        <v>6.01</v>
      </c>
      <c r="J28" s="56">
        <v>0.27</v>
      </c>
      <c r="K28" s="56">
        <v>176.92</v>
      </c>
      <c r="L28" s="56">
        <v>27.95</v>
      </c>
      <c r="M28" s="56">
        <v>49.17</v>
      </c>
      <c r="N28" s="56">
        <v>0</v>
      </c>
      <c r="O28" s="56">
        <v>0</v>
      </c>
      <c r="P28" s="56">
        <v>0.89</v>
      </c>
      <c r="Q28" s="56">
        <v>4.8</v>
      </c>
    </row>
    <row r="29" spans="1:17" customFormat="1">
      <c r="A29" s="55">
        <v>45359.875</v>
      </c>
      <c r="B29" s="56">
        <v>18.14</v>
      </c>
      <c r="C29" s="56">
        <v>39.479999999999997</v>
      </c>
      <c r="D29" s="56">
        <v>36.53</v>
      </c>
      <c r="E29" s="56">
        <v>12.75</v>
      </c>
      <c r="F29" s="56">
        <v>4.74</v>
      </c>
      <c r="G29" s="56">
        <v>211.11</v>
      </c>
      <c r="H29" s="56">
        <v>42.53</v>
      </c>
      <c r="I29" s="56">
        <v>8.36</v>
      </c>
      <c r="J29" s="56">
        <v>0.26</v>
      </c>
      <c r="K29" s="56">
        <v>198.6</v>
      </c>
      <c r="L29" s="56">
        <v>25.9</v>
      </c>
      <c r="M29" s="56">
        <v>48.6</v>
      </c>
      <c r="N29" s="56">
        <v>0</v>
      </c>
      <c r="O29" s="56">
        <v>0</v>
      </c>
      <c r="P29" s="56">
        <v>1.02</v>
      </c>
      <c r="Q29" s="56">
        <v>4.83</v>
      </c>
    </row>
    <row r="30" spans="1:17" customFormat="1">
      <c r="A30" s="55">
        <v>45359.916666666664</v>
      </c>
      <c r="B30" s="56">
        <v>22.38</v>
      </c>
      <c r="C30" s="56">
        <v>39.61</v>
      </c>
      <c r="D30" s="56">
        <v>39.450000000000003</v>
      </c>
      <c r="E30" s="56">
        <v>12.56</v>
      </c>
      <c r="F30" s="56">
        <v>5.08</v>
      </c>
      <c r="G30" s="56">
        <v>205.75</v>
      </c>
      <c r="H30" s="56">
        <v>56.56</v>
      </c>
      <c r="I30" s="56">
        <v>8.73</v>
      </c>
      <c r="J30" s="56">
        <v>0.96</v>
      </c>
      <c r="K30" s="56">
        <v>74.83</v>
      </c>
      <c r="L30" s="56">
        <v>25.73</v>
      </c>
      <c r="M30" s="56">
        <v>41.19</v>
      </c>
      <c r="N30" s="56">
        <v>0</v>
      </c>
      <c r="O30" s="56">
        <v>0</v>
      </c>
      <c r="P30" s="56">
        <v>1.1000000000000001</v>
      </c>
      <c r="Q30" s="56">
        <v>4.84</v>
      </c>
    </row>
    <row r="31" spans="1:17" customFormat="1">
      <c r="A31" s="55">
        <v>45359.958333333336</v>
      </c>
      <c r="B31" s="56">
        <v>22.11</v>
      </c>
      <c r="C31" s="56">
        <v>33.01</v>
      </c>
      <c r="D31" s="56">
        <v>36.32</v>
      </c>
      <c r="E31" s="56">
        <v>8.26</v>
      </c>
      <c r="F31" s="56">
        <v>5.14</v>
      </c>
      <c r="G31" s="56">
        <v>120.37</v>
      </c>
      <c r="H31" s="56">
        <v>55.01</v>
      </c>
      <c r="I31" s="56">
        <v>8.58</v>
      </c>
      <c r="J31" s="56">
        <v>0.91</v>
      </c>
      <c r="K31" s="56">
        <v>62.73</v>
      </c>
      <c r="L31" s="56">
        <v>25.03</v>
      </c>
      <c r="M31" s="56">
        <v>42.97</v>
      </c>
      <c r="N31" s="56">
        <v>0</v>
      </c>
      <c r="O31" s="56">
        <v>0</v>
      </c>
      <c r="P31" s="56">
        <v>1.07</v>
      </c>
      <c r="Q31" s="56">
        <v>4.83</v>
      </c>
    </row>
    <row r="32" spans="1:17" customFormat="1">
      <c r="A32" s="55">
        <v>45360</v>
      </c>
      <c r="B32" s="56">
        <v>20.6</v>
      </c>
      <c r="C32" s="56">
        <v>30.89</v>
      </c>
      <c r="D32" s="56">
        <v>33.590000000000003</v>
      </c>
      <c r="E32" s="56">
        <v>10.62</v>
      </c>
      <c r="F32" s="56">
        <v>5.1100000000000003</v>
      </c>
      <c r="G32" s="56">
        <v>98.64</v>
      </c>
      <c r="H32" s="56">
        <v>48.12</v>
      </c>
      <c r="I32" s="56">
        <v>8.2799999999999994</v>
      </c>
      <c r="J32" s="56">
        <v>0.25</v>
      </c>
      <c r="K32" s="56">
        <v>232.87</v>
      </c>
      <c r="L32" s="56">
        <v>23.78</v>
      </c>
      <c r="M32" s="56">
        <v>57.67</v>
      </c>
      <c r="N32" s="56">
        <v>0</v>
      </c>
      <c r="O32" s="56">
        <v>0</v>
      </c>
      <c r="P32" s="56">
        <v>0.98</v>
      </c>
      <c r="Q32" s="56">
        <v>4.83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4.6399999999999997</v>
      </c>
      <c r="C34" s="41">
        <f t="shared" si="0"/>
        <v>22.52</v>
      </c>
      <c r="D34" s="41">
        <f t="shared" si="0"/>
        <v>16.91</v>
      </c>
      <c r="E34" s="41">
        <f t="shared" si="0"/>
        <v>8.26</v>
      </c>
      <c r="F34" s="41">
        <f t="shared" si="0"/>
        <v>4.72</v>
      </c>
      <c r="G34" s="41">
        <f t="shared" si="0"/>
        <v>57.52</v>
      </c>
      <c r="H34" s="41">
        <f t="shared" si="0"/>
        <v>19.39</v>
      </c>
      <c r="I34" s="41">
        <f t="shared" si="0"/>
        <v>3.8</v>
      </c>
      <c r="J34" s="41">
        <f t="shared" si="0"/>
        <v>0.25</v>
      </c>
      <c r="K34" s="41">
        <f t="shared" si="0"/>
        <v>47.02</v>
      </c>
      <c r="L34" s="41">
        <f t="shared" si="0"/>
        <v>20.47</v>
      </c>
      <c r="M34" s="41">
        <f t="shared" si="0"/>
        <v>22.13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4.74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22.38</v>
      </c>
      <c r="C35" s="33">
        <f t="shared" si="1"/>
        <v>39.61</v>
      </c>
      <c r="D35" s="33">
        <f t="shared" si="1"/>
        <v>39.450000000000003</v>
      </c>
      <c r="E35" s="33">
        <f t="shared" si="1"/>
        <v>21.39</v>
      </c>
      <c r="F35" s="33">
        <f t="shared" si="1"/>
        <v>16.28</v>
      </c>
      <c r="G35" s="33">
        <f t="shared" si="1"/>
        <v>211.11</v>
      </c>
      <c r="H35" s="33">
        <f t="shared" si="1"/>
        <v>56.56</v>
      </c>
      <c r="I35" s="33">
        <f t="shared" si="1"/>
        <v>8.7799999999999994</v>
      </c>
      <c r="J35" s="33">
        <f t="shared" si="1"/>
        <v>1.77</v>
      </c>
      <c r="K35" s="33">
        <f t="shared" si="1"/>
        <v>232.87</v>
      </c>
      <c r="L35" s="33">
        <f t="shared" si="1"/>
        <v>33.49</v>
      </c>
      <c r="M35" s="33">
        <f t="shared" si="1"/>
        <v>69.06</v>
      </c>
      <c r="N35" s="33">
        <f t="shared" si="1"/>
        <v>603</v>
      </c>
      <c r="O35" s="33">
        <f t="shared" si="1"/>
        <v>0</v>
      </c>
      <c r="P35" s="33">
        <f t="shared" si="1"/>
        <v>1.1000000000000001</v>
      </c>
      <c r="Q35" s="33">
        <f t="shared" si="1"/>
        <v>4.93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12.067083333333334</v>
      </c>
      <c r="C36" s="41">
        <f t="shared" si="2"/>
        <v>31.196666666666669</v>
      </c>
      <c r="D36" s="41">
        <f t="shared" si="2"/>
        <v>27.157916666666676</v>
      </c>
      <c r="E36" s="41">
        <f t="shared" si="2"/>
        <v>13.782083333333334</v>
      </c>
      <c r="F36" s="41">
        <f t="shared" si="2"/>
        <v>7.4487500000000013</v>
      </c>
      <c r="G36" s="41">
        <f t="shared" si="2"/>
        <v>88.327499999999986</v>
      </c>
      <c r="H36" s="41">
        <f t="shared" si="2"/>
        <v>31.740000000000006</v>
      </c>
      <c r="I36" s="41">
        <f t="shared" si="2"/>
        <v>6.0579166666666664</v>
      </c>
      <c r="J36" s="41">
        <f t="shared" si="2"/>
        <v>1.0354166666666667</v>
      </c>
      <c r="K36" s="41">
        <f t="shared" si="2"/>
        <v>91.452499999999986</v>
      </c>
      <c r="L36" s="41">
        <f t="shared" si="2"/>
        <v>26.950416666666669</v>
      </c>
      <c r="M36" s="41">
        <f t="shared" si="2"/>
        <v>39.668333333333329</v>
      </c>
      <c r="N36" s="41">
        <f t="shared" si="2"/>
        <v>182.97500000000002</v>
      </c>
      <c r="O36" s="41">
        <f t="shared" si="2"/>
        <v>0</v>
      </c>
      <c r="P36" s="41">
        <f t="shared" si="2"/>
        <v>0.6791666666666667</v>
      </c>
      <c r="Q36" s="41">
        <f t="shared" si="2"/>
        <v>4.8266666666666662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5.6711247861936229</v>
      </c>
      <c r="C37" s="41">
        <f t="shared" ref="C37:Q37" si="3">STDEV(C9:C32)</f>
        <v>4.8655011508862103</v>
      </c>
      <c r="D37" s="41">
        <f t="shared" si="3"/>
        <v>6.296919867589243</v>
      </c>
      <c r="E37" s="41">
        <f t="shared" si="3"/>
        <v>3.5701771715464958</v>
      </c>
      <c r="F37" s="41">
        <f t="shared" si="3"/>
        <v>3.71986011015608</v>
      </c>
      <c r="G37" s="41">
        <f t="shared" si="3"/>
        <v>43.235179843351617</v>
      </c>
      <c r="H37" s="41">
        <f t="shared" si="3"/>
        <v>11.219788806816501</v>
      </c>
      <c r="I37" s="41">
        <f t="shared" si="3"/>
        <v>1.7535231099422279</v>
      </c>
      <c r="J37" s="41">
        <f t="shared" si="3"/>
        <v>0.45929037103725179</v>
      </c>
      <c r="K37" s="41">
        <f t="shared" si="3"/>
        <v>47.92495585264804</v>
      </c>
      <c r="L37" s="41">
        <f t="shared" si="3"/>
        <v>4.4330443746409687</v>
      </c>
      <c r="M37" s="41">
        <f t="shared" si="3"/>
        <v>14.05267131240509</v>
      </c>
      <c r="N37" s="41">
        <f t="shared" si="3"/>
        <v>239.6658783825298</v>
      </c>
      <c r="O37" s="41">
        <f t="shared" si="3"/>
        <v>0</v>
      </c>
      <c r="P37" s="41">
        <f t="shared" si="3"/>
        <v>0.20719486032459306</v>
      </c>
      <c r="Q37" s="41">
        <f t="shared" si="3"/>
        <v>5.9099523036894343E-2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45360.041666666664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45360.041666666664</v>
      </c>
      <c r="B9" s="56">
        <v>10.65</v>
      </c>
      <c r="C9" s="56">
        <v>32.24</v>
      </c>
      <c r="D9" s="56">
        <v>26.27</v>
      </c>
      <c r="E9" s="56">
        <v>10.61</v>
      </c>
      <c r="F9" s="56">
        <v>5.07</v>
      </c>
      <c r="G9" s="56">
        <v>84.88</v>
      </c>
      <c r="H9" s="56">
        <v>42.69</v>
      </c>
      <c r="I9" s="56">
        <v>7.72</v>
      </c>
      <c r="J9" s="56">
        <v>0.33</v>
      </c>
      <c r="K9" s="56">
        <v>191.37</v>
      </c>
      <c r="L9" s="56">
        <v>22.49</v>
      </c>
      <c r="M9" s="56">
        <v>56.53</v>
      </c>
      <c r="N9" s="56">
        <v>0</v>
      </c>
      <c r="O9" s="56">
        <v>0</v>
      </c>
      <c r="P9" s="56">
        <v>0.89</v>
      </c>
      <c r="Q9" s="56">
        <v>4.79</v>
      </c>
    </row>
    <row r="10" spans="1:21" customFormat="1">
      <c r="A10" s="55">
        <v>45360.083333333336</v>
      </c>
      <c r="B10" s="56">
        <v>10.52</v>
      </c>
      <c r="C10" s="56">
        <v>33.880000000000003</v>
      </c>
      <c r="D10" s="56">
        <v>27.35</v>
      </c>
      <c r="E10" s="56">
        <v>9.99</v>
      </c>
      <c r="F10" s="56">
        <v>4.93</v>
      </c>
      <c r="G10" s="56">
        <v>98.59</v>
      </c>
      <c r="H10" s="56">
        <v>42.76</v>
      </c>
      <c r="I10" s="56">
        <v>7.19</v>
      </c>
      <c r="J10" s="56">
        <v>0.42</v>
      </c>
      <c r="K10" s="56">
        <v>80.150000000000006</v>
      </c>
      <c r="L10" s="56">
        <v>22.43</v>
      </c>
      <c r="M10" s="56">
        <v>49.25</v>
      </c>
      <c r="N10" s="56">
        <v>0</v>
      </c>
      <c r="O10" s="56">
        <v>0</v>
      </c>
      <c r="P10" s="56">
        <v>0.82</v>
      </c>
      <c r="Q10" s="56">
        <v>4.79</v>
      </c>
    </row>
    <row r="11" spans="1:21" customFormat="1">
      <c r="A11" s="55">
        <v>45360.125</v>
      </c>
      <c r="B11" s="56">
        <v>8.92</v>
      </c>
      <c r="C11" s="56">
        <v>33.06</v>
      </c>
      <c r="D11" s="56">
        <v>25.78</v>
      </c>
      <c r="E11" s="56">
        <v>10.81</v>
      </c>
      <c r="F11" s="56">
        <v>5.48</v>
      </c>
      <c r="G11" s="56">
        <v>68.790000000000006</v>
      </c>
      <c r="H11" s="56">
        <v>35.97</v>
      </c>
      <c r="I11" s="56">
        <v>6.6</v>
      </c>
      <c r="J11" s="56">
        <v>1.29</v>
      </c>
      <c r="K11" s="56">
        <v>63.96</v>
      </c>
      <c r="L11" s="56">
        <v>21.97</v>
      </c>
      <c r="M11" s="56">
        <v>48.22</v>
      </c>
      <c r="N11" s="56">
        <v>0</v>
      </c>
      <c r="O11" s="56">
        <v>0</v>
      </c>
      <c r="P11" s="56">
        <v>0.74</v>
      </c>
      <c r="Q11" s="56">
        <v>4.7699999999999996</v>
      </c>
    </row>
    <row r="12" spans="1:21" customFormat="1">
      <c r="A12" s="55">
        <v>45360.166666666664</v>
      </c>
      <c r="B12" s="56">
        <v>6.7</v>
      </c>
      <c r="C12" s="56">
        <v>30.1</v>
      </c>
      <c r="D12" s="56">
        <v>22.23</v>
      </c>
      <c r="E12" s="56">
        <v>10.87</v>
      </c>
      <c r="F12" s="56">
        <v>5.48</v>
      </c>
      <c r="G12" s="56">
        <v>63.12</v>
      </c>
      <c r="H12" s="56">
        <v>31.96</v>
      </c>
      <c r="I12" s="56">
        <v>5.99</v>
      </c>
      <c r="J12" s="56">
        <v>0.95</v>
      </c>
      <c r="K12" s="56">
        <v>66.430000000000007</v>
      </c>
      <c r="L12" s="56">
        <v>21.7</v>
      </c>
      <c r="M12" s="56">
        <v>47.75</v>
      </c>
      <c r="N12" s="56">
        <v>0</v>
      </c>
      <c r="O12" s="56">
        <v>0</v>
      </c>
      <c r="P12" s="56">
        <v>0.67</v>
      </c>
      <c r="Q12" s="56">
        <v>4.74</v>
      </c>
    </row>
    <row r="13" spans="1:21" customFormat="1">
      <c r="A13" s="55">
        <v>45360.208333333336</v>
      </c>
      <c r="B13" s="56">
        <v>8.8699999999999992</v>
      </c>
      <c r="C13" s="56">
        <v>27.75</v>
      </c>
      <c r="D13" s="56">
        <v>21.71</v>
      </c>
      <c r="E13" s="56">
        <v>7.49</v>
      </c>
      <c r="F13" s="56">
        <v>5.03</v>
      </c>
      <c r="G13" s="56">
        <v>57.65</v>
      </c>
      <c r="H13" s="56">
        <v>28.75</v>
      </c>
      <c r="I13" s="56">
        <v>5.67</v>
      </c>
      <c r="J13" s="56">
        <v>0.87</v>
      </c>
      <c r="K13" s="56">
        <v>65.33</v>
      </c>
      <c r="L13" s="56">
        <v>20.92</v>
      </c>
      <c r="M13" s="56">
        <v>48.6</v>
      </c>
      <c r="N13" s="56">
        <v>0</v>
      </c>
      <c r="O13" s="56">
        <v>0</v>
      </c>
      <c r="P13" s="56">
        <v>0.69</v>
      </c>
      <c r="Q13" s="56">
        <v>4.75</v>
      </c>
    </row>
    <row r="14" spans="1:21" customFormat="1">
      <c r="A14" s="55">
        <v>45360.25</v>
      </c>
      <c r="B14" s="56">
        <v>10.26</v>
      </c>
      <c r="C14" s="56">
        <v>23.66</v>
      </c>
      <c r="D14" s="56">
        <v>21.93</v>
      </c>
      <c r="E14" s="56">
        <v>7.24</v>
      </c>
      <c r="F14" s="56">
        <v>4.8099999999999996</v>
      </c>
      <c r="G14" s="56">
        <v>63.44</v>
      </c>
      <c r="H14" s="56">
        <v>25.49</v>
      </c>
      <c r="I14" s="56">
        <v>5.6</v>
      </c>
      <c r="J14" s="56">
        <v>1.06</v>
      </c>
      <c r="K14" s="56">
        <v>63.83</v>
      </c>
      <c r="L14" s="56">
        <v>20.28</v>
      </c>
      <c r="M14" s="56">
        <v>49.29</v>
      </c>
      <c r="N14" s="56">
        <v>0</v>
      </c>
      <c r="O14" s="56">
        <v>0</v>
      </c>
      <c r="P14" s="56">
        <v>0.61</v>
      </c>
      <c r="Q14" s="56">
        <v>4.7699999999999996</v>
      </c>
    </row>
    <row r="15" spans="1:21" customFormat="1">
      <c r="A15" s="55">
        <v>45360.291666666664</v>
      </c>
      <c r="B15" s="56">
        <v>14.69</v>
      </c>
      <c r="C15" s="56">
        <v>29.04</v>
      </c>
      <c r="D15" s="56">
        <v>28.3</v>
      </c>
      <c r="E15" s="56">
        <v>9.59</v>
      </c>
      <c r="F15" s="56">
        <v>4.8600000000000003</v>
      </c>
      <c r="G15" s="56">
        <v>62.31</v>
      </c>
      <c r="H15" s="56">
        <v>24.91</v>
      </c>
      <c r="I15" s="56">
        <v>5.69</v>
      </c>
      <c r="J15" s="56">
        <v>1.06</v>
      </c>
      <c r="K15" s="56">
        <v>67.66</v>
      </c>
      <c r="L15" s="56">
        <v>19.97</v>
      </c>
      <c r="M15" s="56">
        <v>51.24</v>
      </c>
      <c r="N15" s="56">
        <v>22.2</v>
      </c>
      <c r="O15" s="56">
        <v>0</v>
      </c>
      <c r="P15" s="56">
        <v>0.61</v>
      </c>
      <c r="Q15" s="56">
        <v>4.7699999999999996</v>
      </c>
    </row>
    <row r="16" spans="1:21" customFormat="1">
      <c r="A16" s="55">
        <v>45360.333333333336</v>
      </c>
      <c r="B16" s="56">
        <v>17.89</v>
      </c>
      <c r="C16" s="56">
        <v>32.14</v>
      </c>
      <c r="D16" s="56">
        <v>32.49</v>
      </c>
      <c r="E16" s="56">
        <v>10.72</v>
      </c>
      <c r="F16" s="56">
        <v>4.6900000000000004</v>
      </c>
      <c r="G16" s="56">
        <v>77.64</v>
      </c>
      <c r="H16" s="56">
        <v>25.44</v>
      </c>
      <c r="I16" s="56">
        <v>6.07</v>
      </c>
      <c r="J16" s="56">
        <v>1.76</v>
      </c>
      <c r="K16" s="56">
        <v>63.23</v>
      </c>
      <c r="L16" s="56">
        <v>22.36</v>
      </c>
      <c r="M16" s="56">
        <v>50.33</v>
      </c>
      <c r="N16" s="56">
        <v>114.6</v>
      </c>
      <c r="O16" s="56">
        <v>0</v>
      </c>
      <c r="P16" s="56">
        <v>0.63</v>
      </c>
      <c r="Q16" s="56">
        <v>4.8099999999999996</v>
      </c>
    </row>
    <row r="17" spans="1:17" customFormat="1">
      <c r="A17" s="55">
        <v>45360.375</v>
      </c>
      <c r="B17" s="56">
        <v>17.59</v>
      </c>
      <c r="C17" s="56">
        <v>33.26</v>
      </c>
      <c r="D17" s="56">
        <v>32.46</v>
      </c>
      <c r="E17" s="56">
        <v>15.09</v>
      </c>
      <c r="F17" s="56">
        <v>5.35</v>
      </c>
      <c r="G17" s="56">
        <v>68.239999999999995</v>
      </c>
      <c r="H17" s="56">
        <v>22.02</v>
      </c>
      <c r="I17" s="56">
        <v>6.11</v>
      </c>
      <c r="J17" s="56">
        <v>2.0299999999999998</v>
      </c>
      <c r="K17" s="56">
        <v>63.36</v>
      </c>
      <c r="L17" s="56">
        <v>25.57</v>
      </c>
      <c r="M17" s="56">
        <v>39.049999999999997</v>
      </c>
      <c r="N17" s="56">
        <v>364.5</v>
      </c>
      <c r="O17" s="56">
        <v>0</v>
      </c>
      <c r="P17" s="56">
        <v>0.63</v>
      </c>
      <c r="Q17" s="56">
        <v>4.82</v>
      </c>
    </row>
    <row r="18" spans="1:17" customFormat="1">
      <c r="A18" s="55">
        <v>45360.416666666664</v>
      </c>
      <c r="B18" s="56">
        <v>13.75</v>
      </c>
      <c r="C18" s="56">
        <v>33.229999999999997</v>
      </c>
      <c r="D18" s="56">
        <v>29.74</v>
      </c>
      <c r="E18" s="56">
        <v>14.49</v>
      </c>
      <c r="F18" s="56">
        <v>6.2</v>
      </c>
      <c r="G18" s="56">
        <v>70.52</v>
      </c>
      <c r="H18" s="56">
        <v>23.04</v>
      </c>
      <c r="I18" s="56">
        <v>5.88</v>
      </c>
      <c r="J18" s="56">
        <v>1.89</v>
      </c>
      <c r="K18" s="56">
        <v>71.77</v>
      </c>
      <c r="L18" s="56">
        <v>27.99</v>
      </c>
      <c r="M18" s="56">
        <v>32.020000000000003</v>
      </c>
      <c r="N18" s="56">
        <v>438.3</v>
      </c>
      <c r="O18" s="56">
        <v>0</v>
      </c>
      <c r="P18" s="56">
        <v>0.6</v>
      </c>
      <c r="Q18" s="56">
        <v>4.82</v>
      </c>
    </row>
    <row r="19" spans="1:17" customFormat="1">
      <c r="A19" s="55">
        <v>45360.458333333336</v>
      </c>
      <c r="B19" s="56">
        <v>8.34</v>
      </c>
      <c r="C19" s="56">
        <v>31.52</v>
      </c>
      <c r="D19" s="56">
        <v>24.51</v>
      </c>
      <c r="E19" s="56">
        <v>15.71</v>
      </c>
      <c r="F19" s="56">
        <v>7.59</v>
      </c>
      <c r="G19" s="56">
        <v>75.760000000000005</v>
      </c>
      <c r="H19" s="56">
        <v>23.81</v>
      </c>
      <c r="I19" s="56">
        <v>5.59</v>
      </c>
      <c r="J19" s="56">
        <v>1.43</v>
      </c>
      <c r="K19" s="56">
        <v>83.92</v>
      </c>
      <c r="L19" s="56">
        <v>30.04</v>
      </c>
      <c r="M19" s="56">
        <v>33.32</v>
      </c>
      <c r="N19" s="56">
        <v>571.70000000000005</v>
      </c>
      <c r="O19" s="56">
        <v>0</v>
      </c>
      <c r="P19" s="56">
        <v>0.69</v>
      </c>
      <c r="Q19" s="56">
        <v>4.79</v>
      </c>
    </row>
    <row r="20" spans="1:17" customFormat="1">
      <c r="A20" s="55">
        <v>45360.5</v>
      </c>
      <c r="B20" s="56">
        <v>5.37</v>
      </c>
      <c r="C20" s="56">
        <v>27.91</v>
      </c>
      <c r="D20" s="56">
        <v>20.239999999999998</v>
      </c>
      <c r="E20" s="56">
        <v>19.170000000000002</v>
      </c>
      <c r="F20" s="56">
        <v>21.14</v>
      </c>
      <c r="G20" s="56">
        <v>79.48</v>
      </c>
      <c r="H20" s="56">
        <v>26.38</v>
      </c>
      <c r="I20" s="56">
        <v>5.51</v>
      </c>
      <c r="J20" s="56">
        <v>1.34</v>
      </c>
      <c r="K20" s="56">
        <v>76.040000000000006</v>
      </c>
      <c r="L20" s="56">
        <v>31.72</v>
      </c>
      <c r="M20" s="56">
        <v>33.520000000000003</v>
      </c>
      <c r="N20" s="56">
        <v>619.29999999999995</v>
      </c>
      <c r="O20" s="56">
        <v>0</v>
      </c>
      <c r="P20" s="56">
        <v>0.68</v>
      </c>
      <c r="Q20" s="56">
        <v>4.74</v>
      </c>
    </row>
    <row r="21" spans="1:17" customFormat="1">
      <c r="A21" s="55">
        <v>45360.541666666664</v>
      </c>
      <c r="B21" s="56">
        <v>3.42</v>
      </c>
      <c r="C21" s="56">
        <v>21.69</v>
      </c>
      <c r="D21" s="56">
        <v>14.67</v>
      </c>
      <c r="E21" s="56">
        <v>21.61</v>
      </c>
      <c r="F21" s="56">
        <v>28.85</v>
      </c>
      <c r="G21" s="56">
        <v>59.99</v>
      </c>
      <c r="H21" s="56">
        <v>26.54</v>
      </c>
      <c r="I21" s="56">
        <v>4.75</v>
      </c>
      <c r="J21" s="56">
        <v>0.6</v>
      </c>
      <c r="K21" s="56">
        <v>269.74</v>
      </c>
      <c r="L21" s="56">
        <v>34.18</v>
      </c>
      <c r="M21" s="56">
        <v>29.25</v>
      </c>
      <c r="N21" s="56">
        <v>606.5</v>
      </c>
      <c r="O21" s="56">
        <v>0</v>
      </c>
      <c r="P21" s="56">
        <v>0.68</v>
      </c>
      <c r="Q21" s="56">
        <v>4.7300000000000004</v>
      </c>
    </row>
    <row r="22" spans="1:17" customFormat="1">
      <c r="A22" s="55">
        <v>45360.583333333336</v>
      </c>
      <c r="B22" s="56">
        <v>3.44</v>
      </c>
      <c r="C22" s="56">
        <v>19.16</v>
      </c>
      <c r="D22" s="56">
        <v>13.93</v>
      </c>
      <c r="E22" s="56">
        <v>22.18</v>
      </c>
      <c r="F22" s="56">
        <v>39.299999999999997</v>
      </c>
      <c r="G22" s="56">
        <v>54</v>
      </c>
      <c r="H22" s="56">
        <v>27.04</v>
      </c>
      <c r="I22" s="56">
        <v>3.86</v>
      </c>
      <c r="J22" s="56">
        <v>0.42</v>
      </c>
      <c r="K22" s="56">
        <v>172.08</v>
      </c>
      <c r="L22" s="56">
        <v>35.58</v>
      </c>
      <c r="M22" s="56">
        <v>25.87</v>
      </c>
      <c r="N22" s="56">
        <v>587.1</v>
      </c>
      <c r="O22" s="56">
        <v>0</v>
      </c>
      <c r="P22" s="56">
        <v>0.44</v>
      </c>
      <c r="Q22" s="56">
        <v>4.72</v>
      </c>
    </row>
    <row r="23" spans="1:17" customFormat="1">
      <c r="A23" s="55">
        <v>45360.625</v>
      </c>
      <c r="B23" s="56">
        <v>4.26</v>
      </c>
      <c r="C23" s="56">
        <v>17.59</v>
      </c>
      <c r="D23" s="56">
        <v>13.91</v>
      </c>
      <c r="E23" s="56">
        <v>29.35</v>
      </c>
      <c r="F23" s="56">
        <v>44.6</v>
      </c>
      <c r="G23" s="56">
        <v>43.14</v>
      </c>
      <c r="H23" s="56">
        <v>26.04</v>
      </c>
      <c r="I23" s="56">
        <v>3.38</v>
      </c>
      <c r="J23" s="56">
        <v>0.82</v>
      </c>
      <c r="K23" s="56">
        <v>331.88</v>
      </c>
      <c r="L23" s="56">
        <v>34.82</v>
      </c>
      <c r="M23" s="56">
        <v>23.21</v>
      </c>
      <c r="N23" s="56">
        <v>543.9</v>
      </c>
      <c r="O23" s="56">
        <v>0</v>
      </c>
      <c r="P23" s="56">
        <v>0.48</v>
      </c>
      <c r="Q23" s="56">
        <v>4.6900000000000004</v>
      </c>
    </row>
    <row r="24" spans="1:17" customFormat="1">
      <c r="A24" s="55">
        <v>45360.666666666664</v>
      </c>
      <c r="B24" s="56">
        <v>4.9000000000000004</v>
      </c>
      <c r="C24" s="56">
        <v>22.14</v>
      </c>
      <c r="D24" s="56">
        <v>16.850000000000001</v>
      </c>
      <c r="E24" s="56">
        <v>35.72</v>
      </c>
      <c r="F24" s="56">
        <v>48.06</v>
      </c>
      <c r="G24" s="56">
        <v>45.92</v>
      </c>
      <c r="H24" s="56">
        <v>23.44</v>
      </c>
      <c r="I24" s="56">
        <v>2.95</v>
      </c>
      <c r="J24" s="56">
        <v>1.63</v>
      </c>
      <c r="K24" s="56">
        <v>330.35</v>
      </c>
      <c r="L24" s="56">
        <v>34.14</v>
      </c>
      <c r="M24" s="56">
        <v>23.57</v>
      </c>
      <c r="N24" s="56">
        <v>282.8</v>
      </c>
      <c r="O24" s="56">
        <v>0</v>
      </c>
      <c r="P24" s="56">
        <v>0.52</v>
      </c>
      <c r="Q24" s="56">
        <v>4.68</v>
      </c>
    </row>
    <row r="25" spans="1:17" customFormat="1">
      <c r="A25" s="55">
        <v>45360.708333333336</v>
      </c>
      <c r="B25" s="56">
        <v>6.22</v>
      </c>
      <c r="C25" s="56">
        <v>30.7</v>
      </c>
      <c r="D25" s="56">
        <v>22.07</v>
      </c>
      <c r="E25" s="56">
        <v>26.33</v>
      </c>
      <c r="F25" s="56">
        <v>16.97</v>
      </c>
      <c r="G25" s="56">
        <v>54.64</v>
      </c>
      <c r="H25" s="56">
        <v>26.55</v>
      </c>
      <c r="I25" s="56">
        <v>3.31</v>
      </c>
      <c r="J25" s="56">
        <v>1.51</v>
      </c>
      <c r="K25" s="56">
        <v>58.08</v>
      </c>
      <c r="L25" s="56">
        <v>33.26</v>
      </c>
      <c r="M25" s="56">
        <v>23.75</v>
      </c>
      <c r="N25" s="56">
        <v>257.7</v>
      </c>
      <c r="O25" s="56">
        <v>0</v>
      </c>
      <c r="P25" s="56">
        <v>0.56000000000000005</v>
      </c>
      <c r="Q25" s="56">
        <v>4.68</v>
      </c>
    </row>
    <row r="26" spans="1:17" customFormat="1">
      <c r="A26" s="55">
        <v>45360.75</v>
      </c>
      <c r="B26" s="56">
        <v>8.18</v>
      </c>
      <c r="C26" s="56">
        <v>28.94</v>
      </c>
      <c r="D26" s="56">
        <v>22.98</v>
      </c>
      <c r="E26" s="56">
        <v>23.94</v>
      </c>
      <c r="F26" s="56">
        <v>18.77</v>
      </c>
      <c r="G26" s="56">
        <v>66.59</v>
      </c>
      <c r="H26" s="56">
        <v>29.91</v>
      </c>
      <c r="I26" s="56">
        <v>3.5</v>
      </c>
      <c r="J26" s="56">
        <v>1.47</v>
      </c>
      <c r="K26" s="56">
        <v>54.46</v>
      </c>
      <c r="L26" s="56">
        <v>31.98</v>
      </c>
      <c r="M26" s="56">
        <v>30.18</v>
      </c>
      <c r="N26" s="56">
        <v>58</v>
      </c>
      <c r="O26" s="56">
        <v>0</v>
      </c>
      <c r="P26" s="56">
        <v>0.71</v>
      </c>
      <c r="Q26" s="56">
        <v>4.68</v>
      </c>
    </row>
    <row r="27" spans="1:17" customFormat="1">
      <c r="A27" s="55">
        <v>45360.791666666664</v>
      </c>
      <c r="B27" s="56">
        <v>9.23</v>
      </c>
      <c r="C27" s="56">
        <v>30.62</v>
      </c>
      <c r="D27" s="56">
        <v>24.75</v>
      </c>
      <c r="E27" s="56">
        <v>9.06</v>
      </c>
      <c r="F27" s="56">
        <v>7.99</v>
      </c>
      <c r="G27" s="56">
        <v>84.56</v>
      </c>
      <c r="H27" s="56">
        <v>29.24</v>
      </c>
      <c r="I27" s="56">
        <v>3.93</v>
      </c>
      <c r="J27" s="56">
        <v>0.44</v>
      </c>
      <c r="K27" s="56">
        <v>162.47</v>
      </c>
      <c r="L27" s="56">
        <v>29.74</v>
      </c>
      <c r="M27" s="56">
        <v>49</v>
      </c>
      <c r="N27" s="56">
        <v>0</v>
      </c>
      <c r="O27" s="56">
        <v>0</v>
      </c>
      <c r="P27" s="56">
        <v>0.73</v>
      </c>
      <c r="Q27" s="56">
        <v>4.7300000000000004</v>
      </c>
    </row>
    <row r="28" spans="1:17" customFormat="1">
      <c r="A28" s="55">
        <v>45360.833333333336</v>
      </c>
      <c r="B28" s="56">
        <v>8.33</v>
      </c>
      <c r="C28" s="56">
        <v>29.28</v>
      </c>
      <c r="D28" s="56">
        <v>22.57</v>
      </c>
      <c r="E28" s="56">
        <v>9.36</v>
      </c>
      <c r="F28" s="56">
        <v>5.67</v>
      </c>
      <c r="G28" s="56">
        <v>99.6</v>
      </c>
      <c r="H28" s="56">
        <v>37.89</v>
      </c>
      <c r="I28" s="56">
        <v>4.63</v>
      </c>
      <c r="J28" s="56">
        <v>0.22</v>
      </c>
      <c r="K28" s="56">
        <v>213.68</v>
      </c>
      <c r="L28" s="56">
        <v>27.11</v>
      </c>
      <c r="M28" s="56">
        <v>54.27</v>
      </c>
      <c r="N28" s="56">
        <v>0</v>
      </c>
      <c r="O28" s="56">
        <v>0</v>
      </c>
      <c r="P28" s="56">
        <v>0.74</v>
      </c>
      <c r="Q28" s="56">
        <v>4.78</v>
      </c>
    </row>
    <row r="29" spans="1:17" customFormat="1">
      <c r="A29" s="55">
        <v>45360.875</v>
      </c>
      <c r="B29" s="56">
        <v>7.11</v>
      </c>
      <c r="C29" s="56">
        <v>30.16</v>
      </c>
      <c r="D29" s="56">
        <v>22.81</v>
      </c>
      <c r="E29" s="56">
        <v>9.4700000000000006</v>
      </c>
      <c r="F29" s="56">
        <v>5.34</v>
      </c>
      <c r="G29" s="56">
        <v>112.84</v>
      </c>
      <c r="H29" s="56">
        <v>42.79</v>
      </c>
      <c r="I29" s="56">
        <v>5.5</v>
      </c>
      <c r="J29" s="56">
        <v>0.26</v>
      </c>
      <c r="K29" s="56">
        <v>197.13</v>
      </c>
      <c r="L29" s="56">
        <v>25.28</v>
      </c>
      <c r="M29" s="56">
        <v>57.3</v>
      </c>
      <c r="N29" s="56">
        <v>0</v>
      </c>
      <c r="O29" s="56">
        <v>0</v>
      </c>
      <c r="P29" s="56">
        <v>0.84</v>
      </c>
      <c r="Q29" s="56">
        <v>4.7699999999999996</v>
      </c>
    </row>
    <row r="30" spans="1:17" customFormat="1">
      <c r="A30" s="55">
        <v>45360.916666666664</v>
      </c>
      <c r="B30" s="56">
        <v>8.86</v>
      </c>
      <c r="C30" s="56">
        <v>31.76</v>
      </c>
      <c r="D30" s="56">
        <v>25.05</v>
      </c>
      <c r="E30" s="56">
        <v>11.07</v>
      </c>
      <c r="F30" s="56">
        <v>5.31</v>
      </c>
      <c r="G30" s="56">
        <v>116.71</v>
      </c>
      <c r="H30" s="56">
        <v>42.38</v>
      </c>
      <c r="I30" s="56">
        <v>6.13</v>
      </c>
      <c r="J30" s="56">
        <v>1.34</v>
      </c>
      <c r="K30" s="56">
        <v>181.38</v>
      </c>
      <c r="L30" s="56">
        <v>25.37</v>
      </c>
      <c r="M30" s="56">
        <v>60.92</v>
      </c>
      <c r="N30" s="56">
        <v>0</v>
      </c>
      <c r="O30" s="56">
        <v>0</v>
      </c>
      <c r="P30" s="56">
        <v>0.89</v>
      </c>
      <c r="Q30" s="56">
        <v>4.75</v>
      </c>
    </row>
    <row r="31" spans="1:17" customFormat="1">
      <c r="A31" s="55">
        <v>45360.958333333336</v>
      </c>
      <c r="B31" s="56">
        <v>8.84</v>
      </c>
      <c r="C31" s="56">
        <v>32.94</v>
      </c>
      <c r="D31" s="56">
        <v>25.43</v>
      </c>
      <c r="E31" s="56">
        <v>11.51</v>
      </c>
      <c r="F31" s="56">
        <v>5.69</v>
      </c>
      <c r="G31" s="56">
        <v>118.14</v>
      </c>
      <c r="H31" s="56">
        <v>41.77</v>
      </c>
      <c r="I31" s="56">
        <v>6.43</v>
      </c>
      <c r="J31" s="56">
        <v>0.28000000000000003</v>
      </c>
      <c r="K31" s="56">
        <v>194.21</v>
      </c>
      <c r="L31" s="56">
        <v>25.18</v>
      </c>
      <c r="M31" s="56">
        <v>57.73</v>
      </c>
      <c r="N31" s="56">
        <v>0</v>
      </c>
      <c r="O31" s="56">
        <v>0</v>
      </c>
      <c r="P31" s="56">
        <v>0.88</v>
      </c>
      <c r="Q31" s="56">
        <v>4.74</v>
      </c>
    </row>
    <row r="32" spans="1:17" customFormat="1">
      <c r="A32" s="55">
        <v>45361</v>
      </c>
      <c r="B32" s="56">
        <v>10.19</v>
      </c>
      <c r="C32" s="56">
        <v>32.86</v>
      </c>
      <c r="D32" s="56">
        <v>26.69</v>
      </c>
      <c r="E32" s="56">
        <v>9.9</v>
      </c>
      <c r="F32" s="56">
        <v>5.74</v>
      </c>
      <c r="G32" s="56">
        <v>127.15</v>
      </c>
      <c r="H32" s="56">
        <v>42.01</v>
      </c>
      <c r="I32" s="56">
        <v>6.43</v>
      </c>
      <c r="J32" s="56">
        <v>0.49</v>
      </c>
      <c r="K32" s="56">
        <v>198.82</v>
      </c>
      <c r="L32" s="56">
        <v>23.48</v>
      </c>
      <c r="M32" s="56">
        <v>59.9</v>
      </c>
      <c r="N32" s="56">
        <v>0</v>
      </c>
      <c r="O32" s="56">
        <v>0</v>
      </c>
      <c r="P32" s="56">
        <v>0.89</v>
      </c>
      <c r="Q32" s="56">
        <v>4.75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3.42</v>
      </c>
      <c r="C34" s="41">
        <f t="shared" si="0"/>
        <v>17.59</v>
      </c>
      <c r="D34" s="41">
        <f t="shared" si="0"/>
        <v>13.91</v>
      </c>
      <c r="E34" s="41">
        <f t="shared" si="0"/>
        <v>7.24</v>
      </c>
      <c r="F34" s="41">
        <f t="shared" si="0"/>
        <v>4.6900000000000004</v>
      </c>
      <c r="G34" s="41">
        <f t="shared" si="0"/>
        <v>43.14</v>
      </c>
      <c r="H34" s="41">
        <f t="shared" si="0"/>
        <v>22.02</v>
      </c>
      <c r="I34" s="41">
        <f t="shared" si="0"/>
        <v>2.95</v>
      </c>
      <c r="J34" s="41">
        <f t="shared" si="0"/>
        <v>0.22</v>
      </c>
      <c r="K34" s="41">
        <f t="shared" si="0"/>
        <v>54.46</v>
      </c>
      <c r="L34" s="41">
        <f t="shared" si="0"/>
        <v>19.97</v>
      </c>
      <c r="M34" s="41">
        <f t="shared" si="0"/>
        <v>23.21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4.68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17.89</v>
      </c>
      <c r="C35" s="33">
        <f t="shared" si="1"/>
        <v>33.880000000000003</v>
      </c>
      <c r="D35" s="33">
        <f t="shared" si="1"/>
        <v>32.49</v>
      </c>
      <c r="E35" s="33">
        <f t="shared" si="1"/>
        <v>35.72</v>
      </c>
      <c r="F35" s="33">
        <f t="shared" si="1"/>
        <v>48.06</v>
      </c>
      <c r="G35" s="33">
        <f t="shared" si="1"/>
        <v>127.15</v>
      </c>
      <c r="H35" s="33">
        <f t="shared" si="1"/>
        <v>42.79</v>
      </c>
      <c r="I35" s="33">
        <f t="shared" si="1"/>
        <v>7.72</v>
      </c>
      <c r="J35" s="33">
        <f t="shared" si="1"/>
        <v>2.0299999999999998</v>
      </c>
      <c r="K35" s="33">
        <f t="shared" si="1"/>
        <v>331.88</v>
      </c>
      <c r="L35" s="33">
        <f t="shared" si="1"/>
        <v>35.58</v>
      </c>
      <c r="M35" s="33">
        <f t="shared" si="1"/>
        <v>60.92</v>
      </c>
      <c r="N35" s="33">
        <f t="shared" si="1"/>
        <v>619.29999999999995</v>
      </c>
      <c r="O35" s="33">
        <f t="shared" si="1"/>
        <v>0</v>
      </c>
      <c r="P35" s="33">
        <f t="shared" si="1"/>
        <v>0.89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9.0220833333333328</v>
      </c>
      <c r="C36" s="41">
        <f t="shared" si="2"/>
        <v>28.984583333333333</v>
      </c>
      <c r="D36" s="41">
        <f t="shared" si="2"/>
        <v>23.530000000000005</v>
      </c>
      <c r="E36" s="41">
        <f t="shared" si="2"/>
        <v>15.053333333333335</v>
      </c>
      <c r="F36" s="41">
        <f t="shared" si="2"/>
        <v>13.038333333333334</v>
      </c>
      <c r="G36" s="41">
        <f t="shared" si="2"/>
        <v>77.237499999999997</v>
      </c>
      <c r="H36" s="41">
        <f t="shared" si="2"/>
        <v>31.200833333333335</v>
      </c>
      <c r="I36" s="41">
        <f t="shared" si="2"/>
        <v>5.350833333333334</v>
      </c>
      <c r="J36" s="41">
        <f t="shared" si="2"/>
        <v>0.99624999999999997</v>
      </c>
      <c r="K36" s="41">
        <f t="shared" si="2"/>
        <v>138.38874999999999</v>
      </c>
      <c r="L36" s="41">
        <f t="shared" si="2"/>
        <v>26.981666666666666</v>
      </c>
      <c r="M36" s="41">
        <f t="shared" si="2"/>
        <v>43.08625</v>
      </c>
      <c r="N36" s="41">
        <f t="shared" si="2"/>
        <v>186.10833333333332</v>
      </c>
      <c r="O36" s="41">
        <f t="shared" si="2"/>
        <v>0</v>
      </c>
      <c r="P36" s="41">
        <f t="shared" si="2"/>
        <v>0.6925</v>
      </c>
      <c r="Q36" s="41">
        <f t="shared" si="2"/>
        <v>4.7525000000000004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3.89289763450744</v>
      </c>
      <c r="C37" s="41">
        <f t="shared" ref="C37:Q37" si="3">STDEV(C9:C32)</f>
        <v>4.6997243019663202</v>
      </c>
      <c r="D37" s="41">
        <f t="shared" si="3"/>
        <v>5.0945315951432626</v>
      </c>
      <c r="E37" s="41">
        <f t="shared" si="3"/>
        <v>7.6651933051813543</v>
      </c>
      <c r="F37" s="41">
        <f t="shared" si="3"/>
        <v>13.561121752583954</v>
      </c>
      <c r="G37" s="41">
        <f t="shared" si="3"/>
        <v>23.649445484812752</v>
      </c>
      <c r="H37" s="41">
        <f t="shared" si="3"/>
        <v>7.5604381726404322</v>
      </c>
      <c r="I37" s="41">
        <f t="shared" si="3"/>
        <v>1.2856868124508936</v>
      </c>
      <c r="J37" s="41">
        <f t="shared" si="3"/>
        <v>0.56711177105537591</v>
      </c>
      <c r="K37" s="41">
        <f t="shared" si="3"/>
        <v>88.433518547649072</v>
      </c>
      <c r="L37" s="41">
        <f t="shared" si="3"/>
        <v>5.1598564748043021</v>
      </c>
      <c r="M37" s="41">
        <f t="shared" si="3"/>
        <v>12.788985686570477</v>
      </c>
      <c r="N37" s="41">
        <f t="shared" si="3"/>
        <v>244.57594520110621</v>
      </c>
      <c r="O37" s="41">
        <f t="shared" si="3"/>
        <v>0</v>
      </c>
      <c r="P37" s="41">
        <f t="shared" si="3"/>
        <v>0.12911908894673407</v>
      </c>
      <c r="Q37" s="41">
        <f t="shared" si="3"/>
        <v>4.2143646692256481E-2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45361.041666666664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45361.041666666664</v>
      </c>
      <c r="B9" s="56">
        <v>8.65</v>
      </c>
      <c r="C9" s="56">
        <v>30.07</v>
      </c>
      <c r="D9" s="56">
        <v>23.83</v>
      </c>
      <c r="E9" s="56">
        <v>7.4</v>
      </c>
      <c r="F9" s="56">
        <v>5.27</v>
      </c>
      <c r="G9" s="56">
        <v>107.39</v>
      </c>
      <c r="H9" s="56">
        <v>44.15</v>
      </c>
      <c r="I9" s="56">
        <v>6.25</v>
      </c>
      <c r="J9" s="56">
        <v>0.34</v>
      </c>
      <c r="K9" s="56">
        <v>189.59</v>
      </c>
      <c r="L9" s="56">
        <v>23.75</v>
      </c>
      <c r="M9" s="56">
        <v>62.56</v>
      </c>
      <c r="N9" s="56">
        <v>0</v>
      </c>
      <c r="O9" s="56">
        <v>0</v>
      </c>
      <c r="P9" s="56">
        <v>0.89</v>
      </c>
      <c r="Q9" s="56">
        <v>4.7699999999999996</v>
      </c>
    </row>
    <row r="10" spans="1:21" customFormat="1">
      <c r="A10" s="55">
        <v>45361.083333333336</v>
      </c>
      <c r="B10" s="56">
        <v>7.32</v>
      </c>
      <c r="C10" s="56">
        <v>24.8</v>
      </c>
      <c r="D10" s="56">
        <v>20.18</v>
      </c>
      <c r="E10" s="56">
        <v>6.49</v>
      </c>
      <c r="F10" s="56">
        <v>5.63</v>
      </c>
      <c r="G10" s="56">
        <v>99.09</v>
      </c>
      <c r="H10" s="56">
        <v>41.54</v>
      </c>
      <c r="I10" s="56">
        <v>6.3</v>
      </c>
      <c r="J10" s="56">
        <v>0.9</v>
      </c>
      <c r="K10" s="56">
        <v>192.72</v>
      </c>
      <c r="L10" s="56">
        <v>22.75</v>
      </c>
      <c r="M10" s="56">
        <v>60.3</v>
      </c>
      <c r="N10" s="56">
        <v>0</v>
      </c>
      <c r="O10" s="56">
        <v>0</v>
      </c>
      <c r="P10" s="56">
        <v>0.83</v>
      </c>
      <c r="Q10" s="56">
        <v>4.78</v>
      </c>
    </row>
    <row r="11" spans="1:21" customFormat="1">
      <c r="A11" s="55">
        <v>45361.125</v>
      </c>
      <c r="B11" s="56">
        <v>5.0199999999999996</v>
      </c>
      <c r="C11" s="56">
        <v>25.04</v>
      </c>
      <c r="D11" s="56">
        <v>17.97</v>
      </c>
      <c r="E11" s="56">
        <v>10.67</v>
      </c>
      <c r="F11" s="56">
        <v>6.25</v>
      </c>
      <c r="G11" s="56">
        <v>82.33</v>
      </c>
      <c r="H11" s="56">
        <v>38.82</v>
      </c>
      <c r="I11" s="56">
        <v>6.13</v>
      </c>
      <c r="J11" s="56">
        <v>0.71</v>
      </c>
      <c r="K11" s="56">
        <v>211.21</v>
      </c>
      <c r="L11" s="56">
        <v>21.97</v>
      </c>
      <c r="M11" s="56">
        <v>64.459999999999994</v>
      </c>
      <c r="N11" s="56">
        <v>0</v>
      </c>
      <c r="O11" s="56">
        <v>0</v>
      </c>
      <c r="P11" s="56">
        <v>0.78</v>
      </c>
      <c r="Q11" s="56">
        <v>4.76</v>
      </c>
    </row>
    <row r="12" spans="1:21" customFormat="1">
      <c r="A12" s="55">
        <v>45361.166666666664</v>
      </c>
      <c r="B12" s="56">
        <v>5.07</v>
      </c>
      <c r="C12" s="56">
        <v>27.34</v>
      </c>
      <c r="D12" s="56">
        <v>19.71</v>
      </c>
      <c r="E12" s="56">
        <v>10.95</v>
      </c>
      <c r="F12" s="56">
        <v>5.82</v>
      </c>
      <c r="G12" s="56">
        <v>76.44</v>
      </c>
      <c r="H12" s="56">
        <v>33.89</v>
      </c>
      <c r="I12" s="56">
        <v>5.75</v>
      </c>
      <c r="J12" s="56">
        <v>0.66</v>
      </c>
      <c r="K12" s="56">
        <v>45.73</v>
      </c>
      <c r="L12" s="56">
        <v>21.98</v>
      </c>
      <c r="M12" s="56">
        <v>57.83</v>
      </c>
      <c r="N12" s="56">
        <v>0</v>
      </c>
      <c r="O12" s="56">
        <v>0</v>
      </c>
      <c r="P12" s="56">
        <v>0.74</v>
      </c>
      <c r="Q12" s="56">
        <v>4.7699999999999996</v>
      </c>
    </row>
    <row r="13" spans="1:21" customFormat="1">
      <c r="A13" s="55">
        <v>45361.208333333336</v>
      </c>
      <c r="B13" s="56">
        <v>6.55</v>
      </c>
      <c r="C13" s="56">
        <v>28.7</v>
      </c>
      <c r="D13" s="56">
        <v>21.6</v>
      </c>
      <c r="E13" s="56">
        <v>12.34</v>
      </c>
      <c r="F13" s="56">
        <v>5.24</v>
      </c>
      <c r="G13" s="56">
        <v>77.47</v>
      </c>
      <c r="H13" s="56">
        <v>35.25</v>
      </c>
      <c r="I13" s="56">
        <v>5.41</v>
      </c>
      <c r="J13" s="56">
        <v>0.78</v>
      </c>
      <c r="K13" s="56">
        <v>56.65</v>
      </c>
      <c r="L13" s="56">
        <v>21.54</v>
      </c>
      <c r="M13" s="56">
        <v>55.4</v>
      </c>
      <c r="N13" s="56">
        <v>0</v>
      </c>
      <c r="O13" s="56">
        <v>0</v>
      </c>
      <c r="P13" s="56">
        <v>0.72</v>
      </c>
      <c r="Q13" s="56">
        <v>4.76</v>
      </c>
    </row>
    <row r="14" spans="1:21" customFormat="1">
      <c r="A14" s="55">
        <v>45361.25</v>
      </c>
      <c r="B14" s="56">
        <v>9.5500000000000007</v>
      </c>
      <c r="C14" s="56">
        <v>30.91</v>
      </c>
      <c r="D14" s="56">
        <v>25.16</v>
      </c>
      <c r="E14" s="56">
        <v>12.67</v>
      </c>
      <c r="F14" s="56">
        <v>4.9400000000000004</v>
      </c>
      <c r="G14" s="56">
        <v>74.069999999999993</v>
      </c>
      <c r="H14" s="56">
        <v>34.380000000000003</v>
      </c>
      <c r="I14" s="56">
        <v>5.58</v>
      </c>
      <c r="J14" s="56">
        <v>1.03</v>
      </c>
      <c r="K14" s="56">
        <v>56.47</v>
      </c>
      <c r="L14" s="56">
        <v>20.98</v>
      </c>
      <c r="M14" s="56">
        <v>56.07</v>
      </c>
      <c r="N14" s="56">
        <v>0</v>
      </c>
      <c r="O14" s="56">
        <v>0</v>
      </c>
      <c r="P14" s="56">
        <v>0.74</v>
      </c>
      <c r="Q14" s="56">
        <v>4.76</v>
      </c>
    </row>
    <row r="15" spans="1:21" customFormat="1">
      <c r="A15" s="55">
        <v>45361.291666666664</v>
      </c>
      <c r="B15" s="56">
        <v>11.85</v>
      </c>
      <c r="C15" s="56">
        <v>31.24</v>
      </c>
      <c r="D15" s="56">
        <v>26.23</v>
      </c>
      <c r="E15" s="56">
        <v>12.28</v>
      </c>
      <c r="F15" s="56">
        <v>4.91</v>
      </c>
      <c r="G15" s="56">
        <v>76.13</v>
      </c>
      <c r="H15" s="56">
        <v>42.95</v>
      </c>
      <c r="I15" s="56">
        <v>6.39</v>
      </c>
      <c r="J15" s="56">
        <v>1</v>
      </c>
      <c r="K15" s="56">
        <v>65.91</v>
      </c>
      <c r="L15" s="56">
        <v>20.37</v>
      </c>
      <c r="M15" s="56">
        <v>58.2</v>
      </c>
      <c r="N15" s="56">
        <v>23.2</v>
      </c>
      <c r="O15" s="56">
        <v>0</v>
      </c>
      <c r="P15" s="56">
        <v>0.82</v>
      </c>
      <c r="Q15" s="56">
        <v>4.79</v>
      </c>
    </row>
    <row r="16" spans="1:21" customFormat="1">
      <c r="A16" s="55">
        <v>45361.333333333336</v>
      </c>
      <c r="B16" s="56">
        <v>12.95</v>
      </c>
      <c r="C16" s="56">
        <v>26.49</v>
      </c>
      <c r="D16" s="56">
        <v>24.91</v>
      </c>
      <c r="E16" s="56">
        <v>8.3800000000000008</v>
      </c>
      <c r="F16" s="56">
        <v>4.88</v>
      </c>
      <c r="G16" s="56">
        <v>78.14</v>
      </c>
      <c r="H16" s="56">
        <v>107.93</v>
      </c>
      <c r="I16" s="56">
        <v>6.62</v>
      </c>
      <c r="J16" s="56">
        <v>1.2</v>
      </c>
      <c r="K16" s="56">
        <v>65.81</v>
      </c>
      <c r="L16" s="56">
        <v>22.72</v>
      </c>
      <c r="M16" s="56">
        <v>57.23</v>
      </c>
      <c r="N16" s="56">
        <v>117.7</v>
      </c>
      <c r="O16" s="56">
        <v>0</v>
      </c>
      <c r="P16" s="56">
        <v>0.8</v>
      </c>
      <c r="Q16" s="56">
        <v>4.79</v>
      </c>
    </row>
    <row r="17" spans="1:17" customFormat="1">
      <c r="A17" s="55">
        <v>45361.375</v>
      </c>
      <c r="B17" s="56">
        <v>13.1</v>
      </c>
      <c r="C17" s="56">
        <v>25.83</v>
      </c>
      <c r="D17" s="56">
        <v>24.35</v>
      </c>
      <c r="E17" s="56">
        <v>12.79</v>
      </c>
      <c r="F17" s="56">
        <v>5.55</v>
      </c>
      <c r="G17" s="56">
        <v>81.44</v>
      </c>
      <c r="H17" s="56">
        <v>30.8</v>
      </c>
      <c r="I17" s="56">
        <v>6.75</v>
      </c>
      <c r="J17" s="56">
        <v>1.27</v>
      </c>
      <c r="K17" s="56">
        <v>69.489999999999995</v>
      </c>
      <c r="L17" s="56">
        <v>25.93</v>
      </c>
      <c r="M17" s="56">
        <v>43.91</v>
      </c>
      <c r="N17" s="56">
        <v>354.6</v>
      </c>
      <c r="O17" s="56">
        <v>0</v>
      </c>
      <c r="P17" s="56">
        <v>0.78</v>
      </c>
      <c r="Q17" s="56">
        <v>4.79</v>
      </c>
    </row>
    <row r="18" spans="1:17" customFormat="1">
      <c r="A18" s="55">
        <v>45361.416666666664</v>
      </c>
      <c r="B18" s="56">
        <v>9.01</v>
      </c>
      <c r="C18" s="56">
        <v>29.37</v>
      </c>
      <c r="D18" s="56">
        <v>22.75</v>
      </c>
      <c r="E18" s="56">
        <v>14.35</v>
      </c>
      <c r="F18" s="56">
        <v>6.97</v>
      </c>
      <c r="G18" s="56">
        <v>88.02</v>
      </c>
      <c r="H18" s="56">
        <v>33.51</v>
      </c>
      <c r="I18" s="56">
        <v>6.75</v>
      </c>
      <c r="J18" s="56">
        <v>1.26</v>
      </c>
      <c r="K18" s="56">
        <v>336.42</v>
      </c>
      <c r="L18" s="56">
        <v>28.87</v>
      </c>
      <c r="M18" s="56">
        <v>38.229999999999997</v>
      </c>
      <c r="N18" s="56">
        <v>417.6</v>
      </c>
      <c r="O18" s="56">
        <v>0</v>
      </c>
      <c r="P18" s="56">
        <v>0.78</v>
      </c>
      <c r="Q18" s="56">
        <v>4.75</v>
      </c>
    </row>
    <row r="19" spans="1:17" customFormat="1">
      <c r="A19" s="55">
        <v>45361.458333333336</v>
      </c>
      <c r="B19" s="56">
        <v>4.67</v>
      </c>
      <c r="C19" s="56">
        <v>28.95</v>
      </c>
      <c r="D19" s="56">
        <v>20.22</v>
      </c>
      <c r="E19" s="56">
        <v>16.29</v>
      </c>
      <c r="F19" s="56">
        <v>10.68</v>
      </c>
      <c r="G19" s="56">
        <v>88.48</v>
      </c>
      <c r="H19" s="56">
        <v>33.17</v>
      </c>
      <c r="I19" s="56">
        <v>6.54</v>
      </c>
      <c r="J19" s="56">
        <v>0.51</v>
      </c>
      <c r="K19" s="56">
        <v>354.14</v>
      </c>
      <c r="L19" s="56">
        <v>32.08</v>
      </c>
      <c r="M19" s="56">
        <v>34.14</v>
      </c>
      <c r="N19" s="56">
        <v>545.4</v>
      </c>
      <c r="O19" s="56">
        <v>0</v>
      </c>
      <c r="P19" s="56">
        <v>0.76</v>
      </c>
      <c r="Q19" s="56">
        <v>4.74</v>
      </c>
    </row>
    <row r="20" spans="1:17" customFormat="1">
      <c r="A20" s="55">
        <v>45361.5</v>
      </c>
      <c r="B20" s="56">
        <v>2.79</v>
      </c>
      <c r="C20" s="56">
        <v>25.79</v>
      </c>
      <c r="D20" s="56">
        <v>17.04</v>
      </c>
      <c r="E20" s="56">
        <v>16.72</v>
      </c>
      <c r="F20" s="56">
        <v>13.48</v>
      </c>
      <c r="G20" s="56">
        <v>81.77</v>
      </c>
      <c r="H20" s="56">
        <v>30.38</v>
      </c>
      <c r="I20" s="56">
        <v>6.03</v>
      </c>
      <c r="J20" s="56">
        <v>0.96</v>
      </c>
      <c r="K20" s="56">
        <v>219.35</v>
      </c>
      <c r="L20" s="56">
        <v>33.799999999999997</v>
      </c>
      <c r="M20" s="56">
        <v>29.32</v>
      </c>
      <c r="N20" s="56">
        <v>588.70000000000005</v>
      </c>
      <c r="O20" s="56">
        <v>0</v>
      </c>
      <c r="P20" s="56">
        <v>0.73</v>
      </c>
      <c r="Q20" s="56">
        <v>4.7300000000000004</v>
      </c>
    </row>
    <row r="21" spans="1:17" customFormat="1">
      <c r="A21" s="55">
        <v>45361.541666666664</v>
      </c>
      <c r="B21" s="56">
        <v>2.72</v>
      </c>
      <c r="C21" s="56">
        <v>23.86</v>
      </c>
      <c r="D21" s="56">
        <v>15.99</v>
      </c>
      <c r="E21" s="56">
        <v>16.93</v>
      </c>
      <c r="F21" s="56">
        <v>15.69</v>
      </c>
      <c r="G21" s="56">
        <v>79.55</v>
      </c>
      <c r="H21" s="56">
        <v>16.440000000000001</v>
      </c>
      <c r="I21" s="56">
        <v>5.58</v>
      </c>
      <c r="J21" s="56">
        <v>0.57999999999999996</v>
      </c>
      <c r="K21" s="56">
        <v>326.08</v>
      </c>
      <c r="L21" s="56">
        <v>34.69</v>
      </c>
      <c r="M21" s="56">
        <v>26.11</v>
      </c>
      <c r="N21" s="56">
        <v>593.70000000000005</v>
      </c>
      <c r="O21" s="56">
        <v>0</v>
      </c>
      <c r="P21" s="56">
        <v>0.69</v>
      </c>
      <c r="Q21" s="56">
        <v>4.71</v>
      </c>
    </row>
    <row r="22" spans="1:17" customFormat="1">
      <c r="A22" s="55">
        <v>45361.583333333336</v>
      </c>
      <c r="B22" s="56">
        <v>2.86</v>
      </c>
      <c r="C22" s="56">
        <v>22.94</v>
      </c>
      <c r="D22" s="56">
        <v>15.48</v>
      </c>
      <c r="E22" s="56">
        <v>17.41</v>
      </c>
      <c r="F22" s="56">
        <v>17.690000000000001</v>
      </c>
      <c r="G22" s="56">
        <v>70.62</v>
      </c>
      <c r="H22" s="56">
        <v>26.16</v>
      </c>
      <c r="I22" s="56">
        <v>5.09</v>
      </c>
      <c r="J22" s="56">
        <v>0.76</v>
      </c>
      <c r="K22" s="56">
        <v>350.23</v>
      </c>
      <c r="L22" s="56">
        <v>35.42</v>
      </c>
      <c r="M22" s="56">
        <v>23.76</v>
      </c>
      <c r="N22" s="56">
        <v>562.6</v>
      </c>
      <c r="O22" s="56">
        <v>0</v>
      </c>
      <c r="P22" s="56">
        <v>0.78</v>
      </c>
      <c r="Q22" s="56">
        <v>4.72</v>
      </c>
    </row>
    <row r="23" spans="1:17" customFormat="1">
      <c r="A23" s="55">
        <v>45361.625</v>
      </c>
      <c r="B23" s="56">
        <v>2.75</v>
      </c>
      <c r="C23" s="56">
        <v>23.22</v>
      </c>
      <c r="D23" s="56">
        <v>15.69</v>
      </c>
      <c r="E23" s="56">
        <v>12.5</v>
      </c>
      <c r="F23" s="56">
        <v>8.4</v>
      </c>
      <c r="G23" s="56">
        <v>66.36</v>
      </c>
      <c r="H23" s="56">
        <v>16.829999999999998</v>
      </c>
      <c r="I23" s="56">
        <v>5.18</v>
      </c>
      <c r="J23" s="56">
        <v>0.81</v>
      </c>
      <c r="K23" s="56">
        <v>311.27999999999997</v>
      </c>
      <c r="L23" s="56">
        <v>36.33</v>
      </c>
      <c r="M23" s="56">
        <v>19.989999999999998</v>
      </c>
      <c r="N23" s="56">
        <v>546.20000000000005</v>
      </c>
      <c r="O23" s="56">
        <v>0</v>
      </c>
      <c r="P23" s="56">
        <v>0.56000000000000005</v>
      </c>
      <c r="Q23" s="56">
        <v>4.6500000000000004</v>
      </c>
    </row>
    <row r="24" spans="1:17" customFormat="1">
      <c r="A24" s="55">
        <v>45361.666666666664</v>
      </c>
      <c r="B24" s="56">
        <v>2.59</v>
      </c>
      <c r="C24" s="56">
        <v>23.16</v>
      </c>
      <c r="D24" s="56">
        <v>15.53</v>
      </c>
      <c r="E24" s="56">
        <v>16.600000000000001</v>
      </c>
      <c r="F24" s="56">
        <v>17.3</v>
      </c>
      <c r="G24" s="56">
        <v>58.11</v>
      </c>
      <c r="H24" s="56">
        <v>23.85</v>
      </c>
      <c r="I24" s="56">
        <v>5.16</v>
      </c>
      <c r="J24" s="56">
        <v>0.4</v>
      </c>
      <c r="K24" s="56">
        <v>299.17</v>
      </c>
      <c r="L24" s="56">
        <v>35.76</v>
      </c>
      <c r="M24" s="56">
        <v>20.2</v>
      </c>
      <c r="N24" s="56">
        <v>283.7</v>
      </c>
      <c r="O24" s="56">
        <v>0</v>
      </c>
      <c r="P24" s="56">
        <v>0.45</v>
      </c>
      <c r="Q24" s="56">
        <v>4.74</v>
      </c>
    </row>
    <row r="25" spans="1:17" customFormat="1">
      <c r="A25" s="55">
        <v>45361.708333333336</v>
      </c>
      <c r="B25" s="56">
        <v>2.71</v>
      </c>
      <c r="C25" s="56">
        <v>22.76</v>
      </c>
      <c r="D25" s="56">
        <v>15.28</v>
      </c>
      <c r="E25" s="56">
        <v>20.18</v>
      </c>
      <c r="F25" s="56">
        <v>19.690000000000001</v>
      </c>
      <c r="G25" s="56">
        <v>49.28</v>
      </c>
      <c r="H25" s="56">
        <v>21.41</v>
      </c>
      <c r="I25" s="56">
        <v>4.3099999999999996</v>
      </c>
      <c r="J25" s="56">
        <v>0.52</v>
      </c>
      <c r="K25" s="56">
        <v>180.08</v>
      </c>
      <c r="L25" s="56">
        <v>35.380000000000003</v>
      </c>
      <c r="M25" s="56">
        <v>21.81</v>
      </c>
      <c r="N25" s="56">
        <v>237.9</v>
      </c>
      <c r="O25" s="56">
        <v>0</v>
      </c>
      <c r="P25" s="56">
        <v>0.38</v>
      </c>
      <c r="Q25" s="56">
        <v>4.74</v>
      </c>
    </row>
    <row r="26" spans="1:17" customFormat="1">
      <c r="A26" s="55">
        <v>45361.75</v>
      </c>
      <c r="B26" s="56">
        <v>4.62</v>
      </c>
      <c r="C26" s="56">
        <v>32.200000000000003</v>
      </c>
      <c r="D26" s="56">
        <v>21.87</v>
      </c>
      <c r="E26" s="56">
        <v>28.08</v>
      </c>
      <c r="F26" s="56">
        <v>19.89</v>
      </c>
      <c r="G26" s="56">
        <v>54.69</v>
      </c>
      <c r="H26" s="56">
        <v>26.22</v>
      </c>
      <c r="I26" s="56">
        <v>4.78</v>
      </c>
      <c r="J26" s="56">
        <v>0.83</v>
      </c>
      <c r="K26" s="56">
        <v>59.5</v>
      </c>
      <c r="L26" s="56">
        <v>33.96</v>
      </c>
      <c r="M26" s="56">
        <v>28.6</v>
      </c>
      <c r="N26" s="56">
        <v>43.7</v>
      </c>
      <c r="O26" s="56">
        <v>0</v>
      </c>
      <c r="P26" s="56">
        <v>0.51</v>
      </c>
      <c r="Q26" s="56">
        <v>4.72</v>
      </c>
    </row>
    <row r="27" spans="1:17" customFormat="1">
      <c r="A27" s="55">
        <v>45361.791666666664</v>
      </c>
      <c r="B27" s="56">
        <v>4.21</v>
      </c>
      <c r="C27" s="56">
        <v>32.46</v>
      </c>
      <c r="D27" s="56">
        <v>21.62</v>
      </c>
      <c r="E27" s="56">
        <v>13.91</v>
      </c>
      <c r="F27" s="56">
        <v>11.51</v>
      </c>
      <c r="G27" s="56">
        <v>81.02</v>
      </c>
      <c r="H27" s="56">
        <v>52.82</v>
      </c>
      <c r="I27" s="56">
        <v>5.23</v>
      </c>
      <c r="J27" s="56">
        <v>0.9</v>
      </c>
      <c r="K27" s="56">
        <v>158.63</v>
      </c>
      <c r="L27" s="56">
        <v>31.27</v>
      </c>
      <c r="M27" s="56">
        <v>33.270000000000003</v>
      </c>
      <c r="N27" s="56">
        <v>0</v>
      </c>
      <c r="O27" s="56">
        <v>0</v>
      </c>
      <c r="P27" s="56">
        <v>0.6</v>
      </c>
      <c r="Q27" s="56">
        <v>4.7300000000000004</v>
      </c>
    </row>
    <row r="28" spans="1:17" customFormat="1">
      <c r="A28" s="55">
        <v>45361.833333333336</v>
      </c>
      <c r="B28" s="56">
        <v>3.82</v>
      </c>
      <c r="C28" s="56">
        <v>34.200000000000003</v>
      </c>
      <c r="D28" s="56">
        <v>22.28</v>
      </c>
      <c r="E28" s="56">
        <v>17.98</v>
      </c>
      <c r="F28" s="56">
        <v>12.87</v>
      </c>
      <c r="G28" s="56">
        <v>102.18</v>
      </c>
      <c r="H28" s="56">
        <v>50.66</v>
      </c>
      <c r="I28" s="56">
        <v>6.05</v>
      </c>
      <c r="J28" s="56">
        <v>0.87</v>
      </c>
      <c r="K28" s="56">
        <v>100.36</v>
      </c>
      <c r="L28" s="56">
        <v>30.24</v>
      </c>
      <c r="M28" s="56">
        <v>36.54</v>
      </c>
      <c r="N28" s="56">
        <v>0</v>
      </c>
      <c r="O28" s="56">
        <v>0</v>
      </c>
      <c r="P28" s="56">
        <v>0.75</v>
      </c>
      <c r="Q28" s="56">
        <v>4.76</v>
      </c>
    </row>
    <row r="29" spans="1:17" customFormat="1">
      <c r="A29" s="55">
        <v>45361.875</v>
      </c>
      <c r="B29" s="56">
        <v>4.2300000000000004</v>
      </c>
      <c r="C29" s="56">
        <v>30.75</v>
      </c>
      <c r="D29" s="56">
        <v>20.63</v>
      </c>
      <c r="E29" s="56">
        <v>12.93</v>
      </c>
      <c r="F29" s="56">
        <v>9.08</v>
      </c>
      <c r="G29" s="56">
        <v>119.8</v>
      </c>
      <c r="H29" s="56">
        <v>58.12</v>
      </c>
      <c r="I29" s="56">
        <v>6.36</v>
      </c>
      <c r="J29" s="56">
        <v>0.41</v>
      </c>
      <c r="K29" s="56">
        <v>196.03</v>
      </c>
      <c r="L29" s="56">
        <v>28.44</v>
      </c>
      <c r="M29" s="56">
        <v>39.83</v>
      </c>
      <c r="N29" s="56">
        <v>0</v>
      </c>
      <c r="O29" s="56">
        <v>0</v>
      </c>
      <c r="P29" s="56">
        <v>0.76</v>
      </c>
      <c r="Q29" s="56">
        <v>4.75</v>
      </c>
    </row>
    <row r="30" spans="1:17" customFormat="1">
      <c r="A30" s="55">
        <v>45361.916666666664</v>
      </c>
      <c r="B30" s="56">
        <v>4.82</v>
      </c>
      <c r="C30" s="56">
        <v>25.53</v>
      </c>
      <c r="D30" s="56">
        <v>18.2</v>
      </c>
      <c r="E30" s="56">
        <v>10.15</v>
      </c>
      <c r="F30" s="56">
        <v>8.4499999999999993</v>
      </c>
      <c r="G30" s="56">
        <v>123.87</v>
      </c>
      <c r="H30" s="56">
        <v>49.11</v>
      </c>
      <c r="I30" s="56">
        <v>6.52</v>
      </c>
      <c r="J30" s="56">
        <v>0.47</v>
      </c>
      <c r="K30" s="56">
        <v>210.81</v>
      </c>
      <c r="L30" s="56">
        <v>28.17</v>
      </c>
      <c r="M30" s="56">
        <v>44.41</v>
      </c>
      <c r="N30" s="56">
        <v>0</v>
      </c>
      <c r="O30" s="56">
        <v>0</v>
      </c>
      <c r="P30" s="56">
        <v>0.77</v>
      </c>
      <c r="Q30" s="56">
        <v>4.74</v>
      </c>
    </row>
    <row r="31" spans="1:17" customFormat="1">
      <c r="A31" s="55">
        <v>45361.958333333336</v>
      </c>
      <c r="B31" s="56">
        <v>4.05</v>
      </c>
      <c r="C31" s="56">
        <v>25.47</v>
      </c>
      <c r="D31" s="56">
        <v>17.760000000000002</v>
      </c>
      <c r="E31" s="56">
        <v>8.52</v>
      </c>
      <c r="F31" s="56">
        <v>7</v>
      </c>
      <c r="G31" s="56">
        <v>115.16</v>
      </c>
      <c r="H31" s="56">
        <v>44.02</v>
      </c>
      <c r="I31" s="56">
        <v>6.53</v>
      </c>
      <c r="J31" s="56">
        <v>0.21</v>
      </c>
      <c r="K31" s="56">
        <v>217.8</v>
      </c>
      <c r="L31" s="56">
        <v>26.71</v>
      </c>
      <c r="M31" s="56">
        <v>51.89</v>
      </c>
      <c r="N31" s="56">
        <v>0</v>
      </c>
      <c r="O31" s="56">
        <v>0</v>
      </c>
      <c r="P31" s="56">
        <v>0.67</v>
      </c>
      <c r="Q31" s="56">
        <v>4.74</v>
      </c>
    </row>
    <row r="32" spans="1:17" customFormat="1">
      <c r="A32" s="55">
        <v>45362</v>
      </c>
      <c r="B32" s="56">
        <v>3.42</v>
      </c>
      <c r="C32" s="56">
        <v>24.78</v>
      </c>
      <c r="D32" s="56">
        <v>16.899999999999999</v>
      </c>
      <c r="E32" s="56">
        <v>7.97</v>
      </c>
      <c r="F32" s="56">
        <v>7.35</v>
      </c>
      <c r="G32" s="56">
        <v>102.88</v>
      </c>
      <c r="H32" s="56">
        <v>39.770000000000003</v>
      </c>
      <c r="I32" s="56">
        <v>6.08</v>
      </c>
      <c r="J32" s="56">
        <v>0.23</v>
      </c>
      <c r="K32" s="56">
        <v>200.64</v>
      </c>
      <c r="L32" s="56">
        <v>25.49</v>
      </c>
      <c r="M32" s="56">
        <v>50.82</v>
      </c>
      <c r="N32" s="56">
        <v>0</v>
      </c>
      <c r="O32" s="56">
        <v>0</v>
      </c>
      <c r="P32" s="56">
        <v>0.63</v>
      </c>
      <c r="Q32" s="56">
        <v>4.7300000000000004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2.59</v>
      </c>
      <c r="C34" s="41">
        <f t="shared" si="0"/>
        <v>22.76</v>
      </c>
      <c r="D34" s="41">
        <f t="shared" si="0"/>
        <v>15.28</v>
      </c>
      <c r="E34" s="41">
        <f t="shared" si="0"/>
        <v>6.49</v>
      </c>
      <c r="F34" s="41">
        <f t="shared" si="0"/>
        <v>4.88</v>
      </c>
      <c r="G34" s="41">
        <f t="shared" si="0"/>
        <v>49.28</v>
      </c>
      <c r="H34" s="41">
        <f t="shared" si="0"/>
        <v>16.440000000000001</v>
      </c>
      <c r="I34" s="41">
        <f t="shared" si="0"/>
        <v>4.3099999999999996</v>
      </c>
      <c r="J34" s="41">
        <f t="shared" si="0"/>
        <v>0.21</v>
      </c>
      <c r="K34" s="41">
        <f t="shared" si="0"/>
        <v>45.73</v>
      </c>
      <c r="L34" s="41">
        <f t="shared" si="0"/>
        <v>20.37</v>
      </c>
      <c r="M34" s="41">
        <f t="shared" si="0"/>
        <v>19.989999999999998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13.1</v>
      </c>
      <c r="C35" s="33">
        <f t="shared" si="1"/>
        <v>34.200000000000003</v>
      </c>
      <c r="D35" s="33">
        <f t="shared" si="1"/>
        <v>26.23</v>
      </c>
      <c r="E35" s="33">
        <f t="shared" si="1"/>
        <v>28.08</v>
      </c>
      <c r="F35" s="33">
        <f t="shared" si="1"/>
        <v>19.89</v>
      </c>
      <c r="G35" s="33">
        <f t="shared" si="1"/>
        <v>123.87</v>
      </c>
      <c r="H35" s="33">
        <f t="shared" si="1"/>
        <v>107.93</v>
      </c>
      <c r="I35" s="33">
        <f t="shared" si="1"/>
        <v>6.75</v>
      </c>
      <c r="J35" s="33">
        <f t="shared" si="1"/>
        <v>1.27</v>
      </c>
      <c r="K35" s="33">
        <f t="shared" si="1"/>
        <v>354.14</v>
      </c>
      <c r="L35" s="33">
        <f t="shared" si="1"/>
        <v>36.33</v>
      </c>
      <c r="M35" s="33">
        <f t="shared" si="1"/>
        <v>64.459999999999994</v>
      </c>
      <c r="N35" s="33">
        <f t="shared" si="1"/>
        <v>593.70000000000005</v>
      </c>
      <c r="O35" s="33">
        <f t="shared" si="1"/>
        <v>0</v>
      </c>
      <c r="P35" s="33">
        <f t="shared" si="1"/>
        <v>0.89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5.805416666666666</v>
      </c>
      <c r="C36" s="41">
        <f t="shared" si="2"/>
        <v>27.327500000000004</v>
      </c>
      <c r="D36" s="41">
        <f t="shared" si="2"/>
        <v>20.049166666666661</v>
      </c>
      <c r="E36" s="41">
        <f t="shared" si="2"/>
        <v>13.520416666666668</v>
      </c>
      <c r="F36" s="41">
        <f t="shared" si="2"/>
        <v>9.7725000000000009</v>
      </c>
      <c r="G36" s="41">
        <f t="shared" si="2"/>
        <v>84.762083333333337</v>
      </c>
      <c r="H36" s="41">
        <f t="shared" si="2"/>
        <v>38.840833333333336</v>
      </c>
      <c r="I36" s="41">
        <f t="shared" si="2"/>
        <v>5.8904166666666669</v>
      </c>
      <c r="J36" s="41">
        <f t="shared" si="2"/>
        <v>0.73375000000000012</v>
      </c>
      <c r="K36" s="41">
        <f t="shared" si="2"/>
        <v>186.42083333333335</v>
      </c>
      <c r="L36" s="41">
        <f t="shared" si="2"/>
        <v>28.275000000000002</v>
      </c>
      <c r="M36" s="41">
        <f t="shared" si="2"/>
        <v>42.286666666666669</v>
      </c>
      <c r="N36" s="41">
        <f t="shared" si="2"/>
        <v>179.79166666666663</v>
      </c>
      <c r="O36" s="41">
        <f t="shared" si="2"/>
        <v>0</v>
      </c>
      <c r="P36" s="41">
        <f t="shared" si="2"/>
        <v>0.70499999999999996</v>
      </c>
      <c r="Q36" s="41">
        <f t="shared" si="2"/>
        <v>4.746666666666667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3.3305724526451681</v>
      </c>
      <c r="C37" s="41">
        <f t="shared" ref="C37:Q37" si="3">STDEV(C9:C32)</f>
        <v>3.4253228981399118</v>
      </c>
      <c r="D37" s="41">
        <f t="shared" si="3"/>
        <v>3.4463590323282318</v>
      </c>
      <c r="E37" s="41">
        <f t="shared" si="3"/>
        <v>4.8093970327724582</v>
      </c>
      <c r="F37" s="41">
        <f t="shared" si="3"/>
        <v>5.0327676282538603</v>
      </c>
      <c r="G37" s="41">
        <f t="shared" si="3"/>
        <v>19.659024474706317</v>
      </c>
      <c r="H37" s="41">
        <f t="shared" si="3"/>
        <v>18.361885362292462</v>
      </c>
      <c r="I37" s="41">
        <f t="shared" si="3"/>
        <v>0.67346914436059502</v>
      </c>
      <c r="J37" s="41">
        <f t="shared" si="3"/>
        <v>0.30770980823977057</v>
      </c>
      <c r="K37" s="41">
        <f t="shared" si="3"/>
        <v>104.14966141658073</v>
      </c>
      <c r="L37" s="41">
        <f t="shared" si="3"/>
        <v>5.4857483338746729</v>
      </c>
      <c r="M37" s="41">
        <f t="shared" si="3"/>
        <v>14.813660753761585</v>
      </c>
      <c r="N37" s="41">
        <f t="shared" si="3"/>
        <v>236.74191950154369</v>
      </c>
      <c r="O37" s="41">
        <f t="shared" si="3"/>
        <v>0</v>
      </c>
      <c r="P37" s="41">
        <f t="shared" si="3"/>
        <v>0.12476064039313188</v>
      </c>
      <c r="Q37" s="41">
        <f t="shared" si="3"/>
        <v>3.0739673652006756E-2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45362.041666666664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45362.041666666664</v>
      </c>
      <c r="B9" s="56">
        <v>3.9</v>
      </c>
      <c r="C9" s="56">
        <v>22.98</v>
      </c>
      <c r="D9" s="56">
        <v>16.350000000000001</v>
      </c>
      <c r="E9" s="56">
        <v>7.73</v>
      </c>
      <c r="F9" s="56">
        <v>7.44</v>
      </c>
      <c r="G9" s="56">
        <v>84.73</v>
      </c>
      <c r="H9" s="56">
        <v>31.27</v>
      </c>
      <c r="I9" s="56">
        <v>5.69</v>
      </c>
      <c r="J9" s="56">
        <v>0.17</v>
      </c>
      <c r="K9" s="56">
        <v>246.99</v>
      </c>
      <c r="L9" s="56">
        <v>25.15</v>
      </c>
      <c r="M9" s="56">
        <v>55.64</v>
      </c>
      <c r="N9" s="56">
        <v>0</v>
      </c>
      <c r="O9" s="56">
        <v>0</v>
      </c>
      <c r="P9" s="56">
        <v>0.57999999999999996</v>
      </c>
      <c r="Q9" s="56">
        <v>4.72</v>
      </c>
    </row>
    <row r="10" spans="1:21" customFormat="1">
      <c r="A10" s="55">
        <v>45362.083333333336</v>
      </c>
      <c r="B10" s="56">
        <v>4.07</v>
      </c>
      <c r="C10" s="56">
        <v>21.57</v>
      </c>
      <c r="D10" s="56">
        <v>15.85</v>
      </c>
      <c r="E10" s="56">
        <v>7.83</v>
      </c>
      <c r="F10" s="56">
        <v>7.01</v>
      </c>
      <c r="G10" s="56">
        <v>65.48</v>
      </c>
      <c r="H10" s="56">
        <v>29.45</v>
      </c>
      <c r="I10" s="56">
        <v>5.3</v>
      </c>
      <c r="J10" s="56">
        <v>0.2</v>
      </c>
      <c r="K10" s="56">
        <v>262.27</v>
      </c>
      <c r="L10" s="56">
        <v>24.34</v>
      </c>
      <c r="M10" s="56">
        <v>59</v>
      </c>
      <c r="N10" s="56">
        <v>0</v>
      </c>
      <c r="O10" s="56">
        <v>0</v>
      </c>
      <c r="P10" s="56">
        <v>0.53</v>
      </c>
      <c r="Q10" s="56">
        <v>4.6900000000000004</v>
      </c>
    </row>
    <row r="11" spans="1:21" customFormat="1">
      <c r="A11" s="55">
        <v>45362.125</v>
      </c>
      <c r="B11" s="56">
        <v>4.82</v>
      </c>
      <c r="C11" s="56">
        <v>21.07</v>
      </c>
      <c r="D11" s="56">
        <v>15.65</v>
      </c>
      <c r="E11" s="56">
        <v>7.97</v>
      </c>
      <c r="F11" s="56">
        <v>6.84</v>
      </c>
      <c r="G11" s="56">
        <v>58.63</v>
      </c>
      <c r="H11" s="56">
        <v>31.02</v>
      </c>
      <c r="I11" s="56">
        <v>5.04</v>
      </c>
      <c r="J11" s="56">
        <v>0.26</v>
      </c>
      <c r="K11" s="56">
        <v>185.89</v>
      </c>
      <c r="L11" s="56">
        <v>24.02</v>
      </c>
      <c r="M11" s="56">
        <v>65.17</v>
      </c>
      <c r="N11" s="56">
        <v>0</v>
      </c>
      <c r="O11" s="56">
        <v>0</v>
      </c>
      <c r="P11" s="56">
        <v>0.54</v>
      </c>
      <c r="Q11" s="56">
        <v>4.67</v>
      </c>
    </row>
    <row r="12" spans="1:21" customFormat="1">
      <c r="A12" s="55">
        <v>45362.166666666664</v>
      </c>
      <c r="B12" s="56">
        <v>6.08</v>
      </c>
      <c r="C12" s="56">
        <v>18.89</v>
      </c>
      <c r="D12" s="56">
        <v>15.95</v>
      </c>
      <c r="E12" s="56">
        <v>6.54</v>
      </c>
      <c r="F12" s="56">
        <v>5.17</v>
      </c>
      <c r="G12" s="56">
        <v>53.48</v>
      </c>
      <c r="H12" s="56">
        <v>24.04</v>
      </c>
      <c r="I12" s="56">
        <v>4.96</v>
      </c>
      <c r="J12" s="56">
        <v>0.42</v>
      </c>
      <c r="K12" s="56">
        <v>42.65</v>
      </c>
      <c r="L12" s="56">
        <v>23.74</v>
      </c>
      <c r="M12" s="56">
        <v>60.07</v>
      </c>
      <c r="N12" s="56">
        <v>0</v>
      </c>
      <c r="O12" s="56">
        <v>0</v>
      </c>
      <c r="P12" s="56">
        <v>0.53</v>
      </c>
      <c r="Q12" s="56">
        <v>4.7</v>
      </c>
    </row>
    <row r="13" spans="1:21" customFormat="1">
      <c r="A13" s="55">
        <v>45362.208333333336</v>
      </c>
      <c r="B13" s="56">
        <v>9</v>
      </c>
      <c r="C13" s="56">
        <v>22.99</v>
      </c>
      <c r="D13" s="56">
        <v>20.58</v>
      </c>
      <c r="E13" s="56">
        <v>11.52</v>
      </c>
      <c r="F13" s="56">
        <v>4.78</v>
      </c>
      <c r="G13" s="56">
        <v>70.48</v>
      </c>
      <c r="H13" s="56">
        <v>34.72</v>
      </c>
      <c r="I13" s="56">
        <v>5.95</v>
      </c>
      <c r="J13" s="56">
        <v>1.1299999999999999</v>
      </c>
      <c r="K13" s="56">
        <v>56.8</v>
      </c>
      <c r="L13" s="56">
        <v>23.4</v>
      </c>
      <c r="M13" s="56">
        <v>65.44</v>
      </c>
      <c r="N13" s="56">
        <v>0</v>
      </c>
      <c r="O13" s="56">
        <v>0</v>
      </c>
      <c r="P13" s="56">
        <v>0.68</v>
      </c>
      <c r="Q13" s="56">
        <v>4.74</v>
      </c>
    </row>
    <row r="14" spans="1:21" customFormat="1">
      <c r="A14" s="55">
        <v>45362.25</v>
      </c>
      <c r="B14" s="56">
        <v>8.77</v>
      </c>
      <c r="C14" s="56">
        <v>25.96</v>
      </c>
      <c r="D14" s="56">
        <v>21.64</v>
      </c>
      <c r="E14" s="56">
        <v>10.199999999999999</v>
      </c>
      <c r="F14" s="56">
        <v>4.9000000000000004</v>
      </c>
      <c r="G14" s="56">
        <v>171.29</v>
      </c>
      <c r="H14" s="56">
        <v>50.73</v>
      </c>
      <c r="I14" s="56">
        <v>7.13</v>
      </c>
      <c r="J14" s="56">
        <v>1.08</v>
      </c>
      <c r="K14" s="56">
        <v>73.099999999999994</v>
      </c>
      <c r="L14" s="56">
        <v>22.3</v>
      </c>
      <c r="M14" s="56">
        <v>67.569999999999993</v>
      </c>
      <c r="N14" s="56">
        <v>0</v>
      </c>
      <c r="O14" s="56">
        <v>0</v>
      </c>
      <c r="P14" s="56">
        <v>0.69</v>
      </c>
      <c r="Q14" s="56">
        <v>4.75</v>
      </c>
    </row>
    <row r="15" spans="1:21" customFormat="1">
      <c r="A15" s="55">
        <v>45362.291666666664</v>
      </c>
      <c r="B15" s="56">
        <v>10.35</v>
      </c>
      <c r="C15" s="56">
        <v>29.59</v>
      </c>
      <c r="D15" s="56">
        <v>25.11</v>
      </c>
      <c r="E15" s="56">
        <v>9.61</v>
      </c>
      <c r="F15" s="56">
        <v>4.63</v>
      </c>
      <c r="G15" s="56">
        <v>88.89</v>
      </c>
      <c r="H15" s="56">
        <v>45.39</v>
      </c>
      <c r="I15" s="56">
        <v>7.91</v>
      </c>
      <c r="J15" s="56">
        <v>0.68</v>
      </c>
      <c r="K15" s="56">
        <v>72.709999999999994</v>
      </c>
      <c r="L15" s="56">
        <v>22.94</v>
      </c>
      <c r="M15" s="56">
        <v>66.540000000000006</v>
      </c>
      <c r="N15" s="56">
        <v>24.3</v>
      </c>
      <c r="O15" s="56">
        <v>0</v>
      </c>
      <c r="P15" s="56">
        <v>0.71</v>
      </c>
      <c r="Q15" s="56">
        <v>4.7699999999999996</v>
      </c>
    </row>
    <row r="16" spans="1:21" customFormat="1">
      <c r="A16" s="55">
        <v>45362.333333333336</v>
      </c>
      <c r="B16" s="56">
        <v>10.42</v>
      </c>
      <c r="C16" s="56">
        <v>31.68</v>
      </c>
      <c r="D16" s="56">
        <v>26</v>
      </c>
      <c r="E16" s="56">
        <v>10.49</v>
      </c>
      <c r="F16" s="56">
        <v>4.88</v>
      </c>
      <c r="G16" s="56">
        <v>92.15</v>
      </c>
      <c r="H16" s="56">
        <v>41.58</v>
      </c>
      <c r="I16" s="56">
        <v>8.1999999999999993</v>
      </c>
      <c r="J16" s="56">
        <v>0.97</v>
      </c>
      <c r="K16" s="56">
        <v>69.08</v>
      </c>
      <c r="L16" s="56">
        <v>25.32</v>
      </c>
      <c r="M16" s="56">
        <v>62.17</v>
      </c>
      <c r="N16" s="56">
        <v>111.4</v>
      </c>
      <c r="O16" s="56">
        <v>0</v>
      </c>
      <c r="P16" s="56">
        <v>0.76</v>
      </c>
      <c r="Q16" s="56">
        <v>4.75</v>
      </c>
    </row>
    <row r="17" spans="1:17" customFormat="1">
      <c r="A17" s="55">
        <v>45362.375</v>
      </c>
      <c r="B17" s="56">
        <v>9.41</v>
      </c>
      <c r="C17" s="56">
        <v>32.11</v>
      </c>
      <c r="D17" s="56">
        <v>25.58</v>
      </c>
      <c r="E17" s="56">
        <v>11.04</v>
      </c>
      <c r="F17" s="56">
        <v>5.64</v>
      </c>
      <c r="G17" s="56">
        <v>122.25</v>
      </c>
      <c r="H17" s="56">
        <v>43.15</v>
      </c>
      <c r="I17" s="56">
        <v>8.35</v>
      </c>
      <c r="J17" s="56">
        <v>0.79</v>
      </c>
      <c r="K17" s="56">
        <v>85.12</v>
      </c>
      <c r="L17" s="56">
        <v>28.74</v>
      </c>
      <c r="M17" s="56">
        <v>53.08</v>
      </c>
      <c r="N17" s="56">
        <v>294.5</v>
      </c>
      <c r="O17" s="56">
        <v>0</v>
      </c>
      <c r="P17" s="56">
        <v>0.76</v>
      </c>
      <c r="Q17" s="56">
        <v>4.76</v>
      </c>
    </row>
    <row r="18" spans="1:17" customFormat="1">
      <c r="A18" s="55">
        <v>45362.416666666664</v>
      </c>
      <c r="B18" s="56">
        <v>5.76</v>
      </c>
      <c r="C18" s="56">
        <v>31.05</v>
      </c>
      <c r="D18" s="56">
        <v>22.2</v>
      </c>
      <c r="E18" s="56">
        <v>9.25</v>
      </c>
      <c r="F18" s="56">
        <v>6.25</v>
      </c>
      <c r="G18" s="56">
        <v>106.69</v>
      </c>
      <c r="H18" s="56">
        <v>39.51</v>
      </c>
      <c r="I18" s="56">
        <v>8.0399999999999991</v>
      </c>
      <c r="J18" s="56">
        <v>0.43</v>
      </c>
      <c r="K18" s="56">
        <v>250.2</v>
      </c>
      <c r="L18" s="56">
        <v>31.46</v>
      </c>
      <c r="M18" s="56">
        <v>43.06</v>
      </c>
      <c r="N18" s="56">
        <v>365</v>
      </c>
      <c r="O18" s="56">
        <v>0</v>
      </c>
      <c r="P18" s="56">
        <v>0.79</v>
      </c>
      <c r="Q18" s="56">
        <v>4.71</v>
      </c>
    </row>
    <row r="19" spans="1:17" customFormat="1">
      <c r="A19" s="55">
        <v>45362.458333333336</v>
      </c>
      <c r="B19" s="56">
        <v>4.74</v>
      </c>
      <c r="C19" s="56">
        <v>25.62</v>
      </c>
      <c r="D19" s="56">
        <v>18.54</v>
      </c>
      <c r="E19" s="56">
        <v>10.84</v>
      </c>
      <c r="F19" s="56">
        <v>8.24</v>
      </c>
      <c r="G19" s="56">
        <v>62.9</v>
      </c>
      <c r="H19" s="56">
        <v>37.46</v>
      </c>
      <c r="I19" s="56">
        <v>7.7</v>
      </c>
      <c r="J19" s="56">
        <v>0.75</v>
      </c>
      <c r="K19" s="56">
        <v>285.29000000000002</v>
      </c>
      <c r="L19" s="56">
        <v>32.93</v>
      </c>
      <c r="M19" s="56">
        <v>37.76</v>
      </c>
      <c r="N19" s="56">
        <v>491.1</v>
      </c>
      <c r="O19" s="56">
        <v>0</v>
      </c>
      <c r="P19" s="56">
        <v>0.79</v>
      </c>
      <c r="Q19" s="56">
        <v>4.68</v>
      </c>
    </row>
    <row r="20" spans="1:17" customFormat="1">
      <c r="A20" s="55">
        <v>45362.5</v>
      </c>
      <c r="B20" s="56">
        <v>3.24</v>
      </c>
      <c r="C20" s="56">
        <v>26.07</v>
      </c>
      <c r="D20" s="56">
        <v>17.18</v>
      </c>
      <c r="E20" s="56">
        <v>15.62</v>
      </c>
      <c r="F20" s="56">
        <v>13.69</v>
      </c>
      <c r="G20" s="56">
        <v>70.42</v>
      </c>
      <c r="H20" s="56">
        <v>36.909999999999997</v>
      </c>
      <c r="I20" s="56">
        <v>7.53</v>
      </c>
      <c r="J20" s="56">
        <v>0.9</v>
      </c>
      <c r="K20" s="56">
        <v>316.91000000000003</v>
      </c>
      <c r="L20" s="56">
        <v>34.04</v>
      </c>
      <c r="M20" s="56">
        <v>37.270000000000003</v>
      </c>
      <c r="N20" s="56">
        <v>518.6</v>
      </c>
      <c r="O20" s="56">
        <v>0</v>
      </c>
      <c r="P20" s="56">
        <v>0.68</v>
      </c>
      <c r="Q20" s="56">
        <v>4.7300000000000004</v>
      </c>
    </row>
    <row r="21" spans="1:17" customFormat="1">
      <c r="A21" s="55">
        <v>45362.541666666664</v>
      </c>
      <c r="B21" s="56">
        <v>2.9</v>
      </c>
      <c r="C21" s="56">
        <v>26.33</v>
      </c>
      <c r="D21" s="56">
        <v>17.309999999999999</v>
      </c>
      <c r="E21" s="56">
        <v>17.93</v>
      </c>
      <c r="F21" s="56">
        <v>14.92</v>
      </c>
      <c r="G21" s="56">
        <v>92.14</v>
      </c>
      <c r="H21" s="56">
        <v>38.340000000000003</v>
      </c>
      <c r="I21" s="56">
        <v>8.18</v>
      </c>
      <c r="J21" s="56">
        <v>0.76</v>
      </c>
      <c r="K21" s="56">
        <v>299.39999999999998</v>
      </c>
      <c r="L21" s="56">
        <v>35.79</v>
      </c>
      <c r="M21" s="56">
        <v>36.43</v>
      </c>
      <c r="N21" s="56">
        <v>523.29999999999995</v>
      </c>
      <c r="O21" s="56">
        <v>0</v>
      </c>
      <c r="P21" s="56">
        <v>0.71</v>
      </c>
      <c r="Q21" s="56">
        <v>4.71</v>
      </c>
    </row>
    <row r="22" spans="1:17" customFormat="1">
      <c r="A22" s="55">
        <v>45362.583333333336</v>
      </c>
      <c r="B22" s="56">
        <v>2.96</v>
      </c>
      <c r="C22" s="56">
        <v>24.02</v>
      </c>
      <c r="D22" s="56">
        <v>16.190000000000001</v>
      </c>
      <c r="E22" s="56">
        <v>16.87</v>
      </c>
      <c r="F22" s="56">
        <v>15.21</v>
      </c>
      <c r="G22" s="56">
        <v>79.62</v>
      </c>
      <c r="H22" s="56">
        <v>35.96</v>
      </c>
      <c r="I22" s="56">
        <v>8.19</v>
      </c>
      <c r="J22" s="56">
        <v>0.81</v>
      </c>
      <c r="K22" s="56">
        <v>280.97000000000003</v>
      </c>
      <c r="L22" s="56">
        <v>36.75</v>
      </c>
      <c r="M22" s="56">
        <v>33.29</v>
      </c>
      <c r="N22" s="56">
        <v>483.8</v>
      </c>
      <c r="O22" s="56">
        <v>0</v>
      </c>
      <c r="P22" s="56">
        <v>0.68</v>
      </c>
      <c r="Q22" s="56">
        <v>4.66</v>
      </c>
    </row>
    <row r="23" spans="1:17" customFormat="1">
      <c r="A23" s="55">
        <v>45362.625</v>
      </c>
      <c r="B23" s="56">
        <v>3.22</v>
      </c>
      <c r="C23" s="56">
        <v>22.42</v>
      </c>
      <c r="D23" s="56">
        <v>15.48</v>
      </c>
      <c r="E23" s="56">
        <v>14.52</v>
      </c>
      <c r="F23" s="56">
        <v>14.02</v>
      </c>
      <c r="G23" s="56">
        <v>75.97</v>
      </c>
      <c r="H23" s="56">
        <v>32.229999999999997</v>
      </c>
      <c r="I23" s="56">
        <v>7.8</v>
      </c>
      <c r="J23" s="56">
        <v>1.06</v>
      </c>
      <c r="K23" s="56">
        <v>301.82</v>
      </c>
      <c r="L23" s="56">
        <v>36.03</v>
      </c>
      <c r="M23" s="56">
        <v>32.29</v>
      </c>
      <c r="N23" s="56">
        <v>354.4</v>
      </c>
      <c r="O23" s="56">
        <v>0</v>
      </c>
      <c r="P23" s="56">
        <v>0.74</v>
      </c>
      <c r="Q23" s="56">
        <v>4.67</v>
      </c>
    </row>
    <row r="24" spans="1:17" customFormat="1">
      <c r="A24" s="55">
        <v>45362.666666666664</v>
      </c>
      <c r="B24" s="56">
        <v>3.28</v>
      </c>
      <c r="C24" s="56">
        <v>21.95</v>
      </c>
      <c r="D24" s="56">
        <v>15.36</v>
      </c>
      <c r="E24" s="56">
        <v>16.100000000000001</v>
      </c>
      <c r="F24" s="56">
        <v>17.190000000000001</v>
      </c>
      <c r="G24" s="56">
        <v>59.81</v>
      </c>
      <c r="H24" s="56">
        <v>30.01</v>
      </c>
      <c r="I24" s="56">
        <v>6.9</v>
      </c>
      <c r="J24" s="56">
        <v>0.96</v>
      </c>
      <c r="K24" s="56">
        <v>292.23</v>
      </c>
      <c r="L24" s="56">
        <v>35.69</v>
      </c>
      <c r="M24" s="56">
        <v>32.08</v>
      </c>
      <c r="N24" s="56">
        <v>284.3</v>
      </c>
      <c r="O24" s="56">
        <v>0</v>
      </c>
      <c r="P24" s="56">
        <v>0.73</v>
      </c>
      <c r="Q24" s="56">
        <v>4.67</v>
      </c>
    </row>
    <row r="25" spans="1:17" customFormat="1">
      <c r="A25" s="55">
        <v>45362.708333333336</v>
      </c>
      <c r="B25" s="56">
        <v>3.48</v>
      </c>
      <c r="C25" s="56">
        <v>20.420000000000002</v>
      </c>
      <c r="D25" s="56">
        <v>14.78</v>
      </c>
      <c r="E25" s="56">
        <v>14.29</v>
      </c>
      <c r="F25" s="56">
        <v>15.61</v>
      </c>
      <c r="G25" s="56">
        <v>47.71</v>
      </c>
      <c r="H25" s="56">
        <v>28.27</v>
      </c>
      <c r="I25" s="56">
        <v>6.13</v>
      </c>
      <c r="J25" s="56">
        <v>0.75</v>
      </c>
      <c r="K25" s="56">
        <v>288.76</v>
      </c>
      <c r="L25" s="56">
        <v>34.869999999999997</v>
      </c>
      <c r="M25" s="56">
        <v>32.89</v>
      </c>
      <c r="N25" s="56">
        <v>190.3</v>
      </c>
      <c r="O25" s="56">
        <v>0</v>
      </c>
      <c r="P25" s="56">
        <v>0.76</v>
      </c>
      <c r="Q25" s="56">
        <v>4.63</v>
      </c>
    </row>
    <row r="26" spans="1:17" customFormat="1">
      <c r="A26" s="55">
        <v>45362.75</v>
      </c>
      <c r="B26" s="56">
        <v>3.56</v>
      </c>
      <c r="C26" s="56">
        <v>20.13</v>
      </c>
      <c r="D26" s="56">
        <v>14.56</v>
      </c>
      <c r="E26" s="56">
        <v>13.23</v>
      </c>
      <c r="F26" s="56">
        <v>12.42</v>
      </c>
      <c r="G26" s="56">
        <v>51.63</v>
      </c>
      <c r="H26" s="56">
        <v>26.36</v>
      </c>
      <c r="I26" s="56">
        <v>5.94</v>
      </c>
      <c r="J26" s="56">
        <v>0.3</v>
      </c>
      <c r="K26" s="56">
        <v>240.39</v>
      </c>
      <c r="L26" s="56">
        <v>34.24</v>
      </c>
      <c r="M26" s="56">
        <v>38.229999999999997</v>
      </c>
      <c r="N26" s="56">
        <v>41.9</v>
      </c>
      <c r="O26" s="56">
        <v>0</v>
      </c>
      <c r="P26" s="56">
        <v>0.76</v>
      </c>
      <c r="Q26" s="56">
        <v>4.66</v>
      </c>
    </row>
    <row r="27" spans="1:17" customFormat="1">
      <c r="A27" s="55">
        <v>45362.791666666664</v>
      </c>
      <c r="B27" s="56">
        <v>3.09</v>
      </c>
      <c r="C27" s="56">
        <v>21.62</v>
      </c>
      <c r="D27" s="56">
        <v>15.12</v>
      </c>
      <c r="E27" s="56">
        <v>10.24</v>
      </c>
      <c r="F27" s="56">
        <v>11.98</v>
      </c>
      <c r="G27" s="56">
        <v>53.63</v>
      </c>
      <c r="H27" s="56">
        <v>24.9</v>
      </c>
      <c r="I27" s="56">
        <v>5.65</v>
      </c>
      <c r="J27" s="56">
        <v>0.26</v>
      </c>
      <c r="K27" s="56">
        <v>193.05</v>
      </c>
      <c r="L27" s="56">
        <v>32.14</v>
      </c>
      <c r="M27" s="56">
        <v>47.95</v>
      </c>
      <c r="N27" s="56">
        <v>0</v>
      </c>
      <c r="O27" s="56">
        <v>0</v>
      </c>
      <c r="P27" s="56">
        <v>0.6</v>
      </c>
      <c r="Q27" s="56">
        <v>4.67</v>
      </c>
    </row>
    <row r="28" spans="1:17" customFormat="1">
      <c r="A28" s="55">
        <v>45362.833333333336</v>
      </c>
      <c r="B28" s="56">
        <v>3.96</v>
      </c>
      <c r="C28" s="56">
        <v>22.77</v>
      </c>
      <c r="D28" s="56">
        <v>16.420000000000002</v>
      </c>
      <c r="E28" s="56">
        <v>9.9700000000000006</v>
      </c>
      <c r="F28" s="56">
        <v>9.44</v>
      </c>
      <c r="G28" s="56">
        <v>57.1</v>
      </c>
      <c r="H28" s="56">
        <v>28.31</v>
      </c>
      <c r="I28" s="56">
        <v>5.75</v>
      </c>
      <c r="J28" s="56">
        <v>0.23</v>
      </c>
      <c r="K28" s="56">
        <v>179.19</v>
      </c>
      <c r="L28" s="56">
        <v>29.87</v>
      </c>
      <c r="M28" s="56">
        <v>56.09</v>
      </c>
      <c r="N28" s="56">
        <v>0</v>
      </c>
      <c r="O28" s="56">
        <v>0</v>
      </c>
      <c r="P28" s="56">
        <v>0.67</v>
      </c>
      <c r="Q28" s="56">
        <v>4.67</v>
      </c>
    </row>
    <row r="29" spans="1:17" customFormat="1">
      <c r="A29" s="55">
        <v>45362.875</v>
      </c>
      <c r="B29" s="56">
        <v>4.67</v>
      </c>
      <c r="C29" s="56">
        <v>25.03</v>
      </c>
      <c r="D29" s="56">
        <v>18.170000000000002</v>
      </c>
      <c r="E29" s="56">
        <v>10.25</v>
      </c>
      <c r="F29" s="56">
        <v>6.83</v>
      </c>
      <c r="G29" s="56">
        <v>64.849999999999994</v>
      </c>
      <c r="H29" s="56">
        <v>28.11</v>
      </c>
      <c r="I29" s="56">
        <v>6.03</v>
      </c>
      <c r="J29" s="56">
        <v>0.28000000000000003</v>
      </c>
      <c r="K29" s="56">
        <v>176.16</v>
      </c>
      <c r="L29" s="56">
        <v>28.84</v>
      </c>
      <c r="M29" s="56">
        <v>58.6</v>
      </c>
      <c r="N29" s="56">
        <v>0</v>
      </c>
      <c r="O29" s="56">
        <v>0</v>
      </c>
      <c r="P29" s="56">
        <v>0.75</v>
      </c>
      <c r="Q29" s="56">
        <v>4.68</v>
      </c>
    </row>
    <row r="30" spans="1:17" customFormat="1">
      <c r="A30" s="55">
        <v>45362.916666666664</v>
      </c>
      <c r="B30" s="56">
        <v>9.64</v>
      </c>
      <c r="C30" s="56">
        <v>30.41</v>
      </c>
      <c r="D30" s="56">
        <v>24.9</v>
      </c>
      <c r="E30" s="56">
        <v>10.24</v>
      </c>
      <c r="F30" s="56">
        <v>4.6900000000000004</v>
      </c>
      <c r="G30" s="56">
        <v>78.180000000000007</v>
      </c>
      <c r="H30" s="56">
        <v>30.69</v>
      </c>
      <c r="I30" s="56">
        <v>6.97</v>
      </c>
      <c r="J30" s="56">
        <v>0.28999999999999998</v>
      </c>
      <c r="K30" s="56">
        <v>221.94</v>
      </c>
      <c r="L30" s="56">
        <v>27.99</v>
      </c>
      <c r="M30" s="56">
        <v>63.1</v>
      </c>
      <c r="N30" s="56">
        <v>0</v>
      </c>
      <c r="O30" s="56">
        <v>0</v>
      </c>
      <c r="P30" s="56">
        <v>0.85</v>
      </c>
      <c r="Q30" s="56">
        <v>4.6900000000000004</v>
      </c>
    </row>
    <row r="31" spans="1:17" customFormat="1">
      <c r="A31" s="55">
        <v>45362.958333333336</v>
      </c>
      <c r="B31" s="56">
        <v>9.9499999999999993</v>
      </c>
      <c r="C31" s="56">
        <v>30.05</v>
      </c>
      <c r="D31" s="56">
        <v>24.58</v>
      </c>
      <c r="E31" s="56">
        <v>9.82</v>
      </c>
      <c r="F31" s="56">
        <v>5.12</v>
      </c>
      <c r="G31" s="56">
        <v>104.16</v>
      </c>
      <c r="H31" s="56">
        <v>31.18</v>
      </c>
      <c r="I31" s="56">
        <v>7.13</v>
      </c>
      <c r="J31" s="56">
        <v>0.25</v>
      </c>
      <c r="K31" s="56">
        <v>176.5</v>
      </c>
      <c r="L31" s="56">
        <v>26.86</v>
      </c>
      <c r="M31" s="56">
        <v>67.44</v>
      </c>
      <c r="N31" s="56">
        <v>0</v>
      </c>
      <c r="O31" s="56">
        <v>0</v>
      </c>
      <c r="P31" s="56">
        <v>0.93</v>
      </c>
      <c r="Q31" s="56">
        <v>4.71</v>
      </c>
    </row>
    <row r="32" spans="1:17" customFormat="1">
      <c r="A32" s="55">
        <v>45363</v>
      </c>
      <c r="B32" s="56">
        <v>12.19</v>
      </c>
      <c r="C32" s="56">
        <v>24.38</v>
      </c>
      <c r="D32" s="56">
        <v>23.25</v>
      </c>
      <c r="E32" s="56">
        <v>7.32</v>
      </c>
      <c r="F32" s="56">
        <v>5.19</v>
      </c>
      <c r="G32" s="56">
        <v>81.75</v>
      </c>
      <c r="H32" s="56">
        <v>32.729999999999997</v>
      </c>
      <c r="I32" s="56">
        <v>7.47</v>
      </c>
      <c r="J32" s="56">
        <v>0.28999999999999998</v>
      </c>
      <c r="K32" s="56">
        <v>192.71</v>
      </c>
      <c r="L32" s="56">
        <v>26.11</v>
      </c>
      <c r="M32" s="56">
        <v>69.83</v>
      </c>
      <c r="N32" s="56">
        <v>0</v>
      </c>
      <c r="O32" s="56">
        <v>0</v>
      </c>
      <c r="P32" s="56">
        <v>0.94</v>
      </c>
      <c r="Q32" s="56">
        <v>4.71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</v>
      </c>
      <c r="C34" s="41">
        <f t="shared" si="0"/>
        <v>18.89</v>
      </c>
      <c r="D34" s="41">
        <f t="shared" si="0"/>
        <v>14.56</v>
      </c>
      <c r="E34" s="41">
        <f t="shared" si="0"/>
        <v>6.54</v>
      </c>
      <c r="F34" s="41">
        <f t="shared" si="0"/>
        <v>4.63</v>
      </c>
      <c r="G34" s="41">
        <f t="shared" si="0"/>
        <v>47.71</v>
      </c>
      <c r="H34" s="41">
        <f t="shared" si="0"/>
        <v>24.04</v>
      </c>
      <c r="I34" s="41">
        <f t="shared" si="0"/>
        <v>4.96</v>
      </c>
      <c r="J34" s="41">
        <f t="shared" si="0"/>
        <v>0.17</v>
      </c>
      <c r="K34" s="41">
        <f t="shared" si="0"/>
        <v>42.65</v>
      </c>
      <c r="L34" s="41">
        <f t="shared" si="0"/>
        <v>22.3</v>
      </c>
      <c r="M34" s="41">
        <f t="shared" si="0"/>
        <v>32.08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12.19</v>
      </c>
      <c r="C35" s="33">
        <f t="shared" si="1"/>
        <v>32.11</v>
      </c>
      <c r="D35" s="33">
        <f t="shared" si="1"/>
        <v>26</v>
      </c>
      <c r="E35" s="33">
        <f t="shared" si="1"/>
        <v>17.93</v>
      </c>
      <c r="F35" s="33">
        <f t="shared" si="1"/>
        <v>17.190000000000001</v>
      </c>
      <c r="G35" s="33">
        <f t="shared" si="1"/>
        <v>171.29</v>
      </c>
      <c r="H35" s="33">
        <f t="shared" si="1"/>
        <v>50.73</v>
      </c>
      <c r="I35" s="33">
        <f t="shared" si="1"/>
        <v>8.35</v>
      </c>
      <c r="J35" s="33">
        <f t="shared" si="1"/>
        <v>1.1299999999999999</v>
      </c>
      <c r="K35" s="33">
        <f t="shared" si="1"/>
        <v>316.91000000000003</v>
      </c>
      <c r="L35" s="33">
        <f t="shared" si="1"/>
        <v>36.75</v>
      </c>
      <c r="M35" s="33">
        <f t="shared" si="1"/>
        <v>69.83</v>
      </c>
      <c r="N35" s="33">
        <f t="shared" si="1"/>
        <v>523.29999999999995</v>
      </c>
      <c r="O35" s="33">
        <f t="shared" si="1"/>
        <v>0</v>
      </c>
      <c r="P35" s="33">
        <f t="shared" si="1"/>
        <v>0.94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5.9775</v>
      </c>
      <c r="C36" s="41">
        <f t="shared" si="2"/>
        <v>24.962916666666661</v>
      </c>
      <c r="D36" s="41">
        <f t="shared" si="2"/>
        <v>19.031249999999996</v>
      </c>
      <c r="E36" s="41">
        <f t="shared" si="2"/>
        <v>11.225833333333334</v>
      </c>
      <c r="F36" s="41">
        <f t="shared" si="2"/>
        <v>8.8370833333333341</v>
      </c>
      <c r="G36" s="41">
        <f t="shared" si="2"/>
        <v>78.914166666666674</v>
      </c>
      <c r="H36" s="41">
        <f t="shared" si="2"/>
        <v>33.846666666666664</v>
      </c>
      <c r="I36" s="41">
        <f t="shared" si="2"/>
        <v>6.8308333333333335</v>
      </c>
      <c r="J36" s="41">
        <f t="shared" si="2"/>
        <v>0.58416666666666661</v>
      </c>
      <c r="K36" s="41">
        <f t="shared" si="2"/>
        <v>199.58875</v>
      </c>
      <c r="L36" s="41">
        <f t="shared" si="2"/>
        <v>29.315000000000001</v>
      </c>
      <c r="M36" s="41">
        <f t="shared" si="2"/>
        <v>51.707916666666655</v>
      </c>
      <c r="N36" s="41">
        <f t="shared" si="2"/>
        <v>153.45416666666668</v>
      </c>
      <c r="O36" s="41">
        <f t="shared" si="2"/>
        <v>0</v>
      </c>
      <c r="P36" s="41">
        <f t="shared" si="2"/>
        <v>0.71499999999999997</v>
      </c>
      <c r="Q36" s="41">
        <f t="shared" si="2"/>
        <v>4.6999999999999993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3.045977033228668</v>
      </c>
      <c r="C37" s="41">
        <f t="shared" ref="C37:Q37" si="3">STDEV(C9:C32)</f>
        <v>3.9719675106673762</v>
      </c>
      <c r="D37" s="41">
        <f t="shared" si="3"/>
        <v>4.0142564555972866</v>
      </c>
      <c r="E37" s="41">
        <f t="shared" si="3"/>
        <v>3.1658475294477024</v>
      </c>
      <c r="F37" s="41">
        <f t="shared" si="3"/>
        <v>4.2753677483998933</v>
      </c>
      <c r="G37" s="41">
        <f t="shared" si="3"/>
        <v>27.470094239667766</v>
      </c>
      <c r="H37" s="41">
        <f t="shared" si="3"/>
        <v>6.7280319925483214</v>
      </c>
      <c r="I37" s="41">
        <f t="shared" si="3"/>
        <v>1.1207253732823408</v>
      </c>
      <c r="J37" s="41">
        <f t="shared" si="3"/>
        <v>0.33047944968888243</v>
      </c>
      <c r="K37" s="41">
        <f t="shared" si="3"/>
        <v>89.590477333276567</v>
      </c>
      <c r="L37" s="41">
        <f t="shared" si="3"/>
        <v>4.8765561618830624</v>
      </c>
      <c r="M37" s="41">
        <f t="shared" si="3"/>
        <v>13.555526701927413</v>
      </c>
      <c r="N37" s="41">
        <f t="shared" si="3"/>
        <v>201.10838518216914</v>
      </c>
      <c r="O37" s="41">
        <f t="shared" si="3"/>
        <v>0</v>
      </c>
      <c r="P37" s="41">
        <f t="shared" si="3"/>
        <v>0.10902732007042618</v>
      </c>
      <c r="Q37" s="41">
        <f t="shared" si="3"/>
        <v>3.6355730365855411E-2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45363.041666666664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45363.041666666664</v>
      </c>
      <c r="B9" s="56">
        <v>19.190000000000001</v>
      </c>
      <c r="C9" s="56">
        <v>28.36</v>
      </c>
      <c r="D9" s="56">
        <v>31.56</v>
      </c>
      <c r="E9" s="56">
        <v>7.87</v>
      </c>
      <c r="F9" s="56">
        <v>4.8899999999999997</v>
      </c>
      <c r="G9" s="56">
        <v>82.26</v>
      </c>
      <c r="H9" s="56">
        <v>35.520000000000003</v>
      </c>
      <c r="I9" s="56">
        <v>7.86</v>
      </c>
      <c r="J9" s="56">
        <v>0.22</v>
      </c>
      <c r="K9" s="56">
        <v>286.45999999999998</v>
      </c>
      <c r="L9" s="56">
        <v>26.17</v>
      </c>
      <c r="M9" s="56">
        <v>65.239999999999995</v>
      </c>
      <c r="N9" s="56">
        <v>0</v>
      </c>
      <c r="O9" s="56">
        <v>0</v>
      </c>
      <c r="P9" s="56">
        <v>0.94</v>
      </c>
      <c r="Q9" s="56">
        <v>4.72</v>
      </c>
    </row>
    <row r="10" spans="1:21" customFormat="1">
      <c r="A10" s="55">
        <v>45363.083333333336</v>
      </c>
      <c r="B10" s="56">
        <v>20.25</v>
      </c>
      <c r="C10" s="56">
        <v>31.27</v>
      </c>
      <c r="D10" s="56">
        <v>33.340000000000003</v>
      </c>
      <c r="E10" s="56">
        <v>7.76</v>
      </c>
      <c r="F10" s="56">
        <v>4.3899999999999997</v>
      </c>
      <c r="G10" s="56">
        <v>97.24</v>
      </c>
      <c r="H10" s="56">
        <v>39.39</v>
      </c>
      <c r="I10" s="56">
        <v>8.75</v>
      </c>
      <c r="J10" s="56">
        <v>0.24</v>
      </c>
      <c r="K10" s="56">
        <v>191.25</v>
      </c>
      <c r="L10" s="56">
        <v>25.45</v>
      </c>
      <c r="M10" s="56">
        <v>70.2</v>
      </c>
      <c r="N10" s="56">
        <v>0</v>
      </c>
      <c r="O10" s="56">
        <v>0</v>
      </c>
      <c r="P10" s="56">
        <v>0.99</v>
      </c>
      <c r="Q10" s="56">
        <v>4.7699999999999996</v>
      </c>
    </row>
    <row r="11" spans="1:21" customFormat="1">
      <c r="A11" s="55">
        <v>45363.125</v>
      </c>
      <c r="B11" s="56">
        <v>21.9</v>
      </c>
      <c r="C11" s="56">
        <v>34.090000000000003</v>
      </c>
      <c r="D11" s="56">
        <v>36.72</v>
      </c>
      <c r="E11" s="56">
        <v>12.71</v>
      </c>
      <c r="F11" s="56">
        <v>4.42</v>
      </c>
      <c r="G11" s="56">
        <v>93.22</v>
      </c>
      <c r="H11" s="56">
        <v>39.51</v>
      </c>
      <c r="I11" s="56">
        <v>9.56</v>
      </c>
      <c r="J11" s="56">
        <v>0.2</v>
      </c>
      <c r="K11" s="56">
        <v>269.69</v>
      </c>
      <c r="L11" s="56">
        <v>25.42</v>
      </c>
      <c r="M11" s="56">
        <v>67.11</v>
      </c>
      <c r="N11" s="56">
        <v>0</v>
      </c>
      <c r="O11" s="56">
        <v>0</v>
      </c>
      <c r="P11" s="56">
        <v>1.01</v>
      </c>
      <c r="Q11" s="56">
        <v>4.78</v>
      </c>
    </row>
    <row r="12" spans="1:21" customFormat="1">
      <c r="A12" s="55">
        <v>45363.166666666664</v>
      </c>
      <c r="B12" s="56">
        <v>22.16</v>
      </c>
      <c r="C12" s="56">
        <v>34.33</v>
      </c>
      <c r="D12" s="56">
        <v>37.020000000000003</v>
      </c>
      <c r="E12" s="56">
        <v>12.74</v>
      </c>
      <c r="F12" s="56">
        <v>4.33</v>
      </c>
      <c r="G12" s="56">
        <v>99.91</v>
      </c>
      <c r="H12" s="56">
        <v>41.6</v>
      </c>
      <c r="I12" s="56">
        <v>9.82</v>
      </c>
      <c r="J12" s="56">
        <v>0.24</v>
      </c>
      <c r="K12" s="56">
        <v>194.69</v>
      </c>
      <c r="L12" s="56">
        <v>24.94</v>
      </c>
      <c r="M12" s="56">
        <v>71.209999999999994</v>
      </c>
      <c r="N12" s="56">
        <v>0</v>
      </c>
      <c r="O12" s="56">
        <v>0</v>
      </c>
      <c r="P12" s="56">
        <v>1</v>
      </c>
      <c r="Q12" s="56">
        <v>4.78</v>
      </c>
    </row>
    <row r="13" spans="1:21" customFormat="1">
      <c r="A13" s="55">
        <v>45363.208333333336</v>
      </c>
      <c r="B13" s="56">
        <v>21.82</v>
      </c>
      <c r="C13" s="56">
        <v>34.39</v>
      </c>
      <c r="D13" s="56">
        <v>36.82</v>
      </c>
      <c r="E13" s="56">
        <v>12.69</v>
      </c>
      <c r="F13" s="56">
        <v>4.4400000000000004</v>
      </c>
      <c r="G13" s="56">
        <v>97.74</v>
      </c>
      <c r="H13" s="56">
        <v>40.93</v>
      </c>
      <c r="I13" s="56">
        <v>9.8800000000000008</v>
      </c>
      <c r="J13" s="56">
        <v>0.24</v>
      </c>
      <c r="K13" s="56">
        <v>207.84</v>
      </c>
      <c r="L13" s="56">
        <v>24.8</v>
      </c>
      <c r="M13" s="56">
        <v>67.5</v>
      </c>
      <c r="N13" s="56">
        <v>0</v>
      </c>
      <c r="O13" s="56">
        <v>0</v>
      </c>
      <c r="P13" s="56">
        <v>0.98</v>
      </c>
      <c r="Q13" s="56">
        <v>4.78</v>
      </c>
    </row>
    <row r="14" spans="1:21" customFormat="1">
      <c r="A14" s="55">
        <v>45363.25</v>
      </c>
      <c r="B14" s="56">
        <v>20.71</v>
      </c>
      <c r="C14" s="56">
        <v>32.909999999999997</v>
      </c>
      <c r="D14" s="56">
        <v>34.979999999999997</v>
      </c>
      <c r="E14" s="56">
        <v>11.68</v>
      </c>
      <c r="F14" s="56">
        <v>5.17</v>
      </c>
      <c r="G14" s="56">
        <v>91.75</v>
      </c>
      <c r="H14" s="56">
        <v>43.04</v>
      </c>
      <c r="I14" s="56">
        <v>9.68</v>
      </c>
      <c r="J14" s="56">
        <v>0.2</v>
      </c>
      <c r="K14" s="56">
        <v>194.09</v>
      </c>
      <c r="L14" s="56">
        <v>23.35</v>
      </c>
      <c r="M14" s="56">
        <v>71.739999999999995</v>
      </c>
      <c r="N14" s="56">
        <v>0</v>
      </c>
      <c r="O14" s="56">
        <v>0</v>
      </c>
      <c r="P14" s="56">
        <v>1</v>
      </c>
      <c r="Q14" s="56">
        <v>4.7699999999999996</v>
      </c>
    </row>
    <row r="15" spans="1:21" customFormat="1">
      <c r="A15" s="55">
        <v>45363.291666666664</v>
      </c>
      <c r="B15" s="56">
        <v>20.329999999999998</v>
      </c>
      <c r="C15" s="56">
        <v>23.87</v>
      </c>
      <c r="D15" s="56">
        <v>30.13</v>
      </c>
      <c r="E15" s="56">
        <v>9.51</v>
      </c>
      <c r="F15" s="56">
        <v>4.93</v>
      </c>
      <c r="G15" s="56">
        <v>79.83</v>
      </c>
      <c r="H15" s="56">
        <v>40.43</v>
      </c>
      <c r="I15" s="56">
        <v>9.7100000000000009</v>
      </c>
      <c r="J15" s="56">
        <v>0.22</v>
      </c>
      <c r="K15" s="56">
        <v>186.13</v>
      </c>
      <c r="L15" s="56">
        <v>23.42</v>
      </c>
      <c r="M15" s="56">
        <v>73.849999999999994</v>
      </c>
      <c r="N15" s="56">
        <v>23.4</v>
      </c>
      <c r="O15" s="56">
        <v>0</v>
      </c>
      <c r="P15" s="56">
        <v>0.97</v>
      </c>
      <c r="Q15" s="56">
        <v>4.76</v>
      </c>
    </row>
    <row r="16" spans="1:21" customFormat="1">
      <c r="A16" s="55">
        <v>45363.333333333336</v>
      </c>
      <c r="B16" s="56">
        <v>17.5</v>
      </c>
      <c r="C16" s="56">
        <v>26.74</v>
      </c>
      <c r="D16" s="56">
        <v>27.12</v>
      </c>
      <c r="E16" s="56">
        <v>10.050000000000001</v>
      </c>
      <c r="F16" s="56">
        <v>4.74</v>
      </c>
      <c r="G16" s="56">
        <v>88.69</v>
      </c>
      <c r="H16" s="56">
        <v>44.58</v>
      </c>
      <c r="I16" s="56">
        <v>10.32</v>
      </c>
      <c r="J16" s="56">
        <v>0.68</v>
      </c>
      <c r="K16" s="56">
        <v>173.73</v>
      </c>
      <c r="L16" s="56">
        <v>28.09</v>
      </c>
      <c r="M16" s="56">
        <v>69.8</v>
      </c>
      <c r="N16" s="56">
        <v>119.5</v>
      </c>
      <c r="O16" s="56">
        <v>0</v>
      </c>
      <c r="P16" s="56">
        <v>0.94</v>
      </c>
      <c r="Q16" s="56">
        <v>4.82</v>
      </c>
    </row>
    <row r="17" spans="1:17" customFormat="1">
      <c r="A17" s="55">
        <v>45363.375</v>
      </c>
      <c r="B17" s="56">
        <v>13.43</v>
      </c>
      <c r="C17" s="56">
        <v>32.28</v>
      </c>
      <c r="D17" s="56">
        <v>27.18</v>
      </c>
      <c r="E17" s="56">
        <v>13.43</v>
      </c>
      <c r="F17" s="56">
        <v>5.51</v>
      </c>
      <c r="G17" s="56">
        <v>76.290000000000006</v>
      </c>
      <c r="H17" s="56">
        <v>42.68</v>
      </c>
      <c r="I17" s="56">
        <v>10.88</v>
      </c>
      <c r="J17" s="56">
        <v>1.32</v>
      </c>
      <c r="K17" s="56">
        <v>70.38</v>
      </c>
      <c r="L17" s="56">
        <v>30.23</v>
      </c>
      <c r="M17" s="56">
        <v>48.27</v>
      </c>
      <c r="N17" s="56">
        <v>304.89999999999998</v>
      </c>
      <c r="O17" s="56">
        <v>0</v>
      </c>
      <c r="P17" s="56">
        <v>1</v>
      </c>
      <c r="Q17" s="56">
        <v>4.83</v>
      </c>
    </row>
    <row r="18" spans="1:17" customFormat="1">
      <c r="A18" s="55">
        <v>45363.416666666664</v>
      </c>
      <c r="B18" s="56">
        <v>9.94</v>
      </c>
      <c r="C18" s="56">
        <v>32.74</v>
      </c>
      <c r="D18" s="56">
        <v>26.33</v>
      </c>
      <c r="E18" s="56">
        <v>13.41</v>
      </c>
      <c r="F18" s="56">
        <v>6.8</v>
      </c>
      <c r="G18" s="56">
        <v>108.12</v>
      </c>
      <c r="H18" s="56">
        <v>43.97</v>
      </c>
      <c r="I18" s="56">
        <v>10.86</v>
      </c>
      <c r="J18" s="56">
        <v>0.79</v>
      </c>
      <c r="K18" s="56">
        <v>315.49</v>
      </c>
      <c r="L18" s="56">
        <v>32.11</v>
      </c>
      <c r="M18" s="56">
        <v>44.15</v>
      </c>
      <c r="N18" s="56">
        <v>388.8</v>
      </c>
      <c r="O18" s="56">
        <v>0</v>
      </c>
      <c r="P18" s="56">
        <v>0.99</v>
      </c>
      <c r="Q18" s="56">
        <v>4.84</v>
      </c>
    </row>
    <row r="19" spans="1:17" customFormat="1">
      <c r="A19" s="55">
        <v>45363.458333333336</v>
      </c>
      <c r="B19" s="56">
        <v>4.38</v>
      </c>
      <c r="C19" s="56">
        <v>30.08</v>
      </c>
      <c r="D19" s="56">
        <v>20.58</v>
      </c>
      <c r="E19" s="56">
        <v>12.28</v>
      </c>
      <c r="F19" s="56">
        <v>10.86</v>
      </c>
      <c r="G19" s="56">
        <v>95.75</v>
      </c>
      <c r="H19" s="56">
        <v>42.99</v>
      </c>
      <c r="I19" s="56">
        <v>9.93</v>
      </c>
      <c r="J19" s="56">
        <v>0.78</v>
      </c>
      <c r="K19" s="56">
        <v>286.64999999999998</v>
      </c>
      <c r="L19" s="56">
        <v>33.53</v>
      </c>
      <c r="M19" s="56">
        <v>41.75</v>
      </c>
      <c r="N19" s="56">
        <v>512.79999999999995</v>
      </c>
      <c r="O19" s="56">
        <v>0</v>
      </c>
      <c r="P19" s="56">
        <v>0.9</v>
      </c>
      <c r="Q19" s="56">
        <v>4.76</v>
      </c>
    </row>
    <row r="20" spans="1:17" customFormat="1">
      <c r="A20" s="55">
        <v>45363.5</v>
      </c>
      <c r="B20" s="56">
        <v>2.89</v>
      </c>
      <c r="C20" s="56">
        <v>26.96</v>
      </c>
      <c r="D20" s="56">
        <v>17.600000000000001</v>
      </c>
      <c r="E20" s="56">
        <v>14.37</v>
      </c>
      <c r="F20" s="56">
        <v>13.49</v>
      </c>
      <c r="G20" s="56">
        <v>79.56</v>
      </c>
      <c r="H20" s="56">
        <v>37.69</v>
      </c>
      <c r="I20" s="56">
        <v>9.6199999999999992</v>
      </c>
      <c r="J20" s="56">
        <v>0.99</v>
      </c>
      <c r="K20" s="56">
        <v>335.45</v>
      </c>
      <c r="L20" s="56">
        <v>34.46</v>
      </c>
      <c r="M20" s="56">
        <v>37.44</v>
      </c>
      <c r="N20" s="56">
        <v>561.6</v>
      </c>
      <c r="O20" s="56">
        <v>0</v>
      </c>
      <c r="P20" s="56">
        <v>1</v>
      </c>
      <c r="Q20" s="56">
        <v>4.72</v>
      </c>
    </row>
    <row r="21" spans="1:17" customFormat="1">
      <c r="A21" s="55">
        <v>45363.541666666664</v>
      </c>
      <c r="B21" s="56">
        <v>2.88</v>
      </c>
      <c r="C21" s="56">
        <v>26.77</v>
      </c>
      <c r="D21" s="56">
        <v>17.39</v>
      </c>
      <c r="E21" s="56">
        <v>12.32</v>
      </c>
      <c r="F21" s="56">
        <v>10.95</v>
      </c>
      <c r="G21" s="56">
        <v>70.2</v>
      </c>
      <c r="H21" s="56">
        <v>37.08</v>
      </c>
      <c r="I21" s="56">
        <v>9.66</v>
      </c>
      <c r="J21" s="56">
        <v>1</v>
      </c>
      <c r="K21" s="56">
        <v>340.68</v>
      </c>
      <c r="L21" s="56">
        <v>35.33</v>
      </c>
      <c r="M21" s="56">
        <v>32.28</v>
      </c>
      <c r="N21" s="56">
        <v>556.70000000000005</v>
      </c>
      <c r="O21" s="56">
        <v>0</v>
      </c>
      <c r="P21" s="56">
        <v>1.03</v>
      </c>
      <c r="Q21" s="56">
        <v>4.67</v>
      </c>
    </row>
    <row r="22" spans="1:17" customFormat="1">
      <c r="A22" s="55">
        <v>45363.583333333336</v>
      </c>
      <c r="B22" s="56">
        <v>2.75</v>
      </c>
      <c r="C22" s="56">
        <v>29.27</v>
      </c>
      <c r="D22" s="56">
        <v>18.75</v>
      </c>
      <c r="E22" s="56">
        <v>11.29</v>
      </c>
      <c r="F22" s="56">
        <v>10.79</v>
      </c>
      <c r="G22" s="56">
        <v>75.73</v>
      </c>
      <c r="H22" s="56">
        <v>34.409999999999997</v>
      </c>
      <c r="I22" s="56">
        <v>9.52</v>
      </c>
      <c r="J22" s="56">
        <v>1.01</v>
      </c>
      <c r="K22" s="56">
        <v>343.86</v>
      </c>
      <c r="L22" s="56">
        <v>36.229999999999997</v>
      </c>
      <c r="M22" s="56">
        <v>28.09</v>
      </c>
      <c r="N22" s="56">
        <v>496.3</v>
      </c>
      <c r="O22" s="56">
        <v>0</v>
      </c>
      <c r="P22" s="56">
        <v>1.04</v>
      </c>
      <c r="Q22" s="56">
        <v>4.66</v>
      </c>
    </row>
    <row r="23" spans="1:17" customFormat="1">
      <c r="A23" s="55">
        <v>45363.625</v>
      </c>
      <c r="B23" s="56">
        <v>2.63</v>
      </c>
      <c r="C23" s="56">
        <v>28.74</v>
      </c>
      <c r="D23" s="56">
        <v>18.239999999999998</v>
      </c>
      <c r="E23" s="56">
        <v>12.73</v>
      </c>
      <c r="F23" s="56">
        <v>13.2</v>
      </c>
      <c r="G23" s="56">
        <v>78.09</v>
      </c>
      <c r="H23" s="56">
        <v>32.450000000000003</v>
      </c>
      <c r="I23" s="56">
        <v>8.7200000000000006</v>
      </c>
      <c r="J23" s="56">
        <v>1.2</v>
      </c>
      <c r="K23" s="56">
        <v>344.17</v>
      </c>
      <c r="L23" s="56">
        <v>36.81</v>
      </c>
      <c r="M23" s="56">
        <v>25.15</v>
      </c>
      <c r="N23" s="56">
        <v>468</v>
      </c>
      <c r="O23" s="56">
        <v>0</v>
      </c>
      <c r="P23" s="56">
        <v>0.64</v>
      </c>
      <c r="Q23" s="56">
        <v>4.71</v>
      </c>
    </row>
    <row r="24" spans="1:17" customFormat="1">
      <c r="A24" s="55">
        <v>45363.666666666664</v>
      </c>
      <c r="B24" s="56">
        <v>2.7</v>
      </c>
      <c r="C24" s="56">
        <v>25.72</v>
      </c>
      <c r="D24" s="56">
        <v>16.79</v>
      </c>
      <c r="E24" s="56">
        <v>13.12</v>
      </c>
      <c r="F24" s="56">
        <v>16.25</v>
      </c>
      <c r="G24" s="56">
        <v>66.23</v>
      </c>
      <c r="H24" s="56">
        <v>27.88</v>
      </c>
      <c r="I24" s="56">
        <v>6.99</v>
      </c>
      <c r="J24" s="56">
        <v>0.5</v>
      </c>
      <c r="K24" s="56">
        <v>314.75</v>
      </c>
      <c r="L24" s="56">
        <v>36.89</v>
      </c>
      <c r="M24" s="56">
        <v>23.27</v>
      </c>
      <c r="N24" s="56">
        <v>332</v>
      </c>
      <c r="O24" s="56">
        <v>0</v>
      </c>
      <c r="P24" s="56">
        <v>0.57999999999999996</v>
      </c>
      <c r="Q24" s="56">
        <v>4.71</v>
      </c>
    </row>
    <row r="25" spans="1:17" customFormat="1">
      <c r="A25" s="55">
        <v>45363.708333333336</v>
      </c>
      <c r="B25" s="56">
        <v>2.99</v>
      </c>
      <c r="C25" s="56">
        <v>22.21</v>
      </c>
      <c r="D25" s="56">
        <v>15.27</v>
      </c>
      <c r="E25" s="56">
        <v>14.69</v>
      </c>
      <c r="F25" s="56">
        <v>17.18</v>
      </c>
      <c r="G25" s="56">
        <v>56.32</v>
      </c>
      <c r="H25" s="56">
        <v>21.09</v>
      </c>
      <c r="I25" s="56">
        <v>5.74</v>
      </c>
      <c r="J25" s="56">
        <v>0.69</v>
      </c>
      <c r="K25" s="56">
        <v>304.51</v>
      </c>
      <c r="L25" s="56">
        <v>36.979999999999997</v>
      </c>
      <c r="M25" s="56">
        <v>24.45</v>
      </c>
      <c r="N25" s="56">
        <v>249.2</v>
      </c>
      <c r="O25" s="56">
        <v>0</v>
      </c>
      <c r="P25" s="56">
        <v>0.49</v>
      </c>
      <c r="Q25" s="56">
        <v>4.7</v>
      </c>
    </row>
    <row r="26" spans="1:17" customFormat="1">
      <c r="A26" s="55">
        <v>45363.75</v>
      </c>
      <c r="B26" s="56">
        <v>2.96</v>
      </c>
      <c r="C26" s="56">
        <v>19.86</v>
      </c>
      <c r="D26" s="56">
        <v>14.1</v>
      </c>
      <c r="E26" s="56">
        <v>15.46</v>
      </c>
      <c r="F26" s="56">
        <v>20.65</v>
      </c>
      <c r="G26" s="56">
        <v>44.91</v>
      </c>
      <c r="H26" s="56">
        <v>23.31</v>
      </c>
      <c r="I26" s="56">
        <v>5.16</v>
      </c>
      <c r="J26" s="56">
        <v>0.31</v>
      </c>
      <c r="K26" s="56">
        <v>222.92</v>
      </c>
      <c r="L26" s="56">
        <v>35.880000000000003</v>
      </c>
      <c r="M26" s="56">
        <v>31.51</v>
      </c>
      <c r="N26" s="56">
        <v>54.8</v>
      </c>
      <c r="O26" s="56">
        <v>0</v>
      </c>
      <c r="P26" s="56">
        <v>0.48</v>
      </c>
      <c r="Q26" s="56">
        <v>4.67</v>
      </c>
    </row>
    <row r="27" spans="1:17" customFormat="1">
      <c r="A27" s="55">
        <v>45363.791666666664</v>
      </c>
      <c r="B27" s="56">
        <v>11.05</v>
      </c>
      <c r="C27" s="56">
        <v>27.69</v>
      </c>
      <c r="D27" s="56">
        <v>24.68</v>
      </c>
      <c r="E27" s="56">
        <v>17.82</v>
      </c>
      <c r="F27" s="56">
        <v>20.91</v>
      </c>
      <c r="G27" s="56">
        <v>51.7</v>
      </c>
      <c r="H27" s="56">
        <v>22.44</v>
      </c>
      <c r="I27" s="56">
        <v>5.89</v>
      </c>
      <c r="J27" s="56">
        <v>0.24</v>
      </c>
      <c r="K27" s="56">
        <v>306.73</v>
      </c>
      <c r="L27" s="56">
        <v>32.39</v>
      </c>
      <c r="M27" s="56">
        <v>40.49</v>
      </c>
      <c r="N27" s="56">
        <v>0</v>
      </c>
      <c r="O27" s="56">
        <v>0</v>
      </c>
      <c r="P27" s="56">
        <v>0.71</v>
      </c>
      <c r="Q27" s="56">
        <v>4.67</v>
      </c>
    </row>
    <row r="28" spans="1:17" customFormat="1">
      <c r="A28" s="55">
        <v>45363.833333333336</v>
      </c>
      <c r="B28" s="56">
        <v>7.61</v>
      </c>
      <c r="C28" s="56">
        <v>24.3</v>
      </c>
      <c r="D28" s="56">
        <v>19.32</v>
      </c>
      <c r="E28" s="56">
        <v>8.74</v>
      </c>
      <c r="F28" s="56">
        <v>6</v>
      </c>
      <c r="G28" s="56">
        <v>72.5</v>
      </c>
      <c r="H28" s="56">
        <v>29.46</v>
      </c>
      <c r="I28" s="56">
        <v>6.32</v>
      </c>
      <c r="J28" s="56">
        <v>0.31</v>
      </c>
      <c r="K28" s="56">
        <v>183.31</v>
      </c>
      <c r="L28" s="56">
        <v>29.75</v>
      </c>
      <c r="M28" s="56">
        <v>45.95</v>
      </c>
      <c r="N28" s="56">
        <v>0</v>
      </c>
      <c r="O28" s="56">
        <v>0</v>
      </c>
      <c r="P28" s="56">
        <v>0.73</v>
      </c>
      <c r="Q28" s="56">
        <v>4.67</v>
      </c>
    </row>
    <row r="29" spans="1:17" customFormat="1">
      <c r="A29" s="55">
        <v>45363.875</v>
      </c>
      <c r="B29" s="56">
        <v>9.76</v>
      </c>
      <c r="C29" s="56">
        <v>27.04</v>
      </c>
      <c r="D29" s="56">
        <v>23.3</v>
      </c>
      <c r="E29" s="56">
        <v>6.9</v>
      </c>
      <c r="F29" s="56">
        <v>5.09</v>
      </c>
      <c r="G29" s="56">
        <v>80.400000000000006</v>
      </c>
      <c r="H29" s="56">
        <v>29.68</v>
      </c>
      <c r="I29" s="56">
        <v>7.21</v>
      </c>
      <c r="J29" s="56">
        <v>0.27</v>
      </c>
      <c r="K29" s="56">
        <v>208.26</v>
      </c>
      <c r="L29" s="56">
        <v>28.63</v>
      </c>
      <c r="M29" s="56">
        <v>50.21</v>
      </c>
      <c r="N29" s="56">
        <v>0</v>
      </c>
      <c r="O29" s="56">
        <v>0</v>
      </c>
      <c r="P29" s="56">
        <v>0.76</v>
      </c>
      <c r="Q29" s="56">
        <v>4.75</v>
      </c>
    </row>
    <row r="30" spans="1:17" customFormat="1">
      <c r="A30" s="55">
        <v>45363.916666666664</v>
      </c>
      <c r="B30" s="56">
        <v>9.73</v>
      </c>
      <c r="C30" s="56">
        <v>28.99</v>
      </c>
      <c r="D30" s="56">
        <v>24.12</v>
      </c>
      <c r="E30" s="56">
        <v>6.98</v>
      </c>
      <c r="F30" s="56">
        <v>4.5599999999999996</v>
      </c>
      <c r="G30" s="56">
        <v>94.55</v>
      </c>
      <c r="H30" s="56">
        <v>35.869999999999997</v>
      </c>
      <c r="I30" s="56">
        <v>8.34</v>
      </c>
      <c r="J30" s="56">
        <v>0.22</v>
      </c>
      <c r="K30" s="56">
        <v>219.94</v>
      </c>
      <c r="L30" s="56">
        <v>26.7</v>
      </c>
      <c r="M30" s="56">
        <v>57.58</v>
      </c>
      <c r="N30" s="56">
        <v>0</v>
      </c>
      <c r="O30" s="56">
        <v>0</v>
      </c>
      <c r="P30" s="56">
        <v>0.85</v>
      </c>
      <c r="Q30" s="56">
        <v>4.78</v>
      </c>
    </row>
    <row r="31" spans="1:17" customFormat="1">
      <c r="A31" s="55">
        <v>45363.958333333336</v>
      </c>
      <c r="B31" s="56">
        <v>11.04</v>
      </c>
      <c r="C31" s="56">
        <v>30.14</v>
      </c>
      <c r="D31" s="56">
        <v>25.95</v>
      </c>
      <c r="E31" s="56">
        <v>7.2</v>
      </c>
      <c r="F31" s="56">
        <v>4.3600000000000003</v>
      </c>
      <c r="G31" s="56">
        <v>90.78</v>
      </c>
      <c r="H31" s="56">
        <v>34.049999999999997</v>
      </c>
      <c r="I31" s="56">
        <v>9.25</v>
      </c>
      <c r="J31" s="56">
        <v>0.26</v>
      </c>
      <c r="K31" s="56">
        <v>197.57</v>
      </c>
      <c r="L31" s="56">
        <v>26.14</v>
      </c>
      <c r="M31" s="56">
        <v>59.56</v>
      </c>
      <c r="N31" s="56">
        <v>0</v>
      </c>
      <c r="O31" s="56">
        <v>0</v>
      </c>
      <c r="P31" s="56">
        <v>0.9</v>
      </c>
      <c r="Q31" s="56">
        <v>4.8099999999999996</v>
      </c>
    </row>
    <row r="32" spans="1:17" customFormat="1">
      <c r="A32" s="55">
        <v>45364</v>
      </c>
      <c r="B32" s="56">
        <v>10.78</v>
      </c>
      <c r="C32" s="56">
        <v>29.52</v>
      </c>
      <c r="D32" s="56">
        <v>25.42</v>
      </c>
      <c r="E32" s="56">
        <v>7.19</v>
      </c>
      <c r="F32" s="56">
        <v>4.49</v>
      </c>
      <c r="G32" s="56">
        <v>91.25</v>
      </c>
      <c r="H32" s="56">
        <v>33.549999999999997</v>
      </c>
      <c r="I32" s="56">
        <v>9.81</v>
      </c>
      <c r="J32" s="56">
        <v>0.25</v>
      </c>
      <c r="K32" s="56">
        <v>197.24</v>
      </c>
      <c r="L32" s="56">
        <v>24.96</v>
      </c>
      <c r="M32" s="56">
        <v>60.05</v>
      </c>
      <c r="N32" s="56">
        <v>0</v>
      </c>
      <c r="O32" s="56">
        <v>0</v>
      </c>
      <c r="P32" s="56">
        <v>0.93</v>
      </c>
      <c r="Q32" s="56">
        <v>4.79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2.63</v>
      </c>
      <c r="C34" s="41">
        <f t="shared" si="0"/>
        <v>19.86</v>
      </c>
      <c r="D34" s="41">
        <f t="shared" si="0"/>
        <v>14.1</v>
      </c>
      <c r="E34" s="41">
        <f t="shared" si="0"/>
        <v>6.9</v>
      </c>
      <c r="F34" s="41">
        <f t="shared" si="0"/>
        <v>4.33</v>
      </c>
      <c r="G34" s="41">
        <f t="shared" si="0"/>
        <v>44.91</v>
      </c>
      <c r="H34" s="41">
        <f t="shared" si="0"/>
        <v>21.09</v>
      </c>
      <c r="I34" s="41">
        <f t="shared" si="0"/>
        <v>5.16</v>
      </c>
      <c r="J34" s="41">
        <f t="shared" si="0"/>
        <v>0.2</v>
      </c>
      <c r="K34" s="41">
        <f t="shared" si="0"/>
        <v>70.38</v>
      </c>
      <c r="L34" s="41">
        <f t="shared" si="0"/>
        <v>23.35</v>
      </c>
      <c r="M34" s="41">
        <f t="shared" si="0"/>
        <v>23.27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22.16</v>
      </c>
      <c r="C35" s="33">
        <f t="shared" si="1"/>
        <v>34.39</v>
      </c>
      <c r="D35" s="33">
        <f t="shared" si="1"/>
        <v>37.020000000000003</v>
      </c>
      <c r="E35" s="33">
        <f t="shared" si="1"/>
        <v>17.82</v>
      </c>
      <c r="F35" s="33">
        <f t="shared" si="1"/>
        <v>20.91</v>
      </c>
      <c r="G35" s="33">
        <f t="shared" si="1"/>
        <v>108.12</v>
      </c>
      <c r="H35" s="33">
        <f t="shared" si="1"/>
        <v>44.58</v>
      </c>
      <c r="I35" s="33">
        <f t="shared" si="1"/>
        <v>10.88</v>
      </c>
      <c r="J35" s="33">
        <f t="shared" si="1"/>
        <v>1.32</v>
      </c>
      <c r="K35" s="33">
        <f t="shared" si="1"/>
        <v>344.17</v>
      </c>
      <c r="L35" s="33">
        <f t="shared" si="1"/>
        <v>36.979999999999997</v>
      </c>
      <c r="M35" s="33">
        <f t="shared" si="1"/>
        <v>73.849999999999994</v>
      </c>
      <c r="N35" s="33">
        <f t="shared" si="1"/>
        <v>561.6</v>
      </c>
      <c r="O35" s="33">
        <f t="shared" si="1"/>
        <v>0</v>
      </c>
      <c r="P35" s="33">
        <f t="shared" si="1"/>
        <v>1.04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11.307499999999999</v>
      </c>
      <c r="C36" s="41">
        <f t="shared" si="2"/>
        <v>28.677916666666661</v>
      </c>
      <c r="D36" s="41">
        <f t="shared" si="2"/>
        <v>25.112916666666667</v>
      </c>
      <c r="E36" s="41">
        <f t="shared" si="2"/>
        <v>11.3725</v>
      </c>
      <c r="F36" s="41">
        <f t="shared" si="2"/>
        <v>8.6833333333333353</v>
      </c>
      <c r="G36" s="41">
        <f t="shared" si="2"/>
        <v>81.792500000000004</v>
      </c>
      <c r="H36" s="41">
        <f t="shared" si="2"/>
        <v>35.566666666666663</v>
      </c>
      <c r="I36" s="41">
        <f t="shared" si="2"/>
        <v>8.7283333333333335</v>
      </c>
      <c r="J36" s="41">
        <f t="shared" si="2"/>
        <v>0.51583333333333337</v>
      </c>
      <c r="K36" s="41">
        <f t="shared" si="2"/>
        <v>245.65791666666664</v>
      </c>
      <c r="L36" s="41">
        <f t="shared" si="2"/>
        <v>29.944166666666664</v>
      </c>
      <c r="M36" s="41">
        <f t="shared" si="2"/>
        <v>50.285416666666663</v>
      </c>
      <c r="N36" s="41">
        <f t="shared" si="2"/>
        <v>169.5</v>
      </c>
      <c r="O36" s="41">
        <f t="shared" si="2"/>
        <v>0</v>
      </c>
      <c r="P36" s="41">
        <f t="shared" si="2"/>
        <v>0.86916666666666675</v>
      </c>
      <c r="Q36" s="41">
        <f t="shared" si="2"/>
        <v>4.746666666666667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7.4233645541861817</v>
      </c>
      <c r="C37" s="41">
        <f t="shared" ref="C37:Q37" si="3">STDEV(C9:C32)</f>
        <v>3.8332742040178736</v>
      </c>
      <c r="D37" s="41">
        <f t="shared" si="3"/>
        <v>7.2403792112836287</v>
      </c>
      <c r="E37" s="41">
        <f t="shared" si="3"/>
        <v>3.0247777496508084</v>
      </c>
      <c r="F37" s="41">
        <f t="shared" si="3"/>
        <v>5.5045480536881763</v>
      </c>
      <c r="G37" s="41">
        <f t="shared" si="3"/>
        <v>15.864666578663755</v>
      </c>
      <c r="H37" s="41">
        <f t="shared" si="3"/>
        <v>6.9777545077922145</v>
      </c>
      <c r="I37" s="41">
        <f t="shared" si="3"/>
        <v>1.6643830732414724</v>
      </c>
      <c r="J37" s="41">
        <f t="shared" si="3"/>
        <v>0.3652505592254347</v>
      </c>
      <c r="K37" s="41">
        <f t="shared" si="3"/>
        <v>71.449092060995454</v>
      </c>
      <c r="L37" s="41">
        <f t="shared" si="3"/>
        <v>4.846103694153947</v>
      </c>
      <c r="M37" s="41">
        <f t="shared" si="3"/>
        <v>17.271758798476579</v>
      </c>
      <c r="N37" s="41">
        <f t="shared" si="3"/>
        <v>218.52966369132469</v>
      </c>
      <c r="O37" s="41">
        <f t="shared" si="3"/>
        <v>0</v>
      </c>
      <c r="P37" s="41">
        <f t="shared" si="3"/>
        <v>0.17432894111461961</v>
      </c>
      <c r="Q37" s="41">
        <f t="shared" si="3"/>
        <v>5.522024413490801E-2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45364.041666666664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45364.041666666664</v>
      </c>
      <c r="B9" s="56">
        <v>21.96</v>
      </c>
      <c r="C9" s="56">
        <v>33.9</v>
      </c>
      <c r="D9" s="56">
        <v>36.67</v>
      </c>
      <c r="E9" s="56">
        <v>7.61</v>
      </c>
      <c r="F9" s="56">
        <v>4.5</v>
      </c>
      <c r="G9" s="56">
        <v>103.33</v>
      </c>
      <c r="H9" s="56">
        <v>36.53</v>
      </c>
      <c r="I9" s="56">
        <v>10.18</v>
      </c>
      <c r="J9" s="56">
        <v>0.56000000000000005</v>
      </c>
      <c r="K9" s="56">
        <v>206.49</v>
      </c>
      <c r="L9" s="56">
        <v>25.6</v>
      </c>
      <c r="M9" s="56">
        <v>55.84</v>
      </c>
      <c r="N9" s="56">
        <v>0</v>
      </c>
      <c r="O9" s="56">
        <v>0</v>
      </c>
      <c r="P9" s="56">
        <v>0.98</v>
      </c>
      <c r="Q9" s="56">
        <v>4.82</v>
      </c>
    </row>
    <row r="10" spans="1:21" customFormat="1">
      <c r="A10" s="55">
        <v>45364.083333333336</v>
      </c>
      <c r="B10" s="56">
        <v>28.82</v>
      </c>
      <c r="C10" s="56">
        <v>32.42</v>
      </c>
      <c r="D10" s="56">
        <v>38.94</v>
      </c>
      <c r="E10" s="56">
        <v>6.5</v>
      </c>
      <c r="F10" s="56">
        <v>4.93</v>
      </c>
      <c r="G10" s="56">
        <v>110.04</v>
      </c>
      <c r="H10" s="56">
        <v>42.53</v>
      </c>
      <c r="I10" s="56">
        <v>10.77</v>
      </c>
      <c r="J10" s="56">
        <v>0.26</v>
      </c>
      <c r="K10" s="56">
        <v>199.45</v>
      </c>
      <c r="L10" s="56">
        <v>24.27</v>
      </c>
      <c r="M10" s="56">
        <v>64.28</v>
      </c>
      <c r="N10" s="56">
        <v>0</v>
      </c>
      <c r="O10" s="56">
        <v>0</v>
      </c>
      <c r="P10" s="56">
        <v>1.01</v>
      </c>
      <c r="Q10" s="56">
        <v>4.83</v>
      </c>
    </row>
    <row r="11" spans="1:21" customFormat="1">
      <c r="A11" s="55">
        <v>45364.125</v>
      </c>
      <c r="B11" s="56">
        <v>29.17</v>
      </c>
      <c r="C11" s="56">
        <v>26.64</v>
      </c>
      <c r="D11" s="56">
        <v>38.619999999999997</v>
      </c>
      <c r="E11" s="56">
        <v>8.16</v>
      </c>
      <c r="F11" s="56">
        <v>4.8899999999999997</v>
      </c>
      <c r="G11" s="56">
        <v>111.15</v>
      </c>
      <c r="H11" s="56">
        <v>40.130000000000003</v>
      </c>
      <c r="I11" s="56">
        <v>10.97</v>
      </c>
      <c r="J11" s="56">
        <v>0.18</v>
      </c>
      <c r="K11" s="56">
        <v>243.78</v>
      </c>
      <c r="L11" s="56">
        <v>23.53</v>
      </c>
      <c r="M11" s="56">
        <v>63.53</v>
      </c>
      <c r="N11" s="56">
        <v>0</v>
      </c>
      <c r="O11" s="56">
        <v>0</v>
      </c>
      <c r="P11" s="56">
        <v>0.98</v>
      </c>
      <c r="Q11" s="56">
        <v>4.9000000000000004</v>
      </c>
    </row>
    <row r="12" spans="1:21" customFormat="1">
      <c r="A12" s="55">
        <v>45364.166666666664</v>
      </c>
      <c r="B12" s="56">
        <v>25.1</v>
      </c>
      <c r="C12" s="56">
        <v>26.13</v>
      </c>
      <c r="D12" s="56">
        <v>34.869999999999997</v>
      </c>
      <c r="E12" s="56">
        <v>8.34</v>
      </c>
      <c r="F12" s="56">
        <v>4.72</v>
      </c>
      <c r="G12" s="56">
        <v>102.2</v>
      </c>
      <c r="H12" s="56">
        <v>35.56</v>
      </c>
      <c r="I12" s="56">
        <v>11.18</v>
      </c>
      <c r="J12" s="56">
        <v>0.17</v>
      </c>
      <c r="K12" s="56">
        <v>202.45</v>
      </c>
      <c r="L12" s="56">
        <v>23.82</v>
      </c>
      <c r="M12" s="56">
        <v>62.44</v>
      </c>
      <c r="N12" s="56">
        <v>0</v>
      </c>
      <c r="O12" s="56">
        <v>0</v>
      </c>
      <c r="P12" s="56">
        <v>0.89</v>
      </c>
      <c r="Q12" s="56">
        <v>4.9400000000000004</v>
      </c>
    </row>
    <row r="13" spans="1:21" customFormat="1">
      <c r="A13" s="55">
        <v>45364.208333333336</v>
      </c>
      <c r="B13" s="56">
        <v>16.78</v>
      </c>
      <c r="C13" s="56">
        <v>26.88</v>
      </c>
      <c r="D13" s="56">
        <v>28.34</v>
      </c>
      <c r="E13" s="56">
        <v>8.52</v>
      </c>
      <c r="F13" s="56">
        <v>4.6900000000000004</v>
      </c>
      <c r="G13" s="56">
        <v>77.23</v>
      </c>
      <c r="H13" s="56">
        <v>32.89</v>
      </c>
      <c r="I13" s="56">
        <v>10.68</v>
      </c>
      <c r="J13" s="56">
        <v>0.24</v>
      </c>
      <c r="K13" s="56">
        <v>169.29</v>
      </c>
      <c r="L13" s="56">
        <v>23.38</v>
      </c>
      <c r="M13" s="56">
        <v>65.12</v>
      </c>
      <c r="N13" s="56">
        <v>0</v>
      </c>
      <c r="O13" s="56">
        <v>0</v>
      </c>
      <c r="P13" s="56">
        <v>0.83</v>
      </c>
      <c r="Q13" s="56">
        <v>4.92</v>
      </c>
    </row>
    <row r="14" spans="1:21" customFormat="1">
      <c r="A14" s="55">
        <v>45364.25</v>
      </c>
      <c r="B14" s="56">
        <v>25.63</v>
      </c>
      <c r="C14" s="56">
        <v>30.7</v>
      </c>
      <c r="D14" s="56">
        <v>37.94</v>
      </c>
      <c r="E14" s="56">
        <v>9.07</v>
      </c>
      <c r="F14" s="56">
        <v>4.43</v>
      </c>
      <c r="G14" s="56">
        <v>70.23</v>
      </c>
      <c r="H14" s="56">
        <v>29.89</v>
      </c>
      <c r="I14" s="56">
        <v>10.39</v>
      </c>
      <c r="J14" s="56">
        <v>0.3</v>
      </c>
      <c r="K14" s="56">
        <v>211.62</v>
      </c>
      <c r="L14" s="56">
        <v>23.01</v>
      </c>
      <c r="M14" s="56">
        <v>69.599999999999994</v>
      </c>
      <c r="N14" s="56">
        <v>0</v>
      </c>
      <c r="O14" s="56">
        <v>0</v>
      </c>
      <c r="P14" s="56">
        <v>0.82</v>
      </c>
      <c r="Q14" s="56">
        <v>4.88</v>
      </c>
    </row>
    <row r="15" spans="1:21" customFormat="1">
      <c r="A15" s="55">
        <v>45364.291666666664</v>
      </c>
      <c r="B15" s="56">
        <v>25.77</v>
      </c>
      <c r="C15" s="56">
        <v>30.69</v>
      </c>
      <c r="D15" s="56">
        <v>38.049999999999997</v>
      </c>
      <c r="E15" s="56">
        <v>9.5500000000000007</v>
      </c>
      <c r="F15" s="56">
        <v>4.49</v>
      </c>
      <c r="G15" s="56">
        <v>86.21</v>
      </c>
      <c r="H15" s="56">
        <v>34.71</v>
      </c>
      <c r="I15" s="56">
        <v>10.65</v>
      </c>
      <c r="J15" s="56">
        <v>0.17</v>
      </c>
      <c r="K15" s="56">
        <v>218.13</v>
      </c>
      <c r="L15" s="56">
        <v>22.94</v>
      </c>
      <c r="M15" s="56">
        <v>68.540000000000006</v>
      </c>
      <c r="N15" s="56">
        <v>24.2</v>
      </c>
      <c r="O15" s="56">
        <v>0</v>
      </c>
      <c r="P15" s="56">
        <v>0.83</v>
      </c>
      <c r="Q15" s="56">
        <v>4.87</v>
      </c>
    </row>
    <row r="16" spans="1:21" customFormat="1">
      <c r="A16" s="55">
        <v>45364.333333333336</v>
      </c>
      <c r="B16" s="56">
        <v>21.09</v>
      </c>
      <c r="C16" s="56">
        <v>29.38</v>
      </c>
      <c r="D16" s="56">
        <v>33.61</v>
      </c>
      <c r="E16" s="56">
        <v>9.17</v>
      </c>
      <c r="F16" s="56">
        <v>4.9000000000000004</v>
      </c>
      <c r="G16" s="56">
        <v>79.209999999999994</v>
      </c>
      <c r="H16" s="56">
        <v>32.909999999999997</v>
      </c>
      <c r="I16" s="56">
        <v>10.79</v>
      </c>
      <c r="J16" s="56">
        <v>0.26</v>
      </c>
      <c r="K16" s="56">
        <v>271.41000000000003</v>
      </c>
      <c r="L16" s="56">
        <v>26.62</v>
      </c>
      <c r="M16" s="56">
        <v>64.239999999999995</v>
      </c>
      <c r="N16" s="56">
        <v>120.9</v>
      </c>
      <c r="O16" s="56">
        <v>0</v>
      </c>
      <c r="P16" s="56">
        <v>0.88</v>
      </c>
      <c r="Q16" s="56">
        <v>4.84</v>
      </c>
    </row>
    <row r="17" spans="1:17" customFormat="1">
      <c r="A17" s="55">
        <v>45364.375</v>
      </c>
      <c r="B17" s="56">
        <v>16.8</v>
      </c>
      <c r="C17" s="56">
        <v>25.47</v>
      </c>
      <c r="D17" s="56">
        <v>28.13</v>
      </c>
      <c r="E17" s="56">
        <v>7.63</v>
      </c>
      <c r="F17" s="56">
        <v>5.38</v>
      </c>
      <c r="G17" s="56">
        <v>68.03</v>
      </c>
      <c r="H17" s="56">
        <v>28.8</v>
      </c>
      <c r="I17" s="56">
        <v>10.75</v>
      </c>
      <c r="J17" s="56">
        <v>0.88</v>
      </c>
      <c r="K17" s="56">
        <v>295.25</v>
      </c>
      <c r="L17" s="56">
        <v>30.63</v>
      </c>
      <c r="M17" s="56">
        <v>46.21</v>
      </c>
      <c r="N17" s="56">
        <v>307.60000000000002</v>
      </c>
      <c r="O17" s="56">
        <v>0</v>
      </c>
      <c r="P17" s="56">
        <v>0.89</v>
      </c>
      <c r="Q17" s="56">
        <v>4.79</v>
      </c>
    </row>
    <row r="18" spans="1:17" customFormat="1">
      <c r="A18" s="55">
        <v>45364.416666666664</v>
      </c>
      <c r="B18" s="56">
        <v>12.6</v>
      </c>
      <c r="C18" s="56">
        <v>27.96</v>
      </c>
      <c r="D18" s="56">
        <v>24.55</v>
      </c>
      <c r="E18" s="56">
        <v>10.119999999999999</v>
      </c>
      <c r="F18" s="56">
        <v>8.2100000000000009</v>
      </c>
      <c r="G18" s="56">
        <v>71.040000000000006</v>
      </c>
      <c r="H18" s="56">
        <v>31.59</v>
      </c>
      <c r="I18" s="56">
        <v>12.52</v>
      </c>
      <c r="J18" s="56">
        <v>1.3</v>
      </c>
      <c r="K18" s="56">
        <v>306.12</v>
      </c>
      <c r="L18" s="56">
        <v>32.42</v>
      </c>
      <c r="M18" s="56">
        <v>41.72</v>
      </c>
      <c r="N18" s="56">
        <v>377</v>
      </c>
      <c r="O18" s="56">
        <v>0</v>
      </c>
      <c r="P18" s="56">
        <v>0.95</v>
      </c>
      <c r="Q18" s="56">
        <v>4.8099999999999996</v>
      </c>
    </row>
    <row r="19" spans="1:17" customFormat="1">
      <c r="A19" s="55">
        <v>45364.458333333336</v>
      </c>
      <c r="B19" s="56">
        <v>5.74</v>
      </c>
      <c r="C19" s="56">
        <v>30.4</v>
      </c>
      <c r="D19" s="56">
        <v>21.35</v>
      </c>
      <c r="E19" s="56">
        <v>17.46</v>
      </c>
      <c r="F19" s="56">
        <v>11.78</v>
      </c>
      <c r="G19" s="56">
        <v>87.56</v>
      </c>
      <c r="H19" s="56">
        <v>36.119999999999997</v>
      </c>
      <c r="I19" s="56">
        <v>14.45</v>
      </c>
      <c r="J19" s="56">
        <v>1.61</v>
      </c>
      <c r="K19" s="56">
        <v>312.89</v>
      </c>
      <c r="L19" s="56">
        <v>34.39</v>
      </c>
      <c r="M19" s="56">
        <v>38.58</v>
      </c>
      <c r="N19" s="56">
        <v>485.6</v>
      </c>
      <c r="O19" s="56">
        <v>0</v>
      </c>
      <c r="P19" s="56">
        <v>1</v>
      </c>
      <c r="Q19" s="56">
        <v>4.8099999999999996</v>
      </c>
    </row>
    <row r="20" spans="1:17" customFormat="1">
      <c r="A20" s="55">
        <v>45364.5</v>
      </c>
      <c r="B20" s="56">
        <v>3.7</v>
      </c>
      <c r="C20" s="56">
        <v>29.98</v>
      </c>
      <c r="D20" s="56">
        <v>19.920000000000002</v>
      </c>
      <c r="E20" s="56">
        <v>15.23</v>
      </c>
      <c r="F20" s="56">
        <v>14.85</v>
      </c>
      <c r="G20" s="56">
        <v>91.26</v>
      </c>
      <c r="H20" s="56">
        <v>38.950000000000003</v>
      </c>
      <c r="I20" s="56">
        <v>13.72</v>
      </c>
      <c r="J20" s="56">
        <v>1.2</v>
      </c>
      <c r="K20" s="56">
        <v>315.68</v>
      </c>
      <c r="L20" s="56">
        <v>36.07</v>
      </c>
      <c r="M20" s="56">
        <v>30.4</v>
      </c>
      <c r="N20" s="56">
        <v>539.79999999999995</v>
      </c>
      <c r="O20" s="56">
        <v>0</v>
      </c>
      <c r="P20" s="56">
        <v>1.06</v>
      </c>
      <c r="Q20" s="56">
        <v>4.76</v>
      </c>
    </row>
    <row r="21" spans="1:17" customFormat="1">
      <c r="A21" s="55">
        <v>45364.541666666664</v>
      </c>
      <c r="B21" s="56">
        <v>3.83</v>
      </c>
      <c r="C21" s="56">
        <v>27.2</v>
      </c>
      <c r="D21" s="56">
        <v>18.57</v>
      </c>
      <c r="E21" s="56">
        <v>14.18</v>
      </c>
      <c r="F21" s="56">
        <v>17.16</v>
      </c>
      <c r="G21" s="56">
        <v>91.88</v>
      </c>
      <c r="H21" s="56">
        <v>34.950000000000003</v>
      </c>
      <c r="I21" s="56">
        <v>13.49</v>
      </c>
      <c r="J21" s="56">
        <v>0.97</v>
      </c>
      <c r="K21" s="56">
        <v>322.77999999999997</v>
      </c>
      <c r="L21" s="56">
        <v>36.99</v>
      </c>
      <c r="M21" s="56">
        <v>25.37</v>
      </c>
      <c r="N21" s="56">
        <v>519.9</v>
      </c>
      <c r="O21" s="56">
        <v>0</v>
      </c>
      <c r="P21" s="56">
        <v>0.99</v>
      </c>
      <c r="Q21" s="56">
        <v>4.7300000000000004</v>
      </c>
    </row>
    <row r="22" spans="1:17" customFormat="1">
      <c r="A22" s="55">
        <v>45364.583333333336</v>
      </c>
      <c r="B22" s="56">
        <v>4.03</v>
      </c>
      <c r="C22" s="56">
        <v>26.65</v>
      </c>
      <c r="D22" s="56">
        <v>18.510000000000002</v>
      </c>
      <c r="E22" s="56">
        <v>14.64</v>
      </c>
      <c r="F22" s="56">
        <v>17.48</v>
      </c>
      <c r="G22" s="56">
        <v>86.17</v>
      </c>
      <c r="H22" s="56">
        <v>37.380000000000003</v>
      </c>
      <c r="I22" s="56">
        <v>11.49</v>
      </c>
      <c r="J22" s="56">
        <v>1.18</v>
      </c>
      <c r="K22" s="56">
        <v>306.55</v>
      </c>
      <c r="L22" s="56">
        <v>37.56</v>
      </c>
      <c r="M22" s="56">
        <v>22.4</v>
      </c>
      <c r="N22" s="56">
        <v>523.5</v>
      </c>
      <c r="O22" s="56">
        <v>0</v>
      </c>
      <c r="P22" s="56">
        <v>0.85</v>
      </c>
      <c r="Q22" s="56">
        <v>4.71</v>
      </c>
    </row>
    <row r="23" spans="1:17" customFormat="1">
      <c r="A23" s="55">
        <v>45364.625</v>
      </c>
      <c r="B23" s="56">
        <v>3.75</v>
      </c>
      <c r="C23" s="56">
        <v>24.35</v>
      </c>
      <c r="D23" s="56">
        <v>16.96</v>
      </c>
      <c r="E23" s="56">
        <v>13.09</v>
      </c>
      <c r="F23" s="56">
        <v>14.8</v>
      </c>
      <c r="G23" s="56">
        <v>77.06</v>
      </c>
      <c r="H23" s="56">
        <v>35.19</v>
      </c>
      <c r="I23" s="56">
        <v>10.63</v>
      </c>
      <c r="J23" s="56">
        <v>1.25</v>
      </c>
      <c r="K23" s="56">
        <v>319.77999999999997</v>
      </c>
      <c r="L23" s="56">
        <v>37.85</v>
      </c>
      <c r="M23" s="56">
        <v>20.12</v>
      </c>
      <c r="N23" s="56">
        <v>505.5</v>
      </c>
      <c r="O23" s="56">
        <v>0</v>
      </c>
      <c r="P23" s="56">
        <v>0.89</v>
      </c>
      <c r="Q23" s="56">
        <v>4.68</v>
      </c>
    </row>
    <row r="24" spans="1:17" customFormat="1">
      <c r="A24" s="55">
        <v>45364.666666666664</v>
      </c>
      <c r="B24" s="56">
        <v>3.84</v>
      </c>
      <c r="C24" s="56">
        <v>24.2</v>
      </c>
      <c r="D24" s="56">
        <v>17.04</v>
      </c>
      <c r="E24" s="56">
        <v>11.61</v>
      </c>
      <c r="F24" s="56">
        <v>9.36</v>
      </c>
      <c r="G24" s="56">
        <v>75.959999999999994</v>
      </c>
      <c r="H24" s="56">
        <v>31.43</v>
      </c>
      <c r="I24" s="56">
        <v>9.89</v>
      </c>
      <c r="J24" s="56">
        <v>1.33</v>
      </c>
      <c r="K24" s="56">
        <v>321.36</v>
      </c>
      <c r="L24" s="56">
        <v>37.1</v>
      </c>
      <c r="M24" s="56">
        <v>20.91</v>
      </c>
      <c r="N24" s="56">
        <v>318</v>
      </c>
      <c r="O24" s="56">
        <v>0</v>
      </c>
      <c r="P24" s="56">
        <v>0.9</v>
      </c>
      <c r="Q24" s="56">
        <v>4.63</v>
      </c>
    </row>
    <row r="25" spans="1:17" customFormat="1">
      <c r="A25" s="55">
        <v>45364.708333333336</v>
      </c>
      <c r="B25" s="56">
        <v>3.75</v>
      </c>
      <c r="C25" s="56">
        <v>24.81</v>
      </c>
      <c r="D25" s="56">
        <v>17.149999999999999</v>
      </c>
      <c r="E25" s="56">
        <v>12.73</v>
      </c>
      <c r="F25" s="56">
        <v>16.420000000000002</v>
      </c>
      <c r="G25" s="56">
        <v>70.69</v>
      </c>
      <c r="H25" s="56">
        <v>29.13</v>
      </c>
      <c r="I25" s="56">
        <v>9.61</v>
      </c>
      <c r="J25" s="56">
        <v>0.96</v>
      </c>
      <c r="K25" s="56">
        <v>284.66000000000003</v>
      </c>
      <c r="L25" s="56">
        <v>36.74</v>
      </c>
      <c r="M25" s="56">
        <v>22.77</v>
      </c>
      <c r="N25" s="56">
        <v>215.2</v>
      </c>
      <c r="O25" s="56">
        <v>0</v>
      </c>
      <c r="P25" s="56">
        <v>0.84</v>
      </c>
      <c r="Q25" s="56">
        <v>4.7</v>
      </c>
    </row>
    <row r="26" spans="1:17" customFormat="1">
      <c r="A26" s="55">
        <v>45364.75</v>
      </c>
      <c r="B26" s="56">
        <v>4.3099999999999996</v>
      </c>
      <c r="C26" s="56">
        <v>26.81</v>
      </c>
      <c r="D26" s="56">
        <v>18.82</v>
      </c>
      <c r="E26" s="56">
        <v>15.63</v>
      </c>
      <c r="F26" s="56">
        <v>16.75</v>
      </c>
      <c r="G26" s="56">
        <v>64.03</v>
      </c>
      <c r="H26" s="56">
        <v>26</v>
      </c>
      <c r="I26" s="56">
        <v>8.02</v>
      </c>
      <c r="J26" s="56">
        <v>0.81</v>
      </c>
      <c r="K26" s="56">
        <v>282.74</v>
      </c>
      <c r="L26" s="56">
        <v>35.299999999999997</v>
      </c>
      <c r="M26" s="56">
        <v>26.82</v>
      </c>
      <c r="N26" s="56">
        <v>46.5</v>
      </c>
      <c r="O26" s="56">
        <v>0</v>
      </c>
      <c r="P26" s="56">
        <v>0.69</v>
      </c>
      <c r="Q26" s="56">
        <v>4.71</v>
      </c>
    </row>
    <row r="27" spans="1:17" customFormat="1">
      <c r="A27" s="55">
        <v>45364.791666666664</v>
      </c>
      <c r="B27" s="56">
        <v>7.05</v>
      </c>
      <c r="C27" s="56">
        <v>34.68</v>
      </c>
      <c r="D27" s="56">
        <v>25.13</v>
      </c>
      <c r="E27" s="56">
        <v>15.34</v>
      </c>
      <c r="F27" s="56">
        <v>7.73</v>
      </c>
      <c r="G27" s="56">
        <v>61.28</v>
      </c>
      <c r="H27" s="56">
        <v>26.52</v>
      </c>
      <c r="I27" s="56">
        <v>7.22</v>
      </c>
      <c r="J27" s="56">
        <v>0.45</v>
      </c>
      <c r="K27" s="56">
        <v>313.43</v>
      </c>
      <c r="L27" s="56">
        <v>33.5</v>
      </c>
      <c r="M27" s="56">
        <v>29.14</v>
      </c>
      <c r="N27" s="56">
        <v>0</v>
      </c>
      <c r="O27" s="56">
        <v>0</v>
      </c>
      <c r="P27" s="56">
        <v>0.8</v>
      </c>
      <c r="Q27" s="56">
        <v>4.76</v>
      </c>
    </row>
    <row r="28" spans="1:17" customFormat="1">
      <c r="A28" s="55">
        <v>45364.833333333336</v>
      </c>
      <c r="B28" s="56">
        <v>10.8</v>
      </c>
      <c r="C28" s="56">
        <v>38.89</v>
      </c>
      <c r="D28" s="56">
        <v>30.33</v>
      </c>
      <c r="E28" s="56">
        <v>20.91</v>
      </c>
      <c r="F28" s="56">
        <v>6.37</v>
      </c>
      <c r="G28" s="56">
        <v>74.680000000000007</v>
      </c>
      <c r="H28" s="56">
        <v>29.25</v>
      </c>
      <c r="I28" s="56">
        <v>7.84</v>
      </c>
      <c r="J28" s="56">
        <v>0.7</v>
      </c>
      <c r="K28" s="56">
        <v>336.78</v>
      </c>
      <c r="L28" s="56">
        <v>32.35</v>
      </c>
      <c r="M28" s="56">
        <v>28.81</v>
      </c>
      <c r="N28" s="56">
        <v>0</v>
      </c>
      <c r="O28" s="56">
        <v>0</v>
      </c>
      <c r="P28" s="56">
        <v>0.92</v>
      </c>
      <c r="Q28" s="56">
        <v>4.78</v>
      </c>
    </row>
    <row r="29" spans="1:17" customFormat="1">
      <c r="A29" s="55">
        <v>45364.875</v>
      </c>
      <c r="B29" s="56">
        <v>16.62</v>
      </c>
      <c r="C29" s="56">
        <v>42.94</v>
      </c>
      <c r="D29" s="56">
        <v>37.11</v>
      </c>
      <c r="E29" s="56">
        <v>28.67</v>
      </c>
      <c r="F29" s="56">
        <v>6.7</v>
      </c>
      <c r="G29" s="56">
        <v>99.83</v>
      </c>
      <c r="H29" s="56">
        <v>34.97</v>
      </c>
      <c r="I29" s="56">
        <v>9.27</v>
      </c>
      <c r="J29" s="56">
        <v>0.26</v>
      </c>
      <c r="K29" s="56">
        <v>332.69</v>
      </c>
      <c r="L29" s="56">
        <v>31.48</v>
      </c>
      <c r="M29" s="56">
        <v>33.44</v>
      </c>
      <c r="N29" s="56">
        <v>0</v>
      </c>
      <c r="O29" s="56">
        <v>0</v>
      </c>
      <c r="P29" s="56">
        <v>1.06</v>
      </c>
      <c r="Q29" s="56">
        <v>4.8</v>
      </c>
    </row>
    <row r="30" spans="1:17" customFormat="1">
      <c r="A30" s="55">
        <v>45364.916666666664</v>
      </c>
      <c r="B30" s="56">
        <v>16.89</v>
      </c>
      <c r="C30" s="56">
        <v>40.44</v>
      </c>
      <c r="D30" s="56">
        <v>36.03</v>
      </c>
      <c r="E30" s="56">
        <v>26.78</v>
      </c>
      <c r="F30" s="56">
        <v>7.35</v>
      </c>
      <c r="G30" s="56">
        <v>107.58</v>
      </c>
      <c r="H30" s="56">
        <v>36.299999999999997</v>
      </c>
      <c r="I30" s="56">
        <v>10.41</v>
      </c>
      <c r="J30" s="56">
        <v>0.27</v>
      </c>
      <c r="K30" s="56">
        <v>165.78</v>
      </c>
      <c r="L30" s="56">
        <v>30.04</v>
      </c>
      <c r="M30" s="56">
        <v>49.71</v>
      </c>
      <c r="N30" s="56">
        <v>0</v>
      </c>
      <c r="O30" s="56">
        <v>0</v>
      </c>
      <c r="P30" s="56">
        <v>1.1200000000000001</v>
      </c>
      <c r="Q30" s="56">
        <v>4.8099999999999996</v>
      </c>
    </row>
    <row r="31" spans="1:17" customFormat="1">
      <c r="A31" s="55">
        <v>45364.958333333336</v>
      </c>
      <c r="B31" s="56">
        <v>16.559999999999999</v>
      </c>
      <c r="C31" s="56">
        <v>31.61</v>
      </c>
      <c r="D31" s="56">
        <v>31.11</v>
      </c>
      <c r="E31" s="56">
        <v>6.81</v>
      </c>
      <c r="F31" s="56">
        <v>5.08</v>
      </c>
      <c r="G31" s="56">
        <v>118.4</v>
      </c>
      <c r="H31" s="56">
        <v>46.63</v>
      </c>
      <c r="I31" s="56">
        <v>10.35</v>
      </c>
      <c r="J31" s="56">
        <v>0.33</v>
      </c>
      <c r="K31" s="56">
        <v>186.03</v>
      </c>
      <c r="L31" s="56">
        <v>26.8</v>
      </c>
      <c r="M31" s="56">
        <v>52.82</v>
      </c>
      <c r="N31" s="56">
        <v>0</v>
      </c>
      <c r="O31" s="56">
        <v>0</v>
      </c>
      <c r="P31" s="56">
        <v>1.1100000000000001</v>
      </c>
      <c r="Q31" s="56">
        <v>4.8600000000000003</v>
      </c>
    </row>
    <row r="32" spans="1:17" customFormat="1">
      <c r="A32" s="55">
        <v>45365</v>
      </c>
      <c r="B32" s="56">
        <v>13.59</v>
      </c>
      <c r="C32" s="56">
        <v>30.69</v>
      </c>
      <c r="D32" s="56">
        <v>27.28</v>
      </c>
      <c r="E32" s="56">
        <v>7.85</v>
      </c>
      <c r="F32" s="56">
        <v>5.33</v>
      </c>
      <c r="G32" s="56">
        <v>101.32</v>
      </c>
      <c r="H32" s="56">
        <v>43.27</v>
      </c>
      <c r="I32" s="56">
        <v>10.210000000000001</v>
      </c>
      <c r="J32" s="56">
        <v>0.41</v>
      </c>
      <c r="K32" s="56">
        <v>249.23</v>
      </c>
      <c r="L32" s="56">
        <v>27.71</v>
      </c>
      <c r="M32" s="56">
        <v>48.46</v>
      </c>
      <c r="N32" s="56">
        <v>0</v>
      </c>
      <c r="O32" s="56">
        <v>0</v>
      </c>
      <c r="P32" s="56">
        <v>1</v>
      </c>
      <c r="Q32" s="56">
        <v>4.8499999999999996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</v>
      </c>
      <c r="C34" s="41">
        <f t="shared" si="0"/>
        <v>24.2</v>
      </c>
      <c r="D34" s="41">
        <f t="shared" si="0"/>
        <v>16.96</v>
      </c>
      <c r="E34" s="41">
        <f t="shared" si="0"/>
        <v>6.5</v>
      </c>
      <c r="F34" s="41">
        <f t="shared" si="0"/>
        <v>4.43</v>
      </c>
      <c r="G34" s="41">
        <f t="shared" si="0"/>
        <v>61.28</v>
      </c>
      <c r="H34" s="41">
        <f t="shared" si="0"/>
        <v>26</v>
      </c>
      <c r="I34" s="41">
        <f t="shared" si="0"/>
        <v>7.22</v>
      </c>
      <c r="J34" s="41">
        <f t="shared" si="0"/>
        <v>0.17</v>
      </c>
      <c r="K34" s="41">
        <f t="shared" si="0"/>
        <v>165.78</v>
      </c>
      <c r="L34" s="41">
        <f t="shared" si="0"/>
        <v>22.94</v>
      </c>
      <c r="M34" s="41">
        <f t="shared" si="0"/>
        <v>20.12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29.17</v>
      </c>
      <c r="C35" s="33">
        <f t="shared" si="1"/>
        <v>42.94</v>
      </c>
      <c r="D35" s="33">
        <f t="shared" si="1"/>
        <v>38.94</v>
      </c>
      <c r="E35" s="33">
        <f t="shared" si="1"/>
        <v>28.67</v>
      </c>
      <c r="F35" s="33">
        <f t="shared" si="1"/>
        <v>17.48</v>
      </c>
      <c r="G35" s="33">
        <f t="shared" si="1"/>
        <v>118.4</v>
      </c>
      <c r="H35" s="33">
        <f t="shared" si="1"/>
        <v>46.63</v>
      </c>
      <c r="I35" s="33">
        <f t="shared" si="1"/>
        <v>14.45</v>
      </c>
      <c r="J35" s="33">
        <f t="shared" si="1"/>
        <v>1.61</v>
      </c>
      <c r="K35" s="33">
        <f t="shared" si="1"/>
        <v>336.78</v>
      </c>
      <c r="L35" s="33">
        <f t="shared" si="1"/>
        <v>37.85</v>
      </c>
      <c r="M35" s="33">
        <f t="shared" si="1"/>
        <v>69.599999999999994</v>
      </c>
      <c r="N35" s="33">
        <f t="shared" si="1"/>
        <v>539.79999999999995</v>
      </c>
      <c r="O35" s="33">
        <f t="shared" si="1"/>
        <v>0</v>
      </c>
      <c r="P35" s="33">
        <f t="shared" si="1"/>
        <v>1.1200000000000001</v>
      </c>
      <c r="Q35" s="33">
        <f t="shared" si="1"/>
        <v>4.9400000000000004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14.090833333333334</v>
      </c>
      <c r="C36" s="41">
        <f t="shared" si="2"/>
        <v>30.159166666666668</v>
      </c>
      <c r="D36" s="41">
        <f t="shared" si="2"/>
        <v>28.126250000000002</v>
      </c>
      <c r="E36" s="41">
        <f t="shared" si="2"/>
        <v>12.733333333333333</v>
      </c>
      <c r="F36" s="41">
        <f t="shared" si="2"/>
        <v>8.6791666666666671</v>
      </c>
      <c r="G36" s="41">
        <f t="shared" si="2"/>
        <v>86.932083333333324</v>
      </c>
      <c r="H36" s="41">
        <f t="shared" si="2"/>
        <v>34.65124999999999</v>
      </c>
      <c r="I36" s="41">
        <f t="shared" si="2"/>
        <v>10.645000000000001</v>
      </c>
      <c r="J36" s="41">
        <f t="shared" si="2"/>
        <v>0.66874999999999984</v>
      </c>
      <c r="K36" s="41">
        <f t="shared" si="2"/>
        <v>265.59874999999994</v>
      </c>
      <c r="L36" s="41">
        <f t="shared" si="2"/>
        <v>30.420833333333331</v>
      </c>
      <c r="M36" s="41">
        <f t="shared" si="2"/>
        <v>43.802916666666668</v>
      </c>
      <c r="N36" s="41">
        <f t="shared" si="2"/>
        <v>165.98749999999998</v>
      </c>
      <c r="O36" s="41">
        <f t="shared" si="2"/>
        <v>0</v>
      </c>
      <c r="P36" s="41">
        <f t="shared" si="2"/>
        <v>0.92875000000000008</v>
      </c>
      <c r="Q36" s="41">
        <f t="shared" si="2"/>
        <v>4.7995833333333326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8.950579246092385</v>
      </c>
      <c r="C37" s="41">
        <f t="shared" ref="C37:Q37" si="3">STDEV(C9:C32)</f>
        <v>5.0425570779176967</v>
      </c>
      <c r="D37" s="41">
        <f t="shared" si="3"/>
        <v>8.0799961324247942</v>
      </c>
      <c r="E37" s="41">
        <f t="shared" si="3"/>
        <v>5.9714929068225446</v>
      </c>
      <c r="F37" s="41">
        <f t="shared" si="3"/>
        <v>4.8211832542452155</v>
      </c>
      <c r="G37" s="41">
        <f t="shared" si="3"/>
        <v>16.568689691092349</v>
      </c>
      <c r="H37" s="41">
        <f t="shared" si="3"/>
        <v>5.2291534874827299</v>
      </c>
      <c r="I37" s="41">
        <f t="shared" si="3"/>
        <v>1.7109900515554415</v>
      </c>
      <c r="J37" s="41">
        <f t="shared" si="3"/>
        <v>0.45693032957657431</v>
      </c>
      <c r="K37" s="41">
        <f t="shared" si="3"/>
        <v>56.776732092163066</v>
      </c>
      <c r="L37" s="41">
        <f t="shared" si="3"/>
        <v>5.4026200702241285</v>
      </c>
      <c r="M37" s="41">
        <f t="shared" si="3"/>
        <v>17.403086802450424</v>
      </c>
      <c r="N37" s="41">
        <f t="shared" si="3"/>
        <v>215.42395069399478</v>
      </c>
      <c r="O37" s="41">
        <f t="shared" si="3"/>
        <v>0</v>
      </c>
      <c r="P37" s="41">
        <f t="shared" si="3"/>
        <v>0.10567844994419821</v>
      </c>
      <c r="Q37" s="41">
        <f t="shared" si="3"/>
        <v>7.8766532656192739E-2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9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6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6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52"/>
      <c r="O41" s="52"/>
      <c r="P41" s="52"/>
      <c r="Q41" s="52"/>
      <c r="R41" s="52"/>
      <c r="S41" s="52"/>
      <c r="T41" s="52"/>
      <c r="U41" s="52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5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K39" sqref="K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45352.041666666664</v>
      </c>
      <c r="B9" s="17">
        <f>'01'!B36</f>
        <v>19.324166666666667</v>
      </c>
      <c r="C9" s="17">
        <f>'01'!C36</f>
        <v>20.439166666666662</v>
      </c>
      <c r="D9" s="17">
        <f>'01'!D36</f>
        <v>27.30791666666666</v>
      </c>
      <c r="E9" s="17">
        <f>'01'!E36</f>
        <v>11.772499999999999</v>
      </c>
      <c r="F9" s="17">
        <f>'01'!F36</f>
        <v>7.5320833333333326</v>
      </c>
      <c r="G9" s="17">
        <f>'01'!G36</f>
        <v>83.87</v>
      </c>
      <c r="H9" s="17">
        <f>'01'!H36</f>
        <v>30.43791666666667</v>
      </c>
      <c r="I9" s="17">
        <f>'01'!I36</f>
        <v>7.2712499999999993</v>
      </c>
      <c r="J9" s="17">
        <f>'01'!J36</f>
        <v>0.52666666666666673</v>
      </c>
      <c r="K9" s="17">
        <f>'01'!K36</f>
        <v>227.16000000000005</v>
      </c>
      <c r="L9" s="17">
        <f>'01'!L36</f>
        <v>26.992916666666673</v>
      </c>
      <c r="M9" s="17">
        <f>'01'!M36</f>
        <v>47.71125</v>
      </c>
      <c r="N9" s="17">
        <f>'01'!N36</f>
        <v>185.40000000000006</v>
      </c>
      <c r="O9" s="17">
        <f>'01'!O36</f>
        <v>0</v>
      </c>
      <c r="P9" s="17">
        <f>'01'!P36</f>
        <v>0.72666666666666668</v>
      </c>
      <c r="Q9" s="17">
        <f>'01'!Q36</f>
        <v>4.7799999999999985</v>
      </c>
      <c r="R9" s="34"/>
      <c r="S9" s="34"/>
      <c r="T9" s="34"/>
      <c r="U9" s="35"/>
    </row>
    <row r="10" spans="1:21" s="2" customFormat="1">
      <c r="A10" s="16">
        <f>'02'!$B$2</f>
        <v>45353.041666666664</v>
      </c>
      <c r="B10" s="17">
        <f>'02'!B36</f>
        <v>10.252083333333333</v>
      </c>
      <c r="C10" s="17">
        <f>'02'!C36</f>
        <v>22.226250000000004</v>
      </c>
      <c r="D10" s="17">
        <f>'02'!D36</f>
        <v>21.06958333333333</v>
      </c>
      <c r="E10" s="17">
        <f>'02'!E36</f>
        <v>13.710833333333333</v>
      </c>
      <c r="F10" s="17">
        <f>'02'!F36</f>
        <v>13.707500000000003</v>
      </c>
      <c r="G10" s="17">
        <f>'02'!G36</f>
        <v>74.049166666666665</v>
      </c>
      <c r="H10" s="17">
        <f>'02'!H36</f>
        <v>23.58</v>
      </c>
      <c r="I10" s="17">
        <f>'02'!I36</f>
        <v>7.3229166666666679</v>
      </c>
      <c r="J10" s="17">
        <f>'02'!J36</f>
        <v>0.81708333333333327</v>
      </c>
      <c r="K10" s="17">
        <f>'02'!K36</f>
        <v>213.32375000000005</v>
      </c>
      <c r="L10" s="17">
        <f>'02'!L36</f>
        <v>26.888333333333325</v>
      </c>
      <c r="M10" s="17">
        <f>'02'!M36</f>
        <v>51.987916666666671</v>
      </c>
      <c r="N10" s="17">
        <f>'02'!N36</f>
        <v>163.43333333333331</v>
      </c>
      <c r="O10" s="17">
        <f>'02'!O36</f>
        <v>0</v>
      </c>
      <c r="P10" s="17">
        <f>'02'!P36</f>
        <v>0.69666666666666677</v>
      </c>
      <c r="Q10" s="17">
        <f>'02'!Q36</f>
        <v>4.7220833333333339</v>
      </c>
      <c r="R10" s="36"/>
      <c r="S10" s="36"/>
      <c r="T10" s="36"/>
      <c r="U10" s="36"/>
    </row>
    <row r="11" spans="1:21" s="2" customFormat="1">
      <c r="A11" s="16">
        <f>'03'!$B$2</f>
        <v>45354.041666666664</v>
      </c>
      <c r="B11" s="17">
        <f>'03'!B36</f>
        <v>8.9145833333333346</v>
      </c>
      <c r="C11" s="17">
        <f>'03'!C36</f>
        <v>20.526249999999997</v>
      </c>
      <c r="D11" s="17">
        <f>'03'!D36</f>
        <v>19.077499999999997</v>
      </c>
      <c r="E11" s="17">
        <f>'03'!E36</f>
        <v>11.39291666666667</v>
      </c>
      <c r="F11" s="17">
        <f>'03'!F36</f>
        <v>13.147916666666665</v>
      </c>
      <c r="G11" s="17">
        <f>'03'!G36</f>
        <v>73.998333333333335</v>
      </c>
      <c r="H11" s="17">
        <f>'03'!H36</f>
        <v>29.534583333333334</v>
      </c>
      <c r="I11" s="17">
        <f>'03'!I36</f>
        <v>6.595833333333335</v>
      </c>
      <c r="J11" s="17">
        <f>'03'!J36</f>
        <v>0.63291666666666668</v>
      </c>
      <c r="K11" s="17">
        <f>'03'!K36</f>
        <v>231.94041666666661</v>
      </c>
      <c r="L11" s="17">
        <f>'03'!L36</f>
        <v>27.867500000000003</v>
      </c>
      <c r="M11" s="17">
        <f>'03'!M36</f>
        <v>53.266250000000007</v>
      </c>
      <c r="N11" s="17">
        <f>'03'!N36</f>
        <v>158.32916666666668</v>
      </c>
      <c r="O11" s="17">
        <f>'03'!O36</f>
        <v>0</v>
      </c>
      <c r="P11" s="17">
        <f>'03'!P36</f>
        <v>0.61750000000000005</v>
      </c>
      <c r="Q11" s="17">
        <f>'03'!Q36</f>
        <v>4.7249999999999996</v>
      </c>
      <c r="R11" s="36"/>
      <c r="S11" s="36"/>
      <c r="T11" s="36"/>
      <c r="U11" s="36"/>
    </row>
    <row r="12" spans="1:21" s="2" customFormat="1">
      <c r="A12" s="16">
        <f>'04'!$B$2</f>
        <v>45355.041666666664</v>
      </c>
      <c r="B12" s="17">
        <f>'04'!B36</f>
        <v>11.791666666666666</v>
      </c>
      <c r="C12" s="17">
        <f>'04'!C36</f>
        <v>29.377916666666668</v>
      </c>
      <c r="D12" s="17">
        <f>'04'!D36</f>
        <v>26.037083333333328</v>
      </c>
      <c r="E12" s="17">
        <f>'04'!E36</f>
        <v>16.091666666666665</v>
      </c>
      <c r="F12" s="17">
        <f>'04'!F36</f>
        <v>12.577916666666669</v>
      </c>
      <c r="G12" s="17">
        <f>'04'!G36</f>
        <v>109.81291666666668</v>
      </c>
      <c r="H12" s="17">
        <f>'04'!H36</f>
        <v>42.371249999999996</v>
      </c>
      <c r="I12" s="17">
        <f>'04'!I36</f>
        <v>8.0479166666666675</v>
      </c>
      <c r="J12" s="17">
        <f>'04'!J36</f>
        <v>0.73166666666666658</v>
      </c>
      <c r="K12" s="17">
        <f>'04'!K36</f>
        <v>191.67166666666671</v>
      </c>
      <c r="L12" s="17">
        <f>'04'!L36</f>
        <v>27.459166666666665</v>
      </c>
      <c r="M12" s="17">
        <f>'04'!M36</f>
        <v>59.241666666666667</v>
      </c>
      <c r="N12" s="17">
        <f>'04'!N36</f>
        <v>140.83750000000001</v>
      </c>
      <c r="O12" s="17">
        <f>'04'!O36</f>
        <v>0</v>
      </c>
      <c r="P12" s="17">
        <f>'04'!P36</f>
        <v>0.95125000000000004</v>
      </c>
      <c r="Q12" s="17">
        <f>'04'!Q36</f>
        <v>4.7541666666666664</v>
      </c>
      <c r="R12" s="36"/>
      <c r="S12" s="36"/>
      <c r="T12" s="36"/>
      <c r="U12" s="36"/>
    </row>
    <row r="13" spans="1:21" s="2" customFormat="1">
      <c r="A13" s="16">
        <f>'05'!$B$2</f>
        <v>45356.041666666664</v>
      </c>
      <c r="B13" s="17">
        <f>'05'!B36</f>
        <v>12.0175</v>
      </c>
      <c r="C13" s="17">
        <f>'05'!C36</f>
        <v>28.463749999999994</v>
      </c>
      <c r="D13" s="17">
        <f>'05'!D36</f>
        <v>25.661250000000006</v>
      </c>
      <c r="E13" s="17">
        <f>'05'!E36</f>
        <v>20.956666666666667</v>
      </c>
      <c r="F13" s="17">
        <f>'05'!F36</f>
        <v>18.414583333333329</v>
      </c>
      <c r="G13" s="17">
        <f>'05'!G36</f>
        <v>85.833333333333329</v>
      </c>
      <c r="H13" s="17">
        <f>'05'!H36</f>
        <v>33.930416666666659</v>
      </c>
      <c r="I13" s="17">
        <f>'05'!I36</f>
        <v>6.8808333333333342</v>
      </c>
      <c r="J13" s="17">
        <f>'05'!J36</f>
        <v>0.96625000000000016</v>
      </c>
      <c r="K13" s="17">
        <f>'05'!K36</f>
        <v>140.46333333333331</v>
      </c>
      <c r="L13" s="17">
        <f>'05'!L36</f>
        <v>27.673749999999998</v>
      </c>
      <c r="M13" s="17">
        <f>'05'!M36</f>
        <v>56.735833333333325</v>
      </c>
      <c r="N13" s="17">
        <f>'05'!N36</f>
        <v>165.02916666666667</v>
      </c>
      <c r="O13" s="17">
        <f>'05'!O36</f>
        <v>0</v>
      </c>
      <c r="P13" s="17">
        <f>'05'!P36</f>
        <v>0.76249999999999984</v>
      </c>
      <c r="Q13" s="17">
        <f>'05'!Q36</f>
        <v>4.770833333333333</v>
      </c>
      <c r="R13" s="36"/>
      <c r="S13" s="36"/>
      <c r="T13" s="36"/>
      <c r="U13" s="36"/>
    </row>
    <row r="14" spans="1:21" s="2" customFormat="1">
      <c r="A14" s="16">
        <f>'06'!$B$2</f>
        <v>45357.041666666664</v>
      </c>
      <c r="B14" s="18">
        <f>'06'!B36</f>
        <v>6.8724999999999996</v>
      </c>
      <c r="C14" s="18">
        <f>'06'!C36</f>
        <v>25.817916666666665</v>
      </c>
      <c r="D14" s="18">
        <f>'06'!D36</f>
        <v>20.178333333333331</v>
      </c>
      <c r="E14" s="18">
        <f>'06'!E36</f>
        <v>15.213333333333331</v>
      </c>
      <c r="F14" s="18">
        <f>'06'!F36</f>
        <v>15.362083333333333</v>
      </c>
      <c r="G14" s="18">
        <f>'06'!G36</f>
        <v>82.49708333333335</v>
      </c>
      <c r="H14" s="18">
        <f>'06'!H36</f>
        <v>36.64374999999999</v>
      </c>
      <c r="I14" s="18">
        <f>'06'!I36</f>
        <v>7.5991666666666688</v>
      </c>
      <c r="J14" s="18">
        <f>'06'!J36</f>
        <v>0.84333333333333327</v>
      </c>
      <c r="K14" s="18">
        <f>'06'!K36</f>
        <v>160.09833333333333</v>
      </c>
      <c r="L14" s="18">
        <f>'06'!L36</f>
        <v>28.218333333333337</v>
      </c>
      <c r="M14" s="18">
        <f>'06'!M36</f>
        <v>49.177083333333336</v>
      </c>
      <c r="N14" s="18">
        <f>'06'!N36</f>
        <v>163.17500000000001</v>
      </c>
      <c r="O14" s="18">
        <f>'06'!O36</f>
        <v>0</v>
      </c>
      <c r="P14" s="18">
        <f>'06'!P36</f>
        <v>0.74375000000000002</v>
      </c>
      <c r="Q14" s="18">
        <f>'06'!Q36</f>
        <v>4.7370833333333335</v>
      </c>
      <c r="R14" s="36"/>
      <c r="S14" s="36"/>
      <c r="T14" s="36"/>
      <c r="U14" s="36"/>
    </row>
    <row r="15" spans="1:21" s="2" customFormat="1">
      <c r="A15" s="16">
        <f>'07'!$B$2</f>
        <v>45358.041666666664</v>
      </c>
      <c r="B15" s="18">
        <f>'07'!B36</f>
        <v>6.8933333333333335</v>
      </c>
      <c r="C15" s="18">
        <f>'07'!C36</f>
        <v>27.601666666666663</v>
      </c>
      <c r="D15" s="18">
        <f>'07'!D36</f>
        <v>21.019166666666667</v>
      </c>
      <c r="E15" s="18">
        <f>'07'!E36</f>
        <v>15.819166666666668</v>
      </c>
      <c r="F15" s="18">
        <f>'07'!F36</f>
        <v>12.155000000000001</v>
      </c>
      <c r="G15" s="18">
        <f>'07'!G36</f>
        <v>73.09041666666667</v>
      </c>
      <c r="H15" s="18">
        <f>'07'!H36</f>
        <v>28.819999999999997</v>
      </c>
      <c r="I15" s="18">
        <f>'07'!I36</f>
        <v>7.6912499999999993</v>
      </c>
      <c r="J15" s="18">
        <f>'07'!J36</f>
        <v>1.0375000000000003</v>
      </c>
      <c r="K15" s="18">
        <f>'07'!K36</f>
        <v>118.54791666666665</v>
      </c>
      <c r="L15" s="18">
        <f>'07'!L36</f>
        <v>26.501249999999999</v>
      </c>
      <c r="M15" s="18">
        <f>'07'!M36</f>
        <v>59.015000000000008</v>
      </c>
      <c r="N15" s="18">
        <f>'07'!N36</f>
        <v>156.54583333333332</v>
      </c>
      <c r="O15" s="18">
        <f>'07'!O36</f>
        <v>0</v>
      </c>
      <c r="P15" s="18">
        <f>'07'!P36</f>
        <v>0.63291666666666668</v>
      </c>
      <c r="Q15" s="18">
        <f>'07'!Q36</f>
        <v>4.7754166666666658</v>
      </c>
      <c r="R15" s="36"/>
      <c r="S15" s="36"/>
      <c r="T15" s="36"/>
      <c r="U15" s="36"/>
    </row>
    <row r="16" spans="1:21" s="2" customFormat="1">
      <c r="A16" s="16">
        <f>'08'!$B$2</f>
        <v>45359.041666666664</v>
      </c>
      <c r="B16" s="18">
        <f>'08'!B36</f>
        <v>12.067083333333334</v>
      </c>
      <c r="C16" s="18">
        <f>'08'!C36</f>
        <v>31.196666666666669</v>
      </c>
      <c r="D16" s="18">
        <f>'08'!D36</f>
        <v>27.157916666666676</v>
      </c>
      <c r="E16" s="18">
        <f>'08'!E36</f>
        <v>13.782083333333334</v>
      </c>
      <c r="F16" s="18">
        <f>'08'!F36</f>
        <v>7.4487500000000013</v>
      </c>
      <c r="G16" s="18">
        <f>'08'!G36</f>
        <v>88.327499999999986</v>
      </c>
      <c r="H16" s="18">
        <f>'08'!H36</f>
        <v>31.740000000000006</v>
      </c>
      <c r="I16" s="18">
        <f>'08'!I36</f>
        <v>6.0579166666666664</v>
      </c>
      <c r="J16" s="18">
        <f>'08'!J36</f>
        <v>1.0354166666666667</v>
      </c>
      <c r="K16" s="18">
        <f>'08'!K36</f>
        <v>91.452499999999986</v>
      </c>
      <c r="L16" s="18">
        <f>'08'!L36</f>
        <v>26.950416666666669</v>
      </c>
      <c r="M16" s="18">
        <f>'08'!M36</f>
        <v>39.668333333333329</v>
      </c>
      <c r="N16" s="18">
        <f>'08'!N36</f>
        <v>182.97500000000002</v>
      </c>
      <c r="O16" s="18">
        <f>'08'!O36</f>
        <v>0</v>
      </c>
      <c r="P16" s="18">
        <f>'08'!P36</f>
        <v>0.6791666666666667</v>
      </c>
      <c r="Q16" s="18">
        <f>'08'!Q36</f>
        <v>4.8266666666666662</v>
      </c>
      <c r="R16" s="36"/>
      <c r="S16" s="36"/>
      <c r="T16" s="36"/>
      <c r="U16" s="36"/>
    </row>
    <row r="17" spans="1:24" s="2" customFormat="1">
      <c r="A17" s="16">
        <f>'09'!$B$2</f>
        <v>45360.041666666664</v>
      </c>
      <c r="B17" s="18">
        <f>'09'!B36</f>
        <v>9.0220833333333328</v>
      </c>
      <c r="C17" s="18">
        <f>'09'!C36</f>
        <v>28.984583333333333</v>
      </c>
      <c r="D17" s="18">
        <f>'09'!D36</f>
        <v>23.530000000000005</v>
      </c>
      <c r="E17" s="18">
        <f>'09'!E36</f>
        <v>15.053333333333335</v>
      </c>
      <c r="F17" s="18">
        <f>'09'!F36</f>
        <v>13.038333333333334</v>
      </c>
      <c r="G17" s="18">
        <f>'09'!G36</f>
        <v>77.237499999999997</v>
      </c>
      <c r="H17" s="18">
        <f>'09'!H36</f>
        <v>31.200833333333335</v>
      </c>
      <c r="I17" s="18">
        <f>'09'!I36</f>
        <v>5.350833333333334</v>
      </c>
      <c r="J17" s="18">
        <f>'09'!J36</f>
        <v>0.99624999999999997</v>
      </c>
      <c r="K17" s="18">
        <f>'09'!K36</f>
        <v>138.38874999999999</v>
      </c>
      <c r="L17" s="18">
        <f>'09'!L36</f>
        <v>26.981666666666666</v>
      </c>
      <c r="M17" s="18">
        <f>'09'!M36</f>
        <v>43.08625</v>
      </c>
      <c r="N17" s="18">
        <f>'09'!N36</f>
        <v>186.10833333333332</v>
      </c>
      <c r="O17" s="18">
        <f>'09'!O36</f>
        <v>0</v>
      </c>
      <c r="P17" s="18">
        <f>'09'!P36</f>
        <v>0.6925</v>
      </c>
      <c r="Q17" s="18">
        <f>'09'!Q36</f>
        <v>4.7525000000000004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45361.041666666664</v>
      </c>
      <c r="B18" s="18">
        <f>'10'!B36</f>
        <v>5.805416666666666</v>
      </c>
      <c r="C18" s="18">
        <f>'10'!C36</f>
        <v>27.327500000000004</v>
      </c>
      <c r="D18" s="18">
        <f>'10'!D36</f>
        <v>20.049166666666661</v>
      </c>
      <c r="E18" s="18">
        <f>'10'!E36</f>
        <v>13.520416666666668</v>
      </c>
      <c r="F18" s="18">
        <f>'10'!F36</f>
        <v>9.7725000000000009</v>
      </c>
      <c r="G18" s="18">
        <f>'10'!G36</f>
        <v>84.762083333333337</v>
      </c>
      <c r="H18" s="18">
        <f>'10'!H36</f>
        <v>38.840833333333336</v>
      </c>
      <c r="I18" s="18">
        <f>'10'!I36</f>
        <v>5.8904166666666669</v>
      </c>
      <c r="J18" s="18">
        <f>'10'!J36</f>
        <v>0.73375000000000012</v>
      </c>
      <c r="K18" s="18">
        <f>'10'!K36</f>
        <v>186.42083333333335</v>
      </c>
      <c r="L18" s="18">
        <f>'10'!L36</f>
        <v>28.275000000000002</v>
      </c>
      <c r="M18" s="18">
        <f>'10'!M36</f>
        <v>42.286666666666669</v>
      </c>
      <c r="N18" s="18">
        <f>'10'!N36</f>
        <v>179.79166666666663</v>
      </c>
      <c r="O18" s="18">
        <f>'10'!O36</f>
        <v>0</v>
      </c>
      <c r="P18" s="18">
        <f>'10'!P36</f>
        <v>0.70499999999999996</v>
      </c>
      <c r="Q18" s="18">
        <f>'10'!Q36</f>
        <v>4.746666666666667</v>
      </c>
      <c r="R18" s="36"/>
      <c r="S18" s="36"/>
      <c r="T18" s="36"/>
      <c r="U18" s="36"/>
    </row>
    <row r="19" spans="1:24" s="2" customFormat="1">
      <c r="A19" s="16">
        <f>'11'!$B$2</f>
        <v>45362.041666666664</v>
      </c>
      <c r="B19" s="18">
        <f>'11'!B36</f>
        <v>5.9775</v>
      </c>
      <c r="C19" s="18">
        <f>'11'!C36</f>
        <v>24.962916666666661</v>
      </c>
      <c r="D19" s="18">
        <f>'11'!D36</f>
        <v>19.031249999999996</v>
      </c>
      <c r="E19" s="18">
        <f>'11'!E36</f>
        <v>11.225833333333334</v>
      </c>
      <c r="F19" s="18">
        <f>'11'!F36</f>
        <v>8.8370833333333341</v>
      </c>
      <c r="G19" s="18">
        <f>'11'!G36</f>
        <v>78.914166666666674</v>
      </c>
      <c r="H19" s="18">
        <f>'11'!H36</f>
        <v>33.846666666666664</v>
      </c>
      <c r="I19" s="18">
        <f>'11'!I36</f>
        <v>6.8308333333333335</v>
      </c>
      <c r="J19" s="18">
        <f>'11'!J36</f>
        <v>0.58416666666666661</v>
      </c>
      <c r="K19" s="18">
        <f>'11'!K36</f>
        <v>199.58875</v>
      </c>
      <c r="L19" s="18">
        <f>'11'!L36</f>
        <v>29.315000000000001</v>
      </c>
      <c r="M19" s="18">
        <f>'11'!M36</f>
        <v>51.707916666666655</v>
      </c>
      <c r="N19" s="18">
        <f>'11'!N36</f>
        <v>153.45416666666668</v>
      </c>
      <c r="O19" s="18">
        <f>'11'!O36</f>
        <v>0</v>
      </c>
      <c r="P19" s="18">
        <f>'11'!P36</f>
        <v>0.71499999999999997</v>
      </c>
      <c r="Q19" s="18">
        <f>'11'!Q36</f>
        <v>4.6999999999999993</v>
      </c>
      <c r="R19" s="36"/>
      <c r="S19" s="36"/>
      <c r="T19" s="36"/>
      <c r="U19" s="36"/>
    </row>
    <row r="20" spans="1:24" s="2" customFormat="1">
      <c r="A20" s="16">
        <f>'12'!$B$2</f>
        <v>45363.041666666664</v>
      </c>
      <c r="B20" s="18">
        <f>'12'!B36</f>
        <v>11.307499999999999</v>
      </c>
      <c r="C20" s="18">
        <f>'12'!C36</f>
        <v>28.677916666666661</v>
      </c>
      <c r="D20" s="18">
        <f>'12'!D36</f>
        <v>25.112916666666667</v>
      </c>
      <c r="E20" s="18">
        <f>'12'!E36</f>
        <v>11.3725</v>
      </c>
      <c r="F20" s="18">
        <f>'12'!F36</f>
        <v>8.6833333333333353</v>
      </c>
      <c r="G20" s="18">
        <f>'12'!G36</f>
        <v>81.792500000000004</v>
      </c>
      <c r="H20" s="18">
        <f>'12'!H36</f>
        <v>35.566666666666663</v>
      </c>
      <c r="I20" s="18">
        <f>'12'!I36</f>
        <v>8.7283333333333335</v>
      </c>
      <c r="J20" s="18">
        <f>'12'!J36</f>
        <v>0.51583333333333337</v>
      </c>
      <c r="K20" s="18">
        <f>'12'!K36</f>
        <v>245.65791666666664</v>
      </c>
      <c r="L20" s="18">
        <f>'12'!L36</f>
        <v>29.944166666666664</v>
      </c>
      <c r="M20" s="18">
        <f>'12'!M36</f>
        <v>50.285416666666663</v>
      </c>
      <c r="N20" s="18">
        <f>'12'!N36</f>
        <v>169.5</v>
      </c>
      <c r="O20" s="18">
        <f>'12'!O36</f>
        <v>0</v>
      </c>
      <c r="P20" s="18">
        <f>'12'!P36</f>
        <v>0.86916666666666675</v>
      </c>
      <c r="Q20" s="18">
        <f>'12'!Q36</f>
        <v>4.746666666666667</v>
      </c>
      <c r="R20" s="36"/>
      <c r="S20" s="36"/>
      <c r="T20" s="36"/>
      <c r="U20" s="36"/>
    </row>
    <row r="21" spans="1:24" s="2" customFormat="1">
      <c r="A21" s="16">
        <f>'13'!$B$2</f>
        <v>45364.041666666664</v>
      </c>
      <c r="B21" s="18">
        <f>'13'!B36</f>
        <v>14.090833333333334</v>
      </c>
      <c r="C21" s="18">
        <f>'13'!C36</f>
        <v>30.159166666666668</v>
      </c>
      <c r="D21" s="18">
        <f>'13'!D36</f>
        <v>28.126250000000002</v>
      </c>
      <c r="E21" s="18">
        <f>'13'!E36</f>
        <v>12.733333333333333</v>
      </c>
      <c r="F21" s="18">
        <f>'13'!F36</f>
        <v>8.6791666666666671</v>
      </c>
      <c r="G21" s="18">
        <f>'13'!G36</f>
        <v>86.932083333333324</v>
      </c>
      <c r="H21" s="18">
        <f>'13'!H36</f>
        <v>34.65124999999999</v>
      </c>
      <c r="I21" s="18">
        <f>'13'!I36</f>
        <v>10.645000000000001</v>
      </c>
      <c r="J21" s="18">
        <f>'13'!J36</f>
        <v>0.66874999999999984</v>
      </c>
      <c r="K21" s="18">
        <f>'13'!K36</f>
        <v>265.59874999999994</v>
      </c>
      <c r="L21" s="18">
        <f>'13'!L36</f>
        <v>30.420833333333331</v>
      </c>
      <c r="M21" s="18">
        <f>'13'!M36</f>
        <v>43.802916666666668</v>
      </c>
      <c r="N21" s="18">
        <f>'13'!N36</f>
        <v>165.98749999999998</v>
      </c>
      <c r="O21" s="18">
        <f>'13'!O36</f>
        <v>0</v>
      </c>
      <c r="P21" s="18">
        <f>'13'!P36</f>
        <v>0.92875000000000008</v>
      </c>
      <c r="Q21" s="18">
        <f>'13'!Q36</f>
        <v>4.7995833333333326</v>
      </c>
      <c r="R21" s="36"/>
      <c r="S21" s="36"/>
      <c r="T21" s="36"/>
      <c r="U21" s="36"/>
    </row>
    <row r="22" spans="1:24" s="2" customFormat="1">
      <c r="A22" s="16">
        <f>'14'!$B$2</f>
        <v>0</v>
      </c>
      <c r="B22" s="18" t="e">
        <f>'14'!B36</f>
        <v>#DIV/0!</v>
      </c>
      <c r="C22" s="18" t="e">
        <f>'14'!C36</f>
        <v>#DIV/0!</v>
      </c>
      <c r="D22" s="18" t="e">
        <f>'14'!D36</f>
        <v>#DIV/0!</v>
      </c>
      <c r="E22" s="18" t="e">
        <f>'14'!E36</f>
        <v>#DIV/0!</v>
      </c>
      <c r="F22" s="18" t="e">
        <f>'14'!F36</f>
        <v>#DIV/0!</v>
      </c>
      <c r="G22" s="18" t="e">
        <f>'14'!G36</f>
        <v>#DIV/0!</v>
      </c>
      <c r="H22" s="18" t="e">
        <f>'14'!H36</f>
        <v>#DIV/0!</v>
      </c>
      <c r="I22" s="18" t="e">
        <f>'14'!I36</f>
        <v>#DIV/0!</v>
      </c>
      <c r="J22" s="18" t="e">
        <f>'14'!J36</f>
        <v>#DIV/0!</v>
      </c>
      <c r="K22" s="18" t="e">
        <f>'14'!K36</f>
        <v>#DIV/0!</v>
      </c>
      <c r="L22" s="18" t="e">
        <f>'14'!L36</f>
        <v>#DIV/0!</v>
      </c>
      <c r="M22" s="18" t="e">
        <f>'14'!M36</f>
        <v>#DIV/0!</v>
      </c>
      <c r="N22" s="18" t="e">
        <f>'14'!N36</f>
        <v>#DIV/0!</v>
      </c>
      <c r="O22" s="18" t="e">
        <f>'14'!O36</f>
        <v>#DIV/0!</v>
      </c>
      <c r="P22" s="18" t="e">
        <f>'14'!P36</f>
        <v>#DIV/0!</v>
      </c>
      <c r="Q22" s="18" t="e">
        <f>'14'!Q36</f>
        <v>#DIV/0!</v>
      </c>
      <c r="R22" s="38"/>
      <c r="S22" s="38"/>
      <c r="T22" s="38"/>
      <c r="U22" s="38"/>
    </row>
    <row r="23" spans="1:24" s="2" customFormat="1">
      <c r="A23" s="16">
        <f>'15'!$B$2</f>
        <v>0</v>
      </c>
      <c r="B23" s="19" t="e">
        <f>'15'!B36</f>
        <v>#DIV/0!</v>
      </c>
      <c r="C23" s="19" t="e">
        <f>'15'!C36</f>
        <v>#DIV/0!</v>
      </c>
      <c r="D23" s="19" t="e">
        <f>'15'!D36</f>
        <v>#DIV/0!</v>
      </c>
      <c r="E23" s="19" t="e">
        <f>'15'!E36</f>
        <v>#DIV/0!</v>
      </c>
      <c r="F23" s="19" t="e">
        <f>'15'!F36</f>
        <v>#DIV/0!</v>
      </c>
      <c r="G23" s="19" t="e">
        <f>'15'!G36</f>
        <v>#DIV/0!</v>
      </c>
      <c r="H23" s="19" t="e">
        <f>'15'!H36</f>
        <v>#DIV/0!</v>
      </c>
      <c r="I23" s="19" t="e">
        <f>'15'!I36</f>
        <v>#DIV/0!</v>
      </c>
      <c r="J23" s="19" t="e">
        <f>'15'!J36</f>
        <v>#DIV/0!</v>
      </c>
      <c r="K23" s="19" t="e">
        <f>'15'!K36</f>
        <v>#DIV/0!</v>
      </c>
      <c r="L23" s="19" t="e">
        <f>'15'!L36</f>
        <v>#DIV/0!</v>
      </c>
      <c r="M23" s="19" t="e">
        <f>'15'!M36</f>
        <v>#DIV/0!</v>
      </c>
      <c r="N23" s="19" t="e">
        <f>'15'!N36</f>
        <v>#DIV/0!</v>
      </c>
      <c r="O23" s="19" t="e">
        <f>'15'!O36</f>
        <v>#DIV/0!</v>
      </c>
      <c r="P23" s="19" t="e">
        <f>'15'!P36</f>
        <v>#DIV/0!</v>
      </c>
      <c r="Q23" s="19" t="e">
        <f>'15'!Q36</f>
        <v>#DIV/0!</v>
      </c>
      <c r="R23" s="38"/>
      <c r="S23" s="38"/>
      <c r="T23" s="38"/>
      <c r="U23" s="36"/>
    </row>
    <row r="24" spans="1:24" s="2" customFormat="1">
      <c r="A24" s="16">
        <f>'16'!$B$2</f>
        <v>0</v>
      </c>
      <c r="B24" s="18" t="e">
        <f>'16'!B36</f>
        <v>#DIV/0!</v>
      </c>
      <c r="C24" s="18" t="e">
        <f>'16'!C36</f>
        <v>#DIV/0!</v>
      </c>
      <c r="D24" s="18" t="e">
        <f>'16'!D36</f>
        <v>#DIV/0!</v>
      </c>
      <c r="E24" s="18" t="e">
        <f>'16'!E36</f>
        <v>#DIV/0!</v>
      </c>
      <c r="F24" s="18" t="e">
        <f>'16'!F36</f>
        <v>#DIV/0!</v>
      </c>
      <c r="G24" s="18" t="e">
        <f>'16'!G36</f>
        <v>#DIV/0!</v>
      </c>
      <c r="H24" s="18" t="e">
        <f>'16'!H36</f>
        <v>#DIV/0!</v>
      </c>
      <c r="I24" s="18" t="e">
        <f>'16'!I36</f>
        <v>#DIV/0!</v>
      </c>
      <c r="J24" s="18" t="e">
        <f>'16'!J36</f>
        <v>#DIV/0!</v>
      </c>
      <c r="K24" s="18" t="e">
        <f>'16'!K36</f>
        <v>#DIV/0!</v>
      </c>
      <c r="L24" s="18" t="e">
        <f>'16'!L36</f>
        <v>#DIV/0!</v>
      </c>
      <c r="M24" s="18" t="e">
        <f>'16'!M36</f>
        <v>#DIV/0!</v>
      </c>
      <c r="N24" s="18" t="e">
        <f>'16'!N36</f>
        <v>#DIV/0!</v>
      </c>
      <c r="O24" s="18" t="e">
        <f>'16'!O36</f>
        <v>#DIV/0!</v>
      </c>
      <c r="P24" s="18" t="e">
        <f>'16'!P36</f>
        <v>#DIV/0!</v>
      </c>
      <c r="Q24" s="18" t="e">
        <f>'16'!Q36</f>
        <v>#DIV/0!</v>
      </c>
      <c r="R24" s="38"/>
      <c r="S24" s="38"/>
      <c r="T24" s="38"/>
      <c r="U24" s="36"/>
    </row>
    <row r="25" spans="1:24" s="2" customFormat="1">
      <c r="A25" s="16">
        <f>'17'!$B$2</f>
        <v>0</v>
      </c>
      <c r="B25" s="18" t="e">
        <f>'17'!B36</f>
        <v>#DIV/0!</v>
      </c>
      <c r="C25" s="18" t="e">
        <f>'17'!C36</f>
        <v>#DIV/0!</v>
      </c>
      <c r="D25" s="18" t="e">
        <f>'17'!D36</f>
        <v>#DIV/0!</v>
      </c>
      <c r="E25" s="18" t="e">
        <f>'17'!E36</f>
        <v>#DIV/0!</v>
      </c>
      <c r="F25" s="18" t="e">
        <f>'17'!F36</f>
        <v>#DIV/0!</v>
      </c>
      <c r="G25" s="18" t="e">
        <f>'17'!G36</f>
        <v>#DIV/0!</v>
      </c>
      <c r="H25" s="18" t="e">
        <f>'17'!H36</f>
        <v>#DIV/0!</v>
      </c>
      <c r="I25" s="18" t="e">
        <f>'17'!I36</f>
        <v>#DIV/0!</v>
      </c>
      <c r="J25" s="18" t="e">
        <f>'17'!J36</f>
        <v>#DIV/0!</v>
      </c>
      <c r="K25" s="18" t="e">
        <f>'17'!K36</f>
        <v>#DIV/0!</v>
      </c>
      <c r="L25" s="18" t="e">
        <f>'17'!L36</f>
        <v>#DIV/0!</v>
      </c>
      <c r="M25" s="18" t="e">
        <f>'17'!M36</f>
        <v>#DIV/0!</v>
      </c>
      <c r="N25" s="18" t="e">
        <f>'17'!N36</f>
        <v>#DIV/0!</v>
      </c>
      <c r="O25" s="18" t="e">
        <f>'17'!O36</f>
        <v>#DIV/0!</v>
      </c>
      <c r="P25" s="18" t="e">
        <f>'17'!P36</f>
        <v>#DIV/0!</v>
      </c>
      <c r="Q25" s="18" t="e">
        <f>'17'!Q36</f>
        <v>#DIV/0!</v>
      </c>
      <c r="R25" s="38"/>
      <c r="S25" s="38"/>
      <c r="T25" s="38"/>
      <c r="U25" s="36"/>
    </row>
    <row r="26" spans="1:24" s="2" customFormat="1">
      <c r="A26" s="16">
        <f>'18'!$B$2</f>
        <v>0</v>
      </c>
      <c r="B26" s="18" t="e">
        <f>'18'!B36</f>
        <v>#DIV/0!</v>
      </c>
      <c r="C26" s="18" t="e">
        <f>'18'!C36</f>
        <v>#DIV/0!</v>
      </c>
      <c r="D26" s="18" t="e">
        <f>'18'!D36</f>
        <v>#DIV/0!</v>
      </c>
      <c r="E26" s="18" t="e">
        <f>'18'!E36</f>
        <v>#DIV/0!</v>
      </c>
      <c r="F26" s="18" t="e">
        <f>'18'!F36</f>
        <v>#DIV/0!</v>
      </c>
      <c r="G26" s="18" t="e">
        <f>'18'!G36</f>
        <v>#DIV/0!</v>
      </c>
      <c r="H26" s="18" t="e">
        <f>'18'!H36</f>
        <v>#DIV/0!</v>
      </c>
      <c r="I26" s="18" t="e">
        <f>'18'!I36</f>
        <v>#DIV/0!</v>
      </c>
      <c r="J26" s="18" t="e">
        <f>'18'!J36</f>
        <v>#DIV/0!</v>
      </c>
      <c r="K26" s="18" t="e">
        <f>'18'!K36</f>
        <v>#DIV/0!</v>
      </c>
      <c r="L26" s="18" t="e">
        <f>'18'!L36</f>
        <v>#DIV/0!</v>
      </c>
      <c r="M26" s="18" t="e">
        <f>'18'!M36</f>
        <v>#DIV/0!</v>
      </c>
      <c r="N26" s="18" t="e">
        <f>'18'!N36</f>
        <v>#DIV/0!</v>
      </c>
      <c r="O26" s="18" t="e">
        <f>'18'!O36</f>
        <v>#DIV/0!</v>
      </c>
      <c r="P26" s="18" t="e">
        <f>'18'!P36</f>
        <v>#DIV/0!</v>
      </c>
      <c r="Q26" s="18" t="e">
        <f>'18'!Q36</f>
        <v>#DIV/0!</v>
      </c>
      <c r="R26" s="38"/>
      <c r="S26" s="38"/>
      <c r="T26" s="38"/>
      <c r="U26" s="36"/>
    </row>
    <row r="27" spans="1:24" s="2" customFormat="1">
      <c r="A27" s="16">
        <f>'19'!$B$2</f>
        <v>0</v>
      </c>
      <c r="B27" s="18" t="e">
        <f>'19'!B36</f>
        <v>#DIV/0!</v>
      </c>
      <c r="C27" s="18" t="e">
        <f>'19'!C36</f>
        <v>#DIV/0!</v>
      </c>
      <c r="D27" s="18" t="e">
        <f>'19'!D36</f>
        <v>#DIV/0!</v>
      </c>
      <c r="E27" s="18" t="e">
        <f>'19'!E36</f>
        <v>#DIV/0!</v>
      </c>
      <c r="F27" s="18" t="e">
        <f>'19'!F36</f>
        <v>#DIV/0!</v>
      </c>
      <c r="G27" s="18" t="e">
        <f>'19'!G36</f>
        <v>#DIV/0!</v>
      </c>
      <c r="H27" s="18" t="e">
        <f>'19'!H36</f>
        <v>#DIV/0!</v>
      </c>
      <c r="I27" s="18" t="e">
        <f>'19'!I36</f>
        <v>#DIV/0!</v>
      </c>
      <c r="J27" s="18" t="e">
        <f>'19'!J36</f>
        <v>#DIV/0!</v>
      </c>
      <c r="K27" s="18" t="e">
        <f>'19'!K36</f>
        <v>#DIV/0!</v>
      </c>
      <c r="L27" s="18" t="e">
        <f>'19'!L36</f>
        <v>#DIV/0!</v>
      </c>
      <c r="M27" s="18" t="e">
        <f>'19'!M36</f>
        <v>#DIV/0!</v>
      </c>
      <c r="N27" s="18" t="e">
        <f>'19'!N36</f>
        <v>#DIV/0!</v>
      </c>
      <c r="O27" s="18" t="e">
        <f>'19'!O36</f>
        <v>#DIV/0!</v>
      </c>
      <c r="P27" s="18" t="e">
        <f>'19'!P36</f>
        <v>#DIV/0!</v>
      </c>
      <c r="Q27" s="18" t="e">
        <f>'19'!Q36</f>
        <v>#DIV/0!</v>
      </c>
      <c r="R27" s="38"/>
      <c r="S27" s="38"/>
      <c r="T27" s="38"/>
      <c r="U27" s="36"/>
    </row>
    <row r="28" spans="1:24" s="2" customFormat="1">
      <c r="A28" s="16">
        <f>'20'!$B$2</f>
        <v>0</v>
      </c>
      <c r="B28" s="18" t="e">
        <f>'20'!B36</f>
        <v>#DIV/0!</v>
      </c>
      <c r="C28" s="18" t="e">
        <f>'20'!C36</f>
        <v>#DIV/0!</v>
      </c>
      <c r="D28" s="18" t="e">
        <f>'20'!D36</f>
        <v>#DIV/0!</v>
      </c>
      <c r="E28" s="18" t="e">
        <f>'20'!E36</f>
        <v>#DIV/0!</v>
      </c>
      <c r="F28" s="18" t="e">
        <f>'20'!F36</f>
        <v>#DIV/0!</v>
      </c>
      <c r="G28" s="18" t="e">
        <f>'20'!G36</f>
        <v>#DIV/0!</v>
      </c>
      <c r="H28" s="18" t="e">
        <f>'20'!H36</f>
        <v>#DIV/0!</v>
      </c>
      <c r="I28" s="18" t="e">
        <f>'20'!I36</f>
        <v>#DIV/0!</v>
      </c>
      <c r="J28" s="18" t="e">
        <f>'20'!J36</f>
        <v>#DIV/0!</v>
      </c>
      <c r="K28" s="18" t="e">
        <f>'20'!K36</f>
        <v>#DIV/0!</v>
      </c>
      <c r="L28" s="18" t="e">
        <f>'20'!L36</f>
        <v>#DIV/0!</v>
      </c>
      <c r="M28" s="18" t="e">
        <f>'20'!M36</f>
        <v>#DIV/0!</v>
      </c>
      <c r="N28" s="18" t="e">
        <f>'20'!N36</f>
        <v>#DIV/0!</v>
      </c>
      <c r="O28" s="18" t="e">
        <f>'20'!O36</f>
        <v>#DIV/0!</v>
      </c>
      <c r="P28" s="18" t="e">
        <f>'20'!P36</f>
        <v>#DIV/0!</v>
      </c>
      <c r="Q28" s="18" t="e">
        <f>'20'!Q36</f>
        <v>#DIV/0!</v>
      </c>
      <c r="R28" s="38"/>
      <c r="S28" s="38"/>
      <c r="T28" s="38"/>
      <c r="U28" s="36"/>
    </row>
    <row r="29" spans="1:24" s="2" customFormat="1">
      <c r="A29" s="16">
        <f>'21'!$B$2</f>
        <v>0</v>
      </c>
      <c r="B29" s="18" t="e">
        <f>'21'!B36</f>
        <v>#DIV/0!</v>
      </c>
      <c r="C29" s="18" t="e">
        <f>'21'!C36</f>
        <v>#DIV/0!</v>
      </c>
      <c r="D29" s="18" t="e">
        <f>'21'!D36</f>
        <v>#DIV/0!</v>
      </c>
      <c r="E29" s="18" t="e">
        <f>'21'!E36</f>
        <v>#DIV/0!</v>
      </c>
      <c r="F29" s="18" t="e">
        <f>'21'!F36</f>
        <v>#DIV/0!</v>
      </c>
      <c r="G29" s="18" t="e">
        <f>'21'!G36</f>
        <v>#DIV/0!</v>
      </c>
      <c r="H29" s="18" t="e">
        <f>'21'!H36</f>
        <v>#DIV/0!</v>
      </c>
      <c r="I29" s="18" t="e">
        <f>'21'!I36</f>
        <v>#DIV/0!</v>
      </c>
      <c r="J29" s="18" t="e">
        <f>'21'!J36</f>
        <v>#DIV/0!</v>
      </c>
      <c r="K29" s="18" t="e">
        <f>'21'!K36</f>
        <v>#DIV/0!</v>
      </c>
      <c r="L29" s="18" t="e">
        <f>'21'!L36</f>
        <v>#DIV/0!</v>
      </c>
      <c r="M29" s="18" t="e">
        <f>'21'!M36</f>
        <v>#DIV/0!</v>
      </c>
      <c r="N29" s="18" t="e">
        <f>'21'!N36</f>
        <v>#DIV/0!</v>
      </c>
      <c r="O29" s="18" t="e">
        <f>'21'!O36</f>
        <v>#DIV/0!</v>
      </c>
      <c r="P29" s="18" t="e">
        <f>'21'!P36</f>
        <v>#DIV/0!</v>
      </c>
      <c r="Q29" s="18" t="e">
        <f>'21'!Q36</f>
        <v>#DIV/0!</v>
      </c>
      <c r="R29" s="38"/>
      <c r="S29" s="38"/>
      <c r="T29" s="38"/>
      <c r="U29" s="36"/>
    </row>
    <row r="30" spans="1:24" s="2" customFormat="1">
      <c r="A30" s="16">
        <f>'22'!$B$2</f>
        <v>0</v>
      </c>
      <c r="B30" s="18" t="e">
        <f>'22'!B36</f>
        <v>#DIV/0!</v>
      </c>
      <c r="C30" s="18" t="e">
        <f>'22'!C36</f>
        <v>#DIV/0!</v>
      </c>
      <c r="D30" s="18" t="e">
        <f>'22'!D36</f>
        <v>#DIV/0!</v>
      </c>
      <c r="E30" s="18" t="e">
        <f>'22'!E36</f>
        <v>#DIV/0!</v>
      </c>
      <c r="F30" s="18" t="e">
        <f>'22'!F36</f>
        <v>#DIV/0!</v>
      </c>
      <c r="G30" s="18" t="e">
        <f>'22'!G36</f>
        <v>#DIV/0!</v>
      </c>
      <c r="H30" s="18" t="e">
        <f>'22'!H36</f>
        <v>#DIV/0!</v>
      </c>
      <c r="I30" s="18" t="e">
        <f>'22'!I36</f>
        <v>#DIV/0!</v>
      </c>
      <c r="J30" s="18" t="e">
        <f>'22'!J36</f>
        <v>#DIV/0!</v>
      </c>
      <c r="K30" s="18" t="e">
        <f>'22'!K36</f>
        <v>#DIV/0!</v>
      </c>
      <c r="L30" s="18" t="e">
        <f>'22'!L36</f>
        <v>#DIV/0!</v>
      </c>
      <c r="M30" s="18" t="e">
        <f>'22'!M36</f>
        <v>#DIV/0!</v>
      </c>
      <c r="N30" s="18" t="e">
        <f>'22'!N36</f>
        <v>#DIV/0!</v>
      </c>
      <c r="O30" s="18" t="e">
        <f>'22'!O36</f>
        <v>#DIV/0!</v>
      </c>
      <c r="P30" s="18" t="e">
        <f>'22'!P36</f>
        <v>#DIV/0!</v>
      </c>
      <c r="Q30" s="18" t="e">
        <f>'22'!Q36</f>
        <v>#DIV/0!</v>
      </c>
      <c r="R30" s="38"/>
      <c r="S30" s="36"/>
      <c r="T30" s="36"/>
      <c r="U30" s="36"/>
    </row>
    <row r="31" spans="1:24" s="2" customFormat="1">
      <c r="A31" s="16">
        <f>'23'!$B$2</f>
        <v>0</v>
      </c>
      <c r="B31" s="18" t="e">
        <f>'23'!B36</f>
        <v>#DIV/0!</v>
      </c>
      <c r="C31" s="18" t="e">
        <f>'23'!C36</f>
        <v>#DIV/0!</v>
      </c>
      <c r="D31" s="18" t="e">
        <f>'23'!D36</f>
        <v>#DIV/0!</v>
      </c>
      <c r="E31" s="18" t="e">
        <f>'23'!E36</f>
        <v>#DIV/0!</v>
      </c>
      <c r="F31" s="18" t="e">
        <f>'23'!F36</f>
        <v>#DIV/0!</v>
      </c>
      <c r="G31" s="18" t="e">
        <f>'23'!G36</f>
        <v>#DIV/0!</v>
      </c>
      <c r="H31" s="18" t="e">
        <f>'23'!H36</f>
        <v>#DIV/0!</v>
      </c>
      <c r="I31" s="18" t="e">
        <f>'23'!I36</f>
        <v>#DIV/0!</v>
      </c>
      <c r="J31" s="18" t="e">
        <f>'23'!J36</f>
        <v>#DIV/0!</v>
      </c>
      <c r="K31" s="18" t="e">
        <f>'23'!K36</f>
        <v>#DIV/0!</v>
      </c>
      <c r="L31" s="18" t="e">
        <f>'23'!L36</f>
        <v>#DIV/0!</v>
      </c>
      <c r="M31" s="18" t="e">
        <f>'23'!M36</f>
        <v>#DIV/0!</v>
      </c>
      <c r="N31" s="18" t="e">
        <f>'23'!N36</f>
        <v>#DIV/0!</v>
      </c>
      <c r="O31" s="18" t="e">
        <f>'23'!O36</f>
        <v>#DIV/0!</v>
      </c>
      <c r="P31" s="18" t="e">
        <f>'23'!P36</f>
        <v>#DIV/0!</v>
      </c>
      <c r="Q31" s="18" t="e">
        <f>'23'!Q36</f>
        <v>#DIV/0!</v>
      </c>
      <c r="R31" s="36"/>
      <c r="S31" s="36"/>
      <c r="T31" s="36"/>
      <c r="U31" s="36"/>
    </row>
    <row r="32" spans="1:24" s="2" customFormat="1">
      <c r="A32" s="16">
        <f>'24'!$B$2</f>
        <v>0</v>
      </c>
      <c r="B32" s="18" t="e">
        <f>'24'!B36</f>
        <v>#DIV/0!</v>
      </c>
      <c r="C32" s="18" t="e">
        <f>'24'!C36</f>
        <v>#DIV/0!</v>
      </c>
      <c r="D32" s="18" t="e">
        <f>'24'!D36</f>
        <v>#DIV/0!</v>
      </c>
      <c r="E32" s="18" t="e">
        <f>'24'!E36</f>
        <v>#DIV/0!</v>
      </c>
      <c r="F32" s="18" t="e">
        <f>'24'!F36</f>
        <v>#DIV/0!</v>
      </c>
      <c r="G32" s="18" t="e">
        <f>'24'!G36</f>
        <v>#DIV/0!</v>
      </c>
      <c r="H32" s="18" t="e">
        <f>'24'!H36</f>
        <v>#DIV/0!</v>
      </c>
      <c r="I32" s="18" t="e">
        <f>'24'!I36</f>
        <v>#DIV/0!</v>
      </c>
      <c r="J32" s="18" t="e">
        <f>'24'!J36</f>
        <v>#DIV/0!</v>
      </c>
      <c r="K32" s="18" t="e">
        <f>'24'!K36</f>
        <v>#DIV/0!</v>
      </c>
      <c r="L32" s="18" t="e">
        <f>'24'!L36</f>
        <v>#DIV/0!</v>
      </c>
      <c r="M32" s="18" t="e">
        <f>'24'!M36</f>
        <v>#DIV/0!</v>
      </c>
      <c r="N32" s="18" t="e">
        <f>'24'!N36</f>
        <v>#DIV/0!</v>
      </c>
      <c r="O32" s="18" t="e">
        <f>'24'!O36</f>
        <v>#DIV/0!</v>
      </c>
      <c r="P32" s="18" t="e">
        <f>'24'!P36</f>
        <v>#DIV/0!</v>
      </c>
      <c r="Q32" s="18" t="e">
        <f>'24'!Q36</f>
        <v>#DIV/0!</v>
      </c>
      <c r="R32" s="36"/>
      <c r="S32" s="36"/>
      <c r="T32" s="36"/>
      <c r="U32" s="36"/>
    </row>
    <row r="33" spans="1:21" s="2" customFormat="1">
      <c r="A33" s="16">
        <f>'25'!$B$2</f>
        <v>0</v>
      </c>
      <c r="B33" s="18" t="e">
        <f>'25'!B36</f>
        <v>#DIV/0!</v>
      </c>
      <c r="C33" s="18" t="e">
        <f>'25'!C36</f>
        <v>#DIV/0!</v>
      </c>
      <c r="D33" s="18" t="e">
        <f>'25'!D36</f>
        <v>#DIV/0!</v>
      </c>
      <c r="E33" s="18" t="e">
        <f>'25'!E36</f>
        <v>#DIV/0!</v>
      </c>
      <c r="F33" s="18" t="e">
        <f>'25'!F36</f>
        <v>#DIV/0!</v>
      </c>
      <c r="G33" s="18" t="e">
        <f>'25'!G36</f>
        <v>#DIV/0!</v>
      </c>
      <c r="H33" s="18" t="e">
        <f>'25'!H36</f>
        <v>#DIV/0!</v>
      </c>
      <c r="I33" s="18" t="e">
        <f>'25'!I36</f>
        <v>#DIV/0!</v>
      </c>
      <c r="J33" s="18" t="e">
        <f>'25'!J36</f>
        <v>#DIV/0!</v>
      </c>
      <c r="K33" s="18" t="e">
        <f>'25'!K36</f>
        <v>#DIV/0!</v>
      </c>
      <c r="L33" s="18" t="e">
        <f>'25'!L36</f>
        <v>#DIV/0!</v>
      </c>
      <c r="M33" s="18" t="e">
        <f>'25'!M36</f>
        <v>#DIV/0!</v>
      </c>
      <c r="N33" s="18" t="e">
        <f>'25'!N36</f>
        <v>#DIV/0!</v>
      </c>
      <c r="O33" s="18" t="e">
        <f>'25'!O36</f>
        <v>#DIV/0!</v>
      </c>
      <c r="P33" s="18" t="e">
        <f>'25'!P36</f>
        <v>#DIV/0!</v>
      </c>
      <c r="Q33" s="18" t="e">
        <f>'25'!Q36</f>
        <v>#DIV/0!</v>
      </c>
      <c r="R33" s="36"/>
      <c r="S33" s="36"/>
      <c r="T33" s="36"/>
      <c r="U33" s="36"/>
    </row>
    <row r="34" spans="1:21" s="2" customFormat="1">
      <c r="A34" s="16">
        <f>'26'!$B$2</f>
        <v>0</v>
      </c>
      <c r="B34" s="18" t="e">
        <f>'26'!B36</f>
        <v>#DIV/0!</v>
      </c>
      <c r="C34" s="18" t="e">
        <f>'26'!C36</f>
        <v>#DIV/0!</v>
      </c>
      <c r="D34" s="18" t="e">
        <f>'26'!D36</f>
        <v>#DIV/0!</v>
      </c>
      <c r="E34" s="18" t="e">
        <f>'26'!E36</f>
        <v>#DIV/0!</v>
      </c>
      <c r="F34" s="18" t="e">
        <f>'26'!F36</f>
        <v>#DIV/0!</v>
      </c>
      <c r="G34" s="18" t="e">
        <f>'26'!G36</f>
        <v>#DIV/0!</v>
      </c>
      <c r="H34" s="18" t="e">
        <f>'26'!H36</f>
        <v>#DIV/0!</v>
      </c>
      <c r="I34" s="18" t="e">
        <f>'26'!I36</f>
        <v>#DIV/0!</v>
      </c>
      <c r="J34" s="18" t="e">
        <f>'26'!J36</f>
        <v>#DIV/0!</v>
      </c>
      <c r="K34" s="18" t="e">
        <f>'26'!K36</f>
        <v>#DIV/0!</v>
      </c>
      <c r="L34" s="18" t="e">
        <f>'26'!L36</f>
        <v>#DIV/0!</v>
      </c>
      <c r="M34" s="18" t="e">
        <f>'26'!M36</f>
        <v>#DIV/0!</v>
      </c>
      <c r="N34" s="18" t="e">
        <f>'26'!N36</f>
        <v>#DIV/0!</v>
      </c>
      <c r="O34" s="18" t="e">
        <f>'26'!O36</f>
        <v>#DIV/0!</v>
      </c>
      <c r="P34" s="18" t="e">
        <f>'26'!P36</f>
        <v>#DIV/0!</v>
      </c>
      <c r="Q34" s="18" t="e">
        <f>'26'!Q36</f>
        <v>#DIV/0!</v>
      </c>
      <c r="R34" s="36"/>
      <c r="S34" s="36"/>
      <c r="T34" s="36"/>
      <c r="U34" s="36"/>
    </row>
    <row r="35" spans="1:21" s="2" customFormat="1">
      <c r="A35" s="16">
        <f>'27'!$B$2</f>
        <v>0</v>
      </c>
      <c r="B35" s="18" t="e">
        <f>'27'!B36</f>
        <v>#DIV/0!</v>
      </c>
      <c r="C35" s="18" t="e">
        <f>'27'!C36</f>
        <v>#DIV/0!</v>
      </c>
      <c r="D35" s="18" t="e">
        <f>'27'!D36</f>
        <v>#DIV/0!</v>
      </c>
      <c r="E35" s="18" t="e">
        <f>'27'!E36</f>
        <v>#DIV/0!</v>
      </c>
      <c r="F35" s="18" t="e">
        <f>'27'!F36</f>
        <v>#DIV/0!</v>
      </c>
      <c r="G35" s="18" t="e">
        <f>'27'!G36</f>
        <v>#DIV/0!</v>
      </c>
      <c r="H35" s="18" t="e">
        <f>'27'!H36</f>
        <v>#DIV/0!</v>
      </c>
      <c r="I35" s="18" t="e">
        <f>'27'!I36</f>
        <v>#DIV/0!</v>
      </c>
      <c r="J35" s="18" t="e">
        <f>'27'!J36</f>
        <v>#DIV/0!</v>
      </c>
      <c r="K35" s="18" t="e">
        <f>'27'!K36</f>
        <v>#DIV/0!</v>
      </c>
      <c r="L35" s="18" t="e">
        <f>'27'!L36</f>
        <v>#DIV/0!</v>
      </c>
      <c r="M35" s="18" t="e">
        <f>'27'!M36</f>
        <v>#DIV/0!</v>
      </c>
      <c r="N35" s="18" t="e">
        <f>'27'!N36</f>
        <v>#DIV/0!</v>
      </c>
      <c r="O35" s="18" t="e">
        <f>'27'!O36</f>
        <v>#DIV/0!</v>
      </c>
      <c r="P35" s="18" t="e">
        <f>'27'!P36</f>
        <v>#DIV/0!</v>
      </c>
      <c r="Q35" s="18" t="e">
        <f>'27'!Q36</f>
        <v>#DIV/0!</v>
      </c>
      <c r="R35" s="36"/>
      <c r="S35" s="36"/>
      <c r="T35" s="36"/>
      <c r="U35" s="36"/>
    </row>
    <row r="36" spans="1:21" s="2" customFormat="1">
      <c r="A36" s="16">
        <f>'28'!$B$2</f>
        <v>0</v>
      </c>
      <c r="B36" s="18" t="e">
        <f>'28'!B36</f>
        <v>#DIV/0!</v>
      </c>
      <c r="C36" s="18" t="e">
        <f>'28'!C36</f>
        <v>#DIV/0!</v>
      </c>
      <c r="D36" s="18" t="e">
        <f>'28'!D36</f>
        <v>#DIV/0!</v>
      </c>
      <c r="E36" s="18" t="e">
        <f>'28'!E36</f>
        <v>#DIV/0!</v>
      </c>
      <c r="F36" s="18" t="e">
        <f>'28'!F36</f>
        <v>#DIV/0!</v>
      </c>
      <c r="G36" s="18" t="e">
        <f>'28'!G36</f>
        <v>#DIV/0!</v>
      </c>
      <c r="H36" s="18" t="e">
        <f>'28'!H36</f>
        <v>#DIV/0!</v>
      </c>
      <c r="I36" s="18" t="e">
        <f>'28'!I36</f>
        <v>#DIV/0!</v>
      </c>
      <c r="J36" s="18" t="e">
        <f>'28'!J36</f>
        <v>#DIV/0!</v>
      </c>
      <c r="K36" s="18" t="e">
        <f>'28'!K36</f>
        <v>#DIV/0!</v>
      </c>
      <c r="L36" s="18" t="e">
        <f>'28'!L36</f>
        <v>#DIV/0!</v>
      </c>
      <c r="M36" s="18" t="e">
        <f>'28'!M36</f>
        <v>#DIV/0!</v>
      </c>
      <c r="N36" s="18" t="e">
        <f>'28'!N36</f>
        <v>#DIV/0!</v>
      </c>
      <c r="O36" s="18" t="e">
        <f>'28'!O36</f>
        <v>#DIV/0!</v>
      </c>
      <c r="P36" s="18" t="e">
        <f>'28'!P36</f>
        <v>#DIV/0!</v>
      </c>
      <c r="Q36" s="18" t="e">
        <f>'28'!Q36</f>
        <v>#DIV/0!</v>
      </c>
      <c r="R36" s="36"/>
      <c r="S36" s="36"/>
      <c r="T36" s="36"/>
      <c r="U36" s="36"/>
    </row>
    <row r="37" spans="1:21" s="2" customFormat="1">
      <c r="A37" s="16">
        <f>'29'!$B$2</f>
        <v>0</v>
      </c>
      <c r="B37" s="18" t="e">
        <f>'29'!B36</f>
        <v>#DIV/0!</v>
      </c>
      <c r="C37" s="18" t="e">
        <f>'29'!C36</f>
        <v>#DIV/0!</v>
      </c>
      <c r="D37" s="18" t="e">
        <f>'29'!D36</f>
        <v>#DIV/0!</v>
      </c>
      <c r="E37" s="18" t="e">
        <f>'29'!E36</f>
        <v>#DIV/0!</v>
      </c>
      <c r="F37" s="18" t="e">
        <f>'29'!F36</f>
        <v>#DIV/0!</v>
      </c>
      <c r="G37" s="18" t="e">
        <f>'29'!G36</f>
        <v>#DIV/0!</v>
      </c>
      <c r="H37" s="18" t="e">
        <f>'29'!H36</f>
        <v>#DIV/0!</v>
      </c>
      <c r="I37" s="18" t="e">
        <f>'29'!I36</f>
        <v>#DIV/0!</v>
      </c>
      <c r="J37" s="18" t="e">
        <f>'29'!J36</f>
        <v>#DIV/0!</v>
      </c>
      <c r="K37" s="18" t="e">
        <f>'29'!K36</f>
        <v>#DIV/0!</v>
      </c>
      <c r="L37" s="18" t="e">
        <f>'29'!L36</f>
        <v>#DIV/0!</v>
      </c>
      <c r="M37" s="18" t="e">
        <f>'29'!M36</f>
        <v>#DIV/0!</v>
      </c>
      <c r="N37" s="18" t="e">
        <f>'29'!N36</f>
        <v>#DIV/0!</v>
      </c>
      <c r="O37" s="18" t="e">
        <f>'29'!O36</f>
        <v>#DIV/0!</v>
      </c>
      <c r="P37" s="18" t="e">
        <f>'29'!P36</f>
        <v>#DIV/0!</v>
      </c>
      <c r="Q37" s="18" t="e">
        <f>'29'!Q36</f>
        <v>#DIV/0!</v>
      </c>
      <c r="R37" s="36"/>
      <c r="S37" s="36"/>
      <c r="T37" s="36"/>
      <c r="U37" s="36"/>
    </row>
    <row r="38" spans="1:21" s="2" customFormat="1">
      <c r="A38" s="16">
        <f>'30'!$B$2</f>
        <v>0</v>
      </c>
      <c r="B38" s="18" t="e">
        <f>'30'!B36</f>
        <v>#DIV/0!</v>
      </c>
      <c r="C38" s="18" t="e">
        <f>'30'!C36</f>
        <v>#DIV/0!</v>
      </c>
      <c r="D38" s="18" t="e">
        <f>'30'!D36</f>
        <v>#DIV/0!</v>
      </c>
      <c r="E38" s="18" t="e">
        <f>'30'!E36</f>
        <v>#DIV/0!</v>
      </c>
      <c r="F38" s="18" t="e">
        <f>'30'!F36</f>
        <v>#DIV/0!</v>
      </c>
      <c r="G38" s="18" t="e">
        <f>'30'!G36</f>
        <v>#DIV/0!</v>
      </c>
      <c r="H38" s="18" t="e">
        <f>'30'!H36</f>
        <v>#DIV/0!</v>
      </c>
      <c r="I38" s="18" t="e">
        <f>'30'!I36</f>
        <v>#DIV/0!</v>
      </c>
      <c r="J38" s="18" t="e">
        <f>'30'!J36</f>
        <v>#DIV/0!</v>
      </c>
      <c r="K38" s="18" t="e">
        <f>'30'!K36</f>
        <v>#DIV/0!</v>
      </c>
      <c r="L38" s="18" t="e">
        <f>'30'!L36</f>
        <v>#DIV/0!</v>
      </c>
      <c r="M38" s="18" t="e">
        <f>'30'!M36</f>
        <v>#DIV/0!</v>
      </c>
      <c r="N38" s="18" t="e">
        <f>'30'!N36</f>
        <v>#DIV/0!</v>
      </c>
      <c r="O38" s="18" t="e">
        <f>'30'!O36</f>
        <v>#DIV/0!</v>
      </c>
      <c r="P38" s="18" t="e">
        <f>'30'!P36</f>
        <v>#DIV/0!</v>
      </c>
      <c r="Q38" s="18" t="e">
        <f>'30'!Q36</f>
        <v>#DIV/0!</v>
      </c>
      <c r="R38" s="36"/>
      <c r="S38" s="36"/>
      <c r="T38" s="36"/>
      <c r="U38" s="36"/>
    </row>
    <row r="39" spans="1:21">
      <c r="A39" s="16">
        <f>'31'!$B$2</f>
        <v>0</v>
      </c>
      <c r="B39" s="18" t="e">
        <f>'31'!B36</f>
        <v>#DIV/0!</v>
      </c>
      <c r="C39" s="18" t="e">
        <f>'31'!C36</f>
        <v>#DIV/0!</v>
      </c>
      <c r="D39" s="18" t="e">
        <f>'31'!D36</f>
        <v>#DIV/0!</v>
      </c>
      <c r="E39" s="18" t="e">
        <f>'31'!E36</f>
        <v>#DIV/0!</v>
      </c>
      <c r="F39" s="18" t="e">
        <f>'31'!F36</f>
        <v>#DIV/0!</v>
      </c>
      <c r="G39" s="18" t="e">
        <f>'31'!G36</f>
        <v>#DIV/0!</v>
      </c>
      <c r="H39" s="18" t="e">
        <f>'31'!H36</f>
        <v>#DIV/0!</v>
      </c>
      <c r="I39" s="18" t="e">
        <f>'31'!I36</f>
        <v>#DIV/0!</v>
      </c>
      <c r="J39" s="18" t="e">
        <f>'31'!J36</f>
        <v>#DIV/0!</v>
      </c>
      <c r="K39" s="18" t="e">
        <f>'31'!K36</f>
        <v>#DIV/0!</v>
      </c>
      <c r="L39" s="18" t="e">
        <f>'31'!L36</f>
        <v>#DIV/0!</v>
      </c>
      <c r="M39" s="18" t="e">
        <f>'31'!M36</f>
        <v>#DIV/0!</v>
      </c>
      <c r="N39" s="18" t="e">
        <f>'31'!N36</f>
        <v>#DIV/0!</v>
      </c>
      <c r="O39" s="18" t="e">
        <f>'31'!O36</f>
        <v>#DIV/0!</v>
      </c>
      <c r="P39" s="18" t="e">
        <f>'31'!P36</f>
        <v>#DIV/0!</v>
      </c>
      <c r="Q39" s="18" t="e">
        <f>'31'!Q36</f>
        <v>#DIV/0!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 t="e">
        <f t="shared" ref="B41:Q41" si="0">MIN(B9:B38)</f>
        <v>#DIV/0!</v>
      </c>
      <c r="C41" s="20" t="e">
        <f t="shared" si="0"/>
        <v>#DIV/0!</v>
      </c>
      <c r="D41" s="20" t="e">
        <f t="shared" si="0"/>
        <v>#DIV/0!</v>
      </c>
      <c r="E41" s="20" t="e">
        <f t="shared" si="0"/>
        <v>#DIV/0!</v>
      </c>
      <c r="F41" s="20" t="e">
        <f t="shared" si="0"/>
        <v>#DIV/0!</v>
      </c>
      <c r="G41" s="20" t="e">
        <f t="shared" si="0"/>
        <v>#DIV/0!</v>
      </c>
      <c r="H41" s="20" t="e">
        <f t="shared" si="0"/>
        <v>#DIV/0!</v>
      </c>
      <c r="I41" s="20" t="e">
        <f t="shared" si="0"/>
        <v>#DIV/0!</v>
      </c>
      <c r="J41" s="20" t="e">
        <f t="shared" si="0"/>
        <v>#DIV/0!</v>
      </c>
      <c r="K41" s="20" t="e">
        <f t="shared" si="0"/>
        <v>#DIV/0!</v>
      </c>
      <c r="L41" s="20" t="e">
        <f t="shared" si="0"/>
        <v>#DIV/0!</v>
      </c>
      <c r="M41" s="20" t="e">
        <f t="shared" si="0"/>
        <v>#DIV/0!</v>
      </c>
      <c r="N41" s="20" t="e">
        <f t="shared" si="0"/>
        <v>#DIV/0!</v>
      </c>
      <c r="O41" s="20" t="e">
        <f t="shared" si="0"/>
        <v>#DIV/0!</v>
      </c>
      <c r="P41" s="20" t="e">
        <f t="shared" si="0"/>
        <v>#DIV/0!</v>
      </c>
      <c r="Q41" s="20" t="e">
        <f t="shared" si="0"/>
        <v>#DIV/0!</v>
      </c>
      <c r="R41" s="41"/>
      <c r="S41" s="41"/>
      <c r="T41" s="41"/>
      <c r="U41" s="41"/>
    </row>
    <row r="42" spans="1:21" s="1" customFormat="1">
      <c r="A42" s="3" t="s">
        <v>49</v>
      </c>
      <c r="B42" s="20" t="e">
        <f t="shared" ref="B42:Q42" si="1">MAX(B9:B38)</f>
        <v>#DIV/0!</v>
      </c>
      <c r="C42" s="20" t="e">
        <f t="shared" si="1"/>
        <v>#DIV/0!</v>
      </c>
      <c r="D42" s="20" t="e">
        <f t="shared" si="1"/>
        <v>#DIV/0!</v>
      </c>
      <c r="E42" s="20" t="e">
        <f t="shared" si="1"/>
        <v>#DIV/0!</v>
      </c>
      <c r="F42" s="20" t="e">
        <f t="shared" si="1"/>
        <v>#DIV/0!</v>
      </c>
      <c r="G42" s="20" t="e">
        <f t="shared" si="1"/>
        <v>#DIV/0!</v>
      </c>
      <c r="H42" s="20" t="e">
        <f t="shared" si="1"/>
        <v>#DIV/0!</v>
      </c>
      <c r="I42" s="20" t="e">
        <f t="shared" si="1"/>
        <v>#DIV/0!</v>
      </c>
      <c r="J42" s="20" t="e">
        <f t="shared" si="1"/>
        <v>#DIV/0!</v>
      </c>
      <c r="K42" s="20" t="e">
        <f t="shared" si="1"/>
        <v>#DIV/0!</v>
      </c>
      <c r="L42" s="20" t="e">
        <f t="shared" si="1"/>
        <v>#DIV/0!</v>
      </c>
      <c r="M42" s="20" t="e">
        <f t="shared" si="1"/>
        <v>#DIV/0!</v>
      </c>
      <c r="N42" s="20" t="e">
        <f t="shared" si="1"/>
        <v>#DIV/0!</v>
      </c>
      <c r="O42" s="20" t="e">
        <f t="shared" si="1"/>
        <v>#DIV/0!</v>
      </c>
      <c r="P42" s="20" t="e">
        <f t="shared" si="1"/>
        <v>#DIV/0!</v>
      </c>
      <c r="Q42" s="20" t="e">
        <f t="shared" si="1"/>
        <v>#DIV/0!</v>
      </c>
      <c r="R42" s="41"/>
      <c r="S42" s="41"/>
      <c r="T42" s="41"/>
      <c r="U42" s="41"/>
    </row>
    <row r="43" spans="1:21" s="1" customFormat="1">
      <c r="A43" s="3" t="s">
        <v>50</v>
      </c>
      <c r="B43" s="20" t="e">
        <f t="shared" ref="B43:Q43" si="2">AVERAGE(B9:B38)</f>
        <v>#DIV/0!</v>
      </c>
      <c r="C43" s="20" t="e">
        <f t="shared" si="2"/>
        <v>#DIV/0!</v>
      </c>
      <c r="D43" s="20" t="e">
        <f t="shared" si="2"/>
        <v>#DIV/0!</v>
      </c>
      <c r="E43" s="20" t="e">
        <f t="shared" si="2"/>
        <v>#DIV/0!</v>
      </c>
      <c r="F43" s="20" t="e">
        <f t="shared" si="2"/>
        <v>#DIV/0!</v>
      </c>
      <c r="G43" s="20" t="e">
        <f t="shared" si="2"/>
        <v>#DIV/0!</v>
      </c>
      <c r="H43" s="20" t="e">
        <f t="shared" si="2"/>
        <v>#DIV/0!</v>
      </c>
      <c r="I43" s="20" t="e">
        <f t="shared" si="2"/>
        <v>#DIV/0!</v>
      </c>
      <c r="J43" s="20" t="e">
        <f t="shared" si="2"/>
        <v>#DIV/0!</v>
      </c>
      <c r="K43" s="20" t="e">
        <f t="shared" si="2"/>
        <v>#DIV/0!</v>
      </c>
      <c r="L43" s="20" t="e">
        <f t="shared" si="2"/>
        <v>#DIV/0!</v>
      </c>
      <c r="M43" s="20" t="e">
        <f t="shared" si="2"/>
        <v>#DIV/0!</v>
      </c>
      <c r="N43" s="20" t="e">
        <f t="shared" si="2"/>
        <v>#DIV/0!</v>
      </c>
      <c r="O43" s="20" t="e">
        <f t="shared" si="2"/>
        <v>#DIV/0!</v>
      </c>
      <c r="P43" s="20" t="e">
        <f t="shared" si="2"/>
        <v>#DIV/0!</v>
      </c>
      <c r="Q43" s="20" t="e">
        <f t="shared" si="2"/>
        <v>#DIV/0!</v>
      </c>
      <c r="R43" s="41"/>
      <c r="S43" s="41"/>
      <c r="T43" s="41"/>
      <c r="U43" s="41"/>
    </row>
    <row r="44" spans="1:21" s="1" customFormat="1">
      <c r="A44" s="3" t="s">
        <v>51</v>
      </c>
      <c r="B44" s="20" t="e">
        <f t="shared" ref="B44:Q44" si="3">STDEV(B9:B38)</f>
        <v>#DIV/0!</v>
      </c>
      <c r="C44" s="20" t="e">
        <f t="shared" si="3"/>
        <v>#DIV/0!</v>
      </c>
      <c r="D44" s="20" t="e">
        <f t="shared" si="3"/>
        <v>#DIV/0!</v>
      </c>
      <c r="E44" s="20" t="e">
        <f t="shared" si="3"/>
        <v>#DIV/0!</v>
      </c>
      <c r="F44" s="20" t="e">
        <f t="shared" si="3"/>
        <v>#DIV/0!</v>
      </c>
      <c r="G44" s="20" t="e">
        <f t="shared" si="3"/>
        <v>#DIV/0!</v>
      </c>
      <c r="H44" s="20" t="e">
        <f t="shared" si="3"/>
        <v>#DIV/0!</v>
      </c>
      <c r="I44" s="20" t="e">
        <f t="shared" si="3"/>
        <v>#DIV/0!</v>
      </c>
      <c r="J44" s="20" t="e">
        <f t="shared" si="3"/>
        <v>#DIV/0!</v>
      </c>
      <c r="K44" s="20" t="e">
        <f t="shared" si="3"/>
        <v>#DIV/0!</v>
      </c>
      <c r="L44" s="20" t="e">
        <f t="shared" si="3"/>
        <v>#DIV/0!</v>
      </c>
      <c r="M44" s="20" t="e">
        <f t="shared" si="3"/>
        <v>#DIV/0!</v>
      </c>
      <c r="N44" s="20" t="e">
        <f t="shared" si="3"/>
        <v>#DIV/0!</v>
      </c>
      <c r="O44" s="20" t="e">
        <f t="shared" si="3"/>
        <v>#DIV/0!</v>
      </c>
      <c r="P44" s="20" t="e">
        <f t="shared" si="3"/>
        <v>#DIV/0!</v>
      </c>
      <c r="Q44" s="20" t="e">
        <f t="shared" si="3"/>
        <v>#DIV/0!</v>
      </c>
      <c r="R44" s="33"/>
      <c r="S44" s="33"/>
      <c r="T44" s="33"/>
      <c r="U44" s="33"/>
    </row>
    <row r="45" spans="1:21" s="1" customFormat="1">
      <c r="A45" s="3" t="s">
        <v>52</v>
      </c>
      <c r="B45" s="6">
        <f t="shared" ref="B45:Q45" si="4">COUNT(B9:B38)</f>
        <v>13</v>
      </c>
      <c r="C45" s="6">
        <f t="shared" si="4"/>
        <v>13</v>
      </c>
      <c r="D45" s="6">
        <f t="shared" si="4"/>
        <v>13</v>
      </c>
      <c r="E45" s="6">
        <f t="shared" si="4"/>
        <v>13</v>
      </c>
      <c r="F45" s="6">
        <f t="shared" si="4"/>
        <v>13</v>
      </c>
      <c r="G45" s="6">
        <f t="shared" si="4"/>
        <v>13</v>
      </c>
      <c r="H45" s="6">
        <f t="shared" si="4"/>
        <v>13</v>
      </c>
      <c r="I45" s="6">
        <f t="shared" si="4"/>
        <v>13</v>
      </c>
      <c r="J45" s="6">
        <f t="shared" si="4"/>
        <v>13</v>
      </c>
      <c r="K45" s="6">
        <f t="shared" si="4"/>
        <v>13</v>
      </c>
      <c r="L45" s="6">
        <f t="shared" si="4"/>
        <v>13</v>
      </c>
      <c r="M45" s="6">
        <f t="shared" si="4"/>
        <v>13</v>
      </c>
      <c r="N45" s="6">
        <f t="shared" si="4"/>
        <v>13</v>
      </c>
      <c r="O45" s="6">
        <f t="shared" si="4"/>
        <v>13</v>
      </c>
      <c r="P45" s="6">
        <f t="shared" si="4"/>
        <v>13</v>
      </c>
      <c r="Q45" s="6">
        <f t="shared" si="4"/>
        <v>13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&lt;90%</v>
      </c>
      <c r="C46" s="6" t="str">
        <f t="shared" ref="C46:Q46" si="5">IF(C45&gt;=28,"&gt;90%",IF(C45&lt;=28,"&lt;90%"))</f>
        <v>&lt;90%</v>
      </c>
      <c r="D46" s="6" t="str">
        <f t="shared" si="5"/>
        <v>&lt;90%</v>
      </c>
      <c r="E46" s="6" t="str">
        <f t="shared" si="5"/>
        <v>&lt;90%</v>
      </c>
      <c r="F46" s="6" t="str">
        <f t="shared" si="5"/>
        <v>&lt;90%</v>
      </c>
      <c r="G46" s="6" t="str">
        <f t="shared" si="5"/>
        <v>&lt;90%</v>
      </c>
      <c r="H46" s="6" t="str">
        <f t="shared" si="5"/>
        <v>&lt;90%</v>
      </c>
      <c r="I46" s="6" t="str">
        <f t="shared" si="5"/>
        <v>&lt;90%</v>
      </c>
      <c r="J46" s="6" t="str">
        <f t="shared" si="5"/>
        <v>&lt;90%</v>
      </c>
      <c r="K46" s="6" t="str">
        <f t="shared" si="5"/>
        <v>&lt;90%</v>
      </c>
      <c r="L46" s="6" t="str">
        <f t="shared" si="5"/>
        <v>&lt;90%</v>
      </c>
      <c r="M46" s="6" t="str">
        <f t="shared" si="5"/>
        <v>&lt;90%</v>
      </c>
      <c r="N46" s="6" t="str">
        <f t="shared" si="5"/>
        <v>&lt;90%</v>
      </c>
      <c r="O46" s="6" t="str">
        <f t="shared" si="5"/>
        <v>&lt;90%</v>
      </c>
      <c r="P46" s="6" t="str">
        <f t="shared" si="5"/>
        <v>&lt;90%</v>
      </c>
      <c r="Q46" s="6" t="str">
        <f t="shared" si="5"/>
        <v>&lt;90%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LESS</v>
      </c>
      <c r="C47" s="6" t="str">
        <f t="shared" ref="C47:Q47" si="6">IF(C45&gt;=28,"OK",IF(C45&lt;=28,"LESS"))</f>
        <v>LESS</v>
      </c>
      <c r="D47" s="6" t="str">
        <f t="shared" si="6"/>
        <v>LESS</v>
      </c>
      <c r="E47" s="6" t="str">
        <f t="shared" si="6"/>
        <v>LESS</v>
      </c>
      <c r="F47" s="6" t="str">
        <f t="shared" si="6"/>
        <v>LESS</v>
      </c>
      <c r="G47" s="6" t="str">
        <f t="shared" si="6"/>
        <v>LESS</v>
      </c>
      <c r="H47" s="6" t="str">
        <f t="shared" si="6"/>
        <v>LESS</v>
      </c>
      <c r="I47" s="6" t="str">
        <f t="shared" si="6"/>
        <v>LESS</v>
      </c>
      <c r="J47" s="6" t="str">
        <f t="shared" si="6"/>
        <v>LESS</v>
      </c>
      <c r="K47" s="6" t="str">
        <f t="shared" si="6"/>
        <v>LESS</v>
      </c>
      <c r="L47" s="6" t="str">
        <f t="shared" si="6"/>
        <v>LESS</v>
      </c>
      <c r="M47" s="6" t="str">
        <f t="shared" si="6"/>
        <v>LESS</v>
      </c>
      <c r="N47" s="6" t="str">
        <f t="shared" si="6"/>
        <v>LESS</v>
      </c>
      <c r="O47" s="6" t="str">
        <f t="shared" si="6"/>
        <v>LESS</v>
      </c>
      <c r="P47" s="6" t="str">
        <f t="shared" si="6"/>
        <v>LESS</v>
      </c>
      <c r="Q47" s="6" t="str">
        <f t="shared" si="6"/>
        <v>LESS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2024-03-14T14:22:55Z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